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/>
  </bookViews>
  <sheets>
    <sheet name="item_config" sheetId="1" r:id="rId1"/>
    <sheet name="item_effect_config" sheetId="4" r:id="rId2"/>
    <sheet name="编号表" sheetId="2" r:id="rId3"/>
    <sheet name="更新说明" sheetId="3" r:id="rId4"/>
    <sheet name="字段说明" sheetId="5" r:id="rId5"/>
    <sheet name="效果算子对照" sheetId="6" r:id="rId6"/>
    <sheet name="枚举与注册" sheetId="7" r:id="rId7"/>
    <sheet name="物品效果更新说明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4" authorId="0">
      <text>
        <r>
          <rPr>
            <sz val="9"/>
            <color rgb="FF000000"/>
            <rFont val="微软雅黑"/>
            <charset val="134"/>
          </rPr>
          <t>Admin:
秒为单位</t>
        </r>
      </text>
    </comment>
  </commentList>
</comments>
</file>

<file path=xl/sharedStrings.xml><?xml version="1.0" encoding="utf-8"?>
<sst xmlns="http://schemas.openxmlformats.org/spreadsheetml/2006/main" count="71428" uniqueCount="7721">
  <si>
    <t>##var</t>
  </si>
  <si>
    <t>id</t>
  </si>
  <si>
    <t>name</t>
  </si>
  <si>
    <t>quality</t>
  </si>
  <si>
    <t>dur_t</t>
  </si>
  <si>
    <t>main_class</t>
  </si>
  <si>
    <t>sub_class</t>
  </si>
  <si>
    <t>drop_level</t>
  </si>
  <si>
    <t>display_type</t>
  </si>
  <si>
    <t>attrLimit</t>
  </si>
  <si>
    <t>keep_dur_t</t>
  </si>
  <si>
    <t>is_drop</t>
  </si>
  <si>
    <t>is_quick_slot</t>
  </si>
  <si>
    <t>is_auto_use</t>
  </si>
  <si>
    <t>required_level</t>
  </si>
  <si>
    <t>cultivation_tag</t>
  </si>
  <si>
    <t>pile_max</t>
  </si>
  <si>
    <t>function_type</t>
  </si>
  <si>
    <t>function_id</t>
  </si>
  <si>
    <t>function_value</t>
  </si>
  <si>
    <t>desc</t>
  </si>
  <si>
    <t>spec_desc</t>
  </si>
  <si>
    <t>icon_id</t>
  </si>
  <si>
    <t>mdx_id</t>
  </si>
  <si>
    <t>light_eff_id</t>
  </si>
  <si>
    <t>border1</t>
  </si>
  <si>
    <t>border2</t>
  </si>
  <si>
    <t>tags</t>
  </si>
  <si>
    <t>##type</t>
  </si>
  <si>
    <t>int</t>
  </si>
  <si>
    <t>string</t>
  </si>
  <si>
    <t>ItemQuality</t>
  </si>
  <si>
    <t>ItemDisplayType</t>
  </si>
  <si>
    <t>bool</t>
  </si>
  <si>
    <t>ItemFunctionType</t>
  </si>
  <si>
    <t>array,string</t>
  </si>
  <si>
    <t>##group</t>
  </si>
  <si>
    <t>c</t>
  </si>
  <si>
    <t>##</t>
  </si>
  <si>
    <t>道具ID</t>
  </si>
  <si>
    <t>0名称</t>
  </si>
  <si>
    <t>0道具品质</t>
  </si>
  <si>
    <t>境界代码不用</t>
  </si>
  <si>
    <t>0ID编号</t>
  </si>
  <si>
    <t>存在时间</t>
  </si>
  <si>
    <t>0大类</t>
  </si>
  <si>
    <t>0子类</t>
  </si>
  <si>
    <t>0档次</t>
  </si>
  <si>
    <t>显示分类</t>
  </si>
  <si>
    <t>属性限制</t>
  </si>
  <si>
    <t>有效时间</t>
  </si>
  <si>
    <t>0TRUEFALSE可丢弃</t>
  </si>
  <si>
    <t>是否可进快捷物品栏</t>
  </si>
  <si>
    <t>是否可以自动使用</t>
  </si>
  <si>
    <t>0使用级别下限</t>
  </si>
  <si>
    <t>修炼标签</t>
  </si>
  <si>
    <t>0堆叠上限</t>
  </si>
  <si>
    <t>0功能类型</t>
  </si>
  <si>
    <t>0功能ID</t>
  </si>
  <si>
    <t>0功能数值</t>
  </si>
  <si>
    <t>0说明</t>
  </si>
  <si>
    <t>0获得说明</t>
  </si>
  <si>
    <t>0背包图标</t>
  </si>
  <si>
    <t>0地表模型</t>
  </si>
  <si>
    <t>掉落光柱模型</t>
  </si>
  <si>
    <t>静态边框</t>
  </si>
  <si>
    <t>动态边框</t>
  </si>
  <si>
    <t>标签1</t>
  </si>
  <si>
    <t>标签2</t>
  </si>
  <si>
    <t>标签3</t>
  </si>
  <si>
    <t>标签4</t>
  </si>
  <si>
    <t>一小袋金币</t>
  </si>
  <si>
    <t>凡品</t>
  </si>
  <si>
    <t>炼气</t>
  </si>
  <si>
    <t>货币</t>
  </si>
  <si>
    <t>大类_基础</t>
  </si>
  <si>
    <t>子类_货币</t>
  </si>
  <si>
    <t>无</t>
  </si>
  <si>
    <t>功能_加货币</t>
  </si>
  <si>
    <t>击杀所有怪物，出售道具装备可获得</t>
  </si>
  <si>
    <t>fall_coin</t>
  </si>
  <si>
    <t>金币</t>
  </si>
  <si>
    <t>一小袋灵符</t>
  </si>
  <si>
    <t>fall_lingfu</t>
  </si>
  <si>
    <t>灵符</t>
  </si>
  <si>
    <t>一袋金币</t>
  </si>
  <si>
    <t>筑基</t>
  </si>
  <si>
    <t>一袋灵符</t>
  </si>
  <si>
    <t>一大袋金币</t>
  </si>
  <si>
    <t>金丹</t>
  </si>
  <si>
    <t>一大袋灵符</t>
  </si>
  <si>
    <t>一箱金币</t>
  </si>
  <si>
    <t>元婴</t>
  </si>
  <si>
    <t>一箱灵符</t>
  </si>
  <si>
    <t>一大箱金币</t>
  </si>
  <si>
    <t>化神</t>
  </si>
  <si>
    <t>一大箱灵符</t>
  </si>
  <si>
    <t>一车金币</t>
  </si>
  <si>
    <t>炼虚</t>
  </si>
  <si>
    <t>一车灵符</t>
  </si>
  <si>
    <t>一卡车金币</t>
  </si>
  <si>
    <t>合体</t>
  </si>
  <si>
    <t>一卡车灵符</t>
  </si>
  <si>
    <t>活跃丹</t>
  </si>
  <si>
    <t>仙品</t>
  </si>
  <si>
    <t>通用</t>
  </si>
  <si>
    <t>功能_多效果组</t>
  </si>
  <si>
    <t>系统赠送获得</t>
  </si>
  <si>
    <t>活跃点</t>
  </si>
  <si>
    <t>声望丹</t>
  </si>
  <si>
    <t>声望点</t>
  </si>
  <si>
    <t>基础剑术</t>
  </si>
  <si>
    <t>灵品</t>
  </si>
  <si>
    <t>人道神通</t>
  </si>
  <si>
    <t>子类_技能书</t>
  </si>
  <si>
    <t>技能书</t>
  </si>
  <si>
    <t>体修</t>
  </si>
  <si>
    <t>功能_技能书</t>
  </si>
  <si>
    <t>提高对灵植灵性、药性与杂质的辨析和处理能力，并提高相关炼制的成功率。|n|cff00FF00“草木之用，不独在其形色；识其灵序、留其真性，方能去芜存精。”——《草木蕴生功》|r</t>
  </si>
  <si>
    <t>宗门兑换，购买，秘境或遗迹可得</t>
  </si>
  <si>
    <t>fall_jinengshu_01</t>
  </si>
  <si>
    <t>材料</t>
  </si>
  <si>
    <t>战士技能书</t>
  </si>
  <si>
    <t>灵植术</t>
  </si>
  <si>
    <t>地道神通</t>
  </si>
  <si>
    <t>提高对灵材结构、材性与杂质的辨析和处理能力，并提高相关炼制的成功率。|n|cff00FF00“石有纹，金有性；灵材虽默，其内秩序自有迹可循。”——《万材辨性篇》|r</t>
  </si>
  <si>
    <t>灵材术</t>
  </si>
  <si>
    <t>高炼丹时调和药性、掌控火候和去除药滓的能力，增加炼丹成功率。|n|cff00FF00“丹成非独赖火，须使四性五味各安其位，清浊自分。”——《九转合丹经》|r</t>
  </si>
  <si>
    <t>炼丹术</t>
  </si>
  <si>
    <t>提高炼器时调和材性、贯通灵路和去除杂质的能力，增加炼器成功率。|n|cff00FF00“器成于材，灵生于序；材性不合，百炼亦为空。”——《天工铸灵经》|r</t>
  </si>
  <si>
    <t>炼器术</t>
  </si>
  <si>
    <t>提高制符时控制灵力、绘制符纹和维持符中结构的能力，增加制符成功率。|n|cff00FF00“符者，以灵力为墨、符材为载，外写一段可自行运转之序。”——《云篆通玄诀》|r</t>
  </si>
  <si>
    <t>符箓术</t>
  </si>
  <si>
    <t>提高布阵时推演阵眼、连接灵路和维持阵势的能力，增加布阵成功率。|n|cff00FF00“阵不在纹多，而在诸点相引、诸路成环，能借天地之势而自持。”——《河洛演阵篇》|r</t>
  </si>
  <si>
    <t>阵法术</t>
  </si>
  <si>
    <t>提高感知灵兽状态、传递意念和建立稳定联系的能力，增加驯服与御使成功率。|n|cff00FF00“御兽先通其心，后御其力；强压只得一时，感应方能同行长久。”——《万灵御心诀》|r</t>
  </si>
  <si>
    <t>御兽术</t>
  </si>
  <si>
    <t>提高每点灵气转化出的修为。|n|cff00FF00“灵气先成其序，而后方可炼化；序愈分明，所化愈厚。”——《上古灵序经》|r</t>
  </si>
  <si>
    <t>天序化元经</t>
  </si>
  <si>
    <t>天道神通</t>
  </si>
  <si>
    <t>加快修炼速度，提高单位时间获得的修为。|n|cff00FF00“气行一周，则浊减一分；周天不息，则真修自长。”——《周天行气录》|r</t>
  </si>
  <si>
    <t>周天转灵功</t>
  </si>
  <si>
    <t>提高每时辰吸收的灵气数量。|n|cff00FF00“一息引气，九息成环；环成之时，四方灵气自来。”——《九息纳真章》|r</t>
  </si>
  <si>
    <t>九息纳灵功</t>
  </si>
  <si>
    <t>回收炼化时散逸的灵气，额外获得修为。|n|cff00FF00“余气不可轻弃，涓流亦当归基；积微累久，自可成道。”——《道基归元论》|r</t>
  </si>
  <si>
    <t>归元锁基篇</t>
  </si>
  <si>
    <t>按比例提高最终获得的修为。|n|cff00FF00“丹田非器，虚则能容；所容愈广，演化愈深。”——《太虚内景说》|r</t>
  </si>
  <si>
    <t>太虚演化篇</t>
  </si>
  <si>
    <t>灵气不足时，仍能稳定获得少量基础修为。|n|cff00FF00“外气有穷，自真不绝；三元抱一，虽寂亦修。”——《守真抱一录》|r</t>
  </si>
  <si>
    <t>抱一守真经</t>
  </si>
  <si>
    <t>白昼提高灵气吸收，夜间提高灵气转化。|n|cff00FF00“日气升而宜引，月气沉而宜藏；顺时而修，事半功倍。”——《日月灵气考》|r</t>
  </si>
  <si>
    <t>日月顺时篇</t>
  </si>
  <si>
    <t>清晨修炼时，同时提高灵气吸收与修为转化。|n|cff00FF00“朝阳未盛，夜阴将退，一气最清，万流朝元。”——《朝元清气篇》|r</t>
  </si>
  <si>
    <t>一气朝元诀</t>
  </si>
  <si>
    <t>提高灵气储存上限，减少未炼化灵气的流失。|n|cff00FF00“海纳百川，丹田藏气；未化之灵，亦不可归散。”——《元海藏灵录》|r</t>
  </si>
  <si>
    <t>元海藏真篇</t>
  </si>
  <si>
    <t>提高突破成功率，并减轻突破失败的反噬。|n|cff00FF00“关隘非墙，乃旧序之极；稳其根本，方可开玄。”——《破境玄关论》|r</t>
  </si>
  <si>
    <t>开玄破障诀</t>
  </si>
  <si>
    <t>提高神识探查能力，并增加神通命中要害的概率。|n|cff00FF00“神识至微，可见气隙；既见其隙，则虚妄自破。”——《观微破妄录》|r</t>
  </si>
  <si>
    <t>破妄观微篇</t>
  </si>
  <si>
    <t>提高所有主动神通的最终威力。|n|cff00FF00“法无常强，战可砺真；每正一误，神通便进一分。”——《百战灵机考》|r</t>
  </si>
  <si>
    <t>百战砺真功</t>
  </si>
  <si>
    <t>指定一门本命神通，大幅提高其威力；同时只能指定一门。|n|cff00FF00“万法皆可习，本命只存一；神意相合，则法如己身。”——《本命神通录》|r</t>
  </si>
  <si>
    <t>万象本命诀</t>
  </si>
  <si>
    <t>提高所有剑道系神通的伤害与破防效果。|n|cff00FF00“剑锋养于未出之时，剑意成于久观之中。”——《剑堂养锋札》|r</t>
  </si>
  <si>
    <t>观剑养锋篇</t>
  </si>
  <si>
    <t>提高所有术法系神通的效果。|n|cff00FF00“术有万象，气归一流；灵流无滞，则诸法尽显。”——《万法运灵总纲》|r</t>
  </si>
  <si>
    <t>万法归流经</t>
  </si>
  <si>
    <t>提高所有炼体系神通的近身伤害与护体效果。|n|cff00FF00“以身为炉，以气为火；百炼之后，血肉亦可承道。”——《古修身炉经》|r</t>
  </si>
  <si>
    <t>百炼淬元功</t>
  </si>
  <si>
    <t>提高所有金行神通的伤害、破甲与穿透效果。|n|cff00FF00“庚金贵收不贵散，聚锋于一点，自可断万护。”——《庚金断法录》|r</t>
  </si>
  <si>
    <t>太白庚金经</t>
  </si>
  <si>
    <t>提高所有木行神通的伤害、治疗与持续恢复效果。|n|cff00FF00“木之一道，生中有谢，枯中藏荣，轮转而不绝。”——《青木荣枯志》|r</t>
  </si>
  <si>
    <t>青木荣枯经</t>
  </si>
  <si>
    <t>提高所有水行神通的效果，连续命中时威力逐渐增加。|n|cff00FF00“水势不争一击，前潮尚未尽，后浪已经生。”——《沧溟潮生篇》|r</t>
  </si>
  <si>
    <t>沧溟叠浪篇</t>
  </si>
  <si>
    <t>提高所有火行神通的伤害、爆发与灼烧效果。|n|cff00FF00“火主动，动则升频；频至其极，一念便可燎原。”——《离火动法论》|r</t>
  </si>
  <si>
    <t>离火升频诀</t>
  </si>
  <si>
    <t>提高所有土行神通以及护盾、减伤和镇压效果。|n|cff00FF00“土承万物而不移，气沉如岳，则攻守皆稳。”——《玄土承载经》|r</t>
  </si>
  <si>
    <t>玄岳镇元功</t>
  </si>
  <si>
    <t>提高所有五行神通的效果，对受克制目标效果更强。|n|cff00FF00“生者开其路，克者裁其形；五行得位，万法乃成。”——《五行生克论》|r</t>
  </si>
  <si>
    <t>五行生克经</t>
  </si>
  <si>
    <t>提高所有灵植类技能的效果。|n|cff00FF00“草木各有其序，顺序而养，则生机自盛。”——《草木灵序考》|r</t>
  </si>
  <si>
    <t>草木蕴生功</t>
  </si>
  <si>
    <t>提高所有灵材类技能的效果。|n|cff00FF00“万材形异而理可察，辨其灵序，方能尽其本性。”——《万材性理谱》|r</t>
  </si>
  <si>
    <t>万材辨性篇</t>
  </si>
  <si>
    <t>提高所有炼丹类技能的效果。|n|cff00FF00“火不可一味求烈，九转徐急，四性五味方可归和。”——《丹火九转论》|r</t>
  </si>
  <si>
    <t>九转合丹经</t>
  </si>
  <si>
    <t>提高所有炼器类技能的效果。|n|cff00FF00“器之贵不独在形，材性相合、灵路成环，方可长久。”——《天工器理录》|r</t>
  </si>
  <si>
    <t>天工铸灵经</t>
  </si>
  <si>
    <t>提高所有符箓类技能的效果。|n|cff00FF00“符者，以有限之笔，外写完整之序。”——《云篆外写法》|r</t>
  </si>
  <si>
    <t>云篆通玄诀</t>
  </si>
  <si>
    <t>提高所有阵法类技能的效果。|n|cff00FF00“阵非纹多而强，贵在诸点相引、诸路成环。”——《河洛阵枢考》|r</t>
  </si>
  <si>
    <t>河洛演阵篇</t>
  </si>
  <si>
    <t>法修</t>
  </si>
  <si>
    <t>提高所有御兽类技能的效果。|n|cff00FF00“御兽先通其心，后御其力；强压得用一时，感应方可同行久远。”——《万灵感应录》|r</t>
  </si>
  <si>
    <t>fall_jinengshu_02</t>
  </si>
  <si>
    <t>法师技能书</t>
  </si>
  <si>
    <t>万灵御心诀</t>
  </si>
  <si>
    <t>无敌大胆炉</t>
  </si>
  <si>
    <t>丹炉</t>
  </si>
  <si>
    <t>子类_贵重品</t>
  </si>
  <si>
    <t>炼丹</t>
  </si>
  <si>
    <t>功能_丹炉</t>
  </si>
  <si>
    <t>|cff00FF00前往铁匠铺合成宝石使用</t>
  </si>
  <si>
    <t>fall_hechengfu_01</t>
  </si>
  <si>
    <t>真意格2</t>
  </si>
  <si>
    <t>真意</t>
  </si>
  <si>
    <t>神通</t>
  </si>
  <si>
    <t>功能_神通真意</t>
  </si>
  <si>
    <t>真意格3</t>
  </si>
  <si>
    <t>足年定元参·凡株</t>
  </si>
  <si>
    <t>灵植君</t>
  </si>
  <si>
    <t>灵植</t>
  </si>
  <si>
    <t>功能_灵植</t>
  </si>
  <si>
    <t>宗门兑换，击杀妖兽，秘境或遗迹可得</t>
  </si>
  <si>
    <t>足年铁骨藤·凡株</t>
  </si>
  <si>
    <t>灵植臣</t>
  </si>
  <si>
    <t>足年金英花·凡株</t>
  </si>
  <si>
    <t>足年青玉藤·凡株</t>
  </si>
  <si>
    <t>足年翠叶藤·凡株</t>
  </si>
  <si>
    <t>足年寒潭藻·凡株</t>
  </si>
  <si>
    <t>足年深潭苔·凡株</t>
  </si>
  <si>
    <t>足年温阳花·凡株</t>
  </si>
  <si>
    <t>足年丹炎苔·凡株</t>
  </si>
  <si>
    <t>足年白岩参·凡株</t>
  </si>
  <si>
    <t>足年厚元苔·凡株</t>
  </si>
  <si>
    <t>足年薄荷露·凡株</t>
  </si>
  <si>
    <t>灵植使</t>
  </si>
  <si>
    <t>足年烈香花·凡株</t>
  </si>
  <si>
    <t>足年甘露草·凡株</t>
  </si>
  <si>
    <t>足年蜜香果·凡株</t>
  </si>
  <si>
    <t>足年青梅草·凡株</t>
  </si>
  <si>
    <t>足年火梅藤·凡株</t>
  </si>
  <si>
    <t>足年黄连芽·凡株</t>
  </si>
  <si>
    <t>足年苦参根·凡株</t>
  </si>
  <si>
    <t>足年海潮苔·凡株</t>
  </si>
  <si>
    <t>足年海砂苔·凡株</t>
  </si>
  <si>
    <t>足年净元草·凡株</t>
  </si>
  <si>
    <t>灵植佐</t>
  </si>
  <si>
    <t>足年太和草·凡株</t>
  </si>
  <si>
    <t>足年温脉花·凡株</t>
  </si>
  <si>
    <t>足年烈阳藤·凡株</t>
  </si>
  <si>
    <t>足年七叶丹莲·凡株</t>
  </si>
  <si>
    <t>灵植丹头</t>
  </si>
  <si>
    <t>足年八脉丹藤·凡株</t>
  </si>
  <si>
    <t>足年九环丹芝·凡株</t>
  </si>
  <si>
    <t>足年定元参·灵株</t>
  </si>
  <si>
    <t>足年铁骨藤·灵株</t>
  </si>
  <si>
    <t>足年金英花·灵株</t>
  </si>
  <si>
    <t>足年青玉藤·灵株</t>
  </si>
  <si>
    <t>足年翠叶藤·灵株</t>
  </si>
  <si>
    <t>足年寒潭藻·灵株</t>
  </si>
  <si>
    <t>足年深潭苔·灵株</t>
  </si>
  <si>
    <t>足年温阳花·灵株</t>
  </si>
  <si>
    <t>足年丹炎苔·灵株</t>
  </si>
  <si>
    <t>足年白岩参·灵株</t>
  </si>
  <si>
    <t>足年厚元苔·灵株</t>
  </si>
  <si>
    <t>足年薄荷露·灵株</t>
  </si>
  <si>
    <t>足年烈香花·灵株</t>
  </si>
  <si>
    <t>足年甘露草·灵株</t>
  </si>
  <si>
    <t>足年蜜香果·灵株</t>
  </si>
  <si>
    <t>足年青梅草·灵株</t>
  </si>
  <si>
    <t>足年火梅藤·灵株</t>
  </si>
  <si>
    <t>足年黄连芽·灵株</t>
  </si>
  <si>
    <t>足年苦参根·灵株</t>
  </si>
  <si>
    <t>足年海潮苔·灵株</t>
  </si>
  <si>
    <t>足年海砂苔·灵株</t>
  </si>
  <si>
    <t>足年净元草·灵株</t>
  </si>
  <si>
    <t>足年太和草·灵株</t>
  </si>
  <si>
    <t>足年温脉花·灵株</t>
  </si>
  <si>
    <t>足年烈阳藤·灵株</t>
  </si>
  <si>
    <t>足年七叶丹莲·灵株</t>
  </si>
  <si>
    <t>足年八脉丹藤·灵株</t>
  </si>
  <si>
    <t>足年九环丹芝·灵株</t>
  </si>
  <si>
    <t>足年定元参·玄株</t>
  </si>
  <si>
    <t>玄品</t>
  </si>
  <si>
    <t>足年铁骨藤·玄株</t>
  </si>
  <si>
    <t>足年金英花·玄株</t>
  </si>
  <si>
    <t>足年青玉藤·玄株</t>
  </si>
  <si>
    <t>足年翠叶藤·玄株</t>
  </si>
  <si>
    <t>足年寒潭藻·玄株</t>
  </si>
  <si>
    <t>足年深潭苔·玄株</t>
  </si>
  <si>
    <t>足年温阳花·玄株</t>
  </si>
  <si>
    <t>足年丹炎苔·玄株</t>
  </si>
  <si>
    <t>足年白岩参·玄株</t>
  </si>
  <si>
    <t>足年厚元苔·玄株</t>
  </si>
  <si>
    <t>足年薄荷露·玄株</t>
  </si>
  <si>
    <t>足年烈香花·玄株</t>
  </si>
  <si>
    <t>足年甘露草·玄株</t>
  </si>
  <si>
    <t>足年蜜香果·玄株</t>
  </si>
  <si>
    <t>足年青梅草·玄株</t>
  </si>
  <si>
    <t>足年火梅藤·玄株</t>
  </si>
  <si>
    <t>足年黄连芽·玄株</t>
  </si>
  <si>
    <t>足年苦参根·玄株</t>
  </si>
  <si>
    <t>足年海潮苔·玄株</t>
  </si>
  <si>
    <t>足年海砂苔·玄株</t>
  </si>
  <si>
    <t>足年净元草·玄株</t>
  </si>
  <si>
    <t>足年太和草·玄株</t>
  </si>
  <si>
    <t>足年温脉花·玄株</t>
  </si>
  <si>
    <t>足年烈阳藤·玄株</t>
  </si>
  <si>
    <t>足年七叶丹莲·玄株</t>
  </si>
  <si>
    <t>足年八脉丹藤·玄株</t>
  </si>
  <si>
    <t>足年九环丹芝·玄株</t>
  </si>
  <si>
    <t>足年定元参·仙株</t>
  </si>
  <si>
    <t>足年铁骨藤·仙株</t>
  </si>
  <si>
    <t>足年金英花·仙株</t>
  </si>
  <si>
    <t>足年青玉藤·仙株</t>
  </si>
  <si>
    <t>足年翠叶藤·仙株</t>
  </si>
  <si>
    <t>足年寒潭藻·仙株</t>
  </si>
  <si>
    <t>足年深潭苔·仙株</t>
  </si>
  <si>
    <t>足年温阳花·仙株</t>
  </si>
  <si>
    <t>足年丹炎苔·仙株</t>
  </si>
  <si>
    <t>足年白岩参·仙株</t>
  </si>
  <si>
    <t>足年厚元苔·仙株</t>
  </si>
  <si>
    <t>足年薄荷露·仙株</t>
  </si>
  <si>
    <t>足年烈香花·仙株</t>
  </si>
  <si>
    <t>足年甘露草·仙株</t>
  </si>
  <si>
    <t>足年蜜香果·仙株</t>
  </si>
  <si>
    <t>足年青梅草·仙株</t>
  </si>
  <si>
    <t>足年火梅藤·仙株</t>
  </si>
  <si>
    <t>足年黄连芽·仙株</t>
  </si>
  <si>
    <t>足年苦参根·仙株</t>
  </si>
  <si>
    <t>足年海潮苔·仙株</t>
  </si>
  <si>
    <t>足年海砂苔·仙株</t>
  </si>
  <si>
    <t>足年净元草·仙株</t>
  </si>
  <si>
    <t>足年太和草·仙株</t>
  </si>
  <si>
    <t>足年温脉花·仙株</t>
  </si>
  <si>
    <t>足年烈阳藤·仙株</t>
  </si>
  <si>
    <t>足年七叶丹莲·仙株</t>
  </si>
  <si>
    <t>足年八脉丹藤·仙株</t>
  </si>
  <si>
    <t>足年九环丹芝·仙株</t>
  </si>
  <si>
    <t>足年定元参·神株</t>
  </si>
  <si>
    <t>神品</t>
  </si>
  <si>
    <t>足年铁骨藤·神株</t>
  </si>
  <si>
    <t>足年金英花·神株</t>
  </si>
  <si>
    <t>足年青玉藤·神株</t>
  </si>
  <si>
    <t>足年翠叶藤·神株</t>
  </si>
  <si>
    <t>足年寒潭藻·神株</t>
  </si>
  <si>
    <t>足年深潭苔·神株</t>
  </si>
  <si>
    <t>足年温阳花·神株</t>
  </si>
  <si>
    <t>足年丹炎苔·神株</t>
  </si>
  <si>
    <t>足年白岩参·神株</t>
  </si>
  <si>
    <t>足年厚元苔·神株</t>
  </si>
  <si>
    <t>足年薄荷露·神株</t>
  </si>
  <si>
    <t>足年烈香花·神株</t>
  </si>
  <si>
    <t>足年甘露草·神株</t>
  </si>
  <si>
    <t>足年蜜香果·神株</t>
  </si>
  <si>
    <t>足年青梅草·神株</t>
  </si>
  <si>
    <t>足年火梅藤·神株</t>
  </si>
  <si>
    <t>足年黄连芽·神株</t>
  </si>
  <si>
    <t>足年苦参根·神株</t>
  </si>
  <si>
    <t>足年海潮苔·神株</t>
  </si>
  <si>
    <t>足年海砂苔·神株</t>
  </si>
  <si>
    <t>足年净元草·神株</t>
  </si>
  <si>
    <t>足年太和草·神株</t>
  </si>
  <si>
    <t>足年温脉花·神株</t>
  </si>
  <si>
    <t>足年烈阳藤·神株</t>
  </si>
  <si>
    <t>足年七叶丹莲·神株</t>
  </si>
  <si>
    <t>足年八脉丹藤·神株</t>
  </si>
  <si>
    <t>足年九环丹芝·神株</t>
  </si>
  <si>
    <t>足年定元参·道株</t>
  </si>
  <si>
    <t>道品</t>
  </si>
  <si>
    <t>足年铁骨藤·道株</t>
  </si>
  <si>
    <t>足年金英花·道株</t>
  </si>
  <si>
    <t>足年青玉藤·道株</t>
  </si>
  <si>
    <t>足年翠叶藤·道株</t>
  </si>
  <si>
    <t>足年寒潭藻·道株</t>
  </si>
  <si>
    <t>足年深潭苔·道株</t>
  </si>
  <si>
    <t>足年温阳花·道株</t>
  </si>
  <si>
    <t>足年丹炎苔·道株</t>
  </si>
  <si>
    <t>足年白岩参·道株</t>
  </si>
  <si>
    <t>足年厚元苔·道株</t>
  </si>
  <si>
    <t>足年薄荷露·道株</t>
  </si>
  <si>
    <t>足年烈香花·道株</t>
  </si>
  <si>
    <t>足年甘露草·道株</t>
  </si>
  <si>
    <t>足年蜜香果·道株</t>
  </si>
  <si>
    <t>足年青梅草·道株</t>
  </si>
  <si>
    <t>足年火梅藤·道株</t>
  </si>
  <si>
    <t>足年黄连芽·道株</t>
  </si>
  <si>
    <t>足年苦参根·道株</t>
  </si>
  <si>
    <t>足年海潮苔·道株</t>
  </si>
  <si>
    <t>足年海砂苔·道株</t>
  </si>
  <si>
    <t>足年净元草·道株</t>
  </si>
  <si>
    <t>足年太和草·道株</t>
  </si>
  <si>
    <t>足年温脉花·道株</t>
  </si>
  <si>
    <t>足年烈阳藤·道株</t>
  </si>
  <si>
    <t>足年七叶丹莲·道株</t>
  </si>
  <si>
    <t>足年八脉丹藤·道株</t>
  </si>
  <si>
    <t>足年九环丹芝·道株</t>
  </si>
  <si>
    <t>十载定元参·凡株</t>
  </si>
  <si>
    <t>十载铁骨藤·凡株</t>
  </si>
  <si>
    <t>十载金英花·凡株</t>
  </si>
  <si>
    <t>十载青玉藤·凡株</t>
  </si>
  <si>
    <t>十载翠叶藤·凡株</t>
  </si>
  <si>
    <t>十载寒潭藻·凡株</t>
  </si>
  <si>
    <t>十载深潭苔·凡株</t>
  </si>
  <si>
    <t>十载温阳花·凡株</t>
  </si>
  <si>
    <t>十载丹炎苔·凡株</t>
  </si>
  <si>
    <t>十载白岩参·凡株</t>
  </si>
  <si>
    <t>十载厚元苔·凡株</t>
  </si>
  <si>
    <t>十载薄荷露·凡株</t>
  </si>
  <si>
    <t>十载烈香花·凡株</t>
  </si>
  <si>
    <t>十载甘露草·凡株</t>
  </si>
  <si>
    <t>十载蜜香果·凡株</t>
  </si>
  <si>
    <t>十载青梅草·凡株</t>
  </si>
  <si>
    <t>十载火梅藤·凡株</t>
  </si>
  <si>
    <t>十载黄连芽·凡株</t>
  </si>
  <si>
    <t>十载苦参根·凡株</t>
  </si>
  <si>
    <t>十载海潮苔·凡株</t>
  </si>
  <si>
    <t>十载海砂苔·凡株</t>
  </si>
  <si>
    <t>十载净元草·凡株</t>
  </si>
  <si>
    <t>十载太和草·凡株</t>
  </si>
  <si>
    <t>十载温脉花·凡株</t>
  </si>
  <si>
    <t>十载烈阳藤·凡株</t>
  </si>
  <si>
    <t>十载七叶丹莲·凡株</t>
  </si>
  <si>
    <t>十载八脉丹藤·凡株</t>
  </si>
  <si>
    <t>十载九环丹芝·凡株</t>
  </si>
  <si>
    <t>十载定元参·灵株</t>
  </si>
  <si>
    <t>十载铁骨藤·灵株</t>
  </si>
  <si>
    <t>十载金英花·灵株</t>
  </si>
  <si>
    <t>十载青玉藤·灵株</t>
  </si>
  <si>
    <t>十载翠叶藤·灵株</t>
  </si>
  <si>
    <t>十载寒潭藻·灵株</t>
  </si>
  <si>
    <t>十载深潭苔·灵株</t>
  </si>
  <si>
    <t>十载温阳花·灵株</t>
  </si>
  <si>
    <t>十载丹炎苔·灵株</t>
  </si>
  <si>
    <t>十载白岩参·灵株</t>
  </si>
  <si>
    <t>十载厚元苔·灵株</t>
  </si>
  <si>
    <t>十载薄荷露·灵株</t>
  </si>
  <si>
    <t>十载烈香花·灵株</t>
  </si>
  <si>
    <t>十载甘露草·灵株</t>
  </si>
  <si>
    <t>十载蜜香果·灵株</t>
  </si>
  <si>
    <t>十载青梅草·灵株</t>
  </si>
  <si>
    <t>十载火梅藤·灵株</t>
  </si>
  <si>
    <t>十载黄连芽·灵株</t>
  </si>
  <si>
    <t>十载苦参根·灵株</t>
  </si>
  <si>
    <t>十载海潮苔·灵株</t>
  </si>
  <si>
    <t>十载海砂苔·灵株</t>
  </si>
  <si>
    <t>十载净元草·灵株</t>
  </si>
  <si>
    <t>十载太和草·灵株</t>
  </si>
  <si>
    <t>十载温脉花·灵株</t>
  </si>
  <si>
    <t>十载烈阳藤·灵株</t>
  </si>
  <si>
    <t>十载七叶丹莲·灵株</t>
  </si>
  <si>
    <t>十载八脉丹藤·灵株</t>
  </si>
  <si>
    <t>十载九环丹芝·灵株</t>
  </si>
  <si>
    <t>十载定元参·玄株</t>
  </si>
  <si>
    <t>十载铁骨藤·玄株</t>
  </si>
  <si>
    <t>十载金英花·玄株</t>
  </si>
  <si>
    <t>十载青玉藤·玄株</t>
  </si>
  <si>
    <t>十载翠叶藤·玄株</t>
  </si>
  <si>
    <t>十载寒潭藻·玄株</t>
  </si>
  <si>
    <t>十载深潭苔·玄株</t>
  </si>
  <si>
    <t>十载温阳花·玄株</t>
  </si>
  <si>
    <t>十载丹炎苔·玄株</t>
  </si>
  <si>
    <t>十载白岩参·玄株</t>
  </si>
  <si>
    <t>十载厚元苔·玄株</t>
  </si>
  <si>
    <t>十载薄荷露·玄株</t>
  </si>
  <si>
    <t>十载烈香花·玄株</t>
  </si>
  <si>
    <t>十载甘露草·玄株</t>
  </si>
  <si>
    <t>十载蜜香果·玄株</t>
  </si>
  <si>
    <t>十载青梅草·玄株</t>
  </si>
  <si>
    <t>十载火梅藤·玄株</t>
  </si>
  <si>
    <t>十载黄连芽·玄株</t>
  </si>
  <si>
    <t>十载苦参根·玄株</t>
  </si>
  <si>
    <t>十载海潮苔·玄株</t>
  </si>
  <si>
    <t>十载海砂苔·玄株</t>
  </si>
  <si>
    <t>十载净元草·玄株</t>
  </si>
  <si>
    <t>十载太和草·玄株</t>
  </si>
  <si>
    <t>十载温脉花·玄株</t>
  </si>
  <si>
    <t>十载烈阳藤·玄株</t>
  </si>
  <si>
    <t>十载七叶丹莲·玄株</t>
  </si>
  <si>
    <t>十载八脉丹藤·玄株</t>
  </si>
  <si>
    <t>十载九环丹芝·玄株</t>
  </si>
  <si>
    <t>十载定元参·仙株</t>
  </si>
  <si>
    <t>十载铁骨藤·仙株</t>
  </si>
  <si>
    <t>十载金英花·仙株</t>
  </si>
  <si>
    <t>十载青玉藤·仙株</t>
  </si>
  <si>
    <t>十载翠叶藤·仙株</t>
  </si>
  <si>
    <t>十载寒潭藻·仙株</t>
  </si>
  <si>
    <t>十载深潭苔·仙株</t>
  </si>
  <si>
    <t>十载温阳花·仙株</t>
  </si>
  <si>
    <t>十载丹炎苔·仙株</t>
  </si>
  <si>
    <t>十载白岩参·仙株</t>
  </si>
  <si>
    <t>十载厚元苔·仙株</t>
  </si>
  <si>
    <t>十载薄荷露·仙株</t>
  </si>
  <si>
    <t>十载烈香花·仙株</t>
  </si>
  <si>
    <t>十载甘露草·仙株</t>
  </si>
  <si>
    <t>十载蜜香果·仙株</t>
  </si>
  <si>
    <t>十载青梅草·仙株</t>
  </si>
  <si>
    <t>十载火梅藤·仙株</t>
  </si>
  <si>
    <t>十载黄连芽·仙株</t>
  </si>
  <si>
    <t>十载苦参根·仙株</t>
  </si>
  <si>
    <t>十载海潮苔·仙株</t>
  </si>
  <si>
    <t>十载海砂苔·仙株</t>
  </si>
  <si>
    <t>十载净元草·仙株</t>
  </si>
  <si>
    <t>十载太和草·仙株</t>
  </si>
  <si>
    <t>十载温脉花·仙株</t>
  </si>
  <si>
    <t>十载烈阳藤·仙株</t>
  </si>
  <si>
    <t>十载七叶丹莲·仙株</t>
  </si>
  <si>
    <t>十载八脉丹藤·仙株</t>
  </si>
  <si>
    <t>十载九环丹芝·仙株</t>
  </si>
  <si>
    <t>十载定元参·神株</t>
  </si>
  <si>
    <t>十载铁骨藤·神株</t>
  </si>
  <si>
    <t>十载金英花·神株</t>
  </si>
  <si>
    <t>十载青玉藤·神株</t>
  </si>
  <si>
    <t>十载翠叶藤·神株</t>
  </si>
  <si>
    <t>十载寒潭藻·神株</t>
  </si>
  <si>
    <t>十载深潭苔·神株</t>
  </si>
  <si>
    <t>十载温阳花·神株</t>
  </si>
  <si>
    <t>十载丹炎苔·神株</t>
  </si>
  <si>
    <t>十载白岩参·神株</t>
  </si>
  <si>
    <t>十载厚元苔·神株</t>
  </si>
  <si>
    <t>十载薄荷露·神株</t>
  </si>
  <si>
    <t>十载烈香花·神株</t>
  </si>
  <si>
    <t>十载甘露草·神株</t>
  </si>
  <si>
    <t>十载蜜香果·神株</t>
  </si>
  <si>
    <t>十载青梅草·神株</t>
  </si>
  <si>
    <t>十载火梅藤·神株</t>
  </si>
  <si>
    <t>十载黄连芽·神株</t>
  </si>
  <si>
    <t>十载苦参根·神株</t>
  </si>
  <si>
    <t>十载海潮苔·神株</t>
  </si>
  <si>
    <t>十载海砂苔·神株</t>
  </si>
  <si>
    <t>十载净元草·神株</t>
  </si>
  <si>
    <t>十载太和草·神株</t>
  </si>
  <si>
    <t>十载温脉花·神株</t>
  </si>
  <si>
    <t>十载烈阳藤·神株</t>
  </si>
  <si>
    <t>十载七叶丹莲·神株</t>
  </si>
  <si>
    <t>十载八脉丹藤·神株</t>
  </si>
  <si>
    <t>十载九环丹芝·神株</t>
  </si>
  <si>
    <t>十载定元参·道株</t>
  </si>
  <si>
    <t>十载铁骨藤·道株</t>
  </si>
  <si>
    <t>十载金英花·道株</t>
  </si>
  <si>
    <t>十载青玉藤·道株</t>
  </si>
  <si>
    <t>十载翠叶藤·道株</t>
  </si>
  <si>
    <t>十载寒潭藻·道株</t>
  </si>
  <si>
    <t>十载深潭苔·道株</t>
  </si>
  <si>
    <t>十载温阳花·道株</t>
  </si>
  <si>
    <t>十载丹炎苔·道株</t>
  </si>
  <si>
    <t>十载白岩参·道株</t>
  </si>
  <si>
    <t>十载厚元苔·道株</t>
  </si>
  <si>
    <t>十载薄荷露·道株</t>
  </si>
  <si>
    <t>十载烈香花·道株</t>
  </si>
  <si>
    <t>十载甘露草·道株</t>
  </si>
  <si>
    <t>十载蜜香果·道株</t>
  </si>
  <si>
    <t>十载青梅草·道株</t>
  </si>
  <si>
    <t>十载火梅藤·道株</t>
  </si>
  <si>
    <t>十载黄连芽·道株</t>
  </si>
  <si>
    <t>十载苦参根·道株</t>
  </si>
  <si>
    <t>十载海潮苔·道株</t>
  </si>
  <si>
    <t>十载海砂苔·道株</t>
  </si>
  <si>
    <t>十载净元草·道株</t>
  </si>
  <si>
    <t>十载太和草·道株</t>
  </si>
  <si>
    <t>十载温脉花·道株</t>
  </si>
  <si>
    <t>十载烈阳藤·道株</t>
  </si>
  <si>
    <t>十载七叶丹莲·道株</t>
  </si>
  <si>
    <t>十载八脉丹藤·道株</t>
  </si>
  <si>
    <t>十载九环丹芝·道株</t>
  </si>
  <si>
    <t>百载定元参·凡株</t>
  </si>
  <si>
    <t>百载铁骨藤·凡株</t>
  </si>
  <si>
    <t>百载金英花·凡株</t>
  </si>
  <si>
    <t>百载青玉藤·凡株</t>
  </si>
  <si>
    <t>百载翠叶藤·凡株</t>
  </si>
  <si>
    <t>百载寒潭藻·凡株</t>
  </si>
  <si>
    <t>百载深潭苔·凡株</t>
  </si>
  <si>
    <t>百载温阳花·凡株</t>
  </si>
  <si>
    <t>百载丹炎苔·凡株</t>
  </si>
  <si>
    <t>百载白岩参·凡株</t>
  </si>
  <si>
    <t>百载厚元苔·凡株</t>
  </si>
  <si>
    <t>百载薄荷露·凡株</t>
  </si>
  <si>
    <t>百载烈香花·凡株</t>
  </si>
  <si>
    <t>百载甘露草·凡株</t>
  </si>
  <si>
    <t>百载蜜香果·凡株</t>
  </si>
  <si>
    <t>百载青梅草·凡株</t>
  </si>
  <si>
    <t>百载火梅藤·凡株</t>
  </si>
  <si>
    <t>百载黄连芽·凡株</t>
  </si>
  <si>
    <t>百载苦参根·凡株</t>
  </si>
  <si>
    <t>百载海潮苔·凡株</t>
  </si>
  <si>
    <t>百载海砂苔·凡株</t>
  </si>
  <si>
    <t>百载净元草·凡株</t>
  </si>
  <si>
    <t>百载太和草·凡株</t>
  </si>
  <si>
    <t>百载温脉花·凡株</t>
  </si>
  <si>
    <t>百载烈阳藤·凡株</t>
  </si>
  <si>
    <t>百载七叶丹莲·凡株</t>
  </si>
  <si>
    <t>百载八脉丹藤·凡株</t>
  </si>
  <si>
    <t>百载九环丹芝·凡株</t>
  </si>
  <si>
    <t>百载定元参·灵株</t>
  </si>
  <si>
    <t>百载铁骨藤·灵株</t>
  </si>
  <si>
    <t>百载金英花·灵株</t>
  </si>
  <si>
    <t>百载青玉藤·灵株</t>
  </si>
  <si>
    <t>百载翠叶藤·灵株</t>
  </si>
  <si>
    <t>百载寒潭藻·灵株</t>
  </si>
  <si>
    <t>百载深潭苔·灵株</t>
  </si>
  <si>
    <t>百载温阳花·灵株</t>
  </si>
  <si>
    <t>百载丹炎苔·灵株</t>
  </si>
  <si>
    <t>百载白岩参·灵株</t>
  </si>
  <si>
    <t>百载厚元苔·灵株</t>
  </si>
  <si>
    <t>百载薄荷露·灵株</t>
  </si>
  <si>
    <t>百载烈香花·灵株</t>
  </si>
  <si>
    <t>百载甘露草·灵株</t>
  </si>
  <si>
    <t>百载蜜香果·灵株</t>
  </si>
  <si>
    <t>百载青梅草·灵株</t>
  </si>
  <si>
    <t>百载火梅藤·灵株</t>
  </si>
  <si>
    <t>百载黄连芽·灵株</t>
  </si>
  <si>
    <t>百载苦参根·灵株</t>
  </si>
  <si>
    <t>百载海潮苔·灵株</t>
  </si>
  <si>
    <t>百载海砂苔·灵株</t>
  </si>
  <si>
    <t>百载净元草·灵株</t>
  </si>
  <si>
    <t>百载太和草·灵株</t>
  </si>
  <si>
    <t>百载温脉花·灵株</t>
  </si>
  <si>
    <t>百载烈阳藤·灵株</t>
  </si>
  <si>
    <t>百载七叶丹莲·灵株</t>
  </si>
  <si>
    <t>百载八脉丹藤·灵株</t>
  </si>
  <si>
    <t>百载九环丹芝·灵株</t>
  </si>
  <si>
    <t>百载定元参·玄株</t>
  </si>
  <si>
    <t>百载铁骨藤·玄株</t>
  </si>
  <si>
    <t>百载金英花·玄株</t>
  </si>
  <si>
    <t>百载青玉藤·玄株</t>
  </si>
  <si>
    <t>百载翠叶藤·玄株</t>
  </si>
  <si>
    <t>百载寒潭藻·玄株</t>
  </si>
  <si>
    <t>百载深潭苔·玄株</t>
  </si>
  <si>
    <t>百载温阳花·玄株</t>
  </si>
  <si>
    <t>百载丹炎苔·玄株</t>
  </si>
  <si>
    <t>百载白岩参·玄株</t>
  </si>
  <si>
    <t>百载厚元苔·玄株</t>
  </si>
  <si>
    <t>百载薄荷露·玄株</t>
  </si>
  <si>
    <t>百载烈香花·玄株</t>
  </si>
  <si>
    <t>百载甘露草·玄株</t>
  </si>
  <si>
    <t>百载蜜香果·玄株</t>
  </si>
  <si>
    <t>百载青梅草·玄株</t>
  </si>
  <si>
    <t>百载火梅藤·玄株</t>
  </si>
  <si>
    <t>百载黄连芽·玄株</t>
  </si>
  <si>
    <t>百载苦参根·玄株</t>
  </si>
  <si>
    <t>百载海潮苔·玄株</t>
  </si>
  <si>
    <t>百载海砂苔·玄株</t>
  </si>
  <si>
    <t>百载净元草·玄株</t>
  </si>
  <si>
    <t>百载太和草·玄株</t>
  </si>
  <si>
    <t>百载温脉花·玄株</t>
  </si>
  <si>
    <t>百载烈阳藤·玄株</t>
  </si>
  <si>
    <t>百载七叶丹莲·玄株</t>
  </si>
  <si>
    <t>百载八脉丹藤·玄株</t>
  </si>
  <si>
    <t>百载九环丹芝·玄株</t>
  </si>
  <si>
    <t>百载定元参·仙株</t>
  </si>
  <si>
    <t>百载铁骨藤·仙株</t>
  </si>
  <si>
    <t>百载金英花·仙株</t>
  </si>
  <si>
    <t>百载青玉藤·仙株</t>
  </si>
  <si>
    <t>百载翠叶藤·仙株</t>
  </si>
  <si>
    <t>百载寒潭藻·仙株</t>
  </si>
  <si>
    <t>百载深潭苔·仙株</t>
  </si>
  <si>
    <t>百载温阳花·仙株</t>
  </si>
  <si>
    <t>百载丹炎苔·仙株</t>
  </si>
  <si>
    <t>百载白岩参·仙株</t>
  </si>
  <si>
    <t>百载厚元苔·仙株</t>
  </si>
  <si>
    <t>百载薄荷露·仙株</t>
  </si>
  <si>
    <t>百载烈香花·仙株</t>
  </si>
  <si>
    <t>百载甘露草·仙株</t>
  </si>
  <si>
    <t>百载蜜香果·仙株</t>
  </si>
  <si>
    <t>百载青梅草·仙株</t>
  </si>
  <si>
    <t>百载火梅藤·仙株</t>
  </si>
  <si>
    <t>百载黄连芽·仙株</t>
  </si>
  <si>
    <t>百载苦参根·仙株</t>
  </si>
  <si>
    <t>百载海潮苔·仙株</t>
  </si>
  <si>
    <t>百载海砂苔·仙株</t>
  </si>
  <si>
    <t>百载净元草·仙株</t>
  </si>
  <si>
    <t>百载太和草·仙株</t>
  </si>
  <si>
    <t>百载温脉花·仙株</t>
  </si>
  <si>
    <t>百载烈阳藤·仙株</t>
  </si>
  <si>
    <t>百载七叶丹莲·仙株</t>
  </si>
  <si>
    <t>百载八脉丹藤·仙株</t>
  </si>
  <si>
    <t>百载九环丹芝·仙株</t>
  </si>
  <si>
    <t>百载定元参·神株</t>
  </si>
  <si>
    <t>百载铁骨藤·神株</t>
  </si>
  <si>
    <t>百载金英花·神株</t>
  </si>
  <si>
    <t>百载青玉藤·神株</t>
  </si>
  <si>
    <t>百载翠叶藤·神株</t>
  </si>
  <si>
    <t>百载寒潭藻·神株</t>
  </si>
  <si>
    <t>百载深潭苔·神株</t>
  </si>
  <si>
    <t>百载温阳花·神株</t>
  </si>
  <si>
    <t>百载丹炎苔·神株</t>
  </si>
  <si>
    <t>百载白岩参·神株</t>
  </si>
  <si>
    <t>百载厚元苔·神株</t>
  </si>
  <si>
    <t>百载薄荷露·神株</t>
  </si>
  <si>
    <t>百载烈香花·神株</t>
  </si>
  <si>
    <t>百载甘露草·神株</t>
  </si>
  <si>
    <t>百载蜜香果·神株</t>
  </si>
  <si>
    <t>百载青梅草·神株</t>
  </si>
  <si>
    <t>百载火梅藤·神株</t>
  </si>
  <si>
    <t>百载黄连芽·神株</t>
  </si>
  <si>
    <t>百载苦参根·神株</t>
  </si>
  <si>
    <t>百载海潮苔·神株</t>
  </si>
  <si>
    <t>百载海砂苔·神株</t>
  </si>
  <si>
    <t>百载净元草·神株</t>
  </si>
  <si>
    <t>百载太和草·神株</t>
  </si>
  <si>
    <t>百载温脉花·神株</t>
  </si>
  <si>
    <t>百载烈阳藤·神株</t>
  </si>
  <si>
    <t>百载七叶丹莲·神株</t>
  </si>
  <si>
    <t>百载八脉丹藤·神株</t>
  </si>
  <si>
    <t>百载九环丹芝·神株</t>
  </si>
  <si>
    <t>百载定元参·道株</t>
  </si>
  <si>
    <t>百载铁骨藤·道株</t>
  </si>
  <si>
    <t>百载金英花·道株</t>
  </si>
  <si>
    <t>百载青玉藤·道株</t>
  </si>
  <si>
    <t>百载翠叶藤·道株</t>
  </si>
  <si>
    <t>百载寒潭藻·道株</t>
  </si>
  <si>
    <t>百载深潭苔·道株</t>
  </si>
  <si>
    <t>百载温阳花·道株</t>
  </si>
  <si>
    <t>百载丹炎苔·道株</t>
  </si>
  <si>
    <t>百载白岩参·道株</t>
  </si>
  <si>
    <t>百载厚元苔·道株</t>
  </si>
  <si>
    <t>百载薄荷露·道株</t>
  </si>
  <si>
    <t>百载烈香花·道株</t>
  </si>
  <si>
    <t>百载甘露草·道株</t>
  </si>
  <si>
    <t>百载蜜香果·道株</t>
  </si>
  <si>
    <t>百载青梅草·道株</t>
  </si>
  <si>
    <t>百载火梅藤·道株</t>
  </si>
  <si>
    <t>百载黄连芽·道株</t>
  </si>
  <si>
    <t>百载苦参根·道株</t>
  </si>
  <si>
    <t>百载海潮苔·道株</t>
  </si>
  <si>
    <t>百载海砂苔·道株</t>
  </si>
  <si>
    <t>百载净元草·道株</t>
  </si>
  <si>
    <t>百载太和草·道株</t>
  </si>
  <si>
    <t>百载温脉花·道株</t>
  </si>
  <si>
    <t>百载烈阳藤·道株</t>
  </si>
  <si>
    <t>百载七叶丹莲·道株</t>
  </si>
  <si>
    <t>百载八脉丹藤·道株</t>
  </si>
  <si>
    <t>百载九环丹芝·道株</t>
  </si>
  <si>
    <t>千载定元参·凡株</t>
  </si>
  <si>
    <t>千载铁骨藤·凡株</t>
  </si>
  <si>
    <t>千载金英花·凡株</t>
  </si>
  <si>
    <t>千载青玉藤·凡株</t>
  </si>
  <si>
    <t>千载翠叶藤·凡株</t>
  </si>
  <si>
    <t>千载寒潭藻·凡株</t>
  </si>
  <si>
    <t>千载深潭苔·凡株</t>
  </si>
  <si>
    <t>千载温阳花·凡株</t>
  </si>
  <si>
    <t>千载丹炎苔·凡株</t>
  </si>
  <si>
    <t>千载白岩参·凡株</t>
  </si>
  <si>
    <t>千载厚元苔·凡株</t>
  </si>
  <si>
    <t>千载薄荷露·凡株</t>
  </si>
  <si>
    <t>千载烈香花·凡株</t>
  </si>
  <si>
    <t>千载甘露草·凡株</t>
  </si>
  <si>
    <t>千载蜜香果·凡株</t>
  </si>
  <si>
    <t>千载青梅草·凡株</t>
  </si>
  <si>
    <t>千载火梅藤·凡株</t>
  </si>
  <si>
    <t>千载黄连芽·凡株</t>
  </si>
  <si>
    <t>千载苦参根·凡株</t>
  </si>
  <si>
    <t>千载海潮苔·凡株</t>
  </si>
  <si>
    <t>千载海砂苔·凡株</t>
  </si>
  <si>
    <t>千载净元草·凡株</t>
  </si>
  <si>
    <t>千载太和草·凡株</t>
  </si>
  <si>
    <t>千载温脉花·凡株</t>
  </si>
  <si>
    <t>千载烈阳藤·凡株</t>
  </si>
  <si>
    <t>千载七叶丹莲·凡株</t>
  </si>
  <si>
    <t>千载八脉丹藤·凡株</t>
  </si>
  <si>
    <t>千载九环丹芝·凡株</t>
  </si>
  <si>
    <t>千载定元参·灵株</t>
  </si>
  <si>
    <t>千载铁骨藤·灵株</t>
  </si>
  <si>
    <t>千载金英花·灵株</t>
  </si>
  <si>
    <t>千载青玉藤·灵株</t>
  </si>
  <si>
    <t>千载翠叶藤·灵株</t>
  </si>
  <si>
    <t>千载寒潭藻·灵株</t>
  </si>
  <si>
    <t>千载深潭苔·灵株</t>
  </si>
  <si>
    <t>千载温阳花·灵株</t>
  </si>
  <si>
    <t>千载丹炎苔·灵株</t>
  </si>
  <si>
    <t>千载白岩参·灵株</t>
  </si>
  <si>
    <t>千载厚元苔·灵株</t>
  </si>
  <si>
    <t>千载薄荷露·灵株</t>
  </si>
  <si>
    <t>千载烈香花·灵株</t>
  </si>
  <si>
    <t>千载甘露草·灵株</t>
  </si>
  <si>
    <t>千载蜜香果·灵株</t>
  </si>
  <si>
    <t>千载青梅草·灵株</t>
  </si>
  <si>
    <t>千载火梅藤·灵株</t>
  </si>
  <si>
    <t>千载黄连芽·灵株</t>
  </si>
  <si>
    <t>千载苦参根·灵株</t>
  </si>
  <si>
    <t>千载海潮苔·灵株</t>
  </si>
  <si>
    <t>千载海砂苔·灵株</t>
  </si>
  <si>
    <t>千载净元草·灵株</t>
  </si>
  <si>
    <t>千载太和草·灵株</t>
  </si>
  <si>
    <t>千载温脉花·灵株</t>
  </si>
  <si>
    <t>千载烈阳藤·灵株</t>
  </si>
  <si>
    <t>千载七叶丹莲·灵株</t>
  </si>
  <si>
    <t>千载八脉丹藤·灵株</t>
  </si>
  <si>
    <t>千载九环丹芝·灵株</t>
  </si>
  <si>
    <t>千载定元参·玄株</t>
  </si>
  <si>
    <t>千载铁骨藤·玄株</t>
  </si>
  <si>
    <t>千载金英花·玄株</t>
  </si>
  <si>
    <t>千载青玉藤·玄株</t>
  </si>
  <si>
    <t>千载翠叶藤·玄株</t>
  </si>
  <si>
    <t>千载寒潭藻·玄株</t>
  </si>
  <si>
    <t>千载深潭苔·玄株</t>
  </si>
  <si>
    <t>千载温阳花·玄株</t>
  </si>
  <si>
    <t>千载丹炎苔·玄株</t>
  </si>
  <si>
    <t>千载白岩参·玄株</t>
  </si>
  <si>
    <t>千载厚元苔·玄株</t>
  </si>
  <si>
    <t>千载薄荷露·玄株</t>
  </si>
  <si>
    <t>千载烈香花·玄株</t>
  </si>
  <si>
    <t>千载甘露草·玄株</t>
  </si>
  <si>
    <t>千载蜜香果·玄株</t>
  </si>
  <si>
    <t>千载青梅草·玄株</t>
  </si>
  <si>
    <t>千载火梅藤·玄株</t>
  </si>
  <si>
    <t>千载黄连芽·玄株</t>
  </si>
  <si>
    <t>千载苦参根·玄株</t>
  </si>
  <si>
    <t>千载海潮苔·玄株</t>
  </si>
  <si>
    <t>千载海砂苔·玄株</t>
  </si>
  <si>
    <t>千载净元草·玄株</t>
  </si>
  <si>
    <t>千载太和草·玄株</t>
  </si>
  <si>
    <t>千载温脉花·玄株</t>
  </si>
  <si>
    <t>千载烈阳藤·玄株</t>
  </si>
  <si>
    <t>千载七叶丹莲·玄株</t>
  </si>
  <si>
    <t>千载八脉丹藤·玄株</t>
  </si>
  <si>
    <t>千载九环丹芝·玄株</t>
  </si>
  <si>
    <t>千载定元参·仙株</t>
  </si>
  <si>
    <t>千载铁骨藤·仙株</t>
  </si>
  <si>
    <t>千载金英花·仙株</t>
  </si>
  <si>
    <t>千载青玉藤·仙株</t>
  </si>
  <si>
    <t>千载翠叶藤·仙株</t>
  </si>
  <si>
    <t>千载寒潭藻·仙株</t>
  </si>
  <si>
    <t>千载深潭苔·仙株</t>
  </si>
  <si>
    <t>千载温阳花·仙株</t>
  </si>
  <si>
    <t>千载丹炎苔·仙株</t>
  </si>
  <si>
    <t>千载白岩参·仙株</t>
  </si>
  <si>
    <t>千载厚元苔·仙株</t>
  </si>
  <si>
    <t>千载薄荷露·仙株</t>
  </si>
  <si>
    <t>千载烈香花·仙株</t>
  </si>
  <si>
    <t>千载甘露草·仙株</t>
  </si>
  <si>
    <t>千载蜜香果·仙株</t>
  </si>
  <si>
    <t>千载青梅草·仙株</t>
  </si>
  <si>
    <t>千载火梅藤·仙株</t>
  </si>
  <si>
    <t>千载黄连芽·仙株</t>
  </si>
  <si>
    <t>千载苦参根·仙株</t>
  </si>
  <si>
    <t>千载海潮苔·仙株</t>
  </si>
  <si>
    <t>千载海砂苔·仙株</t>
  </si>
  <si>
    <t>千载净元草·仙株</t>
  </si>
  <si>
    <t>千载太和草·仙株</t>
  </si>
  <si>
    <t>千载温脉花·仙株</t>
  </si>
  <si>
    <t>千载烈阳藤·仙株</t>
  </si>
  <si>
    <t>千载七叶丹莲·仙株</t>
  </si>
  <si>
    <t>千载八脉丹藤·仙株</t>
  </si>
  <si>
    <t>千载九环丹芝·仙株</t>
  </si>
  <si>
    <t>千载定元参·神株</t>
  </si>
  <si>
    <t>千载铁骨藤·神株</t>
  </si>
  <si>
    <t>千载金英花·神株</t>
  </si>
  <si>
    <t>千载青玉藤·神株</t>
  </si>
  <si>
    <t>千载翠叶藤·神株</t>
  </si>
  <si>
    <t>千载寒潭藻·神株</t>
  </si>
  <si>
    <t>千载深潭苔·神株</t>
  </si>
  <si>
    <t>千载温阳花·神株</t>
  </si>
  <si>
    <t>千载丹炎苔·神株</t>
  </si>
  <si>
    <t>千载白岩参·神株</t>
  </si>
  <si>
    <t>千载厚元苔·神株</t>
  </si>
  <si>
    <t>千载薄荷露·神株</t>
  </si>
  <si>
    <t>千载烈香花·神株</t>
  </si>
  <si>
    <t>千载甘露草·神株</t>
  </si>
  <si>
    <t>千载蜜香果·神株</t>
  </si>
  <si>
    <t>千载青梅草·神株</t>
  </si>
  <si>
    <t>千载火梅藤·神株</t>
  </si>
  <si>
    <t>千载黄连芽·神株</t>
  </si>
  <si>
    <t>千载苦参根·神株</t>
  </si>
  <si>
    <t>千载海潮苔·神株</t>
  </si>
  <si>
    <t>千载海砂苔·神株</t>
  </si>
  <si>
    <t>千载净元草·神株</t>
  </si>
  <si>
    <t>千载太和草·神株</t>
  </si>
  <si>
    <t>千载温脉花·神株</t>
  </si>
  <si>
    <t>千载烈阳藤·神株</t>
  </si>
  <si>
    <t>千载七叶丹莲·神株</t>
  </si>
  <si>
    <t>千载八脉丹藤·神株</t>
  </si>
  <si>
    <t>千载九环丹芝·神株</t>
  </si>
  <si>
    <t>千载定元参·道株</t>
  </si>
  <si>
    <t>千载铁骨藤·道株</t>
  </si>
  <si>
    <t>千载金英花·道株</t>
  </si>
  <si>
    <t>千载青玉藤·道株</t>
  </si>
  <si>
    <t>千载翠叶藤·道株</t>
  </si>
  <si>
    <t>千载寒潭藻·道株</t>
  </si>
  <si>
    <t>千载深潭苔·道株</t>
  </si>
  <si>
    <t>千载温阳花·道株</t>
  </si>
  <si>
    <t>千载丹炎苔·道株</t>
  </si>
  <si>
    <t>千载白岩参·道株</t>
  </si>
  <si>
    <t>千载厚元苔·道株</t>
  </si>
  <si>
    <t>千载薄荷露·道株</t>
  </si>
  <si>
    <t>千载烈香花·道株</t>
  </si>
  <si>
    <t>千载甘露草·道株</t>
  </si>
  <si>
    <t>千载蜜香果·道株</t>
  </si>
  <si>
    <t>千载青梅草·道株</t>
  </si>
  <si>
    <t>千载火梅藤·道株</t>
  </si>
  <si>
    <t>千载黄连芽·道株</t>
  </si>
  <si>
    <t>千载苦参根·道株</t>
  </si>
  <si>
    <t>千载海潮苔·道株</t>
  </si>
  <si>
    <t>千载海砂苔·道株</t>
  </si>
  <si>
    <t>千载净元草·道株</t>
  </si>
  <si>
    <t>千载太和草·道株</t>
  </si>
  <si>
    <t>千载温脉花·道株</t>
  </si>
  <si>
    <t>千载烈阳藤·道株</t>
  </si>
  <si>
    <t>千载七叶丹莲·道株</t>
  </si>
  <si>
    <t>千载八脉丹藤·道株</t>
  </si>
  <si>
    <t>千载九环丹芝·道株</t>
  </si>
  <si>
    <t>万载定元参·凡株</t>
  </si>
  <si>
    <t>万载铁骨藤·凡株</t>
  </si>
  <si>
    <t>万载金英花·凡株</t>
  </si>
  <si>
    <t>万载青玉藤·凡株</t>
  </si>
  <si>
    <t>万载翠叶藤·凡株</t>
  </si>
  <si>
    <t>万载寒潭藻·凡株</t>
  </si>
  <si>
    <t>万载深潭苔·凡株</t>
  </si>
  <si>
    <t>万载温阳花·凡株</t>
  </si>
  <si>
    <t>万载丹炎苔·凡株</t>
  </si>
  <si>
    <t>万载白岩参·凡株</t>
  </si>
  <si>
    <t>万载厚元苔·凡株</t>
  </si>
  <si>
    <t>万载薄荷露·凡株</t>
  </si>
  <si>
    <t>万载烈香花·凡株</t>
  </si>
  <si>
    <t>万载甘露草·凡株</t>
  </si>
  <si>
    <t>万载蜜香果·凡株</t>
  </si>
  <si>
    <t>万载青梅草·凡株</t>
  </si>
  <si>
    <t>万载火梅藤·凡株</t>
  </si>
  <si>
    <t>万载黄连芽·凡株</t>
  </si>
  <si>
    <t>万载苦参根·凡株</t>
  </si>
  <si>
    <t>万载海潮苔·凡株</t>
  </si>
  <si>
    <t>万载海砂苔·凡株</t>
  </si>
  <si>
    <t>万载净元草·凡株</t>
  </si>
  <si>
    <t>万载太和草·凡株</t>
  </si>
  <si>
    <t>万载温脉花·凡株</t>
  </si>
  <si>
    <t>万载烈阳藤·凡株</t>
  </si>
  <si>
    <t>万载七叶丹莲·凡株</t>
  </si>
  <si>
    <t>万载八脉丹藤·凡株</t>
  </si>
  <si>
    <t>万载九环丹芝·凡株</t>
  </si>
  <si>
    <t>万载定元参·灵株</t>
  </si>
  <si>
    <t>万载铁骨藤·灵株</t>
  </si>
  <si>
    <t>万载金英花·灵株</t>
  </si>
  <si>
    <t>万载青玉藤·灵株</t>
  </si>
  <si>
    <t>万载翠叶藤·灵株</t>
  </si>
  <si>
    <t>万载寒潭藻·灵株</t>
  </si>
  <si>
    <t>万载深潭苔·灵株</t>
  </si>
  <si>
    <t>万载温阳花·灵株</t>
  </si>
  <si>
    <t>万载丹炎苔·灵株</t>
  </si>
  <si>
    <t>万载白岩参·灵株</t>
  </si>
  <si>
    <t>万载厚元苔·灵株</t>
  </si>
  <si>
    <t>万载薄荷露·灵株</t>
  </si>
  <si>
    <t>万载烈香花·灵株</t>
  </si>
  <si>
    <t>万载甘露草·灵株</t>
  </si>
  <si>
    <t>万载蜜香果·灵株</t>
  </si>
  <si>
    <t>万载青梅草·灵株</t>
  </si>
  <si>
    <t>万载火梅藤·灵株</t>
  </si>
  <si>
    <t>万载黄连芽·灵株</t>
  </si>
  <si>
    <t>万载苦参根·灵株</t>
  </si>
  <si>
    <t>万载海潮苔·灵株</t>
  </si>
  <si>
    <t>万载海砂苔·灵株</t>
  </si>
  <si>
    <t>万载净元草·灵株</t>
  </si>
  <si>
    <t>万载太和草·灵株</t>
  </si>
  <si>
    <t>万载温脉花·灵株</t>
  </si>
  <si>
    <t>万载烈阳藤·灵株</t>
  </si>
  <si>
    <t>万载七叶丹莲·灵株</t>
  </si>
  <si>
    <t>万载八脉丹藤·灵株</t>
  </si>
  <si>
    <t>万载九环丹芝·灵株</t>
  </si>
  <si>
    <t>万载定元参·玄株</t>
  </si>
  <si>
    <t>万载铁骨藤·玄株</t>
  </si>
  <si>
    <t>万载金英花·玄株</t>
  </si>
  <si>
    <t>万载青玉藤·玄株</t>
  </si>
  <si>
    <t>万载翠叶藤·玄株</t>
  </si>
  <si>
    <t>万载寒潭藻·玄株</t>
  </si>
  <si>
    <t>万载深潭苔·玄株</t>
  </si>
  <si>
    <t>万载温阳花·玄株</t>
  </si>
  <si>
    <t>万载丹炎苔·玄株</t>
  </si>
  <si>
    <t>万载白岩参·玄株</t>
  </si>
  <si>
    <t>万载厚元苔·玄株</t>
  </si>
  <si>
    <t>万载薄荷露·玄株</t>
  </si>
  <si>
    <t>万载烈香花·玄株</t>
  </si>
  <si>
    <t>万载甘露草·玄株</t>
  </si>
  <si>
    <t>万载蜜香果·玄株</t>
  </si>
  <si>
    <t>万载青梅草·玄株</t>
  </si>
  <si>
    <t>万载火梅藤·玄株</t>
  </si>
  <si>
    <t>万载黄连芽·玄株</t>
  </si>
  <si>
    <t>万载苦参根·玄株</t>
  </si>
  <si>
    <t>万载海潮苔·玄株</t>
  </si>
  <si>
    <t>万载海砂苔·玄株</t>
  </si>
  <si>
    <t>万载净元草·玄株</t>
  </si>
  <si>
    <t>万载太和草·玄株</t>
  </si>
  <si>
    <t>万载温脉花·玄株</t>
  </si>
  <si>
    <t>万载烈阳藤·玄株</t>
  </si>
  <si>
    <t>万载七叶丹莲·玄株</t>
  </si>
  <si>
    <t>万载八脉丹藤·玄株</t>
  </si>
  <si>
    <t>万载九环丹芝·玄株</t>
  </si>
  <si>
    <t>万载定元参·仙株</t>
  </si>
  <si>
    <t>万载铁骨藤·仙株</t>
  </si>
  <si>
    <t>万载金英花·仙株</t>
  </si>
  <si>
    <t>万载青玉藤·仙株</t>
  </si>
  <si>
    <t>万载翠叶藤·仙株</t>
  </si>
  <si>
    <t>万载寒潭藻·仙株</t>
  </si>
  <si>
    <t>万载深潭苔·仙株</t>
  </si>
  <si>
    <t>万载温阳花·仙株</t>
  </si>
  <si>
    <t>万载丹炎苔·仙株</t>
  </si>
  <si>
    <t>万载白岩参·仙株</t>
  </si>
  <si>
    <t>万载厚元苔·仙株</t>
  </si>
  <si>
    <t>万载薄荷露·仙株</t>
  </si>
  <si>
    <t>万载烈香花·仙株</t>
  </si>
  <si>
    <t>万载甘露草·仙株</t>
  </si>
  <si>
    <t>万载蜜香果·仙株</t>
  </si>
  <si>
    <t>万载青梅草·仙株</t>
  </si>
  <si>
    <t>万载火梅藤·仙株</t>
  </si>
  <si>
    <t>万载黄连芽·仙株</t>
  </si>
  <si>
    <t>万载苦参根·仙株</t>
  </si>
  <si>
    <t>万载海潮苔·仙株</t>
  </si>
  <si>
    <t>万载海砂苔·仙株</t>
  </si>
  <si>
    <t>万载净元草·仙株</t>
  </si>
  <si>
    <t>万载太和草·仙株</t>
  </si>
  <si>
    <t>万载温脉花·仙株</t>
  </si>
  <si>
    <t>万载烈阳藤·仙株</t>
  </si>
  <si>
    <t>万载七叶丹莲·仙株</t>
  </si>
  <si>
    <t>万载八脉丹藤·仙株</t>
  </si>
  <si>
    <t>万载九环丹芝·仙株</t>
  </si>
  <si>
    <t>万载定元参·神株</t>
  </si>
  <si>
    <t>万载铁骨藤·神株</t>
  </si>
  <si>
    <t>万载金英花·神株</t>
  </si>
  <si>
    <t>万载青玉藤·神株</t>
  </si>
  <si>
    <t>万载翠叶藤·神株</t>
  </si>
  <si>
    <t>万载寒潭藻·神株</t>
  </si>
  <si>
    <t>万载深潭苔·神株</t>
  </si>
  <si>
    <t>万载温阳花·神株</t>
  </si>
  <si>
    <t>万载丹炎苔·神株</t>
  </si>
  <si>
    <t>万载白岩参·神株</t>
  </si>
  <si>
    <t>万载厚元苔·神株</t>
  </si>
  <si>
    <t>万载薄荷露·神株</t>
  </si>
  <si>
    <t>万载烈香花·神株</t>
  </si>
  <si>
    <t>万载甘露草·神株</t>
  </si>
  <si>
    <t>万载蜜香果·神株</t>
  </si>
  <si>
    <t>万载青梅草·神株</t>
  </si>
  <si>
    <t>万载火梅藤·神株</t>
  </si>
  <si>
    <t>万载黄连芽·神株</t>
  </si>
  <si>
    <t>万载苦参根·神株</t>
  </si>
  <si>
    <t>万载海潮苔·神株</t>
  </si>
  <si>
    <t>万载海砂苔·神株</t>
  </si>
  <si>
    <t>万载净元草·神株</t>
  </si>
  <si>
    <t>万载太和草·神株</t>
  </si>
  <si>
    <t>万载温脉花·神株</t>
  </si>
  <si>
    <t>万载烈阳藤·神株</t>
  </si>
  <si>
    <t>万载七叶丹莲·神株</t>
  </si>
  <si>
    <t>万载八脉丹藤·神株</t>
  </si>
  <si>
    <t>万载九环丹芝·神株</t>
  </si>
  <si>
    <t>万载定元参·道株</t>
  </si>
  <si>
    <t>万载铁骨藤·道株</t>
  </si>
  <si>
    <t>万载金英花·道株</t>
  </si>
  <si>
    <t>万载青玉藤·道株</t>
  </si>
  <si>
    <t>万载翠叶藤·道株</t>
  </si>
  <si>
    <t>万载寒潭藻·道株</t>
  </si>
  <si>
    <t>万载深潭苔·道株</t>
  </si>
  <si>
    <t>万载温阳花·道株</t>
  </si>
  <si>
    <t>万载丹炎苔·道株</t>
  </si>
  <si>
    <t>万载白岩参·道株</t>
  </si>
  <si>
    <t>万载厚元苔·道株</t>
  </si>
  <si>
    <t>万载薄荷露·道株</t>
  </si>
  <si>
    <t>万载烈香花·道株</t>
  </si>
  <si>
    <t>万载甘露草·道株</t>
  </si>
  <si>
    <t>万载蜜香果·道株</t>
  </si>
  <si>
    <t>万载青梅草·道株</t>
  </si>
  <si>
    <t>万载火梅藤·道株</t>
  </si>
  <si>
    <t>万载黄连芽·道株</t>
  </si>
  <si>
    <t>万载苦参根·道株</t>
  </si>
  <si>
    <t>万载海潮苔·道株</t>
  </si>
  <si>
    <t>万载海砂苔·道株</t>
  </si>
  <si>
    <t>万载净元草·道株</t>
  </si>
  <si>
    <t>万载太和草·道株</t>
  </si>
  <si>
    <t>万载温脉花·道株</t>
  </si>
  <si>
    <t>万载烈阳藤·道株</t>
  </si>
  <si>
    <t>万载七叶丹莲·道株</t>
  </si>
  <si>
    <t>万载八脉丹藤·道株</t>
  </si>
  <si>
    <t>万载九环丹芝·道株</t>
  </si>
  <si>
    <t>十万载定元参·凡株</t>
  </si>
  <si>
    <t>十万载铁骨藤·凡株</t>
  </si>
  <si>
    <t>十万载金英花·凡株</t>
  </si>
  <si>
    <t>十万载青玉藤·凡株</t>
  </si>
  <si>
    <t>十万载翠叶藤·凡株</t>
  </si>
  <si>
    <t>十万载寒潭藻·凡株</t>
  </si>
  <si>
    <t>十万载深潭苔·凡株</t>
  </si>
  <si>
    <t>十万载温阳花·凡株</t>
  </si>
  <si>
    <t>十万载丹炎苔·凡株</t>
  </si>
  <si>
    <t>十万载白岩参·凡株</t>
  </si>
  <si>
    <t>十万载厚元苔·凡株</t>
  </si>
  <si>
    <t>十万载薄荷露·凡株</t>
  </si>
  <si>
    <t>十万载烈香花·凡株</t>
  </si>
  <si>
    <t>十万载甘露草·凡株</t>
  </si>
  <si>
    <t>十万载蜜香果·凡株</t>
  </si>
  <si>
    <t>十万载青梅草·凡株</t>
  </si>
  <si>
    <t>十万载火梅藤·凡株</t>
  </si>
  <si>
    <t>十万载黄连芽·凡株</t>
  </si>
  <si>
    <t>十万载苦参根·凡株</t>
  </si>
  <si>
    <t>十万载海潮苔·凡株</t>
  </si>
  <si>
    <t>十万载海砂苔·凡株</t>
  </si>
  <si>
    <t>十万载净元草·凡株</t>
  </si>
  <si>
    <t>十万载太和草·凡株</t>
  </si>
  <si>
    <t>十万载温脉花·凡株</t>
  </si>
  <si>
    <t>十万载烈阳藤·凡株</t>
  </si>
  <si>
    <t>十万载七叶丹莲·凡株</t>
  </si>
  <si>
    <t>十万载八脉丹藤·凡株</t>
  </si>
  <si>
    <t>十万载九环丹芝·凡株</t>
  </si>
  <si>
    <t>十万载定元参·灵株</t>
  </si>
  <si>
    <t>十万载铁骨藤·灵株</t>
  </si>
  <si>
    <t>十万载金英花·灵株</t>
  </si>
  <si>
    <t>十万载青玉藤·灵株</t>
  </si>
  <si>
    <t>十万载翠叶藤·灵株</t>
  </si>
  <si>
    <t>十万载寒潭藻·灵株</t>
  </si>
  <si>
    <t>十万载深潭苔·灵株</t>
  </si>
  <si>
    <t>十万载温阳花·灵株</t>
  </si>
  <si>
    <t>十万载丹炎苔·灵株</t>
  </si>
  <si>
    <t>十万载白岩参·灵株</t>
  </si>
  <si>
    <t>十万载厚元苔·灵株</t>
  </si>
  <si>
    <t>十万载薄荷露·灵株</t>
  </si>
  <si>
    <t>十万载烈香花·灵株</t>
  </si>
  <si>
    <t>十万载甘露草·灵株</t>
  </si>
  <si>
    <t>十万载蜜香果·灵株</t>
  </si>
  <si>
    <t>十万载青梅草·灵株</t>
  </si>
  <si>
    <t>十万载火梅藤·灵株</t>
  </si>
  <si>
    <t>十万载黄连芽·灵株</t>
  </si>
  <si>
    <t>十万载苦参根·灵株</t>
  </si>
  <si>
    <t>十万载海潮苔·灵株</t>
  </si>
  <si>
    <t>十万载海砂苔·灵株</t>
  </si>
  <si>
    <t>十万载净元草·灵株</t>
  </si>
  <si>
    <t>十万载太和草·灵株</t>
  </si>
  <si>
    <t>十万载温脉花·灵株</t>
  </si>
  <si>
    <t>十万载烈阳藤·灵株</t>
  </si>
  <si>
    <t>十万载七叶丹莲·灵株</t>
  </si>
  <si>
    <t>十万载八脉丹藤·灵株</t>
  </si>
  <si>
    <t>十万载九环丹芝·灵株</t>
  </si>
  <si>
    <t>十万载定元参·玄株</t>
  </si>
  <si>
    <t>十万载铁骨藤·玄株</t>
  </si>
  <si>
    <t>十万载金英花·玄株</t>
  </si>
  <si>
    <t>十万载青玉藤·玄株</t>
  </si>
  <si>
    <t>十万载翠叶藤·玄株</t>
  </si>
  <si>
    <t>十万载寒潭藻·玄株</t>
  </si>
  <si>
    <t>十万载深潭苔·玄株</t>
  </si>
  <si>
    <t>十万载温阳花·玄株</t>
  </si>
  <si>
    <t>十万载丹炎苔·玄株</t>
  </si>
  <si>
    <t>十万载白岩参·玄株</t>
  </si>
  <si>
    <t>十万载厚元苔·玄株</t>
  </si>
  <si>
    <t>十万载薄荷露·玄株</t>
  </si>
  <si>
    <t>十万载烈香花·玄株</t>
  </si>
  <si>
    <t>十万载甘露草·玄株</t>
  </si>
  <si>
    <t>十万载蜜香果·玄株</t>
  </si>
  <si>
    <t>十万载青梅草·玄株</t>
  </si>
  <si>
    <t>十万载火梅藤·玄株</t>
  </si>
  <si>
    <t>十万载黄连芽·玄株</t>
  </si>
  <si>
    <t>十万载苦参根·玄株</t>
  </si>
  <si>
    <t>十万载海潮苔·玄株</t>
  </si>
  <si>
    <t>十万载海砂苔·玄株</t>
  </si>
  <si>
    <t>十万载净元草·玄株</t>
  </si>
  <si>
    <t>十万载太和草·玄株</t>
  </si>
  <si>
    <t>十万载温脉花·玄株</t>
  </si>
  <si>
    <t>十万载烈阳藤·玄株</t>
  </si>
  <si>
    <t>十万载七叶丹莲·玄株</t>
  </si>
  <si>
    <t>十万载八脉丹藤·玄株</t>
  </si>
  <si>
    <t>十万载九环丹芝·玄株</t>
  </si>
  <si>
    <t>十万载定元参·仙株</t>
  </si>
  <si>
    <t>十万载铁骨藤·仙株</t>
  </si>
  <si>
    <t>十万载金英花·仙株</t>
  </si>
  <si>
    <t>十万载青玉藤·仙株</t>
  </si>
  <si>
    <t>十万载翠叶藤·仙株</t>
  </si>
  <si>
    <t>十万载寒潭藻·仙株</t>
  </si>
  <si>
    <t>十万载深潭苔·仙株</t>
  </si>
  <si>
    <t>十万载温阳花·仙株</t>
  </si>
  <si>
    <t>十万载丹炎苔·仙株</t>
  </si>
  <si>
    <t>十万载白岩参·仙株</t>
  </si>
  <si>
    <t>十万载厚元苔·仙株</t>
  </si>
  <si>
    <t>十万载薄荷露·仙株</t>
  </si>
  <si>
    <t>十万载烈香花·仙株</t>
  </si>
  <si>
    <t>十万载甘露草·仙株</t>
  </si>
  <si>
    <t>十万载蜜香果·仙株</t>
  </si>
  <si>
    <t>十万载青梅草·仙株</t>
  </si>
  <si>
    <t>十万载火梅藤·仙株</t>
  </si>
  <si>
    <t>十万载黄连芽·仙株</t>
  </si>
  <si>
    <t>十万载苦参根·仙株</t>
  </si>
  <si>
    <t>十万载海潮苔·仙株</t>
  </si>
  <si>
    <t>十万载海砂苔·仙株</t>
  </si>
  <si>
    <t>十万载净元草·仙株</t>
  </si>
  <si>
    <t>十万载太和草·仙株</t>
  </si>
  <si>
    <t>十万载温脉花·仙株</t>
  </si>
  <si>
    <t>十万载烈阳藤·仙株</t>
  </si>
  <si>
    <t>十万载七叶丹莲·仙株</t>
  </si>
  <si>
    <t>十万载八脉丹藤·仙株</t>
  </si>
  <si>
    <t>十万载九环丹芝·仙株</t>
  </si>
  <si>
    <t>十万载定元参·神株</t>
  </si>
  <si>
    <t>十万载铁骨藤·神株</t>
  </si>
  <si>
    <t>十万载金英花·神株</t>
  </si>
  <si>
    <t>十万载青玉藤·神株</t>
  </si>
  <si>
    <t>十万载翠叶藤·神株</t>
  </si>
  <si>
    <t>十万载寒潭藻·神株</t>
  </si>
  <si>
    <t>十万载深潭苔·神株</t>
  </si>
  <si>
    <t>十万载温阳花·神株</t>
  </si>
  <si>
    <t>十万载丹炎苔·神株</t>
  </si>
  <si>
    <t>十万载白岩参·神株</t>
  </si>
  <si>
    <t>十万载厚元苔·神株</t>
  </si>
  <si>
    <t>十万载薄荷露·神株</t>
  </si>
  <si>
    <t>十万载烈香花·神株</t>
  </si>
  <si>
    <t>十万载甘露草·神株</t>
  </si>
  <si>
    <t>十万载蜜香果·神株</t>
  </si>
  <si>
    <t>十万载青梅草·神株</t>
  </si>
  <si>
    <t>十万载火梅藤·神株</t>
  </si>
  <si>
    <t>十万载黄连芽·神株</t>
  </si>
  <si>
    <t>十万载苦参根·神株</t>
  </si>
  <si>
    <t>十万载海潮苔·神株</t>
  </si>
  <si>
    <t>十万载海砂苔·神株</t>
  </si>
  <si>
    <t>十万载净元草·神株</t>
  </si>
  <si>
    <t>十万载太和草·神株</t>
  </si>
  <si>
    <t>十万载温脉花·神株</t>
  </si>
  <si>
    <t>十万载烈阳藤·神株</t>
  </si>
  <si>
    <t>十万载七叶丹莲·神株</t>
  </si>
  <si>
    <t>十万载八脉丹藤·神株</t>
  </si>
  <si>
    <t>十万载九环丹芝·神株</t>
  </si>
  <si>
    <t>十万载定元参·道株</t>
  </si>
  <si>
    <t>十万载铁骨藤·道株</t>
  </si>
  <si>
    <t>十万载金英花·道株</t>
  </si>
  <si>
    <t>十万载青玉藤·道株</t>
  </si>
  <si>
    <t>十万载翠叶藤·道株</t>
  </si>
  <si>
    <t>十万载寒潭藻·道株</t>
  </si>
  <si>
    <t>十万载深潭苔·道株</t>
  </si>
  <si>
    <t>十万载温阳花·道株</t>
  </si>
  <si>
    <t>十万载丹炎苔·道株</t>
  </si>
  <si>
    <t>十万载白岩参·道株</t>
  </si>
  <si>
    <t>十万载厚元苔·道株</t>
  </si>
  <si>
    <t>十万载薄荷露·道株</t>
  </si>
  <si>
    <t>十万载烈香花·道株</t>
  </si>
  <si>
    <t>十万载甘露草·道株</t>
  </si>
  <si>
    <t>十万载蜜香果·道株</t>
  </si>
  <si>
    <t>十万载青梅草·道株</t>
  </si>
  <si>
    <t>十万载火梅藤·道株</t>
  </si>
  <si>
    <t>十万载黄连芽·道株</t>
  </si>
  <si>
    <t>十万载苦参根·道株</t>
  </si>
  <si>
    <t>十万载海潮苔·道株</t>
  </si>
  <si>
    <t>十万载海砂苔·道株</t>
  </si>
  <si>
    <t>十万载净元草·道株</t>
  </si>
  <si>
    <t>十万载太和草·道株</t>
  </si>
  <si>
    <t>十万载温脉花·道株</t>
  </si>
  <si>
    <t>十万载烈阳藤·道株</t>
  </si>
  <si>
    <t>十万载七叶丹莲·道株</t>
  </si>
  <si>
    <t>十万载八脉丹藤·道株</t>
  </si>
  <si>
    <t>十万载九环丹芝·道株</t>
  </si>
  <si>
    <t>百万载定元参·凡株</t>
  </si>
  <si>
    <t>大乘</t>
  </si>
  <si>
    <t>百万载铁骨藤·凡株</t>
  </si>
  <si>
    <t>百万载金英花·凡株</t>
  </si>
  <si>
    <t>百万载青玉藤·凡株</t>
  </si>
  <si>
    <t>百万载翠叶藤·凡株</t>
  </si>
  <si>
    <t>百万载寒潭藻·凡株</t>
  </si>
  <si>
    <t>百万载深潭苔·凡株</t>
  </si>
  <si>
    <t>百万载温阳花·凡株</t>
  </si>
  <si>
    <t>百万载丹炎苔·凡株</t>
  </si>
  <si>
    <t>百万载白岩参·凡株</t>
  </si>
  <si>
    <t>百万载厚元苔·凡株</t>
  </si>
  <si>
    <t>百万载薄荷露·凡株</t>
  </si>
  <si>
    <t>百万载烈香花·凡株</t>
  </si>
  <si>
    <t>百万载甘露草·凡株</t>
  </si>
  <si>
    <t>百万载蜜香果·凡株</t>
  </si>
  <si>
    <t>百万载青梅草·凡株</t>
  </si>
  <si>
    <t>百万载火梅藤·凡株</t>
  </si>
  <si>
    <t>百万载黄连芽·凡株</t>
  </si>
  <si>
    <t>百万载苦参根·凡株</t>
  </si>
  <si>
    <t>百万载海潮苔·凡株</t>
  </si>
  <si>
    <t>百万载海砂苔·凡株</t>
  </si>
  <si>
    <t>百万载净元草·凡株</t>
  </si>
  <si>
    <t>百万载太和草·凡株</t>
  </si>
  <si>
    <t>百万载温脉花·凡株</t>
  </si>
  <si>
    <t>百万载烈阳藤·凡株</t>
  </si>
  <si>
    <t>百万载七叶丹莲·凡株</t>
  </si>
  <si>
    <t>百万载八脉丹藤·凡株</t>
  </si>
  <si>
    <t>百万载九环丹芝·凡株</t>
  </si>
  <si>
    <t>百万载定元参·灵株</t>
  </si>
  <si>
    <t>百万载铁骨藤·灵株</t>
  </si>
  <si>
    <t>百万载金英花·灵株</t>
  </si>
  <si>
    <t>百万载青玉藤·灵株</t>
  </si>
  <si>
    <t>百万载翠叶藤·灵株</t>
  </si>
  <si>
    <t>百万载寒潭藻·灵株</t>
  </si>
  <si>
    <t>百万载深潭苔·灵株</t>
  </si>
  <si>
    <t>百万载温阳花·灵株</t>
  </si>
  <si>
    <t>百万载丹炎苔·灵株</t>
  </si>
  <si>
    <t>百万载白岩参·灵株</t>
  </si>
  <si>
    <t>百万载厚元苔·灵株</t>
  </si>
  <si>
    <t>百万载薄荷露·灵株</t>
  </si>
  <si>
    <t>百万载烈香花·灵株</t>
  </si>
  <si>
    <t>百万载甘露草·灵株</t>
  </si>
  <si>
    <t>百万载蜜香果·灵株</t>
  </si>
  <si>
    <t>百万载青梅草·灵株</t>
  </si>
  <si>
    <t>百万载火梅藤·灵株</t>
  </si>
  <si>
    <t>百万载黄连芽·灵株</t>
  </si>
  <si>
    <t>百万载苦参根·灵株</t>
  </si>
  <si>
    <t>百万载海潮苔·灵株</t>
  </si>
  <si>
    <t>百万载海砂苔·灵株</t>
  </si>
  <si>
    <t>百万载净元草·灵株</t>
  </si>
  <si>
    <t>百万载太和草·灵株</t>
  </si>
  <si>
    <t>百万载温脉花·灵株</t>
  </si>
  <si>
    <t>百万载烈阳藤·灵株</t>
  </si>
  <si>
    <t>百万载七叶丹莲·灵株</t>
  </si>
  <si>
    <t>百万载八脉丹藤·灵株</t>
  </si>
  <si>
    <t>百万载九环丹芝·灵株</t>
  </si>
  <si>
    <t>百万载定元参·玄株</t>
  </si>
  <si>
    <t>百万载铁骨藤·玄株</t>
  </si>
  <si>
    <t>百万载金英花·玄株</t>
  </si>
  <si>
    <t>百万载青玉藤·玄株</t>
  </si>
  <si>
    <t>百万载翠叶藤·玄株</t>
  </si>
  <si>
    <t>百万载寒潭藻·玄株</t>
  </si>
  <si>
    <t>百万载深潭苔·玄株</t>
  </si>
  <si>
    <t>百万载温阳花·玄株</t>
  </si>
  <si>
    <t>百万载丹炎苔·玄株</t>
  </si>
  <si>
    <t>百万载白岩参·玄株</t>
  </si>
  <si>
    <t>百万载厚元苔·玄株</t>
  </si>
  <si>
    <t>百万载薄荷露·玄株</t>
  </si>
  <si>
    <t>百万载烈香花·玄株</t>
  </si>
  <si>
    <t>百万载甘露草·玄株</t>
  </si>
  <si>
    <t>百万载蜜香果·玄株</t>
  </si>
  <si>
    <t>百万载青梅草·玄株</t>
  </si>
  <si>
    <t>百万载火梅藤·玄株</t>
  </si>
  <si>
    <t>百万载黄连芽·玄株</t>
  </si>
  <si>
    <t>百万载苦参根·玄株</t>
  </si>
  <si>
    <t>百万载海潮苔·玄株</t>
  </si>
  <si>
    <t>百万载海砂苔·玄株</t>
  </si>
  <si>
    <t>百万载净元草·玄株</t>
  </si>
  <si>
    <t>百万载太和草·玄株</t>
  </si>
  <si>
    <t>百万载温脉花·玄株</t>
  </si>
  <si>
    <t>百万载烈阳藤·玄株</t>
  </si>
  <si>
    <t>百万载七叶丹莲·玄株</t>
  </si>
  <si>
    <t>百万载八脉丹藤·玄株</t>
  </si>
  <si>
    <t>百万载九环丹芝·玄株</t>
  </si>
  <si>
    <t>百万载定元参·仙株</t>
  </si>
  <si>
    <t>百万载铁骨藤·仙株</t>
  </si>
  <si>
    <t>百万载金英花·仙株</t>
  </si>
  <si>
    <t>百万载青玉藤·仙株</t>
  </si>
  <si>
    <t>百万载翠叶藤·仙株</t>
  </si>
  <si>
    <t>百万载寒潭藻·仙株</t>
  </si>
  <si>
    <t>百万载深潭苔·仙株</t>
  </si>
  <si>
    <t>百万载温阳花·仙株</t>
  </si>
  <si>
    <t>百万载丹炎苔·仙株</t>
  </si>
  <si>
    <t>百万载白岩参·仙株</t>
  </si>
  <si>
    <t>百万载厚元苔·仙株</t>
  </si>
  <si>
    <t>百万载薄荷露·仙株</t>
  </si>
  <si>
    <t>百万载烈香花·仙株</t>
  </si>
  <si>
    <t>百万载甘露草·仙株</t>
  </si>
  <si>
    <t>百万载蜜香果·仙株</t>
  </si>
  <si>
    <t>百万载青梅草·仙株</t>
  </si>
  <si>
    <t>百万载火梅藤·仙株</t>
  </si>
  <si>
    <t>百万载黄连芽·仙株</t>
  </si>
  <si>
    <t>百万载苦参根·仙株</t>
  </si>
  <si>
    <t>百万载海潮苔·仙株</t>
  </si>
  <si>
    <t>百万载海砂苔·仙株</t>
  </si>
  <si>
    <t>百万载净元草·仙株</t>
  </si>
  <si>
    <t>百万载太和草·仙株</t>
  </si>
  <si>
    <t>百万载温脉花·仙株</t>
  </si>
  <si>
    <t>百万载烈阳藤·仙株</t>
  </si>
  <si>
    <t>百万载七叶丹莲·仙株</t>
  </si>
  <si>
    <t>百万载八脉丹藤·仙株</t>
  </si>
  <si>
    <t>百万载九环丹芝·仙株</t>
  </si>
  <si>
    <t>百万载定元参·神株</t>
  </si>
  <si>
    <t>百万载铁骨藤·神株</t>
  </si>
  <si>
    <t>百万载金英花·神株</t>
  </si>
  <si>
    <t>百万载青玉藤·神株</t>
  </si>
  <si>
    <t>百万载翠叶藤·神株</t>
  </si>
  <si>
    <t>百万载寒潭藻·神株</t>
  </si>
  <si>
    <t>百万载深潭苔·神株</t>
  </si>
  <si>
    <t>百万载温阳花·神株</t>
  </si>
  <si>
    <t>百万载丹炎苔·神株</t>
  </si>
  <si>
    <t>百万载白岩参·神株</t>
  </si>
  <si>
    <t>百万载厚元苔·神株</t>
  </si>
  <si>
    <t>百万载薄荷露·神株</t>
  </si>
  <si>
    <t>百万载烈香花·神株</t>
  </si>
  <si>
    <t>百万载甘露草·神株</t>
  </si>
  <si>
    <t>百万载蜜香果·神株</t>
  </si>
  <si>
    <t>百万载青梅草·神株</t>
  </si>
  <si>
    <t>百万载火梅藤·神株</t>
  </si>
  <si>
    <t>百万载黄连芽·神株</t>
  </si>
  <si>
    <t>百万载苦参根·神株</t>
  </si>
  <si>
    <t>百万载海潮苔·神株</t>
  </si>
  <si>
    <t>百万载海砂苔·神株</t>
  </si>
  <si>
    <t>百万载净元草·神株</t>
  </si>
  <si>
    <t>百万载太和草·神株</t>
  </si>
  <si>
    <t>百万载温脉花·神株</t>
  </si>
  <si>
    <t>百万载烈阳藤·神株</t>
  </si>
  <si>
    <t>百万载七叶丹莲·神株</t>
  </si>
  <si>
    <t>百万载八脉丹藤·神株</t>
  </si>
  <si>
    <t>百万载九环丹芝·神株</t>
  </si>
  <si>
    <t>百万载定元参·道株</t>
  </si>
  <si>
    <t>百万载铁骨藤·道株</t>
  </si>
  <si>
    <t>百万载金英花·道株</t>
  </si>
  <si>
    <t>百万载青玉藤·道株</t>
  </si>
  <si>
    <t>百万载翠叶藤·道株</t>
  </si>
  <si>
    <t>百万载寒潭藻·道株</t>
  </si>
  <si>
    <t>百万载深潭苔·道株</t>
  </si>
  <si>
    <t>百万载温阳花·道株</t>
  </si>
  <si>
    <t>百万载丹炎苔·道株</t>
  </si>
  <si>
    <t>百万载白岩参·道株</t>
  </si>
  <si>
    <t>百万载厚元苔·道株</t>
  </si>
  <si>
    <t>百万载薄荷露·道株</t>
  </si>
  <si>
    <t>百万载烈香花·道株</t>
  </si>
  <si>
    <t>百万载甘露草·道株</t>
  </si>
  <si>
    <t>百万载蜜香果·道株</t>
  </si>
  <si>
    <t>百万载青梅草·道株</t>
  </si>
  <si>
    <t>百万载火梅藤·道株</t>
  </si>
  <si>
    <t>百万载黄连芽·道株</t>
  </si>
  <si>
    <t>百万载苦参根·道株</t>
  </si>
  <si>
    <t>百万载海潮苔·道株</t>
  </si>
  <si>
    <t>百万载海砂苔·道株</t>
  </si>
  <si>
    <t>百万载净元草·道株</t>
  </si>
  <si>
    <t>百万载太和草·道株</t>
  </si>
  <si>
    <t>百万载温脉花·道株</t>
  </si>
  <si>
    <t>百万载烈阳藤·道株</t>
  </si>
  <si>
    <t>百万载七叶丹莲·道株</t>
  </si>
  <si>
    <t>百万载八脉丹藤·道株</t>
  </si>
  <si>
    <t>百万载九环丹芝·道株</t>
  </si>
  <si>
    <t>筑基玄阴涤元丹</t>
  </si>
  <si>
    <t>丹药</t>
  </si>
  <si>
    <t>功能_丹药</t>
  </si>
  <si>
    <t>|cff00FF01前往铁匠铺合成宝石使用</t>
  </si>
  <si>
    <t>fall_hechengfu_02</t>
  </si>
  <si>
    <t>|cff00FF02前往铁匠铺合成宝石使用</t>
  </si>
  <si>
    <t>fall_hechengfu_03</t>
  </si>
  <si>
    <t>筑基清和涤元丹</t>
  </si>
  <si>
    <t>|cff00FF03前往铁匠铺合成宝石使用</t>
  </si>
  <si>
    <t>fall_hechengfu_04</t>
  </si>
  <si>
    <t>|cff00FF04前往铁匠铺合成宝石使用</t>
  </si>
  <si>
    <t>fall_hechengfu_05</t>
  </si>
  <si>
    <t>|cff00FF05前往铁匠铺合成宝石使用</t>
  </si>
  <si>
    <t>fall_hechengfu_06</t>
  </si>
  <si>
    <t>筑基涤元丹</t>
  </si>
  <si>
    <t>|cff00FF06前往铁匠铺合成宝石使用</t>
  </si>
  <si>
    <t>fall_hechengfu_07</t>
  </si>
  <si>
    <t>|cff00FF07前往铁匠铺合成宝石使用</t>
  </si>
  <si>
    <t>fall_hechengfu_08</t>
  </si>
  <si>
    <t>|cff00FF08前往铁匠铺合成宝石使用</t>
  </si>
  <si>
    <t>fall_hechengfu_09</t>
  </si>
  <si>
    <t>筑基温阳涤元丹</t>
  </si>
  <si>
    <t>|cff00FF09前往铁匠铺合成宝石使用</t>
  </si>
  <si>
    <t>fall_hechengfu_10</t>
  </si>
  <si>
    <t>|cff00FF10前往铁匠铺合成宝石使用</t>
  </si>
  <si>
    <t>fall_hechengfu_11</t>
  </si>
  <si>
    <t>|cff00FF11前往铁匠铺合成宝石使用</t>
  </si>
  <si>
    <t>fall_hechengfu_12</t>
  </si>
  <si>
    <t>筑基烈阳涤元丹</t>
  </si>
  <si>
    <t>|cff00FF12前往铁匠铺合成宝石使用</t>
  </si>
  <si>
    <t>fall_hechengfu_13</t>
  </si>
  <si>
    <t>|cff00FF13前往铁匠铺合成宝石使用</t>
  </si>
  <si>
    <t>fall_hechengfu_14</t>
  </si>
  <si>
    <t>|cff00FF14前往铁匠铺合成宝石使用</t>
  </si>
  <si>
    <t>fall_hechengfu_15</t>
  </si>
  <si>
    <t>筑基玄阴破境丹</t>
  </si>
  <si>
    <t>|cff00FF15前往铁匠铺合成宝石使用</t>
  </si>
  <si>
    <t>fall_hechengfu_16</t>
  </si>
  <si>
    <t>|cff00FF16前往铁匠铺合成宝石使用</t>
  </si>
  <si>
    <t>fall_hechengfu_17</t>
  </si>
  <si>
    <t>|cff00FF17前往铁匠铺合成宝石使用</t>
  </si>
  <si>
    <t>fall_hechengfu_18</t>
  </si>
  <si>
    <t>筑基清和破境丹</t>
  </si>
  <si>
    <t>|cff00FF18前往铁匠铺合成宝石使用</t>
  </si>
  <si>
    <t>fall_hechengfu_19</t>
  </si>
  <si>
    <t>|cff00FF19前往铁匠铺合成宝石使用</t>
  </si>
  <si>
    <t>fall_hechengfu_20</t>
  </si>
  <si>
    <t>|cff00FF20前往铁匠铺合成宝石使用</t>
  </si>
  <si>
    <t>fall_hechengfu_21</t>
  </si>
  <si>
    <t>筑基破境丹</t>
  </si>
  <si>
    <t>|cff00FF21前往铁匠铺合成宝石使用</t>
  </si>
  <si>
    <t>fall_hechengfu_22</t>
  </si>
  <si>
    <t>|cff00FF22前往铁匠铺合成宝石使用</t>
  </si>
  <si>
    <t>fall_hechengfu_23</t>
  </si>
  <si>
    <t>|cff00FF23前往铁匠铺合成宝石使用</t>
  </si>
  <si>
    <t>fall_hechengfu_24</t>
  </si>
  <si>
    <t>筑基丹</t>
  </si>
  <si>
    <t>|cff00FF24前往铁匠铺合成宝石使用</t>
  </si>
  <si>
    <t>fall_hechengfu_25</t>
  </si>
  <si>
    <t>|cff00FF25前往铁匠铺合成宝石使用</t>
  </si>
  <si>
    <t>fall_hechengfu_26</t>
  </si>
  <si>
    <t>|cff00FF26前往铁匠铺合成宝石使用</t>
  </si>
  <si>
    <t>fall_hechengfu_27</t>
  </si>
  <si>
    <t>筑基烈阳破境丹</t>
  </si>
  <si>
    <t>|cff00FF27前往铁匠铺合成宝石使用</t>
  </si>
  <si>
    <t>fall_hechengfu_28</t>
  </si>
  <si>
    <t>|cff00FF28前往铁匠铺合成宝石使用</t>
  </si>
  <si>
    <t>fall_hechengfu_29</t>
  </si>
  <si>
    <t>|cff00FF29前往铁匠铺合成宝石使用</t>
  </si>
  <si>
    <t>fall_hechengfu_30</t>
  </si>
  <si>
    <t>筑基玄阴纳灵丹</t>
  </si>
  <si>
    <t>|cff00FF30前往铁匠铺合成宝石使用</t>
  </si>
  <si>
    <t>fall_hechengfu_31</t>
  </si>
  <si>
    <t>|cff00FF31前往铁匠铺合成宝石使用</t>
  </si>
  <si>
    <t>fall_hechengfu_32</t>
  </si>
  <si>
    <t>|cff00FF32前往铁匠铺合成宝石使用</t>
  </si>
  <si>
    <t>fall_hechengfu_33</t>
  </si>
  <si>
    <t>筑基清和纳灵丹</t>
  </si>
  <si>
    <t>|cff00FF33前往铁匠铺合成宝石使用</t>
  </si>
  <si>
    <t>fall_hechengfu_34</t>
  </si>
  <si>
    <t>|cff00FF34前往铁匠铺合成宝石使用</t>
  </si>
  <si>
    <t>fall_hechengfu_35</t>
  </si>
  <si>
    <t>|cff00FF35前往铁匠铺合成宝石使用</t>
  </si>
  <si>
    <t>fall_hechengfu_36</t>
  </si>
  <si>
    <t>筑基纳灵丹</t>
  </si>
  <si>
    <t>|cff00FF36前往铁匠铺合成宝石使用</t>
  </si>
  <si>
    <t>fall_hechengfu_37</t>
  </si>
  <si>
    <t>|cff00FF37前往铁匠铺合成宝石使用</t>
  </si>
  <si>
    <t>fall_hechengfu_38</t>
  </si>
  <si>
    <t>|cff00FF38前往铁匠铺合成宝石使用</t>
  </si>
  <si>
    <t>fall_hechengfu_39</t>
  </si>
  <si>
    <t>筑基温阳纳灵丹</t>
  </si>
  <si>
    <t>|cff00FF39前往铁匠铺合成宝石使用</t>
  </si>
  <si>
    <t>fall_hechengfu_40</t>
  </si>
  <si>
    <t>|cff00FF40前往铁匠铺合成宝石使用</t>
  </si>
  <si>
    <t>fall_hechengfu_41</t>
  </si>
  <si>
    <t>|cff00FF41前往铁匠铺合成宝石使用</t>
  </si>
  <si>
    <t>fall_hechengfu_42</t>
  </si>
  <si>
    <t>筑基烈阳纳灵丹</t>
  </si>
  <si>
    <t>|cff00FF42前往铁匠铺合成宝石使用</t>
  </si>
  <si>
    <t>fall_hechengfu_43</t>
  </si>
  <si>
    <t>|cff00FF43前往铁匠铺合成宝石使用</t>
  </si>
  <si>
    <t>fall_hechengfu_44</t>
  </si>
  <si>
    <t>|cff00FF44前往铁匠铺合成宝石使用</t>
  </si>
  <si>
    <t>fall_hechengfu_45</t>
  </si>
  <si>
    <t>筑基玄阴化元丹</t>
  </si>
  <si>
    <t>|cff00FF45前往铁匠铺合成宝石使用</t>
  </si>
  <si>
    <t>fall_hechengfu_46</t>
  </si>
  <si>
    <t>|cff00FF46前往铁匠铺合成宝石使用</t>
  </si>
  <si>
    <t>fall_hechengfu_47</t>
  </si>
  <si>
    <t>|cff00FF47前往铁匠铺合成宝石使用</t>
  </si>
  <si>
    <t>fall_hechengfu_48</t>
  </si>
  <si>
    <t>筑基清和化元丹</t>
  </si>
  <si>
    <t>|cff00FF48前往铁匠铺合成宝石使用</t>
  </si>
  <si>
    <t>fall_hechengfu_49</t>
  </si>
  <si>
    <t>|cff00FF49前往铁匠铺合成宝石使用</t>
  </si>
  <si>
    <t>fall_hechengfu_50</t>
  </si>
  <si>
    <t>|cff00FF50前往铁匠铺合成宝石使用</t>
  </si>
  <si>
    <t>fall_hechengfu_51</t>
  </si>
  <si>
    <t>筑基化元丹</t>
  </si>
  <si>
    <t>|cff00FF51前往铁匠铺合成宝石使用</t>
  </si>
  <si>
    <t>fall_hechengfu_52</t>
  </si>
  <si>
    <t>|cff00FF52前往铁匠铺合成宝石使用</t>
  </si>
  <si>
    <t>fall_hechengfu_53</t>
  </si>
  <si>
    <t>|cff00FF53前往铁匠铺合成宝石使用</t>
  </si>
  <si>
    <t>fall_hechengfu_54</t>
  </si>
  <si>
    <t>筑基温阳化元丹</t>
  </si>
  <si>
    <t>|cff00FF54前往铁匠铺合成宝石使用</t>
  </si>
  <si>
    <t>fall_hechengfu_55</t>
  </si>
  <si>
    <t>|cff00FF55前往铁匠铺合成宝石使用</t>
  </si>
  <si>
    <t>fall_hechengfu_56</t>
  </si>
  <si>
    <t>|cff00FF56前往铁匠铺合成宝石使用</t>
  </si>
  <si>
    <t>fall_hechengfu_57</t>
  </si>
  <si>
    <t>筑基烈阳化元丹</t>
  </si>
  <si>
    <t>|cff00FF57前往铁匠铺合成宝石使用</t>
  </si>
  <si>
    <t>fall_hechengfu_58</t>
  </si>
  <si>
    <t>|cff00FF58前往铁匠铺合成宝石使用</t>
  </si>
  <si>
    <t>fall_hechengfu_59</t>
  </si>
  <si>
    <t>|cff00FF59前往铁匠铺合成宝石使用</t>
  </si>
  <si>
    <t>fall_hechengfu_60</t>
  </si>
  <si>
    <t>筑基玄阴聚元丹</t>
  </si>
  <si>
    <t>|cff00FF60前往铁匠铺合成宝石使用</t>
  </si>
  <si>
    <t>fall_hechengfu_61</t>
  </si>
  <si>
    <t>|cff00FF61前往铁匠铺合成宝石使用</t>
  </si>
  <si>
    <t>fall_hechengfu_62</t>
  </si>
  <si>
    <t>|cff00FF62前往铁匠铺合成宝石使用</t>
  </si>
  <si>
    <t>fall_hechengfu_63</t>
  </si>
  <si>
    <t>筑基清和聚元丹</t>
  </si>
  <si>
    <t>|cff00FF63前往铁匠铺合成宝石使用</t>
  </si>
  <si>
    <t>fall_hechengfu_64</t>
  </si>
  <si>
    <t>|cff00FF64前往铁匠铺合成宝石使用</t>
  </si>
  <si>
    <t>fall_hechengfu_65</t>
  </si>
  <si>
    <t>|cff00FF65前往铁匠铺合成宝石使用</t>
  </si>
  <si>
    <t>fall_hechengfu_66</t>
  </si>
  <si>
    <t>筑基聚元丹</t>
  </si>
  <si>
    <t>|cff00FF66前往铁匠铺合成宝石使用</t>
  </si>
  <si>
    <t>fall_hechengfu_67</t>
  </si>
  <si>
    <t>|cff00FF67前往铁匠铺合成宝石使用</t>
  </si>
  <si>
    <t>fall_hechengfu_68</t>
  </si>
  <si>
    <t>|cff00FF68前往铁匠铺合成宝石使用</t>
  </si>
  <si>
    <t>fall_hechengfu_69</t>
  </si>
  <si>
    <t>筑基温阳聚元丹</t>
  </si>
  <si>
    <t>|cff00FF69前往铁匠铺合成宝石使用</t>
  </si>
  <si>
    <t>fall_hechengfu_70</t>
  </si>
  <si>
    <t>|cff00FF70前往铁匠铺合成宝石使用</t>
  </si>
  <si>
    <t>fall_hechengfu_71</t>
  </si>
  <si>
    <t>|cff00FF71前往铁匠铺合成宝石使用</t>
  </si>
  <si>
    <t>fall_hechengfu_72</t>
  </si>
  <si>
    <t>筑基烈阳聚元丹</t>
  </si>
  <si>
    <t>|cff00FF72前往铁匠铺合成宝石使用</t>
  </si>
  <si>
    <t>fall_hechengfu_73</t>
  </si>
  <si>
    <t>|cff00FF73前往铁匠铺合成宝石使用</t>
  </si>
  <si>
    <t>fall_hechengfu_74</t>
  </si>
  <si>
    <t>|cff00FF74前往铁匠铺合成宝石使用</t>
  </si>
  <si>
    <t>fall_hechengfu_75</t>
  </si>
  <si>
    <t>筑基玄阴通脉丹</t>
  </si>
  <si>
    <t>|cff00FF75前往铁匠铺合成宝石使用</t>
  </si>
  <si>
    <t>fall_hechengfu_76</t>
  </si>
  <si>
    <t>|cff00FF76前往铁匠铺合成宝石使用</t>
  </si>
  <si>
    <t>fall_hechengfu_77</t>
  </si>
  <si>
    <t>|cff00FF77前往铁匠铺合成宝石使用</t>
  </si>
  <si>
    <t>fall_hechengfu_78</t>
  </si>
  <si>
    <t>筑基清和通脉丹</t>
  </si>
  <si>
    <t>|cff00FF78前往铁匠铺合成宝石使用</t>
  </si>
  <si>
    <t>fall_hechengfu_79</t>
  </si>
  <si>
    <t>|cff00FF79前往铁匠铺合成宝石使用</t>
  </si>
  <si>
    <t>fall_hechengfu_80</t>
  </si>
  <si>
    <t>|cff00FF80前往铁匠铺合成宝石使用</t>
  </si>
  <si>
    <t>fall_hechengfu_81</t>
  </si>
  <si>
    <t>筑基通脉丹</t>
  </si>
  <si>
    <t>|cff00FF81前往铁匠铺合成宝石使用</t>
  </si>
  <si>
    <t>fall_hechengfu_82</t>
  </si>
  <si>
    <t>|cff00FF82前往铁匠铺合成宝石使用</t>
  </si>
  <si>
    <t>fall_hechengfu_83</t>
  </si>
  <si>
    <t>|cff00FF83前往铁匠铺合成宝石使用</t>
  </si>
  <si>
    <t>fall_hechengfu_84</t>
  </si>
  <si>
    <t>筑基温阳通脉丹</t>
  </si>
  <si>
    <t>|cff00FF84前往铁匠铺合成宝石使用</t>
  </si>
  <si>
    <t>fall_hechengfu_85</t>
  </si>
  <si>
    <t>|cff00FF85前往铁匠铺合成宝石使用</t>
  </si>
  <si>
    <t>fall_hechengfu_86</t>
  </si>
  <si>
    <t>|cff00FF86前往铁匠铺合成宝石使用</t>
  </si>
  <si>
    <t>fall_hechengfu_87</t>
  </si>
  <si>
    <t>筑基烈阳通脉丹</t>
  </si>
  <si>
    <t>|cff00FF87前往铁匠铺合成宝石使用</t>
  </si>
  <si>
    <t>fall_hechengfu_88</t>
  </si>
  <si>
    <t>|cff00FF88前往铁匠铺合成宝石使用</t>
  </si>
  <si>
    <t>fall_hechengfu_89</t>
  </si>
  <si>
    <t>|cff00FF89前往铁匠铺合成宝石使用</t>
  </si>
  <si>
    <t>fall_hechengfu_90</t>
  </si>
  <si>
    <t>筑基玄阴拓脉丹</t>
  </si>
  <si>
    <t>|cff00FF90前往铁匠铺合成宝石使用</t>
  </si>
  <si>
    <t>fall_hechengfu_91</t>
  </si>
  <si>
    <t>|cff00FF91前往铁匠铺合成宝石使用</t>
  </si>
  <si>
    <t>fall_hechengfu_92</t>
  </si>
  <si>
    <t>|cff00FF92前往铁匠铺合成宝石使用</t>
  </si>
  <si>
    <t>fall_hechengfu_93</t>
  </si>
  <si>
    <t>筑基清和拓脉丹</t>
  </si>
  <si>
    <t>|cff00FF93前往铁匠铺合成宝石使用</t>
  </si>
  <si>
    <t>fall_hechengfu_94</t>
  </si>
  <si>
    <t>|cff00FF94前往铁匠铺合成宝石使用</t>
  </si>
  <si>
    <t>fall_hechengfu_95</t>
  </si>
  <si>
    <t>|cff00FF95前往铁匠铺合成宝石使用</t>
  </si>
  <si>
    <t>fall_hechengfu_96</t>
  </si>
  <si>
    <t>筑基拓脉丹</t>
  </si>
  <si>
    <t>|cff00FF96前往铁匠铺合成宝石使用</t>
  </si>
  <si>
    <t>fall_hechengfu_97</t>
  </si>
  <si>
    <t>|cff00FF97前往铁匠铺合成宝石使用</t>
  </si>
  <si>
    <t>fall_hechengfu_98</t>
  </si>
  <si>
    <t>|cff00FF98前往铁匠铺合成宝石使用</t>
  </si>
  <si>
    <t>fall_hechengfu_99</t>
  </si>
  <si>
    <t>筑基温阳拓脉丹</t>
  </si>
  <si>
    <t>|cff00FF99前往铁匠铺合成宝石使用</t>
  </si>
  <si>
    <t>fall_hechengfu_100</t>
  </si>
  <si>
    <t>|cff00FF100前往铁匠铺合成宝石使用</t>
  </si>
  <si>
    <t>fall_hechengfu_101</t>
  </si>
  <si>
    <t>|cff00FF101前往铁匠铺合成宝石使用</t>
  </si>
  <si>
    <t>fall_hechengfu_102</t>
  </si>
  <si>
    <t>筑基烈阳拓脉丹</t>
  </si>
  <si>
    <t>|cff00FF102前往铁匠铺合成宝石使用</t>
  </si>
  <si>
    <t>fall_hechengfu_103</t>
  </si>
  <si>
    <t>|cff00FF103前往铁匠铺合成宝石使用</t>
  </si>
  <si>
    <t>fall_hechengfu_104</t>
  </si>
  <si>
    <t>|cff00FF104前往铁匠铺合成宝石使用</t>
  </si>
  <si>
    <t>fall_hechengfu_105</t>
  </si>
  <si>
    <t>筑基玄阴回灵丹</t>
  </si>
  <si>
    <t>|cff00FF105前往铁匠铺合成宝石使用</t>
  </si>
  <si>
    <t>fall_hechengfu_106</t>
  </si>
  <si>
    <t>|cff00FF106前往铁匠铺合成宝石使用</t>
  </si>
  <si>
    <t>fall_hechengfu_107</t>
  </si>
  <si>
    <t>|cff00FF107前往铁匠铺合成宝石使用</t>
  </si>
  <si>
    <t>fall_hechengfu_108</t>
  </si>
  <si>
    <t>筑基清和回灵丹</t>
  </si>
  <si>
    <t>|cff00FF108前往铁匠铺合成宝石使用</t>
  </si>
  <si>
    <t>fall_hechengfu_109</t>
  </si>
  <si>
    <t>|cff00FF109前往铁匠铺合成宝石使用</t>
  </si>
  <si>
    <t>fall_hechengfu_110</t>
  </si>
  <si>
    <t>|cff00FF110前往铁匠铺合成宝石使用</t>
  </si>
  <si>
    <t>fall_hechengfu_111</t>
  </si>
  <si>
    <t>筑基回灵丹</t>
  </si>
  <si>
    <t>|cff00FF111前往铁匠铺合成宝石使用</t>
  </si>
  <si>
    <t>fall_hechengfu_112</t>
  </si>
  <si>
    <t>|cff00FF112前往铁匠铺合成宝石使用</t>
  </si>
  <si>
    <t>fall_hechengfu_113</t>
  </si>
  <si>
    <t>|cff00FF113前往铁匠铺合成宝石使用</t>
  </si>
  <si>
    <t>fall_hechengfu_114</t>
  </si>
  <si>
    <t>筑基温阳回灵丹</t>
  </si>
  <si>
    <t>|cff00FF114前往铁匠铺合成宝石使用</t>
  </si>
  <si>
    <t>fall_hechengfu_115</t>
  </si>
  <si>
    <t>|cff00FF115前往铁匠铺合成宝石使用</t>
  </si>
  <si>
    <t>fall_hechengfu_116</t>
  </si>
  <si>
    <t>|cff00FF116前往铁匠铺合成宝石使用</t>
  </si>
  <si>
    <t>fall_hechengfu_117</t>
  </si>
  <si>
    <t>筑基烈阳回灵丹</t>
  </si>
  <si>
    <t>|cff00FF117前往铁匠铺合成宝石使用</t>
  </si>
  <si>
    <t>fall_hechengfu_118</t>
  </si>
  <si>
    <t>|cff00FF118前往铁匠铺合成宝石使用</t>
  </si>
  <si>
    <t>fall_hechengfu_119</t>
  </si>
  <si>
    <t>|cff00FF119前往铁匠铺合成宝石使用</t>
  </si>
  <si>
    <t>fall_hechengfu_120</t>
  </si>
  <si>
    <t>筑基玄阴燃灵丹</t>
  </si>
  <si>
    <t>|cff00FF120前往铁匠铺合成宝石使用</t>
  </si>
  <si>
    <t>fall_hechengfu_121</t>
  </si>
  <si>
    <t>|cff00FF121前往铁匠铺合成宝石使用</t>
  </si>
  <si>
    <t>fall_hechengfu_122</t>
  </si>
  <si>
    <t>|cff00FF122前往铁匠铺合成宝石使用</t>
  </si>
  <si>
    <t>fall_hechengfu_123</t>
  </si>
  <si>
    <t>筑基清和燃灵丹</t>
  </si>
  <si>
    <t>|cff00FF123前往铁匠铺合成宝石使用</t>
  </si>
  <si>
    <t>fall_hechengfu_124</t>
  </si>
  <si>
    <t>|cff00FF124前往铁匠铺合成宝石使用</t>
  </si>
  <si>
    <t>fall_hechengfu_125</t>
  </si>
  <si>
    <t>|cff00FF125前往铁匠铺合成宝石使用</t>
  </si>
  <si>
    <t>fall_hechengfu_126</t>
  </si>
  <si>
    <t>筑基燃灵丹</t>
  </si>
  <si>
    <t>|cff00FF126前往铁匠铺合成宝石使用</t>
  </si>
  <si>
    <t>fall_hechengfu_127</t>
  </si>
  <si>
    <t>|cff00FF127前往铁匠铺合成宝石使用</t>
  </si>
  <si>
    <t>fall_hechengfu_128</t>
  </si>
  <si>
    <t>|cff00FF128前往铁匠铺合成宝石使用</t>
  </si>
  <si>
    <t>fall_hechengfu_129</t>
  </si>
  <si>
    <t>筑基温阳燃灵丹</t>
  </si>
  <si>
    <t>|cff00FF129前往铁匠铺合成宝石使用</t>
  </si>
  <si>
    <t>fall_hechengfu_130</t>
  </si>
  <si>
    <t>|cff00FF130前往铁匠铺合成宝石使用</t>
  </si>
  <si>
    <t>fall_hechengfu_131</t>
  </si>
  <si>
    <t>|cff00FF131前往铁匠铺合成宝石使用</t>
  </si>
  <si>
    <t>fall_hechengfu_132</t>
  </si>
  <si>
    <t>筑基烈阳燃灵丹</t>
  </si>
  <si>
    <t>|cff00FF132前往铁匠铺合成宝石使用</t>
  </si>
  <si>
    <t>fall_hechengfu_133</t>
  </si>
  <si>
    <t>|cff00FF133前往铁匠铺合成宝石使用</t>
  </si>
  <si>
    <t>fall_hechengfu_134</t>
  </si>
  <si>
    <t>|cff00FF134前往铁匠铺合成宝石使用</t>
  </si>
  <si>
    <t>fall_hechengfu_135</t>
  </si>
  <si>
    <t>筑基玄阴镇脉丹</t>
  </si>
  <si>
    <t>|cff00FF135前往铁匠铺合成宝石使用</t>
  </si>
  <si>
    <t>fall_hechengfu_136</t>
  </si>
  <si>
    <t>|cff00FF136前往铁匠铺合成宝石使用</t>
  </si>
  <si>
    <t>fall_hechengfu_137</t>
  </si>
  <si>
    <t>|cff00FF137前往铁匠铺合成宝石使用</t>
  </si>
  <si>
    <t>fall_hechengfu_138</t>
  </si>
  <si>
    <t>筑基清和镇脉丹</t>
  </si>
  <si>
    <t>|cff00FF138前往铁匠铺合成宝石使用</t>
  </si>
  <si>
    <t>fall_hechengfu_139</t>
  </si>
  <si>
    <t>|cff00FF139前往铁匠铺合成宝石使用</t>
  </si>
  <si>
    <t>fall_hechengfu_140</t>
  </si>
  <si>
    <t>|cff00FF140前往铁匠铺合成宝石使用</t>
  </si>
  <si>
    <t>fall_hechengfu_141</t>
  </si>
  <si>
    <t>筑基镇脉丹</t>
  </si>
  <si>
    <t>|cff00FF141前往铁匠铺合成宝石使用</t>
  </si>
  <si>
    <t>fall_hechengfu_142</t>
  </si>
  <si>
    <t>|cff00FF142前往铁匠铺合成宝石使用</t>
  </si>
  <si>
    <t>fall_hechengfu_143</t>
  </si>
  <si>
    <t>|cff00FF143前往铁匠铺合成宝石使用</t>
  </si>
  <si>
    <t>fall_hechengfu_144</t>
  </si>
  <si>
    <t>筑基温阳镇脉丹</t>
  </si>
  <si>
    <t>|cff00FF144前往铁匠铺合成宝石使用</t>
  </si>
  <si>
    <t>fall_hechengfu_145</t>
  </si>
  <si>
    <t>|cff00FF145前往铁匠铺合成宝石使用</t>
  </si>
  <si>
    <t>fall_hechengfu_146</t>
  </si>
  <si>
    <t>|cff00FF146前往铁匠铺合成宝石使用</t>
  </si>
  <si>
    <t>fall_hechengfu_147</t>
  </si>
  <si>
    <t>筑基烈阳镇脉丹</t>
  </si>
  <si>
    <t>|cff00FF147前往铁匠铺合成宝石使用</t>
  </si>
  <si>
    <t>fall_hechengfu_148</t>
  </si>
  <si>
    <t>|cff00FF148前往铁匠铺合成宝石使用</t>
  </si>
  <si>
    <t>fall_hechengfu_149</t>
  </si>
  <si>
    <t>|cff00FF149前往铁匠铺合成宝石使用</t>
  </si>
  <si>
    <t>fall_hechengfu_150</t>
  </si>
  <si>
    <t>筑基玄阴净髓丹</t>
  </si>
  <si>
    <t>|cff00FF150前往铁匠铺合成宝石使用</t>
  </si>
  <si>
    <t>fall_hechengfu_151</t>
  </si>
  <si>
    <t>|cff00FF151前往铁匠铺合成宝石使用</t>
  </si>
  <si>
    <t>fall_hechengfu_152</t>
  </si>
  <si>
    <t>|cff00FF152前往铁匠铺合成宝石使用</t>
  </si>
  <si>
    <t>fall_hechengfu_153</t>
  </si>
  <si>
    <t>筑基清和净髓丹</t>
  </si>
  <si>
    <t>|cff00FF153前往铁匠铺合成宝石使用</t>
  </si>
  <si>
    <t>fall_hechengfu_154</t>
  </si>
  <si>
    <t>|cff00FF154前往铁匠铺合成宝石使用</t>
  </si>
  <si>
    <t>fall_hechengfu_155</t>
  </si>
  <si>
    <t>|cff00FF155前往铁匠铺合成宝石使用</t>
  </si>
  <si>
    <t>fall_hechengfu_156</t>
  </si>
  <si>
    <t>筑基净髓丹</t>
  </si>
  <si>
    <t>|cff00FF156前往铁匠铺合成宝石使用</t>
  </si>
  <si>
    <t>fall_hechengfu_157</t>
  </si>
  <si>
    <t>|cff00FF157前往铁匠铺合成宝石使用</t>
  </si>
  <si>
    <t>fall_hechengfu_158</t>
  </si>
  <si>
    <t>|cff00FF158前往铁匠铺合成宝石使用</t>
  </si>
  <si>
    <t>fall_hechengfu_159</t>
  </si>
  <si>
    <t>筑基温阳净髓丹</t>
  </si>
  <si>
    <t>|cff00FF159前往铁匠铺合成宝石使用</t>
  </si>
  <si>
    <t>fall_hechengfu_160</t>
  </si>
  <si>
    <t>|cff00FF160前往铁匠铺合成宝石使用</t>
  </si>
  <si>
    <t>fall_hechengfu_161</t>
  </si>
  <si>
    <t>|cff00FF161前往铁匠铺合成宝石使用</t>
  </si>
  <si>
    <t>fall_hechengfu_162</t>
  </si>
  <si>
    <t>筑基烈阳净髓丹</t>
  </si>
  <si>
    <t>|cff00FF162前往铁匠铺合成宝石使用</t>
  </si>
  <si>
    <t>fall_hechengfu_163</t>
  </si>
  <si>
    <t>|cff00FF163前往铁匠铺合成宝石使用</t>
  </si>
  <si>
    <t>fall_hechengfu_164</t>
  </si>
  <si>
    <t>|cff00FF164前往铁匠铺合成宝石使用</t>
  </si>
  <si>
    <t>fall_hechengfu_165</t>
  </si>
  <si>
    <t>筑基玄阴壮骨丹</t>
  </si>
  <si>
    <t>|cff00FF165前往铁匠铺合成宝石使用</t>
  </si>
  <si>
    <t>fall_hechengfu_166</t>
  </si>
  <si>
    <t>|cff00FF166前往铁匠铺合成宝石使用</t>
  </si>
  <si>
    <t>fall_hechengfu_167</t>
  </si>
  <si>
    <t>|cff00FF167前往铁匠铺合成宝石使用</t>
  </si>
  <si>
    <t>fall_hechengfu_168</t>
  </si>
  <si>
    <t>筑基清和壮骨丹</t>
  </si>
  <si>
    <t>|cff00FF168前往铁匠铺合成宝石使用</t>
  </si>
  <si>
    <t>fall_hechengfu_169</t>
  </si>
  <si>
    <t>|cff00FF169前往铁匠铺合成宝石使用</t>
  </si>
  <si>
    <t>fall_hechengfu_170</t>
  </si>
  <si>
    <t>|cff00FF170前往铁匠铺合成宝石使用</t>
  </si>
  <si>
    <t>fall_hechengfu_171</t>
  </si>
  <si>
    <t>筑基壮骨丹</t>
  </si>
  <si>
    <t>|cff00FF171前往铁匠铺合成宝石使用</t>
  </si>
  <si>
    <t>fall_hechengfu_172</t>
  </si>
  <si>
    <t>|cff00FF172前往铁匠铺合成宝石使用</t>
  </si>
  <si>
    <t>fall_hechengfu_173</t>
  </si>
  <si>
    <t>|cff00FF173前往铁匠铺合成宝石使用</t>
  </si>
  <si>
    <t>fall_hechengfu_174</t>
  </si>
  <si>
    <t>筑基温阳壮骨丹</t>
  </si>
  <si>
    <t>|cff00FF174前往铁匠铺合成宝石使用</t>
  </si>
  <si>
    <t>fall_hechengfu_175</t>
  </si>
  <si>
    <t>|cff00FF175前往铁匠铺合成宝石使用</t>
  </si>
  <si>
    <t>fall_hechengfu_176</t>
  </si>
  <si>
    <t>|cff00FF176前往铁匠铺合成宝石使用</t>
  </si>
  <si>
    <t>fall_hechengfu_177</t>
  </si>
  <si>
    <t>筑基烈阳壮骨丹</t>
  </si>
  <si>
    <t>|cff00FF177前往铁匠铺合成宝石使用</t>
  </si>
  <si>
    <t>fall_hechengfu_178</t>
  </si>
  <si>
    <t>|cff00FF178前往铁匠铺合成宝石使用</t>
  </si>
  <si>
    <t>fall_hechengfu_179</t>
  </si>
  <si>
    <t>|cff00FF179前往铁匠铺合成宝石使用</t>
  </si>
  <si>
    <t>fall_hechengfu_180</t>
  </si>
  <si>
    <t>筑基玄阴延寿丹</t>
  </si>
  <si>
    <t>|cff00FF180前往铁匠铺合成宝石使用</t>
  </si>
  <si>
    <t>fall_hechengfu_181</t>
  </si>
  <si>
    <t>|cff00FF181前往铁匠铺合成宝石使用</t>
  </si>
  <si>
    <t>fall_hechengfu_182</t>
  </si>
  <si>
    <t>|cff00FF182前往铁匠铺合成宝石使用</t>
  </si>
  <si>
    <t>fall_hechengfu_183</t>
  </si>
  <si>
    <t>筑基清和延寿丹</t>
  </si>
  <si>
    <t>|cff00FF183前往铁匠铺合成宝石使用</t>
  </si>
  <si>
    <t>fall_hechengfu_184</t>
  </si>
  <si>
    <t>|cff00FF184前往铁匠铺合成宝石使用</t>
  </si>
  <si>
    <t>fall_hechengfu_185</t>
  </si>
  <si>
    <t>|cff00FF185前往铁匠铺合成宝石使用</t>
  </si>
  <si>
    <t>fall_hechengfu_186</t>
  </si>
  <si>
    <t>筑基延寿丹</t>
  </si>
  <si>
    <t>|cff00FF186前往铁匠铺合成宝石使用</t>
  </si>
  <si>
    <t>fall_hechengfu_187</t>
  </si>
  <si>
    <t>|cff00FF187前往铁匠铺合成宝石使用</t>
  </si>
  <si>
    <t>fall_hechengfu_188</t>
  </si>
  <si>
    <t>|cff00FF188前往铁匠铺合成宝石使用</t>
  </si>
  <si>
    <t>fall_hechengfu_189</t>
  </si>
  <si>
    <t>筑基温阳延寿丹</t>
  </si>
  <si>
    <t>|cff00FF189前往铁匠铺合成宝石使用</t>
  </si>
  <si>
    <t>fall_hechengfu_190</t>
  </si>
  <si>
    <t>|cff00FF190前往铁匠铺合成宝石使用</t>
  </si>
  <si>
    <t>fall_hechengfu_191</t>
  </si>
  <si>
    <t>|cff00FF191前往铁匠铺合成宝石使用</t>
  </si>
  <si>
    <t>fall_hechengfu_192</t>
  </si>
  <si>
    <t>筑基烈阳延寿丹</t>
  </si>
  <si>
    <t>|cff00FF192前往铁匠铺合成宝石使用</t>
  </si>
  <si>
    <t>fall_hechengfu_193</t>
  </si>
  <si>
    <t>|cff00FF193前往铁匠铺合成宝石使用</t>
  </si>
  <si>
    <t>fall_hechengfu_194</t>
  </si>
  <si>
    <t>|cff00FF194前往铁匠铺合成宝石使用</t>
  </si>
  <si>
    <t>fall_hechengfu_195</t>
  </si>
  <si>
    <t>筑基玄阴塑灵丹</t>
  </si>
  <si>
    <t>|cff00FF195前往铁匠铺合成宝石使用</t>
  </si>
  <si>
    <t>fall_hechengfu_196</t>
  </si>
  <si>
    <t>|cff00FF196前往铁匠铺合成宝石使用</t>
  </si>
  <si>
    <t>fall_hechengfu_197</t>
  </si>
  <si>
    <t>|cff00FF197前往铁匠铺合成宝石使用</t>
  </si>
  <si>
    <t>fall_hechengfu_198</t>
  </si>
  <si>
    <t>筑基清和塑灵丹</t>
  </si>
  <si>
    <t>|cff00FF198前往铁匠铺合成宝石使用</t>
  </si>
  <si>
    <t>fall_hechengfu_199</t>
  </si>
  <si>
    <t>|cff00FF199前往铁匠铺合成宝石使用</t>
  </si>
  <si>
    <t>fall_hechengfu_200</t>
  </si>
  <si>
    <t>|cff00FF200前往铁匠铺合成宝石使用</t>
  </si>
  <si>
    <t>fall_hechengfu_201</t>
  </si>
  <si>
    <t>筑基塑灵丹</t>
  </si>
  <si>
    <t>|cff00FF201前往铁匠铺合成宝石使用</t>
  </si>
  <si>
    <t>fall_hechengfu_202</t>
  </si>
  <si>
    <t>|cff00FF202前往铁匠铺合成宝石使用</t>
  </si>
  <si>
    <t>fall_hechengfu_203</t>
  </si>
  <si>
    <t>|cff00FF203前往铁匠铺合成宝石使用</t>
  </si>
  <si>
    <t>fall_hechengfu_204</t>
  </si>
  <si>
    <t>筑基温阳塑灵丹</t>
  </si>
  <si>
    <t>|cff00FF204前往铁匠铺合成宝石使用</t>
  </si>
  <si>
    <t>fall_hechengfu_205</t>
  </si>
  <si>
    <t>|cff00FF205前往铁匠铺合成宝石使用</t>
  </si>
  <si>
    <t>fall_hechengfu_206</t>
  </si>
  <si>
    <t>|cff00FF206前往铁匠铺合成宝石使用</t>
  </si>
  <si>
    <t>fall_hechengfu_207</t>
  </si>
  <si>
    <t>筑基洗灵丹</t>
  </si>
  <si>
    <t>|cff00FF207前往铁匠铺合成宝石使用</t>
  </si>
  <si>
    <t>fall_hechengfu_208</t>
  </si>
  <si>
    <t>|cff00FF208前往铁匠铺合成宝石使用</t>
  </si>
  <si>
    <t>fall_hechengfu_209</t>
  </si>
  <si>
    <t>|cff00FF209前往铁匠铺合成宝石使用</t>
  </si>
  <si>
    <t>fall_hechengfu_210</t>
  </si>
  <si>
    <t>筑基玄阴固元丹</t>
  </si>
  <si>
    <t>|cff00FF210前往铁匠铺合成宝石使用</t>
  </si>
  <si>
    <t>fall_hechengfu_211</t>
  </si>
  <si>
    <t>|cff00FF211前往铁匠铺合成宝石使用</t>
  </si>
  <si>
    <t>fall_hechengfu_212</t>
  </si>
  <si>
    <t>|cff00FF212前往铁匠铺合成宝石使用</t>
  </si>
  <si>
    <t>fall_hechengfu_213</t>
  </si>
  <si>
    <t>筑基清和固元丹</t>
  </si>
  <si>
    <t>|cff00FF213前往铁匠铺合成宝石使用</t>
  </si>
  <si>
    <t>fall_hechengfu_214</t>
  </si>
  <si>
    <t>|cff00FF214前往铁匠铺合成宝石使用</t>
  </si>
  <si>
    <t>fall_hechengfu_215</t>
  </si>
  <si>
    <t>|cff00FF215前往铁匠铺合成宝石使用</t>
  </si>
  <si>
    <t>fall_hechengfu_216</t>
  </si>
  <si>
    <t>筑基固元丹</t>
  </si>
  <si>
    <t>|cff00FF216前往铁匠铺合成宝石使用</t>
  </si>
  <si>
    <t>fall_hechengfu_217</t>
  </si>
  <si>
    <t>|cff00FF217前往铁匠铺合成宝石使用</t>
  </si>
  <si>
    <t>fall_hechengfu_218</t>
  </si>
  <si>
    <t>|cff00FF218前往铁匠铺合成宝石使用</t>
  </si>
  <si>
    <t>fall_hechengfu_219</t>
  </si>
  <si>
    <t>筑基温阳固元丹</t>
  </si>
  <si>
    <t>|cff00FF219前往铁匠铺合成宝石使用</t>
  </si>
  <si>
    <t>fall_hechengfu_220</t>
  </si>
  <si>
    <t>|cff00FF220前往铁匠铺合成宝石使用</t>
  </si>
  <si>
    <t>fall_hechengfu_221</t>
  </si>
  <si>
    <t>|cff00FF221前往铁匠铺合成宝石使用</t>
  </si>
  <si>
    <t>fall_hechengfu_222</t>
  </si>
  <si>
    <t>筑基烈阳固元丹</t>
  </si>
  <si>
    <t>|cff00FF222前往铁匠铺合成宝石使用</t>
  </si>
  <si>
    <t>fall_hechengfu_223</t>
  </si>
  <si>
    <t>|cff00FF223前往铁匠铺合成宝石使用</t>
  </si>
  <si>
    <t>fall_hechengfu_224</t>
  </si>
  <si>
    <t>|cff00FF224前往铁匠铺合成宝石使用</t>
  </si>
  <si>
    <t>fall_hechengfu_225</t>
  </si>
  <si>
    <t>筑基玄阴破妄丹</t>
  </si>
  <si>
    <t>|cff00FF225前往铁匠铺合成宝石使用</t>
  </si>
  <si>
    <t>fall_hechengfu_226</t>
  </si>
  <si>
    <t>|cff00FF226前往铁匠铺合成宝石使用</t>
  </si>
  <si>
    <t>fall_hechengfu_227</t>
  </si>
  <si>
    <t>|cff00FF227前往铁匠铺合成宝石使用</t>
  </si>
  <si>
    <t>fall_hechengfu_228</t>
  </si>
  <si>
    <t>筑基清和破妄丹</t>
  </si>
  <si>
    <t>|cff00FF228前往铁匠铺合成宝石使用</t>
  </si>
  <si>
    <t>fall_hechengfu_229</t>
  </si>
  <si>
    <t>|cff00FF229前往铁匠铺合成宝石使用</t>
  </si>
  <si>
    <t>fall_hechengfu_230</t>
  </si>
  <si>
    <t>|cff00FF230前往铁匠铺合成宝石使用</t>
  </si>
  <si>
    <t>fall_hechengfu_231</t>
  </si>
  <si>
    <t>筑基破妄丹</t>
  </si>
  <si>
    <t>|cff00FF231前往铁匠铺合成宝石使用</t>
  </si>
  <si>
    <t>fall_hechengfu_232</t>
  </si>
  <si>
    <t>|cff00FF232前往铁匠铺合成宝石使用</t>
  </si>
  <si>
    <t>fall_hechengfu_233</t>
  </si>
  <si>
    <t>|cff00FF233前往铁匠铺合成宝石使用</t>
  </si>
  <si>
    <t>fall_hechengfu_234</t>
  </si>
  <si>
    <t>筑基温阳破妄丹</t>
  </si>
  <si>
    <t>|cff00FF234前往铁匠铺合成宝石使用</t>
  </si>
  <si>
    <t>fall_hechengfu_235</t>
  </si>
  <si>
    <t>|cff00FF235前往铁匠铺合成宝石使用</t>
  </si>
  <si>
    <t>fall_hechengfu_236</t>
  </si>
  <si>
    <t>|cff00FF236前往铁匠铺合成宝石使用</t>
  </si>
  <si>
    <t>fall_hechengfu_237</t>
  </si>
  <si>
    <t>筑基烈阳破妄丹</t>
  </si>
  <si>
    <t>|cff00FF237前往铁匠铺合成宝石使用</t>
  </si>
  <si>
    <t>fall_hechengfu_238</t>
  </si>
  <si>
    <t>|cff00FF238前往铁匠铺合成宝石使用</t>
  </si>
  <si>
    <t>fall_hechengfu_239</t>
  </si>
  <si>
    <t>|cff00FF239前往铁匠铺合成宝石使用</t>
  </si>
  <si>
    <t>fall_hechengfu_240</t>
  </si>
  <si>
    <t>筑基玄阴养神丹</t>
  </si>
  <si>
    <t>|cff00FF240前往铁匠铺合成宝石使用</t>
  </si>
  <si>
    <t>fall_hechengfu_241</t>
  </si>
  <si>
    <t>|cff00FF241前往铁匠铺合成宝石使用</t>
  </si>
  <si>
    <t>fall_hechengfu_242</t>
  </si>
  <si>
    <t>|cff00FF242前往铁匠铺合成宝石使用</t>
  </si>
  <si>
    <t>fall_hechengfu_243</t>
  </si>
  <si>
    <t>筑基清和养神丹</t>
  </si>
  <si>
    <t>|cff00FF243前往铁匠铺合成宝石使用</t>
  </si>
  <si>
    <t>fall_hechengfu_244</t>
  </si>
  <si>
    <t>|cff00FF244前往铁匠铺合成宝石使用</t>
  </si>
  <si>
    <t>fall_hechengfu_245</t>
  </si>
  <si>
    <t>|cff00FF245前往铁匠铺合成宝石使用</t>
  </si>
  <si>
    <t>fall_hechengfu_246</t>
  </si>
  <si>
    <t>筑基养神丹</t>
  </si>
  <si>
    <t>|cff00FF246前往铁匠铺合成宝石使用</t>
  </si>
  <si>
    <t>fall_hechengfu_247</t>
  </si>
  <si>
    <t>|cff00FF247前往铁匠铺合成宝石使用</t>
  </si>
  <si>
    <t>fall_hechengfu_248</t>
  </si>
  <si>
    <t>|cff00FF248前往铁匠铺合成宝石使用</t>
  </si>
  <si>
    <t>fall_hechengfu_249</t>
  </si>
  <si>
    <t>筑基温阳养神丹</t>
  </si>
  <si>
    <t>|cff00FF249前往铁匠铺合成宝石使用</t>
  </si>
  <si>
    <t>fall_hechengfu_250</t>
  </si>
  <si>
    <t>|cff00FF250前往铁匠铺合成宝石使用</t>
  </si>
  <si>
    <t>fall_hechengfu_251</t>
  </si>
  <si>
    <t>|cff00FF251前往铁匠铺合成宝石使用</t>
  </si>
  <si>
    <t>fall_hechengfu_252</t>
  </si>
  <si>
    <t>筑基烈阳养神丹</t>
  </si>
  <si>
    <t>|cff00FF252前往铁匠铺合成宝石使用</t>
  </si>
  <si>
    <t>fall_hechengfu_253</t>
  </si>
  <si>
    <t>|cff00FF253前往铁匠铺合成宝石使用</t>
  </si>
  <si>
    <t>fall_hechengfu_254</t>
  </si>
  <si>
    <t>|cff00FF254前往铁匠铺合成宝石使用</t>
  </si>
  <si>
    <t>fall_hechengfu_255</t>
  </si>
  <si>
    <t>筑基玄阴明心丹</t>
  </si>
  <si>
    <t>|cff00FF255前往铁匠铺合成宝石使用</t>
  </si>
  <si>
    <t>fall_hechengfu_256</t>
  </si>
  <si>
    <t>|cff00FF256前往铁匠铺合成宝石使用</t>
  </si>
  <si>
    <t>fall_hechengfu_257</t>
  </si>
  <si>
    <t>|cff00FF257前往铁匠铺合成宝石使用</t>
  </si>
  <si>
    <t>fall_hechengfu_258</t>
  </si>
  <si>
    <t>筑基清和明心丹</t>
  </si>
  <si>
    <t>|cff00FF258前往铁匠铺合成宝石使用</t>
  </si>
  <si>
    <t>fall_hechengfu_259</t>
  </si>
  <si>
    <t>|cff00FF259前往铁匠铺合成宝石使用</t>
  </si>
  <si>
    <t>fall_hechengfu_260</t>
  </si>
  <si>
    <t>|cff00FF260前往铁匠铺合成宝石使用</t>
  </si>
  <si>
    <t>fall_hechengfu_261</t>
  </si>
  <si>
    <t>筑基明心丹</t>
  </si>
  <si>
    <t>|cff00FF261前往铁匠铺合成宝石使用</t>
  </si>
  <si>
    <t>fall_hechengfu_262</t>
  </si>
  <si>
    <t>|cff00FF262前往铁匠铺合成宝石使用</t>
  </si>
  <si>
    <t>fall_hechengfu_263</t>
  </si>
  <si>
    <t>|cff00FF263前往铁匠铺合成宝石使用</t>
  </si>
  <si>
    <t>fall_hechengfu_264</t>
  </si>
  <si>
    <t>筑基温阳明心丹</t>
  </si>
  <si>
    <t>|cff00FF264前往铁匠铺合成宝石使用</t>
  </si>
  <si>
    <t>fall_hechengfu_265</t>
  </si>
  <si>
    <t>|cff00FF265前往铁匠铺合成宝石使用</t>
  </si>
  <si>
    <t>fall_hechengfu_266</t>
  </si>
  <si>
    <t>|cff00FF266前往铁匠铺合成宝石使用</t>
  </si>
  <si>
    <t>fall_hechengfu_267</t>
  </si>
  <si>
    <t>筑基烈阳明心丹</t>
  </si>
  <si>
    <t>|cff00FF267前往铁匠铺合成宝石使用</t>
  </si>
  <si>
    <t>fall_hechengfu_268</t>
  </si>
  <si>
    <t>|cff00FF268前往铁匠铺合成宝石使用</t>
  </si>
  <si>
    <t>fall_hechengfu_269</t>
  </si>
  <si>
    <t>|cff00FF269前往铁匠铺合成宝石使用</t>
  </si>
  <si>
    <t>fall_hechengfu_270</t>
  </si>
  <si>
    <t>筑基玄阴照神丹</t>
  </si>
  <si>
    <t>|cff00FF270前往铁匠铺合成宝石使用</t>
  </si>
  <si>
    <t>fall_hechengfu_271</t>
  </si>
  <si>
    <t>|cff00FF271前往铁匠铺合成宝石使用</t>
  </si>
  <si>
    <t>fall_hechengfu_272</t>
  </si>
  <si>
    <t>|cff00FF272前往铁匠铺合成宝石使用</t>
  </si>
  <si>
    <t>fall_hechengfu_273</t>
  </si>
  <si>
    <t>筑基清和照神丹</t>
  </si>
  <si>
    <t>|cff00FF273前往铁匠铺合成宝石使用</t>
  </si>
  <si>
    <t>fall_hechengfu_274</t>
  </si>
  <si>
    <t>|cff00FF274前往铁匠铺合成宝石使用</t>
  </si>
  <si>
    <t>fall_hechengfu_275</t>
  </si>
  <si>
    <t>|cff00FF275前往铁匠铺合成宝石使用</t>
  </si>
  <si>
    <t>fall_hechengfu_276</t>
  </si>
  <si>
    <t>筑基照神丹</t>
  </si>
  <si>
    <t>|cff00FF276前往铁匠铺合成宝石使用</t>
  </si>
  <si>
    <t>fall_hechengfu_277</t>
  </si>
  <si>
    <t>|cff00FF277前往铁匠铺合成宝石使用</t>
  </si>
  <si>
    <t>fall_hechengfu_278</t>
  </si>
  <si>
    <t>|cff00FF278前往铁匠铺合成宝石使用</t>
  </si>
  <si>
    <t>fall_hechengfu_279</t>
  </si>
  <si>
    <t>筑基温阳照神丹</t>
  </si>
  <si>
    <t>|cff00FF279前往铁匠铺合成宝石使用</t>
  </si>
  <si>
    <t>fall_hechengfu_280</t>
  </si>
  <si>
    <t>|cff00FF280前往铁匠铺合成宝石使用</t>
  </si>
  <si>
    <t>fall_hechengfu_281</t>
  </si>
  <si>
    <t>|cff00FF281前往铁匠铺合成宝石使用</t>
  </si>
  <si>
    <t>fall_hechengfu_282</t>
  </si>
  <si>
    <t>筑基烈阳照神丹</t>
  </si>
  <si>
    <t>|cff00FF282前往铁匠铺合成宝石使用</t>
  </si>
  <si>
    <t>fall_hechengfu_283</t>
  </si>
  <si>
    <t>|cff00FF283前往铁匠铺合成宝石使用</t>
  </si>
  <si>
    <t>fall_hechengfu_284</t>
  </si>
  <si>
    <t>|cff00FF284前往铁匠铺合成宝石使用</t>
  </si>
  <si>
    <t>fall_hechengfu_285</t>
  </si>
  <si>
    <t>筑基玄阴定神丹</t>
  </si>
  <si>
    <t>|cff00FF285前往铁匠铺合成宝石使用</t>
  </si>
  <si>
    <t>fall_hechengfu_286</t>
  </si>
  <si>
    <t>|cff00FF286前往铁匠铺合成宝石使用</t>
  </si>
  <si>
    <t>fall_hechengfu_287</t>
  </si>
  <si>
    <t>|cff00FF287前往铁匠铺合成宝石使用</t>
  </si>
  <si>
    <t>fall_hechengfu_288</t>
  </si>
  <si>
    <t>筑基清和定神丹</t>
  </si>
  <si>
    <t>|cff00FF288前往铁匠铺合成宝石使用</t>
  </si>
  <si>
    <t>fall_hechengfu_289</t>
  </si>
  <si>
    <t>|cff00FF289前往铁匠铺合成宝石使用</t>
  </si>
  <si>
    <t>fall_hechengfu_290</t>
  </si>
  <si>
    <t>|cff00FF290前往铁匠铺合成宝石使用</t>
  </si>
  <si>
    <t>fall_hechengfu_291</t>
  </si>
  <si>
    <t>筑基定神丹</t>
  </si>
  <si>
    <t>|cff00FF291前往铁匠铺合成宝石使用</t>
  </si>
  <si>
    <t>fall_hechengfu_292</t>
  </si>
  <si>
    <t>|cff00FF292前往铁匠铺合成宝石使用</t>
  </si>
  <si>
    <t>fall_hechengfu_293</t>
  </si>
  <si>
    <t>|cff00FF293前往铁匠铺合成宝石使用</t>
  </si>
  <si>
    <t>fall_hechengfu_294</t>
  </si>
  <si>
    <t>筑基温阳定神丹</t>
  </si>
  <si>
    <t>|cff00FF294前往铁匠铺合成宝石使用</t>
  </si>
  <si>
    <t>fall_hechengfu_295</t>
  </si>
  <si>
    <t>|cff00FF295前往铁匠铺合成宝石使用</t>
  </si>
  <si>
    <t>fall_hechengfu_296</t>
  </si>
  <si>
    <t>|cff00FF296前往铁匠铺合成宝石使用</t>
  </si>
  <si>
    <t>fall_hechengfu_297</t>
  </si>
  <si>
    <t>筑基烈阳定神丹</t>
  </si>
  <si>
    <t>|cff00FF297前往铁匠铺合成宝石使用</t>
  </si>
  <si>
    <t>fall_hechengfu_298</t>
  </si>
  <si>
    <t>|cff00FF298前往铁匠铺合成宝石使用</t>
  </si>
  <si>
    <t>fall_hechengfu_299</t>
  </si>
  <si>
    <t>|cff00FF299前往铁匠铺合成宝石使用</t>
  </si>
  <si>
    <t>fall_hechengfu_300</t>
  </si>
  <si>
    <t>筑基玄阴解厄丹</t>
  </si>
  <si>
    <t>|cff00FF300前往铁匠铺合成宝石使用</t>
  </si>
  <si>
    <t>fall_hechengfu_301</t>
  </si>
  <si>
    <t>|cff00FF301前往铁匠铺合成宝石使用</t>
  </si>
  <si>
    <t>fall_hechengfu_302</t>
  </si>
  <si>
    <t>|cff00FF302前往铁匠铺合成宝石使用</t>
  </si>
  <si>
    <t>fall_hechengfu_303</t>
  </si>
  <si>
    <t>筑基清和解厄丹</t>
  </si>
  <si>
    <t>|cff00FF303前往铁匠铺合成宝石使用</t>
  </si>
  <si>
    <t>fall_hechengfu_304</t>
  </si>
  <si>
    <t>|cff00FF304前往铁匠铺合成宝石使用</t>
  </si>
  <si>
    <t>fall_hechengfu_305</t>
  </si>
  <si>
    <t>|cff00FF305前往铁匠铺合成宝石使用</t>
  </si>
  <si>
    <t>fall_hechengfu_306</t>
  </si>
  <si>
    <t>筑基解厄丹</t>
  </si>
  <si>
    <t>|cff00FF306前往铁匠铺合成宝石使用</t>
  </si>
  <si>
    <t>fall_hechengfu_307</t>
  </si>
  <si>
    <t>|cff00FF307前往铁匠铺合成宝石使用</t>
  </si>
  <si>
    <t>fall_hechengfu_308</t>
  </si>
  <si>
    <t>|cff00FF308前往铁匠铺合成宝石使用</t>
  </si>
  <si>
    <t>fall_hechengfu_309</t>
  </si>
  <si>
    <t>筑基温阳解厄丹</t>
  </si>
  <si>
    <t>|cff00FF309前往铁匠铺合成宝石使用</t>
  </si>
  <si>
    <t>fall_hechengfu_310</t>
  </si>
  <si>
    <t>|cff00FF310前往铁匠铺合成宝石使用</t>
  </si>
  <si>
    <t>fall_hechengfu_311</t>
  </si>
  <si>
    <t>|cff00FF311前往铁匠铺合成宝石使用</t>
  </si>
  <si>
    <t>fall_hechengfu_312</t>
  </si>
  <si>
    <t>筑基烈阳解厄丹</t>
  </si>
  <si>
    <t>|cff00FF312前往铁匠铺合成宝石使用</t>
  </si>
  <si>
    <t>fall_hechengfu_313</t>
  </si>
  <si>
    <t>|cff00FF313前往铁匠铺合成宝石使用</t>
  </si>
  <si>
    <t>fall_hechengfu_314</t>
  </si>
  <si>
    <t>|cff00FF314前往铁匠铺合成宝石使用</t>
  </si>
  <si>
    <t>fall_hechengfu_315</t>
  </si>
  <si>
    <t>筑基玄阴回春丹</t>
  </si>
  <si>
    <t>|cff00FF315前往铁匠铺合成宝石使用</t>
  </si>
  <si>
    <t>fall_hechengfu_316</t>
  </si>
  <si>
    <t>|cff00FF316前往铁匠铺合成宝石使用</t>
  </si>
  <si>
    <t>fall_hechengfu_317</t>
  </si>
  <si>
    <t>|cff00FF317前往铁匠铺合成宝石使用</t>
  </si>
  <si>
    <t>fall_hechengfu_318</t>
  </si>
  <si>
    <t>筑基清和回春丹</t>
  </si>
  <si>
    <t>|cff00FF318前往铁匠铺合成宝石使用</t>
  </si>
  <si>
    <t>fall_hechengfu_319</t>
  </si>
  <si>
    <t>|cff00FF319前往铁匠铺合成宝石使用</t>
  </si>
  <si>
    <t>fall_hechengfu_320</t>
  </si>
  <si>
    <t>|cff00FF320前往铁匠铺合成宝石使用</t>
  </si>
  <si>
    <t>fall_hechengfu_321</t>
  </si>
  <si>
    <t>筑基回春丹</t>
  </si>
  <si>
    <t>|cff00FF321前往铁匠铺合成宝石使用</t>
  </si>
  <si>
    <t>fall_hechengfu_322</t>
  </si>
  <si>
    <t>|cff00FF322前往铁匠铺合成宝石使用</t>
  </si>
  <si>
    <t>fall_hechengfu_323</t>
  </si>
  <si>
    <t>|cff00FF323前往铁匠铺合成宝石使用</t>
  </si>
  <si>
    <t>fall_hechengfu_324</t>
  </si>
  <si>
    <t>筑基温阳回春丹</t>
  </si>
  <si>
    <t>|cff00FF324前往铁匠铺合成宝石使用</t>
  </si>
  <si>
    <t>fall_hechengfu_325</t>
  </si>
  <si>
    <t>|cff00FF325前往铁匠铺合成宝石使用</t>
  </si>
  <si>
    <t>fall_hechengfu_326</t>
  </si>
  <si>
    <t>|cff00FF326前往铁匠铺合成宝石使用</t>
  </si>
  <si>
    <t>fall_hechengfu_327</t>
  </si>
  <si>
    <t>筑基烈阳回春丹</t>
  </si>
  <si>
    <t>|cff00FF327前往铁匠铺合成宝石使用</t>
  </si>
  <si>
    <t>fall_hechengfu_328</t>
  </si>
  <si>
    <t>|cff00FF328前往铁匠铺合成宝石使用</t>
  </si>
  <si>
    <t>fall_hechengfu_329</t>
  </si>
  <si>
    <t>|cff00FF329前往铁匠铺合成宝石使用</t>
  </si>
  <si>
    <t>fall_hechengfu_330</t>
  </si>
  <si>
    <t>筑基玄阴活血丹</t>
  </si>
  <si>
    <t>|cff00FF330前往铁匠铺合成宝石使用</t>
  </si>
  <si>
    <t>fall_hechengfu_331</t>
  </si>
  <si>
    <t>|cff00FF331前往铁匠铺合成宝石使用</t>
  </si>
  <si>
    <t>fall_hechengfu_332</t>
  </si>
  <si>
    <t>|cff00FF332前往铁匠铺合成宝石使用</t>
  </si>
  <si>
    <t>fall_hechengfu_333</t>
  </si>
  <si>
    <t>筑基清和活血丹</t>
  </si>
  <si>
    <t>|cff00FF333前往铁匠铺合成宝石使用</t>
  </si>
  <si>
    <t>fall_hechengfu_334</t>
  </si>
  <si>
    <t>|cff00FF334前往铁匠铺合成宝石使用</t>
  </si>
  <si>
    <t>fall_hechengfu_335</t>
  </si>
  <si>
    <t>|cff00FF335前往铁匠铺合成宝石使用</t>
  </si>
  <si>
    <t>fall_hechengfu_336</t>
  </si>
  <si>
    <t>筑基活血丹</t>
  </si>
  <si>
    <t>|cff00FF336前往铁匠铺合成宝石使用</t>
  </si>
  <si>
    <t>fall_hechengfu_337</t>
  </si>
  <si>
    <t>|cff00FF337前往铁匠铺合成宝石使用</t>
  </si>
  <si>
    <t>fall_hechengfu_338</t>
  </si>
  <si>
    <t>|cff00FF338前往铁匠铺合成宝石使用</t>
  </si>
  <si>
    <t>fall_hechengfu_339</t>
  </si>
  <si>
    <t>筑基温阳活血丹</t>
  </si>
  <si>
    <t>|cff00FF339前往铁匠铺合成宝石使用</t>
  </si>
  <si>
    <t>fall_hechengfu_340</t>
  </si>
  <si>
    <t>|cff00FF340前往铁匠铺合成宝石使用</t>
  </si>
  <si>
    <t>fall_hechengfu_341</t>
  </si>
  <si>
    <t>|cff00FF341前往铁匠铺合成宝石使用</t>
  </si>
  <si>
    <t>fall_hechengfu_342</t>
  </si>
  <si>
    <t>筑基烈阳活血丹</t>
  </si>
  <si>
    <t>|cff00FF342前往铁匠铺合成宝石使用</t>
  </si>
  <si>
    <t>fall_hechengfu_343</t>
  </si>
  <si>
    <t>|cff00FF343前往铁匠铺合成宝石使用</t>
  </si>
  <si>
    <t>fall_hechengfu_344</t>
  </si>
  <si>
    <t>|cff00FF344前往铁匠铺合成宝石使用</t>
  </si>
  <si>
    <t>fall_hechengfu_345</t>
  </si>
  <si>
    <t>筑基玄阴战元丹</t>
  </si>
  <si>
    <t>|cff00FF345前往铁匠铺合成宝石使用</t>
  </si>
  <si>
    <t>fall_hechengfu_346</t>
  </si>
  <si>
    <t>|cff00FF346前往铁匠铺合成宝石使用</t>
  </si>
  <si>
    <t>fall_hechengfu_347</t>
  </si>
  <si>
    <t>|cff00FF347前往铁匠铺合成宝石使用</t>
  </si>
  <si>
    <t>fall_hechengfu_348</t>
  </si>
  <si>
    <t>筑基清和战元丹</t>
  </si>
  <si>
    <t>|cff00FF348前往铁匠铺合成宝石使用</t>
  </si>
  <si>
    <t>fall_hechengfu_349</t>
  </si>
  <si>
    <t>|cff00FF349前往铁匠铺合成宝石使用</t>
  </si>
  <si>
    <t>fall_hechengfu_350</t>
  </si>
  <si>
    <t>|cff00FF350前往铁匠铺合成宝石使用</t>
  </si>
  <si>
    <t>fall_hechengfu_351</t>
  </si>
  <si>
    <t>筑基战元丹</t>
  </si>
  <si>
    <t>|cff00FF351前往铁匠铺合成宝石使用</t>
  </si>
  <si>
    <t>fall_hechengfu_352</t>
  </si>
  <si>
    <t>|cff00FF352前往铁匠铺合成宝石使用</t>
  </si>
  <si>
    <t>fall_hechengfu_353</t>
  </si>
  <si>
    <t>|cff00FF353前往铁匠铺合成宝石使用</t>
  </si>
  <si>
    <t>fall_hechengfu_354</t>
  </si>
  <si>
    <t>筑基温阳战元丹</t>
  </si>
  <si>
    <t>|cff00FF354前往铁匠铺合成宝石使用</t>
  </si>
  <si>
    <t>fall_hechengfu_355</t>
  </si>
  <si>
    <t>|cff00FF355前往铁匠铺合成宝石使用</t>
  </si>
  <si>
    <t>fall_hechengfu_356</t>
  </si>
  <si>
    <t>|cff00FF356前往铁匠铺合成宝石使用</t>
  </si>
  <si>
    <t>fall_hechengfu_357</t>
  </si>
  <si>
    <t>筑基烈阳战元丹</t>
  </si>
  <si>
    <t>|cff00FF357前往铁匠铺合成宝石使用</t>
  </si>
  <si>
    <t>fall_hechengfu_358</t>
  </si>
  <si>
    <t>|cff00FF358前往铁匠铺合成宝石使用</t>
  </si>
  <si>
    <t>fall_hechengfu_359</t>
  </si>
  <si>
    <t>|cff00FF359前往铁匠铺合成宝石使用</t>
  </si>
  <si>
    <t>fall_hechengfu_360</t>
  </si>
  <si>
    <t>筑基玄阴锻体丹</t>
  </si>
  <si>
    <t>|cff00FF360前往铁匠铺合成宝石使用</t>
  </si>
  <si>
    <t>fall_hechengfu_361</t>
  </si>
  <si>
    <t>|cff00FF361前往铁匠铺合成宝石使用</t>
  </si>
  <si>
    <t>fall_hechengfu_362</t>
  </si>
  <si>
    <t>|cff00FF362前往铁匠铺合成宝石使用</t>
  </si>
  <si>
    <t>fall_hechengfu_363</t>
  </si>
  <si>
    <t>筑基清和锻体丹</t>
  </si>
  <si>
    <t>|cff00FF363前往铁匠铺合成宝石使用</t>
  </si>
  <si>
    <t>fall_hechengfu_364</t>
  </si>
  <si>
    <t>|cff00FF364前往铁匠铺合成宝石使用</t>
  </si>
  <si>
    <t>fall_hechengfu_365</t>
  </si>
  <si>
    <t>|cff00FF365前往铁匠铺合成宝石使用</t>
  </si>
  <si>
    <t>fall_hechengfu_366</t>
  </si>
  <si>
    <t>筑基锻体丹</t>
  </si>
  <si>
    <t>|cff00FF366前往铁匠铺合成宝石使用</t>
  </si>
  <si>
    <t>fall_hechengfu_367</t>
  </si>
  <si>
    <t>|cff00FF367前往铁匠铺合成宝石使用</t>
  </si>
  <si>
    <t>fall_hechengfu_368</t>
  </si>
  <si>
    <t>|cff00FF368前往铁匠铺合成宝石使用</t>
  </si>
  <si>
    <t>fall_hechengfu_369</t>
  </si>
  <si>
    <t>筑基温阳锻体丹</t>
  </si>
  <si>
    <t>|cff00FF369前往铁匠铺合成宝石使用</t>
  </si>
  <si>
    <t>fall_hechengfu_370</t>
  </si>
  <si>
    <t>|cff00FF370前往铁匠铺合成宝石使用</t>
  </si>
  <si>
    <t>fall_hechengfu_371</t>
  </si>
  <si>
    <t>|cff00FF371前往铁匠铺合成宝石使用</t>
  </si>
  <si>
    <t>fall_hechengfu_372</t>
  </si>
  <si>
    <t>筑基烈阳锻体丹</t>
  </si>
  <si>
    <t>|cff00FF372前往铁匠铺合成宝石使用</t>
  </si>
  <si>
    <t>fall_hechengfu_373</t>
  </si>
  <si>
    <t>|cff00FF373前往铁匠铺合成宝石使用</t>
  </si>
  <si>
    <t>fall_hechengfu_374</t>
  </si>
  <si>
    <t>|cff00FF374前往铁匠铺合成宝石使用</t>
  </si>
  <si>
    <t>fall_hechengfu_375</t>
  </si>
  <si>
    <t>金丹玄阴涤元丹</t>
  </si>
  <si>
    <t>|cff00FF375前往铁匠铺合成宝石使用</t>
  </si>
  <si>
    <t>fall_hechengfu_376</t>
  </si>
  <si>
    <t>|cff00FF376前往铁匠铺合成宝石使用</t>
  </si>
  <si>
    <t>fall_hechengfu_377</t>
  </si>
  <si>
    <t>|cff00FF377前往铁匠铺合成宝石使用</t>
  </si>
  <si>
    <t>fall_hechengfu_378</t>
  </si>
  <si>
    <t>金丹清和涤元丹</t>
  </si>
  <si>
    <t>|cff00FF378前往铁匠铺合成宝石使用</t>
  </si>
  <si>
    <t>fall_hechengfu_379</t>
  </si>
  <si>
    <t>|cff00FF379前往铁匠铺合成宝石使用</t>
  </si>
  <si>
    <t>fall_hechengfu_380</t>
  </si>
  <si>
    <t>|cff00FF380前往铁匠铺合成宝石使用</t>
  </si>
  <si>
    <t>fall_hechengfu_381</t>
  </si>
  <si>
    <t>金丹涤元丹</t>
  </si>
  <si>
    <t>|cff00FF381前往铁匠铺合成宝石使用</t>
  </si>
  <si>
    <t>fall_hechengfu_382</t>
  </si>
  <si>
    <t>|cff00FF382前往铁匠铺合成宝石使用</t>
  </si>
  <si>
    <t>fall_hechengfu_383</t>
  </si>
  <si>
    <t>|cff00FF383前往铁匠铺合成宝石使用</t>
  </si>
  <si>
    <t>fall_hechengfu_384</t>
  </si>
  <si>
    <t>金丹温阳涤元丹</t>
  </si>
  <si>
    <t>|cff00FF384前往铁匠铺合成宝石使用</t>
  </si>
  <si>
    <t>fall_hechengfu_385</t>
  </si>
  <si>
    <t>|cff00FF385前往铁匠铺合成宝石使用</t>
  </si>
  <si>
    <t>fall_hechengfu_386</t>
  </si>
  <si>
    <t>|cff00FF386前往铁匠铺合成宝石使用</t>
  </si>
  <si>
    <t>fall_hechengfu_387</t>
  </si>
  <si>
    <t>金丹烈阳涤元丹</t>
  </si>
  <si>
    <t>|cff00FF387前往铁匠铺合成宝石使用</t>
  </si>
  <si>
    <t>fall_hechengfu_388</t>
  </si>
  <si>
    <t>|cff00FF388前往铁匠铺合成宝石使用</t>
  </si>
  <si>
    <t>fall_hechengfu_389</t>
  </si>
  <si>
    <t>|cff00FF389前往铁匠铺合成宝石使用</t>
  </si>
  <si>
    <t>fall_hechengfu_390</t>
  </si>
  <si>
    <t>金丹玄阴破境丹</t>
  </si>
  <si>
    <t>|cff00FF390前往铁匠铺合成宝石使用</t>
  </si>
  <si>
    <t>fall_hechengfu_391</t>
  </si>
  <si>
    <t>|cff00FF391前往铁匠铺合成宝石使用</t>
  </si>
  <si>
    <t>fall_hechengfu_392</t>
  </si>
  <si>
    <t>|cff00FF392前往铁匠铺合成宝石使用</t>
  </si>
  <si>
    <t>fall_hechengfu_393</t>
  </si>
  <si>
    <t>金丹清和破境丹</t>
  </si>
  <si>
    <t>|cff00FF393前往铁匠铺合成宝石使用</t>
  </si>
  <si>
    <t>fall_hechengfu_394</t>
  </si>
  <si>
    <t>|cff00FF394前往铁匠铺合成宝石使用</t>
  </si>
  <si>
    <t>fall_hechengfu_395</t>
  </si>
  <si>
    <t>|cff00FF395前往铁匠铺合成宝石使用</t>
  </si>
  <si>
    <t>fall_hechengfu_396</t>
  </si>
  <si>
    <t>金丹破境丹</t>
  </si>
  <si>
    <t>|cff00FF396前往铁匠铺合成宝石使用</t>
  </si>
  <si>
    <t>fall_hechengfu_397</t>
  </si>
  <si>
    <t>|cff00FF397前往铁匠铺合成宝石使用</t>
  </si>
  <si>
    <t>fall_hechengfu_398</t>
  </si>
  <si>
    <t>|cff00FF398前往铁匠铺合成宝石使用</t>
  </si>
  <si>
    <t>fall_hechengfu_399</t>
  </si>
  <si>
    <t>结金丹</t>
  </si>
  <si>
    <t>|cff00FF399前往铁匠铺合成宝石使用</t>
  </si>
  <si>
    <t>fall_hechengfu_400</t>
  </si>
  <si>
    <t>|cff00FF400前往铁匠铺合成宝石使用</t>
  </si>
  <si>
    <t>fall_hechengfu_401</t>
  </si>
  <si>
    <t>|cff00FF401前往铁匠铺合成宝石使用</t>
  </si>
  <si>
    <t>fall_hechengfu_402</t>
  </si>
  <si>
    <t>金丹烈阳破境丹</t>
  </si>
  <si>
    <t>|cff00FF402前往铁匠铺合成宝石使用</t>
  </si>
  <si>
    <t>fall_hechengfu_403</t>
  </si>
  <si>
    <t>|cff00FF403前往铁匠铺合成宝石使用</t>
  </si>
  <si>
    <t>fall_hechengfu_404</t>
  </si>
  <si>
    <t>|cff00FF404前往铁匠铺合成宝石使用</t>
  </si>
  <si>
    <t>fall_hechengfu_405</t>
  </si>
  <si>
    <t>金丹玄阴纳灵丹</t>
  </si>
  <si>
    <t>|cff00FF405前往铁匠铺合成宝石使用</t>
  </si>
  <si>
    <t>fall_hechengfu_406</t>
  </si>
  <si>
    <t>|cff00FF406前往铁匠铺合成宝石使用</t>
  </si>
  <si>
    <t>fall_hechengfu_407</t>
  </si>
  <si>
    <t>|cff00FF407前往铁匠铺合成宝石使用</t>
  </si>
  <si>
    <t>fall_hechengfu_408</t>
  </si>
  <si>
    <t>金丹清和纳灵丹</t>
  </si>
  <si>
    <t>|cff00FF408前往铁匠铺合成宝石使用</t>
  </si>
  <si>
    <t>fall_hechengfu_409</t>
  </si>
  <si>
    <t>|cff00FF409前往铁匠铺合成宝石使用</t>
  </si>
  <si>
    <t>fall_hechengfu_410</t>
  </si>
  <si>
    <t>|cff00FF410前往铁匠铺合成宝石使用</t>
  </si>
  <si>
    <t>fall_hechengfu_411</t>
  </si>
  <si>
    <t>金丹纳灵丹</t>
  </si>
  <si>
    <t>|cff00FF411前往铁匠铺合成宝石使用</t>
  </si>
  <si>
    <t>fall_hechengfu_412</t>
  </si>
  <si>
    <t>|cff00FF412前往铁匠铺合成宝石使用</t>
  </si>
  <si>
    <t>fall_hechengfu_413</t>
  </si>
  <si>
    <t>|cff00FF413前往铁匠铺合成宝石使用</t>
  </si>
  <si>
    <t>fall_hechengfu_414</t>
  </si>
  <si>
    <t>金丹温阳纳灵丹</t>
  </si>
  <si>
    <t>|cff00FF414前往铁匠铺合成宝石使用</t>
  </si>
  <si>
    <t>fall_hechengfu_415</t>
  </si>
  <si>
    <t>|cff00FF415前往铁匠铺合成宝石使用</t>
  </si>
  <si>
    <t>fall_hechengfu_416</t>
  </si>
  <si>
    <t>|cff00FF416前往铁匠铺合成宝石使用</t>
  </si>
  <si>
    <t>fall_hechengfu_417</t>
  </si>
  <si>
    <t>金丹烈阳纳灵丹</t>
  </si>
  <si>
    <t>|cff00FF417前往铁匠铺合成宝石使用</t>
  </si>
  <si>
    <t>fall_hechengfu_418</t>
  </si>
  <si>
    <t>|cff00FF418前往铁匠铺合成宝石使用</t>
  </si>
  <si>
    <t>fall_hechengfu_419</t>
  </si>
  <si>
    <t>|cff00FF419前往铁匠铺合成宝石使用</t>
  </si>
  <si>
    <t>fall_hechengfu_420</t>
  </si>
  <si>
    <t>金丹玄阴化元丹</t>
  </si>
  <si>
    <t>|cff00FF420前往铁匠铺合成宝石使用</t>
  </si>
  <si>
    <t>fall_hechengfu_421</t>
  </si>
  <si>
    <t>|cff00FF421前往铁匠铺合成宝石使用</t>
  </si>
  <si>
    <t>fall_hechengfu_422</t>
  </si>
  <si>
    <t>|cff00FF422前往铁匠铺合成宝石使用</t>
  </si>
  <si>
    <t>fall_hechengfu_423</t>
  </si>
  <si>
    <t>金丹清和化元丹</t>
  </si>
  <si>
    <t>|cff00FF423前往铁匠铺合成宝石使用</t>
  </si>
  <si>
    <t>fall_hechengfu_424</t>
  </si>
  <si>
    <t>|cff00FF424前往铁匠铺合成宝石使用</t>
  </si>
  <si>
    <t>fall_hechengfu_425</t>
  </si>
  <si>
    <t>|cff00FF425前往铁匠铺合成宝石使用</t>
  </si>
  <si>
    <t>fall_hechengfu_426</t>
  </si>
  <si>
    <t>金丹化元丹</t>
  </si>
  <si>
    <t>|cff00FF426前往铁匠铺合成宝石使用</t>
  </si>
  <si>
    <t>fall_hechengfu_427</t>
  </si>
  <si>
    <t>|cff00FF427前往铁匠铺合成宝石使用</t>
  </si>
  <si>
    <t>fall_hechengfu_428</t>
  </si>
  <si>
    <t>|cff00FF428前往铁匠铺合成宝石使用</t>
  </si>
  <si>
    <t>fall_hechengfu_429</t>
  </si>
  <si>
    <t>金丹温阳化元丹</t>
  </si>
  <si>
    <t>|cff00FF429前往铁匠铺合成宝石使用</t>
  </si>
  <si>
    <t>fall_hechengfu_430</t>
  </si>
  <si>
    <t>|cff00FF430前往铁匠铺合成宝石使用</t>
  </si>
  <si>
    <t>fall_hechengfu_431</t>
  </si>
  <si>
    <t>|cff00FF431前往铁匠铺合成宝石使用</t>
  </si>
  <si>
    <t>fall_hechengfu_432</t>
  </si>
  <si>
    <t>金丹烈阳化元丹</t>
  </si>
  <si>
    <t>|cff00FF432前往铁匠铺合成宝石使用</t>
  </si>
  <si>
    <t>fall_hechengfu_433</t>
  </si>
  <si>
    <t>|cff00FF433前往铁匠铺合成宝石使用</t>
  </si>
  <si>
    <t>fall_hechengfu_434</t>
  </si>
  <si>
    <t>|cff00FF434前往铁匠铺合成宝石使用</t>
  </si>
  <si>
    <t>fall_hechengfu_435</t>
  </si>
  <si>
    <t>金丹玄阴聚元丹</t>
  </si>
  <si>
    <t>|cff00FF435前往铁匠铺合成宝石使用</t>
  </si>
  <si>
    <t>fall_hechengfu_436</t>
  </si>
  <si>
    <t>|cff00FF436前往铁匠铺合成宝石使用</t>
  </si>
  <si>
    <t>fall_hechengfu_437</t>
  </si>
  <si>
    <t>|cff00FF437前往铁匠铺合成宝石使用</t>
  </si>
  <si>
    <t>fall_hechengfu_438</t>
  </si>
  <si>
    <t>金丹清和聚元丹</t>
  </si>
  <si>
    <t>|cff00FF438前往铁匠铺合成宝石使用</t>
  </si>
  <si>
    <t>fall_hechengfu_439</t>
  </si>
  <si>
    <t>|cff00FF439前往铁匠铺合成宝石使用</t>
  </si>
  <si>
    <t>fall_hechengfu_440</t>
  </si>
  <si>
    <t>|cff00FF440前往铁匠铺合成宝石使用</t>
  </si>
  <si>
    <t>fall_hechengfu_441</t>
  </si>
  <si>
    <t>金丹聚元丹</t>
  </si>
  <si>
    <t>|cff00FF441前往铁匠铺合成宝石使用</t>
  </si>
  <si>
    <t>fall_hechengfu_442</t>
  </si>
  <si>
    <t>|cff00FF442前往铁匠铺合成宝石使用</t>
  </si>
  <si>
    <t>fall_hechengfu_443</t>
  </si>
  <si>
    <t>|cff00FF443前往铁匠铺合成宝石使用</t>
  </si>
  <si>
    <t>fall_hechengfu_444</t>
  </si>
  <si>
    <t>金丹温阳聚元丹</t>
  </si>
  <si>
    <t>|cff00FF444前往铁匠铺合成宝石使用</t>
  </si>
  <si>
    <t>fall_hechengfu_445</t>
  </si>
  <si>
    <t>|cff00FF445前往铁匠铺合成宝石使用</t>
  </si>
  <si>
    <t>fall_hechengfu_446</t>
  </si>
  <si>
    <t>|cff00FF446前往铁匠铺合成宝石使用</t>
  </si>
  <si>
    <t>fall_hechengfu_447</t>
  </si>
  <si>
    <t>金丹烈阳聚元丹</t>
  </si>
  <si>
    <t>|cff00FF447前往铁匠铺合成宝石使用</t>
  </si>
  <si>
    <t>fall_hechengfu_448</t>
  </si>
  <si>
    <t>|cff00FF448前往铁匠铺合成宝石使用</t>
  </si>
  <si>
    <t>fall_hechengfu_449</t>
  </si>
  <si>
    <t>|cff00FF449前往铁匠铺合成宝石使用</t>
  </si>
  <si>
    <t>fall_hechengfu_450</t>
  </si>
  <si>
    <t>金丹玄阴通脉丹</t>
  </si>
  <si>
    <t>|cff00FF450前往铁匠铺合成宝石使用</t>
  </si>
  <si>
    <t>fall_hechengfu_451</t>
  </si>
  <si>
    <t>|cff00FF451前往铁匠铺合成宝石使用</t>
  </si>
  <si>
    <t>fall_hechengfu_452</t>
  </si>
  <si>
    <t>|cff00FF452前往铁匠铺合成宝石使用</t>
  </si>
  <si>
    <t>fall_hechengfu_453</t>
  </si>
  <si>
    <t>金丹清和通脉丹</t>
  </si>
  <si>
    <t>|cff00FF453前往铁匠铺合成宝石使用</t>
  </si>
  <si>
    <t>fall_hechengfu_454</t>
  </si>
  <si>
    <t>|cff00FF454前往铁匠铺合成宝石使用</t>
  </si>
  <si>
    <t>fall_hechengfu_455</t>
  </si>
  <si>
    <t>|cff00FF455前往铁匠铺合成宝石使用</t>
  </si>
  <si>
    <t>fall_hechengfu_456</t>
  </si>
  <si>
    <t>金丹通脉丹</t>
  </si>
  <si>
    <t>|cff00FF456前往铁匠铺合成宝石使用</t>
  </si>
  <si>
    <t>fall_hechengfu_457</t>
  </si>
  <si>
    <t>|cff00FF457前往铁匠铺合成宝石使用</t>
  </si>
  <si>
    <t>fall_hechengfu_458</t>
  </si>
  <si>
    <t>|cff00FF458前往铁匠铺合成宝石使用</t>
  </si>
  <si>
    <t>fall_hechengfu_459</t>
  </si>
  <si>
    <t>金丹温阳通脉丹</t>
  </si>
  <si>
    <t>|cff00FF459前往铁匠铺合成宝石使用</t>
  </si>
  <si>
    <t>fall_hechengfu_460</t>
  </si>
  <si>
    <t>|cff00FF460前往铁匠铺合成宝石使用</t>
  </si>
  <si>
    <t>fall_hechengfu_461</t>
  </si>
  <si>
    <t>|cff00FF461前往铁匠铺合成宝石使用</t>
  </si>
  <si>
    <t>fall_hechengfu_462</t>
  </si>
  <si>
    <t>金丹烈阳通脉丹</t>
  </si>
  <si>
    <t>|cff00FF462前往铁匠铺合成宝石使用</t>
  </si>
  <si>
    <t>fall_hechengfu_463</t>
  </si>
  <si>
    <t>|cff00FF463前往铁匠铺合成宝石使用</t>
  </si>
  <si>
    <t>fall_hechengfu_464</t>
  </si>
  <si>
    <t>|cff00FF464前往铁匠铺合成宝石使用</t>
  </si>
  <si>
    <t>fall_hechengfu_465</t>
  </si>
  <si>
    <t>金丹玄阴拓脉丹</t>
  </si>
  <si>
    <t>|cff00FF465前往铁匠铺合成宝石使用</t>
  </si>
  <si>
    <t>fall_hechengfu_466</t>
  </si>
  <si>
    <t>|cff00FF466前往铁匠铺合成宝石使用</t>
  </si>
  <si>
    <t>fall_hechengfu_467</t>
  </si>
  <si>
    <t>|cff00FF467前往铁匠铺合成宝石使用</t>
  </si>
  <si>
    <t>fall_hechengfu_468</t>
  </si>
  <si>
    <t>金丹清和拓脉丹</t>
  </si>
  <si>
    <t>|cff00FF468前往铁匠铺合成宝石使用</t>
  </si>
  <si>
    <t>fall_hechengfu_469</t>
  </si>
  <si>
    <t>|cff00FF469前往铁匠铺合成宝石使用</t>
  </si>
  <si>
    <t>fall_hechengfu_470</t>
  </si>
  <si>
    <t>|cff00FF470前往铁匠铺合成宝石使用</t>
  </si>
  <si>
    <t>fall_hechengfu_471</t>
  </si>
  <si>
    <t>金丹拓脉丹</t>
  </si>
  <si>
    <t>|cff00FF471前往铁匠铺合成宝石使用</t>
  </si>
  <si>
    <t>fall_hechengfu_472</t>
  </si>
  <si>
    <t>|cff00FF472前往铁匠铺合成宝石使用</t>
  </si>
  <si>
    <t>fall_hechengfu_473</t>
  </si>
  <si>
    <t>|cff00FF473前往铁匠铺合成宝石使用</t>
  </si>
  <si>
    <t>fall_hechengfu_474</t>
  </si>
  <si>
    <t>金丹温阳拓脉丹</t>
  </si>
  <si>
    <t>|cff00FF474前往铁匠铺合成宝石使用</t>
  </si>
  <si>
    <t>fall_hechengfu_475</t>
  </si>
  <si>
    <t>|cff00FF475前往铁匠铺合成宝石使用</t>
  </si>
  <si>
    <t>fall_hechengfu_476</t>
  </si>
  <si>
    <t>|cff00FF476前往铁匠铺合成宝石使用</t>
  </si>
  <si>
    <t>fall_hechengfu_477</t>
  </si>
  <si>
    <t>金丹烈阳拓脉丹</t>
  </si>
  <si>
    <t>|cff00FF477前往铁匠铺合成宝石使用</t>
  </si>
  <si>
    <t>fall_hechengfu_478</t>
  </si>
  <si>
    <t>|cff00FF478前往铁匠铺合成宝石使用</t>
  </si>
  <si>
    <t>fall_hechengfu_479</t>
  </si>
  <si>
    <t>|cff00FF479前往铁匠铺合成宝石使用</t>
  </si>
  <si>
    <t>fall_hechengfu_480</t>
  </si>
  <si>
    <t>金丹玄阴回灵丹</t>
  </si>
  <si>
    <t>|cff00FF480前往铁匠铺合成宝石使用</t>
  </si>
  <si>
    <t>fall_hechengfu_481</t>
  </si>
  <si>
    <t>|cff00FF481前往铁匠铺合成宝石使用</t>
  </si>
  <si>
    <t>fall_hechengfu_482</t>
  </si>
  <si>
    <t>|cff00FF482前往铁匠铺合成宝石使用</t>
  </si>
  <si>
    <t>fall_hechengfu_483</t>
  </si>
  <si>
    <t>金丹清和回灵丹</t>
  </si>
  <si>
    <t>|cff00FF483前往铁匠铺合成宝石使用</t>
  </si>
  <si>
    <t>fall_hechengfu_484</t>
  </si>
  <si>
    <t>|cff00FF484前往铁匠铺合成宝石使用</t>
  </si>
  <si>
    <t>fall_hechengfu_485</t>
  </si>
  <si>
    <t>|cff00FF485前往铁匠铺合成宝石使用</t>
  </si>
  <si>
    <t>fall_hechengfu_486</t>
  </si>
  <si>
    <t>金丹回灵丹</t>
  </si>
  <si>
    <t>|cff00FF486前往铁匠铺合成宝石使用</t>
  </si>
  <si>
    <t>fall_hechengfu_487</t>
  </si>
  <si>
    <t>|cff00FF487前往铁匠铺合成宝石使用</t>
  </si>
  <si>
    <t>fall_hechengfu_488</t>
  </si>
  <si>
    <t>|cff00FF488前往铁匠铺合成宝石使用</t>
  </si>
  <si>
    <t>fall_hechengfu_489</t>
  </si>
  <si>
    <t>金丹温阳回灵丹</t>
  </si>
  <si>
    <t>|cff00FF489前往铁匠铺合成宝石使用</t>
  </si>
  <si>
    <t>fall_hechengfu_490</t>
  </si>
  <si>
    <t>|cff00FF490前往铁匠铺合成宝石使用</t>
  </si>
  <si>
    <t>fall_hechengfu_491</t>
  </si>
  <si>
    <t>|cff00FF491前往铁匠铺合成宝石使用</t>
  </si>
  <si>
    <t>fall_hechengfu_492</t>
  </si>
  <si>
    <t>金丹烈阳回灵丹</t>
  </si>
  <si>
    <t>|cff00FF492前往铁匠铺合成宝石使用</t>
  </si>
  <si>
    <t>fall_hechengfu_493</t>
  </si>
  <si>
    <t>|cff00FF493前往铁匠铺合成宝石使用</t>
  </si>
  <si>
    <t>fall_hechengfu_494</t>
  </si>
  <si>
    <t>|cff00FF494前往铁匠铺合成宝石使用</t>
  </si>
  <si>
    <t>fall_hechengfu_495</t>
  </si>
  <si>
    <t>金丹玄阴燃灵丹</t>
  </si>
  <si>
    <t>|cff00FF495前往铁匠铺合成宝石使用</t>
  </si>
  <si>
    <t>fall_hechengfu_496</t>
  </si>
  <si>
    <t>|cff00FF496前往铁匠铺合成宝石使用</t>
  </si>
  <si>
    <t>fall_hechengfu_497</t>
  </si>
  <si>
    <t>|cff00FF497前往铁匠铺合成宝石使用</t>
  </si>
  <si>
    <t>fall_hechengfu_498</t>
  </si>
  <si>
    <t>金丹清和燃灵丹</t>
  </si>
  <si>
    <t>|cff00FF498前往铁匠铺合成宝石使用</t>
  </si>
  <si>
    <t>fall_hechengfu_499</t>
  </si>
  <si>
    <t>|cff00FF499前往铁匠铺合成宝石使用</t>
  </si>
  <si>
    <t>fall_hechengfu_500</t>
  </si>
  <si>
    <t>|cff00FF500前往铁匠铺合成宝石使用</t>
  </si>
  <si>
    <t>fall_hechengfu_501</t>
  </si>
  <si>
    <t>金丹燃灵丹</t>
  </si>
  <si>
    <t>|cff00FF501前往铁匠铺合成宝石使用</t>
  </si>
  <si>
    <t>fall_hechengfu_502</t>
  </si>
  <si>
    <t>|cff00FF502前往铁匠铺合成宝石使用</t>
  </si>
  <si>
    <t>fall_hechengfu_503</t>
  </si>
  <si>
    <t>|cff00FF503前往铁匠铺合成宝石使用</t>
  </si>
  <si>
    <t>fall_hechengfu_504</t>
  </si>
  <si>
    <t>金丹温阳燃灵丹</t>
  </si>
  <si>
    <t>|cff00FF504前往铁匠铺合成宝石使用</t>
  </si>
  <si>
    <t>fall_hechengfu_505</t>
  </si>
  <si>
    <t>|cff00FF505前往铁匠铺合成宝石使用</t>
  </si>
  <si>
    <t>fall_hechengfu_506</t>
  </si>
  <si>
    <t>|cff00FF506前往铁匠铺合成宝石使用</t>
  </si>
  <si>
    <t>fall_hechengfu_507</t>
  </si>
  <si>
    <t>金丹烈阳燃灵丹</t>
  </si>
  <si>
    <t>|cff00FF507前往铁匠铺合成宝石使用</t>
  </si>
  <si>
    <t>fall_hechengfu_508</t>
  </si>
  <si>
    <t>|cff00FF508前往铁匠铺合成宝石使用</t>
  </si>
  <si>
    <t>fall_hechengfu_509</t>
  </si>
  <si>
    <t>|cff00FF509前往铁匠铺合成宝石使用</t>
  </si>
  <si>
    <t>fall_hechengfu_510</t>
  </si>
  <si>
    <t>金丹玄阴镇脉丹</t>
  </si>
  <si>
    <t>|cff00FF510前往铁匠铺合成宝石使用</t>
  </si>
  <si>
    <t>fall_hechengfu_511</t>
  </si>
  <si>
    <t>|cff00FF511前往铁匠铺合成宝石使用</t>
  </si>
  <si>
    <t>fall_hechengfu_512</t>
  </si>
  <si>
    <t>|cff00FF512前往铁匠铺合成宝石使用</t>
  </si>
  <si>
    <t>fall_hechengfu_513</t>
  </si>
  <si>
    <t>金丹清和镇脉丹</t>
  </si>
  <si>
    <t>|cff00FF513前往铁匠铺合成宝石使用</t>
  </si>
  <si>
    <t>fall_hechengfu_514</t>
  </si>
  <si>
    <t>|cff00FF514前往铁匠铺合成宝石使用</t>
  </si>
  <si>
    <t>fall_hechengfu_515</t>
  </si>
  <si>
    <t>|cff00FF515前往铁匠铺合成宝石使用</t>
  </si>
  <si>
    <t>fall_hechengfu_516</t>
  </si>
  <si>
    <t>金丹镇脉丹</t>
  </si>
  <si>
    <t>|cff00FF516前往铁匠铺合成宝石使用</t>
  </si>
  <si>
    <t>fall_hechengfu_517</t>
  </si>
  <si>
    <t>|cff00FF517前往铁匠铺合成宝石使用</t>
  </si>
  <si>
    <t>fall_hechengfu_518</t>
  </si>
  <si>
    <t>|cff00FF518前往铁匠铺合成宝石使用</t>
  </si>
  <si>
    <t>fall_hechengfu_519</t>
  </si>
  <si>
    <t>金丹温阳镇脉丹</t>
  </si>
  <si>
    <t>|cff00FF519前往铁匠铺合成宝石使用</t>
  </si>
  <si>
    <t>fall_hechengfu_520</t>
  </si>
  <si>
    <t>|cff00FF520前往铁匠铺合成宝石使用</t>
  </si>
  <si>
    <t>fall_hechengfu_521</t>
  </si>
  <si>
    <t>|cff00FF521前往铁匠铺合成宝石使用</t>
  </si>
  <si>
    <t>fall_hechengfu_522</t>
  </si>
  <si>
    <t>金丹烈阳镇脉丹</t>
  </si>
  <si>
    <t>|cff00FF522前往铁匠铺合成宝石使用</t>
  </si>
  <si>
    <t>fall_hechengfu_523</t>
  </si>
  <si>
    <t>|cff00FF523前往铁匠铺合成宝石使用</t>
  </si>
  <si>
    <t>fall_hechengfu_524</t>
  </si>
  <si>
    <t>|cff00FF524前往铁匠铺合成宝石使用</t>
  </si>
  <si>
    <t>fall_hechengfu_525</t>
  </si>
  <si>
    <t>金丹玄阴净髓丹</t>
  </si>
  <si>
    <t>|cff00FF525前往铁匠铺合成宝石使用</t>
  </si>
  <si>
    <t>fall_hechengfu_526</t>
  </si>
  <si>
    <t>|cff00FF526前往铁匠铺合成宝石使用</t>
  </si>
  <si>
    <t>fall_hechengfu_527</t>
  </si>
  <si>
    <t>|cff00FF527前往铁匠铺合成宝石使用</t>
  </si>
  <si>
    <t>fall_hechengfu_528</t>
  </si>
  <si>
    <t>金丹清和净髓丹</t>
  </si>
  <si>
    <t>|cff00FF528前往铁匠铺合成宝石使用</t>
  </si>
  <si>
    <t>fall_hechengfu_529</t>
  </si>
  <si>
    <t>|cff00FF529前往铁匠铺合成宝石使用</t>
  </si>
  <si>
    <t>fall_hechengfu_530</t>
  </si>
  <si>
    <t>|cff00FF530前往铁匠铺合成宝石使用</t>
  </si>
  <si>
    <t>fall_hechengfu_531</t>
  </si>
  <si>
    <t>金丹净髓丹</t>
  </si>
  <si>
    <t>|cff00FF531前往铁匠铺合成宝石使用</t>
  </si>
  <si>
    <t>fall_hechengfu_532</t>
  </si>
  <si>
    <t>|cff00FF532前往铁匠铺合成宝石使用</t>
  </si>
  <si>
    <t>fall_hechengfu_533</t>
  </si>
  <si>
    <t>|cff00FF533前往铁匠铺合成宝石使用</t>
  </si>
  <si>
    <t>fall_hechengfu_534</t>
  </si>
  <si>
    <t>金丹温阳净髓丹</t>
  </si>
  <si>
    <t>|cff00FF534前往铁匠铺合成宝石使用</t>
  </si>
  <si>
    <t>fall_hechengfu_535</t>
  </si>
  <si>
    <t>|cff00FF535前往铁匠铺合成宝石使用</t>
  </si>
  <si>
    <t>fall_hechengfu_536</t>
  </si>
  <si>
    <t>|cff00FF536前往铁匠铺合成宝石使用</t>
  </si>
  <si>
    <t>fall_hechengfu_537</t>
  </si>
  <si>
    <t>金丹烈阳净髓丹</t>
  </si>
  <si>
    <t>|cff00FF537前往铁匠铺合成宝石使用</t>
  </si>
  <si>
    <t>fall_hechengfu_538</t>
  </si>
  <si>
    <t>|cff00FF538前往铁匠铺合成宝石使用</t>
  </si>
  <si>
    <t>fall_hechengfu_539</t>
  </si>
  <si>
    <t>|cff00FF539前往铁匠铺合成宝石使用</t>
  </si>
  <si>
    <t>fall_hechengfu_540</t>
  </si>
  <si>
    <t>金丹玄阴壮骨丹</t>
  </si>
  <si>
    <t>|cff00FF540前往铁匠铺合成宝石使用</t>
  </si>
  <si>
    <t>fall_hechengfu_541</t>
  </si>
  <si>
    <t>|cff00FF541前往铁匠铺合成宝石使用</t>
  </si>
  <si>
    <t>fall_hechengfu_542</t>
  </si>
  <si>
    <t>|cff00FF542前往铁匠铺合成宝石使用</t>
  </si>
  <si>
    <t>fall_hechengfu_543</t>
  </si>
  <si>
    <t>金丹清和壮骨丹</t>
  </si>
  <si>
    <t>|cff00FF543前往铁匠铺合成宝石使用</t>
  </si>
  <si>
    <t>fall_hechengfu_544</t>
  </si>
  <si>
    <t>|cff00FF544前往铁匠铺合成宝石使用</t>
  </si>
  <si>
    <t>fall_hechengfu_545</t>
  </si>
  <si>
    <t>|cff00FF545前往铁匠铺合成宝石使用</t>
  </si>
  <si>
    <t>fall_hechengfu_546</t>
  </si>
  <si>
    <t>金丹壮骨丹</t>
  </si>
  <si>
    <t>|cff00FF546前往铁匠铺合成宝石使用</t>
  </si>
  <si>
    <t>fall_hechengfu_547</t>
  </si>
  <si>
    <t>|cff00FF547前往铁匠铺合成宝石使用</t>
  </si>
  <si>
    <t>fall_hechengfu_548</t>
  </si>
  <si>
    <t>|cff00FF548前往铁匠铺合成宝石使用</t>
  </si>
  <si>
    <t>fall_hechengfu_549</t>
  </si>
  <si>
    <t>金丹温阳壮骨丹</t>
  </si>
  <si>
    <t>|cff00FF549前往铁匠铺合成宝石使用</t>
  </si>
  <si>
    <t>fall_hechengfu_550</t>
  </si>
  <si>
    <t>|cff00FF550前往铁匠铺合成宝石使用</t>
  </si>
  <si>
    <t>fall_hechengfu_551</t>
  </si>
  <si>
    <t>|cff00FF551前往铁匠铺合成宝石使用</t>
  </si>
  <si>
    <t>fall_hechengfu_552</t>
  </si>
  <si>
    <t>金丹烈阳壮骨丹</t>
  </si>
  <si>
    <t>|cff00FF552前往铁匠铺合成宝石使用</t>
  </si>
  <si>
    <t>fall_hechengfu_553</t>
  </si>
  <si>
    <t>|cff00FF553前往铁匠铺合成宝石使用</t>
  </si>
  <si>
    <t>fall_hechengfu_554</t>
  </si>
  <si>
    <t>|cff00FF554前往铁匠铺合成宝石使用</t>
  </si>
  <si>
    <t>fall_hechengfu_555</t>
  </si>
  <si>
    <t>金丹玄阴延寿丹</t>
  </si>
  <si>
    <t>|cff00FF555前往铁匠铺合成宝石使用</t>
  </si>
  <si>
    <t>fall_hechengfu_556</t>
  </si>
  <si>
    <t>|cff00FF556前往铁匠铺合成宝石使用</t>
  </si>
  <si>
    <t>fall_hechengfu_557</t>
  </si>
  <si>
    <t>|cff00FF557前往铁匠铺合成宝石使用</t>
  </si>
  <si>
    <t>fall_hechengfu_558</t>
  </si>
  <si>
    <t>金丹清和延寿丹</t>
  </si>
  <si>
    <t>|cff00FF558前往铁匠铺合成宝石使用</t>
  </si>
  <si>
    <t>fall_hechengfu_559</t>
  </si>
  <si>
    <t>|cff00FF559前往铁匠铺合成宝石使用</t>
  </si>
  <si>
    <t>fall_hechengfu_560</t>
  </si>
  <si>
    <t>|cff00FF560前往铁匠铺合成宝石使用</t>
  </si>
  <si>
    <t>fall_hechengfu_561</t>
  </si>
  <si>
    <t>金丹延寿丹</t>
  </si>
  <si>
    <t>|cff00FF561前往铁匠铺合成宝石使用</t>
  </si>
  <si>
    <t>fall_hechengfu_562</t>
  </si>
  <si>
    <t>|cff00FF562前往铁匠铺合成宝石使用</t>
  </si>
  <si>
    <t>fall_hechengfu_563</t>
  </si>
  <si>
    <t>|cff00FF563前往铁匠铺合成宝石使用</t>
  </si>
  <si>
    <t>fall_hechengfu_564</t>
  </si>
  <si>
    <t>金丹温阳延寿丹</t>
  </si>
  <si>
    <t>|cff00FF564前往铁匠铺合成宝石使用</t>
  </si>
  <si>
    <t>fall_hechengfu_565</t>
  </si>
  <si>
    <t>|cff00FF565前往铁匠铺合成宝石使用</t>
  </si>
  <si>
    <t>fall_hechengfu_566</t>
  </si>
  <si>
    <t>|cff00FF566前往铁匠铺合成宝石使用</t>
  </si>
  <si>
    <t>fall_hechengfu_567</t>
  </si>
  <si>
    <t>金丹烈阳延寿丹</t>
  </si>
  <si>
    <t>|cff00FF567前往铁匠铺合成宝石使用</t>
  </si>
  <si>
    <t>fall_hechengfu_568</t>
  </si>
  <si>
    <t>|cff00FF568前往铁匠铺合成宝石使用</t>
  </si>
  <si>
    <t>fall_hechengfu_569</t>
  </si>
  <si>
    <t>|cff00FF569前往铁匠铺合成宝石使用</t>
  </si>
  <si>
    <t>fall_hechengfu_570</t>
  </si>
  <si>
    <t>金丹玄阴塑灵丹</t>
  </si>
  <si>
    <t>|cff00FF570前往铁匠铺合成宝石使用</t>
  </si>
  <si>
    <t>fall_hechengfu_571</t>
  </si>
  <si>
    <t>|cff00FF571前往铁匠铺合成宝石使用</t>
  </si>
  <si>
    <t>fall_hechengfu_572</t>
  </si>
  <si>
    <t>|cff00FF572前往铁匠铺合成宝石使用</t>
  </si>
  <si>
    <t>fall_hechengfu_573</t>
  </si>
  <si>
    <t>金丹清和塑灵丹</t>
  </si>
  <si>
    <t>|cff00FF573前往铁匠铺合成宝石使用</t>
  </si>
  <si>
    <t>fall_hechengfu_574</t>
  </si>
  <si>
    <t>|cff00FF574前往铁匠铺合成宝石使用</t>
  </si>
  <si>
    <t>fall_hechengfu_575</t>
  </si>
  <si>
    <t>|cff00FF575前往铁匠铺合成宝石使用</t>
  </si>
  <si>
    <t>fall_hechengfu_576</t>
  </si>
  <si>
    <t>金丹塑灵丹</t>
  </si>
  <si>
    <t>|cff00FF576前往铁匠铺合成宝石使用</t>
  </si>
  <si>
    <t>fall_hechengfu_577</t>
  </si>
  <si>
    <t>|cff00FF577前往铁匠铺合成宝石使用</t>
  </si>
  <si>
    <t>fall_hechengfu_578</t>
  </si>
  <si>
    <t>|cff00FF578前往铁匠铺合成宝石使用</t>
  </si>
  <si>
    <t>fall_hechengfu_579</t>
  </si>
  <si>
    <t>金丹温阳塑灵丹</t>
  </si>
  <si>
    <t>|cff00FF579前往铁匠铺合成宝石使用</t>
  </si>
  <si>
    <t>fall_hechengfu_580</t>
  </si>
  <si>
    <t>|cff00FF580前往铁匠铺合成宝石使用</t>
  </si>
  <si>
    <t>fall_hechengfu_581</t>
  </si>
  <si>
    <t>|cff00FF581前往铁匠铺合成宝石使用</t>
  </si>
  <si>
    <t>fall_hechengfu_582</t>
  </si>
  <si>
    <t>金丹洗灵丹</t>
  </si>
  <si>
    <t>|cff00FF582前往铁匠铺合成宝石使用</t>
  </si>
  <si>
    <t>fall_hechengfu_583</t>
  </si>
  <si>
    <t>|cff00FF583前往铁匠铺合成宝石使用</t>
  </si>
  <si>
    <t>fall_hechengfu_584</t>
  </si>
  <si>
    <t>|cff00FF584前往铁匠铺合成宝石使用</t>
  </si>
  <si>
    <t>fall_hechengfu_585</t>
  </si>
  <si>
    <t>金丹玄阴固元丹</t>
  </si>
  <si>
    <t>|cff00FF585前往铁匠铺合成宝石使用</t>
  </si>
  <si>
    <t>fall_hechengfu_586</t>
  </si>
  <si>
    <t>|cff00FF586前往铁匠铺合成宝石使用</t>
  </si>
  <si>
    <t>fall_hechengfu_587</t>
  </si>
  <si>
    <t>|cff00FF587前往铁匠铺合成宝石使用</t>
  </si>
  <si>
    <t>fall_hechengfu_588</t>
  </si>
  <si>
    <t>金丹清和固元丹</t>
  </si>
  <si>
    <t>|cff00FF588前往铁匠铺合成宝石使用</t>
  </si>
  <si>
    <t>fall_hechengfu_589</t>
  </si>
  <si>
    <t>|cff00FF589前往铁匠铺合成宝石使用</t>
  </si>
  <si>
    <t>fall_hechengfu_590</t>
  </si>
  <si>
    <t>|cff00FF590前往铁匠铺合成宝石使用</t>
  </si>
  <si>
    <t>fall_hechengfu_591</t>
  </si>
  <si>
    <t>金丹固元丹</t>
  </si>
  <si>
    <t>|cff00FF591前往铁匠铺合成宝石使用</t>
  </si>
  <si>
    <t>fall_hechengfu_592</t>
  </si>
  <si>
    <t>|cff00FF592前往铁匠铺合成宝石使用</t>
  </si>
  <si>
    <t>fall_hechengfu_593</t>
  </si>
  <si>
    <t>|cff00FF593前往铁匠铺合成宝石使用</t>
  </si>
  <si>
    <t>fall_hechengfu_594</t>
  </si>
  <si>
    <t>金丹温阳固元丹</t>
  </si>
  <si>
    <t>|cff00FF594前往铁匠铺合成宝石使用</t>
  </si>
  <si>
    <t>fall_hechengfu_595</t>
  </si>
  <si>
    <t>|cff00FF595前往铁匠铺合成宝石使用</t>
  </si>
  <si>
    <t>fall_hechengfu_596</t>
  </si>
  <si>
    <t>|cff00FF596前往铁匠铺合成宝石使用</t>
  </si>
  <si>
    <t>fall_hechengfu_597</t>
  </si>
  <si>
    <t>金丹烈阳固元丹</t>
  </si>
  <si>
    <t>|cff00FF597前往铁匠铺合成宝石使用</t>
  </si>
  <si>
    <t>fall_hechengfu_598</t>
  </si>
  <si>
    <t>|cff00FF598前往铁匠铺合成宝石使用</t>
  </si>
  <si>
    <t>fall_hechengfu_599</t>
  </si>
  <si>
    <t>|cff00FF599前往铁匠铺合成宝石使用</t>
  </si>
  <si>
    <t>fall_hechengfu_600</t>
  </si>
  <si>
    <t>金丹玄阴破妄丹</t>
  </si>
  <si>
    <t>|cff00FF600前往铁匠铺合成宝石使用</t>
  </si>
  <si>
    <t>fall_hechengfu_601</t>
  </si>
  <si>
    <t>|cff00FF601前往铁匠铺合成宝石使用</t>
  </si>
  <si>
    <t>fall_hechengfu_602</t>
  </si>
  <si>
    <t>|cff00FF602前往铁匠铺合成宝石使用</t>
  </si>
  <si>
    <t>fall_hechengfu_603</t>
  </si>
  <si>
    <t>金丹清和破妄丹</t>
  </si>
  <si>
    <t>|cff00FF603前往铁匠铺合成宝石使用</t>
  </si>
  <si>
    <t>fall_hechengfu_604</t>
  </si>
  <si>
    <t>|cff00FF604前往铁匠铺合成宝石使用</t>
  </si>
  <si>
    <t>fall_hechengfu_605</t>
  </si>
  <si>
    <t>|cff00FF605前往铁匠铺合成宝石使用</t>
  </si>
  <si>
    <t>fall_hechengfu_606</t>
  </si>
  <si>
    <t>金丹破妄丹</t>
  </si>
  <si>
    <t>|cff00FF606前往铁匠铺合成宝石使用</t>
  </si>
  <si>
    <t>fall_hechengfu_607</t>
  </si>
  <si>
    <t>|cff00FF607前往铁匠铺合成宝石使用</t>
  </si>
  <si>
    <t>fall_hechengfu_608</t>
  </si>
  <si>
    <t>|cff00FF608前往铁匠铺合成宝石使用</t>
  </si>
  <si>
    <t>fall_hechengfu_609</t>
  </si>
  <si>
    <t>金丹温阳破妄丹</t>
  </si>
  <si>
    <t>|cff00FF609前往铁匠铺合成宝石使用</t>
  </si>
  <si>
    <t>fall_hechengfu_610</t>
  </si>
  <si>
    <t>|cff00FF610前往铁匠铺合成宝石使用</t>
  </si>
  <si>
    <t>fall_hechengfu_611</t>
  </si>
  <si>
    <t>|cff00FF611前往铁匠铺合成宝石使用</t>
  </si>
  <si>
    <t>fall_hechengfu_612</t>
  </si>
  <si>
    <t>金丹烈阳破妄丹</t>
  </si>
  <si>
    <t>|cff00FF612前往铁匠铺合成宝石使用</t>
  </si>
  <si>
    <t>fall_hechengfu_613</t>
  </si>
  <si>
    <t>|cff00FF613前往铁匠铺合成宝石使用</t>
  </si>
  <si>
    <t>fall_hechengfu_614</t>
  </si>
  <si>
    <t>|cff00FF614前往铁匠铺合成宝石使用</t>
  </si>
  <si>
    <t>fall_hechengfu_615</t>
  </si>
  <si>
    <t>金丹玄阴养神丹</t>
  </si>
  <si>
    <t>|cff00FF615前往铁匠铺合成宝石使用</t>
  </si>
  <si>
    <t>fall_hechengfu_616</t>
  </si>
  <si>
    <t>|cff00FF616前往铁匠铺合成宝石使用</t>
  </si>
  <si>
    <t>fall_hechengfu_617</t>
  </si>
  <si>
    <t>|cff00FF617前往铁匠铺合成宝石使用</t>
  </si>
  <si>
    <t>fall_hechengfu_618</t>
  </si>
  <si>
    <t>金丹清和养神丹</t>
  </si>
  <si>
    <t>|cff00FF618前往铁匠铺合成宝石使用</t>
  </si>
  <si>
    <t>fall_hechengfu_619</t>
  </si>
  <si>
    <t>|cff00FF619前往铁匠铺合成宝石使用</t>
  </si>
  <si>
    <t>fall_hechengfu_620</t>
  </si>
  <si>
    <t>|cff00FF620前往铁匠铺合成宝石使用</t>
  </si>
  <si>
    <t>fall_hechengfu_621</t>
  </si>
  <si>
    <t>金丹养神丹</t>
  </si>
  <si>
    <t>|cff00FF621前往铁匠铺合成宝石使用</t>
  </si>
  <si>
    <t>fall_hechengfu_622</t>
  </si>
  <si>
    <t>|cff00FF622前往铁匠铺合成宝石使用</t>
  </si>
  <si>
    <t>fall_hechengfu_623</t>
  </si>
  <si>
    <t>|cff00FF623前往铁匠铺合成宝石使用</t>
  </si>
  <si>
    <t>fall_hechengfu_624</t>
  </si>
  <si>
    <t>金丹温阳养神丹</t>
  </si>
  <si>
    <t>|cff00FF624前往铁匠铺合成宝石使用</t>
  </si>
  <si>
    <t>fall_hechengfu_625</t>
  </si>
  <si>
    <t>|cff00FF625前往铁匠铺合成宝石使用</t>
  </si>
  <si>
    <t>fall_hechengfu_626</t>
  </si>
  <si>
    <t>|cff00FF626前往铁匠铺合成宝石使用</t>
  </si>
  <si>
    <t>fall_hechengfu_627</t>
  </si>
  <si>
    <t>金丹烈阳养神丹</t>
  </si>
  <si>
    <t>|cff00FF627前往铁匠铺合成宝石使用</t>
  </si>
  <si>
    <t>fall_hechengfu_628</t>
  </si>
  <si>
    <t>|cff00FF628前往铁匠铺合成宝石使用</t>
  </si>
  <si>
    <t>fall_hechengfu_629</t>
  </si>
  <si>
    <t>|cff00FF629前往铁匠铺合成宝石使用</t>
  </si>
  <si>
    <t>fall_hechengfu_630</t>
  </si>
  <si>
    <t>金丹玄阴明心丹</t>
  </si>
  <si>
    <t>|cff00FF630前往铁匠铺合成宝石使用</t>
  </si>
  <si>
    <t>fall_hechengfu_631</t>
  </si>
  <si>
    <t>|cff00FF631前往铁匠铺合成宝石使用</t>
  </si>
  <si>
    <t>fall_hechengfu_632</t>
  </si>
  <si>
    <t>|cff00FF632前往铁匠铺合成宝石使用</t>
  </si>
  <si>
    <t>fall_hechengfu_633</t>
  </si>
  <si>
    <t>金丹清和明心丹</t>
  </si>
  <si>
    <t>|cff00FF633前往铁匠铺合成宝石使用</t>
  </si>
  <si>
    <t>fall_hechengfu_634</t>
  </si>
  <si>
    <t>|cff00FF634前往铁匠铺合成宝石使用</t>
  </si>
  <si>
    <t>fall_hechengfu_635</t>
  </si>
  <si>
    <t>|cff00FF635前往铁匠铺合成宝石使用</t>
  </si>
  <si>
    <t>fall_hechengfu_636</t>
  </si>
  <si>
    <t>金丹明心丹</t>
  </si>
  <si>
    <t>|cff00FF636前往铁匠铺合成宝石使用</t>
  </si>
  <si>
    <t>fall_hechengfu_637</t>
  </si>
  <si>
    <t>|cff00FF637前往铁匠铺合成宝石使用</t>
  </si>
  <si>
    <t>fall_hechengfu_638</t>
  </si>
  <si>
    <t>|cff00FF638前往铁匠铺合成宝石使用</t>
  </si>
  <si>
    <t>fall_hechengfu_639</t>
  </si>
  <si>
    <t>金丹温阳明心丹</t>
  </si>
  <si>
    <t>|cff00FF639前往铁匠铺合成宝石使用</t>
  </si>
  <si>
    <t>fall_hechengfu_640</t>
  </si>
  <si>
    <t>|cff00FF640前往铁匠铺合成宝石使用</t>
  </si>
  <si>
    <t>fall_hechengfu_641</t>
  </si>
  <si>
    <t>|cff00FF641前往铁匠铺合成宝石使用</t>
  </si>
  <si>
    <t>fall_hechengfu_642</t>
  </si>
  <si>
    <t>金丹烈阳明心丹</t>
  </si>
  <si>
    <t>|cff00FF642前往铁匠铺合成宝石使用</t>
  </si>
  <si>
    <t>fall_hechengfu_643</t>
  </si>
  <si>
    <t>|cff00FF643前往铁匠铺合成宝石使用</t>
  </si>
  <si>
    <t>fall_hechengfu_644</t>
  </si>
  <si>
    <t>|cff00FF644前往铁匠铺合成宝石使用</t>
  </si>
  <si>
    <t>fall_hechengfu_645</t>
  </si>
  <si>
    <t>金丹玄阴照神丹</t>
  </si>
  <si>
    <t>|cff00FF645前往铁匠铺合成宝石使用</t>
  </si>
  <si>
    <t>fall_hechengfu_646</t>
  </si>
  <si>
    <t>|cff00FF646前往铁匠铺合成宝石使用</t>
  </si>
  <si>
    <t>fall_hechengfu_647</t>
  </si>
  <si>
    <t>|cff00FF647前往铁匠铺合成宝石使用</t>
  </si>
  <si>
    <t>fall_hechengfu_648</t>
  </si>
  <si>
    <t>金丹清和照神丹</t>
  </si>
  <si>
    <t>|cff00FF648前往铁匠铺合成宝石使用</t>
  </si>
  <si>
    <t>fall_hechengfu_649</t>
  </si>
  <si>
    <t>|cff00FF649前往铁匠铺合成宝石使用</t>
  </si>
  <si>
    <t>fall_hechengfu_650</t>
  </si>
  <si>
    <t>|cff00FF650前往铁匠铺合成宝石使用</t>
  </si>
  <si>
    <t>fall_hechengfu_651</t>
  </si>
  <si>
    <t>金丹照神丹</t>
  </si>
  <si>
    <t>|cff00FF651前往铁匠铺合成宝石使用</t>
  </si>
  <si>
    <t>fall_hechengfu_652</t>
  </si>
  <si>
    <t>|cff00FF652前往铁匠铺合成宝石使用</t>
  </si>
  <si>
    <t>fall_hechengfu_653</t>
  </si>
  <si>
    <t>|cff00FF653前往铁匠铺合成宝石使用</t>
  </si>
  <si>
    <t>fall_hechengfu_654</t>
  </si>
  <si>
    <t>金丹温阳照神丹</t>
  </si>
  <si>
    <t>|cff00FF654前往铁匠铺合成宝石使用</t>
  </si>
  <si>
    <t>fall_hechengfu_655</t>
  </si>
  <si>
    <t>|cff00FF655前往铁匠铺合成宝石使用</t>
  </si>
  <si>
    <t>fall_hechengfu_656</t>
  </si>
  <si>
    <t>|cff00FF656前往铁匠铺合成宝石使用</t>
  </si>
  <si>
    <t>fall_hechengfu_657</t>
  </si>
  <si>
    <t>金丹烈阳照神丹</t>
  </si>
  <si>
    <t>|cff00FF657前往铁匠铺合成宝石使用</t>
  </si>
  <si>
    <t>fall_hechengfu_658</t>
  </si>
  <si>
    <t>|cff00FF658前往铁匠铺合成宝石使用</t>
  </si>
  <si>
    <t>fall_hechengfu_659</t>
  </si>
  <si>
    <t>|cff00FF659前往铁匠铺合成宝石使用</t>
  </si>
  <si>
    <t>fall_hechengfu_660</t>
  </si>
  <si>
    <t>金丹玄阴定神丹</t>
  </si>
  <si>
    <t>|cff00FF660前往铁匠铺合成宝石使用</t>
  </si>
  <si>
    <t>fall_hechengfu_661</t>
  </si>
  <si>
    <t>|cff00FF661前往铁匠铺合成宝石使用</t>
  </si>
  <si>
    <t>fall_hechengfu_662</t>
  </si>
  <si>
    <t>|cff00FF662前往铁匠铺合成宝石使用</t>
  </si>
  <si>
    <t>fall_hechengfu_663</t>
  </si>
  <si>
    <t>金丹清和定神丹</t>
  </si>
  <si>
    <t>|cff00FF663前往铁匠铺合成宝石使用</t>
  </si>
  <si>
    <t>fall_hechengfu_664</t>
  </si>
  <si>
    <t>|cff00FF664前往铁匠铺合成宝石使用</t>
  </si>
  <si>
    <t>fall_hechengfu_665</t>
  </si>
  <si>
    <t>|cff00FF665前往铁匠铺合成宝石使用</t>
  </si>
  <si>
    <t>fall_hechengfu_666</t>
  </si>
  <si>
    <t>金丹定神丹</t>
  </si>
  <si>
    <t>|cff00FF666前往铁匠铺合成宝石使用</t>
  </si>
  <si>
    <t>fall_hechengfu_667</t>
  </si>
  <si>
    <t>|cff00FF667前往铁匠铺合成宝石使用</t>
  </si>
  <si>
    <t>fall_hechengfu_668</t>
  </si>
  <si>
    <t>|cff00FF668前往铁匠铺合成宝石使用</t>
  </si>
  <si>
    <t>fall_hechengfu_669</t>
  </si>
  <si>
    <t>金丹温阳定神丹</t>
  </si>
  <si>
    <t>|cff00FF669前往铁匠铺合成宝石使用</t>
  </si>
  <si>
    <t>fall_hechengfu_670</t>
  </si>
  <si>
    <t>|cff00FF670前往铁匠铺合成宝石使用</t>
  </si>
  <si>
    <t>fall_hechengfu_671</t>
  </si>
  <si>
    <t>|cff00FF671前往铁匠铺合成宝石使用</t>
  </si>
  <si>
    <t>fall_hechengfu_672</t>
  </si>
  <si>
    <t>金丹烈阳定神丹</t>
  </si>
  <si>
    <t>|cff00FF672前往铁匠铺合成宝石使用</t>
  </si>
  <si>
    <t>fall_hechengfu_673</t>
  </si>
  <si>
    <t>|cff00FF673前往铁匠铺合成宝石使用</t>
  </si>
  <si>
    <t>fall_hechengfu_674</t>
  </si>
  <si>
    <t>|cff00FF674前往铁匠铺合成宝石使用</t>
  </si>
  <si>
    <t>fall_hechengfu_675</t>
  </si>
  <si>
    <t>金丹玄阴解厄丹</t>
  </si>
  <si>
    <t>|cff00FF675前往铁匠铺合成宝石使用</t>
  </si>
  <si>
    <t>fall_hechengfu_676</t>
  </si>
  <si>
    <t>|cff00FF676前往铁匠铺合成宝石使用</t>
  </si>
  <si>
    <t>fall_hechengfu_677</t>
  </si>
  <si>
    <t>|cff00FF677前往铁匠铺合成宝石使用</t>
  </si>
  <si>
    <t>fall_hechengfu_678</t>
  </si>
  <si>
    <t>金丹清和解厄丹</t>
  </si>
  <si>
    <t>|cff00FF678前往铁匠铺合成宝石使用</t>
  </si>
  <si>
    <t>fall_hechengfu_679</t>
  </si>
  <si>
    <t>|cff00FF679前往铁匠铺合成宝石使用</t>
  </si>
  <si>
    <t>fall_hechengfu_680</t>
  </si>
  <si>
    <t>|cff00FF680前往铁匠铺合成宝石使用</t>
  </si>
  <si>
    <t>fall_hechengfu_681</t>
  </si>
  <si>
    <t>金丹解厄丹</t>
  </si>
  <si>
    <t>|cff00FF681前往铁匠铺合成宝石使用</t>
  </si>
  <si>
    <t>fall_hechengfu_682</t>
  </si>
  <si>
    <t>|cff00FF682前往铁匠铺合成宝石使用</t>
  </si>
  <si>
    <t>fall_hechengfu_683</t>
  </si>
  <si>
    <t>|cff00FF683前往铁匠铺合成宝石使用</t>
  </si>
  <si>
    <t>fall_hechengfu_684</t>
  </si>
  <si>
    <t>金丹温阳解厄丹</t>
  </si>
  <si>
    <t>|cff00FF684前往铁匠铺合成宝石使用</t>
  </si>
  <si>
    <t>fall_hechengfu_685</t>
  </si>
  <si>
    <t>|cff00FF685前往铁匠铺合成宝石使用</t>
  </si>
  <si>
    <t>fall_hechengfu_686</t>
  </si>
  <si>
    <t>|cff00FF686前往铁匠铺合成宝石使用</t>
  </si>
  <si>
    <t>fall_hechengfu_687</t>
  </si>
  <si>
    <t>金丹烈阳解厄丹</t>
  </si>
  <si>
    <t>|cff00FF687前往铁匠铺合成宝石使用</t>
  </si>
  <si>
    <t>fall_hechengfu_688</t>
  </si>
  <si>
    <t>|cff00FF688前往铁匠铺合成宝石使用</t>
  </si>
  <si>
    <t>fall_hechengfu_689</t>
  </si>
  <si>
    <t>|cff00FF689前往铁匠铺合成宝石使用</t>
  </si>
  <si>
    <t>fall_hechengfu_690</t>
  </si>
  <si>
    <t>金丹玄阴回春丹</t>
  </si>
  <si>
    <t>|cff00FF690前往铁匠铺合成宝石使用</t>
  </si>
  <si>
    <t>fall_hechengfu_691</t>
  </si>
  <si>
    <t>|cff00FF691前往铁匠铺合成宝石使用</t>
  </si>
  <si>
    <t>fall_hechengfu_692</t>
  </si>
  <si>
    <t>|cff00FF692前往铁匠铺合成宝石使用</t>
  </si>
  <si>
    <t>fall_hechengfu_693</t>
  </si>
  <si>
    <t>金丹清和回春丹</t>
  </si>
  <si>
    <t>|cff00FF693前往铁匠铺合成宝石使用</t>
  </si>
  <si>
    <t>fall_hechengfu_694</t>
  </si>
  <si>
    <t>|cff00FF694前往铁匠铺合成宝石使用</t>
  </si>
  <si>
    <t>fall_hechengfu_695</t>
  </si>
  <si>
    <t>|cff00FF695前往铁匠铺合成宝石使用</t>
  </si>
  <si>
    <t>fall_hechengfu_696</t>
  </si>
  <si>
    <t>金丹回春丹</t>
  </si>
  <si>
    <t>|cff00FF696前往铁匠铺合成宝石使用</t>
  </si>
  <si>
    <t>fall_hechengfu_697</t>
  </si>
  <si>
    <t>|cff00FF697前往铁匠铺合成宝石使用</t>
  </si>
  <si>
    <t>fall_hechengfu_698</t>
  </si>
  <si>
    <t>|cff00FF698前往铁匠铺合成宝石使用</t>
  </si>
  <si>
    <t>fall_hechengfu_699</t>
  </si>
  <si>
    <t>金丹温阳回春丹</t>
  </si>
  <si>
    <t>|cff00FF699前往铁匠铺合成宝石使用</t>
  </si>
  <si>
    <t>fall_hechengfu_700</t>
  </si>
  <si>
    <t>|cff00FF700前往铁匠铺合成宝石使用</t>
  </si>
  <si>
    <t>fall_hechengfu_701</t>
  </si>
  <si>
    <t>|cff00FF701前往铁匠铺合成宝石使用</t>
  </si>
  <si>
    <t>fall_hechengfu_702</t>
  </si>
  <si>
    <t>金丹烈阳回春丹</t>
  </si>
  <si>
    <t>|cff00FF702前往铁匠铺合成宝石使用</t>
  </si>
  <si>
    <t>fall_hechengfu_703</t>
  </si>
  <si>
    <t>|cff00FF703前往铁匠铺合成宝石使用</t>
  </si>
  <si>
    <t>fall_hechengfu_704</t>
  </si>
  <si>
    <t>|cff00FF704前往铁匠铺合成宝石使用</t>
  </si>
  <si>
    <t>fall_hechengfu_705</t>
  </si>
  <si>
    <t>金丹玄阴活血丹</t>
  </si>
  <si>
    <t>|cff00FF705前往铁匠铺合成宝石使用</t>
  </si>
  <si>
    <t>fall_hechengfu_706</t>
  </si>
  <si>
    <t>|cff00FF706前往铁匠铺合成宝石使用</t>
  </si>
  <si>
    <t>fall_hechengfu_707</t>
  </si>
  <si>
    <t>|cff00FF707前往铁匠铺合成宝石使用</t>
  </si>
  <si>
    <t>fall_hechengfu_708</t>
  </si>
  <si>
    <t>金丹清和活血丹</t>
  </si>
  <si>
    <t>|cff00FF708前往铁匠铺合成宝石使用</t>
  </si>
  <si>
    <t>fall_hechengfu_709</t>
  </si>
  <si>
    <t>|cff00FF709前往铁匠铺合成宝石使用</t>
  </si>
  <si>
    <t>fall_hechengfu_710</t>
  </si>
  <si>
    <t>|cff00FF710前往铁匠铺合成宝石使用</t>
  </si>
  <si>
    <t>fall_hechengfu_711</t>
  </si>
  <si>
    <t>金丹活血丹</t>
  </si>
  <si>
    <t>|cff00FF711前往铁匠铺合成宝石使用</t>
  </si>
  <si>
    <t>fall_hechengfu_712</t>
  </si>
  <si>
    <t>|cff00FF712前往铁匠铺合成宝石使用</t>
  </si>
  <si>
    <t>fall_hechengfu_713</t>
  </si>
  <si>
    <t>|cff00FF713前往铁匠铺合成宝石使用</t>
  </si>
  <si>
    <t>fall_hechengfu_714</t>
  </si>
  <si>
    <t>金丹温阳活血丹</t>
  </si>
  <si>
    <t>|cff00FF714前往铁匠铺合成宝石使用</t>
  </si>
  <si>
    <t>fall_hechengfu_715</t>
  </si>
  <si>
    <t>|cff00FF715前往铁匠铺合成宝石使用</t>
  </si>
  <si>
    <t>fall_hechengfu_716</t>
  </si>
  <si>
    <t>|cff00FF716前往铁匠铺合成宝石使用</t>
  </si>
  <si>
    <t>fall_hechengfu_717</t>
  </si>
  <si>
    <t>金丹烈阳活血丹</t>
  </si>
  <si>
    <t>|cff00FF717前往铁匠铺合成宝石使用</t>
  </si>
  <si>
    <t>fall_hechengfu_718</t>
  </si>
  <si>
    <t>|cff00FF718前往铁匠铺合成宝石使用</t>
  </si>
  <si>
    <t>fall_hechengfu_719</t>
  </si>
  <si>
    <t>|cff00FF719前往铁匠铺合成宝石使用</t>
  </si>
  <si>
    <t>fall_hechengfu_720</t>
  </si>
  <si>
    <t>金丹玄阴战元丹</t>
  </si>
  <si>
    <t>|cff00FF720前往铁匠铺合成宝石使用</t>
  </si>
  <si>
    <t>fall_hechengfu_721</t>
  </si>
  <si>
    <t>|cff00FF721前往铁匠铺合成宝石使用</t>
  </si>
  <si>
    <t>fall_hechengfu_722</t>
  </si>
  <si>
    <t>|cff00FF722前往铁匠铺合成宝石使用</t>
  </si>
  <si>
    <t>fall_hechengfu_723</t>
  </si>
  <si>
    <t>金丹清和战元丹</t>
  </si>
  <si>
    <t>|cff00FF723前往铁匠铺合成宝石使用</t>
  </si>
  <si>
    <t>fall_hechengfu_724</t>
  </si>
  <si>
    <t>|cff00FF724前往铁匠铺合成宝石使用</t>
  </si>
  <si>
    <t>fall_hechengfu_725</t>
  </si>
  <si>
    <t>|cff00FF725前往铁匠铺合成宝石使用</t>
  </si>
  <si>
    <t>fall_hechengfu_726</t>
  </si>
  <si>
    <t>金丹战元丹</t>
  </si>
  <si>
    <t>|cff00FF726前往铁匠铺合成宝石使用</t>
  </si>
  <si>
    <t>fall_hechengfu_727</t>
  </si>
  <si>
    <t>|cff00FF727前往铁匠铺合成宝石使用</t>
  </si>
  <si>
    <t>fall_hechengfu_728</t>
  </si>
  <si>
    <t>|cff00FF728前往铁匠铺合成宝石使用</t>
  </si>
  <si>
    <t>fall_hechengfu_729</t>
  </si>
  <si>
    <t>金丹温阳战元丹</t>
  </si>
  <si>
    <t>|cff00FF729前往铁匠铺合成宝石使用</t>
  </si>
  <si>
    <t>fall_hechengfu_730</t>
  </si>
  <si>
    <t>|cff00FF730前往铁匠铺合成宝石使用</t>
  </si>
  <si>
    <t>fall_hechengfu_731</t>
  </si>
  <si>
    <t>|cff00FF731前往铁匠铺合成宝石使用</t>
  </si>
  <si>
    <t>fall_hechengfu_732</t>
  </si>
  <si>
    <t>金丹烈阳战元丹</t>
  </si>
  <si>
    <t>|cff00FF732前往铁匠铺合成宝石使用</t>
  </si>
  <si>
    <t>fall_hechengfu_733</t>
  </si>
  <si>
    <t>|cff00FF733前往铁匠铺合成宝石使用</t>
  </si>
  <si>
    <t>fall_hechengfu_734</t>
  </si>
  <si>
    <t>|cff00FF734前往铁匠铺合成宝石使用</t>
  </si>
  <si>
    <t>fall_hechengfu_735</t>
  </si>
  <si>
    <t>金丹玄阴锻体丹</t>
  </si>
  <si>
    <t>|cff00FF735前往铁匠铺合成宝石使用</t>
  </si>
  <si>
    <t>fall_hechengfu_736</t>
  </si>
  <si>
    <t>|cff00FF736前往铁匠铺合成宝石使用</t>
  </si>
  <si>
    <t>fall_hechengfu_737</t>
  </si>
  <si>
    <t>|cff00FF737前往铁匠铺合成宝石使用</t>
  </si>
  <si>
    <t>fall_hechengfu_738</t>
  </si>
  <si>
    <t>金丹清和锻体丹</t>
  </si>
  <si>
    <t>|cff00FF738前往铁匠铺合成宝石使用</t>
  </si>
  <si>
    <t>fall_hechengfu_739</t>
  </si>
  <si>
    <t>|cff00FF739前往铁匠铺合成宝石使用</t>
  </si>
  <si>
    <t>fall_hechengfu_740</t>
  </si>
  <si>
    <t>|cff00FF740前往铁匠铺合成宝石使用</t>
  </si>
  <si>
    <t>fall_hechengfu_741</t>
  </si>
  <si>
    <t>金丹锻体丹</t>
  </si>
  <si>
    <t>|cff00FF741前往铁匠铺合成宝石使用</t>
  </si>
  <si>
    <t>fall_hechengfu_742</t>
  </si>
  <si>
    <t>|cff00FF742前往铁匠铺合成宝石使用</t>
  </si>
  <si>
    <t>fall_hechengfu_743</t>
  </si>
  <si>
    <t>|cff00FF743前往铁匠铺合成宝石使用</t>
  </si>
  <si>
    <t>fall_hechengfu_744</t>
  </si>
  <si>
    <t>金丹温阳锻体丹</t>
  </si>
  <si>
    <t>|cff00FF744前往铁匠铺合成宝石使用</t>
  </si>
  <si>
    <t>fall_hechengfu_745</t>
  </si>
  <si>
    <t>|cff00FF745前往铁匠铺合成宝石使用</t>
  </si>
  <si>
    <t>fall_hechengfu_746</t>
  </si>
  <si>
    <t>|cff00FF746前往铁匠铺合成宝石使用</t>
  </si>
  <si>
    <t>fall_hechengfu_747</t>
  </si>
  <si>
    <t>金丹烈阳锻体丹</t>
  </si>
  <si>
    <t>|cff00FF747前往铁匠铺合成宝石使用</t>
  </si>
  <si>
    <t>fall_hechengfu_748</t>
  </si>
  <si>
    <t>|cff00FF748前往铁匠铺合成宝石使用</t>
  </si>
  <si>
    <t>fall_hechengfu_749</t>
  </si>
  <si>
    <t>|cff00FF749前往铁匠铺合成宝石使用</t>
  </si>
  <si>
    <t>fall_hechengfu_750</t>
  </si>
  <si>
    <t>元婴玄阴涤元丹</t>
  </si>
  <si>
    <t>|cff00FF750前往铁匠铺合成宝石使用</t>
  </si>
  <si>
    <t>fall_hechengfu_751</t>
  </si>
  <si>
    <t>|cff00FF751前往铁匠铺合成宝石使用</t>
  </si>
  <si>
    <t>fall_hechengfu_752</t>
  </si>
  <si>
    <t>|cff00FF752前往铁匠铺合成宝石使用</t>
  </si>
  <si>
    <t>fall_hechengfu_753</t>
  </si>
  <si>
    <t>元婴清和涤元丹</t>
  </si>
  <si>
    <t>|cff00FF753前往铁匠铺合成宝石使用</t>
  </si>
  <si>
    <t>fall_hechengfu_754</t>
  </si>
  <si>
    <t>|cff00FF754前往铁匠铺合成宝石使用</t>
  </si>
  <si>
    <t>fall_hechengfu_755</t>
  </si>
  <si>
    <t>|cff00FF755前往铁匠铺合成宝石使用</t>
  </si>
  <si>
    <t>fall_hechengfu_756</t>
  </si>
  <si>
    <t>元婴涤元丹</t>
  </si>
  <si>
    <t>|cff00FF756前往铁匠铺合成宝石使用</t>
  </si>
  <si>
    <t>fall_hechengfu_757</t>
  </si>
  <si>
    <t>|cff00FF757前往铁匠铺合成宝石使用</t>
  </si>
  <si>
    <t>fall_hechengfu_758</t>
  </si>
  <si>
    <t>|cff00FF758前往铁匠铺合成宝石使用</t>
  </si>
  <si>
    <t>fall_hechengfu_759</t>
  </si>
  <si>
    <t>元婴温阳涤元丹</t>
  </si>
  <si>
    <t>|cff00FF759前往铁匠铺合成宝石使用</t>
  </si>
  <si>
    <t>fall_hechengfu_760</t>
  </si>
  <si>
    <t>|cff00FF760前往铁匠铺合成宝石使用</t>
  </si>
  <si>
    <t>fall_hechengfu_761</t>
  </si>
  <si>
    <t>|cff00FF761前往铁匠铺合成宝石使用</t>
  </si>
  <si>
    <t>fall_hechengfu_762</t>
  </si>
  <si>
    <t>元婴烈阳涤元丹</t>
  </si>
  <si>
    <t>|cff00FF762前往铁匠铺合成宝石使用</t>
  </si>
  <si>
    <t>fall_hechengfu_763</t>
  </si>
  <si>
    <t>|cff00FF763前往铁匠铺合成宝石使用</t>
  </si>
  <si>
    <t>fall_hechengfu_764</t>
  </si>
  <si>
    <t>|cff00FF764前往铁匠铺合成宝石使用</t>
  </si>
  <si>
    <t>fall_hechengfu_765</t>
  </si>
  <si>
    <t>元婴玄阴破境丹</t>
  </si>
  <si>
    <t>|cff00FF765前往铁匠铺合成宝石使用</t>
  </si>
  <si>
    <t>fall_hechengfu_766</t>
  </si>
  <si>
    <t>|cff00FF766前往铁匠铺合成宝石使用</t>
  </si>
  <si>
    <t>fall_hechengfu_767</t>
  </si>
  <si>
    <t>|cff00FF767前往铁匠铺合成宝石使用</t>
  </si>
  <si>
    <t>fall_hechengfu_768</t>
  </si>
  <si>
    <t>元婴清和破境丹</t>
  </si>
  <si>
    <t>|cff00FF768前往铁匠铺合成宝石使用</t>
  </si>
  <si>
    <t>fall_hechengfu_769</t>
  </si>
  <si>
    <t>|cff00FF769前往铁匠铺合成宝石使用</t>
  </si>
  <si>
    <t>fall_hechengfu_770</t>
  </si>
  <si>
    <t>|cff00FF770前往铁匠铺合成宝石使用</t>
  </si>
  <si>
    <t>fall_hechengfu_771</t>
  </si>
  <si>
    <t>元婴破境丹</t>
  </si>
  <si>
    <t>|cff00FF771前往铁匠铺合成宝石使用</t>
  </si>
  <si>
    <t>fall_hechengfu_772</t>
  </si>
  <si>
    <t>|cff00FF772前往铁匠铺合成宝石使用</t>
  </si>
  <si>
    <t>fall_hechengfu_773</t>
  </si>
  <si>
    <t>|cff00FF773前往铁匠铺合成宝石使用</t>
  </si>
  <si>
    <t>fall_hechengfu_774</t>
  </si>
  <si>
    <t>凝婴丹</t>
  </si>
  <si>
    <t>|cff00FF774前往铁匠铺合成宝石使用</t>
  </si>
  <si>
    <t>fall_hechengfu_775</t>
  </si>
  <si>
    <t>|cff00FF775前往铁匠铺合成宝石使用</t>
  </si>
  <si>
    <t>fall_hechengfu_776</t>
  </si>
  <si>
    <t>|cff00FF776前往铁匠铺合成宝石使用</t>
  </si>
  <si>
    <t>fall_hechengfu_777</t>
  </si>
  <si>
    <t>元婴烈阳破境丹</t>
  </si>
  <si>
    <t>|cff00FF777前往铁匠铺合成宝石使用</t>
  </si>
  <si>
    <t>fall_hechengfu_778</t>
  </si>
  <si>
    <t>|cff00FF778前往铁匠铺合成宝石使用</t>
  </si>
  <si>
    <t>fall_hechengfu_779</t>
  </si>
  <si>
    <t>|cff00FF779前往铁匠铺合成宝石使用</t>
  </si>
  <si>
    <t>fall_hechengfu_780</t>
  </si>
  <si>
    <t>元婴玄阴纳灵丹</t>
  </si>
  <si>
    <t>|cff00FF780前往铁匠铺合成宝石使用</t>
  </si>
  <si>
    <t>fall_hechengfu_781</t>
  </si>
  <si>
    <t>|cff00FF781前往铁匠铺合成宝石使用</t>
  </si>
  <si>
    <t>fall_hechengfu_782</t>
  </si>
  <si>
    <t>|cff00FF782前往铁匠铺合成宝石使用</t>
  </si>
  <si>
    <t>fall_hechengfu_783</t>
  </si>
  <si>
    <t>元婴清和纳灵丹</t>
  </si>
  <si>
    <t>|cff00FF783前往铁匠铺合成宝石使用</t>
  </si>
  <si>
    <t>fall_hechengfu_784</t>
  </si>
  <si>
    <t>|cff00FF784前往铁匠铺合成宝石使用</t>
  </si>
  <si>
    <t>fall_hechengfu_785</t>
  </si>
  <si>
    <t>|cff00FF785前往铁匠铺合成宝石使用</t>
  </si>
  <si>
    <t>fall_hechengfu_786</t>
  </si>
  <si>
    <t>元婴纳灵丹</t>
  </si>
  <si>
    <t>|cff00FF786前往铁匠铺合成宝石使用</t>
  </si>
  <si>
    <t>fall_hechengfu_787</t>
  </si>
  <si>
    <t>|cff00FF787前往铁匠铺合成宝石使用</t>
  </si>
  <si>
    <t>fall_hechengfu_788</t>
  </si>
  <si>
    <t>|cff00FF788前往铁匠铺合成宝石使用</t>
  </si>
  <si>
    <t>fall_hechengfu_789</t>
  </si>
  <si>
    <t>元婴温阳纳灵丹</t>
  </si>
  <si>
    <t>|cff00FF789前往铁匠铺合成宝石使用</t>
  </si>
  <si>
    <t>fall_hechengfu_790</t>
  </si>
  <si>
    <t>|cff00FF790前往铁匠铺合成宝石使用</t>
  </si>
  <si>
    <t>fall_hechengfu_791</t>
  </si>
  <si>
    <t>|cff00FF791前往铁匠铺合成宝石使用</t>
  </si>
  <si>
    <t>fall_hechengfu_792</t>
  </si>
  <si>
    <t>元婴烈阳纳灵丹</t>
  </si>
  <si>
    <t>|cff00FF792前往铁匠铺合成宝石使用</t>
  </si>
  <si>
    <t>fall_hechengfu_793</t>
  </si>
  <si>
    <t>|cff00FF793前往铁匠铺合成宝石使用</t>
  </si>
  <si>
    <t>fall_hechengfu_794</t>
  </si>
  <si>
    <t>|cff00FF794前往铁匠铺合成宝石使用</t>
  </si>
  <si>
    <t>fall_hechengfu_795</t>
  </si>
  <si>
    <t>元婴玄阴化元丹</t>
  </si>
  <si>
    <t>|cff00FF795前往铁匠铺合成宝石使用</t>
  </si>
  <si>
    <t>fall_hechengfu_796</t>
  </si>
  <si>
    <t>|cff00FF796前往铁匠铺合成宝石使用</t>
  </si>
  <si>
    <t>fall_hechengfu_797</t>
  </si>
  <si>
    <t>|cff00FF797前往铁匠铺合成宝石使用</t>
  </si>
  <si>
    <t>fall_hechengfu_798</t>
  </si>
  <si>
    <t>元婴清和化元丹</t>
  </si>
  <si>
    <t>|cff00FF798前往铁匠铺合成宝石使用</t>
  </si>
  <si>
    <t>fall_hechengfu_799</t>
  </si>
  <si>
    <t>|cff00FF799前往铁匠铺合成宝石使用</t>
  </si>
  <si>
    <t>fall_hechengfu_800</t>
  </si>
  <si>
    <t>|cff00FF800前往铁匠铺合成宝石使用</t>
  </si>
  <si>
    <t>fall_hechengfu_801</t>
  </si>
  <si>
    <t>元婴化元丹</t>
  </si>
  <si>
    <t>|cff00FF801前往铁匠铺合成宝石使用</t>
  </si>
  <si>
    <t>fall_hechengfu_802</t>
  </si>
  <si>
    <t>|cff00FF802前往铁匠铺合成宝石使用</t>
  </si>
  <si>
    <t>fall_hechengfu_803</t>
  </si>
  <si>
    <t>|cff00FF803前往铁匠铺合成宝石使用</t>
  </si>
  <si>
    <t>fall_hechengfu_804</t>
  </si>
  <si>
    <t>元婴温阳化元丹</t>
  </si>
  <si>
    <t>|cff00FF804前往铁匠铺合成宝石使用</t>
  </si>
  <si>
    <t>fall_hechengfu_805</t>
  </si>
  <si>
    <t>|cff00FF805前往铁匠铺合成宝石使用</t>
  </si>
  <si>
    <t>fall_hechengfu_806</t>
  </si>
  <si>
    <t>|cff00FF806前往铁匠铺合成宝石使用</t>
  </si>
  <si>
    <t>fall_hechengfu_807</t>
  </si>
  <si>
    <t>元婴烈阳化元丹</t>
  </si>
  <si>
    <t>|cff00FF807前往铁匠铺合成宝石使用</t>
  </si>
  <si>
    <t>fall_hechengfu_808</t>
  </si>
  <si>
    <t>|cff00FF808前往铁匠铺合成宝石使用</t>
  </si>
  <si>
    <t>fall_hechengfu_809</t>
  </si>
  <si>
    <t>|cff00FF809前往铁匠铺合成宝石使用</t>
  </si>
  <si>
    <t>fall_hechengfu_810</t>
  </si>
  <si>
    <t>元婴玄阴聚元丹</t>
  </si>
  <si>
    <t>|cff00FF810前往铁匠铺合成宝石使用</t>
  </si>
  <si>
    <t>fall_hechengfu_811</t>
  </si>
  <si>
    <t>|cff00FF811前往铁匠铺合成宝石使用</t>
  </si>
  <si>
    <t>fall_hechengfu_812</t>
  </si>
  <si>
    <t>|cff00FF812前往铁匠铺合成宝石使用</t>
  </si>
  <si>
    <t>fall_hechengfu_813</t>
  </si>
  <si>
    <t>元婴清和聚元丹</t>
  </si>
  <si>
    <t>|cff00FF813前往铁匠铺合成宝石使用</t>
  </si>
  <si>
    <t>fall_hechengfu_814</t>
  </si>
  <si>
    <t>|cff00FF814前往铁匠铺合成宝石使用</t>
  </si>
  <si>
    <t>fall_hechengfu_815</t>
  </si>
  <si>
    <t>|cff00FF815前往铁匠铺合成宝石使用</t>
  </si>
  <si>
    <t>fall_hechengfu_816</t>
  </si>
  <si>
    <t>元婴聚元丹</t>
  </si>
  <si>
    <t>|cff00FF816前往铁匠铺合成宝石使用</t>
  </si>
  <si>
    <t>fall_hechengfu_817</t>
  </si>
  <si>
    <t>|cff00FF817前往铁匠铺合成宝石使用</t>
  </si>
  <si>
    <t>fall_hechengfu_818</t>
  </si>
  <si>
    <t>|cff00FF818前往铁匠铺合成宝石使用</t>
  </si>
  <si>
    <t>fall_hechengfu_819</t>
  </si>
  <si>
    <t>元婴温阳聚元丹</t>
  </si>
  <si>
    <t>|cff00FF819前往铁匠铺合成宝石使用</t>
  </si>
  <si>
    <t>fall_hechengfu_820</t>
  </si>
  <si>
    <t>|cff00FF820前往铁匠铺合成宝石使用</t>
  </si>
  <si>
    <t>fall_hechengfu_821</t>
  </si>
  <si>
    <t>|cff00FF821前往铁匠铺合成宝石使用</t>
  </si>
  <si>
    <t>fall_hechengfu_822</t>
  </si>
  <si>
    <t>元婴烈阳聚元丹</t>
  </si>
  <si>
    <t>|cff00FF822前往铁匠铺合成宝石使用</t>
  </si>
  <si>
    <t>fall_hechengfu_823</t>
  </si>
  <si>
    <t>|cff00FF823前往铁匠铺合成宝石使用</t>
  </si>
  <si>
    <t>fall_hechengfu_824</t>
  </si>
  <si>
    <t>|cff00FF824前往铁匠铺合成宝石使用</t>
  </si>
  <si>
    <t>fall_hechengfu_825</t>
  </si>
  <si>
    <t>元婴玄阴通脉丹</t>
  </si>
  <si>
    <t>|cff00FF825前往铁匠铺合成宝石使用</t>
  </si>
  <si>
    <t>fall_hechengfu_826</t>
  </si>
  <si>
    <t>|cff00FF826前往铁匠铺合成宝石使用</t>
  </si>
  <si>
    <t>fall_hechengfu_827</t>
  </si>
  <si>
    <t>|cff00FF827前往铁匠铺合成宝石使用</t>
  </si>
  <si>
    <t>fall_hechengfu_828</t>
  </si>
  <si>
    <t>元婴清和通脉丹</t>
  </si>
  <si>
    <t>|cff00FF828前往铁匠铺合成宝石使用</t>
  </si>
  <si>
    <t>fall_hechengfu_829</t>
  </si>
  <si>
    <t>|cff00FF829前往铁匠铺合成宝石使用</t>
  </si>
  <si>
    <t>fall_hechengfu_830</t>
  </si>
  <si>
    <t>|cff00FF830前往铁匠铺合成宝石使用</t>
  </si>
  <si>
    <t>fall_hechengfu_831</t>
  </si>
  <si>
    <t>元婴通脉丹</t>
  </si>
  <si>
    <t>|cff00FF831前往铁匠铺合成宝石使用</t>
  </si>
  <si>
    <t>fall_hechengfu_832</t>
  </si>
  <si>
    <t>|cff00FF832前往铁匠铺合成宝石使用</t>
  </si>
  <si>
    <t>fall_hechengfu_833</t>
  </si>
  <si>
    <t>|cff00FF833前往铁匠铺合成宝石使用</t>
  </si>
  <si>
    <t>fall_hechengfu_834</t>
  </si>
  <si>
    <t>元婴温阳通脉丹</t>
  </si>
  <si>
    <t>|cff00FF834前往铁匠铺合成宝石使用</t>
  </si>
  <si>
    <t>fall_hechengfu_835</t>
  </si>
  <si>
    <t>|cff00FF835前往铁匠铺合成宝石使用</t>
  </si>
  <si>
    <t>fall_hechengfu_836</t>
  </si>
  <si>
    <t>|cff00FF836前往铁匠铺合成宝石使用</t>
  </si>
  <si>
    <t>fall_hechengfu_837</t>
  </si>
  <si>
    <t>元婴烈阳通脉丹</t>
  </si>
  <si>
    <t>|cff00FF837前往铁匠铺合成宝石使用</t>
  </si>
  <si>
    <t>fall_hechengfu_838</t>
  </si>
  <si>
    <t>|cff00FF838前往铁匠铺合成宝石使用</t>
  </si>
  <si>
    <t>fall_hechengfu_839</t>
  </si>
  <si>
    <t>|cff00FF839前往铁匠铺合成宝石使用</t>
  </si>
  <si>
    <t>fall_hechengfu_840</t>
  </si>
  <si>
    <t>元婴玄阴拓脉丹</t>
  </si>
  <si>
    <t>|cff00FF840前往铁匠铺合成宝石使用</t>
  </si>
  <si>
    <t>fall_hechengfu_841</t>
  </si>
  <si>
    <t>|cff00FF841前往铁匠铺合成宝石使用</t>
  </si>
  <si>
    <t>fall_hechengfu_842</t>
  </si>
  <si>
    <t>|cff00FF842前往铁匠铺合成宝石使用</t>
  </si>
  <si>
    <t>fall_hechengfu_843</t>
  </si>
  <si>
    <t>元婴清和拓脉丹</t>
  </si>
  <si>
    <t>|cff00FF843前往铁匠铺合成宝石使用</t>
  </si>
  <si>
    <t>fall_hechengfu_844</t>
  </si>
  <si>
    <t>|cff00FF844前往铁匠铺合成宝石使用</t>
  </si>
  <si>
    <t>fall_hechengfu_845</t>
  </si>
  <si>
    <t>|cff00FF845前往铁匠铺合成宝石使用</t>
  </si>
  <si>
    <t>fall_hechengfu_846</t>
  </si>
  <si>
    <t>元婴拓脉丹</t>
  </si>
  <si>
    <t>|cff00FF846前往铁匠铺合成宝石使用</t>
  </si>
  <si>
    <t>fall_hechengfu_847</t>
  </si>
  <si>
    <t>|cff00FF847前往铁匠铺合成宝石使用</t>
  </si>
  <si>
    <t>fall_hechengfu_848</t>
  </si>
  <si>
    <t>|cff00FF848前往铁匠铺合成宝石使用</t>
  </si>
  <si>
    <t>fall_hechengfu_849</t>
  </si>
  <si>
    <t>元婴温阳拓脉丹</t>
  </si>
  <si>
    <t>|cff00FF849前往铁匠铺合成宝石使用</t>
  </si>
  <si>
    <t>fall_hechengfu_850</t>
  </si>
  <si>
    <t>|cff00FF850前往铁匠铺合成宝石使用</t>
  </si>
  <si>
    <t>fall_hechengfu_851</t>
  </si>
  <si>
    <t>|cff00FF851前往铁匠铺合成宝石使用</t>
  </si>
  <si>
    <t>fall_hechengfu_852</t>
  </si>
  <si>
    <t>元婴烈阳拓脉丹</t>
  </si>
  <si>
    <t>|cff00FF852前往铁匠铺合成宝石使用</t>
  </si>
  <si>
    <t>fall_hechengfu_853</t>
  </si>
  <si>
    <t>|cff00FF853前往铁匠铺合成宝石使用</t>
  </si>
  <si>
    <t>fall_hechengfu_854</t>
  </si>
  <si>
    <t>|cff00FF854前往铁匠铺合成宝石使用</t>
  </si>
  <si>
    <t>fall_hechengfu_855</t>
  </si>
  <si>
    <t>元婴玄阴回灵丹</t>
  </si>
  <si>
    <t>|cff00FF855前往铁匠铺合成宝石使用</t>
  </si>
  <si>
    <t>fall_hechengfu_856</t>
  </si>
  <si>
    <t>|cff00FF856前往铁匠铺合成宝石使用</t>
  </si>
  <si>
    <t>fall_hechengfu_857</t>
  </si>
  <si>
    <t>|cff00FF857前往铁匠铺合成宝石使用</t>
  </si>
  <si>
    <t>fall_hechengfu_858</t>
  </si>
  <si>
    <t>元婴清和回灵丹</t>
  </si>
  <si>
    <t>|cff00FF858前往铁匠铺合成宝石使用</t>
  </si>
  <si>
    <t>fall_hechengfu_859</t>
  </si>
  <si>
    <t>|cff00FF859前往铁匠铺合成宝石使用</t>
  </si>
  <si>
    <t>fall_hechengfu_860</t>
  </si>
  <si>
    <t>|cff00FF860前往铁匠铺合成宝石使用</t>
  </si>
  <si>
    <t>fall_hechengfu_861</t>
  </si>
  <si>
    <t>元婴回灵丹</t>
  </si>
  <si>
    <t>|cff00FF861前往铁匠铺合成宝石使用</t>
  </si>
  <si>
    <t>fall_hechengfu_862</t>
  </si>
  <si>
    <t>|cff00FF862前往铁匠铺合成宝石使用</t>
  </si>
  <si>
    <t>fall_hechengfu_863</t>
  </si>
  <si>
    <t>|cff00FF863前往铁匠铺合成宝石使用</t>
  </si>
  <si>
    <t>fall_hechengfu_864</t>
  </si>
  <si>
    <t>元婴温阳回灵丹</t>
  </si>
  <si>
    <t>|cff00FF864前往铁匠铺合成宝石使用</t>
  </si>
  <si>
    <t>fall_hechengfu_865</t>
  </si>
  <si>
    <t>|cff00FF865前往铁匠铺合成宝石使用</t>
  </si>
  <si>
    <t>fall_hechengfu_866</t>
  </si>
  <si>
    <t>|cff00FF866前往铁匠铺合成宝石使用</t>
  </si>
  <si>
    <t>fall_hechengfu_867</t>
  </si>
  <si>
    <t>元婴烈阳回灵丹</t>
  </si>
  <si>
    <t>|cff00FF867前往铁匠铺合成宝石使用</t>
  </si>
  <si>
    <t>fall_hechengfu_868</t>
  </si>
  <si>
    <t>|cff00FF868前往铁匠铺合成宝石使用</t>
  </si>
  <si>
    <t>fall_hechengfu_869</t>
  </si>
  <si>
    <t>|cff00FF869前往铁匠铺合成宝石使用</t>
  </si>
  <si>
    <t>fall_hechengfu_870</t>
  </si>
  <si>
    <t>元婴玄阴燃灵丹</t>
  </si>
  <si>
    <t>|cff00FF870前往铁匠铺合成宝石使用</t>
  </si>
  <si>
    <t>fall_hechengfu_871</t>
  </si>
  <si>
    <t>|cff00FF871前往铁匠铺合成宝石使用</t>
  </si>
  <si>
    <t>fall_hechengfu_872</t>
  </si>
  <si>
    <t>|cff00FF872前往铁匠铺合成宝石使用</t>
  </si>
  <si>
    <t>fall_hechengfu_873</t>
  </si>
  <si>
    <t>元婴清和燃灵丹</t>
  </si>
  <si>
    <t>|cff00FF873前往铁匠铺合成宝石使用</t>
  </si>
  <si>
    <t>fall_hechengfu_874</t>
  </si>
  <si>
    <t>|cff00FF874前往铁匠铺合成宝石使用</t>
  </si>
  <si>
    <t>fall_hechengfu_875</t>
  </si>
  <si>
    <t>|cff00FF875前往铁匠铺合成宝石使用</t>
  </si>
  <si>
    <t>fall_hechengfu_876</t>
  </si>
  <si>
    <t>元婴燃灵丹</t>
  </si>
  <si>
    <t>|cff00FF876前往铁匠铺合成宝石使用</t>
  </si>
  <si>
    <t>fall_hechengfu_877</t>
  </si>
  <si>
    <t>|cff00FF877前往铁匠铺合成宝石使用</t>
  </si>
  <si>
    <t>fall_hechengfu_878</t>
  </si>
  <si>
    <t>|cff00FF878前往铁匠铺合成宝石使用</t>
  </si>
  <si>
    <t>fall_hechengfu_879</t>
  </si>
  <si>
    <t>元婴温阳燃灵丹</t>
  </si>
  <si>
    <t>|cff00FF879前往铁匠铺合成宝石使用</t>
  </si>
  <si>
    <t>fall_hechengfu_880</t>
  </si>
  <si>
    <t>|cff00FF880前往铁匠铺合成宝石使用</t>
  </si>
  <si>
    <t>fall_hechengfu_881</t>
  </si>
  <si>
    <t>|cff00FF881前往铁匠铺合成宝石使用</t>
  </si>
  <si>
    <t>fall_hechengfu_882</t>
  </si>
  <si>
    <t>元婴烈阳燃灵丹</t>
  </si>
  <si>
    <t>|cff00FF882前往铁匠铺合成宝石使用</t>
  </si>
  <si>
    <t>fall_hechengfu_883</t>
  </si>
  <si>
    <t>|cff00FF883前往铁匠铺合成宝石使用</t>
  </si>
  <si>
    <t>fall_hechengfu_884</t>
  </si>
  <si>
    <t>|cff00FF884前往铁匠铺合成宝石使用</t>
  </si>
  <si>
    <t>fall_hechengfu_885</t>
  </si>
  <si>
    <t>元婴玄阴镇脉丹</t>
  </si>
  <si>
    <t>|cff00FF885前往铁匠铺合成宝石使用</t>
  </si>
  <si>
    <t>fall_hechengfu_886</t>
  </si>
  <si>
    <t>|cff00FF886前往铁匠铺合成宝石使用</t>
  </si>
  <si>
    <t>fall_hechengfu_887</t>
  </si>
  <si>
    <t>|cff00FF887前往铁匠铺合成宝石使用</t>
  </si>
  <si>
    <t>fall_hechengfu_888</t>
  </si>
  <si>
    <t>元婴清和镇脉丹</t>
  </si>
  <si>
    <t>|cff00FF888前往铁匠铺合成宝石使用</t>
  </si>
  <si>
    <t>fall_hechengfu_889</t>
  </si>
  <si>
    <t>|cff00FF889前往铁匠铺合成宝石使用</t>
  </si>
  <si>
    <t>fall_hechengfu_890</t>
  </si>
  <si>
    <t>|cff00FF890前往铁匠铺合成宝石使用</t>
  </si>
  <si>
    <t>fall_hechengfu_891</t>
  </si>
  <si>
    <t>元婴镇脉丹</t>
  </si>
  <si>
    <t>|cff00FF891前往铁匠铺合成宝石使用</t>
  </si>
  <si>
    <t>fall_hechengfu_892</t>
  </si>
  <si>
    <t>|cff00FF892前往铁匠铺合成宝石使用</t>
  </si>
  <si>
    <t>fall_hechengfu_893</t>
  </si>
  <si>
    <t>|cff00FF893前往铁匠铺合成宝石使用</t>
  </si>
  <si>
    <t>fall_hechengfu_894</t>
  </si>
  <si>
    <t>元婴温阳镇脉丹</t>
  </si>
  <si>
    <t>|cff00FF894前往铁匠铺合成宝石使用</t>
  </si>
  <si>
    <t>fall_hechengfu_895</t>
  </si>
  <si>
    <t>|cff00FF895前往铁匠铺合成宝石使用</t>
  </si>
  <si>
    <t>fall_hechengfu_896</t>
  </si>
  <si>
    <t>|cff00FF896前往铁匠铺合成宝石使用</t>
  </si>
  <si>
    <t>fall_hechengfu_897</t>
  </si>
  <si>
    <t>元婴烈阳镇脉丹</t>
  </si>
  <si>
    <t>|cff00FF897前往铁匠铺合成宝石使用</t>
  </si>
  <si>
    <t>fall_hechengfu_898</t>
  </si>
  <si>
    <t>|cff00FF898前往铁匠铺合成宝石使用</t>
  </si>
  <si>
    <t>fall_hechengfu_899</t>
  </si>
  <si>
    <t>|cff00FF899前往铁匠铺合成宝石使用</t>
  </si>
  <si>
    <t>fall_hechengfu_900</t>
  </si>
  <si>
    <t>元婴玄阴净髓丹</t>
  </si>
  <si>
    <t>|cff00FF900前往铁匠铺合成宝石使用</t>
  </si>
  <si>
    <t>fall_hechengfu_901</t>
  </si>
  <si>
    <t>|cff00FF901前往铁匠铺合成宝石使用</t>
  </si>
  <si>
    <t>fall_hechengfu_902</t>
  </si>
  <si>
    <t>|cff00FF902前往铁匠铺合成宝石使用</t>
  </si>
  <si>
    <t>fall_hechengfu_903</t>
  </si>
  <si>
    <t>元婴清和净髓丹</t>
  </si>
  <si>
    <t>|cff00FF903前往铁匠铺合成宝石使用</t>
  </si>
  <si>
    <t>fall_hechengfu_904</t>
  </si>
  <si>
    <t>|cff00FF904前往铁匠铺合成宝石使用</t>
  </si>
  <si>
    <t>fall_hechengfu_905</t>
  </si>
  <si>
    <t>|cff00FF905前往铁匠铺合成宝石使用</t>
  </si>
  <si>
    <t>fall_hechengfu_906</t>
  </si>
  <si>
    <t>元婴净髓丹</t>
  </si>
  <si>
    <t>|cff00FF906前往铁匠铺合成宝石使用</t>
  </si>
  <si>
    <t>fall_hechengfu_907</t>
  </si>
  <si>
    <t>|cff00FF907前往铁匠铺合成宝石使用</t>
  </si>
  <si>
    <t>fall_hechengfu_908</t>
  </si>
  <si>
    <t>|cff00FF908前往铁匠铺合成宝石使用</t>
  </si>
  <si>
    <t>fall_hechengfu_909</t>
  </si>
  <si>
    <t>元婴温阳净髓丹</t>
  </si>
  <si>
    <t>|cff00FF909前往铁匠铺合成宝石使用</t>
  </si>
  <si>
    <t>fall_hechengfu_910</t>
  </si>
  <si>
    <t>|cff00FF910前往铁匠铺合成宝石使用</t>
  </si>
  <si>
    <t>fall_hechengfu_911</t>
  </si>
  <si>
    <t>|cff00FF911前往铁匠铺合成宝石使用</t>
  </si>
  <si>
    <t>fall_hechengfu_912</t>
  </si>
  <si>
    <t>元婴烈阳净髓丹</t>
  </si>
  <si>
    <t>|cff00FF912前往铁匠铺合成宝石使用</t>
  </si>
  <si>
    <t>fall_hechengfu_913</t>
  </si>
  <si>
    <t>|cff00FF913前往铁匠铺合成宝石使用</t>
  </si>
  <si>
    <t>fall_hechengfu_914</t>
  </si>
  <si>
    <t>|cff00FF914前往铁匠铺合成宝石使用</t>
  </si>
  <si>
    <t>fall_hechengfu_915</t>
  </si>
  <si>
    <t>元婴玄阴壮骨丹</t>
  </si>
  <si>
    <t>|cff00FF915前往铁匠铺合成宝石使用</t>
  </si>
  <si>
    <t>fall_hechengfu_916</t>
  </si>
  <si>
    <t>|cff00FF916前往铁匠铺合成宝石使用</t>
  </si>
  <si>
    <t>fall_hechengfu_917</t>
  </si>
  <si>
    <t>|cff00FF917前往铁匠铺合成宝石使用</t>
  </si>
  <si>
    <t>fall_hechengfu_918</t>
  </si>
  <si>
    <t>元婴清和壮骨丹</t>
  </si>
  <si>
    <t>|cff00FF918前往铁匠铺合成宝石使用</t>
  </si>
  <si>
    <t>fall_hechengfu_919</t>
  </si>
  <si>
    <t>|cff00FF919前往铁匠铺合成宝石使用</t>
  </si>
  <si>
    <t>fall_hechengfu_920</t>
  </si>
  <si>
    <t>|cff00FF920前往铁匠铺合成宝石使用</t>
  </si>
  <si>
    <t>fall_hechengfu_921</t>
  </si>
  <si>
    <t>元婴壮骨丹</t>
  </si>
  <si>
    <t>|cff00FF921前往铁匠铺合成宝石使用</t>
  </si>
  <si>
    <t>fall_hechengfu_922</t>
  </si>
  <si>
    <t>|cff00FF922前往铁匠铺合成宝石使用</t>
  </si>
  <si>
    <t>fall_hechengfu_923</t>
  </si>
  <si>
    <t>|cff00FF923前往铁匠铺合成宝石使用</t>
  </si>
  <si>
    <t>fall_hechengfu_924</t>
  </si>
  <si>
    <t>元婴温阳壮骨丹</t>
  </si>
  <si>
    <t>|cff00FF924前往铁匠铺合成宝石使用</t>
  </si>
  <si>
    <t>fall_hechengfu_925</t>
  </si>
  <si>
    <t>|cff00FF925前往铁匠铺合成宝石使用</t>
  </si>
  <si>
    <t>fall_hechengfu_926</t>
  </si>
  <si>
    <t>|cff00FF926前往铁匠铺合成宝石使用</t>
  </si>
  <si>
    <t>fall_hechengfu_927</t>
  </si>
  <si>
    <t>元婴烈阳壮骨丹</t>
  </si>
  <si>
    <t>|cff00FF927前往铁匠铺合成宝石使用</t>
  </si>
  <si>
    <t>fall_hechengfu_928</t>
  </si>
  <si>
    <t>|cff00FF928前往铁匠铺合成宝石使用</t>
  </si>
  <si>
    <t>fall_hechengfu_929</t>
  </si>
  <si>
    <t>|cff00FF929前往铁匠铺合成宝石使用</t>
  </si>
  <si>
    <t>fall_hechengfu_930</t>
  </si>
  <si>
    <t>元婴玄阴延寿丹</t>
  </si>
  <si>
    <t>|cff00FF930前往铁匠铺合成宝石使用</t>
  </si>
  <si>
    <t>fall_hechengfu_931</t>
  </si>
  <si>
    <t>|cff00FF931前往铁匠铺合成宝石使用</t>
  </si>
  <si>
    <t>fall_hechengfu_932</t>
  </si>
  <si>
    <t>|cff00FF932前往铁匠铺合成宝石使用</t>
  </si>
  <si>
    <t>fall_hechengfu_933</t>
  </si>
  <si>
    <t>元婴清和延寿丹</t>
  </si>
  <si>
    <t>|cff00FF933前往铁匠铺合成宝石使用</t>
  </si>
  <si>
    <t>fall_hechengfu_934</t>
  </si>
  <si>
    <t>|cff00FF934前往铁匠铺合成宝石使用</t>
  </si>
  <si>
    <t>fall_hechengfu_935</t>
  </si>
  <si>
    <t>|cff00FF935前往铁匠铺合成宝石使用</t>
  </si>
  <si>
    <t>fall_hechengfu_936</t>
  </si>
  <si>
    <t>元婴延寿丹</t>
  </si>
  <si>
    <t>|cff00FF936前往铁匠铺合成宝石使用</t>
  </si>
  <si>
    <t>fall_hechengfu_937</t>
  </si>
  <si>
    <t>|cff00FF937前往铁匠铺合成宝石使用</t>
  </si>
  <si>
    <t>fall_hechengfu_938</t>
  </si>
  <si>
    <t>|cff00FF938前往铁匠铺合成宝石使用</t>
  </si>
  <si>
    <t>fall_hechengfu_939</t>
  </si>
  <si>
    <t>元婴温阳延寿丹</t>
  </si>
  <si>
    <t>|cff00FF939前往铁匠铺合成宝石使用</t>
  </si>
  <si>
    <t>fall_hechengfu_940</t>
  </si>
  <si>
    <t>|cff00FF940前往铁匠铺合成宝石使用</t>
  </si>
  <si>
    <t>fall_hechengfu_941</t>
  </si>
  <si>
    <t>|cff00FF941前往铁匠铺合成宝石使用</t>
  </si>
  <si>
    <t>fall_hechengfu_942</t>
  </si>
  <si>
    <t>元婴烈阳延寿丹</t>
  </si>
  <si>
    <t>|cff00FF942前往铁匠铺合成宝石使用</t>
  </si>
  <si>
    <t>fall_hechengfu_943</t>
  </si>
  <si>
    <t>|cff00FF943前往铁匠铺合成宝石使用</t>
  </si>
  <si>
    <t>fall_hechengfu_944</t>
  </si>
  <si>
    <t>|cff00FF944前往铁匠铺合成宝石使用</t>
  </si>
  <si>
    <t>fall_hechengfu_945</t>
  </si>
  <si>
    <t>元婴玄阴塑灵丹</t>
  </si>
  <si>
    <t>|cff00FF945前往铁匠铺合成宝石使用</t>
  </si>
  <si>
    <t>fall_hechengfu_946</t>
  </si>
  <si>
    <t>|cff00FF946前往铁匠铺合成宝石使用</t>
  </si>
  <si>
    <t>fall_hechengfu_947</t>
  </si>
  <si>
    <t>|cff00FF947前往铁匠铺合成宝石使用</t>
  </si>
  <si>
    <t>fall_hechengfu_948</t>
  </si>
  <si>
    <t>元婴清和塑灵丹</t>
  </si>
  <si>
    <t>|cff00FF948前往铁匠铺合成宝石使用</t>
  </si>
  <si>
    <t>fall_hechengfu_949</t>
  </si>
  <si>
    <t>|cff00FF949前往铁匠铺合成宝石使用</t>
  </si>
  <si>
    <t>fall_hechengfu_950</t>
  </si>
  <si>
    <t>|cff00FF950前往铁匠铺合成宝石使用</t>
  </si>
  <si>
    <t>fall_hechengfu_951</t>
  </si>
  <si>
    <t>元婴塑灵丹</t>
  </si>
  <si>
    <t>|cff00FF951前往铁匠铺合成宝石使用</t>
  </si>
  <si>
    <t>fall_hechengfu_952</t>
  </si>
  <si>
    <t>|cff00FF952前往铁匠铺合成宝石使用</t>
  </si>
  <si>
    <t>fall_hechengfu_953</t>
  </si>
  <si>
    <t>|cff00FF953前往铁匠铺合成宝石使用</t>
  </si>
  <si>
    <t>fall_hechengfu_954</t>
  </si>
  <si>
    <t>元婴温阳塑灵丹</t>
  </si>
  <si>
    <t>|cff00FF954前往铁匠铺合成宝石使用</t>
  </si>
  <si>
    <t>fall_hechengfu_955</t>
  </si>
  <si>
    <t>|cff00FF955前往铁匠铺合成宝石使用</t>
  </si>
  <si>
    <t>fall_hechengfu_956</t>
  </si>
  <si>
    <t>|cff00FF956前往铁匠铺合成宝石使用</t>
  </si>
  <si>
    <t>fall_hechengfu_957</t>
  </si>
  <si>
    <t>元婴洗灵丹</t>
  </si>
  <si>
    <t>|cff00FF957前往铁匠铺合成宝石使用</t>
  </si>
  <si>
    <t>fall_hechengfu_958</t>
  </si>
  <si>
    <t>|cff00FF958前往铁匠铺合成宝石使用</t>
  </si>
  <si>
    <t>fall_hechengfu_959</t>
  </si>
  <si>
    <t>|cff00FF959前往铁匠铺合成宝石使用</t>
  </si>
  <si>
    <t>fall_hechengfu_960</t>
  </si>
  <si>
    <t>元婴玄阴固元丹</t>
  </si>
  <si>
    <t>|cff00FF960前往铁匠铺合成宝石使用</t>
  </si>
  <si>
    <t>fall_hechengfu_961</t>
  </si>
  <si>
    <t>|cff00FF961前往铁匠铺合成宝石使用</t>
  </si>
  <si>
    <t>fall_hechengfu_962</t>
  </si>
  <si>
    <t>|cff00FF962前往铁匠铺合成宝石使用</t>
  </si>
  <si>
    <t>fall_hechengfu_963</t>
  </si>
  <si>
    <t>元婴清和固元丹</t>
  </si>
  <si>
    <t>|cff00FF963前往铁匠铺合成宝石使用</t>
  </si>
  <si>
    <t>fall_hechengfu_964</t>
  </si>
  <si>
    <t>|cff00FF964前往铁匠铺合成宝石使用</t>
  </si>
  <si>
    <t>fall_hechengfu_965</t>
  </si>
  <si>
    <t>|cff00FF965前往铁匠铺合成宝石使用</t>
  </si>
  <si>
    <t>fall_hechengfu_966</t>
  </si>
  <si>
    <t>元婴固元丹</t>
  </si>
  <si>
    <t>|cff00FF966前往铁匠铺合成宝石使用</t>
  </si>
  <si>
    <t>fall_hechengfu_967</t>
  </si>
  <si>
    <t>|cff00FF967前往铁匠铺合成宝石使用</t>
  </si>
  <si>
    <t>fall_hechengfu_968</t>
  </si>
  <si>
    <t>|cff00FF968前往铁匠铺合成宝石使用</t>
  </si>
  <si>
    <t>fall_hechengfu_969</t>
  </si>
  <si>
    <t>元婴温阳固元丹</t>
  </si>
  <si>
    <t>|cff00FF969前往铁匠铺合成宝石使用</t>
  </si>
  <si>
    <t>fall_hechengfu_970</t>
  </si>
  <si>
    <t>|cff00FF970前往铁匠铺合成宝石使用</t>
  </si>
  <si>
    <t>fall_hechengfu_971</t>
  </si>
  <si>
    <t>|cff00FF971前往铁匠铺合成宝石使用</t>
  </si>
  <si>
    <t>fall_hechengfu_972</t>
  </si>
  <si>
    <t>元婴烈阳固元丹</t>
  </si>
  <si>
    <t>|cff00FF972前往铁匠铺合成宝石使用</t>
  </si>
  <si>
    <t>fall_hechengfu_973</t>
  </si>
  <si>
    <t>|cff00FF973前往铁匠铺合成宝石使用</t>
  </si>
  <si>
    <t>fall_hechengfu_974</t>
  </si>
  <si>
    <t>|cff00FF974前往铁匠铺合成宝石使用</t>
  </si>
  <si>
    <t>fall_hechengfu_975</t>
  </si>
  <si>
    <t>元婴玄阴破妄丹</t>
  </si>
  <si>
    <t>|cff00FF975前往铁匠铺合成宝石使用</t>
  </si>
  <si>
    <t>fall_hechengfu_976</t>
  </si>
  <si>
    <t>|cff00FF976前往铁匠铺合成宝石使用</t>
  </si>
  <si>
    <t>fall_hechengfu_977</t>
  </si>
  <si>
    <t>|cff00FF977前往铁匠铺合成宝石使用</t>
  </si>
  <si>
    <t>fall_hechengfu_978</t>
  </si>
  <si>
    <t>元婴清和破妄丹</t>
  </si>
  <si>
    <t>|cff00FF978前往铁匠铺合成宝石使用</t>
  </si>
  <si>
    <t>fall_hechengfu_979</t>
  </si>
  <si>
    <t>|cff00FF979前往铁匠铺合成宝石使用</t>
  </si>
  <si>
    <t>fall_hechengfu_980</t>
  </si>
  <si>
    <t>|cff00FF980前往铁匠铺合成宝石使用</t>
  </si>
  <si>
    <t>fall_hechengfu_981</t>
  </si>
  <si>
    <t>元婴破妄丹</t>
  </si>
  <si>
    <t>|cff00FF981前往铁匠铺合成宝石使用</t>
  </si>
  <si>
    <t>fall_hechengfu_982</t>
  </si>
  <si>
    <t>|cff00FF982前往铁匠铺合成宝石使用</t>
  </si>
  <si>
    <t>fall_hechengfu_983</t>
  </si>
  <si>
    <t>|cff00FF983前往铁匠铺合成宝石使用</t>
  </si>
  <si>
    <t>fall_hechengfu_984</t>
  </si>
  <si>
    <t>元婴温阳破妄丹</t>
  </si>
  <si>
    <t>|cff00FF984前往铁匠铺合成宝石使用</t>
  </si>
  <si>
    <t>fall_hechengfu_985</t>
  </si>
  <si>
    <t>|cff00FF985前往铁匠铺合成宝石使用</t>
  </si>
  <si>
    <t>fall_hechengfu_986</t>
  </si>
  <si>
    <t>|cff00FF986前往铁匠铺合成宝石使用</t>
  </si>
  <si>
    <t>fall_hechengfu_987</t>
  </si>
  <si>
    <t>元婴烈阳破妄丹</t>
  </si>
  <si>
    <t>|cff00FF987前往铁匠铺合成宝石使用</t>
  </si>
  <si>
    <t>fall_hechengfu_988</t>
  </si>
  <si>
    <t>|cff00FF988前往铁匠铺合成宝石使用</t>
  </si>
  <si>
    <t>fall_hechengfu_989</t>
  </si>
  <si>
    <t>|cff00FF989前往铁匠铺合成宝石使用</t>
  </si>
  <si>
    <t>fall_hechengfu_990</t>
  </si>
  <si>
    <t>元婴玄阴养神丹</t>
  </si>
  <si>
    <t>|cff00FF990前往铁匠铺合成宝石使用</t>
  </si>
  <si>
    <t>fall_hechengfu_991</t>
  </si>
  <si>
    <t>|cff00FF991前往铁匠铺合成宝石使用</t>
  </si>
  <si>
    <t>fall_hechengfu_992</t>
  </si>
  <si>
    <t>|cff00FF992前往铁匠铺合成宝石使用</t>
  </si>
  <si>
    <t>fall_hechengfu_993</t>
  </si>
  <si>
    <t>元婴清和养神丹</t>
  </si>
  <si>
    <t>|cff00FF993前往铁匠铺合成宝石使用</t>
  </si>
  <si>
    <t>fall_hechengfu_994</t>
  </si>
  <si>
    <t>|cff00FF994前往铁匠铺合成宝石使用</t>
  </si>
  <si>
    <t>fall_hechengfu_995</t>
  </si>
  <si>
    <t>|cff00FF995前往铁匠铺合成宝石使用</t>
  </si>
  <si>
    <t>fall_hechengfu_996</t>
  </si>
  <si>
    <t>元婴养神丹</t>
  </si>
  <si>
    <t>|cff00FF996前往铁匠铺合成宝石使用</t>
  </si>
  <si>
    <t>fall_hechengfu_997</t>
  </si>
  <si>
    <t>|cff00FF997前往铁匠铺合成宝石使用</t>
  </si>
  <si>
    <t>fall_hechengfu_998</t>
  </si>
  <si>
    <t>|cff00FF998前往铁匠铺合成宝石使用</t>
  </si>
  <si>
    <t>fall_hechengfu_999</t>
  </si>
  <si>
    <t>元婴温阳养神丹</t>
  </si>
  <si>
    <t>|cff00FF999前往铁匠铺合成宝石使用</t>
  </si>
  <si>
    <t>fall_hechengfu_1000</t>
  </si>
  <si>
    <t>|cff00FF1000前往铁匠铺合成宝石使用</t>
  </si>
  <si>
    <t>fall_hechengfu_1001</t>
  </si>
  <si>
    <t>|cff00FF1001前往铁匠铺合成宝石使用</t>
  </si>
  <si>
    <t>fall_hechengfu_1002</t>
  </si>
  <si>
    <t>元婴烈阳养神丹</t>
  </si>
  <si>
    <t>|cff00FF1002前往铁匠铺合成宝石使用</t>
  </si>
  <si>
    <t>fall_hechengfu_1003</t>
  </si>
  <si>
    <t>|cff00FF1003前往铁匠铺合成宝石使用</t>
  </si>
  <si>
    <t>fall_hechengfu_1004</t>
  </si>
  <si>
    <t>|cff00FF1004前往铁匠铺合成宝石使用</t>
  </si>
  <si>
    <t>fall_hechengfu_1005</t>
  </si>
  <si>
    <t>元婴玄阴明心丹</t>
  </si>
  <si>
    <t>|cff00FF1005前往铁匠铺合成宝石使用</t>
  </si>
  <si>
    <t>fall_hechengfu_1006</t>
  </si>
  <si>
    <t>|cff00FF1006前往铁匠铺合成宝石使用</t>
  </si>
  <si>
    <t>fall_hechengfu_1007</t>
  </si>
  <si>
    <t>|cff00FF1007前往铁匠铺合成宝石使用</t>
  </si>
  <si>
    <t>fall_hechengfu_1008</t>
  </si>
  <si>
    <t>元婴清和明心丹</t>
  </si>
  <si>
    <t>|cff00FF1008前往铁匠铺合成宝石使用</t>
  </si>
  <si>
    <t>fall_hechengfu_1009</t>
  </si>
  <si>
    <t>|cff00FF1009前往铁匠铺合成宝石使用</t>
  </si>
  <si>
    <t>fall_hechengfu_1010</t>
  </si>
  <si>
    <t>|cff00FF1010前往铁匠铺合成宝石使用</t>
  </si>
  <si>
    <t>fall_hechengfu_1011</t>
  </si>
  <si>
    <t>元婴明心丹</t>
  </si>
  <si>
    <t>|cff00FF1011前往铁匠铺合成宝石使用</t>
  </si>
  <si>
    <t>fall_hechengfu_1012</t>
  </si>
  <si>
    <t>|cff00FF1012前往铁匠铺合成宝石使用</t>
  </si>
  <si>
    <t>fall_hechengfu_1013</t>
  </si>
  <si>
    <t>|cff00FF1013前往铁匠铺合成宝石使用</t>
  </si>
  <si>
    <t>fall_hechengfu_1014</t>
  </si>
  <si>
    <t>元婴温阳明心丹</t>
  </si>
  <si>
    <t>|cff00FF1014前往铁匠铺合成宝石使用</t>
  </si>
  <si>
    <t>fall_hechengfu_1015</t>
  </si>
  <si>
    <t>|cff00FF1015前往铁匠铺合成宝石使用</t>
  </si>
  <si>
    <t>fall_hechengfu_1016</t>
  </si>
  <si>
    <t>|cff00FF1016前往铁匠铺合成宝石使用</t>
  </si>
  <si>
    <t>fall_hechengfu_1017</t>
  </si>
  <si>
    <t>元婴烈阳明心丹</t>
  </si>
  <si>
    <t>|cff00FF1017前往铁匠铺合成宝石使用</t>
  </si>
  <si>
    <t>fall_hechengfu_1018</t>
  </si>
  <si>
    <t>|cff00FF1018前往铁匠铺合成宝石使用</t>
  </si>
  <si>
    <t>fall_hechengfu_1019</t>
  </si>
  <si>
    <t>|cff00FF1019前往铁匠铺合成宝石使用</t>
  </si>
  <si>
    <t>fall_hechengfu_1020</t>
  </si>
  <si>
    <t>元婴玄阴照神丹</t>
  </si>
  <si>
    <t>|cff00FF1020前往铁匠铺合成宝石使用</t>
  </si>
  <si>
    <t>fall_hechengfu_1021</t>
  </si>
  <si>
    <t>|cff00FF1021前往铁匠铺合成宝石使用</t>
  </si>
  <si>
    <t>fall_hechengfu_1022</t>
  </si>
  <si>
    <t>|cff00FF1022前往铁匠铺合成宝石使用</t>
  </si>
  <si>
    <t>fall_hechengfu_1023</t>
  </si>
  <si>
    <t>元婴清和照神丹</t>
  </si>
  <si>
    <t>|cff00FF1023前往铁匠铺合成宝石使用</t>
  </si>
  <si>
    <t>fall_hechengfu_1024</t>
  </si>
  <si>
    <t>|cff00FF1024前往铁匠铺合成宝石使用</t>
  </si>
  <si>
    <t>fall_hechengfu_1025</t>
  </si>
  <si>
    <t>|cff00FF1025前往铁匠铺合成宝石使用</t>
  </si>
  <si>
    <t>fall_hechengfu_1026</t>
  </si>
  <si>
    <t>元婴照神丹</t>
  </si>
  <si>
    <t>|cff00FF1026前往铁匠铺合成宝石使用</t>
  </si>
  <si>
    <t>fall_hechengfu_1027</t>
  </si>
  <si>
    <t>|cff00FF1027前往铁匠铺合成宝石使用</t>
  </si>
  <si>
    <t>fall_hechengfu_1028</t>
  </si>
  <si>
    <t>|cff00FF1028前往铁匠铺合成宝石使用</t>
  </si>
  <si>
    <t>fall_hechengfu_1029</t>
  </si>
  <si>
    <t>元婴温阳照神丹</t>
  </si>
  <si>
    <t>|cff00FF1029前往铁匠铺合成宝石使用</t>
  </si>
  <si>
    <t>fall_hechengfu_1030</t>
  </si>
  <si>
    <t>|cff00FF1030前往铁匠铺合成宝石使用</t>
  </si>
  <si>
    <t>fall_hechengfu_1031</t>
  </si>
  <si>
    <t>|cff00FF1031前往铁匠铺合成宝石使用</t>
  </si>
  <si>
    <t>fall_hechengfu_1032</t>
  </si>
  <si>
    <t>元婴烈阳照神丹</t>
  </si>
  <si>
    <t>|cff00FF1032前往铁匠铺合成宝石使用</t>
  </si>
  <si>
    <t>fall_hechengfu_1033</t>
  </si>
  <si>
    <t>|cff00FF1033前往铁匠铺合成宝石使用</t>
  </si>
  <si>
    <t>fall_hechengfu_1034</t>
  </si>
  <si>
    <t>|cff00FF1034前往铁匠铺合成宝石使用</t>
  </si>
  <si>
    <t>fall_hechengfu_1035</t>
  </si>
  <si>
    <t>元婴玄阴定神丹</t>
  </si>
  <si>
    <t>|cff00FF1035前往铁匠铺合成宝石使用</t>
  </si>
  <si>
    <t>fall_hechengfu_1036</t>
  </si>
  <si>
    <t>|cff00FF1036前往铁匠铺合成宝石使用</t>
  </si>
  <si>
    <t>fall_hechengfu_1037</t>
  </si>
  <si>
    <t>|cff00FF1037前往铁匠铺合成宝石使用</t>
  </si>
  <si>
    <t>fall_hechengfu_1038</t>
  </si>
  <si>
    <t>元婴清和定神丹</t>
  </si>
  <si>
    <t>|cff00FF1038前往铁匠铺合成宝石使用</t>
  </si>
  <si>
    <t>fall_hechengfu_1039</t>
  </si>
  <si>
    <t>|cff00FF1039前往铁匠铺合成宝石使用</t>
  </si>
  <si>
    <t>fall_hechengfu_1040</t>
  </si>
  <si>
    <t>|cff00FF1040前往铁匠铺合成宝石使用</t>
  </si>
  <si>
    <t>fall_hechengfu_1041</t>
  </si>
  <si>
    <t>元婴定神丹</t>
  </si>
  <si>
    <t>|cff00FF1041前往铁匠铺合成宝石使用</t>
  </si>
  <si>
    <t>fall_hechengfu_1042</t>
  </si>
  <si>
    <t>|cff00FF1042前往铁匠铺合成宝石使用</t>
  </si>
  <si>
    <t>fall_hechengfu_1043</t>
  </si>
  <si>
    <t>|cff00FF1043前往铁匠铺合成宝石使用</t>
  </si>
  <si>
    <t>fall_hechengfu_1044</t>
  </si>
  <si>
    <t>元婴温阳定神丹</t>
  </si>
  <si>
    <t>|cff00FF1044前往铁匠铺合成宝石使用</t>
  </si>
  <si>
    <t>fall_hechengfu_1045</t>
  </si>
  <si>
    <t>|cff00FF1045前往铁匠铺合成宝石使用</t>
  </si>
  <si>
    <t>fall_hechengfu_1046</t>
  </si>
  <si>
    <t>|cff00FF1046前往铁匠铺合成宝石使用</t>
  </si>
  <si>
    <t>fall_hechengfu_1047</t>
  </si>
  <si>
    <t>元婴烈阳定神丹</t>
  </si>
  <si>
    <t>|cff00FF1047前往铁匠铺合成宝石使用</t>
  </si>
  <si>
    <t>fall_hechengfu_1048</t>
  </si>
  <si>
    <t>|cff00FF1048前往铁匠铺合成宝石使用</t>
  </si>
  <si>
    <t>fall_hechengfu_1049</t>
  </si>
  <si>
    <t>|cff00FF1049前往铁匠铺合成宝石使用</t>
  </si>
  <si>
    <t>fall_hechengfu_1050</t>
  </si>
  <si>
    <t>元婴玄阴解厄丹</t>
  </si>
  <si>
    <t>|cff00FF1050前往铁匠铺合成宝石使用</t>
  </si>
  <si>
    <t>fall_hechengfu_1051</t>
  </si>
  <si>
    <t>|cff00FF1051前往铁匠铺合成宝石使用</t>
  </si>
  <si>
    <t>fall_hechengfu_1052</t>
  </si>
  <si>
    <t>|cff00FF1052前往铁匠铺合成宝石使用</t>
  </si>
  <si>
    <t>fall_hechengfu_1053</t>
  </si>
  <si>
    <t>元婴清和解厄丹</t>
  </si>
  <si>
    <t>|cff00FF1053前往铁匠铺合成宝石使用</t>
  </si>
  <si>
    <t>fall_hechengfu_1054</t>
  </si>
  <si>
    <t>|cff00FF1054前往铁匠铺合成宝石使用</t>
  </si>
  <si>
    <t>fall_hechengfu_1055</t>
  </si>
  <si>
    <t>|cff00FF1055前往铁匠铺合成宝石使用</t>
  </si>
  <si>
    <t>fall_hechengfu_1056</t>
  </si>
  <si>
    <t>元婴解厄丹</t>
  </si>
  <si>
    <t>|cff00FF1056前往铁匠铺合成宝石使用</t>
  </si>
  <si>
    <t>fall_hechengfu_1057</t>
  </si>
  <si>
    <t>|cff00FF1057前往铁匠铺合成宝石使用</t>
  </si>
  <si>
    <t>fall_hechengfu_1058</t>
  </si>
  <si>
    <t>|cff00FF1058前往铁匠铺合成宝石使用</t>
  </si>
  <si>
    <t>fall_hechengfu_1059</t>
  </si>
  <si>
    <t>元婴温阳解厄丹</t>
  </si>
  <si>
    <t>|cff00FF1059前往铁匠铺合成宝石使用</t>
  </si>
  <si>
    <t>fall_hechengfu_1060</t>
  </si>
  <si>
    <t>|cff00FF1060前往铁匠铺合成宝石使用</t>
  </si>
  <si>
    <t>fall_hechengfu_1061</t>
  </si>
  <si>
    <t>|cff00FF1061前往铁匠铺合成宝石使用</t>
  </si>
  <si>
    <t>fall_hechengfu_1062</t>
  </si>
  <si>
    <t>元婴烈阳解厄丹</t>
  </si>
  <si>
    <t>|cff00FF1062前往铁匠铺合成宝石使用</t>
  </si>
  <si>
    <t>fall_hechengfu_1063</t>
  </si>
  <si>
    <t>|cff00FF1063前往铁匠铺合成宝石使用</t>
  </si>
  <si>
    <t>fall_hechengfu_1064</t>
  </si>
  <si>
    <t>|cff00FF1064前往铁匠铺合成宝石使用</t>
  </si>
  <si>
    <t>fall_hechengfu_1065</t>
  </si>
  <si>
    <t>元婴玄阴回春丹</t>
  </si>
  <si>
    <t>|cff00FF1065前往铁匠铺合成宝石使用</t>
  </si>
  <si>
    <t>fall_hechengfu_1066</t>
  </si>
  <si>
    <t>|cff00FF1066前往铁匠铺合成宝石使用</t>
  </si>
  <si>
    <t>fall_hechengfu_1067</t>
  </si>
  <si>
    <t>|cff00FF1067前往铁匠铺合成宝石使用</t>
  </si>
  <si>
    <t>fall_hechengfu_1068</t>
  </si>
  <si>
    <t>元婴清和回春丹</t>
  </si>
  <si>
    <t>|cff00FF1068前往铁匠铺合成宝石使用</t>
  </si>
  <si>
    <t>fall_hechengfu_1069</t>
  </si>
  <si>
    <t>|cff00FF1069前往铁匠铺合成宝石使用</t>
  </si>
  <si>
    <t>fall_hechengfu_1070</t>
  </si>
  <si>
    <t>|cff00FF1070前往铁匠铺合成宝石使用</t>
  </si>
  <si>
    <t>fall_hechengfu_1071</t>
  </si>
  <si>
    <t>元婴回春丹</t>
  </si>
  <si>
    <t>|cff00FF1071前往铁匠铺合成宝石使用</t>
  </si>
  <si>
    <t>fall_hechengfu_1072</t>
  </si>
  <si>
    <t>|cff00FF1072前往铁匠铺合成宝石使用</t>
  </si>
  <si>
    <t>fall_hechengfu_1073</t>
  </si>
  <si>
    <t>|cff00FF1073前往铁匠铺合成宝石使用</t>
  </si>
  <si>
    <t>fall_hechengfu_1074</t>
  </si>
  <si>
    <t>元婴温阳回春丹</t>
  </si>
  <si>
    <t>|cff00FF1074前往铁匠铺合成宝石使用</t>
  </si>
  <si>
    <t>fall_hechengfu_1075</t>
  </si>
  <si>
    <t>|cff00FF1075前往铁匠铺合成宝石使用</t>
  </si>
  <si>
    <t>fall_hechengfu_1076</t>
  </si>
  <si>
    <t>|cff00FF1076前往铁匠铺合成宝石使用</t>
  </si>
  <si>
    <t>fall_hechengfu_1077</t>
  </si>
  <si>
    <t>元婴烈阳回春丹</t>
  </si>
  <si>
    <t>|cff00FF1077前往铁匠铺合成宝石使用</t>
  </si>
  <si>
    <t>fall_hechengfu_1078</t>
  </si>
  <si>
    <t>|cff00FF1078前往铁匠铺合成宝石使用</t>
  </si>
  <si>
    <t>fall_hechengfu_1079</t>
  </si>
  <si>
    <t>|cff00FF1079前往铁匠铺合成宝石使用</t>
  </si>
  <si>
    <t>fall_hechengfu_1080</t>
  </si>
  <si>
    <t>元婴玄阴活血丹</t>
  </si>
  <si>
    <t>|cff00FF1080前往铁匠铺合成宝石使用</t>
  </si>
  <si>
    <t>fall_hechengfu_1081</t>
  </si>
  <si>
    <t>|cff00FF1081前往铁匠铺合成宝石使用</t>
  </si>
  <si>
    <t>fall_hechengfu_1082</t>
  </si>
  <si>
    <t>|cff00FF1082前往铁匠铺合成宝石使用</t>
  </si>
  <si>
    <t>fall_hechengfu_1083</t>
  </si>
  <si>
    <t>元婴清和活血丹</t>
  </si>
  <si>
    <t>|cff00FF1083前往铁匠铺合成宝石使用</t>
  </si>
  <si>
    <t>fall_hechengfu_1084</t>
  </si>
  <si>
    <t>|cff00FF1084前往铁匠铺合成宝石使用</t>
  </si>
  <si>
    <t>fall_hechengfu_1085</t>
  </si>
  <si>
    <t>|cff00FF1085前往铁匠铺合成宝石使用</t>
  </si>
  <si>
    <t>fall_hechengfu_1086</t>
  </si>
  <si>
    <t>元婴活血丹</t>
  </si>
  <si>
    <t>|cff00FF1086前往铁匠铺合成宝石使用</t>
  </si>
  <si>
    <t>fall_hechengfu_1087</t>
  </si>
  <si>
    <t>|cff00FF1087前往铁匠铺合成宝石使用</t>
  </si>
  <si>
    <t>fall_hechengfu_1088</t>
  </si>
  <si>
    <t>|cff00FF1088前往铁匠铺合成宝石使用</t>
  </si>
  <si>
    <t>fall_hechengfu_1089</t>
  </si>
  <si>
    <t>元婴温阳活血丹</t>
  </si>
  <si>
    <t>|cff00FF1089前往铁匠铺合成宝石使用</t>
  </si>
  <si>
    <t>fall_hechengfu_1090</t>
  </si>
  <si>
    <t>|cff00FF1090前往铁匠铺合成宝石使用</t>
  </si>
  <si>
    <t>fall_hechengfu_1091</t>
  </si>
  <si>
    <t>|cff00FF1091前往铁匠铺合成宝石使用</t>
  </si>
  <si>
    <t>fall_hechengfu_1092</t>
  </si>
  <si>
    <t>元婴烈阳活血丹</t>
  </si>
  <si>
    <t>|cff00FF1092前往铁匠铺合成宝石使用</t>
  </si>
  <si>
    <t>fall_hechengfu_1093</t>
  </si>
  <si>
    <t>|cff00FF1093前往铁匠铺合成宝石使用</t>
  </si>
  <si>
    <t>fall_hechengfu_1094</t>
  </si>
  <si>
    <t>|cff00FF1094前往铁匠铺合成宝石使用</t>
  </si>
  <si>
    <t>fall_hechengfu_1095</t>
  </si>
  <si>
    <t>元婴玄阴战元丹</t>
  </si>
  <si>
    <t>|cff00FF1095前往铁匠铺合成宝石使用</t>
  </si>
  <si>
    <t>fall_hechengfu_1096</t>
  </si>
  <si>
    <t>|cff00FF1096前往铁匠铺合成宝石使用</t>
  </si>
  <si>
    <t>fall_hechengfu_1097</t>
  </si>
  <si>
    <t>|cff00FF1097前往铁匠铺合成宝石使用</t>
  </si>
  <si>
    <t>fall_hechengfu_1098</t>
  </si>
  <si>
    <t>元婴清和战元丹</t>
  </si>
  <si>
    <t>|cff00FF1098前往铁匠铺合成宝石使用</t>
  </si>
  <si>
    <t>fall_hechengfu_1099</t>
  </si>
  <si>
    <t>|cff00FF1099前往铁匠铺合成宝石使用</t>
  </si>
  <si>
    <t>fall_hechengfu_1100</t>
  </si>
  <si>
    <t>|cff00FF1100前往铁匠铺合成宝石使用</t>
  </si>
  <si>
    <t>fall_hechengfu_1101</t>
  </si>
  <si>
    <t>元婴战元丹</t>
  </si>
  <si>
    <t>|cff00FF1101前往铁匠铺合成宝石使用</t>
  </si>
  <si>
    <t>fall_hechengfu_1102</t>
  </si>
  <si>
    <t>|cff00FF1102前往铁匠铺合成宝石使用</t>
  </si>
  <si>
    <t>fall_hechengfu_1103</t>
  </si>
  <si>
    <t>|cff00FF1103前往铁匠铺合成宝石使用</t>
  </si>
  <si>
    <t>fall_hechengfu_1104</t>
  </si>
  <si>
    <t>元婴温阳战元丹</t>
  </si>
  <si>
    <t>|cff00FF1104前往铁匠铺合成宝石使用</t>
  </si>
  <si>
    <t>fall_hechengfu_1105</t>
  </si>
  <si>
    <t>|cff00FF1105前往铁匠铺合成宝石使用</t>
  </si>
  <si>
    <t>fall_hechengfu_1106</t>
  </si>
  <si>
    <t>|cff00FF1106前往铁匠铺合成宝石使用</t>
  </si>
  <si>
    <t>fall_hechengfu_1107</t>
  </si>
  <si>
    <t>元婴烈阳战元丹</t>
  </si>
  <si>
    <t>|cff00FF1107前往铁匠铺合成宝石使用</t>
  </si>
  <si>
    <t>fall_hechengfu_1108</t>
  </si>
  <si>
    <t>|cff00FF1108前往铁匠铺合成宝石使用</t>
  </si>
  <si>
    <t>fall_hechengfu_1109</t>
  </si>
  <si>
    <t>|cff00FF1109前往铁匠铺合成宝石使用</t>
  </si>
  <si>
    <t>fall_hechengfu_1110</t>
  </si>
  <si>
    <t>元婴玄阴锻体丹</t>
  </si>
  <si>
    <t>|cff00FF1110前往铁匠铺合成宝石使用</t>
  </si>
  <si>
    <t>fall_hechengfu_1111</t>
  </si>
  <si>
    <t>|cff00FF1111前往铁匠铺合成宝石使用</t>
  </si>
  <si>
    <t>fall_hechengfu_1112</t>
  </si>
  <si>
    <t>|cff00FF1112前往铁匠铺合成宝石使用</t>
  </si>
  <si>
    <t>fall_hechengfu_1113</t>
  </si>
  <si>
    <t>元婴清和锻体丹</t>
  </si>
  <si>
    <t>|cff00FF1113前往铁匠铺合成宝石使用</t>
  </si>
  <si>
    <t>fall_hechengfu_1114</t>
  </si>
  <si>
    <t>|cff00FF1114前往铁匠铺合成宝石使用</t>
  </si>
  <si>
    <t>fall_hechengfu_1115</t>
  </si>
  <si>
    <t>|cff00FF1115前往铁匠铺合成宝石使用</t>
  </si>
  <si>
    <t>fall_hechengfu_1116</t>
  </si>
  <si>
    <t>元婴锻体丹</t>
  </si>
  <si>
    <t>|cff00FF1116前往铁匠铺合成宝石使用</t>
  </si>
  <si>
    <t>fall_hechengfu_1117</t>
  </si>
  <si>
    <t>|cff00FF1117前往铁匠铺合成宝石使用</t>
  </si>
  <si>
    <t>fall_hechengfu_1118</t>
  </si>
  <si>
    <t>|cff00FF1118前往铁匠铺合成宝石使用</t>
  </si>
  <si>
    <t>fall_hechengfu_1119</t>
  </si>
  <si>
    <t>元婴温阳锻体丹</t>
  </si>
  <si>
    <t>|cff00FF1119前往铁匠铺合成宝石使用</t>
  </si>
  <si>
    <t>fall_hechengfu_1120</t>
  </si>
  <si>
    <t>|cff00FF1120前往铁匠铺合成宝石使用</t>
  </si>
  <si>
    <t>fall_hechengfu_1121</t>
  </si>
  <si>
    <t>|cff00FF1121前往铁匠铺合成宝石使用</t>
  </si>
  <si>
    <t>fall_hechengfu_1122</t>
  </si>
  <si>
    <t>元婴烈阳锻体丹</t>
  </si>
  <si>
    <t>|cff00FF1122前往铁匠铺合成宝石使用</t>
  </si>
  <si>
    <t>fall_hechengfu_1123</t>
  </si>
  <si>
    <t>|cff00FF1123前往铁匠铺合成宝石使用</t>
  </si>
  <si>
    <t>fall_hechengfu_1124</t>
  </si>
  <si>
    <t>|cff00FF1124前往铁匠铺合成宝石使用</t>
  </si>
  <si>
    <t>fall_hechengfu_1125</t>
  </si>
  <si>
    <t>化神玄阴涤元丹</t>
  </si>
  <si>
    <t>|cff00FF1125前往铁匠铺合成宝石使用</t>
  </si>
  <si>
    <t>fall_hechengfu_1126</t>
  </si>
  <si>
    <t>|cff00FF1126前往铁匠铺合成宝石使用</t>
  </si>
  <si>
    <t>fall_hechengfu_1127</t>
  </si>
  <si>
    <t>|cff00FF1127前往铁匠铺合成宝石使用</t>
  </si>
  <si>
    <t>fall_hechengfu_1128</t>
  </si>
  <si>
    <t>化神清和涤元丹</t>
  </si>
  <si>
    <t>|cff00FF1128前往铁匠铺合成宝石使用</t>
  </si>
  <si>
    <t>fall_hechengfu_1129</t>
  </si>
  <si>
    <t>|cff00FF1129前往铁匠铺合成宝石使用</t>
  </si>
  <si>
    <t>fall_hechengfu_1130</t>
  </si>
  <si>
    <t>|cff00FF1130前往铁匠铺合成宝石使用</t>
  </si>
  <si>
    <t>fall_hechengfu_1131</t>
  </si>
  <si>
    <t>化神涤元丹</t>
  </si>
  <si>
    <t>|cff00FF1131前往铁匠铺合成宝石使用</t>
  </si>
  <si>
    <t>fall_hechengfu_1132</t>
  </si>
  <si>
    <t>|cff00FF1132前往铁匠铺合成宝石使用</t>
  </si>
  <si>
    <t>fall_hechengfu_1133</t>
  </si>
  <si>
    <t>|cff00FF1133前往铁匠铺合成宝石使用</t>
  </si>
  <si>
    <t>fall_hechengfu_1134</t>
  </si>
  <si>
    <t>化神温阳涤元丹</t>
  </si>
  <si>
    <t>|cff00FF1134前往铁匠铺合成宝石使用</t>
  </si>
  <si>
    <t>fall_hechengfu_1135</t>
  </si>
  <si>
    <t>|cff00FF1135前往铁匠铺合成宝石使用</t>
  </si>
  <si>
    <t>fall_hechengfu_1136</t>
  </si>
  <si>
    <t>|cff00FF1136前往铁匠铺合成宝石使用</t>
  </si>
  <si>
    <t>fall_hechengfu_1137</t>
  </si>
  <si>
    <t>化神烈阳涤元丹</t>
  </si>
  <si>
    <t>|cff00FF1137前往铁匠铺合成宝石使用</t>
  </si>
  <si>
    <t>fall_hechengfu_1138</t>
  </si>
  <si>
    <t>|cff00FF1138前往铁匠铺合成宝石使用</t>
  </si>
  <si>
    <t>fall_hechengfu_1139</t>
  </si>
  <si>
    <t>|cff00FF1139前往铁匠铺合成宝石使用</t>
  </si>
  <si>
    <t>fall_hechengfu_1140</t>
  </si>
  <si>
    <t>化神玄阴破境丹</t>
  </si>
  <si>
    <t>|cff00FF1140前往铁匠铺合成宝石使用</t>
  </si>
  <si>
    <t>fall_hechengfu_1141</t>
  </si>
  <si>
    <t>|cff00FF1141前往铁匠铺合成宝石使用</t>
  </si>
  <si>
    <t>fall_hechengfu_1142</t>
  </si>
  <si>
    <t>|cff00FF1142前往铁匠铺合成宝石使用</t>
  </si>
  <si>
    <t>fall_hechengfu_1143</t>
  </si>
  <si>
    <t>化神清和破境丹</t>
  </si>
  <si>
    <t>|cff00FF1143前往铁匠铺合成宝石使用</t>
  </si>
  <si>
    <t>fall_hechengfu_1144</t>
  </si>
  <si>
    <t>|cff00FF1144前往铁匠铺合成宝石使用</t>
  </si>
  <si>
    <t>fall_hechengfu_1145</t>
  </si>
  <si>
    <t>|cff00FF1145前往铁匠铺合成宝石使用</t>
  </si>
  <si>
    <t>fall_hechengfu_1146</t>
  </si>
  <si>
    <t>化神破境丹</t>
  </si>
  <si>
    <t>|cff00FF1146前往铁匠铺合成宝石使用</t>
  </si>
  <si>
    <t>fall_hechengfu_1147</t>
  </si>
  <si>
    <t>|cff00FF1147前往铁匠铺合成宝石使用</t>
  </si>
  <si>
    <t>fall_hechengfu_1148</t>
  </si>
  <si>
    <t>|cff00FF1148前往铁匠铺合成宝石使用</t>
  </si>
  <si>
    <t>fall_hechengfu_1149</t>
  </si>
  <si>
    <t>化神丹</t>
  </si>
  <si>
    <t>|cff00FF1149前往铁匠铺合成宝石使用</t>
  </si>
  <si>
    <t>fall_hechengfu_1150</t>
  </si>
  <si>
    <t>|cff00FF1150前往铁匠铺合成宝石使用</t>
  </si>
  <si>
    <t>fall_hechengfu_1151</t>
  </si>
  <si>
    <t>|cff00FF1151前往铁匠铺合成宝石使用</t>
  </si>
  <si>
    <t>fall_hechengfu_1152</t>
  </si>
  <si>
    <t>化神烈阳破境丹</t>
  </si>
  <si>
    <t>|cff00FF1152前往铁匠铺合成宝石使用</t>
  </si>
  <si>
    <t>fall_hechengfu_1153</t>
  </si>
  <si>
    <t>|cff00FF1153前往铁匠铺合成宝石使用</t>
  </si>
  <si>
    <t>fall_hechengfu_1154</t>
  </si>
  <si>
    <t>|cff00FF1154前往铁匠铺合成宝石使用</t>
  </si>
  <si>
    <t>fall_hechengfu_1155</t>
  </si>
  <si>
    <t>化神玄阴纳灵丹</t>
  </si>
  <si>
    <t>|cff00FF1155前往铁匠铺合成宝石使用</t>
  </si>
  <si>
    <t>fall_hechengfu_1156</t>
  </si>
  <si>
    <t>|cff00FF1156前往铁匠铺合成宝石使用</t>
  </si>
  <si>
    <t>fall_hechengfu_1157</t>
  </si>
  <si>
    <t>|cff00FF1157前往铁匠铺合成宝石使用</t>
  </si>
  <si>
    <t>fall_hechengfu_1158</t>
  </si>
  <si>
    <t>化神清和纳灵丹</t>
  </si>
  <si>
    <t>|cff00FF1158前往铁匠铺合成宝石使用</t>
  </si>
  <si>
    <t>fall_hechengfu_1159</t>
  </si>
  <si>
    <t>|cff00FF1159前往铁匠铺合成宝石使用</t>
  </si>
  <si>
    <t>fall_hechengfu_1160</t>
  </si>
  <si>
    <t>|cff00FF1160前往铁匠铺合成宝石使用</t>
  </si>
  <si>
    <t>fall_hechengfu_1161</t>
  </si>
  <si>
    <t>化神纳灵丹</t>
  </si>
  <si>
    <t>|cff00FF1161前往铁匠铺合成宝石使用</t>
  </si>
  <si>
    <t>fall_hechengfu_1162</t>
  </si>
  <si>
    <t>|cff00FF1162前往铁匠铺合成宝石使用</t>
  </si>
  <si>
    <t>fall_hechengfu_1163</t>
  </si>
  <si>
    <t>|cff00FF1163前往铁匠铺合成宝石使用</t>
  </si>
  <si>
    <t>fall_hechengfu_1164</t>
  </si>
  <si>
    <t>化神温阳纳灵丹</t>
  </si>
  <si>
    <t>|cff00FF1164前往铁匠铺合成宝石使用</t>
  </si>
  <si>
    <t>fall_hechengfu_1165</t>
  </si>
  <si>
    <t>|cff00FF1165前往铁匠铺合成宝石使用</t>
  </si>
  <si>
    <t>fall_hechengfu_1166</t>
  </si>
  <si>
    <t>|cff00FF1166前往铁匠铺合成宝石使用</t>
  </si>
  <si>
    <t>fall_hechengfu_1167</t>
  </si>
  <si>
    <t>化神烈阳纳灵丹</t>
  </si>
  <si>
    <t>|cff00FF1167前往铁匠铺合成宝石使用</t>
  </si>
  <si>
    <t>fall_hechengfu_1168</t>
  </si>
  <si>
    <t>|cff00FF1168前往铁匠铺合成宝石使用</t>
  </si>
  <si>
    <t>fall_hechengfu_1169</t>
  </si>
  <si>
    <t>|cff00FF1169前往铁匠铺合成宝石使用</t>
  </si>
  <si>
    <t>fall_hechengfu_1170</t>
  </si>
  <si>
    <t>化神玄阴化元丹</t>
  </si>
  <si>
    <t>|cff00FF1170前往铁匠铺合成宝石使用</t>
  </si>
  <si>
    <t>fall_hechengfu_1171</t>
  </si>
  <si>
    <t>|cff00FF1171前往铁匠铺合成宝石使用</t>
  </si>
  <si>
    <t>fall_hechengfu_1172</t>
  </si>
  <si>
    <t>|cff00FF1172前往铁匠铺合成宝石使用</t>
  </si>
  <si>
    <t>fall_hechengfu_1173</t>
  </si>
  <si>
    <t>化神清和化元丹</t>
  </si>
  <si>
    <t>|cff00FF1173前往铁匠铺合成宝石使用</t>
  </si>
  <si>
    <t>fall_hechengfu_1174</t>
  </si>
  <si>
    <t>|cff00FF1174前往铁匠铺合成宝石使用</t>
  </si>
  <si>
    <t>fall_hechengfu_1175</t>
  </si>
  <si>
    <t>|cff00FF1175前往铁匠铺合成宝石使用</t>
  </si>
  <si>
    <t>fall_hechengfu_1176</t>
  </si>
  <si>
    <t>化神化元丹</t>
  </si>
  <si>
    <t>|cff00FF1176前往铁匠铺合成宝石使用</t>
  </si>
  <si>
    <t>fall_hechengfu_1177</t>
  </si>
  <si>
    <t>|cff00FF1177前往铁匠铺合成宝石使用</t>
  </si>
  <si>
    <t>fall_hechengfu_1178</t>
  </si>
  <si>
    <t>|cff00FF1178前往铁匠铺合成宝石使用</t>
  </si>
  <si>
    <t>fall_hechengfu_1179</t>
  </si>
  <si>
    <t>化神温阳化元丹</t>
  </si>
  <si>
    <t>|cff00FF1179前往铁匠铺合成宝石使用</t>
  </si>
  <si>
    <t>fall_hechengfu_1180</t>
  </si>
  <si>
    <t>|cff00FF1180前往铁匠铺合成宝石使用</t>
  </si>
  <si>
    <t>fall_hechengfu_1181</t>
  </si>
  <si>
    <t>|cff00FF1181前往铁匠铺合成宝石使用</t>
  </si>
  <si>
    <t>fall_hechengfu_1182</t>
  </si>
  <si>
    <t>化神烈阳化元丹</t>
  </si>
  <si>
    <t>|cff00FF1182前往铁匠铺合成宝石使用</t>
  </si>
  <si>
    <t>fall_hechengfu_1183</t>
  </si>
  <si>
    <t>|cff00FF1183前往铁匠铺合成宝石使用</t>
  </si>
  <si>
    <t>fall_hechengfu_1184</t>
  </si>
  <si>
    <t>|cff00FF1184前往铁匠铺合成宝石使用</t>
  </si>
  <si>
    <t>fall_hechengfu_1185</t>
  </si>
  <si>
    <t>化神玄阴聚元丹</t>
  </si>
  <si>
    <t>|cff00FF1185前往铁匠铺合成宝石使用</t>
  </si>
  <si>
    <t>fall_hechengfu_1186</t>
  </si>
  <si>
    <t>|cff00FF1186前往铁匠铺合成宝石使用</t>
  </si>
  <si>
    <t>fall_hechengfu_1187</t>
  </si>
  <si>
    <t>|cff00FF1187前往铁匠铺合成宝石使用</t>
  </si>
  <si>
    <t>fall_hechengfu_1188</t>
  </si>
  <si>
    <t>化神清和聚元丹</t>
  </si>
  <si>
    <t>|cff00FF1188前往铁匠铺合成宝石使用</t>
  </si>
  <si>
    <t>fall_hechengfu_1189</t>
  </si>
  <si>
    <t>|cff00FF1189前往铁匠铺合成宝石使用</t>
  </si>
  <si>
    <t>fall_hechengfu_1190</t>
  </si>
  <si>
    <t>|cff00FF1190前往铁匠铺合成宝石使用</t>
  </si>
  <si>
    <t>fall_hechengfu_1191</t>
  </si>
  <si>
    <t>化神聚元丹</t>
  </si>
  <si>
    <t>|cff00FF1191前往铁匠铺合成宝石使用</t>
  </si>
  <si>
    <t>fall_hechengfu_1192</t>
  </si>
  <si>
    <t>|cff00FF1192前往铁匠铺合成宝石使用</t>
  </si>
  <si>
    <t>fall_hechengfu_1193</t>
  </si>
  <si>
    <t>|cff00FF1193前往铁匠铺合成宝石使用</t>
  </si>
  <si>
    <t>fall_hechengfu_1194</t>
  </si>
  <si>
    <t>化神温阳聚元丹</t>
  </si>
  <si>
    <t>|cff00FF1194前往铁匠铺合成宝石使用</t>
  </si>
  <si>
    <t>fall_hechengfu_1195</t>
  </si>
  <si>
    <t>|cff00FF1195前往铁匠铺合成宝石使用</t>
  </si>
  <si>
    <t>fall_hechengfu_1196</t>
  </si>
  <si>
    <t>|cff00FF1196前往铁匠铺合成宝石使用</t>
  </si>
  <si>
    <t>fall_hechengfu_1197</t>
  </si>
  <si>
    <t>化神烈阳聚元丹</t>
  </si>
  <si>
    <t>|cff00FF1197前往铁匠铺合成宝石使用</t>
  </si>
  <si>
    <t>fall_hechengfu_1198</t>
  </si>
  <si>
    <t>|cff00FF1198前往铁匠铺合成宝石使用</t>
  </si>
  <si>
    <t>fall_hechengfu_1199</t>
  </si>
  <si>
    <t>|cff00FF1199前往铁匠铺合成宝石使用</t>
  </si>
  <si>
    <t>fall_hechengfu_1200</t>
  </si>
  <si>
    <t>化神玄阴通脉丹</t>
  </si>
  <si>
    <t>|cff00FF1200前往铁匠铺合成宝石使用</t>
  </si>
  <si>
    <t>fall_hechengfu_1201</t>
  </si>
  <si>
    <t>|cff00FF1201前往铁匠铺合成宝石使用</t>
  </si>
  <si>
    <t>fall_hechengfu_1202</t>
  </si>
  <si>
    <t>|cff00FF1202前往铁匠铺合成宝石使用</t>
  </si>
  <si>
    <t>fall_hechengfu_1203</t>
  </si>
  <si>
    <t>化神清和通脉丹</t>
  </si>
  <si>
    <t>|cff00FF1203前往铁匠铺合成宝石使用</t>
  </si>
  <si>
    <t>fall_hechengfu_1204</t>
  </si>
  <si>
    <t>|cff00FF1204前往铁匠铺合成宝石使用</t>
  </si>
  <si>
    <t>fall_hechengfu_1205</t>
  </si>
  <si>
    <t>|cff00FF1205前往铁匠铺合成宝石使用</t>
  </si>
  <si>
    <t>fall_hechengfu_1206</t>
  </si>
  <si>
    <t>化神通脉丹</t>
  </si>
  <si>
    <t>|cff00FF1206前往铁匠铺合成宝石使用</t>
  </si>
  <si>
    <t>fall_hechengfu_1207</t>
  </si>
  <si>
    <t>|cff00FF1207前往铁匠铺合成宝石使用</t>
  </si>
  <si>
    <t>fall_hechengfu_1208</t>
  </si>
  <si>
    <t>|cff00FF1208前往铁匠铺合成宝石使用</t>
  </si>
  <si>
    <t>fall_hechengfu_1209</t>
  </si>
  <si>
    <t>化神温阳通脉丹</t>
  </si>
  <si>
    <t>|cff00FF1209前往铁匠铺合成宝石使用</t>
  </si>
  <si>
    <t>fall_hechengfu_1210</t>
  </si>
  <si>
    <t>|cff00FF1210前往铁匠铺合成宝石使用</t>
  </si>
  <si>
    <t>fall_hechengfu_1211</t>
  </si>
  <si>
    <t>|cff00FF1211前往铁匠铺合成宝石使用</t>
  </si>
  <si>
    <t>fall_hechengfu_1212</t>
  </si>
  <si>
    <t>化神烈阳通脉丹</t>
  </si>
  <si>
    <t>|cff00FF1212前往铁匠铺合成宝石使用</t>
  </si>
  <si>
    <t>fall_hechengfu_1213</t>
  </si>
  <si>
    <t>|cff00FF1213前往铁匠铺合成宝石使用</t>
  </si>
  <si>
    <t>fall_hechengfu_1214</t>
  </si>
  <si>
    <t>|cff00FF1214前往铁匠铺合成宝石使用</t>
  </si>
  <si>
    <t>fall_hechengfu_1215</t>
  </si>
  <si>
    <t>化神玄阴拓脉丹</t>
  </si>
  <si>
    <t>|cff00FF1215前往铁匠铺合成宝石使用</t>
  </si>
  <si>
    <t>fall_hechengfu_1216</t>
  </si>
  <si>
    <t>|cff00FF1216前往铁匠铺合成宝石使用</t>
  </si>
  <si>
    <t>fall_hechengfu_1217</t>
  </si>
  <si>
    <t>|cff00FF1217前往铁匠铺合成宝石使用</t>
  </si>
  <si>
    <t>fall_hechengfu_1218</t>
  </si>
  <si>
    <t>化神清和拓脉丹</t>
  </si>
  <si>
    <t>|cff00FF1218前往铁匠铺合成宝石使用</t>
  </si>
  <si>
    <t>fall_hechengfu_1219</t>
  </si>
  <si>
    <t>|cff00FF1219前往铁匠铺合成宝石使用</t>
  </si>
  <si>
    <t>fall_hechengfu_1220</t>
  </si>
  <si>
    <t>|cff00FF1220前往铁匠铺合成宝石使用</t>
  </si>
  <si>
    <t>fall_hechengfu_1221</t>
  </si>
  <si>
    <t>化神拓脉丹</t>
  </si>
  <si>
    <t>|cff00FF1221前往铁匠铺合成宝石使用</t>
  </si>
  <si>
    <t>fall_hechengfu_1222</t>
  </si>
  <si>
    <t>|cff00FF1222前往铁匠铺合成宝石使用</t>
  </si>
  <si>
    <t>fall_hechengfu_1223</t>
  </si>
  <si>
    <t>|cff00FF1223前往铁匠铺合成宝石使用</t>
  </si>
  <si>
    <t>fall_hechengfu_1224</t>
  </si>
  <si>
    <t>化神温阳拓脉丹</t>
  </si>
  <si>
    <t>|cff00FF1224前往铁匠铺合成宝石使用</t>
  </si>
  <si>
    <t>fall_hechengfu_1225</t>
  </si>
  <si>
    <t>|cff00FF1225前往铁匠铺合成宝石使用</t>
  </si>
  <si>
    <t>fall_hechengfu_1226</t>
  </si>
  <si>
    <t>|cff00FF1226前往铁匠铺合成宝石使用</t>
  </si>
  <si>
    <t>fall_hechengfu_1227</t>
  </si>
  <si>
    <t>化神烈阳拓脉丹</t>
  </si>
  <si>
    <t>|cff00FF1227前往铁匠铺合成宝石使用</t>
  </si>
  <si>
    <t>fall_hechengfu_1228</t>
  </si>
  <si>
    <t>|cff00FF1228前往铁匠铺合成宝石使用</t>
  </si>
  <si>
    <t>fall_hechengfu_1229</t>
  </si>
  <si>
    <t>|cff00FF1229前往铁匠铺合成宝石使用</t>
  </si>
  <si>
    <t>fall_hechengfu_1230</t>
  </si>
  <si>
    <t>化神玄阴回灵丹</t>
  </si>
  <si>
    <t>|cff00FF1230前往铁匠铺合成宝石使用</t>
  </si>
  <si>
    <t>fall_hechengfu_1231</t>
  </si>
  <si>
    <t>|cff00FF1231前往铁匠铺合成宝石使用</t>
  </si>
  <si>
    <t>fall_hechengfu_1232</t>
  </si>
  <si>
    <t>|cff00FF1232前往铁匠铺合成宝石使用</t>
  </si>
  <si>
    <t>fall_hechengfu_1233</t>
  </si>
  <si>
    <t>化神清和回灵丹</t>
  </si>
  <si>
    <t>|cff00FF1233前往铁匠铺合成宝石使用</t>
  </si>
  <si>
    <t>fall_hechengfu_1234</t>
  </si>
  <si>
    <t>|cff00FF1234前往铁匠铺合成宝石使用</t>
  </si>
  <si>
    <t>fall_hechengfu_1235</t>
  </si>
  <si>
    <t>|cff00FF1235前往铁匠铺合成宝石使用</t>
  </si>
  <si>
    <t>fall_hechengfu_1236</t>
  </si>
  <si>
    <t>化神回灵丹</t>
  </si>
  <si>
    <t>|cff00FF1236前往铁匠铺合成宝石使用</t>
  </si>
  <si>
    <t>fall_hechengfu_1237</t>
  </si>
  <si>
    <t>|cff00FF1237前往铁匠铺合成宝石使用</t>
  </si>
  <si>
    <t>fall_hechengfu_1238</t>
  </si>
  <si>
    <t>|cff00FF1238前往铁匠铺合成宝石使用</t>
  </si>
  <si>
    <t>fall_hechengfu_1239</t>
  </si>
  <si>
    <t>化神温阳回灵丹</t>
  </si>
  <si>
    <t>|cff00FF1239前往铁匠铺合成宝石使用</t>
  </si>
  <si>
    <t>fall_hechengfu_1240</t>
  </si>
  <si>
    <t>|cff00FF1240前往铁匠铺合成宝石使用</t>
  </si>
  <si>
    <t>fall_hechengfu_1241</t>
  </si>
  <si>
    <t>|cff00FF1241前往铁匠铺合成宝石使用</t>
  </si>
  <si>
    <t>fall_hechengfu_1242</t>
  </si>
  <si>
    <t>化神烈阳回灵丹</t>
  </si>
  <si>
    <t>|cff00FF1242前往铁匠铺合成宝石使用</t>
  </si>
  <si>
    <t>fall_hechengfu_1243</t>
  </si>
  <si>
    <t>|cff00FF1243前往铁匠铺合成宝石使用</t>
  </si>
  <si>
    <t>fall_hechengfu_1244</t>
  </si>
  <si>
    <t>|cff00FF1244前往铁匠铺合成宝石使用</t>
  </si>
  <si>
    <t>fall_hechengfu_1245</t>
  </si>
  <si>
    <t>化神玄阴燃灵丹</t>
  </si>
  <si>
    <t>|cff00FF1245前往铁匠铺合成宝石使用</t>
  </si>
  <si>
    <t>fall_hechengfu_1246</t>
  </si>
  <si>
    <t>|cff00FF1246前往铁匠铺合成宝石使用</t>
  </si>
  <si>
    <t>fall_hechengfu_1247</t>
  </si>
  <si>
    <t>|cff00FF1247前往铁匠铺合成宝石使用</t>
  </si>
  <si>
    <t>fall_hechengfu_1248</t>
  </si>
  <si>
    <t>化神清和燃灵丹</t>
  </si>
  <si>
    <t>|cff00FF1248前往铁匠铺合成宝石使用</t>
  </si>
  <si>
    <t>fall_hechengfu_1249</t>
  </si>
  <si>
    <t>|cff00FF1249前往铁匠铺合成宝石使用</t>
  </si>
  <si>
    <t>fall_hechengfu_1250</t>
  </si>
  <si>
    <t>|cff00FF1250前往铁匠铺合成宝石使用</t>
  </si>
  <si>
    <t>fall_hechengfu_1251</t>
  </si>
  <si>
    <t>化神燃灵丹</t>
  </si>
  <si>
    <t>|cff00FF1251前往铁匠铺合成宝石使用</t>
  </si>
  <si>
    <t>fall_hechengfu_1252</t>
  </si>
  <si>
    <t>|cff00FF1252前往铁匠铺合成宝石使用</t>
  </si>
  <si>
    <t>fall_hechengfu_1253</t>
  </si>
  <si>
    <t>|cff00FF1253前往铁匠铺合成宝石使用</t>
  </si>
  <si>
    <t>fall_hechengfu_1254</t>
  </si>
  <si>
    <t>化神温阳燃灵丹</t>
  </si>
  <si>
    <t>|cff00FF1254前往铁匠铺合成宝石使用</t>
  </si>
  <si>
    <t>fall_hechengfu_1255</t>
  </si>
  <si>
    <t>|cff00FF1255前往铁匠铺合成宝石使用</t>
  </si>
  <si>
    <t>fall_hechengfu_1256</t>
  </si>
  <si>
    <t>|cff00FF1256前往铁匠铺合成宝石使用</t>
  </si>
  <si>
    <t>fall_hechengfu_1257</t>
  </si>
  <si>
    <t>化神烈阳燃灵丹</t>
  </si>
  <si>
    <t>|cff00FF1257前往铁匠铺合成宝石使用</t>
  </si>
  <si>
    <t>fall_hechengfu_1258</t>
  </si>
  <si>
    <t>|cff00FF1258前往铁匠铺合成宝石使用</t>
  </si>
  <si>
    <t>fall_hechengfu_1259</t>
  </si>
  <si>
    <t>|cff00FF1259前往铁匠铺合成宝石使用</t>
  </si>
  <si>
    <t>fall_hechengfu_1260</t>
  </si>
  <si>
    <t>化神玄阴镇脉丹</t>
  </si>
  <si>
    <t>|cff00FF1260前往铁匠铺合成宝石使用</t>
  </si>
  <si>
    <t>fall_hechengfu_1261</t>
  </si>
  <si>
    <t>|cff00FF1261前往铁匠铺合成宝石使用</t>
  </si>
  <si>
    <t>fall_hechengfu_1262</t>
  </si>
  <si>
    <t>|cff00FF1262前往铁匠铺合成宝石使用</t>
  </si>
  <si>
    <t>fall_hechengfu_1263</t>
  </si>
  <si>
    <t>化神清和镇脉丹</t>
  </si>
  <si>
    <t>|cff00FF1263前往铁匠铺合成宝石使用</t>
  </si>
  <si>
    <t>fall_hechengfu_1264</t>
  </si>
  <si>
    <t>|cff00FF1264前往铁匠铺合成宝石使用</t>
  </si>
  <si>
    <t>fall_hechengfu_1265</t>
  </si>
  <si>
    <t>|cff00FF1265前往铁匠铺合成宝石使用</t>
  </si>
  <si>
    <t>fall_hechengfu_1266</t>
  </si>
  <si>
    <t>化神镇脉丹</t>
  </si>
  <si>
    <t>|cff00FF1266前往铁匠铺合成宝石使用</t>
  </si>
  <si>
    <t>fall_hechengfu_1267</t>
  </si>
  <si>
    <t>|cff00FF1267前往铁匠铺合成宝石使用</t>
  </si>
  <si>
    <t>fall_hechengfu_1268</t>
  </si>
  <si>
    <t>|cff00FF1268前往铁匠铺合成宝石使用</t>
  </si>
  <si>
    <t>fall_hechengfu_1269</t>
  </si>
  <si>
    <t>化神温阳镇脉丹</t>
  </si>
  <si>
    <t>|cff00FF1269前往铁匠铺合成宝石使用</t>
  </si>
  <si>
    <t>fall_hechengfu_1270</t>
  </si>
  <si>
    <t>|cff00FF1270前往铁匠铺合成宝石使用</t>
  </si>
  <si>
    <t>fall_hechengfu_1271</t>
  </si>
  <si>
    <t>|cff00FF1271前往铁匠铺合成宝石使用</t>
  </si>
  <si>
    <t>fall_hechengfu_1272</t>
  </si>
  <si>
    <t>化神烈阳镇脉丹</t>
  </si>
  <si>
    <t>|cff00FF1272前往铁匠铺合成宝石使用</t>
  </si>
  <si>
    <t>fall_hechengfu_1273</t>
  </si>
  <si>
    <t>|cff00FF1273前往铁匠铺合成宝石使用</t>
  </si>
  <si>
    <t>fall_hechengfu_1274</t>
  </si>
  <si>
    <t>|cff00FF1274前往铁匠铺合成宝石使用</t>
  </si>
  <si>
    <t>fall_hechengfu_1275</t>
  </si>
  <si>
    <t>化神玄阴净髓丹</t>
  </si>
  <si>
    <t>|cff00FF1275前往铁匠铺合成宝石使用</t>
  </si>
  <si>
    <t>fall_hechengfu_1276</t>
  </si>
  <si>
    <t>|cff00FF1276前往铁匠铺合成宝石使用</t>
  </si>
  <si>
    <t>fall_hechengfu_1277</t>
  </si>
  <si>
    <t>|cff00FF1277前往铁匠铺合成宝石使用</t>
  </si>
  <si>
    <t>fall_hechengfu_1278</t>
  </si>
  <si>
    <t>化神清和净髓丹</t>
  </si>
  <si>
    <t>|cff00FF1278前往铁匠铺合成宝石使用</t>
  </si>
  <si>
    <t>fall_hechengfu_1279</t>
  </si>
  <si>
    <t>|cff00FF1279前往铁匠铺合成宝石使用</t>
  </si>
  <si>
    <t>fall_hechengfu_1280</t>
  </si>
  <si>
    <t>|cff00FF1280前往铁匠铺合成宝石使用</t>
  </si>
  <si>
    <t>fall_hechengfu_1281</t>
  </si>
  <si>
    <t>化神净髓丹</t>
  </si>
  <si>
    <t>|cff00FF1281前往铁匠铺合成宝石使用</t>
  </si>
  <si>
    <t>fall_hechengfu_1282</t>
  </si>
  <si>
    <t>|cff00FF1282前往铁匠铺合成宝石使用</t>
  </si>
  <si>
    <t>fall_hechengfu_1283</t>
  </si>
  <si>
    <t>|cff00FF1283前往铁匠铺合成宝石使用</t>
  </si>
  <si>
    <t>fall_hechengfu_1284</t>
  </si>
  <si>
    <t>化神温阳净髓丹</t>
  </si>
  <si>
    <t>|cff00FF1284前往铁匠铺合成宝石使用</t>
  </si>
  <si>
    <t>fall_hechengfu_1285</t>
  </si>
  <si>
    <t>|cff00FF1285前往铁匠铺合成宝石使用</t>
  </si>
  <si>
    <t>fall_hechengfu_1286</t>
  </si>
  <si>
    <t>|cff00FF1286前往铁匠铺合成宝石使用</t>
  </si>
  <si>
    <t>fall_hechengfu_1287</t>
  </si>
  <si>
    <t>化神烈阳净髓丹</t>
  </si>
  <si>
    <t>|cff00FF1287前往铁匠铺合成宝石使用</t>
  </si>
  <si>
    <t>fall_hechengfu_1288</t>
  </si>
  <si>
    <t>|cff00FF1288前往铁匠铺合成宝石使用</t>
  </si>
  <si>
    <t>fall_hechengfu_1289</t>
  </si>
  <si>
    <t>|cff00FF1289前往铁匠铺合成宝石使用</t>
  </si>
  <si>
    <t>fall_hechengfu_1290</t>
  </si>
  <si>
    <t>化神玄阴壮骨丹</t>
  </si>
  <si>
    <t>|cff00FF1290前往铁匠铺合成宝石使用</t>
  </si>
  <si>
    <t>fall_hechengfu_1291</t>
  </si>
  <si>
    <t>|cff00FF1291前往铁匠铺合成宝石使用</t>
  </si>
  <si>
    <t>fall_hechengfu_1292</t>
  </si>
  <si>
    <t>|cff00FF1292前往铁匠铺合成宝石使用</t>
  </si>
  <si>
    <t>fall_hechengfu_1293</t>
  </si>
  <si>
    <t>化神清和壮骨丹</t>
  </si>
  <si>
    <t>|cff00FF1293前往铁匠铺合成宝石使用</t>
  </si>
  <si>
    <t>fall_hechengfu_1294</t>
  </si>
  <si>
    <t>|cff00FF1294前往铁匠铺合成宝石使用</t>
  </si>
  <si>
    <t>fall_hechengfu_1295</t>
  </si>
  <si>
    <t>|cff00FF1295前往铁匠铺合成宝石使用</t>
  </si>
  <si>
    <t>fall_hechengfu_1296</t>
  </si>
  <si>
    <t>化神壮骨丹</t>
  </si>
  <si>
    <t>|cff00FF1296前往铁匠铺合成宝石使用</t>
  </si>
  <si>
    <t>fall_hechengfu_1297</t>
  </si>
  <si>
    <t>|cff00FF1297前往铁匠铺合成宝石使用</t>
  </si>
  <si>
    <t>fall_hechengfu_1298</t>
  </si>
  <si>
    <t>|cff00FF1298前往铁匠铺合成宝石使用</t>
  </si>
  <si>
    <t>fall_hechengfu_1299</t>
  </si>
  <si>
    <t>化神温阳壮骨丹</t>
  </si>
  <si>
    <t>|cff00FF1299前往铁匠铺合成宝石使用</t>
  </si>
  <si>
    <t>fall_hechengfu_1300</t>
  </si>
  <si>
    <t>|cff00FF1300前往铁匠铺合成宝石使用</t>
  </si>
  <si>
    <t>fall_hechengfu_1301</t>
  </si>
  <si>
    <t>|cff00FF1301前往铁匠铺合成宝石使用</t>
  </si>
  <si>
    <t>fall_hechengfu_1302</t>
  </si>
  <si>
    <t>化神烈阳壮骨丹</t>
  </si>
  <si>
    <t>|cff00FF1302前往铁匠铺合成宝石使用</t>
  </si>
  <si>
    <t>fall_hechengfu_1303</t>
  </si>
  <si>
    <t>|cff00FF1303前往铁匠铺合成宝石使用</t>
  </si>
  <si>
    <t>fall_hechengfu_1304</t>
  </si>
  <si>
    <t>|cff00FF1304前往铁匠铺合成宝石使用</t>
  </si>
  <si>
    <t>fall_hechengfu_1305</t>
  </si>
  <si>
    <t>化神玄阴延寿丹</t>
  </si>
  <si>
    <t>|cff00FF1305前往铁匠铺合成宝石使用</t>
  </si>
  <si>
    <t>fall_hechengfu_1306</t>
  </si>
  <si>
    <t>|cff00FF1306前往铁匠铺合成宝石使用</t>
  </si>
  <si>
    <t>fall_hechengfu_1307</t>
  </si>
  <si>
    <t>|cff00FF1307前往铁匠铺合成宝石使用</t>
  </si>
  <si>
    <t>fall_hechengfu_1308</t>
  </si>
  <si>
    <t>化神清和延寿丹</t>
  </si>
  <si>
    <t>|cff00FF1308前往铁匠铺合成宝石使用</t>
  </si>
  <si>
    <t>fall_hechengfu_1309</t>
  </si>
  <si>
    <t>|cff00FF1309前往铁匠铺合成宝石使用</t>
  </si>
  <si>
    <t>fall_hechengfu_1310</t>
  </si>
  <si>
    <t>|cff00FF1310前往铁匠铺合成宝石使用</t>
  </si>
  <si>
    <t>fall_hechengfu_1311</t>
  </si>
  <si>
    <t>化神延寿丹</t>
  </si>
  <si>
    <t>|cff00FF1311前往铁匠铺合成宝石使用</t>
  </si>
  <si>
    <t>fall_hechengfu_1312</t>
  </si>
  <si>
    <t>|cff00FF1312前往铁匠铺合成宝石使用</t>
  </si>
  <si>
    <t>fall_hechengfu_1313</t>
  </si>
  <si>
    <t>|cff00FF1313前往铁匠铺合成宝石使用</t>
  </si>
  <si>
    <t>fall_hechengfu_1314</t>
  </si>
  <si>
    <t>化神温阳延寿丹</t>
  </si>
  <si>
    <t>|cff00FF1314前往铁匠铺合成宝石使用</t>
  </si>
  <si>
    <t>fall_hechengfu_1315</t>
  </si>
  <si>
    <t>|cff00FF1315前往铁匠铺合成宝石使用</t>
  </si>
  <si>
    <t>fall_hechengfu_1316</t>
  </si>
  <si>
    <t>|cff00FF1316前往铁匠铺合成宝石使用</t>
  </si>
  <si>
    <t>fall_hechengfu_1317</t>
  </si>
  <si>
    <t>化神烈阳延寿丹</t>
  </si>
  <si>
    <t>|cff00FF1317前往铁匠铺合成宝石使用</t>
  </si>
  <si>
    <t>fall_hechengfu_1318</t>
  </si>
  <si>
    <t>|cff00FF1318前往铁匠铺合成宝石使用</t>
  </si>
  <si>
    <t>fall_hechengfu_1319</t>
  </si>
  <si>
    <t>|cff00FF1319前往铁匠铺合成宝石使用</t>
  </si>
  <si>
    <t>fall_hechengfu_1320</t>
  </si>
  <si>
    <t>化神玄阴塑灵丹</t>
  </si>
  <si>
    <t>|cff00FF1320前往铁匠铺合成宝石使用</t>
  </si>
  <si>
    <t>fall_hechengfu_1321</t>
  </si>
  <si>
    <t>|cff00FF1321前往铁匠铺合成宝石使用</t>
  </si>
  <si>
    <t>fall_hechengfu_1322</t>
  </si>
  <si>
    <t>|cff00FF1322前往铁匠铺合成宝石使用</t>
  </si>
  <si>
    <t>fall_hechengfu_1323</t>
  </si>
  <si>
    <t>化神清和塑灵丹</t>
  </si>
  <si>
    <t>|cff00FF1323前往铁匠铺合成宝石使用</t>
  </si>
  <si>
    <t>fall_hechengfu_1324</t>
  </si>
  <si>
    <t>|cff00FF1324前往铁匠铺合成宝石使用</t>
  </si>
  <si>
    <t>fall_hechengfu_1325</t>
  </si>
  <si>
    <t>|cff00FF1325前往铁匠铺合成宝石使用</t>
  </si>
  <si>
    <t>fall_hechengfu_1326</t>
  </si>
  <si>
    <t>化神塑灵丹</t>
  </si>
  <si>
    <t>|cff00FF1326前往铁匠铺合成宝石使用</t>
  </si>
  <si>
    <t>fall_hechengfu_1327</t>
  </si>
  <si>
    <t>|cff00FF1327前往铁匠铺合成宝石使用</t>
  </si>
  <si>
    <t>fall_hechengfu_1328</t>
  </si>
  <si>
    <t>|cff00FF1328前往铁匠铺合成宝石使用</t>
  </si>
  <si>
    <t>fall_hechengfu_1329</t>
  </si>
  <si>
    <t>化神温阳塑灵丹</t>
  </si>
  <si>
    <t>|cff00FF1329前往铁匠铺合成宝石使用</t>
  </si>
  <si>
    <t>fall_hechengfu_1330</t>
  </si>
  <si>
    <t>|cff00FF1330前往铁匠铺合成宝石使用</t>
  </si>
  <si>
    <t>fall_hechengfu_1331</t>
  </si>
  <si>
    <t>|cff00FF1331前往铁匠铺合成宝石使用</t>
  </si>
  <si>
    <t>fall_hechengfu_1332</t>
  </si>
  <si>
    <t>化神洗灵丹</t>
  </si>
  <si>
    <t>|cff00FF1332前往铁匠铺合成宝石使用</t>
  </si>
  <si>
    <t>fall_hechengfu_1333</t>
  </si>
  <si>
    <t>|cff00FF1333前往铁匠铺合成宝石使用</t>
  </si>
  <si>
    <t>fall_hechengfu_1334</t>
  </si>
  <si>
    <t>|cff00FF1334前往铁匠铺合成宝石使用</t>
  </si>
  <si>
    <t>fall_hechengfu_1335</t>
  </si>
  <si>
    <t>化神玄阴固元丹</t>
  </si>
  <si>
    <t>|cff00FF1335前往铁匠铺合成宝石使用</t>
  </si>
  <si>
    <t>fall_hechengfu_1336</t>
  </si>
  <si>
    <t>|cff00FF1336前往铁匠铺合成宝石使用</t>
  </si>
  <si>
    <t>fall_hechengfu_1337</t>
  </si>
  <si>
    <t>|cff00FF1337前往铁匠铺合成宝石使用</t>
  </si>
  <si>
    <t>fall_hechengfu_1338</t>
  </si>
  <si>
    <t>化神清和固元丹</t>
  </si>
  <si>
    <t>|cff00FF1338前往铁匠铺合成宝石使用</t>
  </si>
  <si>
    <t>fall_hechengfu_1339</t>
  </si>
  <si>
    <t>|cff00FF1339前往铁匠铺合成宝石使用</t>
  </si>
  <si>
    <t>fall_hechengfu_1340</t>
  </si>
  <si>
    <t>|cff00FF1340前往铁匠铺合成宝石使用</t>
  </si>
  <si>
    <t>fall_hechengfu_1341</t>
  </si>
  <si>
    <t>化神固元丹</t>
  </si>
  <si>
    <t>|cff00FF1341前往铁匠铺合成宝石使用</t>
  </si>
  <si>
    <t>fall_hechengfu_1342</t>
  </si>
  <si>
    <t>|cff00FF1342前往铁匠铺合成宝石使用</t>
  </si>
  <si>
    <t>fall_hechengfu_1343</t>
  </si>
  <si>
    <t>|cff00FF1343前往铁匠铺合成宝石使用</t>
  </si>
  <si>
    <t>fall_hechengfu_1344</t>
  </si>
  <si>
    <t>化神温阳固元丹</t>
  </si>
  <si>
    <t>|cff00FF1344前往铁匠铺合成宝石使用</t>
  </si>
  <si>
    <t>fall_hechengfu_1345</t>
  </si>
  <si>
    <t>|cff00FF1345前往铁匠铺合成宝石使用</t>
  </si>
  <si>
    <t>fall_hechengfu_1346</t>
  </si>
  <si>
    <t>|cff00FF1346前往铁匠铺合成宝石使用</t>
  </si>
  <si>
    <t>fall_hechengfu_1347</t>
  </si>
  <si>
    <t>化神烈阳固元丹</t>
  </si>
  <si>
    <t>|cff00FF1347前往铁匠铺合成宝石使用</t>
  </si>
  <si>
    <t>fall_hechengfu_1348</t>
  </si>
  <si>
    <t>|cff00FF1348前往铁匠铺合成宝石使用</t>
  </si>
  <si>
    <t>fall_hechengfu_1349</t>
  </si>
  <si>
    <t>|cff00FF1349前往铁匠铺合成宝石使用</t>
  </si>
  <si>
    <t>fall_hechengfu_1350</t>
  </si>
  <si>
    <t>化神玄阴破妄丹</t>
  </si>
  <si>
    <t>|cff00FF1350前往铁匠铺合成宝石使用</t>
  </si>
  <si>
    <t>fall_hechengfu_1351</t>
  </si>
  <si>
    <t>|cff00FF1351前往铁匠铺合成宝石使用</t>
  </si>
  <si>
    <t>fall_hechengfu_1352</t>
  </si>
  <si>
    <t>|cff00FF1352前往铁匠铺合成宝石使用</t>
  </si>
  <si>
    <t>fall_hechengfu_1353</t>
  </si>
  <si>
    <t>化神清和破妄丹</t>
  </si>
  <si>
    <t>|cff00FF1353前往铁匠铺合成宝石使用</t>
  </si>
  <si>
    <t>fall_hechengfu_1354</t>
  </si>
  <si>
    <t>|cff00FF1354前往铁匠铺合成宝石使用</t>
  </si>
  <si>
    <t>fall_hechengfu_1355</t>
  </si>
  <si>
    <t>|cff00FF1355前往铁匠铺合成宝石使用</t>
  </si>
  <si>
    <t>fall_hechengfu_1356</t>
  </si>
  <si>
    <t>化神破妄丹</t>
  </si>
  <si>
    <t>|cff00FF1356前往铁匠铺合成宝石使用</t>
  </si>
  <si>
    <t>fall_hechengfu_1357</t>
  </si>
  <si>
    <t>|cff00FF1357前往铁匠铺合成宝石使用</t>
  </si>
  <si>
    <t>fall_hechengfu_1358</t>
  </si>
  <si>
    <t>|cff00FF1358前往铁匠铺合成宝石使用</t>
  </si>
  <si>
    <t>fall_hechengfu_1359</t>
  </si>
  <si>
    <t>化神温阳破妄丹</t>
  </si>
  <si>
    <t>|cff00FF1359前往铁匠铺合成宝石使用</t>
  </si>
  <si>
    <t>fall_hechengfu_1360</t>
  </si>
  <si>
    <t>|cff00FF1360前往铁匠铺合成宝石使用</t>
  </si>
  <si>
    <t>fall_hechengfu_1361</t>
  </si>
  <si>
    <t>|cff00FF1361前往铁匠铺合成宝石使用</t>
  </si>
  <si>
    <t>fall_hechengfu_1362</t>
  </si>
  <si>
    <t>化神烈阳破妄丹</t>
  </si>
  <si>
    <t>|cff00FF1362前往铁匠铺合成宝石使用</t>
  </si>
  <si>
    <t>fall_hechengfu_1363</t>
  </si>
  <si>
    <t>|cff00FF1363前往铁匠铺合成宝石使用</t>
  </si>
  <si>
    <t>fall_hechengfu_1364</t>
  </si>
  <si>
    <t>|cff00FF1364前往铁匠铺合成宝石使用</t>
  </si>
  <si>
    <t>fall_hechengfu_1365</t>
  </si>
  <si>
    <t>化神玄阴养神丹</t>
  </si>
  <si>
    <t>|cff00FF1365前往铁匠铺合成宝石使用</t>
  </si>
  <si>
    <t>fall_hechengfu_1366</t>
  </si>
  <si>
    <t>|cff00FF1366前往铁匠铺合成宝石使用</t>
  </si>
  <si>
    <t>fall_hechengfu_1367</t>
  </si>
  <si>
    <t>|cff00FF1367前往铁匠铺合成宝石使用</t>
  </si>
  <si>
    <t>fall_hechengfu_1368</t>
  </si>
  <si>
    <t>化神清和养神丹</t>
  </si>
  <si>
    <t>|cff00FF1368前往铁匠铺合成宝石使用</t>
  </si>
  <si>
    <t>fall_hechengfu_1369</t>
  </si>
  <si>
    <t>|cff00FF1369前往铁匠铺合成宝石使用</t>
  </si>
  <si>
    <t>fall_hechengfu_1370</t>
  </si>
  <si>
    <t>|cff00FF1370前往铁匠铺合成宝石使用</t>
  </si>
  <si>
    <t>fall_hechengfu_1371</t>
  </si>
  <si>
    <t>化神养神丹</t>
  </si>
  <si>
    <t>|cff00FF1371前往铁匠铺合成宝石使用</t>
  </si>
  <si>
    <t>fall_hechengfu_1372</t>
  </si>
  <si>
    <t>|cff00FF1372前往铁匠铺合成宝石使用</t>
  </si>
  <si>
    <t>fall_hechengfu_1373</t>
  </si>
  <si>
    <t>|cff00FF1373前往铁匠铺合成宝石使用</t>
  </si>
  <si>
    <t>fall_hechengfu_1374</t>
  </si>
  <si>
    <t>化神温阳养神丹</t>
  </si>
  <si>
    <t>|cff00FF1374前往铁匠铺合成宝石使用</t>
  </si>
  <si>
    <t>fall_hechengfu_1375</t>
  </si>
  <si>
    <t>|cff00FF1375前往铁匠铺合成宝石使用</t>
  </si>
  <si>
    <t>fall_hechengfu_1376</t>
  </si>
  <si>
    <t>|cff00FF1376前往铁匠铺合成宝石使用</t>
  </si>
  <si>
    <t>fall_hechengfu_1377</t>
  </si>
  <si>
    <t>化神烈阳养神丹</t>
  </si>
  <si>
    <t>|cff00FF1377前往铁匠铺合成宝石使用</t>
  </si>
  <si>
    <t>fall_hechengfu_1378</t>
  </si>
  <si>
    <t>|cff00FF1378前往铁匠铺合成宝石使用</t>
  </si>
  <si>
    <t>fall_hechengfu_1379</t>
  </si>
  <si>
    <t>|cff00FF1379前往铁匠铺合成宝石使用</t>
  </si>
  <si>
    <t>fall_hechengfu_1380</t>
  </si>
  <si>
    <t>化神玄阴明心丹</t>
  </si>
  <si>
    <t>|cff00FF1380前往铁匠铺合成宝石使用</t>
  </si>
  <si>
    <t>fall_hechengfu_1381</t>
  </si>
  <si>
    <t>|cff00FF1381前往铁匠铺合成宝石使用</t>
  </si>
  <si>
    <t>fall_hechengfu_1382</t>
  </si>
  <si>
    <t>|cff00FF1382前往铁匠铺合成宝石使用</t>
  </si>
  <si>
    <t>fall_hechengfu_1383</t>
  </si>
  <si>
    <t>化神清和明心丹</t>
  </si>
  <si>
    <t>|cff00FF1383前往铁匠铺合成宝石使用</t>
  </si>
  <si>
    <t>fall_hechengfu_1384</t>
  </si>
  <si>
    <t>|cff00FF1384前往铁匠铺合成宝石使用</t>
  </si>
  <si>
    <t>fall_hechengfu_1385</t>
  </si>
  <si>
    <t>|cff00FF1385前往铁匠铺合成宝石使用</t>
  </si>
  <si>
    <t>fall_hechengfu_1386</t>
  </si>
  <si>
    <t>化神明心丹</t>
  </si>
  <si>
    <t>|cff00FF1386前往铁匠铺合成宝石使用</t>
  </si>
  <si>
    <t>fall_hechengfu_1387</t>
  </si>
  <si>
    <t>|cff00FF1387前往铁匠铺合成宝石使用</t>
  </si>
  <si>
    <t>fall_hechengfu_1388</t>
  </si>
  <si>
    <t>|cff00FF1388前往铁匠铺合成宝石使用</t>
  </si>
  <si>
    <t>fall_hechengfu_1389</t>
  </si>
  <si>
    <t>化神温阳明心丹</t>
  </si>
  <si>
    <t>|cff00FF1389前往铁匠铺合成宝石使用</t>
  </si>
  <si>
    <t>fall_hechengfu_1390</t>
  </si>
  <si>
    <t>|cff00FF1390前往铁匠铺合成宝石使用</t>
  </si>
  <si>
    <t>fall_hechengfu_1391</t>
  </si>
  <si>
    <t>|cff00FF1391前往铁匠铺合成宝石使用</t>
  </si>
  <si>
    <t>fall_hechengfu_1392</t>
  </si>
  <si>
    <t>化神烈阳明心丹</t>
  </si>
  <si>
    <t>|cff00FF1392前往铁匠铺合成宝石使用</t>
  </si>
  <si>
    <t>fall_hechengfu_1393</t>
  </si>
  <si>
    <t>|cff00FF1393前往铁匠铺合成宝石使用</t>
  </si>
  <si>
    <t>fall_hechengfu_1394</t>
  </si>
  <si>
    <t>|cff00FF1394前往铁匠铺合成宝石使用</t>
  </si>
  <si>
    <t>fall_hechengfu_1395</t>
  </si>
  <si>
    <t>化神玄阴照神丹</t>
  </si>
  <si>
    <t>|cff00FF1395前往铁匠铺合成宝石使用</t>
  </si>
  <si>
    <t>fall_hechengfu_1396</t>
  </si>
  <si>
    <t>|cff00FF1396前往铁匠铺合成宝石使用</t>
  </si>
  <si>
    <t>fall_hechengfu_1397</t>
  </si>
  <si>
    <t>|cff00FF1397前往铁匠铺合成宝石使用</t>
  </si>
  <si>
    <t>fall_hechengfu_1398</t>
  </si>
  <si>
    <t>化神清和照神丹</t>
  </si>
  <si>
    <t>|cff00FF1398前往铁匠铺合成宝石使用</t>
  </si>
  <si>
    <t>fall_hechengfu_1399</t>
  </si>
  <si>
    <t>|cff00FF1399前往铁匠铺合成宝石使用</t>
  </si>
  <si>
    <t>fall_hechengfu_1400</t>
  </si>
  <si>
    <t>|cff00FF1400前往铁匠铺合成宝石使用</t>
  </si>
  <si>
    <t>fall_hechengfu_1401</t>
  </si>
  <si>
    <t>化神照神丹</t>
  </si>
  <si>
    <t>|cff00FF1401前往铁匠铺合成宝石使用</t>
  </si>
  <si>
    <t>fall_hechengfu_1402</t>
  </si>
  <si>
    <t>|cff00FF1402前往铁匠铺合成宝石使用</t>
  </si>
  <si>
    <t>fall_hechengfu_1403</t>
  </si>
  <si>
    <t>|cff00FF1403前往铁匠铺合成宝石使用</t>
  </si>
  <si>
    <t>fall_hechengfu_1404</t>
  </si>
  <si>
    <t>化神温阳照神丹</t>
  </si>
  <si>
    <t>|cff00FF1404前往铁匠铺合成宝石使用</t>
  </si>
  <si>
    <t>fall_hechengfu_1405</t>
  </si>
  <si>
    <t>|cff00FF1405前往铁匠铺合成宝石使用</t>
  </si>
  <si>
    <t>fall_hechengfu_1406</t>
  </si>
  <si>
    <t>|cff00FF1406前往铁匠铺合成宝石使用</t>
  </si>
  <si>
    <t>fall_hechengfu_1407</t>
  </si>
  <si>
    <t>化神烈阳照神丹</t>
  </si>
  <si>
    <t>|cff00FF1407前往铁匠铺合成宝石使用</t>
  </si>
  <si>
    <t>fall_hechengfu_1408</t>
  </si>
  <si>
    <t>|cff00FF1408前往铁匠铺合成宝石使用</t>
  </si>
  <si>
    <t>fall_hechengfu_1409</t>
  </si>
  <si>
    <t>|cff00FF1409前往铁匠铺合成宝石使用</t>
  </si>
  <si>
    <t>fall_hechengfu_1410</t>
  </si>
  <si>
    <t>化神玄阴定神丹</t>
  </si>
  <si>
    <t>|cff00FF1410前往铁匠铺合成宝石使用</t>
  </si>
  <si>
    <t>fall_hechengfu_1411</t>
  </si>
  <si>
    <t>|cff00FF1411前往铁匠铺合成宝石使用</t>
  </si>
  <si>
    <t>fall_hechengfu_1412</t>
  </si>
  <si>
    <t>|cff00FF1412前往铁匠铺合成宝石使用</t>
  </si>
  <si>
    <t>fall_hechengfu_1413</t>
  </si>
  <si>
    <t>化神清和定神丹</t>
  </si>
  <si>
    <t>|cff00FF1413前往铁匠铺合成宝石使用</t>
  </si>
  <si>
    <t>fall_hechengfu_1414</t>
  </si>
  <si>
    <t>|cff00FF1414前往铁匠铺合成宝石使用</t>
  </si>
  <si>
    <t>fall_hechengfu_1415</t>
  </si>
  <si>
    <t>|cff00FF1415前往铁匠铺合成宝石使用</t>
  </si>
  <si>
    <t>fall_hechengfu_1416</t>
  </si>
  <si>
    <t>化神定神丹</t>
  </si>
  <si>
    <t>|cff00FF1416前往铁匠铺合成宝石使用</t>
  </si>
  <si>
    <t>fall_hechengfu_1417</t>
  </si>
  <si>
    <t>|cff00FF1417前往铁匠铺合成宝石使用</t>
  </si>
  <si>
    <t>fall_hechengfu_1418</t>
  </si>
  <si>
    <t>|cff00FF1418前往铁匠铺合成宝石使用</t>
  </si>
  <si>
    <t>fall_hechengfu_1419</t>
  </si>
  <si>
    <t>化神温阳定神丹</t>
  </si>
  <si>
    <t>|cff00FF1419前往铁匠铺合成宝石使用</t>
  </si>
  <si>
    <t>fall_hechengfu_1420</t>
  </si>
  <si>
    <t>|cff00FF1420前往铁匠铺合成宝石使用</t>
  </si>
  <si>
    <t>fall_hechengfu_1421</t>
  </si>
  <si>
    <t>|cff00FF1421前往铁匠铺合成宝石使用</t>
  </si>
  <si>
    <t>fall_hechengfu_1422</t>
  </si>
  <si>
    <t>化神烈阳定神丹</t>
  </si>
  <si>
    <t>|cff00FF1422前往铁匠铺合成宝石使用</t>
  </si>
  <si>
    <t>fall_hechengfu_1423</t>
  </si>
  <si>
    <t>|cff00FF1423前往铁匠铺合成宝石使用</t>
  </si>
  <si>
    <t>fall_hechengfu_1424</t>
  </si>
  <si>
    <t>|cff00FF1424前往铁匠铺合成宝石使用</t>
  </si>
  <si>
    <t>fall_hechengfu_1425</t>
  </si>
  <si>
    <t>化神玄阴解厄丹</t>
  </si>
  <si>
    <t>|cff00FF1425前往铁匠铺合成宝石使用</t>
  </si>
  <si>
    <t>fall_hechengfu_1426</t>
  </si>
  <si>
    <t>|cff00FF1426前往铁匠铺合成宝石使用</t>
  </si>
  <si>
    <t>fall_hechengfu_1427</t>
  </si>
  <si>
    <t>|cff00FF1427前往铁匠铺合成宝石使用</t>
  </si>
  <si>
    <t>fall_hechengfu_1428</t>
  </si>
  <si>
    <t>化神清和解厄丹</t>
  </si>
  <si>
    <t>|cff00FF1428前往铁匠铺合成宝石使用</t>
  </si>
  <si>
    <t>fall_hechengfu_1429</t>
  </si>
  <si>
    <t>|cff00FF1429前往铁匠铺合成宝石使用</t>
  </si>
  <si>
    <t>fall_hechengfu_1430</t>
  </si>
  <si>
    <t>|cff00FF1430前往铁匠铺合成宝石使用</t>
  </si>
  <si>
    <t>fall_hechengfu_1431</t>
  </si>
  <si>
    <t>化神解厄丹</t>
  </si>
  <si>
    <t>|cff00FF1431前往铁匠铺合成宝石使用</t>
  </si>
  <si>
    <t>fall_hechengfu_1432</t>
  </si>
  <si>
    <t>|cff00FF1432前往铁匠铺合成宝石使用</t>
  </si>
  <si>
    <t>fall_hechengfu_1433</t>
  </si>
  <si>
    <t>|cff00FF1433前往铁匠铺合成宝石使用</t>
  </si>
  <si>
    <t>fall_hechengfu_1434</t>
  </si>
  <si>
    <t>化神温阳解厄丹</t>
  </si>
  <si>
    <t>|cff00FF1434前往铁匠铺合成宝石使用</t>
  </si>
  <si>
    <t>fall_hechengfu_1435</t>
  </si>
  <si>
    <t>|cff00FF1435前往铁匠铺合成宝石使用</t>
  </si>
  <si>
    <t>fall_hechengfu_1436</t>
  </si>
  <si>
    <t>|cff00FF1436前往铁匠铺合成宝石使用</t>
  </si>
  <si>
    <t>fall_hechengfu_1437</t>
  </si>
  <si>
    <t>化神烈阳解厄丹</t>
  </si>
  <si>
    <t>|cff00FF1437前往铁匠铺合成宝石使用</t>
  </si>
  <si>
    <t>fall_hechengfu_1438</t>
  </si>
  <si>
    <t>|cff00FF1438前往铁匠铺合成宝石使用</t>
  </si>
  <si>
    <t>fall_hechengfu_1439</t>
  </si>
  <si>
    <t>|cff00FF1439前往铁匠铺合成宝石使用</t>
  </si>
  <si>
    <t>fall_hechengfu_1440</t>
  </si>
  <si>
    <t>化神玄阴回春丹</t>
  </si>
  <si>
    <t>|cff00FF1440前往铁匠铺合成宝石使用</t>
  </si>
  <si>
    <t>fall_hechengfu_1441</t>
  </si>
  <si>
    <t>|cff00FF1441前往铁匠铺合成宝石使用</t>
  </si>
  <si>
    <t>fall_hechengfu_1442</t>
  </si>
  <si>
    <t>|cff00FF1442前往铁匠铺合成宝石使用</t>
  </si>
  <si>
    <t>fall_hechengfu_1443</t>
  </si>
  <si>
    <t>化神清和回春丹</t>
  </si>
  <si>
    <t>|cff00FF1443前往铁匠铺合成宝石使用</t>
  </si>
  <si>
    <t>fall_hechengfu_1444</t>
  </si>
  <si>
    <t>|cff00FF1444前往铁匠铺合成宝石使用</t>
  </si>
  <si>
    <t>fall_hechengfu_1445</t>
  </si>
  <si>
    <t>|cff00FF1445前往铁匠铺合成宝石使用</t>
  </si>
  <si>
    <t>fall_hechengfu_1446</t>
  </si>
  <si>
    <t>化神回春丹</t>
  </si>
  <si>
    <t>|cff00FF1446前往铁匠铺合成宝石使用</t>
  </si>
  <si>
    <t>fall_hechengfu_1447</t>
  </si>
  <si>
    <t>|cff00FF1447前往铁匠铺合成宝石使用</t>
  </si>
  <si>
    <t>fall_hechengfu_1448</t>
  </si>
  <si>
    <t>|cff00FF1448前往铁匠铺合成宝石使用</t>
  </si>
  <si>
    <t>fall_hechengfu_1449</t>
  </si>
  <si>
    <t>化神温阳回春丹</t>
  </si>
  <si>
    <t>|cff00FF1449前往铁匠铺合成宝石使用</t>
  </si>
  <si>
    <t>fall_hechengfu_1450</t>
  </si>
  <si>
    <t>|cff00FF1450前往铁匠铺合成宝石使用</t>
  </si>
  <si>
    <t>fall_hechengfu_1451</t>
  </si>
  <si>
    <t>|cff00FF1451前往铁匠铺合成宝石使用</t>
  </si>
  <si>
    <t>fall_hechengfu_1452</t>
  </si>
  <si>
    <t>化神烈阳回春丹</t>
  </si>
  <si>
    <t>|cff00FF1452前往铁匠铺合成宝石使用</t>
  </si>
  <si>
    <t>fall_hechengfu_1453</t>
  </si>
  <si>
    <t>|cff00FF1453前往铁匠铺合成宝石使用</t>
  </si>
  <si>
    <t>fall_hechengfu_1454</t>
  </si>
  <si>
    <t>|cff00FF1454前往铁匠铺合成宝石使用</t>
  </si>
  <si>
    <t>fall_hechengfu_1455</t>
  </si>
  <si>
    <t>化神玄阴活血丹</t>
  </si>
  <si>
    <t>|cff00FF1455前往铁匠铺合成宝石使用</t>
  </si>
  <si>
    <t>fall_hechengfu_1456</t>
  </si>
  <si>
    <t>|cff00FF1456前往铁匠铺合成宝石使用</t>
  </si>
  <si>
    <t>fall_hechengfu_1457</t>
  </si>
  <si>
    <t>|cff00FF1457前往铁匠铺合成宝石使用</t>
  </si>
  <si>
    <t>fall_hechengfu_1458</t>
  </si>
  <si>
    <t>化神清和活血丹</t>
  </si>
  <si>
    <t>|cff00FF1458前往铁匠铺合成宝石使用</t>
  </si>
  <si>
    <t>fall_hechengfu_1459</t>
  </si>
  <si>
    <t>|cff00FF1459前往铁匠铺合成宝石使用</t>
  </si>
  <si>
    <t>fall_hechengfu_1460</t>
  </si>
  <si>
    <t>|cff00FF1460前往铁匠铺合成宝石使用</t>
  </si>
  <si>
    <t>fall_hechengfu_1461</t>
  </si>
  <si>
    <t>化神活血丹</t>
  </si>
  <si>
    <t>|cff00FF1461前往铁匠铺合成宝石使用</t>
  </si>
  <si>
    <t>fall_hechengfu_1462</t>
  </si>
  <si>
    <t>|cff00FF1462前往铁匠铺合成宝石使用</t>
  </si>
  <si>
    <t>fall_hechengfu_1463</t>
  </si>
  <si>
    <t>|cff00FF1463前往铁匠铺合成宝石使用</t>
  </si>
  <si>
    <t>fall_hechengfu_1464</t>
  </si>
  <si>
    <t>化神温阳活血丹</t>
  </si>
  <si>
    <t>|cff00FF1464前往铁匠铺合成宝石使用</t>
  </si>
  <si>
    <t>fall_hechengfu_1465</t>
  </si>
  <si>
    <t>|cff00FF1465前往铁匠铺合成宝石使用</t>
  </si>
  <si>
    <t>fall_hechengfu_1466</t>
  </si>
  <si>
    <t>|cff00FF1466前往铁匠铺合成宝石使用</t>
  </si>
  <si>
    <t>fall_hechengfu_1467</t>
  </si>
  <si>
    <t>化神烈阳活血丹</t>
  </si>
  <si>
    <t>|cff00FF1467前往铁匠铺合成宝石使用</t>
  </si>
  <si>
    <t>fall_hechengfu_1468</t>
  </si>
  <si>
    <t>|cff00FF1468前往铁匠铺合成宝石使用</t>
  </si>
  <si>
    <t>fall_hechengfu_1469</t>
  </si>
  <si>
    <t>|cff00FF1469前往铁匠铺合成宝石使用</t>
  </si>
  <si>
    <t>fall_hechengfu_1470</t>
  </si>
  <si>
    <t>化神玄阴战元丹</t>
  </si>
  <si>
    <t>|cff00FF1470前往铁匠铺合成宝石使用</t>
  </si>
  <si>
    <t>fall_hechengfu_1471</t>
  </si>
  <si>
    <t>|cff00FF1471前往铁匠铺合成宝石使用</t>
  </si>
  <si>
    <t>fall_hechengfu_1472</t>
  </si>
  <si>
    <t>|cff00FF1472前往铁匠铺合成宝石使用</t>
  </si>
  <si>
    <t>fall_hechengfu_1473</t>
  </si>
  <si>
    <t>化神清和战元丹</t>
  </si>
  <si>
    <t>|cff00FF1473前往铁匠铺合成宝石使用</t>
  </si>
  <si>
    <t>fall_hechengfu_1474</t>
  </si>
  <si>
    <t>|cff00FF1474前往铁匠铺合成宝石使用</t>
  </si>
  <si>
    <t>fall_hechengfu_1475</t>
  </si>
  <si>
    <t>|cff00FF1475前往铁匠铺合成宝石使用</t>
  </si>
  <si>
    <t>fall_hechengfu_1476</t>
  </si>
  <si>
    <t>化神战元丹</t>
  </si>
  <si>
    <t>|cff00FF1476前往铁匠铺合成宝石使用</t>
  </si>
  <si>
    <t>fall_hechengfu_1477</t>
  </si>
  <si>
    <t>|cff00FF1477前往铁匠铺合成宝石使用</t>
  </si>
  <si>
    <t>fall_hechengfu_1478</t>
  </si>
  <si>
    <t>|cff00FF1478前往铁匠铺合成宝石使用</t>
  </si>
  <si>
    <t>fall_hechengfu_1479</t>
  </si>
  <si>
    <t>化神温阳战元丹</t>
  </si>
  <si>
    <t>|cff00FF1479前往铁匠铺合成宝石使用</t>
  </si>
  <si>
    <t>fall_hechengfu_1480</t>
  </si>
  <si>
    <t>|cff00FF1480前往铁匠铺合成宝石使用</t>
  </si>
  <si>
    <t>fall_hechengfu_1481</t>
  </si>
  <si>
    <t>|cff00FF1481前往铁匠铺合成宝石使用</t>
  </si>
  <si>
    <t>fall_hechengfu_1482</t>
  </si>
  <si>
    <t>化神烈阳战元丹</t>
  </si>
  <si>
    <t>|cff00FF1482前往铁匠铺合成宝石使用</t>
  </si>
  <si>
    <t>fall_hechengfu_1483</t>
  </si>
  <si>
    <t>|cff00FF1483前往铁匠铺合成宝石使用</t>
  </si>
  <si>
    <t>fall_hechengfu_1484</t>
  </si>
  <si>
    <t>|cff00FF1484前往铁匠铺合成宝石使用</t>
  </si>
  <si>
    <t>fall_hechengfu_1485</t>
  </si>
  <si>
    <t>化神玄阴锻体丹</t>
  </si>
  <si>
    <t>|cff00FF1485前往铁匠铺合成宝石使用</t>
  </si>
  <si>
    <t>fall_hechengfu_1486</t>
  </si>
  <si>
    <t>|cff00FF1486前往铁匠铺合成宝石使用</t>
  </si>
  <si>
    <t>fall_hechengfu_1487</t>
  </si>
  <si>
    <t>|cff00FF1487前往铁匠铺合成宝石使用</t>
  </si>
  <si>
    <t>fall_hechengfu_1488</t>
  </si>
  <si>
    <t>化神清和锻体丹</t>
  </si>
  <si>
    <t>|cff00FF1488前往铁匠铺合成宝石使用</t>
  </si>
  <si>
    <t>fall_hechengfu_1489</t>
  </si>
  <si>
    <t>|cff00FF1489前往铁匠铺合成宝石使用</t>
  </si>
  <si>
    <t>fall_hechengfu_1490</t>
  </si>
  <si>
    <t>|cff00FF1490前往铁匠铺合成宝石使用</t>
  </si>
  <si>
    <t>fall_hechengfu_1491</t>
  </si>
  <si>
    <t>化神锻体丹</t>
  </si>
  <si>
    <t>|cff00FF1491前往铁匠铺合成宝石使用</t>
  </si>
  <si>
    <t>fall_hechengfu_1492</t>
  </si>
  <si>
    <t>|cff00FF1492前往铁匠铺合成宝石使用</t>
  </si>
  <si>
    <t>fall_hechengfu_1493</t>
  </si>
  <si>
    <t>|cff00FF1493前往铁匠铺合成宝石使用</t>
  </si>
  <si>
    <t>fall_hechengfu_1494</t>
  </si>
  <si>
    <t>化神温阳锻体丹</t>
  </si>
  <si>
    <t>|cff00FF1494前往铁匠铺合成宝石使用</t>
  </si>
  <si>
    <t>fall_hechengfu_1495</t>
  </si>
  <si>
    <t>|cff00FF1495前往铁匠铺合成宝石使用</t>
  </si>
  <si>
    <t>fall_hechengfu_1496</t>
  </si>
  <si>
    <t>|cff00FF1496前往铁匠铺合成宝石使用</t>
  </si>
  <si>
    <t>fall_hechengfu_1497</t>
  </si>
  <si>
    <t>化神烈阳锻体丹</t>
  </si>
  <si>
    <t>|cff00FF1497前往铁匠铺合成宝石使用</t>
  </si>
  <si>
    <t>fall_hechengfu_1498</t>
  </si>
  <si>
    <t>|cff00FF1498前往铁匠铺合成宝石使用</t>
  </si>
  <si>
    <t>fall_hechengfu_1499</t>
  </si>
  <si>
    <t>|cff00FF1499前往铁匠铺合成宝石使用</t>
  </si>
  <si>
    <t>fall_hechengfu_1500</t>
  </si>
  <si>
    <t>炼虚玄阴涤元丹</t>
  </si>
  <si>
    <t>|cff00FF1500前往铁匠铺合成宝石使用</t>
  </si>
  <si>
    <t>fall_hechengfu_1501</t>
  </si>
  <si>
    <t>|cff00FF1501前往铁匠铺合成宝石使用</t>
  </si>
  <si>
    <t>fall_hechengfu_1502</t>
  </si>
  <si>
    <t>|cff00FF1502前往铁匠铺合成宝石使用</t>
  </si>
  <si>
    <t>fall_hechengfu_1503</t>
  </si>
  <si>
    <t>炼虚清和涤元丹</t>
  </si>
  <si>
    <t>|cff00FF1503前往铁匠铺合成宝石使用</t>
  </si>
  <si>
    <t>fall_hechengfu_1504</t>
  </si>
  <si>
    <t>|cff00FF1504前往铁匠铺合成宝石使用</t>
  </si>
  <si>
    <t>fall_hechengfu_1505</t>
  </si>
  <si>
    <t>|cff00FF1505前往铁匠铺合成宝石使用</t>
  </si>
  <si>
    <t>fall_hechengfu_1506</t>
  </si>
  <si>
    <t>炼虚涤元丹</t>
  </si>
  <si>
    <t>|cff00FF1506前往铁匠铺合成宝石使用</t>
  </si>
  <si>
    <t>fall_hechengfu_1507</t>
  </si>
  <si>
    <t>|cff00FF1507前往铁匠铺合成宝石使用</t>
  </si>
  <si>
    <t>fall_hechengfu_1508</t>
  </si>
  <si>
    <t>|cff00FF1508前往铁匠铺合成宝石使用</t>
  </si>
  <si>
    <t>fall_hechengfu_1509</t>
  </si>
  <si>
    <t>炼虚温阳涤元丹</t>
  </si>
  <si>
    <t>|cff00FF1509前往铁匠铺合成宝石使用</t>
  </si>
  <si>
    <t>fall_hechengfu_1510</t>
  </si>
  <si>
    <t>|cff00FF1510前往铁匠铺合成宝石使用</t>
  </si>
  <si>
    <t>fall_hechengfu_1511</t>
  </si>
  <si>
    <t>|cff00FF1511前往铁匠铺合成宝石使用</t>
  </si>
  <si>
    <t>fall_hechengfu_1512</t>
  </si>
  <si>
    <t>炼虚烈阳涤元丹</t>
  </si>
  <si>
    <t>|cff00FF1512前往铁匠铺合成宝石使用</t>
  </si>
  <si>
    <t>fall_hechengfu_1513</t>
  </si>
  <si>
    <t>|cff00FF1513前往铁匠铺合成宝石使用</t>
  </si>
  <si>
    <t>fall_hechengfu_1514</t>
  </si>
  <si>
    <t>|cff00FF1514前往铁匠铺合成宝石使用</t>
  </si>
  <si>
    <t>fall_hechengfu_1515</t>
  </si>
  <si>
    <t>炼虚玄阴破境丹</t>
  </si>
  <si>
    <t>|cff00FF1515前往铁匠铺合成宝石使用</t>
  </si>
  <si>
    <t>fall_hechengfu_1516</t>
  </si>
  <si>
    <t>|cff00FF1516前往铁匠铺合成宝石使用</t>
  </si>
  <si>
    <t>fall_hechengfu_1517</t>
  </si>
  <si>
    <t>|cff00FF1517前往铁匠铺合成宝石使用</t>
  </si>
  <si>
    <t>fall_hechengfu_1518</t>
  </si>
  <si>
    <t>炼虚清和破境丹</t>
  </si>
  <si>
    <t>|cff00FF1518前往铁匠铺合成宝石使用</t>
  </si>
  <si>
    <t>fall_hechengfu_1519</t>
  </si>
  <si>
    <t>|cff00FF1519前往铁匠铺合成宝石使用</t>
  </si>
  <si>
    <t>fall_hechengfu_1520</t>
  </si>
  <si>
    <t>|cff00FF1520前往铁匠铺合成宝石使用</t>
  </si>
  <si>
    <t>fall_hechengfu_1521</t>
  </si>
  <si>
    <t>炼虚破境丹</t>
  </si>
  <si>
    <t>|cff00FF1521前往铁匠铺合成宝石使用</t>
  </si>
  <si>
    <t>fall_hechengfu_1522</t>
  </si>
  <si>
    <t>|cff00FF1522前往铁匠铺合成宝石使用</t>
  </si>
  <si>
    <t>fall_hechengfu_1523</t>
  </si>
  <si>
    <t>|cff00FF1523前往铁匠铺合成宝石使用</t>
  </si>
  <si>
    <t>fall_hechengfu_1524</t>
  </si>
  <si>
    <t>炼虚丹</t>
  </si>
  <si>
    <t>|cff00FF1524前往铁匠铺合成宝石使用</t>
  </si>
  <si>
    <t>fall_hechengfu_1525</t>
  </si>
  <si>
    <t>|cff00FF1525前往铁匠铺合成宝石使用</t>
  </si>
  <si>
    <t>fall_hechengfu_1526</t>
  </si>
  <si>
    <t>|cff00FF1526前往铁匠铺合成宝石使用</t>
  </si>
  <si>
    <t>fall_hechengfu_1527</t>
  </si>
  <si>
    <t>炼虚烈阳破境丹</t>
  </si>
  <si>
    <t>|cff00FF1527前往铁匠铺合成宝石使用</t>
  </si>
  <si>
    <t>fall_hechengfu_1528</t>
  </si>
  <si>
    <t>|cff00FF1528前往铁匠铺合成宝石使用</t>
  </si>
  <si>
    <t>fall_hechengfu_1529</t>
  </si>
  <si>
    <t>|cff00FF1529前往铁匠铺合成宝石使用</t>
  </si>
  <si>
    <t>fall_hechengfu_1530</t>
  </si>
  <si>
    <t>炼虚玄阴纳灵丹</t>
  </si>
  <si>
    <t>|cff00FF1530前往铁匠铺合成宝石使用</t>
  </si>
  <si>
    <t>fall_hechengfu_1531</t>
  </si>
  <si>
    <t>|cff00FF1531前往铁匠铺合成宝石使用</t>
  </si>
  <si>
    <t>fall_hechengfu_1532</t>
  </si>
  <si>
    <t>|cff00FF1532前往铁匠铺合成宝石使用</t>
  </si>
  <si>
    <t>fall_hechengfu_1533</t>
  </si>
  <si>
    <t>炼虚清和纳灵丹</t>
  </si>
  <si>
    <t>|cff00FF1533前往铁匠铺合成宝石使用</t>
  </si>
  <si>
    <t>fall_hechengfu_1534</t>
  </si>
  <si>
    <t>|cff00FF1534前往铁匠铺合成宝石使用</t>
  </si>
  <si>
    <t>fall_hechengfu_1535</t>
  </si>
  <si>
    <t>|cff00FF1535前往铁匠铺合成宝石使用</t>
  </si>
  <si>
    <t>fall_hechengfu_1536</t>
  </si>
  <si>
    <t>炼虚纳灵丹</t>
  </si>
  <si>
    <t>|cff00FF1536前往铁匠铺合成宝石使用</t>
  </si>
  <si>
    <t>fall_hechengfu_1537</t>
  </si>
  <si>
    <t>|cff00FF1537前往铁匠铺合成宝石使用</t>
  </si>
  <si>
    <t>fall_hechengfu_1538</t>
  </si>
  <si>
    <t>|cff00FF1538前往铁匠铺合成宝石使用</t>
  </si>
  <si>
    <t>fall_hechengfu_1539</t>
  </si>
  <si>
    <t>炼虚温阳纳灵丹</t>
  </si>
  <si>
    <t>|cff00FF1539前往铁匠铺合成宝石使用</t>
  </si>
  <si>
    <t>fall_hechengfu_1540</t>
  </si>
  <si>
    <t>|cff00FF1540前往铁匠铺合成宝石使用</t>
  </si>
  <si>
    <t>fall_hechengfu_1541</t>
  </si>
  <si>
    <t>|cff00FF1541前往铁匠铺合成宝石使用</t>
  </si>
  <si>
    <t>fall_hechengfu_1542</t>
  </si>
  <si>
    <t>炼虚烈阳纳灵丹</t>
  </si>
  <si>
    <t>|cff00FF1542前往铁匠铺合成宝石使用</t>
  </si>
  <si>
    <t>fall_hechengfu_1543</t>
  </si>
  <si>
    <t>|cff00FF1543前往铁匠铺合成宝石使用</t>
  </si>
  <si>
    <t>fall_hechengfu_1544</t>
  </si>
  <si>
    <t>|cff00FF1544前往铁匠铺合成宝石使用</t>
  </si>
  <si>
    <t>fall_hechengfu_1545</t>
  </si>
  <si>
    <t>炼虚玄阴化元丹</t>
  </si>
  <si>
    <t>|cff00FF1545前往铁匠铺合成宝石使用</t>
  </si>
  <si>
    <t>fall_hechengfu_1546</t>
  </si>
  <si>
    <t>|cff00FF1546前往铁匠铺合成宝石使用</t>
  </si>
  <si>
    <t>fall_hechengfu_1547</t>
  </si>
  <si>
    <t>|cff00FF1547前往铁匠铺合成宝石使用</t>
  </si>
  <si>
    <t>fall_hechengfu_1548</t>
  </si>
  <si>
    <t>炼虚清和化元丹</t>
  </si>
  <si>
    <t>|cff00FF1548前往铁匠铺合成宝石使用</t>
  </si>
  <si>
    <t>fall_hechengfu_1549</t>
  </si>
  <si>
    <t>|cff00FF1549前往铁匠铺合成宝石使用</t>
  </si>
  <si>
    <t>fall_hechengfu_1550</t>
  </si>
  <si>
    <t>|cff00FF1550前往铁匠铺合成宝石使用</t>
  </si>
  <si>
    <t>fall_hechengfu_1551</t>
  </si>
  <si>
    <t>炼虚化元丹</t>
  </si>
  <si>
    <t>|cff00FF1551前往铁匠铺合成宝石使用</t>
  </si>
  <si>
    <t>fall_hechengfu_1552</t>
  </si>
  <si>
    <t>|cff00FF1552前往铁匠铺合成宝石使用</t>
  </si>
  <si>
    <t>fall_hechengfu_1553</t>
  </si>
  <si>
    <t>|cff00FF1553前往铁匠铺合成宝石使用</t>
  </si>
  <si>
    <t>fall_hechengfu_1554</t>
  </si>
  <si>
    <t>炼虚温阳化元丹</t>
  </si>
  <si>
    <t>|cff00FF1554前往铁匠铺合成宝石使用</t>
  </si>
  <si>
    <t>fall_hechengfu_1555</t>
  </si>
  <si>
    <t>|cff00FF1555前往铁匠铺合成宝石使用</t>
  </si>
  <si>
    <t>fall_hechengfu_1556</t>
  </si>
  <si>
    <t>|cff00FF1556前往铁匠铺合成宝石使用</t>
  </si>
  <si>
    <t>fall_hechengfu_1557</t>
  </si>
  <si>
    <t>炼虚烈阳化元丹</t>
  </si>
  <si>
    <t>|cff00FF1557前往铁匠铺合成宝石使用</t>
  </si>
  <si>
    <t>fall_hechengfu_1558</t>
  </si>
  <si>
    <t>|cff00FF1558前往铁匠铺合成宝石使用</t>
  </si>
  <si>
    <t>fall_hechengfu_1559</t>
  </si>
  <si>
    <t>|cff00FF1559前往铁匠铺合成宝石使用</t>
  </si>
  <si>
    <t>fall_hechengfu_1560</t>
  </si>
  <si>
    <t>炼虚玄阴聚元丹</t>
  </si>
  <si>
    <t>|cff00FF1560前往铁匠铺合成宝石使用</t>
  </si>
  <si>
    <t>fall_hechengfu_1561</t>
  </si>
  <si>
    <t>|cff00FF1561前往铁匠铺合成宝石使用</t>
  </si>
  <si>
    <t>fall_hechengfu_1562</t>
  </si>
  <si>
    <t>|cff00FF1562前往铁匠铺合成宝石使用</t>
  </si>
  <si>
    <t>fall_hechengfu_1563</t>
  </si>
  <si>
    <t>炼虚清和聚元丹</t>
  </si>
  <si>
    <t>|cff00FF1563前往铁匠铺合成宝石使用</t>
  </si>
  <si>
    <t>fall_hechengfu_1564</t>
  </si>
  <si>
    <t>|cff00FF1564前往铁匠铺合成宝石使用</t>
  </si>
  <si>
    <t>fall_hechengfu_1565</t>
  </si>
  <si>
    <t>|cff00FF1565前往铁匠铺合成宝石使用</t>
  </si>
  <si>
    <t>fall_hechengfu_1566</t>
  </si>
  <si>
    <t>炼虚聚元丹</t>
  </si>
  <si>
    <t>|cff00FF1566前往铁匠铺合成宝石使用</t>
  </si>
  <si>
    <t>fall_hechengfu_1567</t>
  </si>
  <si>
    <t>|cff00FF1567前往铁匠铺合成宝石使用</t>
  </si>
  <si>
    <t>fall_hechengfu_1568</t>
  </si>
  <si>
    <t>|cff00FF1568前往铁匠铺合成宝石使用</t>
  </si>
  <si>
    <t>fall_hechengfu_1569</t>
  </si>
  <si>
    <t>炼虚温阳聚元丹</t>
  </si>
  <si>
    <t>|cff00FF1569前往铁匠铺合成宝石使用</t>
  </si>
  <si>
    <t>fall_hechengfu_1570</t>
  </si>
  <si>
    <t>|cff00FF1570前往铁匠铺合成宝石使用</t>
  </si>
  <si>
    <t>fall_hechengfu_1571</t>
  </si>
  <si>
    <t>|cff00FF1571前往铁匠铺合成宝石使用</t>
  </si>
  <si>
    <t>fall_hechengfu_1572</t>
  </si>
  <si>
    <t>炼虚烈阳聚元丹</t>
  </si>
  <si>
    <t>|cff00FF1572前往铁匠铺合成宝石使用</t>
  </si>
  <si>
    <t>fall_hechengfu_1573</t>
  </si>
  <si>
    <t>|cff00FF1573前往铁匠铺合成宝石使用</t>
  </si>
  <si>
    <t>fall_hechengfu_1574</t>
  </si>
  <si>
    <t>|cff00FF1574前往铁匠铺合成宝石使用</t>
  </si>
  <si>
    <t>fall_hechengfu_1575</t>
  </si>
  <si>
    <t>炼虚玄阴通脉丹</t>
  </si>
  <si>
    <t>|cff00FF1575前往铁匠铺合成宝石使用</t>
  </si>
  <si>
    <t>fall_hechengfu_1576</t>
  </si>
  <si>
    <t>|cff00FF1576前往铁匠铺合成宝石使用</t>
  </si>
  <si>
    <t>fall_hechengfu_1577</t>
  </si>
  <si>
    <t>|cff00FF1577前往铁匠铺合成宝石使用</t>
  </si>
  <si>
    <t>fall_hechengfu_1578</t>
  </si>
  <si>
    <t>炼虚清和通脉丹</t>
  </si>
  <si>
    <t>|cff00FF1578前往铁匠铺合成宝石使用</t>
  </si>
  <si>
    <t>fall_hechengfu_1579</t>
  </si>
  <si>
    <t>|cff00FF1579前往铁匠铺合成宝石使用</t>
  </si>
  <si>
    <t>fall_hechengfu_1580</t>
  </si>
  <si>
    <t>|cff00FF1580前往铁匠铺合成宝石使用</t>
  </si>
  <si>
    <t>fall_hechengfu_1581</t>
  </si>
  <si>
    <t>炼虚通脉丹</t>
  </si>
  <si>
    <t>|cff00FF1581前往铁匠铺合成宝石使用</t>
  </si>
  <si>
    <t>fall_hechengfu_1582</t>
  </si>
  <si>
    <t>|cff00FF1582前往铁匠铺合成宝石使用</t>
  </si>
  <si>
    <t>fall_hechengfu_1583</t>
  </si>
  <si>
    <t>|cff00FF1583前往铁匠铺合成宝石使用</t>
  </si>
  <si>
    <t>fall_hechengfu_1584</t>
  </si>
  <si>
    <t>炼虚温阳通脉丹</t>
  </si>
  <si>
    <t>|cff00FF1584前往铁匠铺合成宝石使用</t>
  </si>
  <si>
    <t>fall_hechengfu_1585</t>
  </si>
  <si>
    <t>|cff00FF1585前往铁匠铺合成宝石使用</t>
  </si>
  <si>
    <t>fall_hechengfu_1586</t>
  </si>
  <si>
    <t>|cff00FF1586前往铁匠铺合成宝石使用</t>
  </si>
  <si>
    <t>fall_hechengfu_1587</t>
  </si>
  <si>
    <t>炼虚烈阳通脉丹</t>
  </si>
  <si>
    <t>|cff00FF1587前往铁匠铺合成宝石使用</t>
  </si>
  <si>
    <t>fall_hechengfu_1588</t>
  </si>
  <si>
    <t>|cff00FF1588前往铁匠铺合成宝石使用</t>
  </si>
  <si>
    <t>fall_hechengfu_1589</t>
  </si>
  <si>
    <t>|cff00FF1589前往铁匠铺合成宝石使用</t>
  </si>
  <si>
    <t>fall_hechengfu_1590</t>
  </si>
  <si>
    <t>炼虚玄阴拓脉丹</t>
  </si>
  <si>
    <t>|cff00FF1590前往铁匠铺合成宝石使用</t>
  </si>
  <si>
    <t>fall_hechengfu_1591</t>
  </si>
  <si>
    <t>|cff00FF1591前往铁匠铺合成宝石使用</t>
  </si>
  <si>
    <t>fall_hechengfu_1592</t>
  </si>
  <si>
    <t>|cff00FF1592前往铁匠铺合成宝石使用</t>
  </si>
  <si>
    <t>fall_hechengfu_1593</t>
  </si>
  <si>
    <t>炼虚清和拓脉丹</t>
  </si>
  <si>
    <t>|cff00FF1593前往铁匠铺合成宝石使用</t>
  </si>
  <si>
    <t>fall_hechengfu_1594</t>
  </si>
  <si>
    <t>|cff00FF1594前往铁匠铺合成宝石使用</t>
  </si>
  <si>
    <t>fall_hechengfu_1595</t>
  </si>
  <si>
    <t>|cff00FF1595前往铁匠铺合成宝石使用</t>
  </si>
  <si>
    <t>fall_hechengfu_1596</t>
  </si>
  <si>
    <t>炼虚拓脉丹</t>
  </si>
  <si>
    <t>|cff00FF1596前往铁匠铺合成宝石使用</t>
  </si>
  <si>
    <t>fall_hechengfu_1597</t>
  </si>
  <si>
    <t>|cff00FF1597前往铁匠铺合成宝石使用</t>
  </si>
  <si>
    <t>fall_hechengfu_1598</t>
  </si>
  <si>
    <t>|cff00FF1598前往铁匠铺合成宝石使用</t>
  </si>
  <si>
    <t>fall_hechengfu_1599</t>
  </si>
  <si>
    <t>炼虚温阳拓脉丹</t>
  </si>
  <si>
    <t>|cff00FF1599前往铁匠铺合成宝石使用</t>
  </si>
  <si>
    <t>fall_hechengfu_1600</t>
  </si>
  <si>
    <t>|cff00FF1600前往铁匠铺合成宝石使用</t>
  </si>
  <si>
    <t>fall_hechengfu_1601</t>
  </si>
  <si>
    <t>|cff00FF1601前往铁匠铺合成宝石使用</t>
  </si>
  <si>
    <t>fall_hechengfu_1602</t>
  </si>
  <si>
    <t>炼虚烈阳拓脉丹</t>
  </si>
  <si>
    <t>|cff00FF1602前往铁匠铺合成宝石使用</t>
  </si>
  <si>
    <t>fall_hechengfu_1603</t>
  </si>
  <si>
    <t>|cff00FF1603前往铁匠铺合成宝石使用</t>
  </si>
  <si>
    <t>fall_hechengfu_1604</t>
  </si>
  <si>
    <t>|cff00FF1604前往铁匠铺合成宝石使用</t>
  </si>
  <si>
    <t>fall_hechengfu_1605</t>
  </si>
  <si>
    <t>炼虚玄阴回灵丹</t>
  </si>
  <si>
    <t>|cff00FF1605前往铁匠铺合成宝石使用</t>
  </si>
  <si>
    <t>fall_hechengfu_1606</t>
  </si>
  <si>
    <t>|cff00FF1606前往铁匠铺合成宝石使用</t>
  </si>
  <si>
    <t>fall_hechengfu_1607</t>
  </si>
  <si>
    <t>|cff00FF1607前往铁匠铺合成宝石使用</t>
  </si>
  <si>
    <t>fall_hechengfu_1608</t>
  </si>
  <si>
    <t>炼虚清和回灵丹</t>
  </si>
  <si>
    <t>|cff00FF1608前往铁匠铺合成宝石使用</t>
  </si>
  <si>
    <t>fall_hechengfu_1609</t>
  </si>
  <si>
    <t>|cff00FF1609前往铁匠铺合成宝石使用</t>
  </si>
  <si>
    <t>fall_hechengfu_1610</t>
  </si>
  <si>
    <t>|cff00FF1610前往铁匠铺合成宝石使用</t>
  </si>
  <si>
    <t>fall_hechengfu_1611</t>
  </si>
  <si>
    <t>炼虚回灵丹</t>
  </si>
  <si>
    <t>|cff00FF1611前往铁匠铺合成宝石使用</t>
  </si>
  <si>
    <t>fall_hechengfu_1612</t>
  </si>
  <si>
    <t>|cff00FF1612前往铁匠铺合成宝石使用</t>
  </si>
  <si>
    <t>fall_hechengfu_1613</t>
  </si>
  <si>
    <t>|cff00FF1613前往铁匠铺合成宝石使用</t>
  </si>
  <si>
    <t>fall_hechengfu_1614</t>
  </si>
  <si>
    <t>炼虚温阳回灵丹</t>
  </si>
  <si>
    <t>|cff00FF1614前往铁匠铺合成宝石使用</t>
  </si>
  <si>
    <t>fall_hechengfu_1615</t>
  </si>
  <si>
    <t>|cff00FF1615前往铁匠铺合成宝石使用</t>
  </si>
  <si>
    <t>fall_hechengfu_1616</t>
  </si>
  <si>
    <t>|cff00FF1616前往铁匠铺合成宝石使用</t>
  </si>
  <si>
    <t>fall_hechengfu_1617</t>
  </si>
  <si>
    <t>炼虚烈阳回灵丹</t>
  </si>
  <si>
    <t>|cff00FF1617前往铁匠铺合成宝石使用</t>
  </si>
  <si>
    <t>fall_hechengfu_1618</t>
  </si>
  <si>
    <t>|cff00FF1618前往铁匠铺合成宝石使用</t>
  </si>
  <si>
    <t>fall_hechengfu_1619</t>
  </si>
  <si>
    <t>|cff00FF1619前往铁匠铺合成宝石使用</t>
  </si>
  <si>
    <t>fall_hechengfu_1620</t>
  </si>
  <si>
    <t>炼虚玄阴燃灵丹</t>
  </si>
  <si>
    <t>|cff00FF1620前往铁匠铺合成宝石使用</t>
  </si>
  <si>
    <t>fall_hechengfu_1621</t>
  </si>
  <si>
    <t>|cff00FF1621前往铁匠铺合成宝石使用</t>
  </si>
  <si>
    <t>fall_hechengfu_1622</t>
  </si>
  <si>
    <t>|cff00FF1622前往铁匠铺合成宝石使用</t>
  </si>
  <si>
    <t>fall_hechengfu_1623</t>
  </si>
  <si>
    <t>炼虚清和燃灵丹</t>
  </si>
  <si>
    <t>|cff00FF1623前往铁匠铺合成宝石使用</t>
  </si>
  <si>
    <t>fall_hechengfu_1624</t>
  </si>
  <si>
    <t>|cff00FF1624前往铁匠铺合成宝石使用</t>
  </si>
  <si>
    <t>fall_hechengfu_1625</t>
  </si>
  <si>
    <t>|cff00FF1625前往铁匠铺合成宝石使用</t>
  </si>
  <si>
    <t>fall_hechengfu_1626</t>
  </si>
  <si>
    <t>炼虚燃灵丹</t>
  </si>
  <si>
    <t>|cff00FF1626前往铁匠铺合成宝石使用</t>
  </si>
  <si>
    <t>fall_hechengfu_1627</t>
  </si>
  <si>
    <t>|cff00FF1627前往铁匠铺合成宝石使用</t>
  </si>
  <si>
    <t>fall_hechengfu_1628</t>
  </si>
  <si>
    <t>|cff00FF1628前往铁匠铺合成宝石使用</t>
  </si>
  <si>
    <t>fall_hechengfu_1629</t>
  </si>
  <si>
    <t>炼虚温阳燃灵丹</t>
  </si>
  <si>
    <t>|cff00FF1629前往铁匠铺合成宝石使用</t>
  </si>
  <si>
    <t>fall_hechengfu_1630</t>
  </si>
  <si>
    <t>|cff00FF1630前往铁匠铺合成宝石使用</t>
  </si>
  <si>
    <t>fall_hechengfu_1631</t>
  </si>
  <si>
    <t>|cff00FF1631前往铁匠铺合成宝石使用</t>
  </si>
  <si>
    <t>fall_hechengfu_1632</t>
  </si>
  <si>
    <t>炼虚烈阳燃灵丹</t>
  </si>
  <si>
    <t>|cff00FF1632前往铁匠铺合成宝石使用</t>
  </si>
  <si>
    <t>fall_hechengfu_1633</t>
  </si>
  <si>
    <t>|cff00FF1633前往铁匠铺合成宝石使用</t>
  </si>
  <si>
    <t>fall_hechengfu_1634</t>
  </si>
  <si>
    <t>|cff00FF1634前往铁匠铺合成宝石使用</t>
  </si>
  <si>
    <t>fall_hechengfu_1635</t>
  </si>
  <si>
    <t>炼虚玄阴镇脉丹</t>
  </si>
  <si>
    <t>|cff00FF1635前往铁匠铺合成宝石使用</t>
  </si>
  <si>
    <t>fall_hechengfu_1636</t>
  </si>
  <si>
    <t>|cff00FF1636前往铁匠铺合成宝石使用</t>
  </si>
  <si>
    <t>fall_hechengfu_1637</t>
  </si>
  <si>
    <t>|cff00FF1637前往铁匠铺合成宝石使用</t>
  </si>
  <si>
    <t>fall_hechengfu_1638</t>
  </si>
  <si>
    <t>炼虚清和镇脉丹</t>
  </si>
  <si>
    <t>|cff00FF1638前往铁匠铺合成宝石使用</t>
  </si>
  <si>
    <t>fall_hechengfu_1639</t>
  </si>
  <si>
    <t>|cff00FF1639前往铁匠铺合成宝石使用</t>
  </si>
  <si>
    <t>fall_hechengfu_1640</t>
  </si>
  <si>
    <t>|cff00FF1640前往铁匠铺合成宝石使用</t>
  </si>
  <si>
    <t>fall_hechengfu_1641</t>
  </si>
  <si>
    <t>炼虚镇脉丹</t>
  </si>
  <si>
    <t>|cff00FF1641前往铁匠铺合成宝石使用</t>
  </si>
  <si>
    <t>fall_hechengfu_1642</t>
  </si>
  <si>
    <t>|cff00FF1642前往铁匠铺合成宝石使用</t>
  </si>
  <si>
    <t>fall_hechengfu_1643</t>
  </si>
  <si>
    <t>|cff00FF1643前往铁匠铺合成宝石使用</t>
  </si>
  <si>
    <t>fall_hechengfu_1644</t>
  </si>
  <si>
    <t>炼虚温阳镇脉丹</t>
  </si>
  <si>
    <t>|cff00FF1644前往铁匠铺合成宝石使用</t>
  </si>
  <si>
    <t>fall_hechengfu_1645</t>
  </si>
  <si>
    <t>|cff00FF1645前往铁匠铺合成宝石使用</t>
  </si>
  <si>
    <t>fall_hechengfu_1646</t>
  </si>
  <si>
    <t>|cff00FF1646前往铁匠铺合成宝石使用</t>
  </si>
  <si>
    <t>fall_hechengfu_1647</t>
  </si>
  <si>
    <t>炼虚烈阳镇脉丹</t>
  </si>
  <si>
    <t>|cff00FF1647前往铁匠铺合成宝石使用</t>
  </si>
  <si>
    <t>fall_hechengfu_1648</t>
  </si>
  <si>
    <t>|cff00FF1648前往铁匠铺合成宝石使用</t>
  </si>
  <si>
    <t>fall_hechengfu_1649</t>
  </si>
  <si>
    <t>|cff00FF1649前往铁匠铺合成宝石使用</t>
  </si>
  <si>
    <t>fall_hechengfu_1650</t>
  </si>
  <si>
    <t>炼虚玄阴净髓丹</t>
  </si>
  <si>
    <t>|cff00FF1650前往铁匠铺合成宝石使用</t>
  </si>
  <si>
    <t>fall_hechengfu_1651</t>
  </si>
  <si>
    <t>|cff00FF1651前往铁匠铺合成宝石使用</t>
  </si>
  <si>
    <t>fall_hechengfu_1652</t>
  </si>
  <si>
    <t>|cff00FF1652前往铁匠铺合成宝石使用</t>
  </si>
  <si>
    <t>fall_hechengfu_1653</t>
  </si>
  <si>
    <t>炼虚清和净髓丹</t>
  </si>
  <si>
    <t>|cff00FF1653前往铁匠铺合成宝石使用</t>
  </si>
  <si>
    <t>fall_hechengfu_1654</t>
  </si>
  <si>
    <t>|cff00FF1654前往铁匠铺合成宝石使用</t>
  </si>
  <si>
    <t>fall_hechengfu_1655</t>
  </si>
  <si>
    <t>|cff00FF1655前往铁匠铺合成宝石使用</t>
  </si>
  <si>
    <t>fall_hechengfu_1656</t>
  </si>
  <si>
    <t>炼虚净髓丹</t>
  </si>
  <si>
    <t>|cff00FF1656前往铁匠铺合成宝石使用</t>
  </si>
  <si>
    <t>fall_hechengfu_1657</t>
  </si>
  <si>
    <t>|cff00FF1657前往铁匠铺合成宝石使用</t>
  </si>
  <si>
    <t>fall_hechengfu_1658</t>
  </si>
  <si>
    <t>|cff00FF1658前往铁匠铺合成宝石使用</t>
  </si>
  <si>
    <t>fall_hechengfu_1659</t>
  </si>
  <si>
    <t>炼虚温阳净髓丹</t>
  </si>
  <si>
    <t>|cff00FF1659前往铁匠铺合成宝石使用</t>
  </si>
  <si>
    <t>fall_hechengfu_1660</t>
  </si>
  <si>
    <t>|cff00FF1660前往铁匠铺合成宝石使用</t>
  </si>
  <si>
    <t>fall_hechengfu_1661</t>
  </si>
  <si>
    <t>|cff00FF1661前往铁匠铺合成宝石使用</t>
  </si>
  <si>
    <t>fall_hechengfu_1662</t>
  </si>
  <si>
    <t>炼虚烈阳净髓丹</t>
  </si>
  <si>
    <t>|cff00FF1662前往铁匠铺合成宝石使用</t>
  </si>
  <si>
    <t>fall_hechengfu_1663</t>
  </si>
  <si>
    <t>|cff00FF1663前往铁匠铺合成宝石使用</t>
  </si>
  <si>
    <t>fall_hechengfu_1664</t>
  </si>
  <si>
    <t>|cff00FF1664前往铁匠铺合成宝石使用</t>
  </si>
  <si>
    <t>fall_hechengfu_1665</t>
  </si>
  <si>
    <t>炼虚玄阴壮骨丹</t>
  </si>
  <si>
    <t>|cff00FF1665前往铁匠铺合成宝石使用</t>
  </si>
  <si>
    <t>fall_hechengfu_1666</t>
  </si>
  <si>
    <t>|cff00FF1666前往铁匠铺合成宝石使用</t>
  </si>
  <si>
    <t>fall_hechengfu_1667</t>
  </si>
  <si>
    <t>|cff00FF1667前往铁匠铺合成宝石使用</t>
  </si>
  <si>
    <t>fall_hechengfu_1668</t>
  </si>
  <si>
    <t>炼虚清和壮骨丹</t>
  </si>
  <si>
    <t>|cff00FF1668前往铁匠铺合成宝石使用</t>
  </si>
  <si>
    <t>fall_hechengfu_1669</t>
  </si>
  <si>
    <t>|cff00FF1669前往铁匠铺合成宝石使用</t>
  </si>
  <si>
    <t>fall_hechengfu_1670</t>
  </si>
  <si>
    <t>|cff00FF1670前往铁匠铺合成宝石使用</t>
  </si>
  <si>
    <t>fall_hechengfu_1671</t>
  </si>
  <si>
    <t>炼虚壮骨丹</t>
  </si>
  <si>
    <t>|cff00FF1671前往铁匠铺合成宝石使用</t>
  </si>
  <si>
    <t>fall_hechengfu_1672</t>
  </si>
  <si>
    <t>|cff00FF1672前往铁匠铺合成宝石使用</t>
  </si>
  <si>
    <t>fall_hechengfu_1673</t>
  </si>
  <si>
    <t>|cff00FF1673前往铁匠铺合成宝石使用</t>
  </si>
  <si>
    <t>fall_hechengfu_1674</t>
  </si>
  <si>
    <t>炼虚温阳壮骨丹</t>
  </si>
  <si>
    <t>|cff00FF1674前往铁匠铺合成宝石使用</t>
  </si>
  <si>
    <t>fall_hechengfu_1675</t>
  </si>
  <si>
    <t>|cff00FF1675前往铁匠铺合成宝石使用</t>
  </si>
  <si>
    <t>fall_hechengfu_1676</t>
  </si>
  <si>
    <t>|cff00FF1676前往铁匠铺合成宝石使用</t>
  </si>
  <si>
    <t>fall_hechengfu_1677</t>
  </si>
  <si>
    <t>炼虚烈阳壮骨丹</t>
  </si>
  <si>
    <t>|cff00FF1677前往铁匠铺合成宝石使用</t>
  </si>
  <si>
    <t>fall_hechengfu_1678</t>
  </si>
  <si>
    <t>|cff00FF1678前往铁匠铺合成宝石使用</t>
  </si>
  <si>
    <t>fall_hechengfu_1679</t>
  </si>
  <si>
    <t>|cff00FF1679前往铁匠铺合成宝石使用</t>
  </si>
  <si>
    <t>fall_hechengfu_1680</t>
  </si>
  <si>
    <t>炼虚玄阴延寿丹</t>
  </si>
  <si>
    <t>|cff00FF1680前往铁匠铺合成宝石使用</t>
  </si>
  <si>
    <t>fall_hechengfu_1681</t>
  </si>
  <si>
    <t>|cff00FF1681前往铁匠铺合成宝石使用</t>
  </si>
  <si>
    <t>fall_hechengfu_1682</t>
  </si>
  <si>
    <t>|cff00FF1682前往铁匠铺合成宝石使用</t>
  </si>
  <si>
    <t>fall_hechengfu_1683</t>
  </si>
  <si>
    <t>炼虚清和延寿丹</t>
  </si>
  <si>
    <t>|cff00FF1683前往铁匠铺合成宝石使用</t>
  </si>
  <si>
    <t>fall_hechengfu_1684</t>
  </si>
  <si>
    <t>|cff00FF1684前往铁匠铺合成宝石使用</t>
  </si>
  <si>
    <t>fall_hechengfu_1685</t>
  </si>
  <si>
    <t>|cff00FF1685前往铁匠铺合成宝石使用</t>
  </si>
  <si>
    <t>fall_hechengfu_1686</t>
  </si>
  <si>
    <t>炼虚延寿丹</t>
  </si>
  <si>
    <t>|cff00FF1686前往铁匠铺合成宝石使用</t>
  </si>
  <si>
    <t>fall_hechengfu_1687</t>
  </si>
  <si>
    <t>|cff00FF1687前往铁匠铺合成宝石使用</t>
  </si>
  <si>
    <t>fall_hechengfu_1688</t>
  </si>
  <si>
    <t>|cff00FF1688前往铁匠铺合成宝石使用</t>
  </si>
  <si>
    <t>fall_hechengfu_1689</t>
  </si>
  <si>
    <t>炼虚温阳延寿丹</t>
  </si>
  <si>
    <t>|cff00FF1689前往铁匠铺合成宝石使用</t>
  </si>
  <si>
    <t>fall_hechengfu_1690</t>
  </si>
  <si>
    <t>|cff00FF1690前往铁匠铺合成宝石使用</t>
  </si>
  <si>
    <t>fall_hechengfu_1691</t>
  </si>
  <si>
    <t>|cff00FF1691前往铁匠铺合成宝石使用</t>
  </si>
  <si>
    <t>fall_hechengfu_1692</t>
  </si>
  <si>
    <t>炼虚烈阳延寿丹</t>
  </si>
  <si>
    <t>|cff00FF1692前往铁匠铺合成宝石使用</t>
  </si>
  <si>
    <t>fall_hechengfu_1693</t>
  </si>
  <si>
    <t>|cff00FF1693前往铁匠铺合成宝石使用</t>
  </si>
  <si>
    <t>fall_hechengfu_1694</t>
  </si>
  <si>
    <t>|cff00FF1694前往铁匠铺合成宝石使用</t>
  </si>
  <si>
    <t>fall_hechengfu_1695</t>
  </si>
  <si>
    <t>炼虚玄阴塑灵丹</t>
  </si>
  <si>
    <t>|cff00FF1695前往铁匠铺合成宝石使用</t>
  </si>
  <si>
    <t>fall_hechengfu_1696</t>
  </si>
  <si>
    <t>|cff00FF1696前往铁匠铺合成宝石使用</t>
  </si>
  <si>
    <t>fall_hechengfu_1697</t>
  </si>
  <si>
    <t>|cff00FF1697前往铁匠铺合成宝石使用</t>
  </si>
  <si>
    <t>fall_hechengfu_1698</t>
  </si>
  <si>
    <t>炼虚清和塑灵丹</t>
  </si>
  <si>
    <t>|cff00FF1698前往铁匠铺合成宝石使用</t>
  </si>
  <si>
    <t>fall_hechengfu_1699</t>
  </si>
  <si>
    <t>|cff00FF1699前往铁匠铺合成宝石使用</t>
  </si>
  <si>
    <t>fall_hechengfu_1700</t>
  </si>
  <si>
    <t>|cff00FF1700前往铁匠铺合成宝石使用</t>
  </si>
  <si>
    <t>fall_hechengfu_1701</t>
  </si>
  <si>
    <t>炼虚塑灵丹</t>
  </si>
  <si>
    <t>|cff00FF1701前往铁匠铺合成宝石使用</t>
  </si>
  <si>
    <t>fall_hechengfu_1702</t>
  </si>
  <si>
    <t>|cff00FF1702前往铁匠铺合成宝石使用</t>
  </si>
  <si>
    <t>fall_hechengfu_1703</t>
  </si>
  <si>
    <t>|cff00FF1703前往铁匠铺合成宝石使用</t>
  </si>
  <si>
    <t>fall_hechengfu_1704</t>
  </si>
  <si>
    <t>炼虚温阳塑灵丹</t>
  </si>
  <si>
    <t>|cff00FF1704前往铁匠铺合成宝石使用</t>
  </si>
  <si>
    <t>fall_hechengfu_1705</t>
  </si>
  <si>
    <t>|cff00FF1705前往铁匠铺合成宝石使用</t>
  </si>
  <si>
    <t>fall_hechengfu_1706</t>
  </si>
  <si>
    <t>|cff00FF1706前往铁匠铺合成宝石使用</t>
  </si>
  <si>
    <t>fall_hechengfu_1707</t>
  </si>
  <si>
    <t>炼虚洗灵丹</t>
  </si>
  <si>
    <t>|cff00FF1707前往铁匠铺合成宝石使用</t>
  </si>
  <si>
    <t>fall_hechengfu_1708</t>
  </si>
  <si>
    <t>|cff00FF1708前往铁匠铺合成宝石使用</t>
  </si>
  <si>
    <t>fall_hechengfu_1709</t>
  </si>
  <si>
    <t>|cff00FF1709前往铁匠铺合成宝石使用</t>
  </si>
  <si>
    <t>fall_hechengfu_1710</t>
  </si>
  <si>
    <t>炼虚玄阴固元丹</t>
  </si>
  <si>
    <t>|cff00FF1710前往铁匠铺合成宝石使用</t>
  </si>
  <si>
    <t>fall_hechengfu_1711</t>
  </si>
  <si>
    <t>|cff00FF1711前往铁匠铺合成宝石使用</t>
  </si>
  <si>
    <t>fall_hechengfu_1712</t>
  </si>
  <si>
    <t>|cff00FF1712前往铁匠铺合成宝石使用</t>
  </si>
  <si>
    <t>fall_hechengfu_1713</t>
  </si>
  <si>
    <t>炼虚清和固元丹</t>
  </si>
  <si>
    <t>|cff00FF1713前往铁匠铺合成宝石使用</t>
  </si>
  <si>
    <t>fall_hechengfu_1714</t>
  </si>
  <si>
    <t>|cff00FF1714前往铁匠铺合成宝石使用</t>
  </si>
  <si>
    <t>fall_hechengfu_1715</t>
  </si>
  <si>
    <t>|cff00FF1715前往铁匠铺合成宝石使用</t>
  </si>
  <si>
    <t>fall_hechengfu_1716</t>
  </si>
  <si>
    <t>炼虚固元丹</t>
  </si>
  <si>
    <t>|cff00FF1716前往铁匠铺合成宝石使用</t>
  </si>
  <si>
    <t>fall_hechengfu_1717</t>
  </si>
  <si>
    <t>|cff00FF1717前往铁匠铺合成宝石使用</t>
  </si>
  <si>
    <t>fall_hechengfu_1718</t>
  </si>
  <si>
    <t>|cff00FF1718前往铁匠铺合成宝石使用</t>
  </si>
  <si>
    <t>fall_hechengfu_1719</t>
  </si>
  <si>
    <t>炼虚温阳固元丹</t>
  </si>
  <si>
    <t>|cff00FF1719前往铁匠铺合成宝石使用</t>
  </si>
  <si>
    <t>fall_hechengfu_1720</t>
  </si>
  <si>
    <t>|cff00FF1720前往铁匠铺合成宝石使用</t>
  </si>
  <si>
    <t>fall_hechengfu_1721</t>
  </si>
  <si>
    <t>|cff00FF1721前往铁匠铺合成宝石使用</t>
  </si>
  <si>
    <t>fall_hechengfu_1722</t>
  </si>
  <si>
    <t>炼虚烈阳固元丹</t>
  </si>
  <si>
    <t>|cff00FF1722前往铁匠铺合成宝石使用</t>
  </si>
  <si>
    <t>fall_hechengfu_1723</t>
  </si>
  <si>
    <t>|cff00FF1723前往铁匠铺合成宝石使用</t>
  </si>
  <si>
    <t>fall_hechengfu_1724</t>
  </si>
  <si>
    <t>|cff00FF1724前往铁匠铺合成宝石使用</t>
  </si>
  <si>
    <t>fall_hechengfu_1725</t>
  </si>
  <si>
    <t>炼虚玄阴破妄丹</t>
  </si>
  <si>
    <t>|cff00FF1725前往铁匠铺合成宝石使用</t>
  </si>
  <si>
    <t>fall_hechengfu_1726</t>
  </si>
  <si>
    <t>|cff00FF1726前往铁匠铺合成宝石使用</t>
  </si>
  <si>
    <t>fall_hechengfu_1727</t>
  </si>
  <si>
    <t>|cff00FF1727前往铁匠铺合成宝石使用</t>
  </si>
  <si>
    <t>fall_hechengfu_1728</t>
  </si>
  <si>
    <t>炼虚清和破妄丹</t>
  </si>
  <si>
    <t>|cff00FF1728前往铁匠铺合成宝石使用</t>
  </si>
  <si>
    <t>fall_hechengfu_1729</t>
  </si>
  <si>
    <t>|cff00FF1729前往铁匠铺合成宝石使用</t>
  </si>
  <si>
    <t>fall_hechengfu_1730</t>
  </si>
  <si>
    <t>|cff00FF1730前往铁匠铺合成宝石使用</t>
  </si>
  <si>
    <t>fall_hechengfu_1731</t>
  </si>
  <si>
    <t>炼虚破妄丹</t>
  </si>
  <si>
    <t>|cff00FF1731前往铁匠铺合成宝石使用</t>
  </si>
  <si>
    <t>fall_hechengfu_1732</t>
  </si>
  <si>
    <t>|cff00FF1732前往铁匠铺合成宝石使用</t>
  </si>
  <si>
    <t>fall_hechengfu_1733</t>
  </si>
  <si>
    <t>|cff00FF1733前往铁匠铺合成宝石使用</t>
  </si>
  <si>
    <t>fall_hechengfu_1734</t>
  </si>
  <si>
    <t>炼虚温阳破妄丹</t>
  </si>
  <si>
    <t>|cff00FF1734前往铁匠铺合成宝石使用</t>
  </si>
  <si>
    <t>fall_hechengfu_1735</t>
  </si>
  <si>
    <t>|cff00FF1735前往铁匠铺合成宝石使用</t>
  </si>
  <si>
    <t>fall_hechengfu_1736</t>
  </si>
  <si>
    <t>|cff00FF1736前往铁匠铺合成宝石使用</t>
  </si>
  <si>
    <t>fall_hechengfu_1737</t>
  </si>
  <si>
    <t>炼虚烈阳破妄丹</t>
  </si>
  <si>
    <t>|cff00FF1737前往铁匠铺合成宝石使用</t>
  </si>
  <si>
    <t>fall_hechengfu_1738</t>
  </si>
  <si>
    <t>|cff00FF1738前往铁匠铺合成宝石使用</t>
  </si>
  <si>
    <t>fall_hechengfu_1739</t>
  </si>
  <si>
    <t>|cff00FF1739前往铁匠铺合成宝石使用</t>
  </si>
  <si>
    <t>fall_hechengfu_1740</t>
  </si>
  <si>
    <t>炼虚玄阴养神丹</t>
  </si>
  <si>
    <t>|cff00FF1740前往铁匠铺合成宝石使用</t>
  </si>
  <si>
    <t>fall_hechengfu_1741</t>
  </si>
  <si>
    <t>|cff00FF1741前往铁匠铺合成宝石使用</t>
  </si>
  <si>
    <t>fall_hechengfu_1742</t>
  </si>
  <si>
    <t>|cff00FF1742前往铁匠铺合成宝石使用</t>
  </si>
  <si>
    <t>fall_hechengfu_1743</t>
  </si>
  <si>
    <t>炼虚清和养神丹</t>
  </si>
  <si>
    <t>|cff00FF1743前往铁匠铺合成宝石使用</t>
  </si>
  <si>
    <t>fall_hechengfu_1744</t>
  </si>
  <si>
    <t>|cff00FF1744前往铁匠铺合成宝石使用</t>
  </si>
  <si>
    <t>fall_hechengfu_1745</t>
  </si>
  <si>
    <t>|cff00FF1745前往铁匠铺合成宝石使用</t>
  </si>
  <si>
    <t>fall_hechengfu_1746</t>
  </si>
  <si>
    <t>炼虚养神丹</t>
  </si>
  <si>
    <t>|cff00FF1746前往铁匠铺合成宝石使用</t>
  </si>
  <si>
    <t>fall_hechengfu_1747</t>
  </si>
  <si>
    <t>|cff00FF1747前往铁匠铺合成宝石使用</t>
  </si>
  <si>
    <t>fall_hechengfu_1748</t>
  </si>
  <si>
    <t>|cff00FF1748前往铁匠铺合成宝石使用</t>
  </si>
  <si>
    <t>fall_hechengfu_1749</t>
  </si>
  <si>
    <t>炼虚温阳养神丹</t>
  </si>
  <si>
    <t>|cff00FF1749前往铁匠铺合成宝石使用</t>
  </si>
  <si>
    <t>fall_hechengfu_1750</t>
  </si>
  <si>
    <t>|cff00FF1750前往铁匠铺合成宝石使用</t>
  </si>
  <si>
    <t>fall_hechengfu_1751</t>
  </si>
  <si>
    <t>|cff00FF1751前往铁匠铺合成宝石使用</t>
  </si>
  <si>
    <t>fall_hechengfu_1752</t>
  </si>
  <si>
    <t>炼虚烈阳养神丹</t>
  </si>
  <si>
    <t>|cff00FF1752前往铁匠铺合成宝石使用</t>
  </si>
  <si>
    <t>fall_hechengfu_1753</t>
  </si>
  <si>
    <t>|cff00FF1753前往铁匠铺合成宝石使用</t>
  </si>
  <si>
    <t>fall_hechengfu_1754</t>
  </si>
  <si>
    <t>|cff00FF1754前往铁匠铺合成宝石使用</t>
  </si>
  <si>
    <t>fall_hechengfu_1755</t>
  </si>
  <si>
    <t>炼虚玄阴明心丹</t>
  </si>
  <si>
    <t>|cff00FF1755前往铁匠铺合成宝石使用</t>
  </si>
  <si>
    <t>fall_hechengfu_1756</t>
  </si>
  <si>
    <t>|cff00FF1756前往铁匠铺合成宝石使用</t>
  </si>
  <si>
    <t>fall_hechengfu_1757</t>
  </si>
  <si>
    <t>|cff00FF1757前往铁匠铺合成宝石使用</t>
  </si>
  <si>
    <t>fall_hechengfu_1758</t>
  </si>
  <si>
    <t>炼虚清和明心丹</t>
  </si>
  <si>
    <t>|cff00FF1758前往铁匠铺合成宝石使用</t>
  </si>
  <si>
    <t>fall_hechengfu_1759</t>
  </si>
  <si>
    <t>|cff00FF1759前往铁匠铺合成宝石使用</t>
  </si>
  <si>
    <t>fall_hechengfu_1760</t>
  </si>
  <si>
    <t>|cff00FF1760前往铁匠铺合成宝石使用</t>
  </si>
  <si>
    <t>fall_hechengfu_1761</t>
  </si>
  <si>
    <t>炼虚明心丹</t>
  </si>
  <si>
    <t>|cff00FF1761前往铁匠铺合成宝石使用</t>
  </si>
  <si>
    <t>fall_hechengfu_1762</t>
  </si>
  <si>
    <t>|cff00FF1762前往铁匠铺合成宝石使用</t>
  </si>
  <si>
    <t>fall_hechengfu_1763</t>
  </si>
  <si>
    <t>|cff00FF1763前往铁匠铺合成宝石使用</t>
  </si>
  <si>
    <t>fall_hechengfu_1764</t>
  </si>
  <si>
    <t>炼虚温阳明心丹</t>
  </si>
  <si>
    <t>|cff00FF1764前往铁匠铺合成宝石使用</t>
  </si>
  <si>
    <t>fall_hechengfu_1765</t>
  </si>
  <si>
    <t>|cff00FF1765前往铁匠铺合成宝石使用</t>
  </si>
  <si>
    <t>fall_hechengfu_1766</t>
  </si>
  <si>
    <t>|cff00FF1766前往铁匠铺合成宝石使用</t>
  </si>
  <si>
    <t>fall_hechengfu_1767</t>
  </si>
  <si>
    <t>炼虚烈阳明心丹</t>
  </si>
  <si>
    <t>|cff00FF1767前往铁匠铺合成宝石使用</t>
  </si>
  <si>
    <t>fall_hechengfu_1768</t>
  </si>
  <si>
    <t>|cff00FF1768前往铁匠铺合成宝石使用</t>
  </si>
  <si>
    <t>fall_hechengfu_1769</t>
  </si>
  <si>
    <t>|cff00FF1769前往铁匠铺合成宝石使用</t>
  </si>
  <si>
    <t>fall_hechengfu_1770</t>
  </si>
  <si>
    <t>炼虚玄阴照神丹</t>
  </si>
  <si>
    <t>|cff00FF1770前往铁匠铺合成宝石使用</t>
  </si>
  <si>
    <t>fall_hechengfu_1771</t>
  </si>
  <si>
    <t>|cff00FF1771前往铁匠铺合成宝石使用</t>
  </si>
  <si>
    <t>fall_hechengfu_1772</t>
  </si>
  <si>
    <t>|cff00FF1772前往铁匠铺合成宝石使用</t>
  </si>
  <si>
    <t>fall_hechengfu_1773</t>
  </si>
  <si>
    <t>炼虚清和照神丹</t>
  </si>
  <si>
    <t>|cff00FF1773前往铁匠铺合成宝石使用</t>
  </si>
  <si>
    <t>fall_hechengfu_1774</t>
  </si>
  <si>
    <t>|cff00FF1774前往铁匠铺合成宝石使用</t>
  </si>
  <si>
    <t>fall_hechengfu_1775</t>
  </si>
  <si>
    <t>|cff00FF1775前往铁匠铺合成宝石使用</t>
  </si>
  <si>
    <t>fall_hechengfu_1776</t>
  </si>
  <si>
    <t>炼虚照神丹</t>
  </si>
  <si>
    <t>|cff00FF1776前往铁匠铺合成宝石使用</t>
  </si>
  <si>
    <t>fall_hechengfu_1777</t>
  </si>
  <si>
    <t>|cff00FF1777前往铁匠铺合成宝石使用</t>
  </si>
  <si>
    <t>fall_hechengfu_1778</t>
  </si>
  <si>
    <t>|cff00FF1778前往铁匠铺合成宝石使用</t>
  </si>
  <si>
    <t>fall_hechengfu_1779</t>
  </si>
  <si>
    <t>炼虚温阳照神丹</t>
  </si>
  <si>
    <t>|cff00FF1779前往铁匠铺合成宝石使用</t>
  </si>
  <si>
    <t>fall_hechengfu_1780</t>
  </si>
  <si>
    <t>|cff00FF1780前往铁匠铺合成宝石使用</t>
  </si>
  <si>
    <t>fall_hechengfu_1781</t>
  </si>
  <si>
    <t>|cff00FF1781前往铁匠铺合成宝石使用</t>
  </si>
  <si>
    <t>fall_hechengfu_1782</t>
  </si>
  <si>
    <t>炼虚烈阳照神丹</t>
  </si>
  <si>
    <t>|cff00FF1782前往铁匠铺合成宝石使用</t>
  </si>
  <si>
    <t>fall_hechengfu_1783</t>
  </si>
  <si>
    <t>|cff00FF1783前往铁匠铺合成宝石使用</t>
  </si>
  <si>
    <t>fall_hechengfu_1784</t>
  </si>
  <si>
    <t>|cff00FF1784前往铁匠铺合成宝石使用</t>
  </si>
  <si>
    <t>fall_hechengfu_1785</t>
  </si>
  <si>
    <t>炼虚玄阴定神丹</t>
  </si>
  <si>
    <t>|cff00FF1785前往铁匠铺合成宝石使用</t>
  </si>
  <si>
    <t>fall_hechengfu_1786</t>
  </si>
  <si>
    <t>|cff00FF1786前往铁匠铺合成宝石使用</t>
  </si>
  <si>
    <t>fall_hechengfu_1787</t>
  </si>
  <si>
    <t>|cff00FF1787前往铁匠铺合成宝石使用</t>
  </si>
  <si>
    <t>fall_hechengfu_1788</t>
  </si>
  <si>
    <t>炼虚清和定神丹</t>
  </si>
  <si>
    <t>|cff00FF1788前往铁匠铺合成宝石使用</t>
  </si>
  <si>
    <t>fall_hechengfu_1789</t>
  </si>
  <si>
    <t>|cff00FF1789前往铁匠铺合成宝石使用</t>
  </si>
  <si>
    <t>fall_hechengfu_1790</t>
  </si>
  <si>
    <t>|cff00FF1790前往铁匠铺合成宝石使用</t>
  </si>
  <si>
    <t>fall_hechengfu_1791</t>
  </si>
  <si>
    <t>炼虚定神丹</t>
  </si>
  <si>
    <t>|cff00FF1791前往铁匠铺合成宝石使用</t>
  </si>
  <si>
    <t>fall_hechengfu_1792</t>
  </si>
  <si>
    <t>|cff00FF1792前往铁匠铺合成宝石使用</t>
  </si>
  <si>
    <t>fall_hechengfu_1793</t>
  </si>
  <si>
    <t>|cff00FF1793前往铁匠铺合成宝石使用</t>
  </si>
  <si>
    <t>fall_hechengfu_1794</t>
  </si>
  <si>
    <t>炼虚温阳定神丹</t>
  </si>
  <si>
    <t>|cff00FF1794前往铁匠铺合成宝石使用</t>
  </si>
  <si>
    <t>fall_hechengfu_1795</t>
  </si>
  <si>
    <t>|cff00FF1795前往铁匠铺合成宝石使用</t>
  </si>
  <si>
    <t>fall_hechengfu_1796</t>
  </si>
  <si>
    <t>|cff00FF1796前往铁匠铺合成宝石使用</t>
  </si>
  <si>
    <t>fall_hechengfu_1797</t>
  </si>
  <si>
    <t>炼虚烈阳定神丹</t>
  </si>
  <si>
    <t>|cff00FF1797前往铁匠铺合成宝石使用</t>
  </si>
  <si>
    <t>fall_hechengfu_1798</t>
  </si>
  <si>
    <t>|cff00FF1798前往铁匠铺合成宝石使用</t>
  </si>
  <si>
    <t>fall_hechengfu_1799</t>
  </si>
  <si>
    <t>|cff00FF1799前往铁匠铺合成宝石使用</t>
  </si>
  <si>
    <t>fall_hechengfu_1800</t>
  </si>
  <si>
    <t>炼虚玄阴解厄丹</t>
  </si>
  <si>
    <t>|cff00FF1800前往铁匠铺合成宝石使用</t>
  </si>
  <si>
    <t>fall_hechengfu_1801</t>
  </si>
  <si>
    <t>|cff00FF1801前往铁匠铺合成宝石使用</t>
  </si>
  <si>
    <t>fall_hechengfu_1802</t>
  </si>
  <si>
    <t>|cff00FF1802前往铁匠铺合成宝石使用</t>
  </si>
  <si>
    <t>fall_hechengfu_1803</t>
  </si>
  <si>
    <t>炼虚清和解厄丹</t>
  </si>
  <si>
    <t>|cff00FF1803前往铁匠铺合成宝石使用</t>
  </si>
  <si>
    <t>fall_hechengfu_1804</t>
  </si>
  <si>
    <t>|cff00FF1804前往铁匠铺合成宝石使用</t>
  </si>
  <si>
    <t>fall_hechengfu_1805</t>
  </si>
  <si>
    <t>|cff00FF1805前往铁匠铺合成宝石使用</t>
  </si>
  <si>
    <t>fall_hechengfu_1806</t>
  </si>
  <si>
    <t>炼虚解厄丹</t>
  </si>
  <si>
    <t>|cff00FF1806前往铁匠铺合成宝石使用</t>
  </si>
  <si>
    <t>fall_hechengfu_1807</t>
  </si>
  <si>
    <t>|cff00FF1807前往铁匠铺合成宝石使用</t>
  </si>
  <si>
    <t>fall_hechengfu_1808</t>
  </si>
  <si>
    <t>|cff00FF1808前往铁匠铺合成宝石使用</t>
  </si>
  <si>
    <t>fall_hechengfu_1809</t>
  </si>
  <si>
    <t>炼虚温阳解厄丹</t>
  </si>
  <si>
    <t>|cff00FF1809前往铁匠铺合成宝石使用</t>
  </si>
  <si>
    <t>fall_hechengfu_1810</t>
  </si>
  <si>
    <t>|cff00FF1810前往铁匠铺合成宝石使用</t>
  </si>
  <si>
    <t>fall_hechengfu_1811</t>
  </si>
  <si>
    <t>|cff00FF1811前往铁匠铺合成宝石使用</t>
  </si>
  <si>
    <t>fall_hechengfu_1812</t>
  </si>
  <si>
    <t>炼虚烈阳解厄丹</t>
  </si>
  <si>
    <t>|cff00FF1812前往铁匠铺合成宝石使用</t>
  </si>
  <si>
    <t>fall_hechengfu_1813</t>
  </si>
  <si>
    <t>|cff00FF1813前往铁匠铺合成宝石使用</t>
  </si>
  <si>
    <t>fall_hechengfu_1814</t>
  </si>
  <si>
    <t>|cff00FF1814前往铁匠铺合成宝石使用</t>
  </si>
  <si>
    <t>fall_hechengfu_1815</t>
  </si>
  <si>
    <t>炼虚玄阴回春丹</t>
  </si>
  <si>
    <t>|cff00FF1815前往铁匠铺合成宝石使用</t>
  </si>
  <si>
    <t>fall_hechengfu_1816</t>
  </si>
  <si>
    <t>|cff00FF1816前往铁匠铺合成宝石使用</t>
  </si>
  <si>
    <t>fall_hechengfu_1817</t>
  </si>
  <si>
    <t>|cff00FF1817前往铁匠铺合成宝石使用</t>
  </si>
  <si>
    <t>fall_hechengfu_1818</t>
  </si>
  <si>
    <t>炼虚清和回春丹</t>
  </si>
  <si>
    <t>|cff00FF1818前往铁匠铺合成宝石使用</t>
  </si>
  <si>
    <t>fall_hechengfu_1819</t>
  </si>
  <si>
    <t>|cff00FF1819前往铁匠铺合成宝石使用</t>
  </si>
  <si>
    <t>fall_hechengfu_1820</t>
  </si>
  <si>
    <t>|cff00FF1820前往铁匠铺合成宝石使用</t>
  </si>
  <si>
    <t>fall_hechengfu_1821</t>
  </si>
  <si>
    <t>炼虚回春丹</t>
  </si>
  <si>
    <t>|cff00FF1821前往铁匠铺合成宝石使用</t>
  </si>
  <si>
    <t>fall_hechengfu_1822</t>
  </si>
  <si>
    <t>|cff00FF1822前往铁匠铺合成宝石使用</t>
  </si>
  <si>
    <t>fall_hechengfu_1823</t>
  </si>
  <si>
    <t>|cff00FF1823前往铁匠铺合成宝石使用</t>
  </si>
  <si>
    <t>fall_hechengfu_1824</t>
  </si>
  <si>
    <t>炼虚温阳回春丹</t>
  </si>
  <si>
    <t>|cff00FF1824前往铁匠铺合成宝石使用</t>
  </si>
  <si>
    <t>fall_hechengfu_1825</t>
  </si>
  <si>
    <t>|cff00FF1825前往铁匠铺合成宝石使用</t>
  </si>
  <si>
    <t>fall_hechengfu_1826</t>
  </si>
  <si>
    <t>|cff00FF1826前往铁匠铺合成宝石使用</t>
  </si>
  <si>
    <t>fall_hechengfu_1827</t>
  </si>
  <si>
    <t>炼虚烈阳回春丹</t>
  </si>
  <si>
    <t>|cff00FF1827前往铁匠铺合成宝石使用</t>
  </si>
  <si>
    <t>fall_hechengfu_1828</t>
  </si>
  <si>
    <t>|cff00FF1828前往铁匠铺合成宝石使用</t>
  </si>
  <si>
    <t>fall_hechengfu_1829</t>
  </si>
  <si>
    <t>|cff00FF1829前往铁匠铺合成宝石使用</t>
  </si>
  <si>
    <t>fall_hechengfu_1830</t>
  </si>
  <si>
    <t>炼虚玄阴活血丹</t>
  </si>
  <si>
    <t>|cff00FF1830前往铁匠铺合成宝石使用</t>
  </si>
  <si>
    <t>fall_hechengfu_1831</t>
  </si>
  <si>
    <t>|cff00FF1831前往铁匠铺合成宝石使用</t>
  </si>
  <si>
    <t>fall_hechengfu_1832</t>
  </si>
  <si>
    <t>|cff00FF1832前往铁匠铺合成宝石使用</t>
  </si>
  <si>
    <t>fall_hechengfu_1833</t>
  </si>
  <si>
    <t>炼虚清和活血丹</t>
  </si>
  <si>
    <t>|cff00FF1833前往铁匠铺合成宝石使用</t>
  </si>
  <si>
    <t>fall_hechengfu_1834</t>
  </si>
  <si>
    <t>|cff00FF1834前往铁匠铺合成宝石使用</t>
  </si>
  <si>
    <t>fall_hechengfu_1835</t>
  </si>
  <si>
    <t>|cff00FF1835前往铁匠铺合成宝石使用</t>
  </si>
  <si>
    <t>fall_hechengfu_1836</t>
  </si>
  <si>
    <t>炼虚活血丹</t>
  </si>
  <si>
    <t>|cff00FF1836前往铁匠铺合成宝石使用</t>
  </si>
  <si>
    <t>fall_hechengfu_1837</t>
  </si>
  <si>
    <t>|cff00FF1837前往铁匠铺合成宝石使用</t>
  </si>
  <si>
    <t>fall_hechengfu_1838</t>
  </si>
  <si>
    <t>|cff00FF1838前往铁匠铺合成宝石使用</t>
  </si>
  <si>
    <t>fall_hechengfu_1839</t>
  </si>
  <si>
    <t>炼虚温阳活血丹</t>
  </si>
  <si>
    <t>|cff00FF1839前往铁匠铺合成宝石使用</t>
  </si>
  <si>
    <t>fall_hechengfu_1840</t>
  </si>
  <si>
    <t>|cff00FF1840前往铁匠铺合成宝石使用</t>
  </si>
  <si>
    <t>fall_hechengfu_1841</t>
  </si>
  <si>
    <t>|cff00FF1841前往铁匠铺合成宝石使用</t>
  </si>
  <si>
    <t>fall_hechengfu_1842</t>
  </si>
  <si>
    <t>炼虚烈阳活血丹</t>
  </si>
  <si>
    <t>|cff00FF1842前往铁匠铺合成宝石使用</t>
  </si>
  <si>
    <t>fall_hechengfu_1843</t>
  </si>
  <si>
    <t>|cff00FF1843前往铁匠铺合成宝石使用</t>
  </si>
  <si>
    <t>fall_hechengfu_1844</t>
  </si>
  <si>
    <t>|cff00FF1844前往铁匠铺合成宝石使用</t>
  </si>
  <si>
    <t>fall_hechengfu_1845</t>
  </si>
  <si>
    <t>炼虚玄阴战元丹</t>
  </si>
  <si>
    <t>|cff00FF1845前往铁匠铺合成宝石使用</t>
  </si>
  <si>
    <t>fall_hechengfu_1846</t>
  </si>
  <si>
    <t>|cff00FF1846前往铁匠铺合成宝石使用</t>
  </si>
  <si>
    <t>fall_hechengfu_1847</t>
  </si>
  <si>
    <t>|cff00FF1847前往铁匠铺合成宝石使用</t>
  </si>
  <si>
    <t>fall_hechengfu_1848</t>
  </si>
  <si>
    <t>炼虚清和战元丹</t>
  </si>
  <si>
    <t>|cff00FF1848前往铁匠铺合成宝石使用</t>
  </si>
  <si>
    <t>fall_hechengfu_1849</t>
  </si>
  <si>
    <t>|cff00FF1849前往铁匠铺合成宝石使用</t>
  </si>
  <si>
    <t>fall_hechengfu_1850</t>
  </si>
  <si>
    <t>|cff00FF1850前往铁匠铺合成宝石使用</t>
  </si>
  <si>
    <t>fall_hechengfu_1851</t>
  </si>
  <si>
    <t>炼虚战元丹</t>
  </si>
  <si>
    <t>|cff00FF1851前往铁匠铺合成宝石使用</t>
  </si>
  <si>
    <t>fall_hechengfu_1852</t>
  </si>
  <si>
    <t>|cff00FF1852前往铁匠铺合成宝石使用</t>
  </si>
  <si>
    <t>fall_hechengfu_1853</t>
  </si>
  <si>
    <t>|cff00FF1853前往铁匠铺合成宝石使用</t>
  </si>
  <si>
    <t>fall_hechengfu_1854</t>
  </si>
  <si>
    <t>炼虚温阳战元丹</t>
  </si>
  <si>
    <t>|cff00FF1854前往铁匠铺合成宝石使用</t>
  </si>
  <si>
    <t>fall_hechengfu_1855</t>
  </si>
  <si>
    <t>|cff00FF1855前往铁匠铺合成宝石使用</t>
  </si>
  <si>
    <t>fall_hechengfu_1856</t>
  </si>
  <si>
    <t>|cff00FF1856前往铁匠铺合成宝石使用</t>
  </si>
  <si>
    <t>fall_hechengfu_1857</t>
  </si>
  <si>
    <t>炼虚烈阳战元丹</t>
  </si>
  <si>
    <t>|cff00FF1857前往铁匠铺合成宝石使用</t>
  </si>
  <si>
    <t>fall_hechengfu_1858</t>
  </si>
  <si>
    <t>|cff00FF1858前往铁匠铺合成宝石使用</t>
  </si>
  <si>
    <t>fall_hechengfu_1859</t>
  </si>
  <si>
    <t>|cff00FF1859前往铁匠铺合成宝石使用</t>
  </si>
  <si>
    <t>fall_hechengfu_1860</t>
  </si>
  <si>
    <t>炼虚玄阴锻体丹</t>
  </si>
  <si>
    <t>|cff00FF1860前往铁匠铺合成宝石使用</t>
  </si>
  <si>
    <t>fall_hechengfu_1861</t>
  </si>
  <si>
    <t>|cff00FF1861前往铁匠铺合成宝石使用</t>
  </si>
  <si>
    <t>fall_hechengfu_1862</t>
  </si>
  <si>
    <t>|cff00FF1862前往铁匠铺合成宝石使用</t>
  </si>
  <si>
    <t>fall_hechengfu_1863</t>
  </si>
  <si>
    <t>炼虚清和锻体丹</t>
  </si>
  <si>
    <t>|cff00FF1863前往铁匠铺合成宝石使用</t>
  </si>
  <si>
    <t>fall_hechengfu_1864</t>
  </si>
  <si>
    <t>|cff00FF1864前往铁匠铺合成宝石使用</t>
  </si>
  <si>
    <t>fall_hechengfu_1865</t>
  </si>
  <si>
    <t>|cff00FF1865前往铁匠铺合成宝石使用</t>
  </si>
  <si>
    <t>fall_hechengfu_1866</t>
  </si>
  <si>
    <t>炼虚锻体丹</t>
  </si>
  <si>
    <t>|cff00FF1866前往铁匠铺合成宝石使用</t>
  </si>
  <si>
    <t>fall_hechengfu_1867</t>
  </si>
  <si>
    <t>|cff00FF1867前往铁匠铺合成宝石使用</t>
  </si>
  <si>
    <t>fall_hechengfu_1868</t>
  </si>
  <si>
    <t>|cff00FF1868前往铁匠铺合成宝石使用</t>
  </si>
  <si>
    <t>fall_hechengfu_1869</t>
  </si>
  <si>
    <t>炼虚温阳锻体丹</t>
  </si>
  <si>
    <t>|cff00FF1869前往铁匠铺合成宝石使用</t>
  </si>
  <si>
    <t>fall_hechengfu_1870</t>
  </si>
  <si>
    <t>|cff00FF1870前往铁匠铺合成宝石使用</t>
  </si>
  <si>
    <t>fall_hechengfu_1871</t>
  </si>
  <si>
    <t>|cff00FF1871前往铁匠铺合成宝石使用</t>
  </si>
  <si>
    <t>fall_hechengfu_1872</t>
  </si>
  <si>
    <t>炼虚烈阳锻体丹</t>
  </si>
  <si>
    <t>|cff00FF1872前往铁匠铺合成宝石使用</t>
  </si>
  <si>
    <t>fall_hechengfu_1873</t>
  </si>
  <si>
    <t>|cff00FF1873前往铁匠铺合成宝石使用</t>
  </si>
  <si>
    <t>fall_hechengfu_1874</t>
  </si>
  <si>
    <t>|cff00FF1874前往铁匠铺合成宝石使用</t>
  </si>
  <si>
    <t>fall_hechengfu_1875</t>
  </si>
  <si>
    <t>合体玄阴涤元丹</t>
  </si>
  <si>
    <t>|cff00FF1875前往铁匠铺合成宝石使用</t>
  </si>
  <si>
    <t>fall_hechengfu_1876</t>
  </si>
  <si>
    <t>|cff00FF1876前往铁匠铺合成宝石使用</t>
  </si>
  <si>
    <t>fall_hechengfu_1877</t>
  </si>
  <si>
    <t>|cff00FF1877前往铁匠铺合成宝石使用</t>
  </si>
  <si>
    <t>fall_hechengfu_1878</t>
  </si>
  <si>
    <t>合体清和涤元丹</t>
  </si>
  <si>
    <t>|cff00FF1878前往铁匠铺合成宝石使用</t>
  </si>
  <si>
    <t>fall_hechengfu_1879</t>
  </si>
  <si>
    <t>|cff00FF1879前往铁匠铺合成宝石使用</t>
  </si>
  <si>
    <t>fall_hechengfu_1880</t>
  </si>
  <si>
    <t>|cff00FF1880前往铁匠铺合成宝石使用</t>
  </si>
  <si>
    <t>fall_hechengfu_1881</t>
  </si>
  <si>
    <t>合体涤元丹</t>
  </si>
  <si>
    <t>|cff00FF1881前往铁匠铺合成宝石使用</t>
  </si>
  <si>
    <t>fall_hechengfu_1882</t>
  </si>
  <si>
    <t>|cff00FF1882前往铁匠铺合成宝石使用</t>
  </si>
  <si>
    <t>fall_hechengfu_1883</t>
  </si>
  <si>
    <t>|cff00FF1883前往铁匠铺合成宝石使用</t>
  </si>
  <si>
    <t>fall_hechengfu_1884</t>
  </si>
  <si>
    <t>合体温阳涤元丹</t>
  </si>
  <si>
    <t>|cff00FF1884前往铁匠铺合成宝石使用</t>
  </si>
  <si>
    <t>fall_hechengfu_1885</t>
  </si>
  <si>
    <t>|cff00FF1885前往铁匠铺合成宝石使用</t>
  </si>
  <si>
    <t>fall_hechengfu_1886</t>
  </si>
  <si>
    <t>|cff00FF1886前往铁匠铺合成宝石使用</t>
  </si>
  <si>
    <t>fall_hechengfu_1887</t>
  </si>
  <si>
    <t>合体烈阳涤元丹</t>
  </si>
  <si>
    <t>|cff00FF1887前往铁匠铺合成宝石使用</t>
  </si>
  <si>
    <t>fall_hechengfu_1888</t>
  </si>
  <si>
    <t>|cff00FF1888前往铁匠铺合成宝石使用</t>
  </si>
  <si>
    <t>fall_hechengfu_1889</t>
  </si>
  <si>
    <t>|cff00FF1889前往铁匠铺合成宝石使用</t>
  </si>
  <si>
    <t>fall_hechengfu_1890</t>
  </si>
  <si>
    <t>合体玄阴破境丹</t>
  </si>
  <si>
    <t>|cff00FF1890前往铁匠铺合成宝石使用</t>
  </si>
  <si>
    <t>fall_hechengfu_1891</t>
  </si>
  <si>
    <t>|cff00FF1891前往铁匠铺合成宝石使用</t>
  </si>
  <si>
    <t>fall_hechengfu_1892</t>
  </si>
  <si>
    <t>|cff00FF1892前往铁匠铺合成宝石使用</t>
  </si>
  <si>
    <t>fall_hechengfu_1893</t>
  </si>
  <si>
    <t>合体清和破境丹</t>
  </si>
  <si>
    <t>|cff00FF1893前往铁匠铺合成宝石使用</t>
  </si>
  <si>
    <t>fall_hechengfu_1894</t>
  </si>
  <si>
    <t>|cff00FF1894前往铁匠铺合成宝石使用</t>
  </si>
  <si>
    <t>fall_hechengfu_1895</t>
  </si>
  <si>
    <t>|cff00FF1895前往铁匠铺合成宝石使用</t>
  </si>
  <si>
    <t>fall_hechengfu_1896</t>
  </si>
  <si>
    <t>合体破境丹</t>
  </si>
  <si>
    <t>|cff00FF1896前往铁匠铺合成宝石使用</t>
  </si>
  <si>
    <t>fall_hechengfu_1897</t>
  </si>
  <si>
    <t>|cff00FF1897前往铁匠铺合成宝石使用</t>
  </si>
  <si>
    <t>fall_hechengfu_1898</t>
  </si>
  <si>
    <t>|cff00FF1898前往铁匠铺合成宝石使用</t>
  </si>
  <si>
    <t>fall_hechengfu_1899</t>
  </si>
  <si>
    <t>合体丹</t>
  </si>
  <si>
    <t>|cff00FF1899前往铁匠铺合成宝石使用</t>
  </si>
  <si>
    <t>fall_hechengfu_1900</t>
  </si>
  <si>
    <t>|cff00FF1900前往铁匠铺合成宝石使用</t>
  </si>
  <si>
    <t>fall_hechengfu_1901</t>
  </si>
  <si>
    <t>|cff00FF1901前往铁匠铺合成宝石使用</t>
  </si>
  <si>
    <t>fall_hechengfu_1902</t>
  </si>
  <si>
    <t>合体烈阳破境丹</t>
  </si>
  <si>
    <t>|cff00FF1902前往铁匠铺合成宝石使用</t>
  </si>
  <si>
    <t>fall_hechengfu_1903</t>
  </si>
  <si>
    <t>|cff00FF1903前往铁匠铺合成宝石使用</t>
  </si>
  <si>
    <t>fall_hechengfu_1904</t>
  </si>
  <si>
    <t>|cff00FF1904前往铁匠铺合成宝石使用</t>
  </si>
  <si>
    <t>fall_hechengfu_1905</t>
  </si>
  <si>
    <t>合体玄阴纳灵丹</t>
  </si>
  <si>
    <t>|cff00FF1905前往铁匠铺合成宝石使用</t>
  </si>
  <si>
    <t>fall_hechengfu_1906</t>
  </si>
  <si>
    <t>|cff00FF1906前往铁匠铺合成宝石使用</t>
  </si>
  <si>
    <t>fall_hechengfu_1907</t>
  </si>
  <si>
    <t>|cff00FF1907前往铁匠铺合成宝石使用</t>
  </si>
  <si>
    <t>fall_hechengfu_1908</t>
  </si>
  <si>
    <t>合体清和纳灵丹</t>
  </si>
  <si>
    <t>|cff00FF1908前往铁匠铺合成宝石使用</t>
  </si>
  <si>
    <t>fall_hechengfu_1909</t>
  </si>
  <si>
    <t>|cff00FF1909前往铁匠铺合成宝石使用</t>
  </si>
  <si>
    <t>fall_hechengfu_1910</t>
  </si>
  <si>
    <t>|cff00FF1910前往铁匠铺合成宝石使用</t>
  </si>
  <si>
    <t>fall_hechengfu_1911</t>
  </si>
  <si>
    <t>合体纳灵丹</t>
  </si>
  <si>
    <t>|cff00FF1911前往铁匠铺合成宝石使用</t>
  </si>
  <si>
    <t>fall_hechengfu_1912</t>
  </si>
  <si>
    <t>|cff00FF1912前往铁匠铺合成宝石使用</t>
  </si>
  <si>
    <t>fall_hechengfu_1913</t>
  </si>
  <si>
    <t>|cff00FF1913前往铁匠铺合成宝石使用</t>
  </si>
  <si>
    <t>fall_hechengfu_1914</t>
  </si>
  <si>
    <t>合体温阳纳灵丹</t>
  </si>
  <si>
    <t>|cff00FF1914前往铁匠铺合成宝石使用</t>
  </si>
  <si>
    <t>fall_hechengfu_1915</t>
  </si>
  <si>
    <t>|cff00FF1915前往铁匠铺合成宝石使用</t>
  </si>
  <si>
    <t>fall_hechengfu_1916</t>
  </si>
  <si>
    <t>|cff00FF1916前往铁匠铺合成宝石使用</t>
  </si>
  <si>
    <t>fall_hechengfu_1917</t>
  </si>
  <si>
    <t>合体烈阳纳灵丹</t>
  </si>
  <si>
    <t>|cff00FF1917前往铁匠铺合成宝石使用</t>
  </si>
  <si>
    <t>fall_hechengfu_1918</t>
  </si>
  <si>
    <t>|cff00FF1918前往铁匠铺合成宝石使用</t>
  </si>
  <si>
    <t>fall_hechengfu_1919</t>
  </si>
  <si>
    <t>|cff00FF1919前往铁匠铺合成宝石使用</t>
  </si>
  <si>
    <t>fall_hechengfu_1920</t>
  </si>
  <si>
    <t>合体玄阴化元丹</t>
  </si>
  <si>
    <t>|cff00FF1920前往铁匠铺合成宝石使用</t>
  </si>
  <si>
    <t>fall_hechengfu_1921</t>
  </si>
  <si>
    <t>|cff00FF1921前往铁匠铺合成宝石使用</t>
  </si>
  <si>
    <t>fall_hechengfu_1922</t>
  </si>
  <si>
    <t>|cff00FF1922前往铁匠铺合成宝石使用</t>
  </si>
  <si>
    <t>fall_hechengfu_1923</t>
  </si>
  <si>
    <t>合体清和化元丹</t>
  </si>
  <si>
    <t>|cff00FF1923前往铁匠铺合成宝石使用</t>
  </si>
  <si>
    <t>fall_hechengfu_1924</t>
  </si>
  <si>
    <t>|cff00FF1924前往铁匠铺合成宝石使用</t>
  </si>
  <si>
    <t>fall_hechengfu_1925</t>
  </si>
  <si>
    <t>|cff00FF1925前往铁匠铺合成宝石使用</t>
  </si>
  <si>
    <t>fall_hechengfu_1926</t>
  </si>
  <si>
    <t>合体化元丹</t>
  </si>
  <si>
    <t>|cff00FF1926前往铁匠铺合成宝石使用</t>
  </si>
  <si>
    <t>fall_hechengfu_1927</t>
  </si>
  <si>
    <t>|cff00FF1927前往铁匠铺合成宝石使用</t>
  </si>
  <si>
    <t>fall_hechengfu_1928</t>
  </si>
  <si>
    <t>|cff00FF1928前往铁匠铺合成宝石使用</t>
  </si>
  <si>
    <t>fall_hechengfu_1929</t>
  </si>
  <si>
    <t>合体温阳化元丹</t>
  </si>
  <si>
    <t>|cff00FF1929前往铁匠铺合成宝石使用</t>
  </si>
  <si>
    <t>fall_hechengfu_1930</t>
  </si>
  <si>
    <t>|cff00FF1930前往铁匠铺合成宝石使用</t>
  </si>
  <si>
    <t>fall_hechengfu_1931</t>
  </si>
  <si>
    <t>|cff00FF1931前往铁匠铺合成宝石使用</t>
  </si>
  <si>
    <t>fall_hechengfu_1932</t>
  </si>
  <si>
    <t>合体烈阳化元丹</t>
  </si>
  <si>
    <t>|cff00FF1932前往铁匠铺合成宝石使用</t>
  </si>
  <si>
    <t>fall_hechengfu_1933</t>
  </si>
  <si>
    <t>|cff00FF1933前往铁匠铺合成宝石使用</t>
  </si>
  <si>
    <t>fall_hechengfu_1934</t>
  </si>
  <si>
    <t>|cff00FF1934前往铁匠铺合成宝石使用</t>
  </si>
  <si>
    <t>fall_hechengfu_1935</t>
  </si>
  <si>
    <t>合体玄阴聚元丹</t>
  </si>
  <si>
    <t>|cff00FF1935前往铁匠铺合成宝石使用</t>
  </si>
  <si>
    <t>fall_hechengfu_1936</t>
  </si>
  <si>
    <t>|cff00FF1936前往铁匠铺合成宝石使用</t>
  </si>
  <si>
    <t>fall_hechengfu_1937</t>
  </si>
  <si>
    <t>|cff00FF1937前往铁匠铺合成宝石使用</t>
  </si>
  <si>
    <t>fall_hechengfu_1938</t>
  </si>
  <si>
    <t>合体清和聚元丹</t>
  </si>
  <si>
    <t>|cff00FF1938前往铁匠铺合成宝石使用</t>
  </si>
  <si>
    <t>fall_hechengfu_1939</t>
  </si>
  <si>
    <t>|cff00FF1939前往铁匠铺合成宝石使用</t>
  </si>
  <si>
    <t>fall_hechengfu_1940</t>
  </si>
  <si>
    <t>|cff00FF1940前往铁匠铺合成宝石使用</t>
  </si>
  <si>
    <t>fall_hechengfu_1941</t>
  </si>
  <si>
    <t>合体聚元丹</t>
  </si>
  <si>
    <t>|cff00FF1941前往铁匠铺合成宝石使用</t>
  </si>
  <si>
    <t>fall_hechengfu_1942</t>
  </si>
  <si>
    <t>|cff00FF1942前往铁匠铺合成宝石使用</t>
  </si>
  <si>
    <t>fall_hechengfu_1943</t>
  </si>
  <si>
    <t>|cff00FF1943前往铁匠铺合成宝石使用</t>
  </si>
  <si>
    <t>fall_hechengfu_1944</t>
  </si>
  <si>
    <t>合体温阳聚元丹</t>
  </si>
  <si>
    <t>|cff00FF1944前往铁匠铺合成宝石使用</t>
  </si>
  <si>
    <t>fall_hechengfu_1945</t>
  </si>
  <si>
    <t>|cff00FF1945前往铁匠铺合成宝石使用</t>
  </si>
  <si>
    <t>fall_hechengfu_1946</t>
  </si>
  <si>
    <t>|cff00FF1946前往铁匠铺合成宝石使用</t>
  </si>
  <si>
    <t>fall_hechengfu_1947</t>
  </si>
  <si>
    <t>合体烈阳聚元丹</t>
  </si>
  <si>
    <t>|cff00FF1947前往铁匠铺合成宝石使用</t>
  </si>
  <si>
    <t>fall_hechengfu_1948</t>
  </si>
  <si>
    <t>|cff00FF1948前往铁匠铺合成宝石使用</t>
  </si>
  <si>
    <t>fall_hechengfu_1949</t>
  </si>
  <si>
    <t>|cff00FF1949前往铁匠铺合成宝石使用</t>
  </si>
  <si>
    <t>fall_hechengfu_1950</t>
  </si>
  <si>
    <t>合体玄阴通脉丹</t>
  </si>
  <si>
    <t>|cff00FF1950前往铁匠铺合成宝石使用</t>
  </si>
  <si>
    <t>fall_hechengfu_1951</t>
  </si>
  <si>
    <t>|cff00FF1951前往铁匠铺合成宝石使用</t>
  </si>
  <si>
    <t>fall_hechengfu_1952</t>
  </si>
  <si>
    <t>|cff00FF1952前往铁匠铺合成宝石使用</t>
  </si>
  <si>
    <t>fall_hechengfu_1953</t>
  </si>
  <si>
    <t>合体清和通脉丹</t>
  </si>
  <si>
    <t>|cff00FF1953前往铁匠铺合成宝石使用</t>
  </si>
  <si>
    <t>fall_hechengfu_1954</t>
  </si>
  <si>
    <t>|cff00FF1954前往铁匠铺合成宝石使用</t>
  </si>
  <si>
    <t>fall_hechengfu_1955</t>
  </si>
  <si>
    <t>|cff00FF1955前往铁匠铺合成宝石使用</t>
  </si>
  <si>
    <t>fall_hechengfu_1956</t>
  </si>
  <si>
    <t>合体通脉丹</t>
  </si>
  <si>
    <t>|cff00FF1956前往铁匠铺合成宝石使用</t>
  </si>
  <si>
    <t>fall_hechengfu_1957</t>
  </si>
  <si>
    <t>|cff00FF1957前往铁匠铺合成宝石使用</t>
  </si>
  <si>
    <t>fall_hechengfu_1958</t>
  </si>
  <si>
    <t>|cff00FF1958前往铁匠铺合成宝石使用</t>
  </si>
  <si>
    <t>fall_hechengfu_1959</t>
  </si>
  <si>
    <t>合体温阳通脉丹</t>
  </si>
  <si>
    <t>|cff00FF1959前往铁匠铺合成宝石使用</t>
  </si>
  <si>
    <t>fall_hechengfu_1960</t>
  </si>
  <si>
    <t>|cff00FF1960前往铁匠铺合成宝石使用</t>
  </si>
  <si>
    <t>fall_hechengfu_1961</t>
  </si>
  <si>
    <t>|cff00FF1961前往铁匠铺合成宝石使用</t>
  </si>
  <si>
    <t>fall_hechengfu_1962</t>
  </si>
  <si>
    <t>合体烈阳通脉丹</t>
  </si>
  <si>
    <t>|cff00FF1962前往铁匠铺合成宝石使用</t>
  </si>
  <si>
    <t>fall_hechengfu_1963</t>
  </si>
  <si>
    <t>|cff00FF1963前往铁匠铺合成宝石使用</t>
  </si>
  <si>
    <t>fall_hechengfu_1964</t>
  </si>
  <si>
    <t>|cff00FF1964前往铁匠铺合成宝石使用</t>
  </si>
  <si>
    <t>fall_hechengfu_1965</t>
  </si>
  <si>
    <t>合体玄阴拓脉丹</t>
  </si>
  <si>
    <t>|cff00FF1965前往铁匠铺合成宝石使用</t>
  </si>
  <si>
    <t>fall_hechengfu_1966</t>
  </si>
  <si>
    <t>|cff00FF1966前往铁匠铺合成宝石使用</t>
  </si>
  <si>
    <t>fall_hechengfu_1967</t>
  </si>
  <si>
    <t>|cff00FF1967前往铁匠铺合成宝石使用</t>
  </si>
  <si>
    <t>fall_hechengfu_1968</t>
  </si>
  <si>
    <t>合体清和拓脉丹</t>
  </si>
  <si>
    <t>|cff00FF1968前往铁匠铺合成宝石使用</t>
  </si>
  <si>
    <t>fall_hechengfu_1969</t>
  </si>
  <si>
    <t>|cff00FF1969前往铁匠铺合成宝石使用</t>
  </si>
  <si>
    <t>fall_hechengfu_1970</t>
  </si>
  <si>
    <t>|cff00FF1970前往铁匠铺合成宝石使用</t>
  </si>
  <si>
    <t>fall_hechengfu_1971</t>
  </si>
  <si>
    <t>合体拓脉丹</t>
  </si>
  <si>
    <t>|cff00FF1971前往铁匠铺合成宝石使用</t>
  </si>
  <si>
    <t>fall_hechengfu_1972</t>
  </si>
  <si>
    <t>|cff00FF1972前往铁匠铺合成宝石使用</t>
  </si>
  <si>
    <t>fall_hechengfu_1973</t>
  </si>
  <si>
    <t>|cff00FF1973前往铁匠铺合成宝石使用</t>
  </si>
  <si>
    <t>fall_hechengfu_1974</t>
  </si>
  <si>
    <t>合体温阳拓脉丹</t>
  </si>
  <si>
    <t>|cff00FF1974前往铁匠铺合成宝石使用</t>
  </si>
  <si>
    <t>fall_hechengfu_1975</t>
  </si>
  <si>
    <t>|cff00FF1975前往铁匠铺合成宝石使用</t>
  </si>
  <si>
    <t>fall_hechengfu_1976</t>
  </si>
  <si>
    <t>|cff00FF1976前往铁匠铺合成宝石使用</t>
  </si>
  <si>
    <t>fall_hechengfu_1977</t>
  </si>
  <si>
    <t>合体烈阳拓脉丹</t>
  </si>
  <si>
    <t>|cff00FF1977前往铁匠铺合成宝石使用</t>
  </si>
  <si>
    <t>fall_hechengfu_1978</t>
  </si>
  <si>
    <t>|cff00FF1978前往铁匠铺合成宝石使用</t>
  </si>
  <si>
    <t>fall_hechengfu_1979</t>
  </si>
  <si>
    <t>|cff00FF1979前往铁匠铺合成宝石使用</t>
  </si>
  <si>
    <t>fall_hechengfu_1980</t>
  </si>
  <si>
    <t>合体玄阴回灵丹</t>
  </si>
  <si>
    <t>|cff00FF1980前往铁匠铺合成宝石使用</t>
  </si>
  <si>
    <t>fall_hechengfu_1981</t>
  </si>
  <si>
    <t>|cff00FF1981前往铁匠铺合成宝石使用</t>
  </si>
  <si>
    <t>fall_hechengfu_1982</t>
  </si>
  <si>
    <t>|cff00FF1982前往铁匠铺合成宝石使用</t>
  </si>
  <si>
    <t>fall_hechengfu_1983</t>
  </si>
  <si>
    <t>合体清和回灵丹</t>
  </si>
  <si>
    <t>|cff00FF1983前往铁匠铺合成宝石使用</t>
  </si>
  <si>
    <t>fall_hechengfu_1984</t>
  </si>
  <si>
    <t>|cff00FF1984前往铁匠铺合成宝石使用</t>
  </si>
  <si>
    <t>fall_hechengfu_1985</t>
  </si>
  <si>
    <t>|cff00FF1985前往铁匠铺合成宝石使用</t>
  </si>
  <si>
    <t>fall_hechengfu_1986</t>
  </si>
  <si>
    <t>合体回灵丹</t>
  </si>
  <si>
    <t>|cff00FF1986前往铁匠铺合成宝石使用</t>
  </si>
  <si>
    <t>fall_hechengfu_1987</t>
  </si>
  <si>
    <t>|cff00FF1987前往铁匠铺合成宝石使用</t>
  </si>
  <si>
    <t>fall_hechengfu_1988</t>
  </si>
  <si>
    <t>|cff00FF1988前往铁匠铺合成宝石使用</t>
  </si>
  <si>
    <t>fall_hechengfu_1989</t>
  </si>
  <si>
    <t>合体温阳回灵丹</t>
  </si>
  <si>
    <t>|cff00FF1989前往铁匠铺合成宝石使用</t>
  </si>
  <si>
    <t>fall_hechengfu_1990</t>
  </si>
  <si>
    <t>|cff00FF1990前往铁匠铺合成宝石使用</t>
  </si>
  <si>
    <t>fall_hechengfu_1991</t>
  </si>
  <si>
    <t>|cff00FF1991前往铁匠铺合成宝石使用</t>
  </si>
  <si>
    <t>fall_hechengfu_1992</t>
  </si>
  <si>
    <t>合体烈阳回灵丹</t>
  </si>
  <si>
    <t>|cff00FF1992前往铁匠铺合成宝石使用</t>
  </si>
  <si>
    <t>fall_hechengfu_1993</t>
  </si>
  <si>
    <t>|cff00FF1993前往铁匠铺合成宝石使用</t>
  </si>
  <si>
    <t>fall_hechengfu_1994</t>
  </si>
  <si>
    <t>|cff00FF1994前往铁匠铺合成宝石使用</t>
  </si>
  <si>
    <t>fall_hechengfu_1995</t>
  </si>
  <si>
    <t>合体玄阴燃灵丹</t>
  </si>
  <si>
    <t>|cff00FF1995前往铁匠铺合成宝石使用</t>
  </si>
  <si>
    <t>fall_hechengfu_1996</t>
  </si>
  <si>
    <t>|cff00FF1996前往铁匠铺合成宝石使用</t>
  </si>
  <si>
    <t>fall_hechengfu_1997</t>
  </si>
  <si>
    <t>|cff00FF1997前往铁匠铺合成宝石使用</t>
  </si>
  <si>
    <t>fall_hechengfu_1998</t>
  </si>
  <si>
    <t>合体清和燃灵丹</t>
  </si>
  <si>
    <t>|cff00FF1998前往铁匠铺合成宝石使用</t>
  </si>
  <si>
    <t>fall_hechengfu_1999</t>
  </si>
  <si>
    <t>|cff00FF1999前往铁匠铺合成宝石使用</t>
  </si>
  <si>
    <t>fall_hechengfu_2000</t>
  </si>
  <si>
    <t>|cff00FF2000前往铁匠铺合成宝石使用</t>
  </si>
  <si>
    <t>fall_hechengfu_2001</t>
  </si>
  <si>
    <t>合体燃灵丹</t>
  </si>
  <si>
    <t>|cff00FF2001前往铁匠铺合成宝石使用</t>
  </si>
  <si>
    <t>fall_hechengfu_2002</t>
  </si>
  <si>
    <t>|cff00FF2002前往铁匠铺合成宝石使用</t>
  </si>
  <si>
    <t>fall_hechengfu_2003</t>
  </si>
  <si>
    <t>|cff00FF2003前往铁匠铺合成宝石使用</t>
  </si>
  <si>
    <t>fall_hechengfu_2004</t>
  </si>
  <si>
    <t>合体温阳燃灵丹</t>
  </si>
  <si>
    <t>|cff00FF2004前往铁匠铺合成宝石使用</t>
  </si>
  <si>
    <t>fall_hechengfu_2005</t>
  </si>
  <si>
    <t>|cff00FF2005前往铁匠铺合成宝石使用</t>
  </si>
  <si>
    <t>fall_hechengfu_2006</t>
  </si>
  <si>
    <t>|cff00FF2006前往铁匠铺合成宝石使用</t>
  </si>
  <si>
    <t>fall_hechengfu_2007</t>
  </si>
  <si>
    <t>合体烈阳燃灵丹</t>
  </si>
  <si>
    <t>|cff00FF2007前往铁匠铺合成宝石使用</t>
  </si>
  <si>
    <t>fall_hechengfu_2008</t>
  </si>
  <si>
    <t>|cff00FF2008前往铁匠铺合成宝石使用</t>
  </si>
  <si>
    <t>fall_hechengfu_2009</t>
  </si>
  <si>
    <t>|cff00FF2009前往铁匠铺合成宝石使用</t>
  </si>
  <si>
    <t>fall_hechengfu_2010</t>
  </si>
  <si>
    <t>合体玄阴镇脉丹</t>
  </si>
  <si>
    <t>|cff00FF2010前往铁匠铺合成宝石使用</t>
  </si>
  <si>
    <t>fall_hechengfu_2011</t>
  </si>
  <si>
    <t>|cff00FF2011前往铁匠铺合成宝石使用</t>
  </si>
  <si>
    <t>fall_hechengfu_2012</t>
  </si>
  <si>
    <t>|cff00FF2012前往铁匠铺合成宝石使用</t>
  </si>
  <si>
    <t>fall_hechengfu_2013</t>
  </si>
  <si>
    <t>合体清和镇脉丹</t>
  </si>
  <si>
    <t>|cff00FF2013前往铁匠铺合成宝石使用</t>
  </si>
  <si>
    <t>fall_hechengfu_2014</t>
  </si>
  <si>
    <t>|cff00FF2014前往铁匠铺合成宝石使用</t>
  </si>
  <si>
    <t>fall_hechengfu_2015</t>
  </si>
  <si>
    <t>|cff00FF2015前往铁匠铺合成宝石使用</t>
  </si>
  <si>
    <t>fall_hechengfu_2016</t>
  </si>
  <si>
    <t>合体镇脉丹</t>
  </si>
  <si>
    <t>|cff00FF2016前往铁匠铺合成宝石使用</t>
  </si>
  <si>
    <t>fall_hechengfu_2017</t>
  </si>
  <si>
    <t>|cff00FF2017前往铁匠铺合成宝石使用</t>
  </si>
  <si>
    <t>fall_hechengfu_2018</t>
  </si>
  <si>
    <t>|cff00FF2018前往铁匠铺合成宝石使用</t>
  </si>
  <si>
    <t>fall_hechengfu_2019</t>
  </si>
  <si>
    <t>合体温阳镇脉丹</t>
  </si>
  <si>
    <t>|cff00FF2019前往铁匠铺合成宝石使用</t>
  </si>
  <si>
    <t>fall_hechengfu_2020</t>
  </si>
  <si>
    <t>|cff00FF2020前往铁匠铺合成宝石使用</t>
  </si>
  <si>
    <t>fall_hechengfu_2021</t>
  </si>
  <si>
    <t>|cff00FF2021前往铁匠铺合成宝石使用</t>
  </si>
  <si>
    <t>fall_hechengfu_2022</t>
  </si>
  <si>
    <t>合体烈阳镇脉丹</t>
  </si>
  <si>
    <t>|cff00FF2022前往铁匠铺合成宝石使用</t>
  </si>
  <si>
    <t>fall_hechengfu_2023</t>
  </si>
  <si>
    <t>|cff00FF2023前往铁匠铺合成宝石使用</t>
  </si>
  <si>
    <t>fall_hechengfu_2024</t>
  </si>
  <si>
    <t>|cff00FF2024前往铁匠铺合成宝石使用</t>
  </si>
  <si>
    <t>fall_hechengfu_2025</t>
  </si>
  <si>
    <t>合体玄阴净髓丹</t>
  </si>
  <si>
    <t>|cff00FF2025前往铁匠铺合成宝石使用</t>
  </si>
  <si>
    <t>fall_hechengfu_2026</t>
  </si>
  <si>
    <t>|cff00FF2026前往铁匠铺合成宝石使用</t>
  </si>
  <si>
    <t>fall_hechengfu_2027</t>
  </si>
  <si>
    <t>|cff00FF2027前往铁匠铺合成宝石使用</t>
  </si>
  <si>
    <t>fall_hechengfu_2028</t>
  </si>
  <si>
    <t>合体清和净髓丹</t>
  </si>
  <si>
    <t>|cff00FF2028前往铁匠铺合成宝石使用</t>
  </si>
  <si>
    <t>fall_hechengfu_2029</t>
  </si>
  <si>
    <t>|cff00FF2029前往铁匠铺合成宝石使用</t>
  </si>
  <si>
    <t>fall_hechengfu_2030</t>
  </si>
  <si>
    <t>|cff00FF2030前往铁匠铺合成宝石使用</t>
  </si>
  <si>
    <t>fall_hechengfu_2031</t>
  </si>
  <si>
    <t>合体净髓丹</t>
  </si>
  <si>
    <t>|cff00FF2031前往铁匠铺合成宝石使用</t>
  </si>
  <si>
    <t>fall_hechengfu_2032</t>
  </si>
  <si>
    <t>|cff00FF2032前往铁匠铺合成宝石使用</t>
  </si>
  <si>
    <t>fall_hechengfu_2033</t>
  </si>
  <si>
    <t>|cff00FF2033前往铁匠铺合成宝石使用</t>
  </si>
  <si>
    <t>fall_hechengfu_2034</t>
  </si>
  <si>
    <t>合体温阳净髓丹</t>
  </si>
  <si>
    <t>|cff00FF2034前往铁匠铺合成宝石使用</t>
  </si>
  <si>
    <t>fall_hechengfu_2035</t>
  </si>
  <si>
    <t>|cff00FF2035前往铁匠铺合成宝石使用</t>
  </si>
  <si>
    <t>fall_hechengfu_2036</t>
  </si>
  <si>
    <t>|cff00FF2036前往铁匠铺合成宝石使用</t>
  </si>
  <si>
    <t>fall_hechengfu_2037</t>
  </si>
  <si>
    <t>合体烈阳净髓丹</t>
  </si>
  <si>
    <t>|cff00FF2037前往铁匠铺合成宝石使用</t>
  </si>
  <si>
    <t>fall_hechengfu_2038</t>
  </si>
  <si>
    <t>|cff00FF2038前往铁匠铺合成宝石使用</t>
  </si>
  <si>
    <t>fall_hechengfu_2039</t>
  </si>
  <si>
    <t>|cff00FF2039前往铁匠铺合成宝石使用</t>
  </si>
  <si>
    <t>fall_hechengfu_2040</t>
  </si>
  <si>
    <t>合体玄阴壮骨丹</t>
  </si>
  <si>
    <t>|cff00FF2040前往铁匠铺合成宝石使用</t>
  </si>
  <si>
    <t>fall_hechengfu_2041</t>
  </si>
  <si>
    <t>|cff00FF2041前往铁匠铺合成宝石使用</t>
  </si>
  <si>
    <t>fall_hechengfu_2042</t>
  </si>
  <si>
    <t>|cff00FF2042前往铁匠铺合成宝石使用</t>
  </si>
  <si>
    <t>fall_hechengfu_2043</t>
  </si>
  <si>
    <t>合体清和壮骨丹</t>
  </si>
  <si>
    <t>|cff00FF2043前往铁匠铺合成宝石使用</t>
  </si>
  <si>
    <t>fall_hechengfu_2044</t>
  </si>
  <si>
    <t>|cff00FF2044前往铁匠铺合成宝石使用</t>
  </si>
  <si>
    <t>fall_hechengfu_2045</t>
  </si>
  <si>
    <t>|cff00FF2045前往铁匠铺合成宝石使用</t>
  </si>
  <si>
    <t>fall_hechengfu_2046</t>
  </si>
  <si>
    <t>合体壮骨丹</t>
  </si>
  <si>
    <t>|cff00FF2046前往铁匠铺合成宝石使用</t>
  </si>
  <si>
    <t>fall_hechengfu_2047</t>
  </si>
  <si>
    <t>|cff00FF2047前往铁匠铺合成宝石使用</t>
  </si>
  <si>
    <t>fall_hechengfu_2048</t>
  </si>
  <si>
    <t>|cff00FF2048前往铁匠铺合成宝石使用</t>
  </si>
  <si>
    <t>fall_hechengfu_2049</t>
  </si>
  <si>
    <t>合体温阳壮骨丹</t>
  </si>
  <si>
    <t>|cff00FF2049前往铁匠铺合成宝石使用</t>
  </si>
  <si>
    <t>fall_hechengfu_2050</t>
  </si>
  <si>
    <t>|cff00FF2050前往铁匠铺合成宝石使用</t>
  </si>
  <si>
    <t>fall_hechengfu_2051</t>
  </si>
  <si>
    <t>|cff00FF2051前往铁匠铺合成宝石使用</t>
  </si>
  <si>
    <t>fall_hechengfu_2052</t>
  </si>
  <si>
    <t>合体烈阳壮骨丹</t>
  </si>
  <si>
    <t>|cff00FF2052前往铁匠铺合成宝石使用</t>
  </si>
  <si>
    <t>fall_hechengfu_2053</t>
  </si>
  <si>
    <t>|cff00FF2053前往铁匠铺合成宝石使用</t>
  </si>
  <si>
    <t>fall_hechengfu_2054</t>
  </si>
  <si>
    <t>|cff00FF2054前往铁匠铺合成宝石使用</t>
  </si>
  <si>
    <t>fall_hechengfu_2055</t>
  </si>
  <si>
    <t>合体玄阴延寿丹</t>
  </si>
  <si>
    <t>|cff00FF2055前往铁匠铺合成宝石使用</t>
  </si>
  <si>
    <t>fall_hechengfu_2056</t>
  </si>
  <si>
    <t>|cff00FF2056前往铁匠铺合成宝石使用</t>
  </si>
  <si>
    <t>fall_hechengfu_2057</t>
  </si>
  <si>
    <t>|cff00FF2057前往铁匠铺合成宝石使用</t>
  </si>
  <si>
    <t>fall_hechengfu_2058</t>
  </si>
  <si>
    <t>合体清和延寿丹</t>
  </si>
  <si>
    <t>|cff00FF2058前往铁匠铺合成宝石使用</t>
  </si>
  <si>
    <t>fall_hechengfu_2059</t>
  </si>
  <si>
    <t>|cff00FF2059前往铁匠铺合成宝石使用</t>
  </si>
  <si>
    <t>fall_hechengfu_2060</t>
  </si>
  <si>
    <t>|cff00FF2060前往铁匠铺合成宝石使用</t>
  </si>
  <si>
    <t>fall_hechengfu_2061</t>
  </si>
  <si>
    <t>合体延寿丹</t>
  </si>
  <si>
    <t>|cff00FF2061前往铁匠铺合成宝石使用</t>
  </si>
  <si>
    <t>fall_hechengfu_2062</t>
  </si>
  <si>
    <t>|cff00FF2062前往铁匠铺合成宝石使用</t>
  </si>
  <si>
    <t>fall_hechengfu_2063</t>
  </si>
  <si>
    <t>|cff00FF2063前往铁匠铺合成宝石使用</t>
  </si>
  <si>
    <t>fall_hechengfu_2064</t>
  </si>
  <si>
    <t>合体温阳延寿丹</t>
  </si>
  <si>
    <t>|cff00FF2064前往铁匠铺合成宝石使用</t>
  </si>
  <si>
    <t>fall_hechengfu_2065</t>
  </si>
  <si>
    <t>|cff00FF2065前往铁匠铺合成宝石使用</t>
  </si>
  <si>
    <t>fall_hechengfu_2066</t>
  </si>
  <si>
    <t>|cff00FF2066前往铁匠铺合成宝石使用</t>
  </si>
  <si>
    <t>fall_hechengfu_2067</t>
  </si>
  <si>
    <t>合体烈阳延寿丹</t>
  </si>
  <si>
    <t>|cff00FF2067前往铁匠铺合成宝石使用</t>
  </si>
  <si>
    <t>fall_hechengfu_2068</t>
  </si>
  <si>
    <t>|cff00FF2068前往铁匠铺合成宝石使用</t>
  </si>
  <si>
    <t>fall_hechengfu_2069</t>
  </si>
  <si>
    <t>|cff00FF2069前往铁匠铺合成宝石使用</t>
  </si>
  <si>
    <t>fall_hechengfu_2070</t>
  </si>
  <si>
    <t>合体玄阴塑灵丹</t>
  </si>
  <si>
    <t>|cff00FF2070前往铁匠铺合成宝石使用</t>
  </si>
  <si>
    <t>fall_hechengfu_2071</t>
  </si>
  <si>
    <t>|cff00FF2071前往铁匠铺合成宝石使用</t>
  </si>
  <si>
    <t>fall_hechengfu_2072</t>
  </si>
  <si>
    <t>|cff00FF2072前往铁匠铺合成宝石使用</t>
  </si>
  <si>
    <t>fall_hechengfu_2073</t>
  </si>
  <si>
    <t>合体清和塑灵丹</t>
  </si>
  <si>
    <t>|cff00FF2073前往铁匠铺合成宝石使用</t>
  </si>
  <si>
    <t>fall_hechengfu_2074</t>
  </si>
  <si>
    <t>|cff00FF2074前往铁匠铺合成宝石使用</t>
  </si>
  <si>
    <t>fall_hechengfu_2075</t>
  </si>
  <si>
    <t>|cff00FF2075前往铁匠铺合成宝石使用</t>
  </si>
  <si>
    <t>fall_hechengfu_2076</t>
  </si>
  <si>
    <t>合体塑灵丹</t>
  </si>
  <si>
    <t>|cff00FF2076前往铁匠铺合成宝石使用</t>
  </si>
  <si>
    <t>fall_hechengfu_2077</t>
  </si>
  <si>
    <t>|cff00FF2077前往铁匠铺合成宝石使用</t>
  </si>
  <si>
    <t>fall_hechengfu_2078</t>
  </si>
  <si>
    <t>|cff00FF2078前往铁匠铺合成宝石使用</t>
  </si>
  <si>
    <t>fall_hechengfu_2079</t>
  </si>
  <si>
    <t>合体温阳塑灵丹</t>
  </si>
  <si>
    <t>|cff00FF2079前往铁匠铺合成宝石使用</t>
  </si>
  <si>
    <t>fall_hechengfu_2080</t>
  </si>
  <si>
    <t>|cff00FF2080前往铁匠铺合成宝石使用</t>
  </si>
  <si>
    <t>fall_hechengfu_2081</t>
  </si>
  <si>
    <t>|cff00FF2081前往铁匠铺合成宝石使用</t>
  </si>
  <si>
    <t>fall_hechengfu_2082</t>
  </si>
  <si>
    <t>合体洗灵丹</t>
  </si>
  <si>
    <t>|cff00FF2082前往铁匠铺合成宝石使用</t>
  </si>
  <si>
    <t>fall_hechengfu_2083</t>
  </si>
  <si>
    <t>|cff00FF2083前往铁匠铺合成宝石使用</t>
  </si>
  <si>
    <t>fall_hechengfu_2084</t>
  </si>
  <si>
    <t>|cff00FF2084前往铁匠铺合成宝石使用</t>
  </si>
  <si>
    <t>fall_hechengfu_2085</t>
  </si>
  <si>
    <t>合体玄阴固元丹</t>
  </si>
  <si>
    <t>|cff00FF2085前往铁匠铺合成宝石使用</t>
  </si>
  <si>
    <t>fall_hechengfu_2086</t>
  </si>
  <si>
    <t>|cff00FF2086前往铁匠铺合成宝石使用</t>
  </si>
  <si>
    <t>fall_hechengfu_2087</t>
  </si>
  <si>
    <t>|cff00FF2087前往铁匠铺合成宝石使用</t>
  </si>
  <si>
    <t>fall_hechengfu_2088</t>
  </si>
  <si>
    <t>合体清和固元丹</t>
  </si>
  <si>
    <t>|cff00FF2088前往铁匠铺合成宝石使用</t>
  </si>
  <si>
    <t>fall_hechengfu_2089</t>
  </si>
  <si>
    <t>|cff00FF2089前往铁匠铺合成宝石使用</t>
  </si>
  <si>
    <t>fall_hechengfu_2090</t>
  </si>
  <si>
    <t>|cff00FF2090前往铁匠铺合成宝石使用</t>
  </si>
  <si>
    <t>fall_hechengfu_2091</t>
  </si>
  <si>
    <t>合体固元丹</t>
  </si>
  <si>
    <t>|cff00FF2091前往铁匠铺合成宝石使用</t>
  </si>
  <si>
    <t>fall_hechengfu_2092</t>
  </si>
  <si>
    <t>|cff00FF2092前往铁匠铺合成宝石使用</t>
  </si>
  <si>
    <t>fall_hechengfu_2093</t>
  </si>
  <si>
    <t>|cff00FF2093前往铁匠铺合成宝石使用</t>
  </si>
  <si>
    <t>fall_hechengfu_2094</t>
  </si>
  <si>
    <t>合体温阳固元丹</t>
  </si>
  <si>
    <t>|cff00FF2094前往铁匠铺合成宝石使用</t>
  </si>
  <si>
    <t>fall_hechengfu_2095</t>
  </si>
  <si>
    <t>|cff00FF2095前往铁匠铺合成宝石使用</t>
  </si>
  <si>
    <t>fall_hechengfu_2096</t>
  </si>
  <si>
    <t>|cff00FF2096前往铁匠铺合成宝石使用</t>
  </si>
  <si>
    <t>fall_hechengfu_2097</t>
  </si>
  <si>
    <t>合体烈阳固元丹</t>
  </si>
  <si>
    <t>|cff00FF2097前往铁匠铺合成宝石使用</t>
  </si>
  <si>
    <t>fall_hechengfu_2098</t>
  </si>
  <si>
    <t>|cff00FF2098前往铁匠铺合成宝石使用</t>
  </si>
  <si>
    <t>fall_hechengfu_2099</t>
  </si>
  <si>
    <t>|cff00FF2099前往铁匠铺合成宝石使用</t>
  </si>
  <si>
    <t>fall_hechengfu_2100</t>
  </si>
  <si>
    <t>合体玄阴破妄丹</t>
  </si>
  <si>
    <t>|cff00FF2100前往铁匠铺合成宝石使用</t>
  </si>
  <si>
    <t>fall_hechengfu_2101</t>
  </si>
  <si>
    <t>|cff00FF2101前往铁匠铺合成宝石使用</t>
  </si>
  <si>
    <t>fall_hechengfu_2102</t>
  </si>
  <si>
    <t>|cff00FF2102前往铁匠铺合成宝石使用</t>
  </si>
  <si>
    <t>fall_hechengfu_2103</t>
  </si>
  <si>
    <t>合体清和破妄丹</t>
  </si>
  <si>
    <t>|cff00FF2103前往铁匠铺合成宝石使用</t>
  </si>
  <si>
    <t>fall_hechengfu_2104</t>
  </si>
  <si>
    <t>|cff00FF2104前往铁匠铺合成宝石使用</t>
  </si>
  <si>
    <t>fall_hechengfu_2105</t>
  </si>
  <si>
    <t>|cff00FF2105前往铁匠铺合成宝石使用</t>
  </si>
  <si>
    <t>fall_hechengfu_2106</t>
  </si>
  <si>
    <t>合体破妄丹</t>
  </si>
  <si>
    <t>|cff00FF2106前往铁匠铺合成宝石使用</t>
  </si>
  <si>
    <t>fall_hechengfu_2107</t>
  </si>
  <si>
    <t>|cff00FF2107前往铁匠铺合成宝石使用</t>
  </si>
  <si>
    <t>fall_hechengfu_2108</t>
  </si>
  <si>
    <t>|cff00FF2108前往铁匠铺合成宝石使用</t>
  </si>
  <si>
    <t>fall_hechengfu_2109</t>
  </si>
  <si>
    <t>合体温阳破妄丹</t>
  </si>
  <si>
    <t>|cff00FF2109前往铁匠铺合成宝石使用</t>
  </si>
  <si>
    <t>fall_hechengfu_2110</t>
  </si>
  <si>
    <t>|cff00FF2110前往铁匠铺合成宝石使用</t>
  </si>
  <si>
    <t>fall_hechengfu_2111</t>
  </si>
  <si>
    <t>|cff00FF2111前往铁匠铺合成宝石使用</t>
  </si>
  <si>
    <t>fall_hechengfu_2112</t>
  </si>
  <si>
    <t>合体烈阳破妄丹</t>
  </si>
  <si>
    <t>|cff00FF2112前往铁匠铺合成宝石使用</t>
  </si>
  <si>
    <t>fall_hechengfu_2113</t>
  </si>
  <si>
    <t>|cff00FF2113前往铁匠铺合成宝石使用</t>
  </si>
  <si>
    <t>fall_hechengfu_2114</t>
  </si>
  <si>
    <t>|cff00FF2114前往铁匠铺合成宝石使用</t>
  </si>
  <si>
    <t>fall_hechengfu_2115</t>
  </si>
  <si>
    <t>合体玄阴养神丹</t>
  </si>
  <si>
    <t>|cff00FF2115前往铁匠铺合成宝石使用</t>
  </si>
  <si>
    <t>fall_hechengfu_2116</t>
  </si>
  <si>
    <t>|cff00FF2116前往铁匠铺合成宝石使用</t>
  </si>
  <si>
    <t>fall_hechengfu_2117</t>
  </si>
  <si>
    <t>|cff00FF2117前往铁匠铺合成宝石使用</t>
  </si>
  <si>
    <t>fall_hechengfu_2118</t>
  </si>
  <si>
    <t>合体清和养神丹</t>
  </si>
  <si>
    <t>|cff00FF2118前往铁匠铺合成宝石使用</t>
  </si>
  <si>
    <t>fall_hechengfu_2119</t>
  </si>
  <si>
    <t>|cff00FF2119前往铁匠铺合成宝石使用</t>
  </si>
  <si>
    <t>fall_hechengfu_2120</t>
  </si>
  <si>
    <t>|cff00FF2120前往铁匠铺合成宝石使用</t>
  </si>
  <si>
    <t>fall_hechengfu_2121</t>
  </si>
  <si>
    <t>合体养神丹</t>
  </si>
  <si>
    <t>|cff00FF2121前往铁匠铺合成宝石使用</t>
  </si>
  <si>
    <t>fall_hechengfu_2122</t>
  </si>
  <si>
    <t>|cff00FF2122前往铁匠铺合成宝石使用</t>
  </si>
  <si>
    <t>fall_hechengfu_2123</t>
  </si>
  <si>
    <t>|cff00FF2123前往铁匠铺合成宝石使用</t>
  </si>
  <si>
    <t>fall_hechengfu_2124</t>
  </si>
  <si>
    <t>合体温阳养神丹</t>
  </si>
  <si>
    <t>|cff00FF2124前往铁匠铺合成宝石使用</t>
  </si>
  <si>
    <t>fall_hechengfu_2125</t>
  </si>
  <si>
    <t>|cff00FF2125前往铁匠铺合成宝石使用</t>
  </si>
  <si>
    <t>fall_hechengfu_2126</t>
  </si>
  <si>
    <t>|cff00FF2126前往铁匠铺合成宝石使用</t>
  </si>
  <si>
    <t>fall_hechengfu_2127</t>
  </si>
  <si>
    <t>合体烈阳养神丹</t>
  </si>
  <si>
    <t>|cff00FF2127前往铁匠铺合成宝石使用</t>
  </si>
  <si>
    <t>fall_hechengfu_2128</t>
  </si>
  <si>
    <t>|cff00FF2128前往铁匠铺合成宝石使用</t>
  </si>
  <si>
    <t>fall_hechengfu_2129</t>
  </si>
  <si>
    <t>|cff00FF2129前往铁匠铺合成宝石使用</t>
  </si>
  <si>
    <t>fall_hechengfu_2130</t>
  </si>
  <si>
    <t>合体玄阴明心丹</t>
  </si>
  <si>
    <t>|cff00FF2130前往铁匠铺合成宝石使用</t>
  </si>
  <si>
    <t>fall_hechengfu_2131</t>
  </si>
  <si>
    <t>|cff00FF2131前往铁匠铺合成宝石使用</t>
  </si>
  <si>
    <t>fall_hechengfu_2132</t>
  </si>
  <si>
    <t>|cff00FF2132前往铁匠铺合成宝石使用</t>
  </si>
  <si>
    <t>fall_hechengfu_2133</t>
  </si>
  <si>
    <t>合体清和明心丹</t>
  </si>
  <si>
    <t>|cff00FF2133前往铁匠铺合成宝石使用</t>
  </si>
  <si>
    <t>fall_hechengfu_2134</t>
  </si>
  <si>
    <t>|cff00FF2134前往铁匠铺合成宝石使用</t>
  </si>
  <si>
    <t>fall_hechengfu_2135</t>
  </si>
  <si>
    <t>|cff00FF2135前往铁匠铺合成宝石使用</t>
  </si>
  <si>
    <t>fall_hechengfu_2136</t>
  </si>
  <si>
    <t>合体明心丹</t>
  </si>
  <si>
    <t>|cff00FF2136前往铁匠铺合成宝石使用</t>
  </si>
  <si>
    <t>fall_hechengfu_2137</t>
  </si>
  <si>
    <t>|cff00FF2137前往铁匠铺合成宝石使用</t>
  </si>
  <si>
    <t>fall_hechengfu_2138</t>
  </si>
  <si>
    <t>|cff00FF2138前往铁匠铺合成宝石使用</t>
  </si>
  <si>
    <t>fall_hechengfu_2139</t>
  </si>
  <si>
    <t>合体温阳明心丹</t>
  </si>
  <si>
    <t>|cff00FF2139前往铁匠铺合成宝石使用</t>
  </si>
  <si>
    <t>fall_hechengfu_2140</t>
  </si>
  <si>
    <t>|cff00FF2140前往铁匠铺合成宝石使用</t>
  </si>
  <si>
    <t>fall_hechengfu_2141</t>
  </si>
  <si>
    <t>|cff00FF2141前往铁匠铺合成宝石使用</t>
  </si>
  <si>
    <t>fall_hechengfu_2142</t>
  </si>
  <si>
    <t>合体烈阳明心丹</t>
  </si>
  <si>
    <t>|cff00FF2142前往铁匠铺合成宝石使用</t>
  </si>
  <si>
    <t>fall_hechengfu_2143</t>
  </si>
  <si>
    <t>|cff00FF2143前往铁匠铺合成宝石使用</t>
  </si>
  <si>
    <t>fall_hechengfu_2144</t>
  </si>
  <si>
    <t>|cff00FF2144前往铁匠铺合成宝石使用</t>
  </si>
  <si>
    <t>fall_hechengfu_2145</t>
  </si>
  <si>
    <t>合体玄阴照神丹</t>
  </si>
  <si>
    <t>|cff00FF2145前往铁匠铺合成宝石使用</t>
  </si>
  <si>
    <t>fall_hechengfu_2146</t>
  </si>
  <si>
    <t>|cff00FF2146前往铁匠铺合成宝石使用</t>
  </si>
  <si>
    <t>fall_hechengfu_2147</t>
  </si>
  <si>
    <t>|cff00FF2147前往铁匠铺合成宝石使用</t>
  </si>
  <si>
    <t>fall_hechengfu_2148</t>
  </si>
  <si>
    <t>合体清和照神丹</t>
  </si>
  <si>
    <t>|cff00FF2148前往铁匠铺合成宝石使用</t>
  </si>
  <si>
    <t>fall_hechengfu_2149</t>
  </si>
  <si>
    <t>|cff00FF2149前往铁匠铺合成宝石使用</t>
  </si>
  <si>
    <t>fall_hechengfu_2150</t>
  </si>
  <si>
    <t>|cff00FF2150前往铁匠铺合成宝石使用</t>
  </si>
  <si>
    <t>fall_hechengfu_2151</t>
  </si>
  <si>
    <t>合体照神丹</t>
  </si>
  <si>
    <t>|cff00FF2151前往铁匠铺合成宝石使用</t>
  </si>
  <si>
    <t>fall_hechengfu_2152</t>
  </si>
  <si>
    <t>|cff00FF2152前往铁匠铺合成宝石使用</t>
  </si>
  <si>
    <t>fall_hechengfu_2153</t>
  </si>
  <si>
    <t>|cff00FF2153前往铁匠铺合成宝石使用</t>
  </si>
  <si>
    <t>fall_hechengfu_2154</t>
  </si>
  <si>
    <t>合体温阳照神丹</t>
  </si>
  <si>
    <t>|cff00FF2154前往铁匠铺合成宝石使用</t>
  </si>
  <si>
    <t>fall_hechengfu_2155</t>
  </si>
  <si>
    <t>|cff00FF2155前往铁匠铺合成宝石使用</t>
  </si>
  <si>
    <t>fall_hechengfu_2156</t>
  </si>
  <si>
    <t>|cff00FF2156前往铁匠铺合成宝石使用</t>
  </si>
  <si>
    <t>fall_hechengfu_2157</t>
  </si>
  <si>
    <t>合体烈阳照神丹</t>
  </si>
  <si>
    <t>|cff00FF2157前往铁匠铺合成宝石使用</t>
  </si>
  <si>
    <t>fall_hechengfu_2158</t>
  </si>
  <si>
    <t>|cff00FF2158前往铁匠铺合成宝石使用</t>
  </si>
  <si>
    <t>fall_hechengfu_2159</t>
  </si>
  <si>
    <t>|cff00FF2159前往铁匠铺合成宝石使用</t>
  </si>
  <si>
    <t>fall_hechengfu_2160</t>
  </si>
  <si>
    <t>合体玄阴定神丹</t>
  </si>
  <si>
    <t>|cff00FF2160前往铁匠铺合成宝石使用</t>
  </si>
  <si>
    <t>fall_hechengfu_2161</t>
  </si>
  <si>
    <t>|cff00FF2161前往铁匠铺合成宝石使用</t>
  </si>
  <si>
    <t>fall_hechengfu_2162</t>
  </si>
  <si>
    <t>|cff00FF2162前往铁匠铺合成宝石使用</t>
  </si>
  <si>
    <t>fall_hechengfu_2163</t>
  </si>
  <si>
    <t>合体清和定神丹</t>
  </si>
  <si>
    <t>|cff00FF2163前往铁匠铺合成宝石使用</t>
  </si>
  <si>
    <t>fall_hechengfu_2164</t>
  </si>
  <si>
    <t>|cff00FF2164前往铁匠铺合成宝石使用</t>
  </si>
  <si>
    <t>fall_hechengfu_2165</t>
  </si>
  <si>
    <t>|cff00FF2165前往铁匠铺合成宝石使用</t>
  </si>
  <si>
    <t>fall_hechengfu_2166</t>
  </si>
  <si>
    <t>合体定神丹</t>
  </si>
  <si>
    <t>|cff00FF2166前往铁匠铺合成宝石使用</t>
  </si>
  <si>
    <t>fall_hechengfu_2167</t>
  </si>
  <si>
    <t>|cff00FF2167前往铁匠铺合成宝石使用</t>
  </si>
  <si>
    <t>fall_hechengfu_2168</t>
  </si>
  <si>
    <t>|cff00FF2168前往铁匠铺合成宝石使用</t>
  </si>
  <si>
    <t>fall_hechengfu_2169</t>
  </si>
  <si>
    <t>合体温阳定神丹</t>
  </si>
  <si>
    <t>|cff00FF2169前往铁匠铺合成宝石使用</t>
  </si>
  <si>
    <t>fall_hechengfu_2170</t>
  </si>
  <si>
    <t>|cff00FF2170前往铁匠铺合成宝石使用</t>
  </si>
  <si>
    <t>fall_hechengfu_2171</t>
  </si>
  <si>
    <t>|cff00FF2171前往铁匠铺合成宝石使用</t>
  </si>
  <si>
    <t>fall_hechengfu_2172</t>
  </si>
  <si>
    <t>合体烈阳定神丹</t>
  </si>
  <si>
    <t>|cff00FF2172前往铁匠铺合成宝石使用</t>
  </si>
  <si>
    <t>fall_hechengfu_2173</t>
  </si>
  <si>
    <t>|cff00FF2173前往铁匠铺合成宝石使用</t>
  </si>
  <si>
    <t>fall_hechengfu_2174</t>
  </si>
  <si>
    <t>|cff00FF2174前往铁匠铺合成宝石使用</t>
  </si>
  <si>
    <t>fall_hechengfu_2175</t>
  </si>
  <si>
    <t>合体玄阴解厄丹</t>
  </si>
  <si>
    <t>|cff00FF2175前往铁匠铺合成宝石使用</t>
  </si>
  <si>
    <t>fall_hechengfu_2176</t>
  </si>
  <si>
    <t>|cff00FF2176前往铁匠铺合成宝石使用</t>
  </si>
  <si>
    <t>fall_hechengfu_2177</t>
  </si>
  <si>
    <t>|cff00FF2177前往铁匠铺合成宝石使用</t>
  </si>
  <si>
    <t>fall_hechengfu_2178</t>
  </si>
  <si>
    <t>合体清和解厄丹</t>
  </si>
  <si>
    <t>|cff00FF2178前往铁匠铺合成宝石使用</t>
  </si>
  <si>
    <t>fall_hechengfu_2179</t>
  </si>
  <si>
    <t>|cff00FF2179前往铁匠铺合成宝石使用</t>
  </si>
  <si>
    <t>fall_hechengfu_2180</t>
  </si>
  <si>
    <t>|cff00FF2180前往铁匠铺合成宝石使用</t>
  </si>
  <si>
    <t>fall_hechengfu_2181</t>
  </si>
  <si>
    <t>合体解厄丹</t>
  </si>
  <si>
    <t>|cff00FF2181前往铁匠铺合成宝石使用</t>
  </si>
  <si>
    <t>fall_hechengfu_2182</t>
  </si>
  <si>
    <t>|cff00FF2182前往铁匠铺合成宝石使用</t>
  </si>
  <si>
    <t>fall_hechengfu_2183</t>
  </si>
  <si>
    <t>|cff00FF2183前往铁匠铺合成宝石使用</t>
  </si>
  <si>
    <t>fall_hechengfu_2184</t>
  </si>
  <si>
    <t>合体温阳解厄丹</t>
  </si>
  <si>
    <t>|cff00FF2184前往铁匠铺合成宝石使用</t>
  </si>
  <si>
    <t>fall_hechengfu_2185</t>
  </si>
  <si>
    <t>|cff00FF2185前往铁匠铺合成宝石使用</t>
  </si>
  <si>
    <t>fall_hechengfu_2186</t>
  </si>
  <si>
    <t>|cff00FF2186前往铁匠铺合成宝石使用</t>
  </si>
  <si>
    <t>fall_hechengfu_2187</t>
  </si>
  <si>
    <t>合体烈阳解厄丹</t>
  </si>
  <si>
    <t>|cff00FF2187前往铁匠铺合成宝石使用</t>
  </si>
  <si>
    <t>fall_hechengfu_2188</t>
  </si>
  <si>
    <t>|cff00FF2188前往铁匠铺合成宝石使用</t>
  </si>
  <si>
    <t>fall_hechengfu_2189</t>
  </si>
  <si>
    <t>|cff00FF2189前往铁匠铺合成宝石使用</t>
  </si>
  <si>
    <t>fall_hechengfu_2190</t>
  </si>
  <si>
    <t>合体玄阴回春丹</t>
  </si>
  <si>
    <t>|cff00FF2190前往铁匠铺合成宝石使用</t>
  </si>
  <si>
    <t>fall_hechengfu_2191</t>
  </si>
  <si>
    <t>|cff00FF2191前往铁匠铺合成宝石使用</t>
  </si>
  <si>
    <t>fall_hechengfu_2192</t>
  </si>
  <si>
    <t>|cff00FF2192前往铁匠铺合成宝石使用</t>
  </si>
  <si>
    <t>fall_hechengfu_2193</t>
  </si>
  <si>
    <t>合体清和回春丹</t>
  </si>
  <si>
    <t>|cff00FF2193前往铁匠铺合成宝石使用</t>
  </si>
  <si>
    <t>fall_hechengfu_2194</t>
  </si>
  <si>
    <t>|cff00FF2194前往铁匠铺合成宝石使用</t>
  </si>
  <si>
    <t>fall_hechengfu_2195</t>
  </si>
  <si>
    <t>|cff00FF2195前往铁匠铺合成宝石使用</t>
  </si>
  <si>
    <t>fall_hechengfu_2196</t>
  </si>
  <si>
    <t>合体回春丹</t>
  </si>
  <si>
    <t>|cff00FF2196前往铁匠铺合成宝石使用</t>
  </si>
  <si>
    <t>fall_hechengfu_2197</t>
  </si>
  <si>
    <t>|cff00FF2197前往铁匠铺合成宝石使用</t>
  </si>
  <si>
    <t>fall_hechengfu_2198</t>
  </si>
  <si>
    <t>|cff00FF2198前往铁匠铺合成宝石使用</t>
  </si>
  <si>
    <t>fall_hechengfu_2199</t>
  </si>
  <si>
    <t>合体温阳回春丹</t>
  </si>
  <si>
    <t>|cff00FF2199前往铁匠铺合成宝石使用</t>
  </si>
  <si>
    <t>fall_hechengfu_2200</t>
  </si>
  <si>
    <t>|cff00FF2200前往铁匠铺合成宝石使用</t>
  </si>
  <si>
    <t>fall_hechengfu_2201</t>
  </si>
  <si>
    <t>|cff00FF2201前往铁匠铺合成宝石使用</t>
  </si>
  <si>
    <t>fall_hechengfu_2202</t>
  </si>
  <si>
    <t>合体烈阳回春丹</t>
  </si>
  <si>
    <t>|cff00FF2202前往铁匠铺合成宝石使用</t>
  </si>
  <si>
    <t>fall_hechengfu_2203</t>
  </si>
  <si>
    <t>|cff00FF2203前往铁匠铺合成宝石使用</t>
  </si>
  <si>
    <t>fall_hechengfu_2204</t>
  </si>
  <si>
    <t>|cff00FF2204前往铁匠铺合成宝石使用</t>
  </si>
  <si>
    <t>fall_hechengfu_2205</t>
  </si>
  <si>
    <t>合体玄阴活血丹</t>
  </si>
  <si>
    <t>|cff00FF2205前往铁匠铺合成宝石使用</t>
  </si>
  <si>
    <t>fall_hechengfu_2206</t>
  </si>
  <si>
    <t>|cff00FF2206前往铁匠铺合成宝石使用</t>
  </si>
  <si>
    <t>fall_hechengfu_2207</t>
  </si>
  <si>
    <t>|cff00FF2207前往铁匠铺合成宝石使用</t>
  </si>
  <si>
    <t>fall_hechengfu_2208</t>
  </si>
  <si>
    <t>合体清和活血丹</t>
  </si>
  <si>
    <t>|cff00FF2208前往铁匠铺合成宝石使用</t>
  </si>
  <si>
    <t>fall_hechengfu_2209</t>
  </si>
  <si>
    <t>|cff00FF2209前往铁匠铺合成宝石使用</t>
  </si>
  <si>
    <t>fall_hechengfu_2210</t>
  </si>
  <si>
    <t>|cff00FF2210前往铁匠铺合成宝石使用</t>
  </si>
  <si>
    <t>fall_hechengfu_2211</t>
  </si>
  <si>
    <t>合体活血丹</t>
  </si>
  <si>
    <t>|cff00FF2211前往铁匠铺合成宝石使用</t>
  </si>
  <si>
    <t>fall_hechengfu_2212</t>
  </si>
  <si>
    <t>|cff00FF2212前往铁匠铺合成宝石使用</t>
  </si>
  <si>
    <t>fall_hechengfu_2213</t>
  </si>
  <si>
    <t>|cff00FF2213前往铁匠铺合成宝石使用</t>
  </si>
  <si>
    <t>fall_hechengfu_2214</t>
  </si>
  <si>
    <t>合体温阳活血丹</t>
  </si>
  <si>
    <t>|cff00FF2214前往铁匠铺合成宝石使用</t>
  </si>
  <si>
    <t>fall_hechengfu_2215</t>
  </si>
  <si>
    <t>|cff00FF2215前往铁匠铺合成宝石使用</t>
  </si>
  <si>
    <t>fall_hechengfu_2216</t>
  </si>
  <si>
    <t>|cff00FF2216前往铁匠铺合成宝石使用</t>
  </si>
  <si>
    <t>fall_hechengfu_2217</t>
  </si>
  <si>
    <t>合体烈阳活血丹</t>
  </si>
  <si>
    <t>|cff00FF2217前往铁匠铺合成宝石使用</t>
  </si>
  <si>
    <t>fall_hechengfu_2218</t>
  </si>
  <si>
    <t>|cff00FF2218前往铁匠铺合成宝石使用</t>
  </si>
  <si>
    <t>fall_hechengfu_2219</t>
  </si>
  <si>
    <t>|cff00FF2219前往铁匠铺合成宝石使用</t>
  </si>
  <si>
    <t>fall_hechengfu_2220</t>
  </si>
  <si>
    <t>合体玄阴战元丹</t>
  </si>
  <si>
    <t>|cff00FF2220前往铁匠铺合成宝石使用</t>
  </si>
  <si>
    <t>fall_hechengfu_2221</t>
  </si>
  <si>
    <t>|cff00FF2221前往铁匠铺合成宝石使用</t>
  </si>
  <si>
    <t>fall_hechengfu_2222</t>
  </si>
  <si>
    <t>|cff00FF2222前往铁匠铺合成宝石使用</t>
  </si>
  <si>
    <t>fall_hechengfu_2223</t>
  </si>
  <si>
    <t>合体清和战元丹</t>
  </si>
  <si>
    <t>|cff00FF2223前往铁匠铺合成宝石使用</t>
  </si>
  <si>
    <t>fall_hechengfu_2224</t>
  </si>
  <si>
    <t>|cff00FF2224前往铁匠铺合成宝石使用</t>
  </si>
  <si>
    <t>fall_hechengfu_2225</t>
  </si>
  <si>
    <t>|cff00FF2225前往铁匠铺合成宝石使用</t>
  </si>
  <si>
    <t>fall_hechengfu_2226</t>
  </si>
  <si>
    <t>合体战元丹</t>
  </si>
  <si>
    <t>|cff00FF2226前往铁匠铺合成宝石使用</t>
  </si>
  <si>
    <t>fall_hechengfu_2227</t>
  </si>
  <si>
    <t>|cff00FF2227前往铁匠铺合成宝石使用</t>
  </si>
  <si>
    <t>fall_hechengfu_2228</t>
  </si>
  <si>
    <t>|cff00FF2228前往铁匠铺合成宝石使用</t>
  </si>
  <si>
    <t>fall_hechengfu_2229</t>
  </si>
  <si>
    <t>合体温阳战元丹</t>
  </si>
  <si>
    <t>|cff00FF2229前往铁匠铺合成宝石使用</t>
  </si>
  <si>
    <t>fall_hechengfu_2230</t>
  </si>
  <si>
    <t>|cff00FF2230前往铁匠铺合成宝石使用</t>
  </si>
  <si>
    <t>fall_hechengfu_2231</t>
  </si>
  <si>
    <t>|cff00FF2231前往铁匠铺合成宝石使用</t>
  </si>
  <si>
    <t>fall_hechengfu_2232</t>
  </si>
  <si>
    <t>合体烈阳战元丹</t>
  </si>
  <si>
    <t>|cff00FF2232前往铁匠铺合成宝石使用</t>
  </si>
  <si>
    <t>fall_hechengfu_2233</t>
  </si>
  <si>
    <t>|cff00FF2233前往铁匠铺合成宝石使用</t>
  </si>
  <si>
    <t>fall_hechengfu_2234</t>
  </si>
  <si>
    <t>|cff00FF2234前往铁匠铺合成宝石使用</t>
  </si>
  <si>
    <t>fall_hechengfu_2235</t>
  </si>
  <si>
    <t>合体玄阴锻体丹</t>
  </si>
  <si>
    <t>|cff00FF2235前往铁匠铺合成宝石使用</t>
  </si>
  <si>
    <t>fall_hechengfu_2236</t>
  </si>
  <si>
    <t>|cff00FF2236前往铁匠铺合成宝石使用</t>
  </si>
  <si>
    <t>fall_hechengfu_2237</t>
  </si>
  <si>
    <t>|cff00FF2237前往铁匠铺合成宝石使用</t>
  </si>
  <si>
    <t>fall_hechengfu_2238</t>
  </si>
  <si>
    <t>合体清和锻体丹</t>
  </si>
  <si>
    <t>|cff00FF2238前往铁匠铺合成宝石使用</t>
  </si>
  <si>
    <t>fall_hechengfu_2239</t>
  </si>
  <si>
    <t>|cff00FF2239前往铁匠铺合成宝石使用</t>
  </si>
  <si>
    <t>fall_hechengfu_2240</t>
  </si>
  <si>
    <t>|cff00FF2240前往铁匠铺合成宝石使用</t>
  </si>
  <si>
    <t>fall_hechengfu_2241</t>
  </si>
  <si>
    <t>合体锻体丹</t>
  </si>
  <si>
    <t>|cff00FF2241前往铁匠铺合成宝石使用</t>
  </si>
  <si>
    <t>fall_hechengfu_2242</t>
  </si>
  <si>
    <t>|cff00FF2242前往铁匠铺合成宝石使用</t>
  </si>
  <si>
    <t>fall_hechengfu_2243</t>
  </si>
  <si>
    <t>|cff00FF2243前往铁匠铺合成宝石使用</t>
  </si>
  <si>
    <t>fall_hechengfu_2244</t>
  </si>
  <si>
    <t>合体温阳锻体丹</t>
  </si>
  <si>
    <t>|cff00FF2244前往铁匠铺合成宝石使用</t>
  </si>
  <si>
    <t>fall_hechengfu_2245</t>
  </si>
  <si>
    <t>|cff00FF2245前往铁匠铺合成宝石使用</t>
  </si>
  <si>
    <t>fall_hechengfu_2246</t>
  </si>
  <si>
    <t>|cff00FF2246前往铁匠铺合成宝石使用</t>
  </si>
  <si>
    <t>fall_hechengfu_2247</t>
  </si>
  <si>
    <t>合体烈阳锻体丹</t>
  </si>
  <si>
    <t>|cff00FF2247前往铁匠铺合成宝石使用</t>
  </si>
  <si>
    <t>fall_hechengfu_2248</t>
  </si>
  <si>
    <t>|cff00FF2248前往铁匠铺合成宝石使用</t>
  </si>
  <si>
    <t>fall_hechengfu_2249</t>
  </si>
  <si>
    <t>|cff00FF2249前往铁匠铺合成宝石使用</t>
  </si>
  <si>
    <t>fall_hechengfu_2250</t>
  </si>
  <si>
    <t>大乘玄阴涤元丹</t>
  </si>
  <si>
    <t>|cff00FF2250前往铁匠铺合成宝石使用</t>
  </si>
  <si>
    <t>fall_hechengfu_2251</t>
  </si>
  <si>
    <t>|cff00FF2251前往铁匠铺合成宝石使用</t>
  </si>
  <si>
    <t>fall_hechengfu_2252</t>
  </si>
  <si>
    <t>|cff00FF2252前往铁匠铺合成宝石使用</t>
  </si>
  <si>
    <t>fall_hechengfu_2253</t>
  </si>
  <si>
    <t>大乘清和涤元丹</t>
  </si>
  <si>
    <t>|cff00FF2253前往铁匠铺合成宝石使用</t>
  </si>
  <si>
    <t>fall_hechengfu_2254</t>
  </si>
  <si>
    <t>|cff00FF2254前往铁匠铺合成宝石使用</t>
  </si>
  <si>
    <t>fall_hechengfu_2255</t>
  </si>
  <si>
    <t>|cff00FF2255前往铁匠铺合成宝石使用</t>
  </si>
  <si>
    <t>fall_hechengfu_2256</t>
  </si>
  <si>
    <t>大乘涤元丹</t>
  </si>
  <si>
    <t>|cff00FF2256前往铁匠铺合成宝石使用</t>
  </si>
  <si>
    <t>fall_hechengfu_2257</t>
  </si>
  <si>
    <t>|cff00FF2257前往铁匠铺合成宝石使用</t>
  </si>
  <si>
    <t>fall_hechengfu_2258</t>
  </si>
  <si>
    <t>|cff00FF2258前往铁匠铺合成宝石使用</t>
  </si>
  <si>
    <t>fall_hechengfu_2259</t>
  </si>
  <si>
    <t>大乘温阳涤元丹</t>
  </si>
  <si>
    <t>|cff00FF2259前往铁匠铺合成宝石使用</t>
  </si>
  <si>
    <t>fall_hechengfu_2260</t>
  </si>
  <si>
    <t>|cff00FF2260前往铁匠铺合成宝石使用</t>
  </si>
  <si>
    <t>fall_hechengfu_2261</t>
  </si>
  <si>
    <t>|cff00FF2261前往铁匠铺合成宝石使用</t>
  </si>
  <si>
    <t>fall_hechengfu_2262</t>
  </si>
  <si>
    <t>大乘烈阳涤元丹</t>
  </si>
  <si>
    <t>|cff00FF2262前往铁匠铺合成宝石使用</t>
  </si>
  <si>
    <t>fall_hechengfu_2263</t>
  </si>
  <si>
    <t>|cff00FF2263前往铁匠铺合成宝石使用</t>
  </si>
  <si>
    <t>fall_hechengfu_2264</t>
  </si>
  <si>
    <t>|cff00FF2264前往铁匠铺合成宝石使用</t>
  </si>
  <si>
    <t>fall_hechengfu_2265</t>
  </si>
  <si>
    <t>大乘玄阴破境丹</t>
  </si>
  <si>
    <t>|cff00FF2265前往铁匠铺合成宝石使用</t>
  </si>
  <si>
    <t>fall_hechengfu_2266</t>
  </si>
  <si>
    <t>|cff00FF2266前往铁匠铺合成宝石使用</t>
  </si>
  <si>
    <t>fall_hechengfu_2267</t>
  </si>
  <si>
    <t>|cff00FF2267前往铁匠铺合成宝石使用</t>
  </si>
  <si>
    <t>fall_hechengfu_2268</t>
  </si>
  <si>
    <t>大乘清和破境丹</t>
  </si>
  <si>
    <t>|cff00FF2268前往铁匠铺合成宝石使用</t>
  </si>
  <si>
    <t>fall_hechengfu_2269</t>
  </si>
  <si>
    <t>|cff00FF2269前往铁匠铺合成宝石使用</t>
  </si>
  <si>
    <t>fall_hechengfu_2270</t>
  </si>
  <si>
    <t>|cff00FF2270前往铁匠铺合成宝石使用</t>
  </si>
  <si>
    <t>fall_hechengfu_2271</t>
  </si>
  <si>
    <t>大乘破境丹</t>
  </si>
  <si>
    <t>|cff00FF2271前往铁匠铺合成宝石使用</t>
  </si>
  <si>
    <t>fall_hechengfu_2272</t>
  </si>
  <si>
    <t>|cff00FF2272前往铁匠铺合成宝石使用</t>
  </si>
  <si>
    <t>fall_hechengfu_2273</t>
  </si>
  <si>
    <t>|cff00FF2273前往铁匠铺合成宝石使用</t>
  </si>
  <si>
    <t>fall_hechengfu_2274</t>
  </si>
  <si>
    <t>大乘丹</t>
  </si>
  <si>
    <t>|cff00FF2274前往铁匠铺合成宝石使用</t>
  </si>
  <si>
    <t>fall_hechengfu_2275</t>
  </si>
  <si>
    <t>|cff00FF2275前往铁匠铺合成宝石使用</t>
  </si>
  <si>
    <t>fall_hechengfu_2276</t>
  </si>
  <si>
    <t>|cff00FF2276前往铁匠铺合成宝石使用</t>
  </si>
  <si>
    <t>fall_hechengfu_2277</t>
  </si>
  <si>
    <t>大乘烈阳破境丹</t>
  </si>
  <si>
    <t>|cff00FF2277前往铁匠铺合成宝石使用</t>
  </si>
  <si>
    <t>fall_hechengfu_2278</t>
  </si>
  <si>
    <t>|cff00FF2278前往铁匠铺合成宝石使用</t>
  </si>
  <si>
    <t>fall_hechengfu_2279</t>
  </si>
  <si>
    <t>|cff00FF2279前往铁匠铺合成宝石使用</t>
  </si>
  <si>
    <t>fall_hechengfu_2280</t>
  </si>
  <si>
    <t>大乘玄阴纳灵丹</t>
  </si>
  <si>
    <t>|cff00FF2280前往铁匠铺合成宝石使用</t>
  </si>
  <si>
    <t>fall_hechengfu_2281</t>
  </si>
  <si>
    <t>|cff00FF2281前往铁匠铺合成宝石使用</t>
  </si>
  <si>
    <t>fall_hechengfu_2282</t>
  </si>
  <si>
    <t>|cff00FF2282前往铁匠铺合成宝石使用</t>
  </si>
  <si>
    <t>fall_hechengfu_2283</t>
  </si>
  <si>
    <t>大乘清和纳灵丹</t>
  </si>
  <si>
    <t>|cff00FF2283前往铁匠铺合成宝石使用</t>
  </si>
  <si>
    <t>fall_hechengfu_2284</t>
  </si>
  <si>
    <t>|cff00FF2284前往铁匠铺合成宝石使用</t>
  </si>
  <si>
    <t>fall_hechengfu_2285</t>
  </si>
  <si>
    <t>|cff00FF2285前往铁匠铺合成宝石使用</t>
  </si>
  <si>
    <t>fall_hechengfu_2286</t>
  </si>
  <si>
    <t>大乘纳灵丹</t>
  </si>
  <si>
    <t>|cff00FF2286前往铁匠铺合成宝石使用</t>
  </si>
  <si>
    <t>fall_hechengfu_2287</t>
  </si>
  <si>
    <t>|cff00FF2287前往铁匠铺合成宝石使用</t>
  </si>
  <si>
    <t>fall_hechengfu_2288</t>
  </si>
  <si>
    <t>|cff00FF2288前往铁匠铺合成宝石使用</t>
  </si>
  <si>
    <t>fall_hechengfu_2289</t>
  </si>
  <si>
    <t>大乘温阳纳灵丹</t>
  </si>
  <si>
    <t>|cff00FF2289前往铁匠铺合成宝石使用</t>
  </si>
  <si>
    <t>fall_hechengfu_2290</t>
  </si>
  <si>
    <t>|cff00FF2290前往铁匠铺合成宝石使用</t>
  </si>
  <si>
    <t>fall_hechengfu_2291</t>
  </si>
  <si>
    <t>|cff00FF2291前往铁匠铺合成宝石使用</t>
  </si>
  <si>
    <t>fall_hechengfu_2292</t>
  </si>
  <si>
    <t>大乘烈阳纳灵丹</t>
  </si>
  <si>
    <t>|cff00FF2292前往铁匠铺合成宝石使用</t>
  </si>
  <si>
    <t>fall_hechengfu_2293</t>
  </si>
  <si>
    <t>|cff00FF2293前往铁匠铺合成宝石使用</t>
  </si>
  <si>
    <t>fall_hechengfu_2294</t>
  </si>
  <si>
    <t>|cff00FF2294前往铁匠铺合成宝石使用</t>
  </si>
  <si>
    <t>fall_hechengfu_2295</t>
  </si>
  <si>
    <t>大乘玄阴化元丹</t>
  </si>
  <si>
    <t>|cff00FF2295前往铁匠铺合成宝石使用</t>
  </si>
  <si>
    <t>fall_hechengfu_2296</t>
  </si>
  <si>
    <t>|cff00FF2296前往铁匠铺合成宝石使用</t>
  </si>
  <si>
    <t>fall_hechengfu_2297</t>
  </si>
  <si>
    <t>|cff00FF2297前往铁匠铺合成宝石使用</t>
  </si>
  <si>
    <t>fall_hechengfu_2298</t>
  </si>
  <si>
    <t>大乘清和化元丹</t>
  </si>
  <si>
    <t>|cff00FF2298前往铁匠铺合成宝石使用</t>
  </si>
  <si>
    <t>fall_hechengfu_2299</t>
  </si>
  <si>
    <t>|cff00FF2299前往铁匠铺合成宝石使用</t>
  </si>
  <si>
    <t>fall_hechengfu_2300</t>
  </si>
  <si>
    <t>|cff00FF2300前往铁匠铺合成宝石使用</t>
  </si>
  <si>
    <t>fall_hechengfu_2301</t>
  </si>
  <si>
    <t>大乘化元丹</t>
  </si>
  <si>
    <t>|cff00FF2301前往铁匠铺合成宝石使用</t>
  </si>
  <si>
    <t>fall_hechengfu_2302</t>
  </si>
  <si>
    <t>|cff00FF2302前往铁匠铺合成宝石使用</t>
  </si>
  <si>
    <t>fall_hechengfu_2303</t>
  </si>
  <si>
    <t>|cff00FF2303前往铁匠铺合成宝石使用</t>
  </si>
  <si>
    <t>fall_hechengfu_2304</t>
  </si>
  <si>
    <t>大乘温阳化元丹</t>
  </si>
  <si>
    <t>|cff00FF2304前往铁匠铺合成宝石使用</t>
  </si>
  <si>
    <t>fall_hechengfu_2305</t>
  </si>
  <si>
    <t>|cff00FF2305前往铁匠铺合成宝石使用</t>
  </si>
  <si>
    <t>fall_hechengfu_2306</t>
  </si>
  <si>
    <t>|cff00FF2306前往铁匠铺合成宝石使用</t>
  </si>
  <si>
    <t>fall_hechengfu_2307</t>
  </si>
  <si>
    <t>大乘烈阳化元丹</t>
  </si>
  <si>
    <t>|cff00FF2307前往铁匠铺合成宝石使用</t>
  </si>
  <si>
    <t>fall_hechengfu_2308</t>
  </si>
  <si>
    <t>|cff00FF2308前往铁匠铺合成宝石使用</t>
  </si>
  <si>
    <t>fall_hechengfu_2309</t>
  </si>
  <si>
    <t>|cff00FF2309前往铁匠铺合成宝石使用</t>
  </si>
  <si>
    <t>fall_hechengfu_2310</t>
  </si>
  <si>
    <t>大乘玄阴聚元丹</t>
  </si>
  <si>
    <t>|cff00FF2310前往铁匠铺合成宝石使用</t>
  </si>
  <si>
    <t>fall_hechengfu_2311</t>
  </si>
  <si>
    <t>|cff00FF2311前往铁匠铺合成宝石使用</t>
  </si>
  <si>
    <t>fall_hechengfu_2312</t>
  </si>
  <si>
    <t>|cff00FF2312前往铁匠铺合成宝石使用</t>
  </si>
  <si>
    <t>fall_hechengfu_2313</t>
  </si>
  <si>
    <t>大乘清和聚元丹</t>
  </si>
  <si>
    <t>|cff00FF2313前往铁匠铺合成宝石使用</t>
  </si>
  <si>
    <t>fall_hechengfu_2314</t>
  </si>
  <si>
    <t>|cff00FF2314前往铁匠铺合成宝石使用</t>
  </si>
  <si>
    <t>fall_hechengfu_2315</t>
  </si>
  <si>
    <t>|cff00FF2315前往铁匠铺合成宝石使用</t>
  </si>
  <si>
    <t>fall_hechengfu_2316</t>
  </si>
  <si>
    <t>大乘聚元丹</t>
  </si>
  <si>
    <t>|cff00FF2316前往铁匠铺合成宝石使用</t>
  </si>
  <si>
    <t>fall_hechengfu_2317</t>
  </si>
  <si>
    <t>|cff00FF2317前往铁匠铺合成宝石使用</t>
  </si>
  <si>
    <t>fall_hechengfu_2318</t>
  </si>
  <si>
    <t>|cff00FF2318前往铁匠铺合成宝石使用</t>
  </si>
  <si>
    <t>fall_hechengfu_2319</t>
  </si>
  <si>
    <t>大乘温阳聚元丹</t>
  </si>
  <si>
    <t>|cff00FF2319前往铁匠铺合成宝石使用</t>
  </si>
  <si>
    <t>fall_hechengfu_2320</t>
  </si>
  <si>
    <t>|cff00FF2320前往铁匠铺合成宝石使用</t>
  </si>
  <si>
    <t>fall_hechengfu_2321</t>
  </si>
  <si>
    <t>|cff00FF2321前往铁匠铺合成宝石使用</t>
  </si>
  <si>
    <t>fall_hechengfu_2322</t>
  </si>
  <si>
    <t>大乘烈阳聚元丹</t>
  </si>
  <si>
    <t>|cff00FF2322前往铁匠铺合成宝石使用</t>
  </si>
  <si>
    <t>fall_hechengfu_2323</t>
  </si>
  <si>
    <t>|cff00FF2323前往铁匠铺合成宝石使用</t>
  </si>
  <si>
    <t>fall_hechengfu_2324</t>
  </si>
  <si>
    <t>|cff00FF2324前往铁匠铺合成宝石使用</t>
  </si>
  <si>
    <t>fall_hechengfu_2325</t>
  </si>
  <si>
    <t>大乘玄阴通脉丹</t>
  </si>
  <si>
    <t>|cff00FF2325前往铁匠铺合成宝石使用</t>
  </si>
  <si>
    <t>fall_hechengfu_2326</t>
  </si>
  <si>
    <t>|cff00FF2326前往铁匠铺合成宝石使用</t>
  </si>
  <si>
    <t>fall_hechengfu_2327</t>
  </si>
  <si>
    <t>|cff00FF2327前往铁匠铺合成宝石使用</t>
  </si>
  <si>
    <t>fall_hechengfu_2328</t>
  </si>
  <si>
    <t>大乘清和通脉丹</t>
  </si>
  <si>
    <t>|cff00FF2328前往铁匠铺合成宝石使用</t>
  </si>
  <si>
    <t>fall_hechengfu_2329</t>
  </si>
  <si>
    <t>|cff00FF2329前往铁匠铺合成宝石使用</t>
  </si>
  <si>
    <t>fall_hechengfu_2330</t>
  </si>
  <si>
    <t>|cff00FF2330前往铁匠铺合成宝石使用</t>
  </si>
  <si>
    <t>fall_hechengfu_2331</t>
  </si>
  <si>
    <t>大乘通脉丹</t>
  </si>
  <si>
    <t>|cff00FF2331前往铁匠铺合成宝石使用</t>
  </si>
  <si>
    <t>fall_hechengfu_2332</t>
  </si>
  <si>
    <t>|cff00FF2332前往铁匠铺合成宝石使用</t>
  </si>
  <si>
    <t>fall_hechengfu_2333</t>
  </si>
  <si>
    <t>|cff00FF2333前往铁匠铺合成宝石使用</t>
  </si>
  <si>
    <t>fall_hechengfu_2334</t>
  </si>
  <si>
    <t>大乘温阳通脉丹</t>
  </si>
  <si>
    <t>|cff00FF2334前往铁匠铺合成宝石使用</t>
  </si>
  <si>
    <t>fall_hechengfu_2335</t>
  </si>
  <si>
    <t>|cff00FF2335前往铁匠铺合成宝石使用</t>
  </si>
  <si>
    <t>fall_hechengfu_2336</t>
  </si>
  <si>
    <t>|cff00FF2336前往铁匠铺合成宝石使用</t>
  </si>
  <si>
    <t>fall_hechengfu_2337</t>
  </si>
  <si>
    <t>大乘烈阳通脉丹</t>
  </si>
  <si>
    <t>|cff00FF2337前往铁匠铺合成宝石使用</t>
  </si>
  <si>
    <t>fall_hechengfu_2338</t>
  </si>
  <si>
    <t>|cff00FF2338前往铁匠铺合成宝石使用</t>
  </si>
  <si>
    <t>fall_hechengfu_2339</t>
  </si>
  <si>
    <t>|cff00FF2339前往铁匠铺合成宝石使用</t>
  </si>
  <si>
    <t>fall_hechengfu_2340</t>
  </si>
  <si>
    <t>大乘玄阴拓脉丹</t>
  </si>
  <si>
    <t>|cff00FF2340前往铁匠铺合成宝石使用</t>
  </si>
  <si>
    <t>fall_hechengfu_2341</t>
  </si>
  <si>
    <t>|cff00FF2341前往铁匠铺合成宝石使用</t>
  </si>
  <si>
    <t>fall_hechengfu_2342</t>
  </si>
  <si>
    <t>|cff00FF2342前往铁匠铺合成宝石使用</t>
  </si>
  <si>
    <t>fall_hechengfu_2343</t>
  </si>
  <si>
    <t>大乘清和拓脉丹</t>
  </si>
  <si>
    <t>|cff00FF2343前往铁匠铺合成宝石使用</t>
  </si>
  <si>
    <t>fall_hechengfu_2344</t>
  </si>
  <si>
    <t>|cff00FF2344前往铁匠铺合成宝石使用</t>
  </si>
  <si>
    <t>fall_hechengfu_2345</t>
  </si>
  <si>
    <t>|cff00FF2345前往铁匠铺合成宝石使用</t>
  </si>
  <si>
    <t>fall_hechengfu_2346</t>
  </si>
  <si>
    <t>大乘拓脉丹</t>
  </si>
  <si>
    <t>|cff00FF2346前往铁匠铺合成宝石使用</t>
  </si>
  <si>
    <t>fall_hechengfu_2347</t>
  </si>
  <si>
    <t>|cff00FF2347前往铁匠铺合成宝石使用</t>
  </si>
  <si>
    <t>fall_hechengfu_2348</t>
  </si>
  <si>
    <t>|cff00FF2348前往铁匠铺合成宝石使用</t>
  </si>
  <si>
    <t>fall_hechengfu_2349</t>
  </si>
  <si>
    <t>大乘温阳拓脉丹</t>
  </si>
  <si>
    <t>|cff00FF2349前往铁匠铺合成宝石使用</t>
  </si>
  <si>
    <t>fall_hechengfu_2350</t>
  </si>
  <si>
    <t>|cff00FF2350前往铁匠铺合成宝石使用</t>
  </si>
  <si>
    <t>fall_hechengfu_2351</t>
  </si>
  <si>
    <t>|cff00FF2351前往铁匠铺合成宝石使用</t>
  </si>
  <si>
    <t>fall_hechengfu_2352</t>
  </si>
  <si>
    <t>大乘烈阳拓脉丹</t>
  </si>
  <si>
    <t>|cff00FF2352前往铁匠铺合成宝石使用</t>
  </si>
  <si>
    <t>fall_hechengfu_2353</t>
  </si>
  <si>
    <t>|cff00FF2353前往铁匠铺合成宝石使用</t>
  </si>
  <si>
    <t>fall_hechengfu_2354</t>
  </si>
  <si>
    <t>|cff00FF2354前往铁匠铺合成宝石使用</t>
  </si>
  <si>
    <t>fall_hechengfu_2355</t>
  </si>
  <si>
    <t>大乘玄阴回灵丹</t>
  </si>
  <si>
    <t>|cff00FF2355前往铁匠铺合成宝石使用</t>
  </si>
  <si>
    <t>fall_hechengfu_2356</t>
  </si>
  <si>
    <t>|cff00FF2356前往铁匠铺合成宝石使用</t>
  </si>
  <si>
    <t>fall_hechengfu_2357</t>
  </si>
  <si>
    <t>|cff00FF2357前往铁匠铺合成宝石使用</t>
  </si>
  <si>
    <t>fall_hechengfu_2358</t>
  </si>
  <si>
    <t>大乘清和回灵丹</t>
  </si>
  <si>
    <t>|cff00FF2358前往铁匠铺合成宝石使用</t>
  </si>
  <si>
    <t>fall_hechengfu_2359</t>
  </si>
  <si>
    <t>|cff00FF2359前往铁匠铺合成宝石使用</t>
  </si>
  <si>
    <t>fall_hechengfu_2360</t>
  </si>
  <si>
    <t>|cff00FF2360前往铁匠铺合成宝石使用</t>
  </si>
  <si>
    <t>fall_hechengfu_2361</t>
  </si>
  <si>
    <t>大乘回灵丹</t>
  </si>
  <si>
    <t>|cff00FF2361前往铁匠铺合成宝石使用</t>
  </si>
  <si>
    <t>fall_hechengfu_2362</t>
  </si>
  <si>
    <t>|cff00FF2362前往铁匠铺合成宝石使用</t>
  </si>
  <si>
    <t>fall_hechengfu_2363</t>
  </si>
  <si>
    <t>|cff00FF2363前往铁匠铺合成宝石使用</t>
  </si>
  <si>
    <t>fall_hechengfu_2364</t>
  </si>
  <si>
    <t>大乘温阳回灵丹</t>
  </si>
  <si>
    <t>|cff00FF2364前往铁匠铺合成宝石使用</t>
  </si>
  <si>
    <t>fall_hechengfu_2365</t>
  </si>
  <si>
    <t>|cff00FF2365前往铁匠铺合成宝石使用</t>
  </si>
  <si>
    <t>fall_hechengfu_2366</t>
  </si>
  <si>
    <t>|cff00FF2366前往铁匠铺合成宝石使用</t>
  </si>
  <si>
    <t>fall_hechengfu_2367</t>
  </si>
  <si>
    <t>大乘烈阳回灵丹</t>
  </si>
  <si>
    <t>|cff00FF2367前往铁匠铺合成宝石使用</t>
  </si>
  <si>
    <t>fall_hechengfu_2368</t>
  </si>
  <si>
    <t>|cff00FF2368前往铁匠铺合成宝石使用</t>
  </si>
  <si>
    <t>fall_hechengfu_2369</t>
  </si>
  <si>
    <t>|cff00FF2369前往铁匠铺合成宝石使用</t>
  </si>
  <si>
    <t>fall_hechengfu_2370</t>
  </si>
  <si>
    <t>大乘玄阴燃灵丹</t>
  </si>
  <si>
    <t>|cff00FF2370前往铁匠铺合成宝石使用</t>
  </si>
  <si>
    <t>fall_hechengfu_2371</t>
  </si>
  <si>
    <t>|cff00FF2371前往铁匠铺合成宝石使用</t>
  </si>
  <si>
    <t>fall_hechengfu_2372</t>
  </si>
  <si>
    <t>|cff00FF2372前往铁匠铺合成宝石使用</t>
  </si>
  <si>
    <t>fall_hechengfu_2373</t>
  </si>
  <si>
    <t>大乘清和燃灵丹</t>
  </si>
  <si>
    <t>|cff00FF2373前往铁匠铺合成宝石使用</t>
  </si>
  <si>
    <t>fall_hechengfu_2374</t>
  </si>
  <si>
    <t>|cff00FF2374前往铁匠铺合成宝石使用</t>
  </si>
  <si>
    <t>fall_hechengfu_2375</t>
  </si>
  <si>
    <t>|cff00FF2375前往铁匠铺合成宝石使用</t>
  </si>
  <si>
    <t>fall_hechengfu_2376</t>
  </si>
  <si>
    <t>大乘燃灵丹</t>
  </si>
  <si>
    <t>|cff00FF2376前往铁匠铺合成宝石使用</t>
  </si>
  <si>
    <t>fall_hechengfu_2377</t>
  </si>
  <si>
    <t>|cff00FF2377前往铁匠铺合成宝石使用</t>
  </si>
  <si>
    <t>fall_hechengfu_2378</t>
  </si>
  <si>
    <t>|cff00FF2378前往铁匠铺合成宝石使用</t>
  </si>
  <si>
    <t>fall_hechengfu_2379</t>
  </si>
  <si>
    <t>大乘温阳燃灵丹</t>
  </si>
  <si>
    <t>|cff00FF2379前往铁匠铺合成宝石使用</t>
  </si>
  <si>
    <t>fall_hechengfu_2380</t>
  </si>
  <si>
    <t>|cff00FF2380前往铁匠铺合成宝石使用</t>
  </si>
  <si>
    <t>fall_hechengfu_2381</t>
  </si>
  <si>
    <t>|cff00FF2381前往铁匠铺合成宝石使用</t>
  </si>
  <si>
    <t>fall_hechengfu_2382</t>
  </si>
  <si>
    <t>大乘烈阳燃灵丹</t>
  </si>
  <si>
    <t>|cff00FF2382前往铁匠铺合成宝石使用</t>
  </si>
  <si>
    <t>fall_hechengfu_2383</t>
  </si>
  <si>
    <t>|cff00FF2383前往铁匠铺合成宝石使用</t>
  </si>
  <si>
    <t>fall_hechengfu_2384</t>
  </si>
  <si>
    <t>|cff00FF2384前往铁匠铺合成宝石使用</t>
  </si>
  <si>
    <t>fall_hechengfu_2385</t>
  </si>
  <si>
    <t>大乘玄阴镇脉丹</t>
  </si>
  <si>
    <t>|cff00FF2385前往铁匠铺合成宝石使用</t>
  </si>
  <si>
    <t>fall_hechengfu_2386</t>
  </si>
  <si>
    <t>|cff00FF2386前往铁匠铺合成宝石使用</t>
  </si>
  <si>
    <t>fall_hechengfu_2387</t>
  </si>
  <si>
    <t>|cff00FF2387前往铁匠铺合成宝石使用</t>
  </si>
  <si>
    <t>fall_hechengfu_2388</t>
  </si>
  <si>
    <t>大乘清和镇脉丹</t>
  </si>
  <si>
    <t>|cff00FF2388前往铁匠铺合成宝石使用</t>
  </si>
  <si>
    <t>fall_hechengfu_2389</t>
  </si>
  <si>
    <t>|cff00FF2389前往铁匠铺合成宝石使用</t>
  </si>
  <si>
    <t>fall_hechengfu_2390</t>
  </si>
  <si>
    <t>|cff00FF2390前往铁匠铺合成宝石使用</t>
  </si>
  <si>
    <t>fall_hechengfu_2391</t>
  </si>
  <si>
    <t>大乘镇脉丹</t>
  </si>
  <si>
    <t>|cff00FF2391前往铁匠铺合成宝石使用</t>
  </si>
  <si>
    <t>fall_hechengfu_2392</t>
  </si>
  <si>
    <t>|cff00FF2392前往铁匠铺合成宝石使用</t>
  </si>
  <si>
    <t>fall_hechengfu_2393</t>
  </si>
  <si>
    <t>|cff00FF2393前往铁匠铺合成宝石使用</t>
  </si>
  <si>
    <t>fall_hechengfu_2394</t>
  </si>
  <si>
    <t>大乘温阳镇脉丹</t>
  </si>
  <si>
    <t>|cff00FF2394前往铁匠铺合成宝石使用</t>
  </si>
  <si>
    <t>fall_hechengfu_2395</t>
  </si>
  <si>
    <t>|cff00FF2395前往铁匠铺合成宝石使用</t>
  </si>
  <si>
    <t>fall_hechengfu_2396</t>
  </si>
  <si>
    <t>|cff00FF2396前往铁匠铺合成宝石使用</t>
  </si>
  <si>
    <t>fall_hechengfu_2397</t>
  </si>
  <si>
    <t>大乘烈阳镇脉丹</t>
  </si>
  <si>
    <t>|cff00FF2397前往铁匠铺合成宝石使用</t>
  </si>
  <si>
    <t>fall_hechengfu_2398</t>
  </si>
  <si>
    <t>|cff00FF2398前往铁匠铺合成宝石使用</t>
  </si>
  <si>
    <t>fall_hechengfu_2399</t>
  </si>
  <si>
    <t>|cff00FF2399前往铁匠铺合成宝石使用</t>
  </si>
  <si>
    <t>fall_hechengfu_2400</t>
  </si>
  <si>
    <t>大乘玄阴净髓丹</t>
  </si>
  <si>
    <t>|cff00FF2400前往铁匠铺合成宝石使用</t>
  </si>
  <si>
    <t>fall_hechengfu_2401</t>
  </si>
  <si>
    <t>|cff00FF2401前往铁匠铺合成宝石使用</t>
  </si>
  <si>
    <t>fall_hechengfu_2402</t>
  </si>
  <si>
    <t>|cff00FF2402前往铁匠铺合成宝石使用</t>
  </si>
  <si>
    <t>fall_hechengfu_2403</t>
  </si>
  <si>
    <t>大乘清和净髓丹</t>
  </si>
  <si>
    <t>|cff00FF2403前往铁匠铺合成宝石使用</t>
  </si>
  <si>
    <t>fall_hechengfu_2404</t>
  </si>
  <si>
    <t>|cff00FF2404前往铁匠铺合成宝石使用</t>
  </si>
  <si>
    <t>fall_hechengfu_2405</t>
  </si>
  <si>
    <t>|cff00FF2405前往铁匠铺合成宝石使用</t>
  </si>
  <si>
    <t>fall_hechengfu_2406</t>
  </si>
  <si>
    <t>大乘净髓丹</t>
  </si>
  <si>
    <t>|cff00FF2406前往铁匠铺合成宝石使用</t>
  </si>
  <si>
    <t>fall_hechengfu_2407</t>
  </si>
  <si>
    <t>|cff00FF2407前往铁匠铺合成宝石使用</t>
  </si>
  <si>
    <t>fall_hechengfu_2408</t>
  </si>
  <si>
    <t>|cff00FF2408前往铁匠铺合成宝石使用</t>
  </si>
  <si>
    <t>fall_hechengfu_2409</t>
  </si>
  <si>
    <t>大乘温阳净髓丹</t>
  </si>
  <si>
    <t>|cff00FF2409前往铁匠铺合成宝石使用</t>
  </si>
  <si>
    <t>fall_hechengfu_2410</t>
  </si>
  <si>
    <t>|cff00FF2410前往铁匠铺合成宝石使用</t>
  </si>
  <si>
    <t>fall_hechengfu_2411</t>
  </si>
  <si>
    <t>|cff00FF2411前往铁匠铺合成宝石使用</t>
  </si>
  <si>
    <t>fall_hechengfu_2412</t>
  </si>
  <si>
    <t>大乘烈阳净髓丹</t>
  </si>
  <si>
    <t>|cff00FF2412前往铁匠铺合成宝石使用</t>
  </si>
  <si>
    <t>fall_hechengfu_2413</t>
  </si>
  <si>
    <t>|cff00FF2413前往铁匠铺合成宝石使用</t>
  </si>
  <si>
    <t>fall_hechengfu_2414</t>
  </si>
  <si>
    <t>|cff00FF2414前往铁匠铺合成宝石使用</t>
  </si>
  <si>
    <t>fall_hechengfu_2415</t>
  </si>
  <si>
    <t>大乘玄阴壮骨丹</t>
  </si>
  <si>
    <t>|cff00FF2415前往铁匠铺合成宝石使用</t>
  </si>
  <si>
    <t>fall_hechengfu_2416</t>
  </si>
  <si>
    <t>|cff00FF2416前往铁匠铺合成宝石使用</t>
  </si>
  <si>
    <t>fall_hechengfu_2417</t>
  </si>
  <si>
    <t>|cff00FF2417前往铁匠铺合成宝石使用</t>
  </si>
  <si>
    <t>fall_hechengfu_2418</t>
  </si>
  <si>
    <t>大乘清和壮骨丹</t>
  </si>
  <si>
    <t>|cff00FF2418前往铁匠铺合成宝石使用</t>
  </si>
  <si>
    <t>fall_hechengfu_2419</t>
  </si>
  <si>
    <t>|cff00FF2419前往铁匠铺合成宝石使用</t>
  </si>
  <si>
    <t>fall_hechengfu_2420</t>
  </si>
  <si>
    <t>|cff00FF2420前往铁匠铺合成宝石使用</t>
  </si>
  <si>
    <t>fall_hechengfu_2421</t>
  </si>
  <si>
    <t>大乘壮骨丹</t>
  </si>
  <si>
    <t>|cff00FF2421前往铁匠铺合成宝石使用</t>
  </si>
  <si>
    <t>fall_hechengfu_2422</t>
  </si>
  <si>
    <t>|cff00FF2422前往铁匠铺合成宝石使用</t>
  </si>
  <si>
    <t>fall_hechengfu_2423</t>
  </si>
  <si>
    <t>|cff00FF2423前往铁匠铺合成宝石使用</t>
  </si>
  <si>
    <t>fall_hechengfu_2424</t>
  </si>
  <si>
    <t>大乘温阳壮骨丹</t>
  </si>
  <si>
    <t>|cff00FF2424前往铁匠铺合成宝石使用</t>
  </si>
  <si>
    <t>fall_hechengfu_2425</t>
  </si>
  <si>
    <t>|cff00FF2425前往铁匠铺合成宝石使用</t>
  </si>
  <si>
    <t>fall_hechengfu_2426</t>
  </si>
  <si>
    <t>|cff00FF2426前往铁匠铺合成宝石使用</t>
  </si>
  <si>
    <t>fall_hechengfu_2427</t>
  </si>
  <si>
    <t>大乘烈阳壮骨丹</t>
  </si>
  <si>
    <t>|cff00FF2427前往铁匠铺合成宝石使用</t>
  </si>
  <si>
    <t>fall_hechengfu_2428</t>
  </si>
  <si>
    <t>|cff00FF2428前往铁匠铺合成宝石使用</t>
  </si>
  <si>
    <t>fall_hechengfu_2429</t>
  </si>
  <si>
    <t>|cff00FF2429前往铁匠铺合成宝石使用</t>
  </si>
  <si>
    <t>fall_hechengfu_2430</t>
  </si>
  <si>
    <t>大乘玄阴延寿丹</t>
  </si>
  <si>
    <t>|cff00FF2430前往铁匠铺合成宝石使用</t>
  </si>
  <si>
    <t>fall_hechengfu_2431</t>
  </si>
  <si>
    <t>|cff00FF2431前往铁匠铺合成宝石使用</t>
  </si>
  <si>
    <t>fall_hechengfu_2432</t>
  </si>
  <si>
    <t>|cff00FF2432前往铁匠铺合成宝石使用</t>
  </si>
  <si>
    <t>fall_hechengfu_2433</t>
  </si>
  <si>
    <t>大乘清和延寿丹</t>
  </si>
  <si>
    <t>|cff00FF2433前往铁匠铺合成宝石使用</t>
  </si>
  <si>
    <t>fall_hechengfu_2434</t>
  </si>
  <si>
    <t>|cff00FF2434前往铁匠铺合成宝石使用</t>
  </si>
  <si>
    <t>fall_hechengfu_2435</t>
  </si>
  <si>
    <t>|cff00FF2435前往铁匠铺合成宝石使用</t>
  </si>
  <si>
    <t>fall_hechengfu_2436</t>
  </si>
  <si>
    <t>大乘延寿丹</t>
  </si>
  <si>
    <t>|cff00FF2436前往铁匠铺合成宝石使用</t>
  </si>
  <si>
    <t>fall_hechengfu_2437</t>
  </si>
  <si>
    <t>|cff00FF2437前往铁匠铺合成宝石使用</t>
  </si>
  <si>
    <t>fall_hechengfu_2438</t>
  </si>
  <si>
    <t>|cff00FF2438前往铁匠铺合成宝石使用</t>
  </si>
  <si>
    <t>fall_hechengfu_2439</t>
  </si>
  <si>
    <t>大乘温阳延寿丹</t>
  </si>
  <si>
    <t>|cff00FF2439前往铁匠铺合成宝石使用</t>
  </si>
  <si>
    <t>fall_hechengfu_2440</t>
  </si>
  <si>
    <t>|cff00FF2440前往铁匠铺合成宝石使用</t>
  </si>
  <si>
    <t>fall_hechengfu_2441</t>
  </si>
  <si>
    <t>|cff00FF2441前往铁匠铺合成宝石使用</t>
  </si>
  <si>
    <t>fall_hechengfu_2442</t>
  </si>
  <si>
    <t>大乘烈阳延寿丹</t>
  </si>
  <si>
    <t>|cff00FF2442前往铁匠铺合成宝石使用</t>
  </si>
  <si>
    <t>fall_hechengfu_2443</t>
  </si>
  <si>
    <t>|cff00FF2443前往铁匠铺合成宝石使用</t>
  </si>
  <si>
    <t>fall_hechengfu_2444</t>
  </si>
  <si>
    <t>|cff00FF2444前往铁匠铺合成宝石使用</t>
  </si>
  <si>
    <t>fall_hechengfu_2445</t>
  </si>
  <si>
    <t>大乘玄阴塑灵丹</t>
  </si>
  <si>
    <t>|cff00FF2445前往铁匠铺合成宝石使用</t>
  </si>
  <si>
    <t>fall_hechengfu_2446</t>
  </si>
  <si>
    <t>|cff00FF2446前往铁匠铺合成宝石使用</t>
  </si>
  <si>
    <t>fall_hechengfu_2447</t>
  </si>
  <si>
    <t>|cff00FF2447前往铁匠铺合成宝石使用</t>
  </si>
  <si>
    <t>fall_hechengfu_2448</t>
  </si>
  <si>
    <t>大乘清和塑灵丹</t>
  </si>
  <si>
    <t>|cff00FF2448前往铁匠铺合成宝石使用</t>
  </si>
  <si>
    <t>fall_hechengfu_2449</t>
  </si>
  <si>
    <t>|cff00FF2449前往铁匠铺合成宝石使用</t>
  </si>
  <si>
    <t>fall_hechengfu_2450</t>
  </si>
  <si>
    <t>|cff00FF2450前往铁匠铺合成宝石使用</t>
  </si>
  <si>
    <t>fall_hechengfu_2451</t>
  </si>
  <si>
    <t>大乘塑灵丹</t>
  </si>
  <si>
    <t>|cff00FF2451前往铁匠铺合成宝石使用</t>
  </si>
  <si>
    <t>fall_hechengfu_2452</t>
  </si>
  <si>
    <t>|cff00FF2452前往铁匠铺合成宝石使用</t>
  </si>
  <si>
    <t>fall_hechengfu_2453</t>
  </si>
  <si>
    <t>|cff00FF2453前往铁匠铺合成宝石使用</t>
  </si>
  <si>
    <t>fall_hechengfu_2454</t>
  </si>
  <si>
    <t>大乘温阳塑灵丹</t>
  </si>
  <si>
    <t>|cff00FF2454前往铁匠铺合成宝石使用</t>
  </si>
  <si>
    <t>fall_hechengfu_2455</t>
  </si>
  <si>
    <t>|cff00FF2455前往铁匠铺合成宝石使用</t>
  </si>
  <si>
    <t>fall_hechengfu_2456</t>
  </si>
  <si>
    <t>|cff00FF2456前往铁匠铺合成宝石使用</t>
  </si>
  <si>
    <t>fall_hechengfu_2457</t>
  </si>
  <si>
    <t>大乘洗灵丹</t>
  </si>
  <si>
    <t>|cff00FF2457前往铁匠铺合成宝石使用</t>
  </si>
  <si>
    <t>fall_hechengfu_2458</t>
  </si>
  <si>
    <t>|cff00FF2458前往铁匠铺合成宝石使用</t>
  </si>
  <si>
    <t>fall_hechengfu_2459</t>
  </si>
  <si>
    <t>|cff00FF2459前往铁匠铺合成宝石使用</t>
  </si>
  <si>
    <t>fall_hechengfu_2460</t>
  </si>
  <si>
    <t>大乘玄阴固元丹</t>
  </si>
  <si>
    <t>|cff00FF2460前往铁匠铺合成宝石使用</t>
  </si>
  <si>
    <t>fall_hechengfu_2461</t>
  </si>
  <si>
    <t>|cff00FF2461前往铁匠铺合成宝石使用</t>
  </si>
  <si>
    <t>fall_hechengfu_2462</t>
  </si>
  <si>
    <t>|cff00FF2462前往铁匠铺合成宝石使用</t>
  </si>
  <si>
    <t>fall_hechengfu_2463</t>
  </si>
  <si>
    <t>大乘清和固元丹</t>
  </si>
  <si>
    <t>|cff00FF2463前往铁匠铺合成宝石使用</t>
  </si>
  <si>
    <t>fall_hechengfu_2464</t>
  </si>
  <si>
    <t>|cff00FF2464前往铁匠铺合成宝石使用</t>
  </si>
  <si>
    <t>fall_hechengfu_2465</t>
  </si>
  <si>
    <t>|cff00FF2465前往铁匠铺合成宝石使用</t>
  </si>
  <si>
    <t>fall_hechengfu_2466</t>
  </si>
  <si>
    <t>大乘固元丹</t>
  </si>
  <si>
    <t>|cff00FF2466前往铁匠铺合成宝石使用</t>
  </si>
  <si>
    <t>fall_hechengfu_2467</t>
  </si>
  <si>
    <t>|cff00FF2467前往铁匠铺合成宝石使用</t>
  </si>
  <si>
    <t>fall_hechengfu_2468</t>
  </si>
  <si>
    <t>|cff00FF2468前往铁匠铺合成宝石使用</t>
  </si>
  <si>
    <t>fall_hechengfu_2469</t>
  </si>
  <si>
    <t>大乘温阳固元丹</t>
  </si>
  <si>
    <t>|cff00FF2469前往铁匠铺合成宝石使用</t>
  </si>
  <si>
    <t>fall_hechengfu_2470</t>
  </si>
  <si>
    <t>|cff00FF2470前往铁匠铺合成宝石使用</t>
  </si>
  <si>
    <t>fall_hechengfu_2471</t>
  </si>
  <si>
    <t>|cff00FF2471前往铁匠铺合成宝石使用</t>
  </si>
  <si>
    <t>fall_hechengfu_2472</t>
  </si>
  <si>
    <t>大乘烈阳固元丹</t>
  </si>
  <si>
    <t>|cff00FF2472前往铁匠铺合成宝石使用</t>
  </si>
  <si>
    <t>fall_hechengfu_2473</t>
  </si>
  <si>
    <t>|cff00FF2473前往铁匠铺合成宝石使用</t>
  </si>
  <si>
    <t>fall_hechengfu_2474</t>
  </si>
  <si>
    <t>|cff00FF2474前往铁匠铺合成宝石使用</t>
  </si>
  <si>
    <t>fall_hechengfu_2475</t>
  </si>
  <si>
    <t>大乘玄阴破妄丹</t>
  </si>
  <si>
    <t>|cff00FF2475前往铁匠铺合成宝石使用</t>
  </si>
  <si>
    <t>fall_hechengfu_2476</t>
  </si>
  <si>
    <t>|cff00FF2476前往铁匠铺合成宝石使用</t>
  </si>
  <si>
    <t>fall_hechengfu_2477</t>
  </si>
  <si>
    <t>|cff00FF2477前往铁匠铺合成宝石使用</t>
  </si>
  <si>
    <t>fall_hechengfu_2478</t>
  </si>
  <si>
    <t>大乘清和破妄丹</t>
  </si>
  <si>
    <t>|cff00FF2478前往铁匠铺合成宝石使用</t>
  </si>
  <si>
    <t>fall_hechengfu_2479</t>
  </si>
  <si>
    <t>|cff00FF2479前往铁匠铺合成宝石使用</t>
  </si>
  <si>
    <t>fall_hechengfu_2480</t>
  </si>
  <si>
    <t>|cff00FF2480前往铁匠铺合成宝石使用</t>
  </si>
  <si>
    <t>fall_hechengfu_2481</t>
  </si>
  <si>
    <t>大乘破妄丹</t>
  </si>
  <si>
    <t>|cff00FF2481前往铁匠铺合成宝石使用</t>
  </si>
  <si>
    <t>fall_hechengfu_2482</t>
  </si>
  <si>
    <t>|cff00FF2482前往铁匠铺合成宝石使用</t>
  </si>
  <si>
    <t>fall_hechengfu_2483</t>
  </si>
  <si>
    <t>|cff00FF2483前往铁匠铺合成宝石使用</t>
  </si>
  <si>
    <t>fall_hechengfu_2484</t>
  </si>
  <si>
    <t>大乘温阳破妄丹</t>
  </si>
  <si>
    <t>|cff00FF2484前往铁匠铺合成宝石使用</t>
  </si>
  <si>
    <t>fall_hechengfu_2485</t>
  </si>
  <si>
    <t>|cff00FF2485前往铁匠铺合成宝石使用</t>
  </si>
  <si>
    <t>fall_hechengfu_2486</t>
  </si>
  <si>
    <t>|cff00FF2486前往铁匠铺合成宝石使用</t>
  </si>
  <si>
    <t>fall_hechengfu_2487</t>
  </si>
  <si>
    <t>大乘烈阳破妄丹</t>
  </si>
  <si>
    <t>|cff00FF2487前往铁匠铺合成宝石使用</t>
  </si>
  <si>
    <t>fall_hechengfu_2488</t>
  </si>
  <si>
    <t>|cff00FF2488前往铁匠铺合成宝石使用</t>
  </si>
  <si>
    <t>fall_hechengfu_2489</t>
  </si>
  <si>
    <t>|cff00FF2489前往铁匠铺合成宝石使用</t>
  </si>
  <si>
    <t>fall_hechengfu_2490</t>
  </si>
  <si>
    <t>大乘玄阴养神丹</t>
  </si>
  <si>
    <t>|cff00FF2490前往铁匠铺合成宝石使用</t>
  </si>
  <si>
    <t>fall_hechengfu_2491</t>
  </si>
  <si>
    <t>|cff00FF2491前往铁匠铺合成宝石使用</t>
  </si>
  <si>
    <t>fall_hechengfu_2492</t>
  </si>
  <si>
    <t>|cff00FF2492前往铁匠铺合成宝石使用</t>
  </si>
  <si>
    <t>fall_hechengfu_2493</t>
  </si>
  <si>
    <t>大乘清和养神丹</t>
  </si>
  <si>
    <t>|cff00FF2493前往铁匠铺合成宝石使用</t>
  </si>
  <si>
    <t>fall_hechengfu_2494</t>
  </si>
  <si>
    <t>|cff00FF2494前往铁匠铺合成宝石使用</t>
  </si>
  <si>
    <t>fall_hechengfu_2495</t>
  </si>
  <si>
    <t>|cff00FF2495前往铁匠铺合成宝石使用</t>
  </si>
  <si>
    <t>fall_hechengfu_2496</t>
  </si>
  <si>
    <t>大乘养神丹</t>
  </si>
  <si>
    <t>|cff00FF2496前往铁匠铺合成宝石使用</t>
  </si>
  <si>
    <t>fall_hechengfu_2497</t>
  </si>
  <si>
    <t>|cff00FF2497前往铁匠铺合成宝石使用</t>
  </si>
  <si>
    <t>fall_hechengfu_2498</t>
  </si>
  <si>
    <t>|cff00FF2498前往铁匠铺合成宝石使用</t>
  </si>
  <si>
    <t>fall_hechengfu_2499</t>
  </si>
  <si>
    <t>大乘温阳养神丹</t>
  </si>
  <si>
    <t>|cff00FF2499前往铁匠铺合成宝石使用</t>
  </si>
  <si>
    <t>fall_hechengfu_2500</t>
  </si>
  <si>
    <t>|cff00FF2500前往铁匠铺合成宝石使用</t>
  </si>
  <si>
    <t>fall_hechengfu_2501</t>
  </si>
  <si>
    <t>|cff00FF2501前往铁匠铺合成宝石使用</t>
  </si>
  <si>
    <t>fall_hechengfu_2502</t>
  </si>
  <si>
    <t>大乘烈阳养神丹</t>
  </si>
  <si>
    <t>|cff00FF2502前往铁匠铺合成宝石使用</t>
  </si>
  <si>
    <t>fall_hechengfu_2503</t>
  </si>
  <si>
    <t>|cff00FF2503前往铁匠铺合成宝石使用</t>
  </si>
  <si>
    <t>fall_hechengfu_2504</t>
  </si>
  <si>
    <t>|cff00FF2504前往铁匠铺合成宝石使用</t>
  </si>
  <si>
    <t>fall_hechengfu_2505</t>
  </si>
  <si>
    <t>大乘玄阴明心丹</t>
  </si>
  <si>
    <t>|cff00FF2505前往铁匠铺合成宝石使用</t>
  </si>
  <si>
    <t>fall_hechengfu_2506</t>
  </si>
  <si>
    <t>|cff00FF2506前往铁匠铺合成宝石使用</t>
  </si>
  <si>
    <t>fall_hechengfu_2507</t>
  </si>
  <si>
    <t>|cff00FF2507前往铁匠铺合成宝石使用</t>
  </si>
  <si>
    <t>fall_hechengfu_2508</t>
  </si>
  <si>
    <t>大乘清和明心丹</t>
  </si>
  <si>
    <t>|cff00FF2508前往铁匠铺合成宝石使用</t>
  </si>
  <si>
    <t>fall_hechengfu_2509</t>
  </si>
  <si>
    <t>|cff00FF2509前往铁匠铺合成宝石使用</t>
  </si>
  <si>
    <t>fall_hechengfu_2510</t>
  </si>
  <si>
    <t>|cff00FF2510前往铁匠铺合成宝石使用</t>
  </si>
  <si>
    <t>fall_hechengfu_2511</t>
  </si>
  <si>
    <t>大乘明心丹</t>
  </si>
  <si>
    <t>|cff00FF2511前往铁匠铺合成宝石使用</t>
  </si>
  <si>
    <t>fall_hechengfu_2512</t>
  </si>
  <si>
    <t>|cff00FF2512前往铁匠铺合成宝石使用</t>
  </si>
  <si>
    <t>fall_hechengfu_2513</t>
  </si>
  <si>
    <t>|cff00FF2513前往铁匠铺合成宝石使用</t>
  </si>
  <si>
    <t>fall_hechengfu_2514</t>
  </si>
  <si>
    <t>大乘温阳明心丹</t>
  </si>
  <si>
    <t>|cff00FF2514前往铁匠铺合成宝石使用</t>
  </si>
  <si>
    <t>fall_hechengfu_2515</t>
  </si>
  <si>
    <t>|cff00FF2515前往铁匠铺合成宝石使用</t>
  </si>
  <si>
    <t>fall_hechengfu_2516</t>
  </si>
  <si>
    <t>|cff00FF2516前往铁匠铺合成宝石使用</t>
  </si>
  <si>
    <t>fall_hechengfu_2517</t>
  </si>
  <si>
    <t>大乘烈阳明心丹</t>
  </si>
  <si>
    <t>|cff00FF2517前往铁匠铺合成宝石使用</t>
  </si>
  <si>
    <t>fall_hechengfu_2518</t>
  </si>
  <si>
    <t>|cff00FF2518前往铁匠铺合成宝石使用</t>
  </si>
  <si>
    <t>fall_hechengfu_2519</t>
  </si>
  <si>
    <t>|cff00FF2519前往铁匠铺合成宝石使用</t>
  </si>
  <si>
    <t>fall_hechengfu_2520</t>
  </si>
  <si>
    <t>大乘玄阴照神丹</t>
  </si>
  <si>
    <t>|cff00FF2520前往铁匠铺合成宝石使用</t>
  </si>
  <si>
    <t>fall_hechengfu_2521</t>
  </si>
  <si>
    <t>|cff00FF2521前往铁匠铺合成宝石使用</t>
  </si>
  <si>
    <t>fall_hechengfu_2522</t>
  </si>
  <si>
    <t>|cff00FF2522前往铁匠铺合成宝石使用</t>
  </si>
  <si>
    <t>fall_hechengfu_2523</t>
  </si>
  <si>
    <t>大乘清和照神丹</t>
  </si>
  <si>
    <t>|cff00FF2523前往铁匠铺合成宝石使用</t>
  </si>
  <si>
    <t>fall_hechengfu_2524</t>
  </si>
  <si>
    <t>|cff00FF2524前往铁匠铺合成宝石使用</t>
  </si>
  <si>
    <t>fall_hechengfu_2525</t>
  </si>
  <si>
    <t>|cff00FF2525前往铁匠铺合成宝石使用</t>
  </si>
  <si>
    <t>fall_hechengfu_2526</t>
  </si>
  <si>
    <t>大乘照神丹</t>
  </si>
  <si>
    <t>|cff00FF2526前往铁匠铺合成宝石使用</t>
  </si>
  <si>
    <t>fall_hechengfu_2527</t>
  </si>
  <si>
    <t>|cff00FF2527前往铁匠铺合成宝石使用</t>
  </si>
  <si>
    <t>fall_hechengfu_2528</t>
  </si>
  <si>
    <t>|cff00FF2528前往铁匠铺合成宝石使用</t>
  </si>
  <si>
    <t>fall_hechengfu_2529</t>
  </si>
  <si>
    <t>大乘温阳照神丹</t>
  </si>
  <si>
    <t>|cff00FF2529前往铁匠铺合成宝石使用</t>
  </si>
  <si>
    <t>fall_hechengfu_2530</t>
  </si>
  <si>
    <t>|cff00FF2530前往铁匠铺合成宝石使用</t>
  </si>
  <si>
    <t>fall_hechengfu_2531</t>
  </si>
  <si>
    <t>|cff00FF2531前往铁匠铺合成宝石使用</t>
  </si>
  <si>
    <t>fall_hechengfu_2532</t>
  </si>
  <si>
    <t>大乘烈阳照神丹</t>
  </si>
  <si>
    <t>|cff00FF2532前往铁匠铺合成宝石使用</t>
  </si>
  <si>
    <t>fall_hechengfu_2533</t>
  </si>
  <si>
    <t>|cff00FF2533前往铁匠铺合成宝石使用</t>
  </si>
  <si>
    <t>fall_hechengfu_2534</t>
  </si>
  <si>
    <t>|cff00FF2534前往铁匠铺合成宝石使用</t>
  </si>
  <si>
    <t>fall_hechengfu_2535</t>
  </si>
  <si>
    <t>大乘玄阴定神丹</t>
  </si>
  <si>
    <t>|cff00FF2535前往铁匠铺合成宝石使用</t>
  </si>
  <si>
    <t>fall_hechengfu_2536</t>
  </si>
  <si>
    <t>|cff00FF2536前往铁匠铺合成宝石使用</t>
  </si>
  <si>
    <t>fall_hechengfu_2537</t>
  </si>
  <si>
    <t>|cff00FF2537前往铁匠铺合成宝石使用</t>
  </si>
  <si>
    <t>fall_hechengfu_2538</t>
  </si>
  <si>
    <t>大乘清和定神丹</t>
  </si>
  <si>
    <t>|cff00FF2538前往铁匠铺合成宝石使用</t>
  </si>
  <si>
    <t>fall_hechengfu_2539</t>
  </si>
  <si>
    <t>|cff00FF2539前往铁匠铺合成宝石使用</t>
  </si>
  <si>
    <t>fall_hechengfu_2540</t>
  </si>
  <si>
    <t>|cff00FF2540前往铁匠铺合成宝石使用</t>
  </si>
  <si>
    <t>fall_hechengfu_2541</t>
  </si>
  <si>
    <t>大乘定神丹</t>
  </si>
  <si>
    <t>|cff00FF2541前往铁匠铺合成宝石使用</t>
  </si>
  <si>
    <t>fall_hechengfu_2542</t>
  </si>
  <si>
    <t>|cff00FF2542前往铁匠铺合成宝石使用</t>
  </si>
  <si>
    <t>fall_hechengfu_2543</t>
  </si>
  <si>
    <t>|cff00FF2543前往铁匠铺合成宝石使用</t>
  </si>
  <si>
    <t>fall_hechengfu_2544</t>
  </si>
  <si>
    <t>大乘温阳定神丹</t>
  </si>
  <si>
    <t>|cff00FF2544前往铁匠铺合成宝石使用</t>
  </si>
  <si>
    <t>fall_hechengfu_2545</t>
  </si>
  <si>
    <t>|cff00FF2545前往铁匠铺合成宝石使用</t>
  </si>
  <si>
    <t>fall_hechengfu_2546</t>
  </si>
  <si>
    <t>|cff00FF2546前往铁匠铺合成宝石使用</t>
  </si>
  <si>
    <t>fall_hechengfu_2547</t>
  </si>
  <si>
    <t>大乘烈阳定神丹</t>
  </si>
  <si>
    <t>|cff00FF2547前往铁匠铺合成宝石使用</t>
  </si>
  <si>
    <t>fall_hechengfu_2548</t>
  </si>
  <si>
    <t>|cff00FF2548前往铁匠铺合成宝石使用</t>
  </si>
  <si>
    <t>fall_hechengfu_2549</t>
  </si>
  <si>
    <t>|cff00FF2549前往铁匠铺合成宝石使用</t>
  </si>
  <si>
    <t>fall_hechengfu_2550</t>
  </si>
  <si>
    <t>大乘玄阴解厄丹</t>
  </si>
  <si>
    <t>|cff00FF2550前往铁匠铺合成宝石使用</t>
  </si>
  <si>
    <t>fall_hechengfu_2551</t>
  </si>
  <si>
    <t>|cff00FF2551前往铁匠铺合成宝石使用</t>
  </si>
  <si>
    <t>fall_hechengfu_2552</t>
  </si>
  <si>
    <t>|cff00FF2552前往铁匠铺合成宝石使用</t>
  </si>
  <si>
    <t>fall_hechengfu_2553</t>
  </si>
  <si>
    <t>大乘清和解厄丹</t>
  </si>
  <si>
    <t>|cff00FF2553前往铁匠铺合成宝石使用</t>
  </si>
  <si>
    <t>fall_hechengfu_2554</t>
  </si>
  <si>
    <t>|cff00FF2554前往铁匠铺合成宝石使用</t>
  </si>
  <si>
    <t>fall_hechengfu_2555</t>
  </si>
  <si>
    <t>|cff00FF2555前往铁匠铺合成宝石使用</t>
  </si>
  <si>
    <t>fall_hechengfu_2556</t>
  </si>
  <si>
    <t>大乘解厄丹</t>
  </si>
  <si>
    <t>|cff00FF2556前往铁匠铺合成宝石使用</t>
  </si>
  <si>
    <t>fall_hechengfu_2557</t>
  </si>
  <si>
    <t>|cff00FF2557前往铁匠铺合成宝石使用</t>
  </si>
  <si>
    <t>fall_hechengfu_2558</t>
  </si>
  <si>
    <t>|cff00FF2558前往铁匠铺合成宝石使用</t>
  </si>
  <si>
    <t>fall_hechengfu_2559</t>
  </si>
  <si>
    <t>大乘温阳解厄丹</t>
  </si>
  <si>
    <t>|cff00FF2559前往铁匠铺合成宝石使用</t>
  </si>
  <si>
    <t>fall_hechengfu_2560</t>
  </si>
  <si>
    <t>|cff00FF2560前往铁匠铺合成宝石使用</t>
  </si>
  <si>
    <t>fall_hechengfu_2561</t>
  </si>
  <si>
    <t>|cff00FF2561前往铁匠铺合成宝石使用</t>
  </si>
  <si>
    <t>fall_hechengfu_2562</t>
  </si>
  <si>
    <t>大乘烈阳解厄丹</t>
  </si>
  <si>
    <t>|cff00FF2562前往铁匠铺合成宝石使用</t>
  </si>
  <si>
    <t>fall_hechengfu_2563</t>
  </si>
  <si>
    <t>|cff00FF2563前往铁匠铺合成宝石使用</t>
  </si>
  <si>
    <t>fall_hechengfu_2564</t>
  </si>
  <si>
    <t>|cff00FF2564前往铁匠铺合成宝石使用</t>
  </si>
  <si>
    <t>fall_hechengfu_2565</t>
  </si>
  <si>
    <t>大乘玄阴回春丹</t>
  </si>
  <si>
    <t>|cff00FF2565前往铁匠铺合成宝石使用</t>
  </si>
  <si>
    <t>fall_hechengfu_2566</t>
  </si>
  <si>
    <t>|cff00FF2566前往铁匠铺合成宝石使用</t>
  </si>
  <si>
    <t>fall_hechengfu_2567</t>
  </si>
  <si>
    <t>|cff00FF2567前往铁匠铺合成宝石使用</t>
  </si>
  <si>
    <t>fall_hechengfu_2568</t>
  </si>
  <si>
    <t>大乘清和回春丹</t>
  </si>
  <si>
    <t>|cff00FF2568前往铁匠铺合成宝石使用</t>
  </si>
  <si>
    <t>fall_hechengfu_2569</t>
  </si>
  <si>
    <t>|cff00FF2569前往铁匠铺合成宝石使用</t>
  </si>
  <si>
    <t>fall_hechengfu_2570</t>
  </si>
  <si>
    <t>|cff00FF2570前往铁匠铺合成宝石使用</t>
  </si>
  <si>
    <t>fall_hechengfu_2571</t>
  </si>
  <si>
    <t>大乘回春丹</t>
  </si>
  <si>
    <t>|cff00FF2571前往铁匠铺合成宝石使用</t>
  </si>
  <si>
    <t>fall_hechengfu_2572</t>
  </si>
  <si>
    <t>|cff00FF2572前往铁匠铺合成宝石使用</t>
  </si>
  <si>
    <t>fall_hechengfu_2573</t>
  </si>
  <si>
    <t>|cff00FF2573前往铁匠铺合成宝石使用</t>
  </si>
  <si>
    <t>fall_hechengfu_2574</t>
  </si>
  <si>
    <t>大乘温阳回春丹</t>
  </si>
  <si>
    <t>|cff00FF2574前往铁匠铺合成宝石使用</t>
  </si>
  <si>
    <t>fall_hechengfu_2575</t>
  </si>
  <si>
    <t>|cff00FF2575前往铁匠铺合成宝石使用</t>
  </si>
  <si>
    <t>fall_hechengfu_2576</t>
  </si>
  <si>
    <t>|cff00FF2576前往铁匠铺合成宝石使用</t>
  </si>
  <si>
    <t>fall_hechengfu_2577</t>
  </si>
  <si>
    <t>大乘烈阳回春丹</t>
  </si>
  <si>
    <t>|cff00FF2577前往铁匠铺合成宝石使用</t>
  </si>
  <si>
    <t>fall_hechengfu_2578</t>
  </si>
  <si>
    <t>|cff00FF2578前往铁匠铺合成宝石使用</t>
  </si>
  <si>
    <t>fall_hechengfu_2579</t>
  </si>
  <si>
    <t>|cff00FF2579前往铁匠铺合成宝石使用</t>
  </si>
  <si>
    <t>fall_hechengfu_2580</t>
  </si>
  <si>
    <t>大乘玄阴活血丹</t>
  </si>
  <si>
    <t>|cff00FF2580前往铁匠铺合成宝石使用</t>
  </si>
  <si>
    <t>fall_hechengfu_2581</t>
  </si>
  <si>
    <t>|cff00FF2581前往铁匠铺合成宝石使用</t>
  </si>
  <si>
    <t>fall_hechengfu_2582</t>
  </si>
  <si>
    <t>|cff00FF2582前往铁匠铺合成宝石使用</t>
  </si>
  <si>
    <t>fall_hechengfu_2583</t>
  </si>
  <si>
    <t>大乘清和活血丹</t>
  </si>
  <si>
    <t>|cff00FF2583前往铁匠铺合成宝石使用</t>
  </si>
  <si>
    <t>fall_hechengfu_2584</t>
  </si>
  <si>
    <t>|cff00FF2584前往铁匠铺合成宝石使用</t>
  </si>
  <si>
    <t>fall_hechengfu_2585</t>
  </si>
  <si>
    <t>|cff00FF2585前往铁匠铺合成宝石使用</t>
  </si>
  <si>
    <t>fall_hechengfu_2586</t>
  </si>
  <si>
    <t>大乘活血丹</t>
  </si>
  <si>
    <t>|cff00FF2586前往铁匠铺合成宝石使用</t>
  </si>
  <si>
    <t>fall_hechengfu_2587</t>
  </si>
  <si>
    <t>|cff00FF2587前往铁匠铺合成宝石使用</t>
  </si>
  <si>
    <t>fall_hechengfu_2588</t>
  </si>
  <si>
    <t>|cff00FF2588前往铁匠铺合成宝石使用</t>
  </si>
  <si>
    <t>fall_hechengfu_2589</t>
  </si>
  <si>
    <t>大乘温阳活血丹</t>
  </si>
  <si>
    <t>|cff00FF2589前往铁匠铺合成宝石使用</t>
  </si>
  <si>
    <t>fall_hechengfu_2590</t>
  </si>
  <si>
    <t>|cff00FF2590前往铁匠铺合成宝石使用</t>
  </si>
  <si>
    <t>fall_hechengfu_2591</t>
  </si>
  <si>
    <t>|cff00FF2591前往铁匠铺合成宝石使用</t>
  </si>
  <si>
    <t>fall_hechengfu_2592</t>
  </si>
  <si>
    <t>大乘烈阳活血丹</t>
  </si>
  <si>
    <t>|cff00FF2592前往铁匠铺合成宝石使用</t>
  </si>
  <si>
    <t>fall_hechengfu_2593</t>
  </si>
  <si>
    <t>|cff00FF2593前往铁匠铺合成宝石使用</t>
  </si>
  <si>
    <t>fall_hechengfu_2594</t>
  </si>
  <si>
    <t>|cff00FF2594前往铁匠铺合成宝石使用</t>
  </si>
  <si>
    <t>fall_hechengfu_2595</t>
  </si>
  <si>
    <t>大乘玄阴战元丹</t>
  </si>
  <si>
    <t>|cff00FF2595前往铁匠铺合成宝石使用</t>
  </si>
  <si>
    <t>fall_hechengfu_2596</t>
  </si>
  <si>
    <t>|cff00FF2596前往铁匠铺合成宝石使用</t>
  </si>
  <si>
    <t>fall_hechengfu_2597</t>
  </si>
  <si>
    <t>|cff00FF2597前往铁匠铺合成宝石使用</t>
  </si>
  <si>
    <t>fall_hechengfu_2598</t>
  </si>
  <si>
    <t>大乘清和战元丹</t>
  </si>
  <si>
    <t>|cff00FF2598前往铁匠铺合成宝石使用</t>
  </si>
  <si>
    <t>fall_hechengfu_2599</t>
  </si>
  <si>
    <t>|cff00FF2599前往铁匠铺合成宝石使用</t>
  </si>
  <si>
    <t>fall_hechengfu_2600</t>
  </si>
  <si>
    <t>|cff00FF2600前往铁匠铺合成宝石使用</t>
  </si>
  <si>
    <t>fall_hechengfu_2601</t>
  </si>
  <si>
    <t>大乘战元丹</t>
  </si>
  <si>
    <t>|cff00FF2601前往铁匠铺合成宝石使用</t>
  </si>
  <si>
    <t>fall_hechengfu_2602</t>
  </si>
  <si>
    <t>|cff00FF2602前往铁匠铺合成宝石使用</t>
  </si>
  <si>
    <t>fall_hechengfu_2603</t>
  </si>
  <si>
    <t>|cff00FF2603前往铁匠铺合成宝石使用</t>
  </si>
  <si>
    <t>fall_hechengfu_2604</t>
  </si>
  <si>
    <t>大乘温阳战元丹</t>
  </si>
  <si>
    <t>|cff00FF2604前往铁匠铺合成宝石使用</t>
  </si>
  <si>
    <t>fall_hechengfu_2605</t>
  </si>
  <si>
    <t>|cff00FF2605前往铁匠铺合成宝石使用</t>
  </si>
  <si>
    <t>fall_hechengfu_2606</t>
  </si>
  <si>
    <t>|cff00FF2606前往铁匠铺合成宝石使用</t>
  </si>
  <si>
    <t>fall_hechengfu_2607</t>
  </si>
  <si>
    <t>大乘烈阳战元丹</t>
  </si>
  <si>
    <t>|cff00FF2607前往铁匠铺合成宝石使用</t>
  </si>
  <si>
    <t>fall_hechengfu_2608</t>
  </si>
  <si>
    <t>|cff00FF2608前往铁匠铺合成宝石使用</t>
  </si>
  <si>
    <t>fall_hechengfu_2609</t>
  </si>
  <si>
    <t>|cff00FF2609前往铁匠铺合成宝石使用</t>
  </si>
  <si>
    <t>fall_hechengfu_2610</t>
  </si>
  <si>
    <t>大乘玄阴锻体丹</t>
  </si>
  <si>
    <t>|cff00FF2610前往铁匠铺合成宝石使用</t>
  </si>
  <si>
    <t>fall_hechengfu_2611</t>
  </si>
  <si>
    <t>|cff00FF2611前往铁匠铺合成宝石使用</t>
  </si>
  <si>
    <t>fall_hechengfu_2612</t>
  </si>
  <si>
    <t>|cff00FF2612前往铁匠铺合成宝石使用</t>
  </si>
  <si>
    <t>fall_hechengfu_2613</t>
  </si>
  <si>
    <t>大乘清和锻体丹</t>
  </si>
  <si>
    <t>|cff00FF2613前往铁匠铺合成宝石使用</t>
  </si>
  <si>
    <t>fall_hechengfu_2614</t>
  </si>
  <si>
    <t>|cff00FF2614前往铁匠铺合成宝石使用</t>
  </si>
  <si>
    <t>fall_hechengfu_2615</t>
  </si>
  <si>
    <t>|cff00FF2615前往铁匠铺合成宝石使用</t>
  </si>
  <si>
    <t>fall_hechengfu_2616</t>
  </si>
  <si>
    <t>大乘锻体丹</t>
  </si>
  <si>
    <t>|cff00FF2616前往铁匠铺合成宝石使用</t>
  </si>
  <si>
    <t>fall_hechengfu_2617</t>
  </si>
  <si>
    <t>|cff00FF2617前往铁匠铺合成宝石使用</t>
  </si>
  <si>
    <t>fall_hechengfu_2618</t>
  </si>
  <si>
    <t>|cff00FF2618前往铁匠铺合成宝石使用</t>
  </si>
  <si>
    <t>fall_hechengfu_2619</t>
  </si>
  <si>
    <t>大乘温阳锻体丹</t>
  </si>
  <si>
    <t>|cff00FF2619前往铁匠铺合成宝石使用</t>
  </si>
  <si>
    <t>fall_hechengfu_2620</t>
  </si>
  <si>
    <t>|cff00FF2620前往铁匠铺合成宝石使用</t>
  </si>
  <si>
    <t>fall_hechengfu_2621</t>
  </si>
  <si>
    <t>|cff00FF2621前往铁匠铺合成宝石使用</t>
  </si>
  <si>
    <t>fall_hechengfu_2622</t>
  </si>
  <si>
    <t>大乘烈阳锻体丹</t>
  </si>
  <si>
    <t>|cff00FF2622前往铁匠铺合成宝石使用</t>
  </si>
  <si>
    <t>fall_hechengfu_2623</t>
  </si>
  <si>
    <t>|cff00FF2623前往铁匠铺合成宝石使用</t>
  </si>
  <si>
    <t>fall_hechengfu_2624</t>
  </si>
  <si>
    <t>|cff00FF2624前往铁匠铺合成宝石使用</t>
  </si>
  <si>
    <t>fall_hechengfu_2625</t>
  </si>
  <si>
    <t>丹方</t>
  </si>
  <si>
    <t>功能_丹方</t>
  </si>
  <si>
    <t>group_id</t>
  </si>
  <si>
    <t>seq</t>
  </si>
  <si>
    <t>op</t>
  </si>
  <si>
    <t>target_id</t>
  </si>
  <si>
    <t>amount</t>
  </si>
  <si>
    <t>duration</t>
  </si>
  <si>
    <t>0效果组ID</t>
  </si>
  <si>
    <t>0组名称</t>
  </si>
  <si>
    <t>0组内序号</t>
  </si>
  <si>
    <t>效果算子</t>
  </si>
  <si>
    <t>0目标ID</t>
  </si>
  <si>
    <t>0数量/强度</t>
  </si>
  <si>
    <t>0持续秒数</t>
  </si>
  <si>
    <t>0策划备注</t>
  </si>
  <si>
    <t>新手礼包</t>
  </si>
  <si>
    <t>功能_客户端效果</t>
  </si>
  <si>
    <t>播放开箱动画（服务端跳过，客户端自己表现）</t>
  </si>
  <si>
    <t>功能_加修为</t>
  </si>
  <si>
    <t>送 50 点修为（单位 1/100 点）</t>
  </si>
  <si>
    <t>直接学会「基础剑术」</t>
  </si>
  <si>
    <t>木质宝箱</t>
  </si>
  <si>
    <t>功能_随机产出</t>
  </si>
  <si>
    <t>按 D掉落方案 里的方案抽 3 次，概率在那张表配</t>
  </si>
  <si>
    <t>回春丹</t>
  </si>
  <si>
    <t>10 秒内共回 800 血；两个参数列服务端不读，客户端自解释</t>
  </si>
  <si>
    <t>附送 20 点修为（这一行才是服务端结算的）</t>
  </si>
  <si>
    <t>内部名</t>
  </si>
  <si>
    <t>编号</t>
  </si>
  <si>
    <t>境界</t>
  </si>
  <si>
    <t>品质</t>
  </si>
  <si>
    <t>颜色</t>
  </si>
  <si>
    <t>从左数起</t>
  </si>
  <si>
    <t>白色</t>
  </si>
  <si>
    <t>第1位</t>
  </si>
  <si>
    <t>固定为3表示物品</t>
  </si>
  <si>
    <t>绿色</t>
  </si>
  <si>
    <t>第2位</t>
  </si>
  <si>
    <t>分大类</t>
  </si>
  <si>
    <t>修为</t>
  </si>
  <si>
    <t>蓝色</t>
  </si>
  <si>
    <t>第3位</t>
  </si>
  <si>
    <t>强化</t>
  </si>
  <si>
    <t>紫色</t>
  </si>
  <si>
    <t>第4位</t>
  </si>
  <si>
    <t>药品</t>
  </si>
  <si>
    <t>橙色</t>
  </si>
  <si>
    <t>第5位</t>
  </si>
  <si>
    <t>本分类下的序号</t>
  </si>
  <si>
    <t>任务</t>
  </si>
  <si>
    <t>红色</t>
  </si>
  <si>
    <t>第6位</t>
  </si>
  <si>
    <t>第7位</t>
  </si>
  <si>
    <t>外观</t>
  </si>
  <si>
    <t>第8位</t>
  </si>
  <si>
    <t>新物品ID编号计算规则=30000000+@INDEX(编号表!$B:$B,MATCH(C3,编号表!$A:$A,0))*10000+E3</t>
  </si>
  <si>
    <t>改动原因：因为现在的道具配置之后，品质有改动的可能，因此暂时把品质对ID的影响取消掉。</t>
  </si>
  <si>
    <t>道具ID必须下拉，使用公式自动生成ID！！！</t>
  </si>
  <si>
    <t>版本</t>
  </si>
  <si>
    <t>说明</t>
  </si>
  <si>
    <t>物品编号从2开头七位改为3开头8位
增加光柱配置</t>
  </si>
  <si>
    <t>掉落模型</t>
  </si>
  <si>
    <t>新增0显示分类DisplayType纯TIPS上显示用</t>
  </si>
  <si>
    <t>更新编号规则，增加颜色对应的品质，对应改物品ID</t>
  </si>
  <si>
    <t>更新图标</t>
  </si>
  <si>
    <t>新增血药蓝药对应功能ID配置</t>
  </si>
  <si>
    <t>新增小极品打造相关道具</t>
  </si>
  <si>
    <t>给小极品打造道具配置图标，临时使用</t>
  </si>
  <si>
    <t>新增双加药</t>
  </si>
  <si>
    <t>新增多种金币和灵符道具，打开获得的数量不同。同时更新道具描述</t>
  </si>
  <si>
    <t>更新掉落物，物品ID增加格式，重复显示红色</t>
  </si>
  <si>
    <t>新增静态边框和动态边框的配置项</t>
  </si>
  <si>
    <t>新增铭文ICON编号和对应掉落物模型，修改34040043为道神纹</t>
  </si>
  <si>
    <t>编号里新增了一类任务，对应新增的任务物品的大类颜色和序号都改了，对应物品的ID也变了</t>
  </si>
  <si>
    <t>对ID规则进行改动，在ID编号的计算中删掉了品质的影响。铭文使用新的ID计算规则计算，其他的老物品ID不变，删掉ID编号规则，直接粘贴老的ID</t>
  </si>
  <si>
    <t>新增一类外观道具</t>
  </si>
  <si>
    <t>item_effect_config 字段说明</t>
  </si>
  <si>
    <t>一行一个效果，同一个 group_id 的多行构成一组。只有 W物品表 里 function_type=功能_多效果组 的物品才需要在这里建组。</t>
  </si>
  <si>
    <t>字段</t>
  </si>
  <si>
    <t>类型</t>
  </si>
  <si>
    <t>必填</t>
  </si>
  <si>
    <t>是</t>
  </si>
  <si>
    <t>效果组 ID。W物品表 的 function_id 指向它。同组多行共用同一个值。建议用 5xxxx 独立号段，避免和物品 ID 混淆。</t>
  </si>
  <si>
    <t>组名称</t>
  </si>
  <si>
    <t>—</t>
  </si>
  <si>
    <t>否</t>
  </si>
  <si>
    <t>辅助列，不导出。写给人看的组名，方便在表里定位。只需在每组第一行填。</t>
  </si>
  <si>
    <t>组内序号，从 1 开始、同组内唯一且连续，决定结算顺序。
注意：本项目所有序号/槽位一律从 1 起，0 是「漏填」的哨兵值，填 0 会被判为非法。</t>
  </si>
  <si>
    <t>效果算子，填中文别名（见「效果算子对照」）。
与 W物品表 的 function_type 共用同一个枚举——同一个别名在两处含义完全相同，区别只是「写在物品表里」还是「写在效果组里」。
组里不能填「功能_无」和「功能_多效果组」，那两个只在物品表用。</t>
  </si>
  <si>
    <t>目标 ID，含义由 op 决定（技能 ID / 币种 / 物品 ID / 掉落方案 ID）。该算子不需要时填 0。</t>
  </si>
  <si>
    <t>数量或强度，含义由 op 决定。不需要时填 0。</t>
  </si>
  <si>
    <t>持续秒数，0 = 瞬时。
这是物品表那三列给不了的东西，也是很多物品必须转成效果组的唯一原因。
目前只有「功能_客户端效果」会用到；其余算子填 0。</t>
  </si>
  <si>
    <t>策划备注</t>
  </si>
  <si>
    <t>辅助列，不导出。写清楚这一行是干什么的，方便日后 review。</t>
  </si>
  <si>
    <t>为什么参数列是 target_id / amount / duration 这种固定三列</t>
  </si>
  <si>
    <t>通用做法有两种：一种是「算子 + 变长参数数组」（表达力无限，但完全丢语义，只能运行时校验）；一种是固定宽表（语义清楚，但列名对某些算子不完全贴切）。本表取后者——考虑到你们已经在用中文别名填表，可读性权重更高。
代价是极少数算子会觉得列名不贴切（比如「功能_随机产出」的 amount 其实是「抽几次」），用备注列补充即可。</t>
  </si>
  <si>
    <t>随机产出不在这张表里配概率</t>
  </si>
  <si>
    <t>宝箱、随机礼包一律用「功能_随机产出」指向 D掉落方案.xlsx 里的方案 ID。那张表已经有「按概率 / 按个数和概率可重复 / 按个数和概率不可重复」三种方式和逐项概率。
所以本表每一行都是必定生效，没有概率列。两套概率语义并存会出严重问题：逐行独立概率表达不了「80% 出 A、20% 出 B」这种互斥，策划照着填会得到「有时两个都出、有时一个都不出」。</t>
  </si>
  <si>
    <t>🔴 硬约束：账号共享货币不能和别的效果同组</t>
  </si>
  <si>
    <t>账号共享货币写的是账号数据，其余效果写的是角色数据，分属不同的存储聚合，没有共同事务，无法保证一起成功或一起失败。所以一个组里出现「加账号共享货币」时，该组不得再有任何其它行。
直接后果：「金币 100 + 灵符 5」这种双币礼包现在做不了，服务端启动校验会拦。等跨聚合方案落地再放开。</t>
  </si>
  <si>
    <t>ItemFunctionType 枚举对照表</t>
  </si>
  <si>
    <t>同一个枚举同时用在两处：W物品表.function_type（单效果内联）和 本表.op（多效果组里的一行）。绿底 = 服务端已实现，可以填；灰底 = 已规划但未实现，填了服务端启动会失败。</t>
  </si>
  <si>
    <t>填写值（中文别名）</t>
  </si>
  <si>
    <t>程序内部名</t>
  </si>
  <si>
    <t>数值</t>
  </si>
  <si>
    <t>含义</t>
  </si>
  <si>
    <t>target_id / function_id</t>
  </si>
  <si>
    <t>amount / function_value</t>
  </si>
  <si>
    <t>状态</t>
  </si>
  <si>
    <t>功能_无</t>
  </si>
  <si>
    <t>None</t>
  </si>
  <si>
    <t>不可使用</t>
  </si>
  <si>
    <t>0</t>
  </si>
  <si>
    <t>✅ 已实现</t>
  </si>
  <si>
    <t>只用在物品表，效果组里不能填。装备、材料、系统凭证、外观等一切不能通过背包使用的物品都填它。程序对它一律拒绝使用请求——这条兜底是防止装备被误当消耗品删掉，所以拿不准就填它。</t>
  </si>
  <si>
    <t>ClientEffect</t>
  </si>
  <si>
    <t>可使用，效果由客户端表现</t>
  </si>
  <si>
    <t>客户端自定</t>
  </si>
  <si>
    <t>回血、回蓝、加 buff、特效、动画……一切服务端不需要参与的效果，全部填这一个。
服务端行为：扣掉数量 → 写物品流水 → 返回成功。客户端收到成功后自己表现。
三个参数列服务端完全不读取、不校验、不解释，客户端按自己的规则用（现有药品 function_id 里的 21xxxxxx 号段保持原样即可，不用迁）。
为什么不给回血/回蓝/加 buff 各配一个值：本作战斗数值是客户端自己算的，服务端连玩家血量都不知道，对这些效果的行为永远是同一个。分开配只会让策划每加一种客户端效果，服务端就得跟着改代码。</t>
  </si>
  <si>
    <t>SkillBook</t>
  </si>
  <si>
    <t>学技能</t>
  </si>
  <si>
    <t>技能配置行 ID</t>
  </si>
  <si>
    <t>服务端会校验技能是否存在、是否已学会、栏位是否已满。已学会的重复使用会被拒绝，道具不扣。</t>
  </si>
  <si>
    <t>AddCurrency</t>
  </si>
  <si>
    <t>加货币</t>
  </si>
  <si>
    <t>币种：1=角色级 / 2=账号共享</t>
  </si>
  <si>
    <t>数量（正整数）</t>
  </si>
  <si>
    <t>⏳ 未实现</t>
  </si>
  <si>
    <t>等钱包模块做完再开放。注意：货币道具拾取时不直接进钱包，先作为道具占背包格，使用时才入钱包。</t>
  </si>
  <si>
    <t>AddCult</t>
  </si>
  <si>
    <t>加修为</t>
  </si>
  <si>
    <t>修为量，单位 1/100 点（填 2000 = 20 点）</t>
  </si>
  <si>
    <t>只加修为，不加等级。等级只能由玩家点击突破获得，配置里不开加等级的口子。</t>
  </si>
  <si>
    <t>功能_加物品</t>
  </si>
  <si>
    <t>AddItem</t>
  </si>
  <si>
    <t>加物品</t>
  </si>
  <si>
    <t>物品 ID</t>
  </si>
  <si>
    <t>固定发放某件物品。要随机发放用「功能_随机产出」。背包放不下时整个使用失败、道具不扣，不做部分发放。</t>
  </si>
  <si>
    <t>DropRoll</t>
  </si>
  <si>
    <t>随机产出</t>
  </si>
  <si>
    <t>D掉落方案 的方案 ID</t>
  </si>
  <si>
    <t>抽取次数（0 或 1 都按 1 次）</t>
  </si>
  <si>
    <t>宝箱、随机礼包。概率、可否重复、产出条数全在掉落方案里配，这里只填指向哪个方案。</t>
  </si>
  <si>
    <t>EffectGroup</t>
  </si>
  <si>
    <t>转到效果组</t>
  </si>
  <si>
    <t>本表的 group_id</t>
  </si>
  <si>
    <t>只用在物品表，效果组里不能填。一个物品要触发多个效果、或某个效果需要持续时间时用。</t>
  </si>
  <si>
    <t>填表决策就三步：不能用 → 功能_无；能用但服务端不用管 → 功能_客户端效果；服务端要发东西 / 要改存档 → 查上表找对应值。</t>
  </si>
  <si>
    <t>🔴 枚举纪律：任何值一经确定，禁止重排、禁止改含义、禁止复用废弃的值，新增一律追加。配置表和服务端代码是两边独立发布的，重排数值会造成静默串号（比如「学技能」变成「加货币」），而且不报任何错。要废弃某个值，标停用即可，数值永久保留。</t>
  </si>
  <si>
    <t>接入步骤：要往三个元表里加什么</t>
  </si>
  <si>
    <t>本表建好后还不能导出，需要在 __enums__.xlsx 注册枚举、在 __tables__.xlsx 注册表。以下是要加的确切内容，照抄即可。</t>
  </si>
  <si>
    <t>第 1 步 · __enums__.xlsx 追加枚举 ItemFunctionType</t>
  </si>
  <si>
    <t>首行填 full_name=ItemFunctionType、flags=False、unique=True、group 留空、comment=物品功能类型；后续行只填右侧的 name / alias / value / comment 四列（与现有 DropType、ItemQuality 的写法一致）。</t>
  </si>
  <si>
    <t>full_name</t>
  </si>
  <si>
    <t>flags</t>
  </si>
  <si>
    <t>unique</t>
  </si>
  <si>
    <t>group</t>
  </si>
  <si>
    <t>comment</t>
  </si>
  <si>
    <t>*items name</t>
  </si>
  <si>
    <t>alias</t>
  </si>
  <si>
    <t>value</t>
  </si>
  <si>
    <t>False</t>
  </si>
  <si>
    <t>True</t>
  </si>
  <si>
    <t/>
  </si>
  <si>
    <t>物品功能类型</t>
  </si>
  <si>
    <t>加货币（未实现）</t>
  </si>
  <si>
    <t>加修为（未实现）</t>
  </si>
  <si>
    <t>加物品（未实现）</t>
  </si>
  <si>
    <t>按掉落方案随机产出（未实现）</t>
  </si>
  <si>
    <t>转到 item_effect_config（未实现）</t>
  </si>
  <si>
    <t>服务端只扣数量返回成功，效果由客户端表现</t>
  </si>
  <si>
    <t>第 2 步 · __tables__.xlsx 追加一行</t>
  </si>
  <si>
    <t>index 留空 + mode=list：本表没有单一主键，服务端加载后自行按 group_id 分组建索引。
group 留空 = 客户端和服务端都导出（客户端要读「功能_客户端效果」那些行，服务端要读其余行）。</t>
  </si>
  <si>
    <t>value_type</t>
  </si>
  <si>
    <t>read_schema_from_file</t>
  </si>
  <si>
    <t>input</t>
  </si>
  <si>
    <t>index</t>
  </si>
  <si>
    <t>mode</t>
  </si>
  <si>
    <t>output</t>
  </si>
  <si>
    <t>TbItemEffectConfig</t>
  </si>
  <si>
    <t>ItemEffectConfig</t>
  </si>
  <si>
    <t>item_effect_config@W物品效果表.xlsx</t>
  </si>
  <si>
    <t>（留空）</t>
  </si>
  <si>
    <t>list</t>
  </si>
  <si>
    <t>物品使用效果组</t>
  </si>
  <si>
    <t>item_effect_config</t>
  </si>
  <si>
    <t>第 3 步 · W物品表.xlsx 把 function_type 列的类型改掉</t>
  </si>
  <si>
    <t>##type 行：把 function_type 那一列从 string 改成 ItemFunctionType。function_id / function_value 两列不动。
⚠ 改完那一刻，现有 167 行里所有 function_type 的值都必须是上面注册过的中文别名，否则导表直接失败。
现存的「货币_金币」「药品_加血」「系统_铭文」等 21 个自由中文串全都不是合法别名。
最快的过渡办法：整列先批量填「功能_无」，再把确实要能用的几十个物品逐个改成对应别名。</t>
  </si>
  <si>
    <t>第 4 步 · 通知服务端</t>
  </si>
  <si>
    <t>服务端要同步改判定逻辑：现在是靠「以『药品_』开头就算可使用」这种前缀匹配猜出来的，改成读枚举。这一步之前，新的中文别名服务端认不出来。</t>
  </si>
  <si>
    <t>更新说明</t>
  </si>
  <si>
    <t>日期</t>
  </si>
  <si>
    <t>内容</t>
  </si>
  <si>
    <t>2026-08-08</t>
  </si>
  <si>
    <t>初版</t>
  </si>
  <si>
    <t>新建 item_effect_config 表，用于「一个物品触发多个效果」的场景。
同时把 W物品表.function_type 从自由中文串改成枚举 ItemFunctionType，两处共用同一个枚举。
改动理由：服务端需要知道「这个物品能不能被使用」，而这个事实现在是靠中文串前缀猜的——策划把某个丹药写成「丹药_解毒」，它就静默变成不可使用，不报错、不告警，玩家点了没反应。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</si>
</sst>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3"/>
      <name val="微软雅黑"/>
      <charset val="134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10"/>
      <color rgb="FF808080"/>
      <name val="微软雅黑"/>
      <charset val="134"/>
    </font>
    <font>
      <b/>
      <sz val="10"/>
      <name val="微软雅黑"/>
      <charset val="134"/>
    </font>
    <font>
      <b/>
      <sz val="10"/>
      <color rgb="FFC00000"/>
      <name val="微软雅黑"/>
      <charset val="134"/>
    </font>
    <font>
      <sz val="36"/>
      <color rgb="FFFF0000"/>
      <name val="微软雅黑"/>
      <charset val="134"/>
    </font>
    <font>
      <sz val="9"/>
      <color rgb="FFFF0000"/>
      <name val="微软雅黑"/>
      <charset val="134"/>
    </font>
    <font>
      <sz val="10"/>
      <color rgb="FF0000FF"/>
      <name val="微软雅黑"/>
      <charset val="134"/>
    </font>
    <font>
      <sz val="10"/>
      <color rgb="FF000000"/>
      <name val="微软雅黑"/>
      <charset val="134"/>
    </font>
    <font>
      <sz val="10"/>
      <name val="宋体"/>
      <charset val="134"/>
    </font>
    <font>
      <sz val="11"/>
      <name val="Carlito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微软雅黑"/>
      <charset val="134"/>
    </font>
  </fonts>
  <fills count="40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" fillId="10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5" applyNumberFormat="0" applyAlignment="0" applyProtection="0">
      <alignment vertical="center"/>
    </xf>
    <xf numFmtId="0" fontId="23" fillId="5" borderId="6" applyNumberFormat="0" applyAlignment="0" applyProtection="0">
      <alignment vertical="center"/>
    </xf>
    <xf numFmtId="0" fontId="24" fillId="5" borderId="5" applyNumberFormat="0" applyAlignment="0" applyProtection="0">
      <alignment vertical="center"/>
    </xf>
    <xf numFmtId="0" fontId="25" fillId="12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13" fillId="0" borderId="0"/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6" fillId="3" borderId="0" xfId="0" applyFont="1" applyFill="1" applyAlignment="1"/>
    <xf numFmtId="0" fontId="4" fillId="0" borderId="0" xfId="0" applyFont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6" fillId="0" borderId="0" xfId="0" applyFont="1" applyAlignment="1"/>
    <xf numFmtId="0" fontId="7" fillId="0" borderId="0" xfId="0" applyFont="1" applyAlignment="1"/>
    <xf numFmtId="0" fontId="0" fillId="0" borderId="0" xfId="0" applyAlignment="1">
      <alignment vertical="center" wrapText="1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8" fillId="6" borderId="0" xfId="0" applyFont="1" applyFill="1">
      <alignment vertical="center"/>
    </xf>
    <xf numFmtId="0" fontId="9" fillId="0" borderId="0" xfId="0" applyFont="1">
      <alignment vertical="center"/>
    </xf>
    <xf numFmtId="0" fontId="3" fillId="7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/>
    <xf numFmtId="0" fontId="10" fillId="0" borderId="1" xfId="0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vertical="top" wrapText="1"/>
    </xf>
    <xf numFmtId="0" fontId="0" fillId="9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3" fillId="0" borderId="0" xfId="49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2" xfId="5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rgb="FF92D050"/>
  </sheetPr>
  <dimension ref="A1:AH4737"/>
  <sheetViews>
    <sheetView tabSelected="1" topLeftCell="B1" workbookViewId="0">
      <pane xSplit="3" ySplit="4" topLeftCell="E4691" activePane="bottomRight" state="frozen"/>
      <selection/>
      <selection pane="topRight"/>
      <selection pane="bottomLeft"/>
      <selection pane="bottomRight" activeCell="F4742" sqref="F4742"/>
    </sheetView>
  </sheetViews>
  <sheetFormatPr defaultColWidth="9" defaultRowHeight="14.25"/>
  <cols>
    <col min="1" max="1" width="9.54285714285714" style="14" customWidth="1"/>
    <col min="2" max="2" width="12" style="14" customWidth="1"/>
    <col min="3" max="3" width="16.7142857142857" style="14" customWidth="1"/>
    <col min="4" max="4" width="11.2666666666667" style="14" customWidth="1"/>
    <col min="5" max="5" width="10.6285714285714" style="14" customWidth="1"/>
    <col min="6" max="6" width="12" style="14" customWidth="1"/>
    <col min="7" max="7" width="7.72380952380952" style="14" customWidth="1"/>
    <col min="8" max="9" width="10.6285714285714" style="14" customWidth="1"/>
    <col min="10" max="10" width="14" style="14" customWidth="1"/>
    <col min="11" max="11" width="10.7238095238095" style="14" customWidth="1"/>
    <col min="12" max="12" width="13" style="14" customWidth="1"/>
    <col min="13" max="14" width="13.1809523809524" style="14" customWidth="1"/>
    <col min="15" max="16" width="17.6285714285714" style="14" customWidth="1"/>
    <col min="17" max="17" width="13.8190476190476" style="14" customWidth="1"/>
    <col min="18" max="18" width="9.54285714285714" style="14" customWidth="1"/>
    <col min="19" max="19" width="13.8190476190476" style="14" customWidth="1"/>
    <col min="20" max="20" width="18.4571428571429" style="14" customWidth="1"/>
    <col min="21" max="21" width="15.1809523809524" style="14" customWidth="1"/>
    <col min="22" max="22" width="14.0857142857143" style="14" customWidth="1"/>
    <col min="23" max="23" width="41.5428571428571" style="14" customWidth="1"/>
    <col min="24" max="24" width="35" style="14" customWidth="1"/>
    <col min="25" max="25" width="30.6285714285714" style="14" customWidth="1"/>
    <col min="26" max="26" width="38.0857142857143" style="14" customWidth="1"/>
    <col min="27" max="27" width="33.9047619047619" style="14" customWidth="1"/>
    <col min="28" max="28" width="29" style="14" customWidth="1"/>
    <col min="29" max="29" width="12.8190476190476" style="14" customWidth="1"/>
    <col min="30" max="30" width="9" style="14" customWidth="1"/>
    <col min="31" max="31" width="13" style="14" customWidth="1"/>
    <col min="32" max="32" width="9" style="14" customWidth="1"/>
    <col min="33" max="16384" width="9" style="14"/>
  </cols>
  <sheetData>
    <row r="1" spans="1:34">
      <c r="A1" s="14" t="s">
        <v>0</v>
      </c>
      <c r="B1" s="14" t="s">
        <v>1</v>
      </c>
      <c r="C1" s="14" t="s">
        <v>2</v>
      </c>
      <c r="D1" s="14" t="s">
        <v>3</v>
      </c>
      <c r="E1" s="25"/>
      <c r="F1" s="25"/>
      <c r="G1" s="25" t="s">
        <v>4</v>
      </c>
      <c r="H1" s="25"/>
      <c r="I1" s="14" t="s">
        <v>5</v>
      </c>
      <c r="J1" s="14" t="s">
        <v>6</v>
      </c>
      <c r="K1" s="14" t="s">
        <v>7</v>
      </c>
      <c r="L1" s="14" t="s">
        <v>8</v>
      </c>
      <c r="M1" s="14" t="s">
        <v>9</v>
      </c>
      <c r="N1" s="14" t="s">
        <v>10</v>
      </c>
      <c r="O1" s="14" t="s">
        <v>11</v>
      </c>
      <c r="P1" s="26" t="s">
        <v>12</v>
      </c>
      <c r="Q1" s="14" t="s">
        <v>13</v>
      </c>
      <c r="R1" s="14" t="s">
        <v>14</v>
      </c>
      <c r="S1" s="14" t="s">
        <v>15</v>
      </c>
      <c r="T1" s="14" t="s">
        <v>16</v>
      </c>
      <c r="U1" s="14" t="s">
        <v>17</v>
      </c>
      <c r="V1" s="14" t="s">
        <v>18</v>
      </c>
      <c r="W1" s="14" t="s">
        <v>19</v>
      </c>
      <c r="X1" s="14" t="s">
        <v>20</v>
      </c>
      <c r="Y1" s="14" t="s">
        <v>21</v>
      </c>
      <c r="Z1" s="14" t="s">
        <v>22</v>
      </c>
      <c r="AA1" s="14" t="s">
        <v>23</v>
      </c>
      <c r="AB1" s="14" t="s">
        <v>24</v>
      </c>
      <c r="AC1" s="14" t="s">
        <v>25</v>
      </c>
      <c r="AD1" s="14" t="s">
        <v>26</v>
      </c>
      <c r="AE1" s="14" t="s">
        <v>27</v>
      </c>
    </row>
    <row r="2" spans="1:34">
      <c r="A2" s="14" t="s">
        <v>28</v>
      </c>
      <c r="B2" s="14" t="s">
        <v>29</v>
      </c>
      <c r="C2" s="14" t="s">
        <v>30</v>
      </c>
      <c r="D2" s="27" t="s">
        <v>31</v>
      </c>
      <c r="E2" s="25"/>
      <c r="F2" s="25"/>
      <c r="G2" s="25" t="s">
        <v>29</v>
      </c>
      <c r="H2" s="25"/>
      <c r="I2" s="14" t="s">
        <v>30</v>
      </c>
      <c r="J2" s="14" t="s">
        <v>30</v>
      </c>
      <c r="K2" s="14" t="s">
        <v>29</v>
      </c>
      <c r="L2" s="14" t="s">
        <v>32</v>
      </c>
      <c r="M2" s="14" t="s">
        <v>29</v>
      </c>
      <c r="N2" s="14" t="s">
        <v>29</v>
      </c>
      <c r="O2" s="14" t="s">
        <v>33</v>
      </c>
      <c r="P2" s="26" t="s">
        <v>33</v>
      </c>
      <c r="Q2" s="14" t="s">
        <v>33</v>
      </c>
      <c r="R2" s="14" t="s">
        <v>29</v>
      </c>
      <c r="S2" s="14" t="s">
        <v>30</v>
      </c>
      <c r="T2" s="14" t="s">
        <v>29</v>
      </c>
      <c r="U2" s="14" t="s">
        <v>34</v>
      </c>
      <c r="V2" s="14" t="s">
        <v>29</v>
      </c>
      <c r="W2" s="14" t="s">
        <v>29</v>
      </c>
      <c r="X2" s="14" t="s">
        <v>30</v>
      </c>
      <c r="Y2" s="14" t="s">
        <v>30</v>
      </c>
      <c r="Z2" s="14" t="s">
        <v>29</v>
      </c>
      <c r="AA2" s="14" t="s">
        <v>30</v>
      </c>
      <c r="AB2" s="14" t="s">
        <v>29</v>
      </c>
      <c r="AC2" s="14" t="s">
        <v>29</v>
      </c>
      <c r="AD2" s="14" t="s">
        <v>29</v>
      </c>
      <c r="AE2" s="14" t="s">
        <v>35</v>
      </c>
    </row>
    <row r="3" spans="1:34">
      <c r="A3" s="14" t="s">
        <v>36</v>
      </c>
      <c r="C3" s="14" t="s">
        <v>37</v>
      </c>
      <c r="E3" s="25"/>
      <c r="F3" s="25"/>
      <c r="G3" s="25"/>
      <c r="H3" s="25"/>
      <c r="Q3" s="14" t="s">
        <v>37</v>
      </c>
      <c r="X3" s="14" t="s">
        <v>37</v>
      </c>
      <c r="Y3" s="14" t="s">
        <v>37</v>
      </c>
      <c r="Z3" s="14" t="s">
        <v>37</v>
      </c>
      <c r="AA3" s="14" t="s">
        <v>37</v>
      </c>
      <c r="AB3" s="14" t="s">
        <v>37</v>
      </c>
      <c r="AC3" s="14" t="s">
        <v>37</v>
      </c>
      <c r="AD3" s="14" t="s">
        <v>37</v>
      </c>
    </row>
    <row r="4" spans="1:34">
      <c r="A4" s="14" t="s">
        <v>38</v>
      </c>
      <c r="B4" s="14" t="s">
        <v>39</v>
      </c>
      <c r="C4" s="14" t="s">
        <v>40</v>
      </c>
      <c r="D4" s="14" t="s">
        <v>41</v>
      </c>
      <c r="E4" s="25" t="s">
        <v>42</v>
      </c>
      <c r="F4" s="25" t="s">
        <v>43</v>
      </c>
      <c r="G4" s="25" t="s">
        <v>44</v>
      </c>
      <c r="H4" s="25" t="s">
        <v>45</v>
      </c>
      <c r="I4" s="14" t="s">
        <v>45</v>
      </c>
      <c r="J4" s="14" t="s">
        <v>46</v>
      </c>
      <c r="K4" s="14" t="s">
        <v>47</v>
      </c>
      <c r="L4" s="14" t="s">
        <v>48</v>
      </c>
      <c r="M4" s="14" t="s">
        <v>49</v>
      </c>
      <c r="N4" s="14" t="s">
        <v>50</v>
      </c>
      <c r="O4" s="14" t="s">
        <v>51</v>
      </c>
      <c r="P4" s="26" t="s">
        <v>52</v>
      </c>
      <c r="Q4" s="14" t="s">
        <v>53</v>
      </c>
      <c r="R4" s="14" t="s">
        <v>54</v>
      </c>
      <c r="S4" s="14" t="s">
        <v>55</v>
      </c>
      <c r="T4" s="14" t="s">
        <v>56</v>
      </c>
      <c r="U4" s="14" t="s">
        <v>57</v>
      </c>
      <c r="V4" s="14" t="s">
        <v>58</v>
      </c>
      <c r="W4" s="14" t="s">
        <v>59</v>
      </c>
      <c r="X4" s="14" t="s">
        <v>60</v>
      </c>
      <c r="Y4" s="14" t="s">
        <v>61</v>
      </c>
      <c r="Z4" s="14" t="s">
        <v>62</v>
      </c>
      <c r="AA4" s="14" t="s">
        <v>63</v>
      </c>
      <c r="AB4" s="14" t="s">
        <v>64</v>
      </c>
      <c r="AC4" s="14" t="s">
        <v>65</v>
      </c>
      <c r="AD4" s="14" t="s">
        <v>66</v>
      </c>
      <c r="AE4" s="14" t="s">
        <v>67</v>
      </c>
      <c r="AF4" s="14" t="s">
        <v>68</v>
      </c>
      <c r="AG4" s="14" t="s">
        <v>69</v>
      </c>
      <c r="AH4" s="14" t="s">
        <v>70</v>
      </c>
    </row>
    <row r="5" spans="1:34">
      <c r="B5" s="14">
        <f>10000000+INDEX(编号表!$B:$B,MATCH(H5,编号表!$A:$A,0))*100000+INDEX(编号表!$F:$F,MATCH(D5,编号表!$E:$E,0))*10000+INDEX(编号表!$D:$D,MATCH(AG5,编号表!$C:$C,0))*1000+F5</f>
        <v>10111001</v>
      </c>
      <c r="C5" s="14" t="s">
        <v>71</v>
      </c>
      <c r="D5" s="14" t="s">
        <v>72</v>
      </c>
      <c r="E5" s="14" t="s">
        <v>73</v>
      </c>
      <c r="F5" s="14">
        <v>1</v>
      </c>
      <c r="G5" s="14">
        <v>60</v>
      </c>
      <c r="H5" s="14" t="s">
        <v>74</v>
      </c>
      <c r="I5" s="14" t="s">
        <v>75</v>
      </c>
      <c r="J5" s="14" t="s">
        <v>76</v>
      </c>
      <c r="K5" s="14">
        <v>1</v>
      </c>
      <c r="L5" s="14" t="s">
        <v>74</v>
      </c>
      <c r="N5" s="14">
        <v>0</v>
      </c>
      <c r="O5" s="14" t="b">
        <v>0</v>
      </c>
      <c r="Q5" s="14" t="b">
        <v>0</v>
      </c>
      <c r="R5" s="14">
        <v>1</v>
      </c>
      <c r="S5" s="14" t="s">
        <v>77</v>
      </c>
      <c r="T5" s="14">
        <v>999</v>
      </c>
      <c r="U5" s="14" t="s">
        <v>78</v>
      </c>
      <c r="V5" s="14">
        <v>1</v>
      </c>
      <c r="W5" s="14">
        <v>50</v>
      </c>
      <c r="X5" s="14" t="str">
        <f>"|cff00FF00"&amp;C5&amp;"，打开后可以获得"&amp;W5&amp;"金币。"</f>
        <v>|cff00FF00一小袋金币，打开后可以获得50金币。</v>
      </c>
      <c r="Y5" s="14" t="s">
        <v>79</v>
      </c>
      <c r="Z5" s="14">
        <v>20001</v>
      </c>
      <c r="AA5" s="14" t="s">
        <v>80</v>
      </c>
      <c r="AB5" s="14">
        <v>40001</v>
      </c>
      <c r="AE5" s="14" t="s">
        <v>74</v>
      </c>
      <c r="AF5" s="14" t="s">
        <v>81</v>
      </c>
      <c r="AG5" s="14" t="s">
        <v>73</v>
      </c>
    </row>
    <row r="6" spans="1:34">
      <c r="B6" s="14">
        <f>10000000+INDEX(编号表!$B:$B,MATCH(H6,编号表!$A:$A,0))*100000+INDEX(编号表!$F:$F,MATCH(D6,编号表!$E:$E,0))*10000+INDEX(编号表!$D:$D,MATCH(AG6,编号表!$C:$C,0))*1000+F6</f>
        <v>10111002</v>
      </c>
      <c r="C6" s="14" t="s">
        <v>82</v>
      </c>
      <c r="D6" s="14" t="s">
        <v>72</v>
      </c>
      <c r="E6" s="14" t="s">
        <v>73</v>
      </c>
      <c r="F6" s="14">
        <v>2</v>
      </c>
      <c r="G6" s="14">
        <v>60</v>
      </c>
      <c r="H6" s="14" t="s">
        <v>74</v>
      </c>
      <c r="I6" s="14" t="s">
        <v>75</v>
      </c>
      <c r="J6" s="14" t="s">
        <v>76</v>
      </c>
      <c r="K6" s="14">
        <v>2</v>
      </c>
      <c r="L6" s="14" t="s">
        <v>74</v>
      </c>
      <c r="N6" s="14">
        <v>0</v>
      </c>
      <c r="O6" s="14" t="b">
        <v>0</v>
      </c>
      <c r="Q6" t="b">
        <v>0</v>
      </c>
      <c r="R6" s="14">
        <v>1</v>
      </c>
      <c r="S6" s="14" t="s">
        <v>77</v>
      </c>
      <c r="T6" s="14">
        <v>999</v>
      </c>
      <c r="U6" s="14" t="s">
        <v>78</v>
      </c>
      <c r="V6" s="14">
        <v>2</v>
      </c>
      <c r="W6" s="14">
        <v>5</v>
      </c>
      <c r="X6" s="14" t="str">
        <f>"|cff00FF00"&amp;C6&amp;"，打开后可以获得"&amp;W6&amp;"灵符。"</f>
        <v>|cff00FF00一小袋灵符，打开后可以获得5灵符。</v>
      </c>
      <c r="Y6" s="14" t="s">
        <v>79</v>
      </c>
      <c r="Z6" s="14">
        <v>20001</v>
      </c>
      <c r="AA6" s="14" t="s">
        <v>83</v>
      </c>
      <c r="AB6" s="14">
        <v>40001</v>
      </c>
      <c r="AE6" s="14" t="s">
        <v>74</v>
      </c>
      <c r="AF6" s="14" t="s">
        <v>84</v>
      </c>
      <c r="AG6" s="14" t="s">
        <v>73</v>
      </c>
    </row>
    <row r="7" spans="1:34">
      <c r="B7" s="14">
        <f>10000000+INDEX(编号表!$B:$B,MATCH(H7,编号表!$A:$A,0))*100000+INDEX(编号表!$F:$F,MATCH(D7,编号表!$E:$E,0))*10000+INDEX(编号表!$D:$D,MATCH(AG7,编号表!$C:$C,0))*1000+F7</f>
        <v>10112003</v>
      </c>
      <c r="C7" s="14" t="s">
        <v>85</v>
      </c>
      <c r="D7" s="14" t="s">
        <v>72</v>
      </c>
      <c r="E7" s="14" t="s">
        <v>86</v>
      </c>
      <c r="F7" s="14">
        <v>3</v>
      </c>
      <c r="G7" s="14">
        <v>60</v>
      </c>
      <c r="H7" s="14" t="s">
        <v>74</v>
      </c>
      <c r="I7" s="14" t="s">
        <v>75</v>
      </c>
      <c r="J7" s="14" t="s">
        <v>76</v>
      </c>
      <c r="K7" s="14">
        <v>3</v>
      </c>
      <c r="L7" s="14" t="s">
        <v>74</v>
      </c>
      <c r="N7" s="14">
        <v>0</v>
      </c>
      <c r="O7" s="14" t="b">
        <v>0</v>
      </c>
      <c r="Q7" s="14" t="b">
        <v>0</v>
      </c>
      <c r="R7" s="14">
        <v>1</v>
      </c>
      <c r="S7" s="14" t="s">
        <v>77</v>
      </c>
      <c r="T7" s="14">
        <v>999</v>
      </c>
      <c r="W7" s="14">
        <v>100</v>
      </c>
      <c r="X7" s="14" t="str">
        <f>"|cff00FF00"&amp;C7&amp;"，打开后可以获得"&amp;W7&amp;"金币。"</f>
        <v>|cff00FF00一袋金币，打开后可以获得100金币。</v>
      </c>
      <c r="Y7" s="14" t="s">
        <v>79</v>
      </c>
      <c r="Z7" s="14">
        <v>20001</v>
      </c>
      <c r="AA7" s="14" t="s">
        <v>80</v>
      </c>
      <c r="AB7" s="14">
        <v>40001</v>
      </c>
      <c r="AE7" s="14" t="s">
        <v>74</v>
      </c>
      <c r="AF7" s="14" t="s">
        <v>81</v>
      </c>
      <c r="AG7" s="14" t="s">
        <v>86</v>
      </c>
    </row>
    <row r="8" spans="1:34">
      <c r="B8" s="14">
        <f>10000000+INDEX(编号表!$B:$B,MATCH(H8,编号表!$A:$A,0))*100000+INDEX(编号表!$F:$F,MATCH(D8,编号表!$E:$E,0))*10000+INDEX(编号表!$D:$D,MATCH(AG8,编号表!$C:$C,0))*1000+F8</f>
        <v>10112004</v>
      </c>
      <c r="C8" s="14" t="s">
        <v>87</v>
      </c>
      <c r="D8" s="14" t="s">
        <v>72</v>
      </c>
      <c r="E8" s="14" t="s">
        <v>86</v>
      </c>
      <c r="F8" s="14">
        <v>4</v>
      </c>
      <c r="G8" s="14">
        <v>60</v>
      </c>
      <c r="H8" s="14" t="s">
        <v>74</v>
      </c>
      <c r="I8" s="14" t="s">
        <v>75</v>
      </c>
      <c r="J8" s="14" t="s">
        <v>76</v>
      </c>
      <c r="K8" s="14">
        <v>4</v>
      </c>
      <c r="L8" s="14" t="s">
        <v>74</v>
      </c>
      <c r="N8" s="14">
        <v>0</v>
      </c>
      <c r="O8" s="14" t="b">
        <v>0</v>
      </c>
      <c r="Q8" t="b">
        <v>0</v>
      </c>
      <c r="R8" s="14">
        <v>1</v>
      </c>
      <c r="S8" s="14" t="s">
        <v>77</v>
      </c>
      <c r="T8" s="14">
        <v>999</v>
      </c>
      <c r="W8" s="14">
        <v>10</v>
      </c>
      <c r="X8" s="14" t="str">
        <f>"|cff00FF00"&amp;C8&amp;"，打开后可以获得"&amp;W8&amp;"灵符。"</f>
        <v>|cff00FF00一袋灵符，打开后可以获得10灵符。</v>
      </c>
      <c r="Y8" s="14" t="s">
        <v>79</v>
      </c>
      <c r="Z8" s="14">
        <v>20001</v>
      </c>
      <c r="AA8" s="14" t="s">
        <v>83</v>
      </c>
      <c r="AB8" s="14">
        <v>40001</v>
      </c>
      <c r="AE8" s="14" t="s">
        <v>74</v>
      </c>
      <c r="AF8" s="14" t="s">
        <v>84</v>
      </c>
      <c r="AG8" s="14" t="s">
        <v>86</v>
      </c>
    </row>
    <row r="9" spans="1:34">
      <c r="B9" s="14">
        <f>10000000+INDEX(编号表!$B:$B,MATCH(H9,编号表!$A:$A,0))*100000+INDEX(编号表!$F:$F,MATCH(D9,编号表!$E:$E,0))*10000+INDEX(编号表!$D:$D,MATCH(AG9,编号表!$C:$C,0))*1000+F9</f>
        <v>10113005</v>
      </c>
      <c r="C9" s="14" t="s">
        <v>88</v>
      </c>
      <c r="D9" s="14" t="s">
        <v>72</v>
      </c>
      <c r="E9" t="s">
        <v>89</v>
      </c>
      <c r="F9" s="14">
        <v>5</v>
      </c>
      <c r="G9" s="14">
        <v>60</v>
      </c>
      <c r="H9" s="14" t="s">
        <v>74</v>
      </c>
      <c r="I9" s="14" t="s">
        <v>75</v>
      </c>
      <c r="J9" s="14" t="s">
        <v>76</v>
      </c>
      <c r="K9" s="14">
        <v>5</v>
      </c>
      <c r="L9" s="14" t="s">
        <v>74</v>
      </c>
      <c r="N9" s="14">
        <v>0</v>
      </c>
      <c r="O9" s="14" t="b">
        <v>0</v>
      </c>
      <c r="Q9" s="14" t="b">
        <v>0</v>
      </c>
      <c r="R9" s="14">
        <v>1</v>
      </c>
      <c r="S9" s="14" t="s">
        <v>77</v>
      </c>
      <c r="T9" s="14">
        <v>999</v>
      </c>
      <c r="W9" s="14">
        <v>500</v>
      </c>
      <c r="X9" s="14" t="str">
        <f>"|cff00FF00"&amp;C9&amp;"，打开后可以获得"&amp;W9&amp;"金币。"</f>
        <v>|cff00FF00一大袋金币，打开后可以获得500金币。</v>
      </c>
      <c r="Y9" s="14" t="s">
        <v>79</v>
      </c>
      <c r="Z9" s="14">
        <v>20001</v>
      </c>
      <c r="AA9" s="14" t="s">
        <v>80</v>
      </c>
      <c r="AB9" s="14">
        <v>40001</v>
      </c>
      <c r="AE9" s="14" t="s">
        <v>74</v>
      </c>
      <c r="AF9" s="14" t="s">
        <v>81</v>
      </c>
      <c r="AG9" t="s">
        <v>89</v>
      </c>
    </row>
    <row r="10" spans="1:34">
      <c r="B10" s="14">
        <f>10000000+INDEX(编号表!$B:$B,MATCH(H10,编号表!$A:$A,0))*100000+INDEX(编号表!$F:$F,MATCH(D10,编号表!$E:$E,0))*10000+INDEX(编号表!$D:$D,MATCH(AG10,编号表!$C:$C,0))*1000+F10</f>
        <v>10113006</v>
      </c>
      <c r="C10" s="14" t="s">
        <v>90</v>
      </c>
      <c r="D10" s="14" t="s">
        <v>72</v>
      </c>
      <c r="E10" t="s">
        <v>89</v>
      </c>
      <c r="F10" s="14">
        <v>6</v>
      </c>
      <c r="G10" s="14">
        <v>60</v>
      </c>
      <c r="H10" s="14" t="s">
        <v>74</v>
      </c>
      <c r="I10" s="14" t="s">
        <v>75</v>
      </c>
      <c r="J10" s="14" t="s">
        <v>76</v>
      </c>
      <c r="K10" s="14">
        <v>6</v>
      </c>
      <c r="L10" s="14" t="s">
        <v>74</v>
      </c>
      <c r="N10" s="14">
        <v>0</v>
      </c>
      <c r="O10" s="14" t="b">
        <v>0</v>
      </c>
      <c r="Q10" t="b">
        <v>0</v>
      </c>
      <c r="R10" s="14">
        <v>1</v>
      </c>
      <c r="S10" s="14" t="s">
        <v>77</v>
      </c>
      <c r="T10" s="14">
        <v>999</v>
      </c>
      <c r="W10" s="14">
        <v>50</v>
      </c>
      <c r="X10" s="14" t="str">
        <f>"|cff00FF00"&amp;C10&amp;"，打开后可以获得"&amp;W10&amp;"灵符。"</f>
        <v>|cff00FF00一大袋灵符，打开后可以获得50灵符。</v>
      </c>
      <c r="Y10" s="14" t="s">
        <v>79</v>
      </c>
      <c r="Z10" s="14">
        <v>20001</v>
      </c>
      <c r="AA10" s="14" t="s">
        <v>83</v>
      </c>
      <c r="AB10" s="14">
        <v>40001</v>
      </c>
      <c r="AE10" s="14" t="s">
        <v>74</v>
      </c>
      <c r="AF10" s="14" t="s">
        <v>84</v>
      </c>
      <c r="AG10" t="s">
        <v>89</v>
      </c>
    </row>
    <row r="11" spans="1:34">
      <c r="B11" s="14">
        <f>10000000+INDEX(编号表!$B:$B,MATCH(H11,编号表!$A:$A,0))*100000+INDEX(编号表!$F:$F,MATCH(D11,编号表!$E:$E,0))*10000+INDEX(编号表!$D:$D,MATCH(AG11,编号表!$C:$C,0))*1000+F11</f>
        <v>10114007</v>
      </c>
      <c r="C11" s="14" t="s">
        <v>91</v>
      </c>
      <c r="D11" s="14" t="s">
        <v>72</v>
      </c>
      <c r="E11" t="s">
        <v>92</v>
      </c>
      <c r="F11" s="14">
        <v>7</v>
      </c>
      <c r="G11" s="14">
        <v>60</v>
      </c>
      <c r="H11" s="14" t="s">
        <v>74</v>
      </c>
      <c r="I11" s="14" t="s">
        <v>75</v>
      </c>
      <c r="J11" s="14" t="s">
        <v>76</v>
      </c>
      <c r="K11" s="14">
        <v>7</v>
      </c>
      <c r="L11" s="14" t="s">
        <v>74</v>
      </c>
      <c r="N11" s="14">
        <v>0</v>
      </c>
      <c r="O11" s="14" t="b">
        <v>0</v>
      </c>
      <c r="Q11" s="14" t="b">
        <v>0</v>
      </c>
      <c r="R11" s="14">
        <v>1</v>
      </c>
      <c r="S11" s="14" t="s">
        <v>77</v>
      </c>
      <c r="T11" s="14">
        <v>999</v>
      </c>
      <c r="W11" s="14">
        <v>1000</v>
      </c>
      <c r="X11" s="14" t="str">
        <f>"|cff00FF00"&amp;C11&amp;"，打开后可以获得"&amp;W11&amp;"金币。"</f>
        <v>|cff00FF00一箱金币，打开后可以获得1000金币。</v>
      </c>
      <c r="Y11" s="14" t="s">
        <v>79</v>
      </c>
      <c r="Z11" s="14">
        <v>20001</v>
      </c>
      <c r="AA11" s="14" t="s">
        <v>80</v>
      </c>
      <c r="AB11" s="14">
        <v>40001</v>
      </c>
      <c r="AE11" s="14" t="s">
        <v>74</v>
      </c>
      <c r="AF11" s="14" t="s">
        <v>81</v>
      </c>
      <c r="AG11" t="s">
        <v>92</v>
      </c>
    </row>
    <row r="12" spans="1:34">
      <c r="B12" s="14">
        <f>10000000+INDEX(编号表!$B:$B,MATCH(H12,编号表!$A:$A,0))*100000+INDEX(编号表!$F:$F,MATCH(D12,编号表!$E:$E,0))*10000+INDEX(编号表!$D:$D,MATCH(AG12,编号表!$C:$C,0))*1000+F12</f>
        <v>10114008</v>
      </c>
      <c r="C12" s="14" t="s">
        <v>93</v>
      </c>
      <c r="D12" s="14" t="s">
        <v>72</v>
      </c>
      <c r="E12" t="s">
        <v>92</v>
      </c>
      <c r="F12" s="14">
        <v>8</v>
      </c>
      <c r="G12" s="14">
        <v>60</v>
      </c>
      <c r="H12" s="14" t="s">
        <v>74</v>
      </c>
      <c r="I12" s="14" t="s">
        <v>75</v>
      </c>
      <c r="J12" s="14" t="s">
        <v>76</v>
      </c>
      <c r="K12" s="14">
        <v>8</v>
      </c>
      <c r="L12" s="14" t="s">
        <v>74</v>
      </c>
      <c r="N12" s="14">
        <v>0</v>
      </c>
      <c r="O12" s="14" t="b">
        <v>0</v>
      </c>
      <c r="Q12" t="b">
        <v>0</v>
      </c>
      <c r="R12" s="14">
        <v>1</v>
      </c>
      <c r="S12" s="14" t="s">
        <v>77</v>
      </c>
      <c r="T12" s="14">
        <v>999</v>
      </c>
      <c r="W12" s="14">
        <v>100</v>
      </c>
      <c r="X12" s="14" t="str">
        <f>"|cff00FF00"&amp;C12&amp;"，打开后可以获得"&amp;W12&amp;"灵符。"</f>
        <v>|cff00FF00一箱灵符，打开后可以获得100灵符。</v>
      </c>
      <c r="Y12" s="14" t="s">
        <v>79</v>
      </c>
      <c r="Z12" s="14">
        <v>20001</v>
      </c>
      <c r="AA12" s="14" t="s">
        <v>83</v>
      </c>
      <c r="AB12" s="14">
        <v>40001</v>
      </c>
      <c r="AE12" s="14" t="s">
        <v>74</v>
      </c>
      <c r="AF12" s="14" t="s">
        <v>84</v>
      </c>
      <c r="AG12" t="s">
        <v>92</v>
      </c>
    </row>
    <row r="13" spans="1:34">
      <c r="B13" s="14">
        <f>10000000+INDEX(编号表!$B:$B,MATCH(H13,编号表!$A:$A,0))*100000+INDEX(编号表!$F:$F,MATCH(D13,编号表!$E:$E,0))*10000+INDEX(编号表!$D:$D,MATCH(AG13,编号表!$C:$C,0))*1000+F13</f>
        <v>10115009</v>
      </c>
      <c r="C13" s="14" t="s">
        <v>94</v>
      </c>
      <c r="D13" s="14" t="s">
        <v>72</v>
      </c>
      <c r="E13" t="s">
        <v>95</v>
      </c>
      <c r="F13" s="14">
        <v>9</v>
      </c>
      <c r="G13" s="14">
        <v>60</v>
      </c>
      <c r="H13" s="14" t="s">
        <v>74</v>
      </c>
      <c r="I13" s="14" t="s">
        <v>75</v>
      </c>
      <c r="J13" s="14" t="s">
        <v>76</v>
      </c>
      <c r="K13" s="14">
        <v>9</v>
      </c>
      <c r="L13" s="14" t="s">
        <v>74</v>
      </c>
      <c r="N13" s="14">
        <v>0</v>
      </c>
      <c r="O13" s="14" t="b">
        <v>0</v>
      </c>
      <c r="Q13" s="14" t="b">
        <v>0</v>
      </c>
      <c r="R13" s="14">
        <v>1</v>
      </c>
      <c r="S13" s="14" t="s">
        <v>77</v>
      </c>
      <c r="T13" s="14">
        <v>999</v>
      </c>
      <c r="W13" s="14">
        <v>5000</v>
      </c>
      <c r="X13" s="14" t="str">
        <f>"|cff00FF00"&amp;C13&amp;"，打开后可以获得"&amp;W13&amp;"金币。"</f>
        <v>|cff00FF00一大箱金币，打开后可以获得5000金币。</v>
      </c>
      <c r="Y13" s="14" t="s">
        <v>79</v>
      </c>
      <c r="Z13" s="14">
        <v>20001</v>
      </c>
      <c r="AA13" s="14" t="s">
        <v>80</v>
      </c>
      <c r="AB13" s="14">
        <v>40001</v>
      </c>
      <c r="AE13" s="14" t="s">
        <v>74</v>
      </c>
      <c r="AF13" s="14" t="s">
        <v>81</v>
      </c>
      <c r="AG13" t="s">
        <v>95</v>
      </c>
    </row>
    <row r="14" spans="1:34">
      <c r="B14" s="14">
        <f>10000000+INDEX(编号表!$B:$B,MATCH(H14,编号表!$A:$A,0))*100000+INDEX(编号表!$F:$F,MATCH(D14,编号表!$E:$E,0))*10000+INDEX(编号表!$D:$D,MATCH(AG14,编号表!$C:$C,0))*1000+F14</f>
        <v>10115010</v>
      </c>
      <c r="C14" s="14" t="s">
        <v>96</v>
      </c>
      <c r="D14" s="14" t="s">
        <v>72</v>
      </c>
      <c r="E14" t="s">
        <v>95</v>
      </c>
      <c r="F14" s="14">
        <v>10</v>
      </c>
      <c r="G14" s="14">
        <v>60</v>
      </c>
      <c r="H14" s="14" t="s">
        <v>74</v>
      </c>
      <c r="I14" s="14" t="s">
        <v>75</v>
      </c>
      <c r="J14" s="14" t="s">
        <v>76</v>
      </c>
      <c r="K14" s="14">
        <v>10</v>
      </c>
      <c r="L14" s="14" t="s">
        <v>74</v>
      </c>
      <c r="N14" s="14">
        <v>0</v>
      </c>
      <c r="O14" s="14" t="b">
        <v>0</v>
      </c>
      <c r="Q14" t="b">
        <v>0</v>
      </c>
      <c r="R14" s="14">
        <v>1</v>
      </c>
      <c r="S14" s="14" t="s">
        <v>77</v>
      </c>
      <c r="T14" s="14">
        <v>999</v>
      </c>
      <c r="W14" s="14">
        <v>500</v>
      </c>
      <c r="X14" s="14" t="str">
        <f>"|cff00FF00"&amp;C14&amp;"，打开后可以获得"&amp;W14&amp;"灵符。"</f>
        <v>|cff00FF00一大箱灵符，打开后可以获得500灵符。</v>
      </c>
      <c r="Y14" s="14" t="s">
        <v>79</v>
      </c>
      <c r="Z14" s="14">
        <v>20001</v>
      </c>
      <c r="AA14" s="14" t="s">
        <v>83</v>
      </c>
      <c r="AB14" s="14">
        <v>40001</v>
      </c>
      <c r="AE14" s="14" t="s">
        <v>74</v>
      </c>
      <c r="AF14" s="14" t="s">
        <v>84</v>
      </c>
      <c r="AG14" t="s">
        <v>95</v>
      </c>
    </row>
    <row r="15" spans="1:34">
      <c r="B15" s="14">
        <f>10000000+INDEX(编号表!$B:$B,MATCH(H15,编号表!$A:$A,0))*100000+INDEX(编号表!$F:$F,MATCH(D15,编号表!$E:$E,0))*10000+INDEX(编号表!$D:$D,MATCH(AG15,编号表!$C:$C,0))*1000+F15</f>
        <v>10116011</v>
      </c>
      <c r="C15" s="14" t="s">
        <v>97</v>
      </c>
      <c r="D15" s="14" t="s">
        <v>72</v>
      </c>
      <c r="E15" t="s">
        <v>98</v>
      </c>
      <c r="F15" s="14">
        <v>11</v>
      </c>
      <c r="G15" s="14">
        <v>60</v>
      </c>
      <c r="H15" s="14" t="s">
        <v>74</v>
      </c>
      <c r="I15" s="14" t="s">
        <v>75</v>
      </c>
      <c r="J15" s="14" t="s">
        <v>76</v>
      </c>
      <c r="K15" s="14">
        <v>11</v>
      </c>
      <c r="L15" s="14" t="s">
        <v>74</v>
      </c>
      <c r="N15" s="14">
        <v>0</v>
      </c>
      <c r="O15" s="14" t="b">
        <v>0</v>
      </c>
      <c r="Q15" s="14" t="b">
        <v>0</v>
      </c>
      <c r="R15" s="14">
        <v>1</v>
      </c>
      <c r="S15" s="14" t="s">
        <v>77</v>
      </c>
      <c r="T15" s="14">
        <v>999</v>
      </c>
      <c r="W15" s="14">
        <v>10000</v>
      </c>
      <c r="X15" s="14" t="str">
        <f>"|cff00FF00"&amp;C15&amp;"，打开后可以获得"&amp;W15&amp;"金币。"</f>
        <v>|cff00FF00一车金币，打开后可以获得10000金币。</v>
      </c>
      <c r="Y15" s="14" t="s">
        <v>79</v>
      </c>
      <c r="Z15" s="14">
        <v>20001</v>
      </c>
      <c r="AA15" s="14" t="s">
        <v>80</v>
      </c>
      <c r="AB15" s="14">
        <v>40001</v>
      </c>
      <c r="AE15" s="14" t="s">
        <v>74</v>
      </c>
      <c r="AF15" s="14" t="s">
        <v>81</v>
      </c>
      <c r="AG15" t="s">
        <v>98</v>
      </c>
    </row>
    <row r="16" spans="1:34">
      <c r="B16" s="14">
        <f>10000000+INDEX(编号表!$B:$B,MATCH(H16,编号表!$A:$A,0))*100000+INDEX(编号表!$F:$F,MATCH(D16,编号表!$E:$E,0))*10000+INDEX(编号表!$D:$D,MATCH(AG16,编号表!$C:$C,0))*1000+F16</f>
        <v>10116012</v>
      </c>
      <c r="C16" s="14" t="s">
        <v>99</v>
      </c>
      <c r="D16" s="14" t="s">
        <v>72</v>
      </c>
      <c r="E16" t="s">
        <v>98</v>
      </c>
      <c r="F16" s="14">
        <v>12</v>
      </c>
      <c r="G16" s="14">
        <v>60</v>
      </c>
      <c r="H16" s="14" t="s">
        <v>74</v>
      </c>
      <c r="I16" s="14" t="s">
        <v>75</v>
      </c>
      <c r="J16" s="14" t="s">
        <v>76</v>
      </c>
      <c r="K16" s="14">
        <v>12</v>
      </c>
      <c r="L16" s="14" t="s">
        <v>74</v>
      </c>
      <c r="N16" s="14">
        <v>0</v>
      </c>
      <c r="O16" s="14" t="b">
        <v>0</v>
      </c>
      <c r="Q16" t="b">
        <v>0</v>
      </c>
      <c r="R16" s="14">
        <v>1</v>
      </c>
      <c r="S16" s="14" t="s">
        <v>77</v>
      </c>
      <c r="T16" s="14">
        <v>999</v>
      </c>
      <c r="W16" s="14">
        <v>100</v>
      </c>
      <c r="X16" s="14" t="str">
        <f>"|cff00FF00"&amp;C16&amp;"，打开后可以获得"&amp;W16&amp;"灵符。"</f>
        <v>|cff00FF00一车灵符，打开后可以获得100灵符。</v>
      </c>
      <c r="Y16" s="14" t="s">
        <v>79</v>
      </c>
      <c r="Z16" s="14">
        <v>20001</v>
      </c>
      <c r="AA16" s="14" t="s">
        <v>83</v>
      </c>
      <c r="AB16" s="14">
        <v>40001</v>
      </c>
      <c r="AE16" s="14" t="s">
        <v>74</v>
      </c>
      <c r="AF16" s="14" t="s">
        <v>84</v>
      </c>
      <c r="AG16" t="s">
        <v>98</v>
      </c>
    </row>
    <row r="17" spans="2:33">
      <c r="B17" s="14">
        <f>10000000+INDEX(编号表!$B:$B,MATCH(H17,编号表!$A:$A,0))*100000+INDEX(编号表!$F:$F,MATCH(D17,编号表!$E:$E,0))*10000+INDEX(编号表!$D:$D,MATCH(AG17,编号表!$C:$C,0))*1000+F17</f>
        <v>10117013</v>
      </c>
      <c r="C17" s="14" t="s">
        <v>100</v>
      </c>
      <c r="D17" s="14" t="s">
        <v>72</v>
      </c>
      <c r="E17" t="s">
        <v>101</v>
      </c>
      <c r="F17" s="14">
        <v>13</v>
      </c>
      <c r="G17" s="14">
        <v>60</v>
      </c>
      <c r="H17" s="14" t="s">
        <v>74</v>
      </c>
      <c r="I17" s="14" t="s">
        <v>75</v>
      </c>
      <c r="J17" s="14" t="s">
        <v>76</v>
      </c>
      <c r="K17" s="14">
        <v>13</v>
      </c>
      <c r="L17" s="14" t="s">
        <v>74</v>
      </c>
      <c r="N17" s="14">
        <v>0</v>
      </c>
      <c r="O17" s="14" t="b">
        <v>0</v>
      </c>
      <c r="Q17" s="14" t="b">
        <v>0</v>
      </c>
      <c r="R17" s="14">
        <v>1</v>
      </c>
      <c r="S17" s="14" t="s">
        <v>77</v>
      </c>
      <c r="T17" s="14">
        <v>999</v>
      </c>
      <c r="W17" s="14">
        <v>50000</v>
      </c>
      <c r="X17" s="14" t="str">
        <f>"|cff00FF00"&amp;C17&amp;"，打开后可以获得"&amp;W17&amp;"金币。"</f>
        <v>|cff00FF00一卡车金币，打开后可以获得50000金币。</v>
      </c>
      <c r="Y17" s="14" t="s">
        <v>79</v>
      </c>
      <c r="Z17" s="14">
        <v>20001</v>
      </c>
      <c r="AA17" s="14" t="s">
        <v>80</v>
      </c>
      <c r="AB17" s="14">
        <v>40001</v>
      </c>
      <c r="AE17" s="14" t="s">
        <v>74</v>
      </c>
      <c r="AF17" s="14" t="s">
        <v>81</v>
      </c>
      <c r="AG17" t="s">
        <v>101</v>
      </c>
    </row>
    <row r="18" spans="2:33">
      <c r="B18" s="14">
        <f>10000000+INDEX(编号表!$B:$B,MATCH(H18,编号表!$A:$A,0))*100000+INDEX(编号表!$F:$F,MATCH(D18,编号表!$E:$E,0))*10000+INDEX(编号表!$D:$D,MATCH(AG18,编号表!$C:$C,0))*1000+F18</f>
        <v>10117014</v>
      </c>
      <c r="C18" s="14" t="s">
        <v>102</v>
      </c>
      <c r="D18" s="14" t="s">
        <v>72</v>
      </c>
      <c r="E18" t="s">
        <v>101</v>
      </c>
      <c r="F18" s="14">
        <v>14</v>
      </c>
      <c r="G18" s="14">
        <v>60</v>
      </c>
      <c r="H18" s="14" t="s">
        <v>74</v>
      </c>
      <c r="I18" s="14" t="s">
        <v>75</v>
      </c>
      <c r="J18" s="14" t="s">
        <v>76</v>
      </c>
      <c r="K18" s="14">
        <v>14</v>
      </c>
      <c r="L18" s="14" t="s">
        <v>74</v>
      </c>
      <c r="N18" s="14">
        <v>0</v>
      </c>
      <c r="O18" s="14" t="b">
        <v>0</v>
      </c>
      <c r="Q18" t="b">
        <v>0</v>
      </c>
      <c r="R18" s="14">
        <v>1</v>
      </c>
      <c r="S18" s="14" t="s">
        <v>77</v>
      </c>
      <c r="T18" s="14">
        <v>999</v>
      </c>
      <c r="W18" s="14">
        <v>500</v>
      </c>
      <c r="X18" s="14" t="str">
        <f>"|cff00FF00"&amp;C18&amp;"，打开后可以获得"&amp;W18&amp;"灵符。"</f>
        <v>|cff00FF00一卡车灵符，打开后可以获得500灵符。</v>
      </c>
      <c r="Y18" s="14" t="s">
        <v>79</v>
      </c>
      <c r="Z18" s="14">
        <v>20001</v>
      </c>
      <c r="AA18" s="14" t="s">
        <v>83</v>
      </c>
      <c r="AB18" s="14">
        <v>40001</v>
      </c>
      <c r="AE18" s="14" t="s">
        <v>74</v>
      </c>
      <c r="AF18" s="14" t="s">
        <v>84</v>
      </c>
      <c r="AG18" t="s">
        <v>101</v>
      </c>
    </row>
    <row r="19" ht="16.5" customHeight="1" spans="2:33">
      <c r="B19" s="14">
        <f>10000000+INDEX(编号表!$B:$B,MATCH(H19,编号表!$A:$A,0))*100000+INDEX(编号表!$F:$F,MATCH(D19,编号表!$E:$E,0))*10000+INDEX(编号表!$D:$D,MATCH(AG19,编号表!$C:$C,0))*1000+F19</f>
        <v>10140015</v>
      </c>
      <c r="C19" s="14" t="s">
        <v>103</v>
      </c>
      <c r="D19" s="14" t="s">
        <v>104</v>
      </c>
      <c r="E19" s="14" t="s">
        <v>105</v>
      </c>
      <c r="F19" s="14">
        <v>15</v>
      </c>
      <c r="G19" s="14">
        <v>60</v>
      </c>
      <c r="H19" s="14" t="s">
        <v>74</v>
      </c>
      <c r="I19" s="14" t="s">
        <v>75</v>
      </c>
      <c r="J19" s="14" t="s">
        <v>76</v>
      </c>
      <c r="K19" s="14">
        <v>15</v>
      </c>
      <c r="L19" s="14" t="s">
        <v>74</v>
      </c>
      <c r="N19" s="14">
        <v>0</v>
      </c>
      <c r="O19" s="14" t="b">
        <v>0</v>
      </c>
      <c r="Q19" s="14" t="b">
        <v>0</v>
      </c>
      <c r="R19" s="14">
        <v>1</v>
      </c>
      <c r="S19" s="14" t="s">
        <v>77</v>
      </c>
      <c r="T19" s="14">
        <v>999</v>
      </c>
      <c r="U19" s="14" t="s">
        <v>106</v>
      </c>
      <c r="V19" s="14">
        <v>50001</v>
      </c>
      <c r="W19" s="14">
        <v>0</v>
      </c>
      <c r="X19" s="14" t="str">
        <f>"|cff00FF00"&amp;C19&amp;"，打开后可以获得"&amp;W19&amp;"活跃点。"</f>
        <v>|cff00FF00活跃丹，打开后可以获得0活跃点。</v>
      </c>
      <c r="Y19" s="14" t="s">
        <v>107</v>
      </c>
      <c r="Z19" s="14">
        <v>20001</v>
      </c>
      <c r="AA19" s="14" t="s">
        <v>83</v>
      </c>
      <c r="AB19" s="14">
        <v>40001</v>
      </c>
      <c r="AE19" s="14" t="s">
        <v>74</v>
      </c>
      <c r="AF19" s="14" t="s">
        <v>108</v>
      </c>
      <c r="AG19" s="14" t="s">
        <v>105</v>
      </c>
    </row>
    <row r="20" ht="16.5" customHeight="1" spans="2:33">
      <c r="B20" s="14">
        <f>10000000+INDEX(编号表!$B:$B,MATCH(H20,编号表!$A:$A,0))*100000+INDEX(编号表!$F:$F,MATCH(D20,编号表!$E:$E,0))*10000+INDEX(编号表!$D:$D,MATCH(AG20,编号表!$C:$C,0))*1000+F20</f>
        <v>10140016</v>
      </c>
      <c r="C20" s="14" t="s">
        <v>109</v>
      </c>
      <c r="D20" s="14" t="s">
        <v>104</v>
      </c>
      <c r="E20" s="14" t="s">
        <v>105</v>
      </c>
      <c r="F20" s="14">
        <v>16</v>
      </c>
      <c r="G20" s="14">
        <v>60</v>
      </c>
      <c r="H20" s="14" t="s">
        <v>74</v>
      </c>
      <c r="I20" s="14" t="s">
        <v>75</v>
      </c>
      <c r="J20" s="14" t="s">
        <v>76</v>
      </c>
      <c r="K20" s="14">
        <v>16</v>
      </c>
      <c r="L20" s="14" t="s">
        <v>74</v>
      </c>
      <c r="N20" s="14">
        <v>0</v>
      </c>
      <c r="O20" s="14" t="b">
        <v>0</v>
      </c>
      <c r="Q20" t="b">
        <v>0</v>
      </c>
      <c r="R20" s="14">
        <v>1</v>
      </c>
      <c r="S20" s="14" t="s">
        <v>77</v>
      </c>
      <c r="T20" s="14">
        <v>999</v>
      </c>
      <c r="U20" s="14" t="s">
        <v>106</v>
      </c>
      <c r="V20" s="14">
        <v>50002</v>
      </c>
      <c r="W20" s="14">
        <v>0</v>
      </c>
      <c r="X20" s="14" t="str">
        <f>"|cff00FF00"&amp;C20&amp;"，打开后可以获得"&amp;W20&amp;"声望点。"</f>
        <v>|cff00FF00声望丹，打开后可以获得0声望点。</v>
      </c>
      <c r="Y20" s="14" t="s">
        <v>107</v>
      </c>
      <c r="Z20" s="14">
        <v>20001</v>
      </c>
      <c r="AA20" s="14" t="s">
        <v>83</v>
      </c>
      <c r="AB20" s="14">
        <v>40001</v>
      </c>
      <c r="AE20" s="14" t="s">
        <v>74</v>
      </c>
      <c r="AF20" s="14" t="s">
        <v>110</v>
      </c>
      <c r="AG20" s="14" t="s">
        <v>105</v>
      </c>
    </row>
    <row r="21" ht="16.5" customHeight="1" spans="2:33">
      <c r="B21" s="14">
        <f>10000000+INDEX(编号表!$B:$B,MATCH(H21,编号表!$A:$A,0))*100000+INDEX(编号表!$F:$F,MATCH(D21,编号表!$E:$E,0))*10000+INDEX(编号表!$D:$D,MATCH(AG21,编号表!$C:$C,0))*1000+F21</f>
        <v>10140017</v>
      </c>
      <c r="C21" s="14" t="s">
        <v>109</v>
      </c>
      <c r="D21" s="14" t="s">
        <v>104</v>
      </c>
      <c r="E21" s="14" t="s">
        <v>105</v>
      </c>
      <c r="F21" s="14">
        <v>17</v>
      </c>
      <c r="G21" s="14">
        <v>60</v>
      </c>
      <c r="H21" s="14" t="s">
        <v>74</v>
      </c>
      <c r="I21" s="14" t="s">
        <v>75</v>
      </c>
      <c r="J21" s="14" t="s">
        <v>76</v>
      </c>
      <c r="K21" s="14">
        <v>17</v>
      </c>
      <c r="L21" s="14" t="s">
        <v>74</v>
      </c>
      <c r="N21" s="14">
        <v>0</v>
      </c>
      <c r="O21" s="14" t="b">
        <v>0</v>
      </c>
      <c r="Q21" t="b">
        <v>0</v>
      </c>
      <c r="R21" s="14">
        <v>1</v>
      </c>
      <c r="S21" s="14" t="s">
        <v>77</v>
      </c>
      <c r="T21" s="14">
        <v>999</v>
      </c>
      <c r="U21" s="14" t="s">
        <v>106</v>
      </c>
      <c r="V21" s="14">
        <v>50002</v>
      </c>
      <c r="W21" s="14">
        <v>0</v>
      </c>
      <c r="X21" s="14" t="str">
        <f>"|cff00FF00"&amp;C21&amp;"，打开后可以获得"&amp;W21&amp;"声望点。"</f>
        <v>|cff00FF00声望丹，打开后可以获得0声望点。</v>
      </c>
      <c r="Y21" s="14" t="s">
        <v>107</v>
      </c>
      <c r="Z21" s="14">
        <v>20001</v>
      </c>
      <c r="AA21" s="14" t="s">
        <v>83</v>
      </c>
      <c r="AB21" s="14">
        <v>40001</v>
      </c>
      <c r="AE21" s="14" t="s">
        <v>74</v>
      </c>
      <c r="AF21" s="14" t="s">
        <v>110</v>
      </c>
      <c r="AG21" s="14" t="s">
        <v>105</v>
      </c>
    </row>
    <row r="22" ht="16.5" customHeight="1" spans="2:33">
      <c r="B22" s="14">
        <f>10000000+INDEX(编号表!$B:$B,MATCH(H22,编号表!$A:$A,0))*100000+INDEX(编号表!$F:$F,MATCH(D22,编号表!$E:$E,0))*10000+INDEX(编号表!$D:$D,MATCH(AG22,编号表!$C:$C,0))*1000+F22</f>
        <v>10220001</v>
      </c>
      <c r="C22" s="14" t="s">
        <v>111</v>
      </c>
      <c r="D22" s="14" t="s">
        <v>112</v>
      </c>
      <c r="E22" s="14" t="s">
        <v>105</v>
      </c>
      <c r="F22" s="14">
        <v>1</v>
      </c>
      <c r="G22" s="14">
        <v>60</v>
      </c>
      <c r="H22" s="14" t="s">
        <v>113</v>
      </c>
      <c r="I22" s="14" t="s">
        <v>75</v>
      </c>
      <c r="J22" s="14" t="s">
        <v>114</v>
      </c>
      <c r="K22" s="14">
        <v>1</v>
      </c>
      <c r="L22" s="14" t="s">
        <v>115</v>
      </c>
      <c r="N22" s="14">
        <v>0</v>
      </c>
      <c r="O22" s="14" t="b">
        <v>1</v>
      </c>
      <c r="Q22" s="14" t="b">
        <v>0</v>
      </c>
      <c r="R22" s="14">
        <v>7</v>
      </c>
      <c r="S22" s="14" t="s">
        <v>116</v>
      </c>
      <c r="T22" s="14">
        <v>999</v>
      </c>
      <c r="U22" s="14" t="s">
        <v>117</v>
      </c>
      <c r="V22" s="14">
        <v>100100</v>
      </c>
      <c r="X22" s="14" t="s">
        <v>118</v>
      </c>
      <c r="Y22" s="14" t="s">
        <v>119</v>
      </c>
      <c r="Z22" s="14">
        <v>20001</v>
      </c>
      <c r="AA22" s="28" t="s">
        <v>120</v>
      </c>
      <c r="AB22" s="14">
        <v>40001</v>
      </c>
      <c r="AE22" s="29" t="s">
        <v>121</v>
      </c>
      <c r="AF22" s="30" t="s">
        <v>122</v>
      </c>
      <c r="AG22" s="14" t="s">
        <v>105</v>
      </c>
    </row>
    <row r="23" ht="16.5" customHeight="1" spans="2:33">
      <c r="B23" s="14">
        <f>10000000+INDEX(编号表!$B:$B,MATCH(H23,编号表!$A:$A,0))*100000+INDEX(编号表!$F:$F,MATCH(D23,编号表!$E:$E,0))*10000+INDEX(编号表!$D:$D,MATCH(AG23,编号表!$C:$C,0))*1000+F23</f>
        <v>11020001</v>
      </c>
      <c r="C23" s="14" t="s">
        <v>123</v>
      </c>
      <c r="D23" s="14" t="s">
        <v>112</v>
      </c>
      <c r="E23" s="14" t="s">
        <v>105</v>
      </c>
      <c r="F23" s="14">
        <v>1</v>
      </c>
      <c r="G23" s="14">
        <v>60</v>
      </c>
      <c r="H23" s="14" t="s">
        <v>124</v>
      </c>
      <c r="I23" s="14" t="s">
        <v>75</v>
      </c>
      <c r="J23" s="14" t="s">
        <v>114</v>
      </c>
      <c r="K23" s="14">
        <v>1</v>
      </c>
      <c r="L23" s="14" t="s">
        <v>115</v>
      </c>
      <c r="N23" s="14">
        <v>0</v>
      </c>
      <c r="O23" s="14" t="b">
        <v>1</v>
      </c>
      <c r="Q23" s="14" t="b">
        <v>0</v>
      </c>
      <c r="R23" s="14">
        <v>7</v>
      </c>
      <c r="S23" s="14" t="s">
        <v>116</v>
      </c>
      <c r="T23" s="14">
        <v>999</v>
      </c>
      <c r="U23" s="14" t="s">
        <v>117</v>
      </c>
      <c r="V23" s="14">
        <v>105000</v>
      </c>
      <c r="X23" s="14" t="s">
        <v>125</v>
      </c>
      <c r="Y23" s="14" t="s">
        <v>119</v>
      </c>
      <c r="Z23" s="14">
        <v>20001</v>
      </c>
      <c r="AA23" s="28" t="s">
        <v>120</v>
      </c>
      <c r="AB23" s="14">
        <v>40001</v>
      </c>
      <c r="AE23" s="29" t="s">
        <v>121</v>
      </c>
      <c r="AF23" s="30" t="s">
        <v>122</v>
      </c>
      <c r="AG23" s="14" t="s">
        <v>105</v>
      </c>
    </row>
    <row r="24" ht="16.5" customHeight="1" spans="2:33">
      <c r="B24" s="14">
        <f>10000000+INDEX(编号表!$B:$B,MATCH(H24,编号表!$A:$A,0))*100000+INDEX(编号表!$F:$F,MATCH(D24,编号表!$E:$E,0))*10000+INDEX(编号表!$D:$D,MATCH(AG24,编号表!$C:$C,0))*1000+F24</f>
        <v>11020002</v>
      </c>
      <c r="C24" s="14" t="s">
        <v>126</v>
      </c>
      <c r="D24" s="14" t="s">
        <v>112</v>
      </c>
      <c r="E24" s="14" t="s">
        <v>105</v>
      </c>
      <c r="F24" s="14">
        <v>2</v>
      </c>
      <c r="G24" s="14">
        <v>60</v>
      </c>
      <c r="H24" s="14" t="s">
        <v>124</v>
      </c>
      <c r="I24" s="14" t="s">
        <v>75</v>
      </c>
      <c r="J24" s="14" t="s">
        <v>114</v>
      </c>
      <c r="K24" s="14">
        <v>1</v>
      </c>
      <c r="L24" s="14" t="s">
        <v>115</v>
      </c>
      <c r="N24" s="14">
        <v>0</v>
      </c>
      <c r="O24" s="14" t="b">
        <v>1</v>
      </c>
      <c r="Q24" s="14" t="b">
        <v>0</v>
      </c>
      <c r="R24" s="14">
        <v>7</v>
      </c>
      <c r="S24" s="14" t="s">
        <v>116</v>
      </c>
      <c r="T24" s="14">
        <v>999</v>
      </c>
      <c r="U24" s="14" t="s">
        <v>117</v>
      </c>
      <c r="V24" s="14">
        <v>105100</v>
      </c>
      <c r="X24" s="14" t="s">
        <v>127</v>
      </c>
      <c r="Y24" s="14" t="s">
        <v>119</v>
      </c>
      <c r="Z24" s="14">
        <v>20001</v>
      </c>
      <c r="AA24" s="28" t="s">
        <v>120</v>
      </c>
      <c r="AB24" s="14">
        <v>40001</v>
      </c>
      <c r="AE24" s="29" t="s">
        <v>121</v>
      </c>
      <c r="AF24" s="30" t="s">
        <v>122</v>
      </c>
      <c r="AG24" s="14" t="s">
        <v>105</v>
      </c>
    </row>
    <row r="25" ht="16.5" customHeight="1" spans="2:33">
      <c r="B25" s="14">
        <f>10000000+INDEX(编号表!$B:$B,MATCH(H25,编号表!$A:$A,0))*100000+INDEX(编号表!$F:$F,MATCH(D25,编号表!$E:$E,0))*10000+INDEX(编号表!$D:$D,MATCH(AG25,编号表!$C:$C,0))*1000+F25</f>
        <v>11020003</v>
      </c>
      <c r="C25" s="14" t="s">
        <v>128</v>
      </c>
      <c r="D25" s="14" t="s">
        <v>112</v>
      </c>
      <c r="E25" s="14" t="s">
        <v>105</v>
      </c>
      <c r="F25" s="14">
        <v>3</v>
      </c>
      <c r="G25" s="14">
        <v>60</v>
      </c>
      <c r="H25" s="14" t="s">
        <v>124</v>
      </c>
      <c r="I25" s="14" t="s">
        <v>75</v>
      </c>
      <c r="J25" s="14" t="s">
        <v>114</v>
      </c>
      <c r="K25" s="14">
        <v>1</v>
      </c>
      <c r="L25" s="14" t="s">
        <v>115</v>
      </c>
      <c r="N25" s="14">
        <v>0</v>
      </c>
      <c r="O25" s="14" t="b">
        <v>1</v>
      </c>
      <c r="Q25" s="14" t="b">
        <v>0</v>
      </c>
      <c r="R25" s="14">
        <v>7</v>
      </c>
      <c r="S25" s="14" t="s">
        <v>116</v>
      </c>
      <c r="T25" s="14">
        <v>999</v>
      </c>
      <c r="U25" s="14" t="s">
        <v>117</v>
      </c>
      <c r="V25" s="14">
        <v>105200</v>
      </c>
      <c r="X25" s="14" t="s">
        <v>129</v>
      </c>
      <c r="Y25" s="14" t="s">
        <v>119</v>
      </c>
      <c r="Z25" s="14">
        <v>20001</v>
      </c>
      <c r="AA25" s="28" t="s">
        <v>120</v>
      </c>
      <c r="AB25" s="14">
        <v>40001</v>
      </c>
      <c r="AE25" s="29" t="s">
        <v>121</v>
      </c>
      <c r="AF25" s="30" t="s">
        <v>122</v>
      </c>
      <c r="AG25" s="14" t="s">
        <v>105</v>
      </c>
    </row>
    <row r="26" ht="16.5" customHeight="1" spans="2:33">
      <c r="B26" s="14">
        <f>10000000+INDEX(编号表!$B:$B,MATCH(H26,编号表!$A:$A,0))*100000+INDEX(编号表!$F:$F,MATCH(D26,编号表!$E:$E,0))*10000+INDEX(编号表!$D:$D,MATCH(AG26,编号表!$C:$C,0))*1000+F26</f>
        <v>11020004</v>
      </c>
      <c r="C26" s="14" t="s">
        <v>130</v>
      </c>
      <c r="D26" s="14" t="s">
        <v>112</v>
      </c>
      <c r="E26" s="14" t="s">
        <v>105</v>
      </c>
      <c r="F26" s="14">
        <v>4</v>
      </c>
      <c r="G26" s="14">
        <v>60</v>
      </c>
      <c r="H26" s="14" t="s">
        <v>124</v>
      </c>
      <c r="I26" s="14" t="s">
        <v>75</v>
      </c>
      <c r="J26" s="14" t="s">
        <v>114</v>
      </c>
      <c r="K26" s="14">
        <v>1</v>
      </c>
      <c r="L26" s="14" t="s">
        <v>115</v>
      </c>
      <c r="N26" s="14">
        <v>0</v>
      </c>
      <c r="O26" s="14" t="b">
        <v>1</v>
      </c>
      <c r="Q26" s="14" t="b">
        <v>0</v>
      </c>
      <c r="R26" s="14">
        <v>7</v>
      </c>
      <c r="S26" s="14" t="s">
        <v>116</v>
      </c>
      <c r="T26" s="14">
        <v>999</v>
      </c>
      <c r="U26" s="14" t="s">
        <v>117</v>
      </c>
      <c r="V26" s="14">
        <v>105300</v>
      </c>
      <c r="X26" s="14" t="s">
        <v>131</v>
      </c>
      <c r="Y26" s="14" t="s">
        <v>119</v>
      </c>
      <c r="Z26" s="14">
        <v>20001</v>
      </c>
      <c r="AA26" s="28" t="s">
        <v>120</v>
      </c>
      <c r="AB26" s="14">
        <v>40001</v>
      </c>
      <c r="AE26" s="29" t="s">
        <v>121</v>
      </c>
      <c r="AF26" s="30" t="s">
        <v>122</v>
      </c>
      <c r="AG26" s="14" t="s">
        <v>105</v>
      </c>
    </row>
    <row r="27" ht="16.5" customHeight="1" spans="2:33">
      <c r="B27" s="14">
        <f>10000000+INDEX(编号表!$B:$B,MATCH(H27,编号表!$A:$A,0))*100000+INDEX(编号表!$F:$F,MATCH(D27,编号表!$E:$E,0))*10000+INDEX(编号表!$D:$D,MATCH(AG27,编号表!$C:$C,0))*1000+F27</f>
        <v>11020005</v>
      </c>
      <c r="C27" s="14" t="s">
        <v>132</v>
      </c>
      <c r="D27" s="14" t="s">
        <v>112</v>
      </c>
      <c r="E27" s="14" t="s">
        <v>105</v>
      </c>
      <c r="F27" s="14">
        <v>5</v>
      </c>
      <c r="G27" s="14">
        <v>60</v>
      </c>
      <c r="H27" s="14" t="s">
        <v>124</v>
      </c>
      <c r="I27" s="14" t="s">
        <v>75</v>
      </c>
      <c r="J27" s="14" t="s">
        <v>114</v>
      </c>
      <c r="K27" s="14">
        <v>1</v>
      </c>
      <c r="L27" s="14" t="s">
        <v>115</v>
      </c>
      <c r="N27" s="14">
        <v>0</v>
      </c>
      <c r="O27" s="14" t="b">
        <v>1</v>
      </c>
      <c r="Q27" s="14" t="b">
        <v>0</v>
      </c>
      <c r="R27" s="14">
        <v>7</v>
      </c>
      <c r="S27" s="14" t="s">
        <v>116</v>
      </c>
      <c r="T27" s="14">
        <v>999</v>
      </c>
      <c r="U27" s="14" t="s">
        <v>117</v>
      </c>
      <c r="V27" s="14">
        <v>105400</v>
      </c>
      <c r="X27" s="14" t="s">
        <v>133</v>
      </c>
      <c r="Y27" s="14" t="s">
        <v>119</v>
      </c>
      <c r="Z27" s="14">
        <v>20001</v>
      </c>
      <c r="AA27" s="28" t="s">
        <v>120</v>
      </c>
      <c r="AB27" s="14">
        <v>40001</v>
      </c>
      <c r="AE27" s="29" t="s">
        <v>121</v>
      </c>
      <c r="AF27" s="30" t="s">
        <v>122</v>
      </c>
      <c r="AG27" s="14" t="s">
        <v>105</v>
      </c>
    </row>
    <row r="28" ht="16.5" customHeight="1" spans="2:33">
      <c r="B28" s="14">
        <f>10000000+INDEX(编号表!$B:$B,MATCH(H28,编号表!$A:$A,0))*100000+INDEX(编号表!$F:$F,MATCH(D28,编号表!$E:$E,0))*10000+INDEX(编号表!$D:$D,MATCH(AG28,编号表!$C:$C,0))*1000+F28</f>
        <v>11020006</v>
      </c>
      <c r="C28" s="14" t="s">
        <v>134</v>
      </c>
      <c r="D28" s="14" t="s">
        <v>112</v>
      </c>
      <c r="E28" s="14" t="s">
        <v>105</v>
      </c>
      <c r="F28" s="14">
        <v>6</v>
      </c>
      <c r="G28" s="14">
        <v>60</v>
      </c>
      <c r="H28" s="14" t="s">
        <v>124</v>
      </c>
      <c r="I28" s="14" t="s">
        <v>75</v>
      </c>
      <c r="J28" s="14" t="s">
        <v>114</v>
      </c>
      <c r="K28" s="14">
        <v>1</v>
      </c>
      <c r="L28" s="14" t="s">
        <v>115</v>
      </c>
      <c r="N28" s="14">
        <v>0</v>
      </c>
      <c r="O28" s="14" t="b">
        <v>1</v>
      </c>
      <c r="Q28" s="14" t="b">
        <v>0</v>
      </c>
      <c r="R28" s="14">
        <v>7</v>
      </c>
      <c r="S28" s="14" t="s">
        <v>116</v>
      </c>
      <c r="T28" s="14">
        <v>999</v>
      </c>
      <c r="U28" s="14" t="s">
        <v>117</v>
      </c>
      <c r="V28" s="14">
        <v>105500</v>
      </c>
      <c r="X28" s="14" t="s">
        <v>135</v>
      </c>
      <c r="Y28" s="14" t="s">
        <v>119</v>
      </c>
      <c r="Z28" s="14">
        <v>20001</v>
      </c>
      <c r="AA28" s="28" t="s">
        <v>120</v>
      </c>
      <c r="AB28" s="14">
        <v>40001</v>
      </c>
      <c r="AE28" s="29" t="s">
        <v>121</v>
      </c>
      <c r="AF28" s="30" t="s">
        <v>122</v>
      </c>
      <c r="AG28" s="14" t="s">
        <v>105</v>
      </c>
    </row>
    <row r="29" ht="16.5" customHeight="1" spans="2:33">
      <c r="B29" s="14">
        <f>10000000+INDEX(编号表!$B:$B,MATCH(H29,编号表!$A:$A,0))*100000+INDEX(编号表!$F:$F,MATCH(D29,编号表!$E:$E,0))*10000+INDEX(编号表!$D:$D,MATCH(AG29,编号表!$C:$C,0))*1000+F29</f>
        <v>11020007</v>
      </c>
      <c r="C29" s="14" t="s">
        <v>136</v>
      </c>
      <c r="D29" s="14" t="s">
        <v>112</v>
      </c>
      <c r="E29" s="14" t="s">
        <v>105</v>
      </c>
      <c r="F29" s="14">
        <v>7</v>
      </c>
      <c r="G29" s="14">
        <v>60</v>
      </c>
      <c r="H29" s="14" t="s">
        <v>124</v>
      </c>
      <c r="I29" s="14" t="s">
        <v>75</v>
      </c>
      <c r="J29" s="14" t="s">
        <v>114</v>
      </c>
      <c r="K29" s="14">
        <v>1</v>
      </c>
      <c r="L29" s="14" t="s">
        <v>115</v>
      </c>
      <c r="N29" s="14">
        <v>0</v>
      </c>
      <c r="O29" s="14" t="b">
        <v>1</v>
      </c>
      <c r="Q29" s="14" t="b">
        <v>0</v>
      </c>
      <c r="R29" s="14">
        <v>7</v>
      </c>
      <c r="S29" s="14" t="s">
        <v>116</v>
      </c>
      <c r="T29" s="14">
        <v>999</v>
      </c>
      <c r="U29" s="14" t="s">
        <v>117</v>
      </c>
      <c r="V29" s="14">
        <v>105600</v>
      </c>
      <c r="X29" s="14" t="s">
        <v>137</v>
      </c>
      <c r="Y29" s="14" t="s">
        <v>119</v>
      </c>
      <c r="Z29" s="14">
        <v>20001</v>
      </c>
      <c r="AA29" s="28" t="s">
        <v>120</v>
      </c>
      <c r="AB29" s="14">
        <v>40001</v>
      </c>
      <c r="AE29" s="29" t="s">
        <v>121</v>
      </c>
      <c r="AF29" s="30" t="s">
        <v>122</v>
      </c>
      <c r="AG29" s="14" t="s">
        <v>105</v>
      </c>
    </row>
    <row r="30" ht="16.5" customHeight="1" spans="2:33">
      <c r="B30" s="14">
        <f>10000000+INDEX(编号表!$B:$B,MATCH(H30,编号表!$A:$A,0))*100000+INDEX(编号表!$F:$F,MATCH(D30,编号表!$E:$E,0))*10000+INDEX(编号表!$D:$D,MATCH(AG30,编号表!$C:$C,0))*1000+F30</f>
        <v>10920001</v>
      </c>
      <c r="C30" s="14" t="s">
        <v>138</v>
      </c>
      <c r="D30" s="14" t="s">
        <v>112</v>
      </c>
      <c r="E30" s="14" t="s">
        <v>105</v>
      </c>
      <c r="F30" s="14">
        <v>1</v>
      </c>
      <c r="G30" s="14">
        <v>60</v>
      </c>
      <c r="H30" s="14" t="s">
        <v>139</v>
      </c>
      <c r="I30" s="14" t="s">
        <v>75</v>
      </c>
      <c r="J30" s="14" t="s">
        <v>114</v>
      </c>
      <c r="K30" s="14">
        <v>1</v>
      </c>
      <c r="L30" s="14" t="s">
        <v>115</v>
      </c>
      <c r="N30" s="14">
        <v>0</v>
      </c>
      <c r="O30" s="14" t="b">
        <v>1</v>
      </c>
      <c r="Q30" s="14" t="b">
        <v>0</v>
      </c>
      <c r="R30" s="14">
        <v>7</v>
      </c>
      <c r="S30" s="14" t="s">
        <v>116</v>
      </c>
      <c r="T30" s="14">
        <v>999</v>
      </c>
      <c r="U30" s="14" t="s">
        <v>117</v>
      </c>
      <c r="V30" s="14">
        <v>105700</v>
      </c>
      <c r="X30" s="14" t="s">
        <v>140</v>
      </c>
      <c r="Y30" s="14" t="s">
        <v>119</v>
      </c>
      <c r="Z30" s="14">
        <v>20001</v>
      </c>
      <c r="AA30" s="28" t="s">
        <v>120</v>
      </c>
      <c r="AB30" s="14">
        <v>40001</v>
      </c>
      <c r="AE30" s="29" t="s">
        <v>121</v>
      </c>
      <c r="AF30" s="30" t="s">
        <v>122</v>
      </c>
      <c r="AG30" s="14" t="s">
        <v>105</v>
      </c>
    </row>
    <row r="31" ht="16.5" customHeight="1" spans="2:33">
      <c r="B31" s="14">
        <f>10000000+INDEX(编号表!$B:$B,MATCH(H31,编号表!$A:$A,0))*100000+INDEX(编号表!$F:$F,MATCH(D31,编号表!$E:$E,0))*10000+INDEX(编号表!$D:$D,MATCH(AG31,编号表!$C:$C,0))*1000+F31</f>
        <v>10920002</v>
      </c>
      <c r="C31" s="14" t="s">
        <v>141</v>
      </c>
      <c r="D31" s="14" t="s">
        <v>112</v>
      </c>
      <c r="E31" s="14" t="s">
        <v>105</v>
      </c>
      <c r="F31" s="14">
        <v>2</v>
      </c>
      <c r="G31" s="14">
        <v>60</v>
      </c>
      <c r="H31" s="14" t="s">
        <v>139</v>
      </c>
      <c r="I31" s="14" t="s">
        <v>75</v>
      </c>
      <c r="J31" s="14" t="s">
        <v>114</v>
      </c>
      <c r="K31" s="14">
        <v>1</v>
      </c>
      <c r="L31" s="14" t="s">
        <v>115</v>
      </c>
      <c r="N31" s="14">
        <v>0</v>
      </c>
      <c r="O31" s="14" t="b">
        <v>1</v>
      </c>
      <c r="Q31" s="14" t="b">
        <v>0</v>
      </c>
      <c r="R31" s="14">
        <v>7</v>
      </c>
      <c r="S31" s="14" t="s">
        <v>116</v>
      </c>
      <c r="T31" s="14">
        <v>999</v>
      </c>
      <c r="U31" s="14" t="s">
        <v>117</v>
      </c>
      <c r="V31" s="14">
        <v>105800</v>
      </c>
      <c r="X31" s="14" t="s">
        <v>142</v>
      </c>
      <c r="Y31" s="14" t="s">
        <v>119</v>
      </c>
      <c r="Z31" s="14">
        <v>20001</v>
      </c>
      <c r="AA31" s="28" t="s">
        <v>120</v>
      </c>
      <c r="AB31" s="14">
        <v>40001</v>
      </c>
      <c r="AE31" s="29" t="s">
        <v>121</v>
      </c>
      <c r="AF31" s="30" t="s">
        <v>122</v>
      </c>
      <c r="AG31" s="14" t="s">
        <v>105</v>
      </c>
    </row>
    <row r="32" ht="16.5" customHeight="1" spans="2:33">
      <c r="B32" s="14">
        <f>10000000+INDEX(编号表!$B:$B,MATCH(H32,编号表!$A:$A,0))*100000+INDEX(编号表!$F:$F,MATCH(D32,编号表!$E:$E,0))*10000+INDEX(编号表!$D:$D,MATCH(AG32,编号表!$C:$C,0))*1000+F32</f>
        <v>10920003</v>
      </c>
      <c r="C32" s="14" t="s">
        <v>143</v>
      </c>
      <c r="D32" s="14" t="s">
        <v>112</v>
      </c>
      <c r="E32" s="14" t="s">
        <v>105</v>
      </c>
      <c r="F32" s="14">
        <v>3</v>
      </c>
      <c r="G32" s="14">
        <v>60</v>
      </c>
      <c r="H32" s="14" t="s">
        <v>139</v>
      </c>
      <c r="I32" s="14" t="s">
        <v>75</v>
      </c>
      <c r="J32" s="14" t="s">
        <v>114</v>
      </c>
      <c r="K32" s="14">
        <v>1</v>
      </c>
      <c r="L32" s="14" t="s">
        <v>115</v>
      </c>
      <c r="N32" s="14">
        <v>0</v>
      </c>
      <c r="O32" s="14" t="b">
        <v>1</v>
      </c>
      <c r="Q32" s="14" t="b">
        <v>0</v>
      </c>
      <c r="R32" s="14">
        <v>7</v>
      </c>
      <c r="S32" s="14" t="s">
        <v>116</v>
      </c>
      <c r="T32" s="14">
        <v>999</v>
      </c>
      <c r="U32" s="14" t="s">
        <v>117</v>
      </c>
      <c r="V32" s="14">
        <v>105900</v>
      </c>
      <c r="X32" s="14" t="s">
        <v>144</v>
      </c>
      <c r="Y32" s="14" t="s">
        <v>119</v>
      </c>
      <c r="Z32" s="14">
        <v>20001</v>
      </c>
      <c r="AA32" s="28" t="s">
        <v>120</v>
      </c>
      <c r="AB32" s="14">
        <v>40001</v>
      </c>
      <c r="AE32" s="29" t="s">
        <v>121</v>
      </c>
      <c r="AF32" s="30" t="s">
        <v>122</v>
      </c>
      <c r="AG32" s="14" t="s">
        <v>105</v>
      </c>
    </row>
    <row r="33" ht="16.5" customHeight="1" spans="2:33">
      <c r="B33" s="14">
        <f>10000000+INDEX(编号表!$B:$B,MATCH(H33,编号表!$A:$A,0))*100000+INDEX(编号表!$F:$F,MATCH(D33,编号表!$E:$E,0))*10000+INDEX(编号表!$D:$D,MATCH(AG33,编号表!$C:$C,0))*1000+F33</f>
        <v>10920004</v>
      </c>
      <c r="C33" s="14" t="s">
        <v>145</v>
      </c>
      <c r="D33" s="14" t="s">
        <v>112</v>
      </c>
      <c r="E33" s="14" t="s">
        <v>105</v>
      </c>
      <c r="F33" s="14">
        <v>4</v>
      </c>
      <c r="G33" s="14">
        <v>60</v>
      </c>
      <c r="H33" s="14" t="s">
        <v>139</v>
      </c>
      <c r="I33" s="14" t="s">
        <v>75</v>
      </c>
      <c r="J33" s="14" t="s">
        <v>114</v>
      </c>
      <c r="K33" s="14">
        <v>1</v>
      </c>
      <c r="L33" s="14" t="s">
        <v>115</v>
      </c>
      <c r="N33" s="14">
        <v>0</v>
      </c>
      <c r="O33" s="14" t="b">
        <v>1</v>
      </c>
      <c r="Q33" s="14" t="b">
        <v>0</v>
      </c>
      <c r="R33" s="14">
        <v>7</v>
      </c>
      <c r="S33" s="14" t="s">
        <v>116</v>
      </c>
      <c r="T33" s="14">
        <v>999</v>
      </c>
      <c r="U33" s="14" t="s">
        <v>117</v>
      </c>
      <c r="V33" s="14">
        <v>106000</v>
      </c>
      <c r="X33" s="14" t="s">
        <v>146</v>
      </c>
      <c r="Y33" s="14" t="s">
        <v>119</v>
      </c>
      <c r="Z33" s="14">
        <v>20001</v>
      </c>
      <c r="AA33" s="28" t="s">
        <v>120</v>
      </c>
      <c r="AB33" s="14">
        <v>40001</v>
      </c>
      <c r="AE33" s="29" t="s">
        <v>121</v>
      </c>
      <c r="AF33" s="30" t="s">
        <v>122</v>
      </c>
      <c r="AG33" s="14" t="s">
        <v>105</v>
      </c>
    </row>
    <row r="34" ht="16.5" customHeight="1" spans="2:33">
      <c r="B34" s="14">
        <f>10000000+INDEX(编号表!$B:$B,MATCH(H34,编号表!$A:$A,0))*100000+INDEX(编号表!$F:$F,MATCH(D34,编号表!$E:$E,0))*10000+INDEX(编号表!$D:$D,MATCH(AG34,编号表!$C:$C,0))*1000+F34</f>
        <v>10920005</v>
      </c>
      <c r="C34" s="14" t="s">
        <v>147</v>
      </c>
      <c r="D34" s="14" t="s">
        <v>112</v>
      </c>
      <c r="E34" s="14" t="s">
        <v>105</v>
      </c>
      <c r="F34" s="14">
        <v>5</v>
      </c>
      <c r="G34" s="14">
        <v>60</v>
      </c>
      <c r="H34" s="14" t="s">
        <v>139</v>
      </c>
      <c r="I34" s="14" t="s">
        <v>75</v>
      </c>
      <c r="J34" s="14" t="s">
        <v>114</v>
      </c>
      <c r="K34" s="14">
        <v>1</v>
      </c>
      <c r="L34" s="14" t="s">
        <v>115</v>
      </c>
      <c r="N34" s="14">
        <v>0</v>
      </c>
      <c r="O34" s="14" t="b">
        <v>1</v>
      </c>
      <c r="Q34" s="14" t="b">
        <v>0</v>
      </c>
      <c r="R34" s="14">
        <v>7</v>
      </c>
      <c r="S34" s="14" t="s">
        <v>116</v>
      </c>
      <c r="T34" s="14">
        <v>999</v>
      </c>
      <c r="U34" s="14" t="s">
        <v>117</v>
      </c>
      <c r="V34" s="14">
        <v>106100</v>
      </c>
      <c r="X34" s="14" t="s">
        <v>148</v>
      </c>
      <c r="Y34" s="14" t="s">
        <v>119</v>
      </c>
      <c r="Z34" s="14">
        <v>20001</v>
      </c>
      <c r="AA34" s="28" t="s">
        <v>120</v>
      </c>
      <c r="AB34" s="14">
        <v>40001</v>
      </c>
      <c r="AE34" s="29" t="s">
        <v>121</v>
      </c>
      <c r="AF34" s="30" t="s">
        <v>122</v>
      </c>
      <c r="AG34" s="14" t="s">
        <v>105</v>
      </c>
    </row>
    <row r="35" ht="16.5" customHeight="1" spans="2:33">
      <c r="B35" s="14">
        <f>10000000+INDEX(编号表!$B:$B,MATCH(H35,编号表!$A:$A,0))*100000+INDEX(编号表!$F:$F,MATCH(D35,编号表!$E:$E,0))*10000+INDEX(编号表!$D:$D,MATCH(AG35,编号表!$C:$C,0))*1000+F35</f>
        <v>10920006</v>
      </c>
      <c r="C35" s="14" t="s">
        <v>149</v>
      </c>
      <c r="D35" s="14" t="s">
        <v>112</v>
      </c>
      <c r="E35" s="14" t="s">
        <v>105</v>
      </c>
      <c r="F35" s="14">
        <v>6</v>
      </c>
      <c r="G35" s="14">
        <v>60</v>
      </c>
      <c r="H35" s="14" t="s">
        <v>139</v>
      </c>
      <c r="I35" s="14" t="s">
        <v>75</v>
      </c>
      <c r="J35" s="14" t="s">
        <v>114</v>
      </c>
      <c r="K35" s="14">
        <v>1</v>
      </c>
      <c r="L35" s="14" t="s">
        <v>115</v>
      </c>
      <c r="N35" s="14">
        <v>0</v>
      </c>
      <c r="O35" s="14" t="b">
        <v>1</v>
      </c>
      <c r="Q35" s="14" t="b">
        <v>0</v>
      </c>
      <c r="R35" s="14">
        <v>7</v>
      </c>
      <c r="S35" s="14" t="s">
        <v>116</v>
      </c>
      <c r="T35" s="14">
        <v>999</v>
      </c>
      <c r="U35" s="14" t="s">
        <v>117</v>
      </c>
      <c r="V35" s="14">
        <v>106200</v>
      </c>
      <c r="X35" s="14" t="s">
        <v>150</v>
      </c>
      <c r="Y35" s="14" t="s">
        <v>119</v>
      </c>
      <c r="Z35" s="14">
        <v>20001</v>
      </c>
      <c r="AA35" s="28" t="s">
        <v>120</v>
      </c>
      <c r="AB35" s="14">
        <v>40001</v>
      </c>
      <c r="AE35" s="29" t="s">
        <v>121</v>
      </c>
      <c r="AF35" s="30" t="s">
        <v>122</v>
      </c>
      <c r="AG35" s="14" t="s">
        <v>105</v>
      </c>
    </row>
    <row r="36" ht="16.5" customHeight="1" spans="2:33">
      <c r="B36" s="14">
        <f>10000000+INDEX(编号表!$B:$B,MATCH(H36,编号表!$A:$A,0))*100000+INDEX(编号表!$F:$F,MATCH(D36,编号表!$E:$E,0))*10000+INDEX(编号表!$D:$D,MATCH(AG36,编号表!$C:$C,0))*1000+F36</f>
        <v>10920007</v>
      </c>
      <c r="C36" s="14" t="s">
        <v>151</v>
      </c>
      <c r="D36" s="14" t="s">
        <v>112</v>
      </c>
      <c r="E36" s="14" t="s">
        <v>105</v>
      </c>
      <c r="F36" s="14">
        <v>7</v>
      </c>
      <c r="G36" s="14">
        <v>60</v>
      </c>
      <c r="H36" s="14" t="s">
        <v>139</v>
      </c>
      <c r="I36" s="14" t="s">
        <v>75</v>
      </c>
      <c r="J36" s="14" t="s">
        <v>114</v>
      </c>
      <c r="K36" s="14">
        <v>1</v>
      </c>
      <c r="L36" s="14" t="s">
        <v>115</v>
      </c>
      <c r="N36" s="14">
        <v>0</v>
      </c>
      <c r="O36" s="14" t="b">
        <v>1</v>
      </c>
      <c r="Q36" s="14" t="b">
        <v>0</v>
      </c>
      <c r="R36" s="14">
        <v>7</v>
      </c>
      <c r="S36" s="14" t="s">
        <v>116</v>
      </c>
      <c r="T36" s="14">
        <v>999</v>
      </c>
      <c r="U36" s="14" t="s">
        <v>117</v>
      </c>
      <c r="V36" s="14">
        <v>106300</v>
      </c>
      <c r="X36" s="14" t="s">
        <v>152</v>
      </c>
      <c r="Y36" s="14" t="s">
        <v>119</v>
      </c>
      <c r="Z36" s="14">
        <v>20001</v>
      </c>
      <c r="AA36" s="28" t="s">
        <v>120</v>
      </c>
      <c r="AB36" s="14">
        <v>40001</v>
      </c>
      <c r="AE36" s="29" t="s">
        <v>121</v>
      </c>
      <c r="AF36" s="30" t="s">
        <v>122</v>
      </c>
      <c r="AG36" s="14" t="s">
        <v>105</v>
      </c>
    </row>
    <row r="37" ht="16.5" customHeight="1" spans="2:33">
      <c r="B37" s="14">
        <f>10000000+INDEX(编号表!$B:$B,MATCH(H37,编号表!$A:$A,0))*100000+INDEX(编号表!$F:$F,MATCH(D37,编号表!$E:$E,0))*10000+INDEX(编号表!$D:$D,MATCH(AG37,编号表!$C:$C,0))*1000+F37</f>
        <v>10920008</v>
      </c>
      <c r="C37" s="14" t="s">
        <v>153</v>
      </c>
      <c r="D37" s="14" t="s">
        <v>112</v>
      </c>
      <c r="E37" s="14" t="s">
        <v>105</v>
      </c>
      <c r="F37" s="14">
        <v>8</v>
      </c>
      <c r="G37" s="14">
        <v>60</v>
      </c>
      <c r="H37" s="14" t="s">
        <v>139</v>
      </c>
      <c r="I37" s="14" t="s">
        <v>75</v>
      </c>
      <c r="J37" s="14" t="s">
        <v>114</v>
      </c>
      <c r="K37" s="14">
        <v>1</v>
      </c>
      <c r="L37" s="14" t="s">
        <v>115</v>
      </c>
      <c r="N37" s="14">
        <v>0</v>
      </c>
      <c r="O37" s="14" t="b">
        <v>1</v>
      </c>
      <c r="Q37" s="14" t="b">
        <v>0</v>
      </c>
      <c r="R37" s="14">
        <v>7</v>
      </c>
      <c r="S37" s="14" t="s">
        <v>116</v>
      </c>
      <c r="T37" s="14">
        <v>999</v>
      </c>
      <c r="U37" s="14" t="s">
        <v>117</v>
      </c>
      <c r="V37" s="14">
        <v>106400</v>
      </c>
      <c r="X37" s="14" t="s">
        <v>154</v>
      </c>
      <c r="Y37" s="14" t="s">
        <v>119</v>
      </c>
      <c r="Z37" s="14">
        <v>20001</v>
      </c>
      <c r="AA37" s="28" t="s">
        <v>120</v>
      </c>
      <c r="AB37" s="14">
        <v>40001</v>
      </c>
      <c r="AE37" s="29" t="s">
        <v>121</v>
      </c>
      <c r="AF37" s="30" t="s">
        <v>122</v>
      </c>
      <c r="AG37" s="14" t="s">
        <v>105</v>
      </c>
    </row>
    <row r="38" ht="16.5" customHeight="1" spans="2:33">
      <c r="B38" s="14">
        <f>10000000+INDEX(编号表!$B:$B,MATCH(H38,编号表!$A:$A,0))*100000+INDEX(编号表!$F:$F,MATCH(D38,编号表!$E:$E,0))*10000+INDEX(编号表!$D:$D,MATCH(AG38,编号表!$C:$C,0))*1000+F38</f>
        <v>10920009</v>
      </c>
      <c r="C38" s="14" t="s">
        <v>155</v>
      </c>
      <c r="D38" s="14" t="s">
        <v>112</v>
      </c>
      <c r="E38" s="14" t="s">
        <v>105</v>
      </c>
      <c r="F38" s="14">
        <v>9</v>
      </c>
      <c r="G38" s="14">
        <v>60</v>
      </c>
      <c r="H38" s="14" t="s">
        <v>139</v>
      </c>
      <c r="I38" s="14" t="s">
        <v>75</v>
      </c>
      <c r="J38" s="14" t="s">
        <v>114</v>
      </c>
      <c r="K38" s="14">
        <v>1</v>
      </c>
      <c r="L38" s="14" t="s">
        <v>115</v>
      </c>
      <c r="N38" s="14">
        <v>0</v>
      </c>
      <c r="O38" s="14" t="b">
        <v>1</v>
      </c>
      <c r="Q38" s="14" t="b">
        <v>0</v>
      </c>
      <c r="R38" s="14">
        <v>7</v>
      </c>
      <c r="S38" s="14" t="s">
        <v>116</v>
      </c>
      <c r="T38" s="14">
        <v>999</v>
      </c>
      <c r="U38" s="14" t="s">
        <v>117</v>
      </c>
      <c r="V38" s="14">
        <v>106500</v>
      </c>
      <c r="X38" s="14" t="s">
        <v>156</v>
      </c>
      <c r="Y38" s="14" t="s">
        <v>119</v>
      </c>
      <c r="Z38" s="14">
        <v>20001</v>
      </c>
      <c r="AA38" s="28" t="s">
        <v>120</v>
      </c>
      <c r="AB38" s="14">
        <v>40001</v>
      </c>
      <c r="AE38" s="29" t="s">
        <v>121</v>
      </c>
      <c r="AF38" s="30" t="s">
        <v>122</v>
      </c>
      <c r="AG38" s="14" t="s">
        <v>105</v>
      </c>
    </row>
    <row r="39" ht="16.5" customHeight="1" spans="2:33">
      <c r="B39" s="14">
        <f>10000000+INDEX(编号表!$B:$B,MATCH(H39,编号表!$A:$A,0))*100000+INDEX(编号表!$F:$F,MATCH(D39,编号表!$E:$E,0))*10000+INDEX(编号表!$D:$D,MATCH(AG39,编号表!$C:$C,0))*1000+F39</f>
        <v>10920010</v>
      </c>
      <c r="C39" s="14" t="s">
        <v>157</v>
      </c>
      <c r="D39" s="14" t="s">
        <v>112</v>
      </c>
      <c r="E39" s="14" t="s">
        <v>105</v>
      </c>
      <c r="F39" s="14">
        <v>10</v>
      </c>
      <c r="G39" s="14">
        <v>60</v>
      </c>
      <c r="H39" s="14" t="s">
        <v>139</v>
      </c>
      <c r="I39" s="14" t="s">
        <v>75</v>
      </c>
      <c r="J39" s="14" t="s">
        <v>114</v>
      </c>
      <c r="K39" s="14">
        <v>1</v>
      </c>
      <c r="L39" s="14" t="s">
        <v>115</v>
      </c>
      <c r="N39" s="14">
        <v>0</v>
      </c>
      <c r="O39" s="14" t="b">
        <v>1</v>
      </c>
      <c r="Q39" s="14" t="b">
        <v>0</v>
      </c>
      <c r="R39" s="14">
        <v>7</v>
      </c>
      <c r="S39" s="14" t="s">
        <v>116</v>
      </c>
      <c r="T39" s="14">
        <v>999</v>
      </c>
      <c r="U39" s="14" t="s">
        <v>117</v>
      </c>
      <c r="V39" s="14">
        <v>106600</v>
      </c>
      <c r="X39" s="14" t="s">
        <v>158</v>
      </c>
      <c r="Y39" s="14" t="s">
        <v>119</v>
      </c>
      <c r="Z39" s="14">
        <v>20001</v>
      </c>
      <c r="AA39" s="28" t="s">
        <v>120</v>
      </c>
      <c r="AB39" s="14">
        <v>40001</v>
      </c>
      <c r="AE39" s="29" t="s">
        <v>121</v>
      </c>
      <c r="AF39" s="30" t="s">
        <v>122</v>
      </c>
      <c r="AG39" s="14" t="s">
        <v>105</v>
      </c>
    </row>
    <row r="40" ht="16.5" customHeight="1" spans="2:33">
      <c r="B40" s="14">
        <f>10000000+INDEX(编号表!$B:$B,MATCH(H40,编号表!$A:$A,0))*100000+INDEX(编号表!$F:$F,MATCH(D40,编号表!$E:$E,0))*10000+INDEX(编号表!$D:$D,MATCH(AG40,编号表!$C:$C,0))*1000+F40</f>
        <v>10920011</v>
      </c>
      <c r="C40" s="14" t="s">
        <v>159</v>
      </c>
      <c r="D40" s="14" t="s">
        <v>112</v>
      </c>
      <c r="E40" s="14" t="s">
        <v>105</v>
      </c>
      <c r="F40" s="14">
        <v>11</v>
      </c>
      <c r="G40" s="14">
        <v>60</v>
      </c>
      <c r="H40" s="14" t="s">
        <v>139</v>
      </c>
      <c r="I40" s="14" t="s">
        <v>75</v>
      </c>
      <c r="J40" s="14" t="s">
        <v>114</v>
      </c>
      <c r="K40" s="14">
        <v>1</v>
      </c>
      <c r="L40" s="14" t="s">
        <v>115</v>
      </c>
      <c r="N40" s="14">
        <v>0</v>
      </c>
      <c r="O40" s="14" t="b">
        <v>1</v>
      </c>
      <c r="Q40" s="14" t="b">
        <v>0</v>
      </c>
      <c r="R40" s="14">
        <v>7</v>
      </c>
      <c r="S40" s="14" t="s">
        <v>116</v>
      </c>
      <c r="T40" s="14">
        <v>999</v>
      </c>
      <c r="U40" s="14" t="s">
        <v>117</v>
      </c>
      <c r="V40" s="14">
        <v>106700</v>
      </c>
      <c r="X40" s="14" t="s">
        <v>160</v>
      </c>
      <c r="Y40" s="14" t="s">
        <v>119</v>
      </c>
      <c r="Z40" s="14">
        <v>20001</v>
      </c>
      <c r="AA40" s="28" t="s">
        <v>120</v>
      </c>
      <c r="AB40" s="14">
        <v>40001</v>
      </c>
      <c r="AE40" s="29" t="s">
        <v>121</v>
      </c>
      <c r="AF40" s="30" t="s">
        <v>122</v>
      </c>
      <c r="AG40" s="14" t="s">
        <v>105</v>
      </c>
    </row>
    <row r="41" ht="16.5" customHeight="1" spans="2:33">
      <c r="B41" s="14">
        <f>10000000+INDEX(编号表!$B:$B,MATCH(H41,编号表!$A:$A,0))*100000+INDEX(编号表!$F:$F,MATCH(D41,编号表!$E:$E,0))*10000+INDEX(编号表!$D:$D,MATCH(AG41,编号表!$C:$C,0))*1000+F41</f>
        <v>10920012</v>
      </c>
      <c r="C41" s="14" t="s">
        <v>161</v>
      </c>
      <c r="D41" s="14" t="s">
        <v>112</v>
      </c>
      <c r="E41" s="14" t="s">
        <v>105</v>
      </c>
      <c r="F41" s="14">
        <v>12</v>
      </c>
      <c r="G41" s="14">
        <v>60</v>
      </c>
      <c r="H41" s="14" t="s">
        <v>139</v>
      </c>
      <c r="I41" s="14" t="s">
        <v>75</v>
      </c>
      <c r="J41" s="14" t="s">
        <v>114</v>
      </c>
      <c r="K41" s="14">
        <v>1</v>
      </c>
      <c r="L41" s="14" t="s">
        <v>115</v>
      </c>
      <c r="N41" s="14">
        <v>0</v>
      </c>
      <c r="O41" s="14" t="b">
        <v>1</v>
      </c>
      <c r="Q41" s="14" t="b">
        <v>0</v>
      </c>
      <c r="R41" s="14">
        <v>7</v>
      </c>
      <c r="S41" s="14" t="s">
        <v>116</v>
      </c>
      <c r="T41" s="14">
        <v>999</v>
      </c>
      <c r="U41" s="14" t="s">
        <v>117</v>
      </c>
      <c r="V41" s="14">
        <v>106800</v>
      </c>
      <c r="X41" s="14" t="s">
        <v>162</v>
      </c>
      <c r="Y41" s="14" t="s">
        <v>119</v>
      </c>
      <c r="Z41" s="14">
        <v>20001</v>
      </c>
      <c r="AA41" s="28" t="s">
        <v>120</v>
      </c>
      <c r="AB41" s="14">
        <v>40001</v>
      </c>
      <c r="AE41" s="29" t="s">
        <v>121</v>
      </c>
      <c r="AF41" s="30" t="s">
        <v>122</v>
      </c>
      <c r="AG41" s="14" t="s">
        <v>105</v>
      </c>
    </row>
    <row r="42" ht="16.5" customHeight="1" spans="2:33">
      <c r="B42" s="14">
        <f>10000000+INDEX(编号表!$B:$B,MATCH(H42,编号表!$A:$A,0))*100000+INDEX(编号表!$F:$F,MATCH(D42,编号表!$E:$E,0))*10000+INDEX(编号表!$D:$D,MATCH(AG42,编号表!$C:$C,0))*1000+F42</f>
        <v>10920013</v>
      </c>
      <c r="C42" s="14" t="s">
        <v>163</v>
      </c>
      <c r="D42" s="14" t="s">
        <v>112</v>
      </c>
      <c r="E42" s="14" t="s">
        <v>105</v>
      </c>
      <c r="F42" s="14">
        <v>13</v>
      </c>
      <c r="G42" s="14">
        <v>60</v>
      </c>
      <c r="H42" s="14" t="s">
        <v>139</v>
      </c>
      <c r="I42" s="14" t="s">
        <v>75</v>
      </c>
      <c r="J42" s="14" t="s">
        <v>114</v>
      </c>
      <c r="K42" s="14">
        <v>1</v>
      </c>
      <c r="L42" s="14" t="s">
        <v>115</v>
      </c>
      <c r="N42" s="14">
        <v>0</v>
      </c>
      <c r="O42" s="14" t="b">
        <v>1</v>
      </c>
      <c r="Q42" s="14" t="b">
        <v>0</v>
      </c>
      <c r="R42" s="14">
        <v>7</v>
      </c>
      <c r="S42" s="14" t="s">
        <v>116</v>
      </c>
      <c r="T42" s="14">
        <v>999</v>
      </c>
      <c r="U42" s="14" t="s">
        <v>117</v>
      </c>
      <c r="V42" s="14">
        <v>106900</v>
      </c>
      <c r="X42" s="14" t="s">
        <v>164</v>
      </c>
      <c r="Y42" s="14" t="s">
        <v>119</v>
      </c>
      <c r="Z42" s="14">
        <v>20001</v>
      </c>
      <c r="AA42" s="28" t="s">
        <v>120</v>
      </c>
      <c r="AB42" s="14">
        <v>40001</v>
      </c>
      <c r="AE42" s="29" t="s">
        <v>121</v>
      </c>
      <c r="AF42" s="30" t="s">
        <v>122</v>
      </c>
      <c r="AG42" s="14" t="s">
        <v>105</v>
      </c>
    </row>
    <row r="43" ht="16.5" customHeight="1" spans="2:33">
      <c r="B43" s="14">
        <f>10000000+INDEX(编号表!$B:$B,MATCH(H43,编号表!$A:$A,0))*100000+INDEX(编号表!$F:$F,MATCH(D43,编号表!$E:$E,0))*10000+INDEX(编号表!$D:$D,MATCH(AG43,编号表!$C:$C,0))*1000+F43</f>
        <v>10920014</v>
      </c>
      <c r="C43" s="14" t="s">
        <v>165</v>
      </c>
      <c r="D43" s="14" t="s">
        <v>112</v>
      </c>
      <c r="E43" s="14" t="s">
        <v>105</v>
      </c>
      <c r="F43" s="14">
        <v>14</v>
      </c>
      <c r="G43" s="14">
        <v>60</v>
      </c>
      <c r="H43" s="14" t="s">
        <v>139</v>
      </c>
      <c r="I43" s="14" t="s">
        <v>75</v>
      </c>
      <c r="J43" s="14" t="s">
        <v>114</v>
      </c>
      <c r="K43" s="14">
        <v>1</v>
      </c>
      <c r="L43" s="14" t="s">
        <v>115</v>
      </c>
      <c r="N43" s="14">
        <v>0</v>
      </c>
      <c r="O43" s="14" t="b">
        <v>1</v>
      </c>
      <c r="Q43" s="14" t="b">
        <v>0</v>
      </c>
      <c r="R43" s="14">
        <v>7</v>
      </c>
      <c r="S43" s="14" t="s">
        <v>116</v>
      </c>
      <c r="T43" s="14">
        <v>999</v>
      </c>
      <c r="U43" s="14" t="s">
        <v>117</v>
      </c>
      <c r="V43" s="14">
        <v>107000</v>
      </c>
      <c r="X43" s="14" t="s">
        <v>166</v>
      </c>
      <c r="Y43" s="14" t="s">
        <v>119</v>
      </c>
      <c r="Z43" s="14">
        <v>20001</v>
      </c>
      <c r="AA43" s="28" t="s">
        <v>120</v>
      </c>
      <c r="AB43" s="14">
        <v>40001</v>
      </c>
      <c r="AE43" s="29" t="s">
        <v>121</v>
      </c>
      <c r="AF43" s="30" t="s">
        <v>122</v>
      </c>
      <c r="AG43" s="14" t="s">
        <v>105</v>
      </c>
    </row>
    <row r="44" ht="16.5" customHeight="1" spans="2:33">
      <c r="B44" s="14">
        <f>10000000+INDEX(编号表!$B:$B,MATCH(H44,编号表!$A:$A,0))*100000+INDEX(编号表!$F:$F,MATCH(D44,编号表!$E:$E,0))*10000+INDEX(编号表!$D:$D,MATCH(AG44,编号表!$C:$C,0))*1000+F44</f>
        <v>10920015</v>
      </c>
      <c r="C44" s="14" t="s">
        <v>167</v>
      </c>
      <c r="D44" s="14" t="s">
        <v>112</v>
      </c>
      <c r="E44" s="14" t="s">
        <v>105</v>
      </c>
      <c r="F44" s="14">
        <v>15</v>
      </c>
      <c r="G44" s="14">
        <v>60</v>
      </c>
      <c r="H44" s="14" t="s">
        <v>139</v>
      </c>
      <c r="I44" s="14" t="s">
        <v>75</v>
      </c>
      <c r="J44" s="14" t="s">
        <v>114</v>
      </c>
      <c r="K44" s="14">
        <v>1</v>
      </c>
      <c r="L44" s="14" t="s">
        <v>115</v>
      </c>
      <c r="N44" s="14">
        <v>0</v>
      </c>
      <c r="O44" s="14" t="b">
        <v>1</v>
      </c>
      <c r="Q44" s="14" t="b">
        <v>0</v>
      </c>
      <c r="R44" s="14">
        <v>7</v>
      </c>
      <c r="S44" s="14" t="s">
        <v>116</v>
      </c>
      <c r="T44" s="14">
        <v>999</v>
      </c>
      <c r="U44" s="14" t="s">
        <v>117</v>
      </c>
      <c r="V44" s="14">
        <v>107100</v>
      </c>
      <c r="X44" s="14" t="s">
        <v>168</v>
      </c>
      <c r="Y44" s="14" t="s">
        <v>119</v>
      </c>
      <c r="Z44" s="14">
        <v>20001</v>
      </c>
      <c r="AA44" s="28" t="s">
        <v>120</v>
      </c>
      <c r="AB44" s="14">
        <v>40001</v>
      </c>
      <c r="AE44" s="29" t="s">
        <v>121</v>
      </c>
      <c r="AF44" s="30" t="s">
        <v>122</v>
      </c>
      <c r="AG44" s="14" t="s">
        <v>105</v>
      </c>
    </row>
    <row r="45" ht="16.5" customHeight="1" spans="2:33">
      <c r="B45" s="14">
        <f>10000000+INDEX(编号表!$B:$B,MATCH(H45,编号表!$A:$A,0))*100000+INDEX(编号表!$F:$F,MATCH(D45,编号表!$E:$E,0))*10000+INDEX(编号表!$D:$D,MATCH(AG45,编号表!$C:$C,0))*1000+F45</f>
        <v>10920016</v>
      </c>
      <c r="C45" s="14" t="s">
        <v>169</v>
      </c>
      <c r="D45" s="14" t="s">
        <v>112</v>
      </c>
      <c r="E45" s="14" t="s">
        <v>105</v>
      </c>
      <c r="F45" s="14">
        <v>16</v>
      </c>
      <c r="G45" s="14">
        <v>60</v>
      </c>
      <c r="H45" s="14" t="s">
        <v>139</v>
      </c>
      <c r="I45" s="14" t="s">
        <v>75</v>
      </c>
      <c r="J45" s="14" t="s">
        <v>114</v>
      </c>
      <c r="K45" s="14">
        <v>1</v>
      </c>
      <c r="L45" s="14" t="s">
        <v>115</v>
      </c>
      <c r="N45" s="14">
        <v>0</v>
      </c>
      <c r="O45" s="14" t="b">
        <v>1</v>
      </c>
      <c r="Q45" s="14" t="b">
        <v>0</v>
      </c>
      <c r="R45" s="14">
        <v>7</v>
      </c>
      <c r="S45" s="14" t="s">
        <v>116</v>
      </c>
      <c r="T45" s="14">
        <v>999</v>
      </c>
      <c r="U45" s="14" t="s">
        <v>117</v>
      </c>
      <c r="V45" s="14">
        <v>107200</v>
      </c>
      <c r="X45" s="14" t="s">
        <v>170</v>
      </c>
      <c r="Y45" s="14" t="s">
        <v>119</v>
      </c>
      <c r="Z45" s="14">
        <v>20001</v>
      </c>
      <c r="AA45" s="28" t="s">
        <v>120</v>
      </c>
      <c r="AB45" s="14">
        <v>40001</v>
      </c>
      <c r="AE45" s="29" t="s">
        <v>121</v>
      </c>
      <c r="AF45" s="30" t="s">
        <v>122</v>
      </c>
      <c r="AG45" s="14" t="s">
        <v>105</v>
      </c>
    </row>
    <row r="46" ht="16.5" customHeight="1" spans="2:33">
      <c r="B46" s="14">
        <f>10000000+INDEX(编号表!$B:$B,MATCH(H46,编号表!$A:$A,0))*100000+INDEX(编号表!$F:$F,MATCH(D46,编号表!$E:$E,0))*10000+INDEX(编号表!$D:$D,MATCH(AG46,编号表!$C:$C,0))*1000+F46</f>
        <v>10920017</v>
      </c>
      <c r="C46" s="14" t="s">
        <v>171</v>
      </c>
      <c r="D46" s="14" t="s">
        <v>112</v>
      </c>
      <c r="E46" s="14" t="s">
        <v>105</v>
      </c>
      <c r="F46" s="14">
        <v>17</v>
      </c>
      <c r="G46" s="14">
        <v>60</v>
      </c>
      <c r="H46" s="14" t="s">
        <v>139</v>
      </c>
      <c r="I46" s="14" t="s">
        <v>75</v>
      </c>
      <c r="J46" s="14" t="s">
        <v>114</v>
      </c>
      <c r="K46" s="14">
        <v>1</v>
      </c>
      <c r="L46" s="14" t="s">
        <v>115</v>
      </c>
      <c r="N46" s="14">
        <v>0</v>
      </c>
      <c r="O46" s="14" t="b">
        <v>1</v>
      </c>
      <c r="Q46" s="14" t="b">
        <v>0</v>
      </c>
      <c r="R46" s="14">
        <v>7</v>
      </c>
      <c r="S46" s="14" t="s">
        <v>116</v>
      </c>
      <c r="T46" s="14">
        <v>999</v>
      </c>
      <c r="U46" s="14" t="s">
        <v>117</v>
      </c>
      <c r="V46" s="14">
        <v>107300</v>
      </c>
      <c r="X46" s="14" t="s">
        <v>172</v>
      </c>
      <c r="Y46" s="14" t="s">
        <v>119</v>
      </c>
      <c r="Z46" s="14">
        <v>20001</v>
      </c>
      <c r="AA46" s="28" t="s">
        <v>120</v>
      </c>
      <c r="AB46" s="14">
        <v>40001</v>
      </c>
      <c r="AE46" s="29" t="s">
        <v>121</v>
      </c>
      <c r="AF46" s="30" t="s">
        <v>122</v>
      </c>
      <c r="AG46" s="14" t="s">
        <v>105</v>
      </c>
    </row>
    <row r="47" ht="16.5" customHeight="1" spans="2:33">
      <c r="B47" s="14">
        <f>10000000+INDEX(编号表!$B:$B,MATCH(H47,编号表!$A:$A,0))*100000+INDEX(编号表!$F:$F,MATCH(D47,编号表!$E:$E,0))*10000+INDEX(编号表!$D:$D,MATCH(AG47,编号表!$C:$C,0))*1000+F47</f>
        <v>10920018</v>
      </c>
      <c r="C47" s="14" t="s">
        <v>173</v>
      </c>
      <c r="D47" s="14" t="s">
        <v>112</v>
      </c>
      <c r="E47" s="14" t="s">
        <v>105</v>
      </c>
      <c r="F47" s="14">
        <v>18</v>
      </c>
      <c r="G47" s="14">
        <v>60</v>
      </c>
      <c r="H47" s="14" t="s">
        <v>139</v>
      </c>
      <c r="I47" s="14" t="s">
        <v>75</v>
      </c>
      <c r="J47" s="14" t="s">
        <v>114</v>
      </c>
      <c r="K47" s="14">
        <v>1</v>
      </c>
      <c r="L47" s="14" t="s">
        <v>115</v>
      </c>
      <c r="N47" s="14">
        <v>0</v>
      </c>
      <c r="O47" s="14" t="b">
        <v>1</v>
      </c>
      <c r="Q47" s="14" t="b">
        <v>0</v>
      </c>
      <c r="R47" s="14">
        <v>7</v>
      </c>
      <c r="S47" s="14" t="s">
        <v>116</v>
      </c>
      <c r="T47" s="14">
        <v>999</v>
      </c>
      <c r="U47" s="14" t="s">
        <v>117</v>
      </c>
      <c r="V47" s="14">
        <v>107400</v>
      </c>
      <c r="X47" s="14" t="s">
        <v>174</v>
      </c>
      <c r="Y47" s="14" t="s">
        <v>119</v>
      </c>
      <c r="Z47" s="14">
        <v>20001</v>
      </c>
      <c r="AA47" s="28" t="s">
        <v>120</v>
      </c>
      <c r="AB47" s="14">
        <v>40001</v>
      </c>
      <c r="AE47" s="29" t="s">
        <v>121</v>
      </c>
      <c r="AF47" s="30" t="s">
        <v>122</v>
      </c>
      <c r="AG47" s="14" t="s">
        <v>105</v>
      </c>
    </row>
    <row r="48" ht="16.5" customHeight="1" spans="2:33">
      <c r="B48" s="14">
        <f>10000000+INDEX(编号表!$B:$B,MATCH(H48,编号表!$A:$A,0))*100000+INDEX(编号表!$F:$F,MATCH(D48,编号表!$E:$E,0))*10000+INDEX(编号表!$D:$D,MATCH(AG48,编号表!$C:$C,0))*1000+F48</f>
        <v>10920019</v>
      </c>
      <c r="C48" s="14" t="s">
        <v>175</v>
      </c>
      <c r="D48" s="14" t="s">
        <v>112</v>
      </c>
      <c r="E48" s="14" t="s">
        <v>105</v>
      </c>
      <c r="F48" s="14">
        <v>19</v>
      </c>
      <c r="G48" s="14">
        <v>60</v>
      </c>
      <c r="H48" s="14" t="s">
        <v>139</v>
      </c>
      <c r="I48" s="14" t="s">
        <v>75</v>
      </c>
      <c r="J48" s="14" t="s">
        <v>114</v>
      </c>
      <c r="K48" s="14">
        <v>1</v>
      </c>
      <c r="L48" s="14" t="s">
        <v>115</v>
      </c>
      <c r="N48" s="14">
        <v>0</v>
      </c>
      <c r="O48" s="14" t="b">
        <v>1</v>
      </c>
      <c r="Q48" s="14" t="b">
        <v>0</v>
      </c>
      <c r="R48" s="14">
        <v>7</v>
      </c>
      <c r="S48" s="14" t="s">
        <v>116</v>
      </c>
      <c r="T48" s="14">
        <v>999</v>
      </c>
      <c r="U48" s="14" t="s">
        <v>117</v>
      </c>
      <c r="V48" s="14">
        <v>107500</v>
      </c>
      <c r="X48" s="14" t="s">
        <v>176</v>
      </c>
      <c r="Y48" s="14" t="s">
        <v>119</v>
      </c>
      <c r="Z48" s="14">
        <v>20001</v>
      </c>
      <c r="AA48" s="28" t="s">
        <v>120</v>
      </c>
      <c r="AB48" s="14">
        <v>40001</v>
      </c>
      <c r="AE48" s="29" t="s">
        <v>121</v>
      </c>
      <c r="AF48" s="30" t="s">
        <v>122</v>
      </c>
      <c r="AG48" s="14" t="s">
        <v>105</v>
      </c>
    </row>
    <row r="49" ht="16.5" customHeight="1" spans="2:33">
      <c r="B49" s="14">
        <f>10000000+INDEX(编号表!$B:$B,MATCH(H49,编号表!$A:$A,0))*100000+INDEX(编号表!$F:$F,MATCH(D49,编号表!$E:$E,0))*10000+INDEX(编号表!$D:$D,MATCH(AG49,编号表!$C:$C,0))*1000+F49</f>
        <v>10920020</v>
      </c>
      <c r="C49" s="14" t="s">
        <v>177</v>
      </c>
      <c r="D49" s="14" t="s">
        <v>112</v>
      </c>
      <c r="E49" s="14" t="s">
        <v>105</v>
      </c>
      <c r="F49" s="14">
        <v>20</v>
      </c>
      <c r="G49" s="14">
        <v>60</v>
      </c>
      <c r="H49" s="14" t="s">
        <v>139</v>
      </c>
      <c r="I49" s="14" t="s">
        <v>75</v>
      </c>
      <c r="J49" s="14" t="s">
        <v>114</v>
      </c>
      <c r="K49" s="14">
        <v>1</v>
      </c>
      <c r="L49" s="14" t="s">
        <v>115</v>
      </c>
      <c r="N49" s="14">
        <v>0</v>
      </c>
      <c r="O49" s="14" t="b">
        <v>1</v>
      </c>
      <c r="Q49" s="14" t="b">
        <v>0</v>
      </c>
      <c r="R49" s="14">
        <v>7</v>
      </c>
      <c r="S49" s="14" t="s">
        <v>116</v>
      </c>
      <c r="T49" s="14">
        <v>999</v>
      </c>
      <c r="U49" s="14" t="s">
        <v>117</v>
      </c>
      <c r="V49" s="14">
        <v>107600</v>
      </c>
      <c r="X49" s="14" t="s">
        <v>178</v>
      </c>
      <c r="Y49" s="14" t="s">
        <v>119</v>
      </c>
      <c r="Z49" s="14">
        <v>20001</v>
      </c>
      <c r="AA49" s="28" t="s">
        <v>120</v>
      </c>
      <c r="AB49" s="14">
        <v>40001</v>
      </c>
      <c r="AE49" s="29" t="s">
        <v>121</v>
      </c>
      <c r="AF49" s="30" t="s">
        <v>122</v>
      </c>
      <c r="AG49" s="14" t="s">
        <v>105</v>
      </c>
    </row>
    <row r="50" ht="16.5" customHeight="1" spans="2:33">
      <c r="B50" s="14">
        <f>10000000+INDEX(编号表!$B:$B,MATCH(H50,编号表!$A:$A,0))*100000+INDEX(编号表!$F:$F,MATCH(D50,编号表!$E:$E,0))*10000+INDEX(编号表!$D:$D,MATCH(AG50,编号表!$C:$C,0))*1000+F50</f>
        <v>10920021</v>
      </c>
      <c r="C50" s="14" t="s">
        <v>179</v>
      </c>
      <c r="D50" s="14" t="s">
        <v>112</v>
      </c>
      <c r="E50" s="14" t="s">
        <v>105</v>
      </c>
      <c r="F50" s="14">
        <v>21</v>
      </c>
      <c r="G50" s="14">
        <v>60</v>
      </c>
      <c r="H50" s="14" t="s">
        <v>139</v>
      </c>
      <c r="I50" s="14" t="s">
        <v>75</v>
      </c>
      <c r="J50" s="14" t="s">
        <v>114</v>
      </c>
      <c r="K50" s="14">
        <v>1</v>
      </c>
      <c r="L50" s="14" t="s">
        <v>115</v>
      </c>
      <c r="N50" s="14">
        <v>0</v>
      </c>
      <c r="O50" s="14" t="b">
        <v>1</v>
      </c>
      <c r="Q50" s="14" t="b">
        <v>0</v>
      </c>
      <c r="R50" s="14">
        <v>7</v>
      </c>
      <c r="S50" s="14" t="s">
        <v>116</v>
      </c>
      <c r="T50" s="14">
        <v>999</v>
      </c>
      <c r="U50" s="14" t="s">
        <v>117</v>
      </c>
      <c r="V50" s="14">
        <v>107700</v>
      </c>
      <c r="X50" s="14" t="s">
        <v>180</v>
      </c>
      <c r="Y50" s="14" t="s">
        <v>119</v>
      </c>
      <c r="Z50" s="14">
        <v>20001</v>
      </c>
      <c r="AA50" s="28" t="s">
        <v>120</v>
      </c>
      <c r="AB50" s="14">
        <v>40001</v>
      </c>
      <c r="AE50" s="29" t="s">
        <v>121</v>
      </c>
      <c r="AF50" s="30" t="s">
        <v>122</v>
      </c>
      <c r="AG50" s="14" t="s">
        <v>105</v>
      </c>
    </row>
    <row r="51" ht="16.5" customHeight="1" spans="2:33">
      <c r="B51" s="14">
        <f>10000000+INDEX(编号表!$B:$B,MATCH(H51,编号表!$A:$A,0))*100000+INDEX(编号表!$F:$F,MATCH(D51,编号表!$E:$E,0))*10000+INDEX(编号表!$D:$D,MATCH(AG51,编号表!$C:$C,0))*1000+F51</f>
        <v>10920022</v>
      </c>
      <c r="C51" s="14" t="s">
        <v>181</v>
      </c>
      <c r="D51" s="14" t="s">
        <v>112</v>
      </c>
      <c r="E51" s="14" t="s">
        <v>105</v>
      </c>
      <c r="F51" s="14">
        <v>22</v>
      </c>
      <c r="G51" s="14">
        <v>60</v>
      </c>
      <c r="H51" s="14" t="s">
        <v>139</v>
      </c>
      <c r="I51" s="14" t="s">
        <v>75</v>
      </c>
      <c r="J51" s="14" t="s">
        <v>114</v>
      </c>
      <c r="K51" s="14">
        <v>1</v>
      </c>
      <c r="L51" s="14" t="s">
        <v>115</v>
      </c>
      <c r="N51" s="14">
        <v>0</v>
      </c>
      <c r="O51" s="14" t="b">
        <v>1</v>
      </c>
      <c r="Q51" s="14" t="b">
        <v>0</v>
      </c>
      <c r="R51" s="14">
        <v>7</v>
      </c>
      <c r="S51" s="14" t="s">
        <v>116</v>
      </c>
      <c r="T51" s="14">
        <v>999</v>
      </c>
      <c r="U51" s="14" t="s">
        <v>117</v>
      </c>
      <c r="V51" s="14">
        <v>107800</v>
      </c>
      <c r="X51" s="14" t="s">
        <v>182</v>
      </c>
      <c r="Y51" s="14" t="s">
        <v>119</v>
      </c>
      <c r="Z51" s="14">
        <v>20001</v>
      </c>
      <c r="AA51" s="28" t="s">
        <v>120</v>
      </c>
      <c r="AB51" s="14">
        <v>40001</v>
      </c>
      <c r="AE51" s="29" t="s">
        <v>121</v>
      </c>
      <c r="AF51" s="30" t="s">
        <v>122</v>
      </c>
      <c r="AG51" s="14" t="s">
        <v>105</v>
      </c>
    </row>
    <row r="52" ht="16.5" customHeight="1" spans="2:33">
      <c r="B52" s="14">
        <f>10000000+INDEX(编号表!$B:$B,MATCH(H52,编号表!$A:$A,0))*100000+INDEX(编号表!$F:$F,MATCH(D52,编号表!$E:$E,0))*10000+INDEX(编号表!$D:$D,MATCH(AG52,编号表!$C:$C,0))*1000+F52</f>
        <v>10920023</v>
      </c>
      <c r="C52" s="14" t="s">
        <v>183</v>
      </c>
      <c r="D52" s="14" t="s">
        <v>112</v>
      </c>
      <c r="E52" s="14" t="s">
        <v>105</v>
      </c>
      <c r="F52" s="14">
        <v>23</v>
      </c>
      <c r="G52" s="14">
        <v>60</v>
      </c>
      <c r="H52" s="14" t="s">
        <v>139</v>
      </c>
      <c r="I52" s="14" t="s">
        <v>75</v>
      </c>
      <c r="J52" s="14" t="s">
        <v>114</v>
      </c>
      <c r="K52" s="14">
        <v>1</v>
      </c>
      <c r="L52" s="14" t="s">
        <v>115</v>
      </c>
      <c r="N52" s="14">
        <v>0</v>
      </c>
      <c r="O52" s="14" t="b">
        <v>1</v>
      </c>
      <c r="Q52" s="14" t="b">
        <v>0</v>
      </c>
      <c r="R52" s="14">
        <v>7</v>
      </c>
      <c r="S52" s="14" t="s">
        <v>116</v>
      </c>
      <c r="T52" s="14">
        <v>999</v>
      </c>
      <c r="U52" s="14" t="s">
        <v>117</v>
      </c>
      <c r="V52" s="14">
        <v>107900</v>
      </c>
      <c r="X52" s="14" t="s">
        <v>184</v>
      </c>
      <c r="Y52" s="14" t="s">
        <v>119</v>
      </c>
      <c r="Z52" s="14">
        <v>20001</v>
      </c>
      <c r="AA52" s="28" t="s">
        <v>120</v>
      </c>
      <c r="AB52" s="14">
        <v>40001</v>
      </c>
      <c r="AE52" s="29" t="s">
        <v>121</v>
      </c>
      <c r="AF52" s="30" t="s">
        <v>122</v>
      </c>
      <c r="AG52" s="14" t="s">
        <v>105</v>
      </c>
    </row>
    <row r="53" ht="16.5" customHeight="1" spans="2:33">
      <c r="B53" s="14">
        <f>10000000+INDEX(编号表!$B:$B,MATCH(H53,编号表!$A:$A,0))*100000+INDEX(编号表!$F:$F,MATCH(D53,编号表!$E:$E,0))*10000+INDEX(编号表!$D:$D,MATCH(AG53,编号表!$C:$C,0))*1000+F53</f>
        <v>10920024</v>
      </c>
      <c r="C53" s="14" t="s">
        <v>185</v>
      </c>
      <c r="D53" s="14" t="s">
        <v>112</v>
      </c>
      <c r="E53" s="14" t="s">
        <v>105</v>
      </c>
      <c r="F53" s="14">
        <v>24</v>
      </c>
      <c r="G53" s="14">
        <v>60</v>
      </c>
      <c r="H53" s="14" t="s">
        <v>139</v>
      </c>
      <c r="I53" s="14" t="s">
        <v>75</v>
      </c>
      <c r="J53" s="14" t="s">
        <v>114</v>
      </c>
      <c r="K53" s="14">
        <v>1</v>
      </c>
      <c r="L53" s="14" t="s">
        <v>115</v>
      </c>
      <c r="N53" s="14">
        <v>0</v>
      </c>
      <c r="O53" s="14" t="b">
        <v>1</v>
      </c>
      <c r="Q53" s="14" t="b">
        <v>0</v>
      </c>
      <c r="R53" s="14">
        <v>7</v>
      </c>
      <c r="S53" s="14" t="s">
        <v>116</v>
      </c>
      <c r="T53" s="14">
        <v>999</v>
      </c>
      <c r="U53" s="14" t="s">
        <v>117</v>
      </c>
      <c r="V53" s="14">
        <v>108000</v>
      </c>
      <c r="X53" s="14" t="s">
        <v>186</v>
      </c>
      <c r="Y53" s="14" t="s">
        <v>119</v>
      </c>
      <c r="Z53" s="14">
        <v>20001</v>
      </c>
      <c r="AA53" s="28" t="s">
        <v>120</v>
      </c>
      <c r="AB53" s="14">
        <v>40001</v>
      </c>
      <c r="AE53" s="29" t="s">
        <v>121</v>
      </c>
      <c r="AF53" s="30" t="s">
        <v>122</v>
      </c>
      <c r="AG53" s="14" t="s">
        <v>105</v>
      </c>
    </row>
    <row r="54" ht="16.5" customHeight="1" spans="2:33">
      <c r="B54" s="14">
        <f>10000000+INDEX(编号表!$B:$B,MATCH(H54,编号表!$A:$A,0))*100000+INDEX(编号表!$F:$F,MATCH(D54,编号表!$E:$E,0))*10000+INDEX(编号表!$D:$D,MATCH(AG54,编号表!$C:$C,0))*1000+F54</f>
        <v>10920025</v>
      </c>
      <c r="C54" s="14" t="s">
        <v>187</v>
      </c>
      <c r="D54" s="14" t="s">
        <v>112</v>
      </c>
      <c r="E54" s="14" t="s">
        <v>105</v>
      </c>
      <c r="F54" s="14">
        <v>25</v>
      </c>
      <c r="G54" s="14">
        <v>60</v>
      </c>
      <c r="H54" s="14" t="s">
        <v>139</v>
      </c>
      <c r="I54" s="14" t="s">
        <v>75</v>
      </c>
      <c r="J54" s="14" t="s">
        <v>114</v>
      </c>
      <c r="K54" s="14">
        <v>1</v>
      </c>
      <c r="L54" s="14" t="s">
        <v>115</v>
      </c>
      <c r="N54" s="14">
        <v>0</v>
      </c>
      <c r="O54" s="14" t="b">
        <v>1</v>
      </c>
      <c r="Q54" s="14" t="b">
        <v>0</v>
      </c>
      <c r="R54" s="14">
        <v>7</v>
      </c>
      <c r="S54" s="14" t="s">
        <v>116</v>
      </c>
      <c r="T54" s="14">
        <v>999</v>
      </c>
      <c r="U54" s="14" t="s">
        <v>117</v>
      </c>
      <c r="V54" s="14">
        <v>108100</v>
      </c>
      <c r="X54" s="14" t="s">
        <v>188</v>
      </c>
      <c r="Y54" s="14" t="s">
        <v>119</v>
      </c>
      <c r="Z54" s="14">
        <v>20001</v>
      </c>
      <c r="AA54" s="28" t="s">
        <v>120</v>
      </c>
      <c r="AB54" s="14">
        <v>40001</v>
      </c>
      <c r="AE54" s="29" t="s">
        <v>121</v>
      </c>
      <c r="AF54" s="30" t="s">
        <v>122</v>
      </c>
      <c r="AG54" s="14" t="s">
        <v>105</v>
      </c>
    </row>
    <row r="55" ht="16.5" customHeight="1" spans="2:33">
      <c r="B55" s="14">
        <f>10000000+INDEX(编号表!$B:$B,MATCH(H55,编号表!$A:$A,0))*100000+INDEX(编号表!$F:$F,MATCH(D55,编号表!$E:$E,0))*10000+INDEX(编号表!$D:$D,MATCH(AG55,编号表!$C:$C,0))*1000+F55</f>
        <v>10920026</v>
      </c>
      <c r="C55" s="14" t="s">
        <v>189</v>
      </c>
      <c r="D55" s="14" t="s">
        <v>112</v>
      </c>
      <c r="E55" s="14" t="s">
        <v>105</v>
      </c>
      <c r="F55" s="14">
        <v>26</v>
      </c>
      <c r="G55" s="14">
        <v>60</v>
      </c>
      <c r="H55" s="14" t="s">
        <v>139</v>
      </c>
      <c r="I55" s="14" t="s">
        <v>75</v>
      </c>
      <c r="J55" s="14" t="s">
        <v>114</v>
      </c>
      <c r="K55" s="14">
        <v>1</v>
      </c>
      <c r="L55" s="14" t="s">
        <v>115</v>
      </c>
      <c r="N55" s="14">
        <v>0</v>
      </c>
      <c r="O55" s="14" t="b">
        <v>1</v>
      </c>
      <c r="Q55" s="14" t="b">
        <v>0</v>
      </c>
      <c r="R55" s="14">
        <v>7</v>
      </c>
      <c r="S55" s="14" t="s">
        <v>116</v>
      </c>
      <c r="T55" s="14">
        <v>999</v>
      </c>
      <c r="U55" s="14" t="s">
        <v>117</v>
      </c>
      <c r="V55" s="14">
        <v>108200</v>
      </c>
      <c r="X55" s="14" t="s">
        <v>190</v>
      </c>
      <c r="Y55" s="14" t="s">
        <v>119</v>
      </c>
      <c r="Z55" s="14">
        <v>20001</v>
      </c>
      <c r="AA55" s="28" t="s">
        <v>120</v>
      </c>
      <c r="AB55" s="14">
        <v>40001</v>
      </c>
      <c r="AE55" s="29" t="s">
        <v>121</v>
      </c>
      <c r="AF55" s="30" t="s">
        <v>122</v>
      </c>
      <c r="AG55" s="14" t="s">
        <v>105</v>
      </c>
    </row>
    <row r="56" ht="16.5" customHeight="1" spans="2:33">
      <c r="B56" s="14">
        <f>10000000+INDEX(编号表!$B:$B,MATCH(H56,编号表!$A:$A,0))*100000+INDEX(编号表!$F:$F,MATCH(D56,编号表!$E:$E,0))*10000+INDEX(编号表!$D:$D,MATCH(AG56,编号表!$C:$C,0))*1000+F56</f>
        <v>10920027</v>
      </c>
      <c r="C56" s="14" t="s">
        <v>191</v>
      </c>
      <c r="D56" s="14" t="s">
        <v>112</v>
      </c>
      <c r="E56" s="14" t="s">
        <v>105</v>
      </c>
      <c r="F56" s="14">
        <v>27</v>
      </c>
      <c r="G56" s="14">
        <v>60</v>
      </c>
      <c r="H56" s="14" t="s">
        <v>139</v>
      </c>
      <c r="I56" s="14" t="s">
        <v>75</v>
      </c>
      <c r="J56" s="14" t="s">
        <v>114</v>
      </c>
      <c r="K56" s="14">
        <v>1</v>
      </c>
      <c r="L56" s="14" t="s">
        <v>115</v>
      </c>
      <c r="N56" s="14">
        <v>0</v>
      </c>
      <c r="O56" s="14" t="b">
        <v>1</v>
      </c>
      <c r="Q56" s="14" t="b">
        <v>0</v>
      </c>
      <c r="R56" s="14">
        <v>7</v>
      </c>
      <c r="S56" s="14" t="s">
        <v>116</v>
      </c>
      <c r="T56" s="14">
        <v>999</v>
      </c>
      <c r="U56" s="14" t="s">
        <v>117</v>
      </c>
      <c r="V56" s="14">
        <v>108300</v>
      </c>
      <c r="X56" s="14" t="s">
        <v>192</v>
      </c>
      <c r="Y56" s="14" t="s">
        <v>119</v>
      </c>
      <c r="Z56" s="14">
        <v>20001</v>
      </c>
      <c r="AA56" s="28" t="s">
        <v>120</v>
      </c>
      <c r="AB56" s="14">
        <v>40001</v>
      </c>
      <c r="AE56" s="29" t="s">
        <v>121</v>
      </c>
      <c r="AF56" s="30" t="s">
        <v>122</v>
      </c>
      <c r="AG56" s="14" t="s">
        <v>105</v>
      </c>
    </row>
    <row r="57" ht="16.5" customHeight="1" spans="2:33">
      <c r="B57" s="14">
        <f>10000000+INDEX(编号表!$B:$B,MATCH(H57,编号表!$A:$A,0))*100000+INDEX(编号表!$F:$F,MATCH(D57,编号表!$E:$E,0))*10000+INDEX(编号表!$D:$D,MATCH(AG57,编号表!$C:$C,0))*1000+F57</f>
        <v>10920028</v>
      </c>
      <c r="C57" s="14" t="s">
        <v>193</v>
      </c>
      <c r="D57" s="14" t="s">
        <v>112</v>
      </c>
      <c r="E57" s="14" t="s">
        <v>105</v>
      </c>
      <c r="F57" s="14">
        <v>28</v>
      </c>
      <c r="G57" s="14">
        <v>60</v>
      </c>
      <c r="H57" s="14" t="s">
        <v>139</v>
      </c>
      <c r="I57" s="14" t="s">
        <v>75</v>
      </c>
      <c r="J57" s="14" t="s">
        <v>114</v>
      </c>
      <c r="K57" s="14">
        <v>1</v>
      </c>
      <c r="L57" s="14" t="s">
        <v>115</v>
      </c>
      <c r="N57" s="14">
        <v>0</v>
      </c>
      <c r="O57" s="14" t="b">
        <v>1</v>
      </c>
      <c r="Q57" s="14" t="b">
        <v>0</v>
      </c>
      <c r="R57" s="14">
        <v>7</v>
      </c>
      <c r="S57" s="14" t="s">
        <v>194</v>
      </c>
      <c r="T57" s="14">
        <v>999</v>
      </c>
      <c r="U57" s="14" t="s">
        <v>117</v>
      </c>
      <c r="V57" s="14">
        <v>108400</v>
      </c>
      <c r="X57" s="14" t="s">
        <v>195</v>
      </c>
      <c r="Y57" s="14" t="s">
        <v>119</v>
      </c>
      <c r="Z57" s="14">
        <v>20001</v>
      </c>
      <c r="AA57" s="28" t="s">
        <v>196</v>
      </c>
      <c r="AB57" s="14">
        <v>40001</v>
      </c>
      <c r="AE57" s="29" t="s">
        <v>121</v>
      </c>
      <c r="AF57" s="30" t="s">
        <v>197</v>
      </c>
      <c r="AG57" s="14" t="s">
        <v>105</v>
      </c>
    </row>
    <row r="58" ht="16.5" customHeight="1" spans="2:33">
      <c r="B58" s="14">
        <f>10000000+INDEX(编号表!$B:$B,MATCH(H58,编号表!$A:$A,0))*100000+INDEX(编号表!$F:$F,MATCH(D58,编号表!$E:$E,0))*10000+INDEX(编号表!$D:$D,MATCH(AG58,编号表!$C:$C,0))*1000+F58</f>
        <v>10920029</v>
      </c>
      <c r="C58" s="14" t="s">
        <v>198</v>
      </c>
      <c r="D58" s="14" t="s">
        <v>112</v>
      </c>
      <c r="E58" s="14" t="s">
        <v>105</v>
      </c>
      <c r="F58" s="14">
        <v>29</v>
      </c>
      <c r="G58" s="14">
        <v>60</v>
      </c>
      <c r="H58" s="14" t="s">
        <v>139</v>
      </c>
      <c r="I58" s="14" t="s">
        <v>75</v>
      </c>
      <c r="J58" s="14" t="s">
        <v>114</v>
      </c>
      <c r="K58" s="14">
        <v>1</v>
      </c>
      <c r="L58" s="14" t="s">
        <v>115</v>
      </c>
      <c r="N58" s="14">
        <v>0</v>
      </c>
      <c r="O58" s="14" t="b">
        <v>1</v>
      </c>
      <c r="Q58" s="14" t="b">
        <v>0</v>
      </c>
      <c r="R58" s="14">
        <v>7</v>
      </c>
      <c r="S58" s="14" t="s">
        <v>194</v>
      </c>
      <c r="T58" s="14">
        <v>999</v>
      </c>
      <c r="U58" s="14" t="s">
        <v>117</v>
      </c>
      <c r="V58" s="14">
        <v>108500</v>
      </c>
      <c r="X58" s="14" t="str">
        <f>"|cff00FF00达到"&amp;R58&amp;"级后可以学习技能"&amp;C58&amp;"，也可以在当前技能经验满后对该技能进行升级。"</f>
        <v>|cff00FF00达到7级后可以学习技能万灵御心诀，也可以在当前技能经验满后对该技能进行升级。</v>
      </c>
      <c r="Y58" s="14" t="s">
        <v>119</v>
      </c>
      <c r="Z58" s="14">
        <v>20001</v>
      </c>
      <c r="AA58" s="28" t="s">
        <v>196</v>
      </c>
      <c r="AB58" s="14">
        <v>40001</v>
      </c>
      <c r="AE58" s="29" t="s">
        <v>121</v>
      </c>
      <c r="AF58" s="30" t="s">
        <v>197</v>
      </c>
      <c r="AG58" s="14" t="s">
        <v>105</v>
      </c>
    </row>
    <row r="59" spans="2:33">
      <c r="B59" s="14">
        <f>10000000+INDEX(编号表!$B:$B,MATCH(H59,编号表!$A:$A,0))*100000+INDEX(编号表!$F:$F,MATCH(D59,编号表!$E:$E,0))*10000+INDEX(编号表!$D:$D,MATCH(AG59,编号表!$C:$C,0))*1000+F59</f>
        <v>11710001</v>
      </c>
      <c r="C59" s="14" t="s">
        <v>199</v>
      </c>
      <c r="D59" s="14" t="s">
        <v>72</v>
      </c>
      <c r="E59" s="14" t="s">
        <v>105</v>
      </c>
      <c r="F59" s="14">
        <v>1</v>
      </c>
      <c r="G59" s="14">
        <v>60</v>
      </c>
      <c r="H59" s="14" t="s">
        <v>200</v>
      </c>
      <c r="I59" s="14" t="s">
        <v>75</v>
      </c>
      <c r="J59" s="14" t="s">
        <v>201</v>
      </c>
      <c r="K59" s="14">
        <v>1</v>
      </c>
      <c r="L59" s="14" t="s">
        <v>202</v>
      </c>
      <c r="N59" s="14">
        <v>0</v>
      </c>
      <c r="O59" s="14" t="b">
        <v>1</v>
      </c>
      <c r="Q59" s="14" t="b">
        <v>0</v>
      </c>
      <c r="R59" s="14">
        <v>1</v>
      </c>
      <c r="S59" s="14" t="s">
        <v>77</v>
      </c>
      <c r="T59" s="14">
        <v>999</v>
      </c>
      <c r="U59" s="14" t="s">
        <v>203</v>
      </c>
      <c r="V59" s="14">
        <v>4100001</v>
      </c>
      <c r="X59" s="14" t="s">
        <v>204</v>
      </c>
      <c r="Y59" s="14" t="s">
        <v>119</v>
      </c>
      <c r="Z59" s="14">
        <v>20001</v>
      </c>
      <c r="AA59" s="14" t="s">
        <v>205</v>
      </c>
      <c r="AB59" s="14">
        <v>40001</v>
      </c>
      <c r="AE59" s="29" t="s">
        <v>121</v>
      </c>
      <c r="AF59" s="30" t="s">
        <v>197</v>
      </c>
      <c r="AG59" s="14" t="s">
        <v>105</v>
      </c>
    </row>
    <row r="60" spans="2:33">
      <c r="B60" s="14">
        <f>10000000+INDEX(编号表!$B:$B,MATCH(H60,编号表!$A:$A,0))*100000+INDEX(编号表!$F:$F,MATCH(D60,编号表!$E:$E,0))*10000+INDEX(编号表!$D:$D,MATCH(AG60,编号表!$C:$C,0))*1000+F60</f>
        <v>10710000</v>
      </c>
      <c r="C60" s="14" t="s">
        <v>206</v>
      </c>
      <c r="D60" s="14" t="s">
        <v>72</v>
      </c>
      <c r="E60" s="14" t="s">
        <v>105</v>
      </c>
      <c r="F60" s="14">
        <v>0</v>
      </c>
      <c r="G60" s="14">
        <v>60</v>
      </c>
      <c r="H60" s="14" t="s">
        <v>207</v>
      </c>
      <c r="I60" s="14" t="s">
        <v>75</v>
      </c>
      <c r="J60" s="14" t="s">
        <v>201</v>
      </c>
      <c r="K60" s="14">
        <v>1</v>
      </c>
      <c r="L60" s="14" t="s">
        <v>208</v>
      </c>
      <c r="N60" s="14">
        <v>0</v>
      </c>
      <c r="O60" s="14" t="b">
        <v>1</v>
      </c>
      <c r="Q60" s="14" t="b">
        <v>0</v>
      </c>
      <c r="R60" s="14">
        <v>1</v>
      </c>
      <c r="S60" s="14" t="s">
        <v>77</v>
      </c>
      <c r="T60" s="14">
        <v>999</v>
      </c>
      <c r="U60" s="14" t="s">
        <v>209</v>
      </c>
      <c r="V60" s="14">
        <v>2</v>
      </c>
      <c r="X60" s="14" t="s">
        <v>204</v>
      </c>
      <c r="Y60" s="14" t="s">
        <v>119</v>
      </c>
      <c r="Z60" s="14">
        <v>20001</v>
      </c>
      <c r="AA60" s="14" t="s">
        <v>205</v>
      </c>
      <c r="AB60" s="14">
        <v>40001</v>
      </c>
      <c r="AE60" s="29" t="s">
        <v>121</v>
      </c>
      <c r="AF60" s="30" t="s">
        <v>197</v>
      </c>
      <c r="AG60" s="14" t="s">
        <v>105</v>
      </c>
    </row>
    <row r="61" spans="2:33">
      <c r="B61" s="14">
        <f>10000000+INDEX(编号表!$B:$B,MATCH(H61,编号表!$A:$A,0))*100000+INDEX(编号表!$F:$F,MATCH(D61,编号表!$E:$E,0))*10000+INDEX(编号表!$D:$D,MATCH(AG61,编号表!$C:$C,0))*1000+F61</f>
        <v>10710001</v>
      </c>
      <c r="C61" s="14" t="s">
        <v>210</v>
      </c>
      <c r="D61" s="14" t="s">
        <v>72</v>
      </c>
      <c r="E61" s="14" t="s">
        <v>105</v>
      </c>
      <c r="F61" s="14">
        <v>1</v>
      </c>
      <c r="G61" s="14">
        <v>60</v>
      </c>
      <c r="H61" s="14" t="s">
        <v>207</v>
      </c>
      <c r="I61" s="14" t="s">
        <v>75</v>
      </c>
      <c r="J61" s="14" t="s">
        <v>201</v>
      </c>
      <c r="K61" s="14">
        <v>1</v>
      </c>
      <c r="L61" s="14" t="s">
        <v>208</v>
      </c>
      <c r="N61" s="14">
        <v>0</v>
      </c>
      <c r="O61" s="14" t="b">
        <v>1</v>
      </c>
      <c r="Q61" s="14" t="b">
        <v>0</v>
      </c>
      <c r="R61" s="14">
        <v>1</v>
      </c>
      <c r="S61" s="14" t="s">
        <v>77</v>
      </c>
      <c r="T61" s="14">
        <v>999</v>
      </c>
      <c r="U61" s="14" t="s">
        <v>209</v>
      </c>
      <c r="V61" s="14">
        <v>3</v>
      </c>
      <c r="X61" s="14" t="s">
        <v>204</v>
      </c>
      <c r="Y61" s="14" t="s">
        <v>119</v>
      </c>
      <c r="Z61" s="14">
        <v>20001</v>
      </c>
      <c r="AA61" s="14" t="s">
        <v>205</v>
      </c>
      <c r="AB61" s="14">
        <v>40001</v>
      </c>
      <c r="AE61" s="29" t="s">
        <v>121</v>
      </c>
      <c r="AF61" s="30" t="s">
        <v>197</v>
      </c>
      <c r="AG61" s="14" t="s">
        <v>105</v>
      </c>
    </row>
    <row r="62" spans="2:33">
      <c r="B62" s="14">
        <f>10000000+INDEX(编号表!$B:$B,MATCH(H62,编号表!$A:$A,0))*100000+INDEX(编号表!$F:$F,MATCH(D62,编号表!$E:$E,0))*10000+INDEX(编号表!$D:$D,MATCH(AG62,编号表!$C:$C,0))*1000+F62</f>
        <v>11212000</v>
      </c>
      <c r="C62" s="14" t="s">
        <v>211</v>
      </c>
      <c r="D62" s="14" t="s">
        <v>72</v>
      </c>
      <c r="E62" s="14" t="s">
        <v>86</v>
      </c>
      <c r="F62" s="14">
        <v>0</v>
      </c>
      <c r="G62" s="14">
        <v>60</v>
      </c>
      <c r="H62" s="31" t="s">
        <v>212</v>
      </c>
      <c r="I62" s="14" t="s">
        <v>75</v>
      </c>
      <c r="J62" s="14" t="s">
        <v>201</v>
      </c>
      <c r="K62" s="14">
        <v>1</v>
      </c>
      <c r="L62" s="14" t="s">
        <v>213</v>
      </c>
      <c r="N62" s="14">
        <v>0</v>
      </c>
      <c r="O62" s="14" t="b">
        <v>1</v>
      </c>
      <c r="Q62" s="14" t="b">
        <v>0</v>
      </c>
      <c r="R62" s="14">
        <v>1</v>
      </c>
      <c r="S62" s="14" t="s">
        <v>77</v>
      </c>
      <c r="T62" s="14">
        <v>999</v>
      </c>
      <c r="U62" s="14" t="s">
        <v>214</v>
      </c>
      <c r="V62" s="14">
        <v>31212000</v>
      </c>
      <c r="X62" s="14" t="s">
        <v>204</v>
      </c>
      <c r="Y62" s="14" t="s">
        <v>215</v>
      </c>
      <c r="Z62" s="14">
        <v>20001</v>
      </c>
      <c r="AA62" s="14" t="s">
        <v>205</v>
      </c>
      <c r="AB62" s="14">
        <v>40001</v>
      </c>
      <c r="AE62" s="29" t="s">
        <v>121</v>
      </c>
      <c r="AF62" s="14" t="s">
        <v>213</v>
      </c>
      <c r="AG62" s="14" t="s">
        <v>86</v>
      </c>
    </row>
    <row r="63" spans="2:33">
      <c r="B63" s="14">
        <f>10000000+INDEX(编号表!$B:$B,MATCH(H63,编号表!$A:$A,0))*100000+INDEX(编号表!$F:$F,MATCH(D63,编号表!$E:$E,0))*10000+INDEX(编号表!$D:$D,MATCH(AG63,编号表!$C:$C,0))*1000+F63</f>
        <v>11312000</v>
      </c>
      <c r="C63" s="14" t="s">
        <v>216</v>
      </c>
      <c r="D63" s="14" t="s">
        <v>72</v>
      </c>
      <c r="E63" s="14" t="s">
        <v>86</v>
      </c>
      <c r="F63" s="14">
        <v>0</v>
      </c>
      <c r="G63" s="14">
        <v>60</v>
      </c>
      <c r="H63" s="31" t="s">
        <v>217</v>
      </c>
      <c r="I63" s="14" t="s">
        <v>75</v>
      </c>
      <c r="J63" s="14" t="s">
        <v>201</v>
      </c>
      <c r="K63" s="14">
        <v>1</v>
      </c>
      <c r="L63" s="14" t="s">
        <v>213</v>
      </c>
      <c r="N63" s="14">
        <v>0</v>
      </c>
      <c r="O63" s="14" t="b">
        <v>1</v>
      </c>
      <c r="Q63" s="14" t="b">
        <v>0</v>
      </c>
      <c r="R63" s="14">
        <v>1</v>
      </c>
      <c r="S63" s="14" t="s">
        <v>77</v>
      </c>
      <c r="T63" s="14">
        <v>999</v>
      </c>
      <c r="U63" s="14" t="s">
        <v>214</v>
      </c>
      <c r="V63" s="14">
        <v>31312000</v>
      </c>
      <c r="X63" s="14" t="s">
        <v>204</v>
      </c>
      <c r="Y63" s="14" t="s">
        <v>215</v>
      </c>
      <c r="Z63" s="14">
        <v>20001</v>
      </c>
      <c r="AA63" s="14" t="s">
        <v>205</v>
      </c>
      <c r="AB63" s="14">
        <v>40001</v>
      </c>
      <c r="AE63" s="29" t="s">
        <v>121</v>
      </c>
      <c r="AF63" s="14" t="s">
        <v>213</v>
      </c>
      <c r="AG63" s="14" t="s">
        <v>86</v>
      </c>
    </row>
    <row r="64" spans="2:33">
      <c r="B64" s="14">
        <f>10000000+INDEX(编号表!$B:$B,MATCH(H64,编号表!$A:$A,0))*100000+INDEX(编号表!$F:$F,MATCH(D64,编号表!$E:$E,0))*10000+INDEX(编号表!$D:$D,MATCH(AG64,编号表!$C:$C,0))*1000+F64</f>
        <v>11312001</v>
      </c>
      <c r="C64" s="14" t="s">
        <v>218</v>
      </c>
      <c r="D64" s="14" t="s">
        <v>72</v>
      </c>
      <c r="E64" s="14" t="s">
        <v>86</v>
      </c>
      <c r="F64" s="14">
        <v>1</v>
      </c>
      <c r="G64" s="14">
        <v>60</v>
      </c>
      <c r="H64" s="31" t="s">
        <v>217</v>
      </c>
      <c r="I64" s="14" t="s">
        <v>75</v>
      </c>
      <c r="J64" s="14" t="s">
        <v>201</v>
      </c>
      <c r="K64" s="14">
        <v>1</v>
      </c>
      <c r="L64" s="14" t="s">
        <v>213</v>
      </c>
      <c r="N64" s="14">
        <v>0</v>
      </c>
      <c r="O64" s="14" t="b">
        <v>1</v>
      </c>
      <c r="Q64" s="14" t="b">
        <v>0</v>
      </c>
      <c r="R64" s="14">
        <v>1</v>
      </c>
      <c r="S64" s="14" t="s">
        <v>77</v>
      </c>
      <c r="T64" s="14">
        <v>999</v>
      </c>
      <c r="U64" s="14" t="s">
        <v>214</v>
      </c>
      <c r="V64" s="14">
        <v>31312001</v>
      </c>
      <c r="X64" s="14" t="s">
        <v>204</v>
      </c>
      <c r="Y64" s="14" t="s">
        <v>215</v>
      </c>
      <c r="Z64" s="14">
        <v>20001</v>
      </c>
      <c r="AA64" s="14" t="s">
        <v>205</v>
      </c>
      <c r="AB64" s="14">
        <v>40001</v>
      </c>
      <c r="AE64" s="29" t="s">
        <v>121</v>
      </c>
      <c r="AF64" s="14" t="s">
        <v>213</v>
      </c>
      <c r="AG64" s="14" t="s">
        <v>86</v>
      </c>
    </row>
    <row r="65" spans="2:33">
      <c r="B65" s="14">
        <f>10000000+INDEX(编号表!$B:$B,MATCH(H65,编号表!$A:$A,0))*100000+INDEX(编号表!$F:$F,MATCH(D65,编号表!$E:$E,0))*10000+INDEX(编号表!$D:$D,MATCH(AG65,编号表!$C:$C,0))*1000+F65</f>
        <v>11312002</v>
      </c>
      <c r="C65" s="14" t="s">
        <v>219</v>
      </c>
      <c r="D65" s="14" t="s">
        <v>72</v>
      </c>
      <c r="E65" s="14" t="s">
        <v>86</v>
      </c>
      <c r="F65" s="14">
        <v>2</v>
      </c>
      <c r="G65" s="14">
        <v>60</v>
      </c>
      <c r="H65" s="31" t="s">
        <v>217</v>
      </c>
      <c r="I65" s="14" t="s">
        <v>75</v>
      </c>
      <c r="J65" s="14" t="s">
        <v>201</v>
      </c>
      <c r="K65" s="14">
        <v>1</v>
      </c>
      <c r="L65" s="14" t="s">
        <v>213</v>
      </c>
      <c r="N65" s="14">
        <v>0</v>
      </c>
      <c r="O65" s="14" t="b">
        <v>1</v>
      </c>
      <c r="Q65" s="14" t="b">
        <v>0</v>
      </c>
      <c r="R65" s="14">
        <v>1</v>
      </c>
      <c r="S65" s="14" t="s">
        <v>77</v>
      </c>
      <c r="T65" s="14">
        <v>999</v>
      </c>
      <c r="U65" s="14" t="s">
        <v>214</v>
      </c>
      <c r="V65" s="14">
        <v>31312002</v>
      </c>
      <c r="X65" s="14" t="s">
        <v>204</v>
      </c>
      <c r="Y65" s="14" t="s">
        <v>215</v>
      </c>
      <c r="Z65" s="14">
        <v>20001</v>
      </c>
      <c r="AA65" s="14" t="s">
        <v>205</v>
      </c>
      <c r="AB65" s="14">
        <v>40001</v>
      </c>
      <c r="AE65" s="29" t="s">
        <v>121</v>
      </c>
      <c r="AF65" s="14" t="s">
        <v>213</v>
      </c>
      <c r="AG65" s="14" t="s">
        <v>86</v>
      </c>
    </row>
    <row r="66" spans="2:33">
      <c r="B66" s="14">
        <f>10000000+INDEX(编号表!$B:$B,MATCH(H66,编号表!$A:$A,0))*100000+INDEX(编号表!$F:$F,MATCH(D66,编号表!$E:$E,0))*10000+INDEX(编号表!$D:$D,MATCH(AG66,编号表!$C:$C,0))*1000+F66</f>
        <v>11312003</v>
      </c>
      <c r="C66" s="14" t="s">
        <v>220</v>
      </c>
      <c r="D66" s="14" t="s">
        <v>72</v>
      </c>
      <c r="E66" s="14" t="s">
        <v>86</v>
      </c>
      <c r="F66" s="14">
        <v>3</v>
      </c>
      <c r="G66" s="14">
        <v>60</v>
      </c>
      <c r="H66" s="31" t="s">
        <v>217</v>
      </c>
      <c r="I66" s="14" t="s">
        <v>75</v>
      </c>
      <c r="J66" s="14" t="s">
        <v>201</v>
      </c>
      <c r="K66" s="14">
        <v>1</v>
      </c>
      <c r="L66" s="14" t="s">
        <v>213</v>
      </c>
      <c r="N66" s="14">
        <v>0</v>
      </c>
      <c r="O66" s="14" t="b">
        <v>1</v>
      </c>
      <c r="Q66" s="14" t="b">
        <v>0</v>
      </c>
      <c r="R66" s="14">
        <v>1</v>
      </c>
      <c r="S66" s="14" t="s">
        <v>77</v>
      </c>
      <c r="T66" s="14">
        <v>999</v>
      </c>
      <c r="U66" s="14" t="s">
        <v>214</v>
      </c>
      <c r="V66" s="14">
        <v>31312003</v>
      </c>
      <c r="X66" s="14" t="s">
        <v>204</v>
      </c>
      <c r="Y66" s="14" t="s">
        <v>215</v>
      </c>
      <c r="Z66" s="14">
        <v>20001</v>
      </c>
      <c r="AA66" s="14" t="s">
        <v>205</v>
      </c>
      <c r="AB66" s="14">
        <v>40001</v>
      </c>
      <c r="AE66" s="29" t="s">
        <v>121</v>
      </c>
      <c r="AF66" s="14" t="s">
        <v>213</v>
      </c>
      <c r="AG66" s="14" t="s">
        <v>86</v>
      </c>
    </row>
    <row r="67" spans="2:33">
      <c r="B67" s="14">
        <f>10000000+INDEX(编号表!$B:$B,MATCH(H67,编号表!$A:$A,0))*100000+INDEX(编号表!$F:$F,MATCH(D67,编号表!$E:$E,0))*10000+INDEX(编号表!$D:$D,MATCH(AG67,编号表!$C:$C,0))*1000+F67</f>
        <v>11312004</v>
      </c>
      <c r="C67" s="14" t="s">
        <v>221</v>
      </c>
      <c r="D67" s="14" t="s">
        <v>72</v>
      </c>
      <c r="E67" s="14" t="s">
        <v>86</v>
      </c>
      <c r="F67" s="14">
        <v>4</v>
      </c>
      <c r="G67" s="14">
        <v>60</v>
      </c>
      <c r="H67" s="31" t="s">
        <v>217</v>
      </c>
      <c r="I67" s="14" t="s">
        <v>75</v>
      </c>
      <c r="J67" s="14" t="s">
        <v>201</v>
      </c>
      <c r="K67" s="14">
        <v>1</v>
      </c>
      <c r="L67" s="14" t="s">
        <v>213</v>
      </c>
      <c r="N67" s="14">
        <v>0</v>
      </c>
      <c r="O67" s="14" t="b">
        <v>1</v>
      </c>
      <c r="Q67" s="14" t="b">
        <v>0</v>
      </c>
      <c r="R67" s="14">
        <v>1</v>
      </c>
      <c r="S67" s="14" t="s">
        <v>77</v>
      </c>
      <c r="T67" s="14">
        <v>999</v>
      </c>
      <c r="U67" s="14" t="s">
        <v>214</v>
      </c>
      <c r="V67" s="14">
        <v>31312004</v>
      </c>
      <c r="X67" s="14" t="s">
        <v>204</v>
      </c>
      <c r="Y67" s="14" t="s">
        <v>215</v>
      </c>
      <c r="Z67" s="14">
        <v>20001</v>
      </c>
      <c r="AA67" s="14" t="s">
        <v>205</v>
      </c>
      <c r="AB67" s="14">
        <v>40001</v>
      </c>
      <c r="AE67" s="29" t="s">
        <v>121</v>
      </c>
      <c r="AF67" s="14" t="s">
        <v>213</v>
      </c>
      <c r="AG67" s="14" t="s">
        <v>86</v>
      </c>
    </row>
    <row r="68" spans="2:33">
      <c r="B68" s="14">
        <f>10000000+INDEX(编号表!$B:$B,MATCH(H68,编号表!$A:$A,0))*100000+INDEX(编号表!$F:$F,MATCH(D68,编号表!$E:$E,0))*10000+INDEX(编号表!$D:$D,MATCH(AG68,编号表!$C:$C,0))*1000+F68</f>
        <v>11312005</v>
      </c>
      <c r="C68" s="14" t="s">
        <v>222</v>
      </c>
      <c r="D68" s="14" t="s">
        <v>72</v>
      </c>
      <c r="E68" s="14" t="s">
        <v>86</v>
      </c>
      <c r="F68" s="14">
        <v>5</v>
      </c>
      <c r="G68" s="14">
        <v>60</v>
      </c>
      <c r="H68" s="31" t="s">
        <v>217</v>
      </c>
      <c r="I68" s="14" t="s">
        <v>75</v>
      </c>
      <c r="J68" s="14" t="s">
        <v>201</v>
      </c>
      <c r="K68" s="14">
        <v>1</v>
      </c>
      <c r="L68" s="14" t="s">
        <v>213</v>
      </c>
      <c r="N68" s="14">
        <v>0</v>
      </c>
      <c r="O68" s="14" t="b">
        <v>1</v>
      </c>
      <c r="Q68" s="14" t="b">
        <v>0</v>
      </c>
      <c r="R68" s="14">
        <v>1</v>
      </c>
      <c r="S68" s="14" t="s">
        <v>77</v>
      </c>
      <c r="T68" s="14">
        <v>999</v>
      </c>
      <c r="U68" s="14" t="s">
        <v>214</v>
      </c>
      <c r="V68" s="14">
        <v>31312005</v>
      </c>
      <c r="X68" s="14" t="s">
        <v>204</v>
      </c>
      <c r="Y68" s="14" t="s">
        <v>215</v>
      </c>
      <c r="Z68" s="14">
        <v>20001</v>
      </c>
      <c r="AA68" s="14" t="s">
        <v>205</v>
      </c>
      <c r="AB68" s="14">
        <v>40001</v>
      </c>
      <c r="AE68" s="29" t="s">
        <v>121</v>
      </c>
      <c r="AF68" s="14" t="s">
        <v>213</v>
      </c>
      <c r="AG68" s="14" t="s">
        <v>86</v>
      </c>
    </row>
    <row r="69" spans="2:33">
      <c r="B69" s="14">
        <f>10000000+INDEX(编号表!$B:$B,MATCH(H69,编号表!$A:$A,0))*100000+INDEX(编号表!$F:$F,MATCH(D69,编号表!$E:$E,0))*10000+INDEX(编号表!$D:$D,MATCH(AG69,编号表!$C:$C,0))*1000+F69</f>
        <v>11312006</v>
      </c>
      <c r="C69" s="14" t="s">
        <v>223</v>
      </c>
      <c r="D69" s="14" t="s">
        <v>72</v>
      </c>
      <c r="E69" s="14" t="s">
        <v>86</v>
      </c>
      <c r="F69" s="14">
        <v>6</v>
      </c>
      <c r="G69" s="14">
        <v>60</v>
      </c>
      <c r="H69" s="31" t="s">
        <v>217</v>
      </c>
      <c r="I69" s="14" t="s">
        <v>75</v>
      </c>
      <c r="J69" s="14" t="s">
        <v>201</v>
      </c>
      <c r="K69" s="14">
        <v>1</v>
      </c>
      <c r="L69" s="14" t="s">
        <v>213</v>
      </c>
      <c r="N69" s="14">
        <v>0</v>
      </c>
      <c r="O69" s="14" t="b">
        <v>1</v>
      </c>
      <c r="Q69" s="14" t="b">
        <v>0</v>
      </c>
      <c r="R69" s="14">
        <v>1</v>
      </c>
      <c r="S69" s="14" t="s">
        <v>77</v>
      </c>
      <c r="T69" s="14">
        <v>999</v>
      </c>
      <c r="U69" s="14" t="s">
        <v>214</v>
      </c>
      <c r="V69" s="14">
        <v>31312006</v>
      </c>
      <c r="X69" s="14" t="s">
        <v>204</v>
      </c>
      <c r="Y69" s="14" t="s">
        <v>215</v>
      </c>
      <c r="Z69" s="14">
        <v>20001</v>
      </c>
      <c r="AA69" s="14" t="s">
        <v>205</v>
      </c>
      <c r="AB69" s="14">
        <v>40001</v>
      </c>
      <c r="AE69" s="29" t="s">
        <v>121</v>
      </c>
      <c r="AF69" s="14" t="s">
        <v>213</v>
      </c>
      <c r="AG69" s="14" t="s">
        <v>86</v>
      </c>
    </row>
    <row r="70" spans="2:33">
      <c r="B70" s="14">
        <f>10000000+INDEX(编号表!$B:$B,MATCH(H70,编号表!$A:$A,0))*100000+INDEX(编号表!$F:$F,MATCH(D70,编号表!$E:$E,0))*10000+INDEX(编号表!$D:$D,MATCH(AG70,编号表!$C:$C,0))*1000+F70</f>
        <v>11312007</v>
      </c>
      <c r="C70" s="14" t="s">
        <v>224</v>
      </c>
      <c r="D70" s="14" t="s">
        <v>72</v>
      </c>
      <c r="E70" s="14" t="s">
        <v>86</v>
      </c>
      <c r="F70" s="14">
        <v>7</v>
      </c>
      <c r="G70" s="14">
        <v>60</v>
      </c>
      <c r="H70" s="31" t="s">
        <v>217</v>
      </c>
      <c r="I70" s="14" t="s">
        <v>75</v>
      </c>
      <c r="J70" s="14" t="s">
        <v>201</v>
      </c>
      <c r="K70" s="14">
        <v>1</v>
      </c>
      <c r="L70" s="14" t="s">
        <v>213</v>
      </c>
      <c r="N70" s="14">
        <v>0</v>
      </c>
      <c r="O70" s="14" t="b">
        <v>1</v>
      </c>
      <c r="Q70" s="14" t="b">
        <v>0</v>
      </c>
      <c r="R70" s="14">
        <v>1</v>
      </c>
      <c r="S70" s="14" t="s">
        <v>77</v>
      </c>
      <c r="T70" s="14">
        <v>999</v>
      </c>
      <c r="U70" s="14" t="s">
        <v>214</v>
      </c>
      <c r="V70" s="14">
        <v>31312007</v>
      </c>
      <c r="X70" s="14" t="s">
        <v>204</v>
      </c>
      <c r="Y70" s="14" t="s">
        <v>215</v>
      </c>
      <c r="Z70" s="14">
        <v>20001</v>
      </c>
      <c r="AA70" s="14" t="s">
        <v>205</v>
      </c>
      <c r="AB70" s="14">
        <v>40001</v>
      </c>
      <c r="AE70" s="29" t="s">
        <v>121</v>
      </c>
      <c r="AF70" s="14" t="s">
        <v>213</v>
      </c>
      <c r="AG70" s="14" t="s">
        <v>86</v>
      </c>
    </row>
    <row r="71" spans="2:33">
      <c r="B71" s="14">
        <f>10000000+INDEX(编号表!$B:$B,MATCH(H71,编号表!$A:$A,0))*100000+INDEX(编号表!$F:$F,MATCH(D71,编号表!$E:$E,0))*10000+INDEX(编号表!$D:$D,MATCH(AG71,编号表!$C:$C,0))*1000+F71</f>
        <v>11312008</v>
      </c>
      <c r="C71" s="14" t="s">
        <v>225</v>
      </c>
      <c r="D71" s="14" t="s">
        <v>72</v>
      </c>
      <c r="E71" s="14" t="s">
        <v>86</v>
      </c>
      <c r="F71" s="14">
        <v>8</v>
      </c>
      <c r="G71" s="14">
        <v>60</v>
      </c>
      <c r="H71" s="31" t="s">
        <v>217</v>
      </c>
      <c r="I71" s="14" t="s">
        <v>75</v>
      </c>
      <c r="J71" s="14" t="s">
        <v>201</v>
      </c>
      <c r="K71" s="14">
        <v>1</v>
      </c>
      <c r="L71" s="14" t="s">
        <v>213</v>
      </c>
      <c r="N71" s="14">
        <v>0</v>
      </c>
      <c r="O71" s="14" t="b">
        <v>1</v>
      </c>
      <c r="Q71" s="14" t="b">
        <v>0</v>
      </c>
      <c r="R71" s="14">
        <v>1</v>
      </c>
      <c r="S71" s="14" t="s">
        <v>77</v>
      </c>
      <c r="T71" s="14">
        <v>999</v>
      </c>
      <c r="U71" s="14" t="s">
        <v>214</v>
      </c>
      <c r="V71" s="14">
        <v>31312008</v>
      </c>
      <c r="X71" s="14" t="s">
        <v>204</v>
      </c>
      <c r="Y71" s="14" t="s">
        <v>215</v>
      </c>
      <c r="Z71" s="14">
        <v>20001</v>
      </c>
      <c r="AA71" s="14" t="s">
        <v>205</v>
      </c>
      <c r="AB71" s="14">
        <v>40001</v>
      </c>
      <c r="AE71" s="29" t="s">
        <v>121</v>
      </c>
      <c r="AF71" s="14" t="s">
        <v>213</v>
      </c>
      <c r="AG71" s="14" t="s">
        <v>86</v>
      </c>
    </row>
    <row r="72" spans="2:33">
      <c r="B72" s="14">
        <f>10000000+INDEX(编号表!$B:$B,MATCH(H72,编号表!$A:$A,0))*100000+INDEX(编号表!$F:$F,MATCH(D72,编号表!$E:$E,0))*10000+INDEX(编号表!$D:$D,MATCH(AG72,编号表!$C:$C,0))*1000+F72</f>
        <v>11312009</v>
      </c>
      <c r="C72" s="14" t="s">
        <v>226</v>
      </c>
      <c r="D72" s="14" t="s">
        <v>72</v>
      </c>
      <c r="E72" s="14" t="s">
        <v>86</v>
      </c>
      <c r="F72" s="14">
        <v>9</v>
      </c>
      <c r="G72" s="14">
        <v>60</v>
      </c>
      <c r="H72" s="31" t="s">
        <v>217</v>
      </c>
      <c r="I72" s="14" t="s">
        <v>75</v>
      </c>
      <c r="J72" s="14" t="s">
        <v>201</v>
      </c>
      <c r="K72" s="14">
        <v>1</v>
      </c>
      <c r="L72" s="14" t="s">
        <v>213</v>
      </c>
      <c r="N72" s="14">
        <v>0</v>
      </c>
      <c r="O72" s="14" t="b">
        <v>1</v>
      </c>
      <c r="Q72" s="14" t="b">
        <v>0</v>
      </c>
      <c r="R72" s="14">
        <v>1</v>
      </c>
      <c r="S72" s="14" t="s">
        <v>77</v>
      </c>
      <c r="T72" s="14">
        <v>999</v>
      </c>
      <c r="U72" s="14" t="s">
        <v>214</v>
      </c>
      <c r="V72" s="14">
        <v>31312009</v>
      </c>
      <c r="X72" s="14" t="s">
        <v>204</v>
      </c>
      <c r="Y72" s="14" t="s">
        <v>215</v>
      </c>
      <c r="Z72" s="14">
        <v>20001</v>
      </c>
      <c r="AA72" s="14" t="s">
        <v>205</v>
      </c>
      <c r="AB72" s="14">
        <v>40001</v>
      </c>
      <c r="AE72" s="29" t="s">
        <v>121</v>
      </c>
      <c r="AF72" s="14" t="s">
        <v>213</v>
      </c>
      <c r="AG72" s="14" t="s">
        <v>86</v>
      </c>
    </row>
    <row r="73" spans="2:33">
      <c r="B73" s="14">
        <f>10000000+INDEX(编号表!$B:$B,MATCH(H73,编号表!$A:$A,0))*100000+INDEX(编号表!$F:$F,MATCH(D73,编号表!$E:$E,0))*10000+INDEX(编号表!$D:$D,MATCH(AG73,编号表!$C:$C,0))*1000+F73</f>
        <v>11512000</v>
      </c>
      <c r="C73" s="14" t="s">
        <v>227</v>
      </c>
      <c r="D73" s="14" t="s">
        <v>72</v>
      </c>
      <c r="E73" s="14" t="s">
        <v>86</v>
      </c>
      <c r="F73" s="14">
        <v>0</v>
      </c>
      <c r="G73" s="14">
        <v>60</v>
      </c>
      <c r="H73" s="31" t="s">
        <v>228</v>
      </c>
      <c r="I73" s="14" t="s">
        <v>75</v>
      </c>
      <c r="J73" s="14" t="s">
        <v>201</v>
      </c>
      <c r="K73" s="14">
        <v>1</v>
      </c>
      <c r="L73" s="14" t="s">
        <v>213</v>
      </c>
      <c r="N73" s="14">
        <v>0</v>
      </c>
      <c r="O73" s="14" t="b">
        <v>1</v>
      </c>
      <c r="Q73" s="14" t="b">
        <v>0</v>
      </c>
      <c r="R73" s="14">
        <v>1</v>
      </c>
      <c r="S73" s="14" t="s">
        <v>77</v>
      </c>
      <c r="T73" s="14">
        <v>999</v>
      </c>
      <c r="U73" s="14" t="s">
        <v>214</v>
      </c>
      <c r="V73" s="14">
        <v>31512000</v>
      </c>
      <c r="X73" s="14" t="s">
        <v>204</v>
      </c>
      <c r="Y73" s="14" t="s">
        <v>215</v>
      </c>
      <c r="Z73" s="14">
        <v>20001</v>
      </c>
      <c r="AA73" s="14" t="s">
        <v>205</v>
      </c>
      <c r="AB73" s="14">
        <v>40001</v>
      </c>
      <c r="AE73" s="29" t="s">
        <v>121</v>
      </c>
      <c r="AF73" s="14" t="s">
        <v>213</v>
      </c>
      <c r="AG73" s="14" t="s">
        <v>86</v>
      </c>
    </row>
    <row r="74" spans="2:33">
      <c r="B74" s="14">
        <f>10000000+INDEX(编号表!$B:$B,MATCH(H74,编号表!$A:$A,0))*100000+INDEX(编号表!$F:$F,MATCH(D74,编号表!$E:$E,0))*10000+INDEX(编号表!$D:$D,MATCH(AG74,编号表!$C:$C,0))*1000+F74</f>
        <v>11512001</v>
      </c>
      <c r="C74" s="14" t="s">
        <v>229</v>
      </c>
      <c r="D74" s="14" t="s">
        <v>72</v>
      </c>
      <c r="E74" s="14" t="s">
        <v>86</v>
      </c>
      <c r="F74" s="14">
        <v>1</v>
      </c>
      <c r="G74" s="14">
        <v>60</v>
      </c>
      <c r="H74" s="31" t="s">
        <v>228</v>
      </c>
      <c r="I74" s="14" t="s">
        <v>75</v>
      </c>
      <c r="J74" s="14" t="s">
        <v>201</v>
      </c>
      <c r="K74" s="14">
        <v>1</v>
      </c>
      <c r="L74" s="14" t="s">
        <v>213</v>
      </c>
      <c r="N74" s="14">
        <v>0</v>
      </c>
      <c r="O74" s="14" t="b">
        <v>1</v>
      </c>
      <c r="Q74" s="14" t="b">
        <v>0</v>
      </c>
      <c r="R74" s="14">
        <v>1</v>
      </c>
      <c r="S74" s="14" t="s">
        <v>77</v>
      </c>
      <c r="T74" s="14">
        <v>999</v>
      </c>
      <c r="U74" s="14" t="s">
        <v>214</v>
      </c>
      <c r="V74" s="14">
        <v>31512001</v>
      </c>
      <c r="X74" s="14" t="s">
        <v>204</v>
      </c>
      <c r="Y74" s="14" t="s">
        <v>215</v>
      </c>
      <c r="Z74" s="14">
        <v>20001</v>
      </c>
      <c r="AA74" s="14" t="s">
        <v>205</v>
      </c>
      <c r="AB74" s="14">
        <v>40001</v>
      </c>
      <c r="AE74" s="29" t="s">
        <v>121</v>
      </c>
      <c r="AF74" s="14" t="s">
        <v>213</v>
      </c>
      <c r="AG74" s="14" t="s">
        <v>86</v>
      </c>
    </row>
    <row r="75" spans="2:33">
      <c r="B75" s="14">
        <f>10000000+INDEX(编号表!$B:$B,MATCH(H75,编号表!$A:$A,0))*100000+INDEX(编号表!$F:$F,MATCH(D75,编号表!$E:$E,0))*10000+INDEX(编号表!$D:$D,MATCH(AG75,编号表!$C:$C,0))*1000+F75</f>
        <v>11512002</v>
      </c>
      <c r="C75" s="14" t="s">
        <v>230</v>
      </c>
      <c r="D75" s="14" t="s">
        <v>72</v>
      </c>
      <c r="E75" s="14" t="s">
        <v>86</v>
      </c>
      <c r="F75" s="14">
        <v>2</v>
      </c>
      <c r="G75" s="14">
        <v>60</v>
      </c>
      <c r="H75" s="31" t="s">
        <v>228</v>
      </c>
      <c r="I75" s="14" t="s">
        <v>75</v>
      </c>
      <c r="J75" s="14" t="s">
        <v>201</v>
      </c>
      <c r="K75" s="14">
        <v>1</v>
      </c>
      <c r="L75" s="14" t="s">
        <v>213</v>
      </c>
      <c r="N75" s="14">
        <v>0</v>
      </c>
      <c r="O75" s="14" t="b">
        <v>1</v>
      </c>
      <c r="Q75" s="14" t="b">
        <v>0</v>
      </c>
      <c r="R75" s="14">
        <v>1</v>
      </c>
      <c r="S75" s="14" t="s">
        <v>77</v>
      </c>
      <c r="T75" s="14">
        <v>999</v>
      </c>
      <c r="U75" s="14" t="s">
        <v>214</v>
      </c>
      <c r="V75" s="14">
        <v>31512002</v>
      </c>
      <c r="X75" s="14" t="s">
        <v>204</v>
      </c>
      <c r="Y75" s="14" t="s">
        <v>215</v>
      </c>
      <c r="Z75" s="14">
        <v>20001</v>
      </c>
      <c r="AA75" s="14" t="s">
        <v>205</v>
      </c>
      <c r="AB75" s="14">
        <v>40001</v>
      </c>
      <c r="AE75" s="29" t="s">
        <v>121</v>
      </c>
      <c r="AF75" s="14" t="s">
        <v>213</v>
      </c>
      <c r="AG75" s="14" t="s">
        <v>86</v>
      </c>
    </row>
    <row r="76" spans="2:33">
      <c r="B76" s="14">
        <f>10000000+INDEX(编号表!$B:$B,MATCH(H76,编号表!$A:$A,0))*100000+INDEX(编号表!$F:$F,MATCH(D76,编号表!$E:$E,0))*10000+INDEX(编号表!$D:$D,MATCH(AG76,编号表!$C:$C,0))*1000+F76</f>
        <v>11512003</v>
      </c>
      <c r="C76" s="14" t="s">
        <v>231</v>
      </c>
      <c r="D76" s="14" t="s">
        <v>72</v>
      </c>
      <c r="E76" s="14" t="s">
        <v>86</v>
      </c>
      <c r="F76" s="14">
        <v>3</v>
      </c>
      <c r="G76" s="14">
        <v>60</v>
      </c>
      <c r="H76" s="31" t="s">
        <v>228</v>
      </c>
      <c r="I76" s="14" t="s">
        <v>75</v>
      </c>
      <c r="J76" s="14" t="s">
        <v>201</v>
      </c>
      <c r="K76" s="14">
        <v>1</v>
      </c>
      <c r="L76" s="14" t="s">
        <v>213</v>
      </c>
      <c r="N76" s="14">
        <v>0</v>
      </c>
      <c r="O76" s="14" t="b">
        <v>1</v>
      </c>
      <c r="Q76" s="14" t="b">
        <v>0</v>
      </c>
      <c r="R76" s="14">
        <v>1</v>
      </c>
      <c r="S76" s="14" t="s">
        <v>77</v>
      </c>
      <c r="T76" s="14">
        <v>999</v>
      </c>
      <c r="U76" s="14" t="s">
        <v>214</v>
      </c>
      <c r="V76" s="14">
        <v>31512003</v>
      </c>
      <c r="X76" s="14" t="s">
        <v>204</v>
      </c>
      <c r="Y76" s="14" t="s">
        <v>215</v>
      </c>
      <c r="Z76" s="14">
        <v>20001</v>
      </c>
      <c r="AA76" s="14" t="s">
        <v>205</v>
      </c>
      <c r="AB76" s="14">
        <v>40001</v>
      </c>
      <c r="AE76" s="29" t="s">
        <v>121</v>
      </c>
      <c r="AF76" s="14" t="s">
        <v>213</v>
      </c>
      <c r="AG76" s="14" t="s">
        <v>86</v>
      </c>
    </row>
    <row r="77" spans="2:33">
      <c r="B77" s="14">
        <f>10000000+INDEX(编号表!$B:$B,MATCH(H77,编号表!$A:$A,0))*100000+INDEX(编号表!$F:$F,MATCH(D77,编号表!$E:$E,0))*10000+INDEX(编号表!$D:$D,MATCH(AG77,编号表!$C:$C,0))*1000+F77</f>
        <v>11512004</v>
      </c>
      <c r="C77" s="14" t="s">
        <v>232</v>
      </c>
      <c r="D77" s="14" t="s">
        <v>72</v>
      </c>
      <c r="E77" s="14" t="s">
        <v>86</v>
      </c>
      <c r="F77" s="14">
        <v>4</v>
      </c>
      <c r="G77" s="14">
        <v>60</v>
      </c>
      <c r="H77" s="31" t="s">
        <v>228</v>
      </c>
      <c r="I77" s="14" t="s">
        <v>75</v>
      </c>
      <c r="J77" s="14" t="s">
        <v>201</v>
      </c>
      <c r="K77" s="14">
        <v>1</v>
      </c>
      <c r="L77" s="14" t="s">
        <v>213</v>
      </c>
      <c r="N77" s="14">
        <v>0</v>
      </c>
      <c r="O77" s="14" t="b">
        <v>1</v>
      </c>
      <c r="Q77" s="14" t="b">
        <v>0</v>
      </c>
      <c r="R77" s="14">
        <v>1</v>
      </c>
      <c r="S77" s="14" t="s">
        <v>77</v>
      </c>
      <c r="T77" s="14">
        <v>999</v>
      </c>
      <c r="U77" s="14" t="s">
        <v>214</v>
      </c>
      <c r="V77" s="14">
        <v>31512004</v>
      </c>
      <c r="X77" s="14" t="s">
        <v>204</v>
      </c>
      <c r="Y77" s="14" t="s">
        <v>215</v>
      </c>
      <c r="Z77" s="14">
        <v>20001</v>
      </c>
      <c r="AA77" s="14" t="s">
        <v>205</v>
      </c>
      <c r="AB77" s="14">
        <v>40001</v>
      </c>
      <c r="AE77" s="29" t="s">
        <v>121</v>
      </c>
      <c r="AF77" s="14" t="s">
        <v>213</v>
      </c>
      <c r="AG77" s="14" t="s">
        <v>86</v>
      </c>
    </row>
    <row r="78" spans="2:33">
      <c r="B78" s="14">
        <f>10000000+INDEX(编号表!$B:$B,MATCH(H78,编号表!$A:$A,0))*100000+INDEX(编号表!$F:$F,MATCH(D78,编号表!$E:$E,0))*10000+INDEX(编号表!$D:$D,MATCH(AG78,编号表!$C:$C,0))*1000+F78</f>
        <v>11512005</v>
      </c>
      <c r="C78" s="14" t="s">
        <v>233</v>
      </c>
      <c r="D78" s="14" t="s">
        <v>72</v>
      </c>
      <c r="E78" s="14" t="s">
        <v>86</v>
      </c>
      <c r="F78" s="14">
        <v>5</v>
      </c>
      <c r="G78" s="14">
        <v>60</v>
      </c>
      <c r="H78" s="31" t="s">
        <v>228</v>
      </c>
      <c r="I78" s="14" t="s">
        <v>75</v>
      </c>
      <c r="J78" s="14" t="s">
        <v>201</v>
      </c>
      <c r="K78" s="14">
        <v>1</v>
      </c>
      <c r="L78" s="14" t="s">
        <v>213</v>
      </c>
      <c r="N78" s="14">
        <v>0</v>
      </c>
      <c r="O78" s="14" t="b">
        <v>1</v>
      </c>
      <c r="Q78" s="14" t="b">
        <v>0</v>
      </c>
      <c r="R78" s="14">
        <v>1</v>
      </c>
      <c r="S78" s="14" t="s">
        <v>77</v>
      </c>
      <c r="T78" s="14">
        <v>999</v>
      </c>
      <c r="U78" s="14" t="s">
        <v>214</v>
      </c>
      <c r="V78" s="14">
        <v>31512005</v>
      </c>
      <c r="X78" s="14" t="s">
        <v>204</v>
      </c>
      <c r="Y78" s="14" t="s">
        <v>215</v>
      </c>
      <c r="Z78" s="14">
        <v>20001</v>
      </c>
      <c r="AA78" s="14" t="s">
        <v>205</v>
      </c>
      <c r="AB78" s="14">
        <v>40001</v>
      </c>
      <c r="AE78" s="29" t="s">
        <v>121</v>
      </c>
      <c r="AF78" s="14" t="s">
        <v>213</v>
      </c>
      <c r="AG78" s="14" t="s">
        <v>86</v>
      </c>
    </row>
    <row r="79" spans="2:33">
      <c r="B79" s="14">
        <f>10000000+INDEX(编号表!$B:$B,MATCH(H79,编号表!$A:$A,0))*100000+INDEX(编号表!$F:$F,MATCH(D79,编号表!$E:$E,0))*10000+INDEX(编号表!$D:$D,MATCH(AG79,编号表!$C:$C,0))*1000+F79</f>
        <v>11512006</v>
      </c>
      <c r="C79" s="14" t="s">
        <v>234</v>
      </c>
      <c r="D79" s="14" t="s">
        <v>72</v>
      </c>
      <c r="E79" s="14" t="s">
        <v>86</v>
      </c>
      <c r="F79" s="14">
        <v>6</v>
      </c>
      <c r="G79" s="14">
        <v>60</v>
      </c>
      <c r="H79" s="31" t="s">
        <v>228</v>
      </c>
      <c r="I79" s="14" t="s">
        <v>75</v>
      </c>
      <c r="J79" s="14" t="s">
        <v>201</v>
      </c>
      <c r="K79" s="14">
        <v>1</v>
      </c>
      <c r="L79" s="14" t="s">
        <v>213</v>
      </c>
      <c r="N79" s="14">
        <v>0</v>
      </c>
      <c r="O79" s="14" t="b">
        <v>1</v>
      </c>
      <c r="Q79" s="14" t="b">
        <v>0</v>
      </c>
      <c r="R79" s="14">
        <v>1</v>
      </c>
      <c r="S79" s="14" t="s">
        <v>77</v>
      </c>
      <c r="T79" s="14">
        <v>999</v>
      </c>
      <c r="U79" s="14" t="s">
        <v>214</v>
      </c>
      <c r="V79" s="14">
        <v>31512006</v>
      </c>
      <c r="X79" s="14" t="s">
        <v>204</v>
      </c>
      <c r="Y79" s="14" t="s">
        <v>215</v>
      </c>
      <c r="Z79" s="14">
        <v>20001</v>
      </c>
      <c r="AA79" s="14" t="s">
        <v>205</v>
      </c>
      <c r="AB79" s="14">
        <v>40001</v>
      </c>
      <c r="AE79" s="29" t="s">
        <v>121</v>
      </c>
      <c r="AF79" s="14" t="s">
        <v>213</v>
      </c>
      <c r="AG79" s="14" t="s">
        <v>86</v>
      </c>
    </row>
    <row r="80" spans="2:33">
      <c r="B80" s="14">
        <f>10000000+INDEX(编号表!$B:$B,MATCH(H80,编号表!$A:$A,0))*100000+INDEX(编号表!$F:$F,MATCH(D80,编号表!$E:$E,0))*10000+INDEX(编号表!$D:$D,MATCH(AG80,编号表!$C:$C,0))*1000+F80</f>
        <v>11512007</v>
      </c>
      <c r="C80" s="14" t="s">
        <v>235</v>
      </c>
      <c r="D80" s="14" t="s">
        <v>72</v>
      </c>
      <c r="E80" s="14" t="s">
        <v>86</v>
      </c>
      <c r="F80" s="14">
        <v>7</v>
      </c>
      <c r="G80" s="14">
        <v>60</v>
      </c>
      <c r="H80" s="31" t="s">
        <v>228</v>
      </c>
      <c r="I80" s="14" t="s">
        <v>75</v>
      </c>
      <c r="J80" s="14" t="s">
        <v>201</v>
      </c>
      <c r="K80" s="14">
        <v>1</v>
      </c>
      <c r="L80" s="14" t="s">
        <v>213</v>
      </c>
      <c r="N80" s="14">
        <v>0</v>
      </c>
      <c r="O80" s="14" t="b">
        <v>1</v>
      </c>
      <c r="Q80" s="14" t="b">
        <v>0</v>
      </c>
      <c r="R80" s="14">
        <v>1</v>
      </c>
      <c r="S80" s="14" t="s">
        <v>77</v>
      </c>
      <c r="T80" s="14">
        <v>999</v>
      </c>
      <c r="U80" s="14" t="s">
        <v>214</v>
      </c>
      <c r="V80" s="14">
        <v>31512007</v>
      </c>
      <c r="X80" s="14" t="s">
        <v>204</v>
      </c>
      <c r="Y80" s="14" t="s">
        <v>215</v>
      </c>
      <c r="Z80" s="14">
        <v>20001</v>
      </c>
      <c r="AA80" s="14" t="s">
        <v>205</v>
      </c>
      <c r="AB80" s="14">
        <v>40001</v>
      </c>
      <c r="AE80" s="29" t="s">
        <v>121</v>
      </c>
      <c r="AF80" s="14" t="s">
        <v>213</v>
      </c>
      <c r="AG80" s="14" t="s">
        <v>86</v>
      </c>
    </row>
    <row r="81" spans="2:33">
      <c r="B81" s="14">
        <f>10000000+INDEX(编号表!$B:$B,MATCH(H81,编号表!$A:$A,0))*100000+INDEX(编号表!$F:$F,MATCH(D81,编号表!$E:$E,0))*10000+INDEX(编号表!$D:$D,MATCH(AG81,编号表!$C:$C,0))*1000+F81</f>
        <v>11512008</v>
      </c>
      <c r="C81" s="14" t="s">
        <v>236</v>
      </c>
      <c r="D81" s="14" t="s">
        <v>72</v>
      </c>
      <c r="E81" s="14" t="s">
        <v>86</v>
      </c>
      <c r="F81" s="14">
        <v>8</v>
      </c>
      <c r="G81" s="14">
        <v>60</v>
      </c>
      <c r="H81" s="31" t="s">
        <v>228</v>
      </c>
      <c r="I81" s="14" t="s">
        <v>75</v>
      </c>
      <c r="J81" s="14" t="s">
        <v>201</v>
      </c>
      <c r="K81" s="14">
        <v>1</v>
      </c>
      <c r="L81" s="14" t="s">
        <v>213</v>
      </c>
      <c r="N81" s="14">
        <v>0</v>
      </c>
      <c r="O81" s="14" t="b">
        <v>1</v>
      </c>
      <c r="Q81" s="14" t="b">
        <v>0</v>
      </c>
      <c r="R81" s="14">
        <v>1</v>
      </c>
      <c r="S81" s="14" t="s">
        <v>77</v>
      </c>
      <c r="T81" s="14">
        <v>999</v>
      </c>
      <c r="U81" s="14" t="s">
        <v>214</v>
      </c>
      <c r="V81" s="14">
        <v>31512008</v>
      </c>
      <c r="X81" s="14" t="s">
        <v>204</v>
      </c>
      <c r="Y81" s="14" t="s">
        <v>215</v>
      </c>
      <c r="Z81" s="14">
        <v>20001</v>
      </c>
      <c r="AA81" s="14" t="s">
        <v>205</v>
      </c>
      <c r="AB81" s="14">
        <v>40001</v>
      </c>
      <c r="AE81" s="29" t="s">
        <v>121</v>
      </c>
      <c r="AF81" s="14" t="s">
        <v>213</v>
      </c>
      <c r="AG81" s="14" t="s">
        <v>86</v>
      </c>
    </row>
    <row r="82" spans="2:33">
      <c r="B82" s="14">
        <f>10000000+INDEX(编号表!$B:$B,MATCH(H82,编号表!$A:$A,0))*100000+INDEX(编号表!$F:$F,MATCH(D82,编号表!$E:$E,0))*10000+INDEX(编号表!$D:$D,MATCH(AG82,编号表!$C:$C,0))*1000+F82</f>
        <v>11512009</v>
      </c>
      <c r="C82" s="14" t="s">
        <v>237</v>
      </c>
      <c r="D82" s="14" t="s">
        <v>72</v>
      </c>
      <c r="E82" s="14" t="s">
        <v>86</v>
      </c>
      <c r="F82" s="14">
        <v>9</v>
      </c>
      <c r="G82" s="14">
        <v>60</v>
      </c>
      <c r="H82" s="31" t="s">
        <v>228</v>
      </c>
      <c r="I82" s="14" t="s">
        <v>75</v>
      </c>
      <c r="J82" s="14" t="s">
        <v>201</v>
      </c>
      <c r="K82" s="14">
        <v>1</v>
      </c>
      <c r="L82" s="14" t="s">
        <v>213</v>
      </c>
      <c r="N82" s="14">
        <v>0</v>
      </c>
      <c r="O82" s="14" t="b">
        <v>1</v>
      </c>
      <c r="Q82" s="14" t="b">
        <v>0</v>
      </c>
      <c r="R82" s="14">
        <v>1</v>
      </c>
      <c r="S82" s="14" t="s">
        <v>77</v>
      </c>
      <c r="T82" s="14">
        <v>999</v>
      </c>
      <c r="U82" s="14" t="s">
        <v>214</v>
      </c>
      <c r="V82" s="14">
        <v>31512009</v>
      </c>
      <c r="X82" s="14" t="s">
        <v>204</v>
      </c>
      <c r="Y82" s="14" t="s">
        <v>215</v>
      </c>
      <c r="Z82" s="14">
        <v>20001</v>
      </c>
      <c r="AA82" s="14" t="s">
        <v>205</v>
      </c>
      <c r="AB82" s="14">
        <v>40001</v>
      </c>
      <c r="AE82" s="29" t="s">
        <v>121</v>
      </c>
      <c r="AF82" s="14" t="s">
        <v>213</v>
      </c>
      <c r="AG82" s="14" t="s">
        <v>86</v>
      </c>
    </row>
    <row r="83" spans="2:33">
      <c r="B83" s="14">
        <f>10000000+INDEX(编号表!$B:$B,MATCH(H83,编号表!$A:$A,0))*100000+INDEX(编号表!$F:$F,MATCH(D83,编号表!$E:$E,0))*10000+INDEX(编号表!$D:$D,MATCH(AG83,编号表!$C:$C,0))*1000+F83</f>
        <v>11412000</v>
      </c>
      <c r="C83" s="14" t="s">
        <v>238</v>
      </c>
      <c r="D83" s="14" t="s">
        <v>72</v>
      </c>
      <c r="E83" s="14" t="s">
        <v>86</v>
      </c>
      <c r="F83" s="14">
        <v>0</v>
      </c>
      <c r="G83" s="14">
        <v>60</v>
      </c>
      <c r="H83" s="31" t="s">
        <v>239</v>
      </c>
      <c r="I83" s="14" t="s">
        <v>75</v>
      </c>
      <c r="J83" s="14" t="s">
        <v>201</v>
      </c>
      <c r="K83" s="14">
        <v>1</v>
      </c>
      <c r="L83" s="14" t="s">
        <v>213</v>
      </c>
      <c r="N83" s="14">
        <v>0</v>
      </c>
      <c r="O83" s="14" t="b">
        <v>1</v>
      </c>
      <c r="Q83" s="14" t="b">
        <v>0</v>
      </c>
      <c r="R83" s="14">
        <v>1</v>
      </c>
      <c r="S83" s="14" t="s">
        <v>77</v>
      </c>
      <c r="T83" s="14">
        <v>999</v>
      </c>
      <c r="U83" s="14" t="s">
        <v>214</v>
      </c>
      <c r="V83" s="14">
        <v>31412000</v>
      </c>
      <c r="X83" s="14" t="s">
        <v>204</v>
      </c>
      <c r="Y83" s="14" t="s">
        <v>215</v>
      </c>
      <c r="Z83" s="14">
        <v>20001</v>
      </c>
      <c r="AA83" s="14" t="s">
        <v>205</v>
      </c>
      <c r="AB83" s="14">
        <v>40001</v>
      </c>
      <c r="AE83" s="29" t="s">
        <v>121</v>
      </c>
      <c r="AF83" s="14" t="s">
        <v>213</v>
      </c>
      <c r="AG83" s="14" t="s">
        <v>86</v>
      </c>
    </row>
    <row r="84" spans="2:33">
      <c r="B84" s="14">
        <f>10000000+INDEX(编号表!$B:$B,MATCH(H84,编号表!$A:$A,0))*100000+INDEX(编号表!$F:$F,MATCH(D84,编号表!$E:$E,0))*10000+INDEX(编号表!$D:$D,MATCH(AG84,编号表!$C:$C,0))*1000+F84</f>
        <v>11412001</v>
      </c>
      <c r="C84" s="14" t="s">
        <v>240</v>
      </c>
      <c r="D84" s="14" t="s">
        <v>72</v>
      </c>
      <c r="E84" s="14" t="s">
        <v>86</v>
      </c>
      <c r="F84" s="14">
        <v>1</v>
      </c>
      <c r="G84" s="14">
        <v>60</v>
      </c>
      <c r="H84" s="31" t="s">
        <v>239</v>
      </c>
      <c r="I84" s="14" t="s">
        <v>75</v>
      </c>
      <c r="J84" s="14" t="s">
        <v>201</v>
      </c>
      <c r="K84" s="14">
        <v>1</v>
      </c>
      <c r="L84" s="14" t="s">
        <v>213</v>
      </c>
      <c r="N84" s="14">
        <v>0</v>
      </c>
      <c r="O84" s="14" t="b">
        <v>1</v>
      </c>
      <c r="Q84" s="14" t="b">
        <v>0</v>
      </c>
      <c r="R84" s="14">
        <v>1</v>
      </c>
      <c r="S84" s="14" t="s">
        <v>77</v>
      </c>
      <c r="T84" s="14">
        <v>999</v>
      </c>
      <c r="U84" s="14" t="s">
        <v>214</v>
      </c>
      <c r="V84" s="14">
        <v>31412001</v>
      </c>
      <c r="X84" s="14" t="s">
        <v>204</v>
      </c>
      <c r="Y84" s="14" t="s">
        <v>215</v>
      </c>
      <c r="Z84" s="14">
        <v>20001</v>
      </c>
      <c r="AA84" s="14" t="s">
        <v>205</v>
      </c>
      <c r="AB84" s="14">
        <v>40001</v>
      </c>
      <c r="AE84" s="29" t="s">
        <v>121</v>
      </c>
      <c r="AF84" s="14" t="s">
        <v>213</v>
      </c>
      <c r="AG84" s="14" t="s">
        <v>86</v>
      </c>
    </row>
    <row r="85" spans="2:33">
      <c r="B85" s="14">
        <f>10000000+INDEX(编号表!$B:$B,MATCH(H85,编号表!$A:$A,0))*100000+INDEX(编号表!$F:$F,MATCH(D85,编号表!$E:$E,0))*10000+INDEX(编号表!$D:$D,MATCH(AG85,编号表!$C:$C,0))*1000+F85</f>
        <v>11412002</v>
      </c>
      <c r="C85" s="14" t="s">
        <v>241</v>
      </c>
      <c r="D85" s="14" t="s">
        <v>72</v>
      </c>
      <c r="E85" s="14" t="s">
        <v>86</v>
      </c>
      <c r="F85" s="14">
        <v>2</v>
      </c>
      <c r="G85" s="14">
        <v>60</v>
      </c>
      <c r="H85" s="31" t="s">
        <v>239</v>
      </c>
      <c r="I85" s="14" t="s">
        <v>75</v>
      </c>
      <c r="J85" s="14" t="s">
        <v>201</v>
      </c>
      <c r="K85" s="14">
        <v>1</v>
      </c>
      <c r="L85" s="14" t="s">
        <v>213</v>
      </c>
      <c r="N85" s="14">
        <v>0</v>
      </c>
      <c r="O85" s="14" t="b">
        <v>1</v>
      </c>
      <c r="Q85" s="14" t="b">
        <v>0</v>
      </c>
      <c r="R85" s="14">
        <v>1</v>
      </c>
      <c r="S85" s="14" t="s">
        <v>77</v>
      </c>
      <c r="T85" s="14">
        <v>999</v>
      </c>
      <c r="U85" s="14" t="s">
        <v>214</v>
      </c>
      <c r="V85" s="14">
        <v>31412002</v>
      </c>
      <c r="X85" s="14" t="s">
        <v>204</v>
      </c>
      <c r="Y85" s="14" t="s">
        <v>215</v>
      </c>
      <c r="Z85" s="14">
        <v>20001</v>
      </c>
      <c r="AA85" s="14" t="s">
        <v>205</v>
      </c>
      <c r="AB85" s="14">
        <v>40001</v>
      </c>
      <c r="AE85" s="29" t="s">
        <v>121</v>
      </c>
      <c r="AF85" s="14" t="s">
        <v>213</v>
      </c>
      <c r="AG85" s="14" t="s">
        <v>86</v>
      </c>
    </row>
    <row r="86" spans="2:33">
      <c r="B86" s="14">
        <f>10000000+INDEX(编号表!$B:$B,MATCH(H86,编号表!$A:$A,0))*100000+INDEX(编号表!$F:$F,MATCH(D86,编号表!$E:$E,0))*10000+INDEX(编号表!$D:$D,MATCH(AG86,编号表!$C:$C,0))*1000+F86</f>
        <v>11412003</v>
      </c>
      <c r="C86" s="14" t="s">
        <v>242</v>
      </c>
      <c r="D86" s="14" t="s">
        <v>72</v>
      </c>
      <c r="E86" s="14" t="s">
        <v>86</v>
      </c>
      <c r="F86" s="14">
        <v>3</v>
      </c>
      <c r="G86" s="14">
        <v>60</v>
      </c>
      <c r="H86" s="31" t="s">
        <v>239</v>
      </c>
      <c r="I86" s="14" t="s">
        <v>75</v>
      </c>
      <c r="J86" s="14" t="s">
        <v>201</v>
      </c>
      <c r="K86" s="14">
        <v>1</v>
      </c>
      <c r="L86" s="14" t="s">
        <v>213</v>
      </c>
      <c r="N86" s="14">
        <v>0</v>
      </c>
      <c r="O86" s="14" t="b">
        <v>1</v>
      </c>
      <c r="Q86" s="14" t="b">
        <v>0</v>
      </c>
      <c r="R86" s="14">
        <v>1</v>
      </c>
      <c r="S86" s="14" t="s">
        <v>77</v>
      </c>
      <c r="T86" s="14">
        <v>999</v>
      </c>
      <c r="U86" s="14" t="s">
        <v>214</v>
      </c>
      <c r="V86" s="14">
        <v>31412003</v>
      </c>
      <c r="X86" s="14" t="s">
        <v>204</v>
      </c>
      <c r="Y86" s="14" t="s">
        <v>215</v>
      </c>
      <c r="Z86" s="14">
        <v>20001</v>
      </c>
      <c r="AA86" s="14" t="s">
        <v>205</v>
      </c>
      <c r="AB86" s="14">
        <v>40001</v>
      </c>
      <c r="AE86" s="29" t="s">
        <v>121</v>
      </c>
      <c r="AF86" s="14" t="s">
        <v>213</v>
      </c>
      <c r="AG86" s="14" t="s">
        <v>86</v>
      </c>
    </row>
    <row r="87" spans="2:33">
      <c r="B87" s="14">
        <f>10000000+INDEX(编号表!$B:$B,MATCH(H87,编号表!$A:$A,0))*100000+INDEX(编号表!$F:$F,MATCH(D87,编号表!$E:$E,0))*10000+INDEX(编号表!$D:$D,MATCH(AG87,编号表!$C:$C,0))*1000+F87</f>
        <v>11612000</v>
      </c>
      <c r="C87" s="14" t="s">
        <v>243</v>
      </c>
      <c r="D87" s="14" t="s">
        <v>72</v>
      </c>
      <c r="E87" s="14" t="s">
        <v>86</v>
      </c>
      <c r="F87" s="14">
        <v>0</v>
      </c>
      <c r="G87" s="14">
        <v>60</v>
      </c>
      <c r="H87" s="31" t="s">
        <v>244</v>
      </c>
      <c r="I87" s="14" t="s">
        <v>75</v>
      </c>
      <c r="J87" s="14" t="s">
        <v>201</v>
      </c>
      <c r="K87" s="14">
        <v>1</v>
      </c>
      <c r="L87" s="14" t="s">
        <v>213</v>
      </c>
      <c r="N87" s="14">
        <v>0</v>
      </c>
      <c r="O87" s="14" t="b">
        <v>1</v>
      </c>
      <c r="Q87" s="14" t="b">
        <v>0</v>
      </c>
      <c r="R87" s="14">
        <v>1</v>
      </c>
      <c r="S87" s="14" t="s">
        <v>77</v>
      </c>
      <c r="T87" s="14">
        <v>999</v>
      </c>
      <c r="U87" s="14" t="s">
        <v>214</v>
      </c>
      <c r="V87" s="14">
        <v>31612000</v>
      </c>
      <c r="X87" s="14" t="s">
        <v>204</v>
      </c>
      <c r="Y87" s="14" t="s">
        <v>215</v>
      </c>
      <c r="Z87" s="14">
        <v>20001</v>
      </c>
      <c r="AA87" s="14" t="s">
        <v>205</v>
      </c>
      <c r="AB87" s="14">
        <v>40001</v>
      </c>
      <c r="AE87" s="29" t="s">
        <v>121</v>
      </c>
      <c r="AF87" s="14" t="s">
        <v>213</v>
      </c>
      <c r="AG87" s="14" t="s">
        <v>86</v>
      </c>
    </row>
    <row r="88" spans="2:33">
      <c r="B88" s="14">
        <f>10000000+INDEX(编号表!$B:$B,MATCH(H88,编号表!$A:$A,0))*100000+INDEX(编号表!$F:$F,MATCH(D88,编号表!$E:$E,0))*10000+INDEX(编号表!$D:$D,MATCH(AG88,编号表!$C:$C,0))*1000+F88</f>
        <v>11612001</v>
      </c>
      <c r="C88" s="14" t="s">
        <v>245</v>
      </c>
      <c r="D88" s="14" t="s">
        <v>72</v>
      </c>
      <c r="E88" s="14" t="s">
        <v>86</v>
      </c>
      <c r="F88" s="14">
        <v>1</v>
      </c>
      <c r="G88" s="14">
        <v>60</v>
      </c>
      <c r="H88" s="31" t="s">
        <v>244</v>
      </c>
      <c r="I88" s="14" t="s">
        <v>75</v>
      </c>
      <c r="J88" s="14" t="s">
        <v>201</v>
      </c>
      <c r="K88" s="14">
        <v>1</v>
      </c>
      <c r="L88" s="14" t="s">
        <v>213</v>
      </c>
      <c r="N88" s="14">
        <v>0</v>
      </c>
      <c r="O88" s="14" t="b">
        <v>1</v>
      </c>
      <c r="Q88" s="14" t="b">
        <v>0</v>
      </c>
      <c r="R88" s="14">
        <v>1</v>
      </c>
      <c r="S88" s="14" t="s">
        <v>77</v>
      </c>
      <c r="T88" s="14">
        <v>999</v>
      </c>
      <c r="U88" s="14" t="s">
        <v>214</v>
      </c>
      <c r="V88" s="14">
        <v>31612001</v>
      </c>
      <c r="X88" s="14" t="s">
        <v>204</v>
      </c>
      <c r="Y88" s="14" t="s">
        <v>215</v>
      </c>
      <c r="Z88" s="14">
        <v>20001</v>
      </c>
      <c r="AA88" s="14" t="s">
        <v>205</v>
      </c>
      <c r="AB88" s="14">
        <v>40001</v>
      </c>
      <c r="AE88" s="29" t="s">
        <v>121</v>
      </c>
      <c r="AF88" s="14" t="s">
        <v>213</v>
      </c>
      <c r="AG88" s="14" t="s">
        <v>86</v>
      </c>
    </row>
    <row r="89" spans="2:33">
      <c r="B89" s="14">
        <f>10000000+INDEX(编号表!$B:$B,MATCH(H89,编号表!$A:$A,0))*100000+INDEX(编号表!$F:$F,MATCH(D89,编号表!$E:$E,0))*10000+INDEX(编号表!$D:$D,MATCH(AG89,编号表!$C:$C,0))*1000+F89</f>
        <v>11612002</v>
      </c>
      <c r="C89" s="14" t="s">
        <v>246</v>
      </c>
      <c r="D89" s="14" t="s">
        <v>72</v>
      </c>
      <c r="E89" s="14" t="s">
        <v>86</v>
      </c>
      <c r="F89" s="14">
        <v>2</v>
      </c>
      <c r="G89" s="14">
        <v>60</v>
      </c>
      <c r="H89" s="31" t="s">
        <v>244</v>
      </c>
      <c r="I89" s="14" t="s">
        <v>75</v>
      </c>
      <c r="J89" s="14" t="s">
        <v>201</v>
      </c>
      <c r="K89" s="14">
        <v>1</v>
      </c>
      <c r="L89" s="14" t="s">
        <v>213</v>
      </c>
      <c r="N89" s="14">
        <v>0</v>
      </c>
      <c r="O89" s="14" t="b">
        <v>1</v>
      </c>
      <c r="Q89" s="14" t="b">
        <v>0</v>
      </c>
      <c r="R89" s="14">
        <v>1</v>
      </c>
      <c r="S89" s="14" t="s">
        <v>77</v>
      </c>
      <c r="T89" s="14">
        <v>999</v>
      </c>
      <c r="U89" s="14" t="s">
        <v>214</v>
      </c>
      <c r="V89" s="14">
        <v>31612002</v>
      </c>
      <c r="X89" s="14" t="s">
        <v>204</v>
      </c>
      <c r="Y89" s="14" t="s">
        <v>215</v>
      </c>
      <c r="Z89" s="14">
        <v>20001</v>
      </c>
      <c r="AA89" s="14" t="s">
        <v>205</v>
      </c>
      <c r="AB89" s="14">
        <v>40001</v>
      </c>
      <c r="AE89" s="29" t="s">
        <v>121</v>
      </c>
      <c r="AF89" s="14" t="s">
        <v>213</v>
      </c>
      <c r="AG89" s="14" t="s">
        <v>86</v>
      </c>
    </row>
    <row r="90" spans="2:33">
      <c r="B90" s="14">
        <f>10000000+INDEX(编号表!$B:$B,MATCH(H90,编号表!$A:$A,0))*100000+INDEX(编号表!$F:$F,MATCH(D90,编号表!$E:$E,0))*10000+INDEX(编号表!$D:$D,MATCH(AG90,编号表!$C:$C,0))*1000+F90</f>
        <v>11222000</v>
      </c>
      <c r="C90" s="14" t="s">
        <v>247</v>
      </c>
      <c r="D90" s="14" t="s">
        <v>112</v>
      </c>
      <c r="E90" s="14" t="s">
        <v>86</v>
      </c>
      <c r="F90" s="14">
        <v>0</v>
      </c>
      <c r="G90" s="14">
        <v>60</v>
      </c>
      <c r="H90" s="31" t="s">
        <v>212</v>
      </c>
      <c r="I90" s="14" t="s">
        <v>75</v>
      </c>
      <c r="J90" s="14" t="s">
        <v>201</v>
      </c>
      <c r="K90" s="14">
        <v>1</v>
      </c>
      <c r="L90" s="14" t="s">
        <v>213</v>
      </c>
      <c r="N90" s="14">
        <v>0</v>
      </c>
      <c r="O90" s="14" t="b">
        <v>1</v>
      </c>
      <c r="Q90" s="14" t="b">
        <v>0</v>
      </c>
      <c r="R90" s="14">
        <v>1</v>
      </c>
      <c r="S90" s="14" t="s">
        <v>77</v>
      </c>
      <c r="T90" s="14">
        <v>999</v>
      </c>
      <c r="U90" s="14" t="s">
        <v>214</v>
      </c>
      <c r="V90" s="14">
        <v>31222000</v>
      </c>
      <c r="X90" s="14" t="s">
        <v>204</v>
      </c>
      <c r="Y90" s="14" t="s">
        <v>215</v>
      </c>
      <c r="Z90" s="14">
        <v>20001</v>
      </c>
      <c r="AA90" s="14" t="s">
        <v>205</v>
      </c>
      <c r="AB90" s="14">
        <v>40001</v>
      </c>
      <c r="AE90" s="29" t="s">
        <v>121</v>
      </c>
      <c r="AF90" s="14" t="s">
        <v>213</v>
      </c>
      <c r="AG90" s="14" t="s">
        <v>86</v>
      </c>
    </row>
    <row r="91" spans="2:33">
      <c r="B91" s="14">
        <f>10000000+INDEX(编号表!$B:$B,MATCH(H91,编号表!$A:$A,0))*100000+INDEX(编号表!$F:$F,MATCH(D91,编号表!$E:$E,0))*10000+INDEX(编号表!$D:$D,MATCH(AG91,编号表!$C:$C,0))*1000+F91</f>
        <v>11322000</v>
      </c>
      <c r="C91" s="14" t="s">
        <v>248</v>
      </c>
      <c r="D91" s="14" t="s">
        <v>112</v>
      </c>
      <c r="E91" s="14" t="s">
        <v>86</v>
      </c>
      <c r="F91" s="14">
        <v>0</v>
      </c>
      <c r="G91" s="14">
        <v>60</v>
      </c>
      <c r="H91" s="31" t="s">
        <v>217</v>
      </c>
      <c r="I91" s="14" t="s">
        <v>75</v>
      </c>
      <c r="J91" s="14" t="s">
        <v>201</v>
      </c>
      <c r="K91" s="14">
        <v>1</v>
      </c>
      <c r="L91" s="14" t="s">
        <v>213</v>
      </c>
      <c r="N91" s="14">
        <v>0</v>
      </c>
      <c r="O91" s="14" t="b">
        <v>1</v>
      </c>
      <c r="Q91" s="14" t="b">
        <v>0</v>
      </c>
      <c r="R91" s="14">
        <v>1</v>
      </c>
      <c r="S91" s="14" t="s">
        <v>77</v>
      </c>
      <c r="T91" s="14">
        <v>999</v>
      </c>
      <c r="U91" s="14" t="s">
        <v>214</v>
      </c>
      <c r="V91" s="14">
        <v>31322000</v>
      </c>
      <c r="X91" s="14" t="s">
        <v>204</v>
      </c>
      <c r="Y91" s="14" t="s">
        <v>215</v>
      </c>
      <c r="Z91" s="14">
        <v>20001</v>
      </c>
      <c r="AA91" s="14" t="s">
        <v>205</v>
      </c>
      <c r="AB91" s="14">
        <v>40001</v>
      </c>
      <c r="AE91" s="29" t="s">
        <v>121</v>
      </c>
      <c r="AF91" s="14" t="s">
        <v>213</v>
      </c>
      <c r="AG91" s="14" t="s">
        <v>86</v>
      </c>
    </row>
    <row r="92" spans="2:33">
      <c r="B92" s="14">
        <f>10000000+INDEX(编号表!$B:$B,MATCH(H92,编号表!$A:$A,0))*100000+INDEX(编号表!$F:$F,MATCH(D92,编号表!$E:$E,0))*10000+INDEX(编号表!$D:$D,MATCH(AG92,编号表!$C:$C,0))*1000+F92</f>
        <v>11322001</v>
      </c>
      <c r="C92" s="14" t="s">
        <v>249</v>
      </c>
      <c r="D92" s="14" t="s">
        <v>112</v>
      </c>
      <c r="E92" s="14" t="s">
        <v>86</v>
      </c>
      <c r="F92" s="14">
        <v>1</v>
      </c>
      <c r="G92" s="14">
        <v>60</v>
      </c>
      <c r="H92" s="31" t="s">
        <v>217</v>
      </c>
      <c r="I92" s="14" t="s">
        <v>75</v>
      </c>
      <c r="J92" s="14" t="s">
        <v>201</v>
      </c>
      <c r="K92" s="14">
        <v>1</v>
      </c>
      <c r="L92" s="14" t="s">
        <v>213</v>
      </c>
      <c r="N92" s="14">
        <v>0</v>
      </c>
      <c r="O92" s="14" t="b">
        <v>1</v>
      </c>
      <c r="Q92" s="14" t="b">
        <v>0</v>
      </c>
      <c r="R92" s="14">
        <v>1</v>
      </c>
      <c r="S92" s="14" t="s">
        <v>77</v>
      </c>
      <c r="T92" s="14">
        <v>999</v>
      </c>
      <c r="U92" s="14" t="s">
        <v>214</v>
      </c>
      <c r="V92" s="14">
        <v>31322001</v>
      </c>
      <c r="X92" s="14" t="s">
        <v>204</v>
      </c>
      <c r="Y92" s="14" t="s">
        <v>215</v>
      </c>
      <c r="Z92" s="14">
        <v>20001</v>
      </c>
      <c r="AA92" s="14" t="s">
        <v>205</v>
      </c>
      <c r="AB92" s="14">
        <v>40001</v>
      </c>
      <c r="AE92" s="29" t="s">
        <v>121</v>
      </c>
      <c r="AF92" s="14" t="s">
        <v>213</v>
      </c>
      <c r="AG92" s="14" t="s">
        <v>86</v>
      </c>
    </row>
    <row r="93" spans="2:33">
      <c r="B93" s="14">
        <f>10000000+INDEX(编号表!$B:$B,MATCH(H93,编号表!$A:$A,0))*100000+INDEX(编号表!$F:$F,MATCH(D93,编号表!$E:$E,0))*10000+INDEX(编号表!$D:$D,MATCH(AG93,编号表!$C:$C,0))*1000+F93</f>
        <v>11322002</v>
      </c>
      <c r="C93" s="14" t="s">
        <v>250</v>
      </c>
      <c r="D93" s="14" t="s">
        <v>112</v>
      </c>
      <c r="E93" s="14" t="s">
        <v>86</v>
      </c>
      <c r="F93" s="14">
        <v>2</v>
      </c>
      <c r="G93" s="14">
        <v>60</v>
      </c>
      <c r="H93" s="31" t="s">
        <v>217</v>
      </c>
      <c r="I93" s="14" t="s">
        <v>75</v>
      </c>
      <c r="J93" s="14" t="s">
        <v>201</v>
      </c>
      <c r="K93" s="14">
        <v>1</v>
      </c>
      <c r="L93" s="14" t="s">
        <v>213</v>
      </c>
      <c r="N93" s="14">
        <v>0</v>
      </c>
      <c r="O93" s="14" t="b">
        <v>1</v>
      </c>
      <c r="Q93" s="14" t="b">
        <v>0</v>
      </c>
      <c r="R93" s="14">
        <v>1</v>
      </c>
      <c r="S93" s="14" t="s">
        <v>77</v>
      </c>
      <c r="T93" s="14">
        <v>999</v>
      </c>
      <c r="U93" s="14" t="s">
        <v>214</v>
      </c>
      <c r="V93" s="14">
        <v>31322002</v>
      </c>
      <c r="X93" s="14" t="s">
        <v>204</v>
      </c>
      <c r="Y93" s="14" t="s">
        <v>215</v>
      </c>
      <c r="Z93" s="14">
        <v>20001</v>
      </c>
      <c r="AA93" s="14" t="s">
        <v>205</v>
      </c>
      <c r="AB93" s="14">
        <v>40001</v>
      </c>
      <c r="AE93" s="29" t="s">
        <v>121</v>
      </c>
      <c r="AF93" s="14" t="s">
        <v>213</v>
      </c>
      <c r="AG93" s="14" t="s">
        <v>86</v>
      </c>
    </row>
    <row r="94" spans="2:33">
      <c r="B94" s="14">
        <f>10000000+INDEX(编号表!$B:$B,MATCH(H94,编号表!$A:$A,0))*100000+INDEX(编号表!$F:$F,MATCH(D94,编号表!$E:$E,0))*10000+INDEX(编号表!$D:$D,MATCH(AG94,编号表!$C:$C,0))*1000+F94</f>
        <v>11322003</v>
      </c>
      <c r="C94" s="14" t="s">
        <v>251</v>
      </c>
      <c r="D94" s="14" t="s">
        <v>112</v>
      </c>
      <c r="E94" s="14" t="s">
        <v>86</v>
      </c>
      <c r="F94" s="14">
        <v>3</v>
      </c>
      <c r="G94" s="14">
        <v>60</v>
      </c>
      <c r="H94" s="31" t="s">
        <v>217</v>
      </c>
      <c r="I94" s="14" t="s">
        <v>75</v>
      </c>
      <c r="J94" s="14" t="s">
        <v>201</v>
      </c>
      <c r="K94" s="14">
        <v>1</v>
      </c>
      <c r="L94" s="14" t="s">
        <v>213</v>
      </c>
      <c r="N94" s="14">
        <v>0</v>
      </c>
      <c r="O94" s="14" t="b">
        <v>1</v>
      </c>
      <c r="Q94" s="14" t="b">
        <v>0</v>
      </c>
      <c r="R94" s="14">
        <v>1</v>
      </c>
      <c r="S94" s="14" t="s">
        <v>77</v>
      </c>
      <c r="T94" s="14">
        <v>999</v>
      </c>
      <c r="U94" s="14" t="s">
        <v>214</v>
      </c>
      <c r="V94" s="14">
        <v>31322003</v>
      </c>
      <c r="X94" s="14" t="s">
        <v>204</v>
      </c>
      <c r="Y94" s="14" t="s">
        <v>215</v>
      </c>
      <c r="Z94" s="14">
        <v>20001</v>
      </c>
      <c r="AA94" s="14" t="s">
        <v>205</v>
      </c>
      <c r="AB94" s="14">
        <v>40001</v>
      </c>
      <c r="AE94" s="29" t="s">
        <v>121</v>
      </c>
      <c r="AF94" s="14" t="s">
        <v>213</v>
      </c>
      <c r="AG94" s="14" t="s">
        <v>86</v>
      </c>
    </row>
    <row r="95" spans="2:33">
      <c r="B95" s="14">
        <f>10000000+INDEX(编号表!$B:$B,MATCH(H95,编号表!$A:$A,0))*100000+INDEX(编号表!$F:$F,MATCH(D95,编号表!$E:$E,0))*10000+INDEX(编号表!$D:$D,MATCH(AG95,编号表!$C:$C,0))*1000+F95</f>
        <v>11322004</v>
      </c>
      <c r="C95" s="14" t="s">
        <v>252</v>
      </c>
      <c r="D95" s="14" t="s">
        <v>112</v>
      </c>
      <c r="E95" s="14" t="s">
        <v>86</v>
      </c>
      <c r="F95" s="14">
        <v>4</v>
      </c>
      <c r="G95" s="14">
        <v>60</v>
      </c>
      <c r="H95" s="31" t="s">
        <v>217</v>
      </c>
      <c r="I95" s="14" t="s">
        <v>75</v>
      </c>
      <c r="J95" s="14" t="s">
        <v>201</v>
      </c>
      <c r="K95" s="14">
        <v>1</v>
      </c>
      <c r="L95" s="14" t="s">
        <v>213</v>
      </c>
      <c r="N95" s="14">
        <v>0</v>
      </c>
      <c r="O95" s="14" t="b">
        <v>1</v>
      </c>
      <c r="Q95" s="14" t="b">
        <v>0</v>
      </c>
      <c r="R95" s="14">
        <v>1</v>
      </c>
      <c r="S95" s="14" t="s">
        <v>77</v>
      </c>
      <c r="T95" s="14">
        <v>999</v>
      </c>
      <c r="U95" s="14" t="s">
        <v>214</v>
      </c>
      <c r="V95" s="14">
        <v>31322004</v>
      </c>
      <c r="X95" s="14" t="s">
        <v>204</v>
      </c>
      <c r="Y95" s="14" t="s">
        <v>215</v>
      </c>
      <c r="Z95" s="14">
        <v>20001</v>
      </c>
      <c r="AA95" s="14" t="s">
        <v>205</v>
      </c>
      <c r="AB95" s="14">
        <v>40001</v>
      </c>
      <c r="AE95" s="29" t="s">
        <v>121</v>
      </c>
      <c r="AF95" s="14" t="s">
        <v>213</v>
      </c>
      <c r="AG95" s="14" t="s">
        <v>86</v>
      </c>
    </row>
    <row r="96" spans="2:33">
      <c r="B96" s="14">
        <f>10000000+INDEX(编号表!$B:$B,MATCH(H96,编号表!$A:$A,0))*100000+INDEX(编号表!$F:$F,MATCH(D96,编号表!$E:$E,0))*10000+INDEX(编号表!$D:$D,MATCH(AG96,编号表!$C:$C,0))*1000+F96</f>
        <v>11322005</v>
      </c>
      <c r="C96" s="14" t="s">
        <v>253</v>
      </c>
      <c r="D96" s="14" t="s">
        <v>112</v>
      </c>
      <c r="E96" s="14" t="s">
        <v>86</v>
      </c>
      <c r="F96" s="14">
        <v>5</v>
      </c>
      <c r="G96" s="14">
        <v>60</v>
      </c>
      <c r="H96" s="31" t="s">
        <v>217</v>
      </c>
      <c r="I96" s="14" t="s">
        <v>75</v>
      </c>
      <c r="J96" s="14" t="s">
        <v>201</v>
      </c>
      <c r="K96" s="14">
        <v>1</v>
      </c>
      <c r="L96" s="14" t="s">
        <v>213</v>
      </c>
      <c r="N96" s="14">
        <v>0</v>
      </c>
      <c r="O96" s="14" t="b">
        <v>1</v>
      </c>
      <c r="Q96" s="14" t="b">
        <v>0</v>
      </c>
      <c r="R96" s="14">
        <v>1</v>
      </c>
      <c r="S96" s="14" t="s">
        <v>77</v>
      </c>
      <c r="T96" s="14">
        <v>999</v>
      </c>
      <c r="U96" s="14" t="s">
        <v>214</v>
      </c>
      <c r="V96" s="14">
        <v>31322005</v>
      </c>
      <c r="X96" s="14" t="s">
        <v>204</v>
      </c>
      <c r="Y96" s="14" t="s">
        <v>215</v>
      </c>
      <c r="Z96" s="14">
        <v>20001</v>
      </c>
      <c r="AA96" s="14" t="s">
        <v>205</v>
      </c>
      <c r="AB96" s="14">
        <v>40001</v>
      </c>
      <c r="AE96" s="29" t="s">
        <v>121</v>
      </c>
      <c r="AF96" s="14" t="s">
        <v>213</v>
      </c>
      <c r="AG96" s="14" t="s">
        <v>86</v>
      </c>
    </row>
    <row r="97" spans="2:33">
      <c r="B97" s="14">
        <f>10000000+INDEX(编号表!$B:$B,MATCH(H97,编号表!$A:$A,0))*100000+INDEX(编号表!$F:$F,MATCH(D97,编号表!$E:$E,0))*10000+INDEX(编号表!$D:$D,MATCH(AG97,编号表!$C:$C,0))*1000+F97</f>
        <v>11322006</v>
      </c>
      <c r="C97" s="14" t="s">
        <v>254</v>
      </c>
      <c r="D97" s="14" t="s">
        <v>112</v>
      </c>
      <c r="E97" s="14" t="s">
        <v>86</v>
      </c>
      <c r="F97" s="14">
        <v>6</v>
      </c>
      <c r="G97" s="14">
        <v>60</v>
      </c>
      <c r="H97" s="31" t="s">
        <v>217</v>
      </c>
      <c r="I97" s="14" t="s">
        <v>75</v>
      </c>
      <c r="J97" s="14" t="s">
        <v>201</v>
      </c>
      <c r="K97" s="14">
        <v>1</v>
      </c>
      <c r="L97" s="14" t="s">
        <v>213</v>
      </c>
      <c r="N97" s="14">
        <v>0</v>
      </c>
      <c r="O97" s="14" t="b">
        <v>1</v>
      </c>
      <c r="Q97" s="14" t="b">
        <v>0</v>
      </c>
      <c r="R97" s="14">
        <v>1</v>
      </c>
      <c r="S97" s="14" t="s">
        <v>77</v>
      </c>
      <c r="T97" s="14">
        <v>999</v>
      </c>
      <c r="U97" s="14" t="s">
        <v>214</v>
      </c>
      <c r="V97" s="14">
        <v>31322006</v>
      </c>
      <c r="X97" s="14" t="s">
        <v>204</v>
      </c>
      <c r="Y97" s="14" t="s">
        <v>215</v>
      </c>
      <c r="Z97" s="14">
        <v>20001</v>
      </c>
      <c r="AA97" s="14" t="s">
        <v>205</v>
      </c>
      <c r="AB97" s="14">
        <v>40001</v>
      </c>
      <c r="AE97" s="29" t="s">
        <v>121</v>
      </c>
      <c r="AF97" s="14" t="s">
        <v>213</v>
      </c>
      <c r="AG97" s="14" t="s">
        <v>86</v>
      </c>
    </row>
    <row r="98" spans="2:33">
      <c r="B98" s="14">
        <f>10000000+INDEX(编号表!$B:$B,MATCH(H98,编号表!$A:$A,0))*100000+INDEX(编号表!$F:$F,MATCH(D98,编号表!$E:$E,0))*10000+INDEX(编号表!$D:$D,MATCH(AG98,编号表!$C:$C,0))*1000+F98</f>
        <v>11322007</v>
      </c>
      <c r="C98" s="14" t="s">
        <v>255</v>
      </c>
      <c r="D98" s="14" t="s">
        <v>112</v>
      </c>
      <c r="E98" s="14" t="s">
        <v>86</v>
      </c>
      <c r="F98" s="14">
        <v>7</v>
      </c>
      <c r="G98" s="14">
        <v>60</v>
      </c>
      <c r="H98" s="31" t="s">
        <v>217</v>
      </c>
      <c r="I98" s="14" t="s">
        <v>75</v>
      </c>
      <c r="J98" s="14" t="s">
        <v>201</v>
      </c>
      <c r="K98" s="14">
        <v>1</v>
      </c>
      <c r="L98" s="14" t="s">
        <v>213</v>
      </c>
      <c r="N98" s="14">
        <v>0</v>
      </c>
      <c r="O98" s="14" t="b">
        <v>1</v>
      </c>
      <c r="Q98" s="14" t="b">
        <v>0</v>
      </c>
      <c r="R98" s="14">
        <v>1</v>
      </c>
      <c r="S98" s="14" t="s">
        <v>77</v>
      </c>
      <c r="T98" s="14">
        <v>999</v>
      </c>
      <c r="U98" s="14" t="s">
        <v>214</v>
      </c>
      <c r="V98" s="14">
        <v>31322007</v>
      </c>
      <c r="X98" s="14" t="s">
        <v>204</v>
      </c>
      <c r="Y98" s="14" t="s">
        <v>215</v>
      </c>
      <c r="Z98" s="14">
        <v>20001</v>
      </c>
      <c r="AA98" s="14" t="s">
        <v>205</v>
      </c>
      <c r="AB98" s="14">
        <v>40001</v>
      </c>
      <c r="AE98" s="29" t="s">
        <v>121</v>
      </c>
      <c r="AF98" s="14" t="s">
        <v>213</v>
      </c>
      <c r="AG98" s="14" t="s">
        <v>86</v>
      </c>
    </row>
    <row r="99" spans="2:33">
      <c r="B99" s="14">
        <f>10000000+INDEX(编号表!$B:$B,MATCH(H99,编号表!$A:$A,0))*100000+INDEX(编号表!$F:$F,MATCH(D99,编号表!$E:$E,0))*10000+INDEX(编号表!$D:$D,MATCH(AG99,编号表!$C:$C,0))*1000+F99</f>
        <v>11322008</v>
      </c>
      <c r="C99" s="14" t="s">
        <v>256</v>
      </c>
      <c r="D99" s="14" t="s">
        <v>112</v>
      </c>
      <c r="E99" s="14" t="s">
        <v>86</v>
      </c>
      <c r="F99" s="14">
        <v>8</v>
      </c>
      <c r="G99" s="14">
        <v>60</v>
      </c>
      <c r="H99" s="31" t="s">
        <v>217</v>
      </c>
      <c r="I99" s="14" t="s">
        <v>75</v>
      </c>
      <c r="J99" s="14" t="s">
        <v>201</v>
      </c>
      <c r="K99" s="14">
        <v>1</v>
      </c>
      <c r="L99" s="14" t="s">
        <v>213</v>
      </c>
      <c r="N99" s="14">
        <v>0</v>
      </c>
      <c r="O99" s="14" t="b">
        <v>1</v>
      </c>
      <c r="Q99" s="14" t="b">
        <v>0</v>
      </c>
      <c r="R99" s="14">
        <v>1</v>
      </c>
      <c r="S99" s="14" t="s">
        <v>77</v>
      </c>
      <c r="T99" s="14">
        <v>999</v>
      </c>
      <c r="U99" s="14" t="s">
        <v>214</v>
      </c>
      <c r="V99" s="14">
        <v>31322008</v>
      </c>
      <c r="X99" s="14" t="s">
        <v>204</v>
      </c>
      <c r="Y99" s="14" t="s">
        <v>215</v>
      </c>
      <c r="Z99" s="14">
        <v>20001</v>
      </c>
      <c r="AA99" s="14" t="s">
        <v>205</v>
      </c>
      <c r="AB99" s="14">
        <v>40001</v>
      </c>
      <c r="AE99" s="29" t="s">
        <v>121</v>
      </c>
      <c r="AF99" s="14" t="s">
        <v>213</v>
      </c>
      <c r="AG99" s="14" t="s">
        <v>86</v>
      </c>
    </row>
    <row r="100" spans="2:33">
      <c r="B100" s="14">
        <f>10000000+INDEX(编号表!$B:$B,MATCH(H100,编号表!$A:$A,0))*100000+INDEX(编号表!$F:$F,MATCH(D100,编号表!$E:$E,0))*10000+INDEX(编号表!$D:$D,MATCH(AG100,编号表!$C:$C,0))*1000+F100</f>
        <v>11322009</v>
      </c>
      <c r="C100" s="14" t="s">
        <v>257</v>
      </c>
      <c r="D100" s="14" t="s">
        <v>112</v>
      </c>
      <c r="E100" s="14" t="s">
        <v>86</v>
      </c>
      <c r="F100" s="14">
        <v>9</v>
      </c>
      <c r="G100" s="14">
        <v>60</v>
      </c>
      <c r="H100" s="31" t="s">
        <v>217</v>
      </c>
      <c r="I100" s="14" t="s">
        <v>75</v>
      </c>
      <c r="J100" s="14" t="s">
        <v>201</v>
      </c>
      <c r="K100" s="14">
        <v>1</v>
      </c>
      <c r="L100" s="14" t="s">
        <v>213</v>
      </c>
      <c r="N100" s="14">
        <v>0</v>
      </c>
      <c r="O100" s="14" t="b">
        <v>1</v>
      </c>
      <c r="Q100" s="14" t="b">
        <v>0</v>
      </c>
      <c r="R100" s="14">
        <v>1</v>
      </c>
      <c r="S100" s="14" t="s">
        <v>77</v>
      </c>
      <c r="T100" s="14">
        <v>999</v>
      </c>
      <c r="U100" s="14" t="s">
        <v>214</v>
      </c>
      <c r="V100" s="14">
        <v>31322009</v>
      </c>
      <c r="X100" s="14" t="s">
        <v>204</v>
      </c>
      <c r="Y100" s="14" t="s">
        <v>215</v>
      </c>
      <c r="Z100" s="14">
        <v>20001</v>
      </c>
      <c r="AA100" s="14" t="s">
        <v>205</v>
      </c>
      <c r="AB100" s="14">
        <v>40001</v>
      </c>
      <c r="AE100" s="29" t="s">
        <v>121</v>
      </c>
      <c r="AF100" s="14" t="s">
        <v>213</v>
      </c>
      <c r="AG100" s="14" t="s">
        <v>86</v>
      </c>
    </row>
    <row r="101" spans="2:33">
      <c r="B101" s="14">
        <f>10000000+INDEX(编号表!$B:$B,MATCH(H101,编号表!$A:$A,0))*100000+INDEX(编号表!$F:$F,MATCH(D101,编号表!$E:$E,0))*10000+INDEX(编号表!$D:$D,MATCH(AG101,编号表!$C:$C,0))*1000+F101</f>
        <v>11522000</v>
      </c>
      <c r="C101" s="14" t="s">
        <v>258</v>
      </c>
      <c r="D101" s="14" t="s">
        <v>112</v>
      </c>
      <c r="E101" s="14" t="s">
        <v>86</v>
      </c>
      <c r="F101" s="14">
        <v>0</v>
      </c>
      <c r="G101" s="14">
        <v>60</v>
      </c>
      <c r="H101" s="31" t="s">
        <v>228</v>
      </c>
      <c r="I101" s="14" t="s">
        <v>75</v>
      </c>
      <c r="J101" s="14" t="s">
        <v>201</v>
      </c>
      <c r="K101" s="14">
        <v>1</v>
      </c>
      <c r="L101" s="14" t="s">
        <v>213</v>
      </c>
      <c r="N101" s="14">
        <v>0</v>
      </c>
      <c r="O101" s="14" t="b">
        <v>1</v>
      </c>
      <c r="Q101" s="14" t="b">
        <v>0</v>
      </c>
      <c r="R101" s="14">
        <v>1</v>
      </c>
      <c r="S101" s="14" t="s">
        <v>77</v>
      </c>
      <c r="T101" s="14">
        <v>999</v>
      </c>
      <c r="U101" s="14" t="s">
        <v>214</v>
      </c>
      <c r="V101" s="14">
        <v>31522000</v>
      </c>
      <c r="X101" s="14" t="s">
        <v>204</v>
      </c>
      <c r="Y101" s="14" t="s">
        <v>215</v>
      </c>
      <c r="Z101" s="14">
        <v>20001</v>
      </c>
      <c r="AA101" s="14" t="s">
        <v>205</v>
      </c>
      <c r="AB101" s="14">
        <v>40001</v>
      </c>
      <c r="AE101" s="29" t="s">
        <v>121</v>
      </c>
      <c r="AF101" s="14" t="s">
        <v>213</v>
      </c>
      <c r="AG101" s="14" t="s">
        <v>86</v>
      </c>
    </row>
    <row r="102" spans="2:33">
      <c r="B102" s="14">
        <f>10000000+INDEX(编号表!$B:$B,MATCH(H102,编号表!$A:$A,0))*100000+INDEX(编号表!$F:$F,MATCH(D102,编号表!$E:$E,0))*10000+INDEX(编号表!$D:$D,MATCH(AG102,编号表!$C:$C,0))*1000+F102</f>
        <v>11522001</v>
      </c>
      <c r="C102" s="14" t="s">
        <v>259</v>
      </c>
      <c r="D102" s="14" t="s">
        <v>112</v>
      </c>
      <c r="E102" s="14" t="s">
        <v>86</v>
      </c>
      <c r="F102" s="14">
        <v>1</v>
      </c>
      <c r="G102" s="14">
        <v>60</v>
      </c>
      <c r="H102" s="31" t="s">
        <v>228</v>
      </c>
      <c r="I102" s="14" t="s">
        <v>75</v>
      </c>
      <c r="J102" s="14" t="s">
        <v>201</v>
      </c>
      <c r="K102" s="14">
        <v>1</v>
      </c>
      <c r="L102" s="14" t="s">
        <v>213</v>
      </c>
      <c r="N102" s="14">
        <v>0</v>
      </c>
      <c r="O102" s="14" t="b">
        <v>1</v>
      </c>
      <c r="Q102" s="14" t="b">
        <v>0</v>
      </c>
      <c r="R102" s="14">
        <v>1</v>
      </c>
      <c r="S102" s="14" t="s">
        <v>77</v>
      </c>
      <c r="T102" s="14">
        <v>999</v>
      </c>
      <c r="U102" s="14" t="s">
        <v>214</v>
      </c>
      <c r="V102" s="14">
        <v>31522001</v>
      </c>
      <c r="X102" s="14" t="s">
        <v>204</v>
      </c>
      <c r="Y102" s="14" t="s">
        <v>215</v>
      </c>
      <c r="Z102" s="14">
        <v>20001</v>
      </c>
      <c r="AA102" s="14" t="s">
        <v>205</v>
      </c>
      <c r="AB102" s="14">
        <v>40001</v>
      </c>
      <c r="AE102" s="29" t="s">
        <v>121</v>
      </c>
      <c r="AF102" s="14" t="s">
        <v>213</v>
      </c>
      <c r="AG102" s="14" t="s">
        <v>86</v>
      </c>
    </row>
    <row r="103" spans="2:33">
      <c r="B103" s="14">
        <f>10000000+INDEX(编号表!$B:$B,MATCH(H103,编号表!$A:$A,0))*100000+INDEX(编号表!$F:$F,MATCH(D103,编号表!$E:$E,0))*10000+INDEX(编号表!$D:$D,MATCH(AG103,编号表!$C:$C,0))*1000+F103</f>
        <v>11522002</v>
      </c>
      <c r="C103" s="14" t="s">
        <v>260</v>
      </c>
      <c r="D103" s="14" t="s">
        <v>112</v>
      </c>
      <c r="E103" s="14" t="s">
        <v>86</v>
      </c>
      <c r="F103" s="14">
        <v>2</v>
      </c>
      <c r="G103" s="14">
        <v>60</v>
      </c>
      <c r="H103" s="31" t="s">
        <v>228</v>
      </c>
      <c r="I103" s="14" t="s">
        <v>75</v>
      </c>
      <c r="J103" s="14" t="s">
        <v>201</v>
      </c>
      <c r="K103" s="14">
        <v>1</v>
      </c>
      <c r="L103" s="14" t="s">
        <v>213</v>
      </c>
      <c r="N103" s="14">
        <v>0</v>
      </c>
      <c r="O103" s="14" t="b">
        <v>1</v>
      </c>
      <c r="Q103" s="14" t="b">
        <v>0</v>
      </c>
      <c r="R103" s="14">
        <v>1</v>
      </c>
      <c r="S103" s="14" t="s">
        <v>77</v>
      </c>
      <c r="T103" s="14">
        <v>999</v>
      </c>
      <c r="U103" s="14" t="s">
        <v>214</v>
      </c>
      <c r="V103" s="14">
        <v>31522002</v>
      </c>
      <c r="X103" s="14" t="s">
        <v>204</v>
      </c>
      <c r="Y103" s="14" t="s">
        <v>215</v>
      </c>
      <c r="Z103" s="14">
        <v>20001</v>
      </c>
      <c r="AA103" s="14" t="s">
        <v>205</v>
      </c>
      <c r="AB103" s="14">
        <v>40001</v>
      </c>
      <c r="AE103" s="29" t="s">
        <v>121</v>
      </c>
      <c r="AF103" s="14" t="s">
        <v>213</v>
      </c>
      <c r="AG103" s="14" t="s">
        <v>86</v>
      </c>
    </row>
    <row r="104" spans="2:33">
      <c r="B104" s="14">
        <f>10000000+INDEX(编号表!$B:$B,MATCH(H104,编号表!$A:$A,0))*100000+INDEX(编号表!$F:$F,MATCH(D104,编号表!$E:$E,0))*10000+INDEX(编号表!$D:$D,MATCH(AG104,编号表!$C:$C,0))*1000+F104</f>
        <v>11522003</v>
      </c>
      <c r="C104" s="14" t="s">
        <v>261</v>
      </c>
      <c r="D104" s="14" t="s">
        <v>112</v>
      </c>
      <c r="E104" s="14" t="s">
        <v>86</v>
      </c>
      <c r="F104" s="14">
        <v>3</v>
      </c>
      <c r="G104" s="14">
        <v>60</v>
      </c>
      <c r="H104" s="31" t="s">
        <v>228</v>
      </c>
      <c r="I104" s="14" t="s">
        <v>75</v>
      </c>
      <c r="J104" s="14" t="s">
        <v>201</v>
      </c>
      <c r="K104" s="14">
        <v>1</v>
      </c>
      <c r="L104" s="14" t="s">
        <v>213</v>
      </c>
      <c r="N104" s="14">
        <v>0</v>
      </c>
      <c r="O104" s="14" t="b">
        <v>1</v>
      </c>
      <c r="Q104" s="14" t="b">
        <v>0</v>
      </c>
      <c r="R104" s="14">
        <v>1</v>
      </c>
      <c r="S104" s="14" t="s">
        <v>77</v>
      </c>
      <c r="T104" s="14">
        <v>999</v>
      </c>
      <c r="U104" s="14" t="s">
        <v>214</v>
      </c>
      <c r="V104" s="14">
        <v>31522003</v>
      </c>
      <c r="X104" s="14" t="s">
        <v>204</v>
      </c>
      <c r="Y104" s="14" t="s">
        <v>215</v>
      </c>
      <c r="Z104" s="14">
        <v>20001</v>
      </c>
      <c r="AA104" s="14" t="s">
        <v>205</v>
      </c>
      <c r="AB104" s="14">
        <v>40001</v>
      </c>
      <c r="AE104" s="29" t="s">
        <v>121</v>
      </c>
      <c r="AF104" s="14" t="s">
        <v>213</v>
      </c>
      <c r="AG104" s="14" t="s">
        <v>86</v>
      </c>
    </row>
    <row r="105" spans="2:33">
      <c r="B105" s="14">
        <f>10000000+INDEX(编号表!$B:$B,MATCH(H105,编号表!$A:$A,0))*100000+INDEX(编号表!$F:$F,MATCH(D105,编号表!$E:$E,0))*10000+INDEX(编号表!$D:$D,MATCH(AG105,编号表!$C:$C,0))*1000+F105</f>
        <v>11522004</v>
      </c>
      <c r="C105" s="14" t="s">
        <v>262</v>
      </c>
      <c r="D105" s="14" t="s">
        <v>112</v>
      </c>
      <c r="E105" s="14" t="s">
        <v>86</v>
      </c>
      <c r="F105" s="14">
        <v>4</v>
      </c>
      <c r="G105" s="14">
        <v>60</v>
      </c>
      <c r="H105" s="31" t="s">
        <v>228</v>
      </c>
      <c r="I105" s="14" t="s">
        <v>75</v>
      </c>
      <c r="J105" s="14" t="s">
        <v>201</v>
      </c>
      <c r="K105" s="14">
        <v>1</v>
      </c>
      <c r="L105" s="14" t="s">
        <v>213</v>
      </c>
      <c r="N105" s="14">
        <v>0</v>
      </c>
      <c r="O105" s="14" t="b">
        <v>1</v>
      </c>
      <c r="Q105" s="14" t="b">
        <v>0</v>
      </c>
      <c r="R105" s="14">
        <v>1</v>
      </c>
      <c r="S105" s="14" t="s">
        <v>77</v>
      </c>
      <c r="T105" s="14">
        <v>999</v>
      </c>
      <c r="U105" s="14" t="s">
        <v>214</v>
      </c>
      <c r="V105" s="14">
        <v>31522004</v>
      </c>
      <c r="X105" s="14" t="s">
        <v>204</v>
      </c>
      <c r="Y105" s="14" t="s">
        <v>215</v>
      </c>
      <c r="Z105" s="14">
        <v>20001</v>
      </c>
      <c r="AA105" s="14" t="s">
        <v>205</v>
      </c>
      <c r="AB105" s="14">
        <v>40001</v>
      </c>
      <c r="AE105" s="29" t="s">
        <v>121</v>
      </c>
      <c r="AF105" s="14" t="s">
        <v>213</v>
      </c>
      <c r="AG105" s="14" t="s">
        <v>86</v>
      </c>
    </row>
    <row r="106" spans="2:33">
      <c r="B106" s="14">
        <f>10000000+INDEX(编号表!$B:$B,MATCH(H106,编号表!$A:$A,0))*100000+INDEX(编号表!$F:$F,MATCH(D106,编号表!$E:$E,0))*10000+INDEX(编号表!$D:$D,MATCH(AG106,编号表!$C:$C,0))*1000+F106</f>
        <v>11522005</v>
      </c>
      <c r="C106" s="14" t="s">
        <v>263</v>
      </c>
      <c r="D106" s="14" t="s">
        <v>112</v>
      </c>
      <c r="E106" s="14" t="s">
        <v>86</v>
      </c>
      <c r="F106" s="14">
        <v>5</v>
      </c>
      <c r="G106" s="14">
        <v>60</v>
      </c>
      <c r="H106" s="31" t="s">
        <v>228</v>
      </c>
      <c r="I106" s="14" t="s">
        <v>75</v>
      </c>
      <c r="J106" s="14" t="s">
        <v>201</v>
      </c>
      <c r="K106" s="14">
        <v>1</v>
      </c>
      <c r="L106" s="14" t="s">
        <v>213</v>
      </c>
      <c r="N106" s="14">
        <v>0</v>
      </c>
      <c r="O106" s="14" t="b">
        <v>1</v>
      </c>
      <c r="Q106" s="14" t="b">
        <v>0</v>
      </c>
      <c r="R106" s="14">
        <v>1</v>
      </c>
      <c r="S106" s="14" t="s">
        <v>77</v>
      </c>
      <c r="T106" s="14">
        <v>999</v>
      </c>
      <c r="U106" s="14" t="s">
        <v>214</v>
      </c>
      <c r="V106" s="14">
        <v>31522005</v>
      </c>
      <c r="X106" s="14" t="s">
        <v>204</v>
      </c>
      <c r="Y106" s="14" t="s">
        <v>215</v>
      </c>
      <c r="Z106" s="14">
        <v>20001</v>
      </c>
      <c r="AA106" s="14" t="s">
        <v>205</v>
      </c>
      <c r="AB106" s="14">
        <v>40001</v>
      </c>
      <c r="AE106" s="29" t="s">
        <v>121</v>
      </c>
      <c r="AF106" s="14" t="s">
        <v>213</v>
      </c>
      <c r="AG106" s="14" t="s">
        <v>86</v>
      </c>
    </row>
    <row r="107" spans="2:33">
      <c r="B107" s="14">
        <f>10000000+INDEX(编号表!$B:$B,MATCH(H107,编号表!$A:$A,0))*100000+INDEX(编号表!$F:$F,MATCH(D107,编号表!$E:$E,0))*10000+INDEX(编号表!$D:$D,MATCH(AG107,编号表!$C:$C,0))*1000+F107</f>
        <v>11522006</v>
      </c>
      <c r="C107" s="14" t="s">
        <v>264</v>
      </c>
      <c r="D107" s="14" t="s">
        <v>112</v>
      </c>
      <c r="E107" s="14" t="s">
        <v>86</v>
      </c>
      <c r="F107" s="14">
        <v>6</v>
      </c>
      <c r="G107" s="14">
        <v>60</v>
      </c>
      <c r="H107" s="31" t="s">
        <v>228</v>
      </c>
      <c r="I107" s="14" t="s">
        <v>75</v>
      </c>
      <c r="J107" s="14" t="s">
        <v>201</v>
      </c>
      <c r="K107" s="14">
        <v>1</v>
      </c>
      <c r="L107" s="14" t="s">
        <v>213</v>
      </c>
      <c r="N107" s="14">
        <v>0</v>
      </c>
      <c r="O107" s="14" t="b">
        <v>1</v>
      </c>
      <c r="Q107" s="14" t="b">
        <v>0</v>
      </c>
      <c r="R107" s="14">
        <v>1</v>
      </c>
      <c r="S107" s="14" t="s">
        <v>77</v>
      </c>
      <c r="T107" s="14">
        <v>999</v>
      </c>
      <c r="U107" s="14" t="s">
        <v>214</v>
      </c>
      <c r="V107" s="14">
        <v>31522006</v>
      </c>
      <c r="X107" s="14" t="s">
        <v>204</v>
      </c>
      <c r="Y107" s="14" t="s">
        <v>215</v>
      </c>
      <c r="Z107" s="14">
        <v>20001</v>
      </c>
      <c r="AA107" s="14" t="s">
        <v>205</v>
      </c>
      <c r="AB107" s="14">
        <v>40001</v>
      </c>
      <c r="AE107" s="29" t="s">
        <v>121</v>
      </c>
      <c r="AF107" s="14" t="s">
        <v>213</v>
      </c>
      <c r="AG107" s="14" t="s">
        <v>86</v>
      </c>
    </row>
    <row r="108" spans="2:33">
      <c r="B108" s="14">
        <f>10000000+INDEX(编号表!$B:$B,MATCH(H108,编号表!$A:$A,0))*100000+INDEX(编号表!$F:$F,MATCH(D108,编号表!$E:$E,0))*10000+INDEX(编号表!$D:$D,MATCH(AG108,编号表!$C:$C,0))*1000+F108</f>
        <v>11522007</v>
      </c>
      <c r="C108" s="14" t="s">
        <v>265</v>
      </c>
      <c r="D108" s="14" t="s">
        <v>112</v>
      </c>
      <c r="E108" s="14" t="s">
        <v>86</v>
      </c>
      <c r="F108" s="14">
        <v>7</v>
      </c>
      <c r="G108" s="14">
        <v>60</v>
      </c>
      <c r="H108" s="31" t="s">
        <v>228</v>
      </c>
      <c r="I108" s="14" t="s">
        <v>75</v>
      </c>
      <c r="J108" s="14" t="s">
        <v>201</v>
      </c>
      <c r="K108" s="14">
        <v>1</v>
      </c>
      <c r="L108" s="14" t="s">
        <v>213</v>
      </c>
      <c r="N108" s="14">
        <v>0</v>
      </c>
      <c r="O108" s="14" t="b">
        <v>1</v>
      </c>
      <c r="Q108" s="14" t="b">
        <v>0</v>
      </c>
      <c r="R108" s="14">
        <v>1</v>
      </c>
      <c r="S108" s="14" t="s">
        <v>77</v>
      </c>
      <c r="T108" s="14">
        <v>999</v>
      </c>
      <c r="U108" s="14" t="s">
        <v>214</v>
      </c>
      <c r="V108" s="14">
        <v>31522007</v>
      </c>
      <c r="X108" s="14" t="s">
        <v>204</v>
      </c>
      <c r="Y108" s="14" t="s">
        <v>215</v>
      </c>
      <c r="Z108" s="14">
        <v>20001</v>
      </c>
      <c r="AA108" s="14" t="s">
        <v>205</v>
      </c>
      <c r="AB108" s="14">
        <v>40001</v>
      </c>
      <c r="AE108" s="29" t="s">
        <v>121</v>
      </c>
      <c r="AF108" s="14" t="s">
        <v>213</v>
      </c>
      <c r="AG108" s="14" t="s">
        <v>86</v>
      </c>
    </row>
    <row r="109" spans="2:33">
      <c r="B109" s="14">
        <f>10000000+INDEX(编号表!$B:$B,MATCH(H109,编号表!$A:$A,0))*100000+INDEX(编号表!$F:$F,MATCH(D109,编号表!$E:$E,0))*10000+INDEX(编号表!$D:$D,MATCH(AG109,编号表!$C:$C,0))*1000+F109</f>
        <v>11522008</v>
      </c>
      <c r="C109" s="14" t="s">
        <v>266</v>
      </c>
      <c r="D109" s="14" t="s">
        <v>112</v>
      </c>
      <c r="E109" s="14" t="s">
        <v>86</v>
      </c>
      <c r="F109" s="14">
        <v>8</v>
      </c>
      <c r="G109" s="14">
        <v>60</v>
      </c>
      <c r="H109" s="31" t="s">
        <v>228</v>
      </c>
      <c r="I109" s="14" t="s">
        <v>75</v>
      </c>
      <c r="J109" s="14" t="s">
        <v>201</v>
      </c>
      <c r="K109" s="14">
        <v>1</v>
      </c>
      <c r="L109" s="14" t="s">
        <v>213</v>
      </c>
      <c r="N109" s="14">
        <v>0</v>
      </c>
      <c r="O109" s="14" t="b">
        <v>1</v>
      </c>
      <c r="Q109" s="14" t="b">
        <v>0</v>
      </c>
      <c r="R109" s="14">
        <v>1</v>
      </c>
      <c r="S109" s="14" t="s">
        <v>77</v>
      </c>
      <c r="T109" s="14">
        <v>999</v>
      </c>
      <c r="U109" s="14" t="s">
        <v>214</v>
      </c>
      <c r="V109" s="14">
        <v>31522008</v>
      </c>
      <c r="X109" s="14" t="s">
        <v>204</v>
      </c>
      <c r="Y109" s="14" t="s">
        <v>215</v>
      </c>
      <c r="Z109" s="14">
        <v>20001</v>
      </c>
      <c r="AA109" s="14" t="s">
        <v>205</v>
      </c>
      <c r="AB109" s="14">
        <v>40001</v>
      </c>
      <c r="AE109" s="29" t="s">
        <v>121</v>
      </c>
      <c r="AF109" s="14" t="s">
        <v>213</v>
      </c>
      <c r="AG109" s="14" t="s">
        <v>86</v>
      </c>
    </row>
    <row r="110" spans="2:33">
      <c r="B110" s="14">
        <f>10000000+INDEX(编号表!$B:$B,MATCH(H110,编号表!$A:$A,0))*100000+INDEX(编号表!$F:$F,MATCH(D110,编号表!$E:$E,0))*10000+INDEX(编号表!$D:$D,MATCH(AG110,编号表!$C:$C,0))*1000+F110</f>
        <v>11522009</v>
      </c>
      <c r="C110" s="14" t="s">
        <v>267</v>
      </c>
      <c r="D110" s="14" t="s">
        <v>112</v>
      </c>
      <c r="E110" s="14" t="s">
        <v>86</v>
      </c>
      <c r="F110" s="14">
        <v>9</v>
      </c>
      <c r="G110" s="14">
        <v>60</v>
      </c>
      <c r="H110" s="31" t="s">
        <v>228</v>
      </c>
      <c r="I110" s="14" t="s">
        <v>75</v>
      </c>
      <c r="J110" s="14" t="s">
        <v>201</v>
      </c>
      <c r="K110" s="14">
        <v>1</v>
      </c>
      <c r="L110" s="14" t="s">
        <v>213</v>
      </c>
      <c r="N110" s="14">
        <v>0</v>
      </c>
      <c r="O110" s="14" t="b">
        <v>1</v>
      </c>
      <c r="Q110" s="14" t="b">
        <v>0</v>
      </c>
      <c r="R110" s="14">
        <v>1</v>
      </c>
      <c r="S110" s="14" t="s">
        <v>77</v>
      </c>
      <c r="T110" s="14">
        <v>999</v>
      </c>
      <c r="U110" s="14" t="s">
        <v>214</v>
      </c>
      <c r="V110" s="14">
        <v>31522009</v>
      </c>
      <c r="X110" s="14" t="s">
        <v>204</v>
      </c>
      <c r="Y110" s="14" t="s">
        <v>215</v>
      </c>
      <c r="Z110" s="14">
        <v>20001</v>
      </c>
      <c r="AA110" s="14" t="s">
        <v>205</v>
      </c>
      <c r="AB110" s="14">
        <v>40001</v>
      </c>
      <c r="AE110" s="29" t="s">
        <v>121</v>
      </c>
      <c r="AF110" s="14" t="s">
        <v>213</v>
      </c>
      <c r="AG110" s="14" t="s">
        <v>86</v>
      </c>
    </row>
    <row r="111" spans="2:33">
      <c r="B111" s="14">
        <f>10000000+INDEX(编号表!$B:$B,MATCH(H111,编号表!$A:$A,0))*100000+INDEX(编号表!$F:$F,MATCH(D111,编号表!$E:$E,0))*10000+INDEX(编号表!$D:$D,MATCH(AG111,编号表!$C:$C,0))*1000+F111</f>
        <v>11422000</v>
      </c>
      <c r="C111" s="14" t="s">
        <v>268</v>
      </c>
      <c r="D111" s="14" t="s">
        <v>112</v>
      </c>
      <c r="E111" s="14" t="s">
        <v>86</v>
      </c>
      <c r="F111" s="14">
        <v>0</v>
      </c>
      <c r="G111" s="14">
        <v>60</v>
      </c>
      <c r="H111" s="31" t="s">
        <v>239</v>
      </c>
      <c r="I111" s="14" t="s">
        <v>75</v>
      </c>
      <c r="J111" s="14" t="s">
        <v>201</v>
      </c>
      <c r="K111" s="14">
        <v>1</v>
      </c>
      <c r="L111" s="14" t="s">
        <v>213</v>
      </c>
      <c r="N111" s="14">
        <v>0</v>
      </c>
      <c r="O111" s="14" t="b">
        <v>1</v>
      </c>
      <c r="Q111" s="14" t="b">
        <v>0</v>
      </c>
      <c r="R111" s="14">
        <v>1</v>
      </c>
      <c r="S111" s="14" t="s">
        <v>77</v>
      </c>
      <c r="T111" s="14">
        <v>999</v>
      </c>
      <c r="U111" s="14" t="s">
        <v>214</v>
      </c>
      <c r="V111" s="14">
        <v>31422000</v>
      </c>
      <c r="X111" s="14" t="s">
        <v>204</v>
      </c>
      <c r="Y111" s="14" t="s">
        <v>215</v>
      </c>
      <c r="Z111" s="14">
        <v>20001</v>
      </c>
      <c r="AA111" s="14" t="s">
        <v>205</v>
      </c>
      <c r="AB111" s="14">
        <v>40001</v>
      </c>
      <c r="AE111" s="29" t="s">
        <v>121</v>
      </c>
      <c r="AF111" s="14" t="s">
        <v>213</v>
      </c>
      <c r="AG111" s="14" t="s">
        <v>86</v>
      </c>
    </row>
    <row r="112" spans="2:33">
      <c r="B112" s="14">
        <f>10000000+INDEX(编号表!$B:$B,MATCH(H112,编号表!$A:$A,0))*100000+INDEX(编号表!$F:$F,MATCH(D112,编号表!$E:$E,0))*10000+INDEX(编号表!$D:$D,MATCH(AG112,编号表!$C:$C,0))*1000+F112</f>
        <v>11422001</v>
      </c>
      <c r="C112" s="14" t="s">
        <v>269</v>
      </c>
      <c r="D112" s="14" t="s">
        <v>112</v>
      </c>
      <c r="E112" s="14" t="s">
        <v>86</v>
      </c>
      <c r="F112" s="14">
        <v>1</v>
      </c>
      <c r="G112" s="14">
        <v>60</v>
      </c>
      <c r="H112" s="31" t="s">
        <v>239</v>
      </c>
      <c r="I112" s="14" t="s">
        <v>75</v>
      </c>
      <c r="J112" s="14" t="s">
        <v>201</v>
      </c>
      <c r="K112" s="14">
        <v>1</v>
      </c>
      <c r="L112" s="14" t="s">
        <v>213</v>
      </c>
      <c r="N112" s="14">
        <v>0</v>
      </c>
      <c r="O112" s="14" t="b">
        <v>1</v>
      </c>
      <c r="Q112" s="14" t="b">
        <v>0</v>
      </c>
      <c r="R112" s="14">
        <v>1</v>
      </c>
      <c r="S112" s="14" t="s">
        <v>77</v>
      </c>
      <c r="T112" s="14">
        <v>999</v>
      </c>
      <c r="U112" s="14" t="s">
        <v>214</v>
      </c>
      <c r="V112" s="14">
        <v>31422001</v>
      </c>
      <c r="X112" s="14" t="s">
        <v>204</v>
      </c>
      <c r="Y112" s="14" t="s">
        <v>215</v>
      </c>
      <c r="Z112" s="14">
        <v>20001</v>
      </c>
      <c r="AA112" s="14" t="s">
        <v>205</v>
      </c>
      <c r="AB112" s="14">
        <v>40001</v>
      </c>
      <c r="AE112" s="29" t="s">
        <v>121</v>
      </c>
      <c r="AF112" s="14" t="s">
        <v>213</v>
      </c>
      <c r="AG112" s="14" t="s">
        <v>86</v>
      </c>
    </row>
    <row r="113" spans="2:33">
      <c r="B113" s="14">
        <f>10000000+INDEX(编号表!$B:$B,MATCH(H113,编号表!$A:$A,0))*100000+INDEX(编号表!$F:$F,MATCH(D113,编号表!$E:$E,0))*10000+INDEX(编号表!$D:$D,MATCH(AG113,编号表!$C:$C,0))*1000+F113</f>
        <v>11422002</v>
      </c>
      <c r="C113" s="14" t="s">
        <v>270</v>
      </c>
      <c r="D113" s="14" t="s">
        <v>112</v>
      </c>
      <c r="E113" s="14" t="s">
        <v>86</v>
      </c>
      <c r="F113" s="14">
        <v>2</v>
      </c>
      <c r="G113" s="14">
        <v>60</v>
      </c>
      <c r="H113" s="31" t="s">
        <v>239</v>
      </c>
      <c r="I113" s="14" t="s">
        <v>75</v>
      </c>
      <c r="J113" s="14" t="s">
        <v>201</v>
      </c>
      <c r="K113" s="14">
        <v>1</v>
      </c>
      <c r="L113" s="14" t="s">
        <v>213</v>
      </c>
      <c r="N113" s="14">
        <v>0</v>
      </c>
      <c r="O113" s="14" t="b">
        <v>1</v>
      </c>
      <c r="Q113" s="14" t="b">
        <v>0</v>
      </c>
      <c r="R113" s="14">
        <v>1</v>
      </c>
      <c r="S113" s="14" t="s">
        <v>77</v>
      </c>
      <c r="T113" s="14">
        <v>999</v>
      </c>
      <c r="U113" s="14" t="s">
        <v>214</v>
      </c>
      <c r="V113" s="14">
        <v>31422002</v>
      </c>
      <c r="X113" s="14" t="s">
        <v>204</v>
      </c>
      <c r="Y113" s="14" t="s">
        <v>215</v>
      </c>
      <c r="Z113" s="14">
        <v>20001</v>
      </c>
      <c r="AA113" s="14" t="s">
        <v>205</v>
      </c>
      <c r="AB113" s="14">
        <v>40001</v>
      </c>
      <c r="AE113" s="29" t="s">
        <v>121</v>
      </c>
      <c r="AF113" s="14" t="s">
        <v>213</v>
      </c>
      <c r="AG113" s="14" t="s">
        <v>86</v>
      </c>
    </row>
    <row r="114" spans="2:33">
      <c r="B114" s="14">
        <f>10000000+INDEX(编号表!$B:$B,MATCH(H114,编号表!$A:$A,0))*100000+INDEX(编号表!$F:$F,MATCH(D114,编号表!$E:$E,0))*10000+INDEX(编号表!$D:$D,MATCH(AG114,编号表!$C:$C,0))*1000+F114</f>
        <v>11422003</v>
      </c>
      <c r="C114" s="14" t="s">
        <v>271</v>
      </c>
      <c r="D114" s="14" t="s">
        <v>112</v>
      </c>
      <c r="E114" s="14" t="s">
        <v>86</v>
      </c>
      <c r="F114" s="14">
        <v>3</v>
      </c>
      <c r="G114" s="14">
        <v>60</v>
      </c>
      <c r="H114" s="31" t="s">
        <v>239</v>
      </c>
      <c r="I114" s="14" t="s">
        <v>75</v>
      </c>
      <c r="J114" s="14" t="s">
        <v>201</v>
      </c>
      <c r="K114" s="14">
        <v>1</v>
      </c>
      <c r="L114" s="14" t="s">
        <v>213</v>
      </c>
      <c r="N114" s="14">
        <v>0</v>
      </c>
      <c r="O114" s="14" t="b">
        <v>1</v>
      </c>
      <c r="Q114" s="14" t="b">
        <v>0</v>
      </c>
      <c r="R114" s="14">
        <v>1</v>
      </c>
      <c r="S114" s="14" t="s">
        <v>77</v>
      </c>
      <c r="T114" s="14">
        <v>999</v>
      </c>
      <c r="U114" s="14" t="s">
        <v>214</v>
      </c>
      <c r="V114" s="14">
        <v>31422003</v>
      </c>
      <c r="X114" s="14" t="s">
        <v>204</v>
      </c>
      <c r="Y114" s="14" t="s">
        <v>215</v>
      </c>
      <c r="Z114" s="14">
        <v>20001</v>
      </c>
      <c r="AA114" s="14" t="s">
        <v>205</v>
      </c>
      <c r="AB114" s="14">
        <v>40001</v>
      </c>
      <c r="AE114" s="29" t="s">
        <v>121</v>
      </c>
      <c r="AF114" s="14" t="s">
        <v>213</v>
      </c>
      <c r="AG114" s="14" t="s">
        <v>86</v>
      </c>
    </row>
    <row r="115" spans="2:33">
      <c r="B115" s="14">
        <f>10000000+INDEX(编号表!$B:$B,MATCH(H115,编号表!$A:$A,0))*100000+INDEX(编号表!$F:$F,MATCH(D115,编号表!$E:$E,0))*10000+INDEX(编号表!$D:$D,MATCH(AG115,编号表!$C:$C,0))*1000+F115</f>
        <v>11622000</v>
      </c>
      <c r="C115" s="14" t="s">
        <v>272</v>
      </c>
      <c r="D115" s="14" t="s">
        <v>112</v>
      </c>
      <c r="E115" s="14" t="s">
        <v>86</v>
      </c>
      <c r="F115" s="14">
        <v>0</v>
      </c>
      <c r="G115" s="14">
        <v>60</v>
      </c>
      <c r="H115" s="31" t="s">
        <v>244</v>
      </c>
      <c r="I115" s="14" t="s">
        <v>75</v>
      </c>
      <c r="J115" s="14" t="s">
        <v>201</v>
      </c>
      <c r="K115" s="14">
        <v>1</v>
      </c>
      <c r="L115" s="14" t="s">
        <v>213</v>
      </c>
      <c r="N115" s="14">
        <v>0</v>
      </c>
      <c r="O115" s="14" t="b">
        <v>1</v>
      </c>
      <c r="Q115" s="14" t="b">
        <v>0</v>
      </c>
      <c r="R115" s="14">
        <v>1</v>
      </c>
      <c r="S115" s="14" t="s">
        <v>77</v>
      </c>
      <c r="T115" s="14">
        <v>999</v>
      </c>
      <c r="U115" s="14" t="s">
        <v>214</v>
      </c>
      <c r="V115" s="14">
        <v>31622000</v>
      </c>
      <c r="X115" s="14" t="s">
        <v>204</v>
      </c>
      <c r="Y115" s="14" t="s">
        <v>215</v>
      </c>
      <c r="Z115" s="14">
        <v>20001</v>
      </c>
      <c r="AA115" s="14" t="s">
        <v>205</v>
      </c>
      <c r="AB115" s="14">
        <v>40001</v>
      </c>
      <c r="AE115" s="29" t="s">
        <v>121</v>
      </c>
      <c r="AF115" s="14" t="s">
        <v>213</v>
      </c>
      <c r="AG115" s="14" t="s">
        <v>86</v>
      </c>
    </row>
    <row r="116" spans="2:33">
      <c r="B116" s="14">
        <f>10000000+INDEX(编号表!$B:$B,MATCH(H116,编号表!$A:$A,0))*100000+INDEX(编号表!$F:$F,MATCH(D116,编号表!$E:$E,0))*10000+INDEX(编号表!$D:$D,MATCH(AG116,编号表!$C:$C,0))*1000+F116</f>
        <v>11622001</v>
      </c>
      <c r="C116" s="14" t="s">
        <v>273</v>
      </c>
      <c r="D116" s="14" t="s">
        <v>112</v>
      </c>
      <c r="E116" s="14" t="s">
        <v>86</v>
      </c>
      <c r="F116" s="14">
        <v>1</v>
      </c>
      <c r="G116" s="14">
        <v>60</v>
      </c>
      <c r="H116" s="31" t="s">
        <v>244</v>
      </c>
      <c r="I116" s="14" t="s">
        <v>75</v>
      </c>
      <c r="J116" s="14" t="s">
        <v>201</v>
      </c>
      <c r="K116" s="14">
        <v>1</v>
      </c>
      <c r="L116" s="14" t="s">
        <v>213</v>
      </c>
      <c r="N116" s="14">
        <v>0</v>
      </c>
      <c r="O116" s="14" t="b">
        <v>1</v>
      </c>
      <c r="Q116" s="14" t="b">
        <v>0</v>
      </c>
      <c r="R116" s="14">
        <v>1</v>
      </c>
      <c r="S116" s="14" t="s">
        <v>77</v>
      </c>
      <c r="T116" s="14">
        <v>999</v>
      </c>
      <c r="U116" s="14" t="s">
        <v>214</v>
      </c>
      <c r="V116" s="14">
        <v>31622001</v>
      </c>
      <c r="X116" s="14" t="s">
        <v>204</v>
      </c>
      <c r="Y116" s="14" t="s">
        <v>215</v>
      </c>
      <c r="Z116" s="14">
        <v>20001</v>
      </c>
      <c r="AA116" s="14" t="s">
        <v>205</v>
      </c>
      <c r="AB116" s="14">
        <v>40001</v>
      </c>
      <c r="AE116" s="29" t="s">
        <v>121</v>
      </c>
      <c r="AF116" s="14" t="s">
        <v>213</v>
      </c>
      <c r="AG116" s="14" t="s">
        <v>86</v>
      </c>
    </row>
    <row r="117" spans="2:33">
      <c r="B117" s="14">
        <f>10000000+INDEX(编号表!$B:$B,MATCH(H117,编号表!$A:$A,0))*100000+INDEX(编号表!$F:$F,MATCH(D117,编号表!$E:$E,0))*10000+INDEX(编号表!$D:$D,MATCH(AG117,编号表!$C:$C,0))*1000+F117</f>
        <v>11622002</v>
      </c>
      <c r="C117" s="14" t="s">
        <v>274</v>
      </c>
      <c r="D117" s="14" t="s">
        <v>112</v>
      </c>
      <c r="E117" s="14" t="s">
        <v>86</v>
      </c>
      <c r="F117" s="14">
        <v>2</v>
      </c>
      <c r="G117" s="14">
        <v>60</v>
      </c>
      <c r="H117" s="31" t="s">
        <v>244</v>
      </c>
      <c r="I117" s="14" t="s">
        <v>75</v>
      </c>
      <c r="J117" s="14" t="s">
        <v>201</v>
      </c>
      <c r="K117" s="14">
        <v>1</v>
      </c>
      <c r="L117" s="14" t="s">
        <v>213</v>
      </c>
      <c r="N117" s="14">
        <v>0</v>
      </c>
      <c r="O117" s="14" t="b">
        <v>1</v>
      </c>
      <c r="Q117" s="14" t="b">
        <v>0</v>
      </c>
      <c r="R117" s="14">
        <v>1</v>
      </c>
      <c r="S117" s="14" t="s">
        <v>77</v>
      </c>
      <c r="T117" s="14">
        <v>999</v>
      </c>
      <c r="U117" s="14" t="s">
        <v>214</v>
      </c>
      <c r="V117" s="14">
        <v>31622002</v>
      </c>
      <c r="X117" s="14" t="s">
        <v>204</v>
      </c>
      <c r="Y117" s="14" t="s">
        <v>215</v>
      </c>
      <c r="Z117" s="14">
        <v>20001</v>
      </c>
      <c r="AA117" s="14" t="s">
        <v>205</v>
      </c>
      <c r="AB117" s="14">
        <v>40001</v>
      </c>
      <c r="AE117" s="29" t="s">
        <v>121</v>
      </c>
      <c r="AF117" s="14" t="s">
        <v>213</v>
      </c>
      <c r="AG117" s="14" t="s">
        <v>86</v>
      </c>
    </row>
    <row r="118" spans="2:33">
      <c r="B118" s="14">
        <f>10000000+INDEX(编号表!$B:$B,MATCH(H118,编号表!$A:$A,0))*100000+INDEX(编号表!$F:$F,MATCH(D118,编号表!$E:$E,0))*10000+INDEX(编号表!$D:$D,MATCH(AG118,编号表!$C:$C,0))*1000+F118</f>
        <v>11232000</v>
      </c>
      <c r="C118" s="14" t="s">
        <v>275</v>
      </c>
      <c r="D118" s="14" t="s">
        <v>276</v>
      </c>
      <c r="E118" s="14" t="s">
        <v>86</v>
      </c>
      <c r="F118" s="14">
        <v>0</v>
      </c>
      <c r="G118" s="14">
        <v>60</v>
      </c>
      <c r="H118" s="31" t="s">
        <v>212</v>
      </c>
      <c r="I118" s="14" t="s">
        <v>75</v>
      </c>
      <c r="J118" s="14" t="s">
        <v>201</v>
      </c>
      <c r="K118" s="14">
        <v>1</v>
      </c>
      <c r="L118" s="14" t="s">
        <v>213</v>
      </c>
      <c r="N118" s="14">
        <v>0</v>
      </c>
      <c r="O118" s="14" t="b">
        <v>1</v>
      </c>
      <c r="Q118" s="14" t="b">
        <v>0</v>
      </c>
      <c r="R118" s="14">
        <v>1</v>
      </c>
      <c r="S118" s="14" t="s">
        <v>77</v>
      </c>
      <c r="T118" s="14">
        <v>999</v>
      </c>
      <c r="U118" s="14" t="s">
        <v>214</v>
      </c>
      <c r="V118" s="14">
        <v>31232000</v>
      </c>
      <c r="X118" s="14" t="s">
        <v>204</v>
      </c>
      <c r="Y118" s="14" t="s">
        <v>215</v>
      </c>
      <c r="Z118" s="14">
        <v>20001</v>
      </c>
      <c r="AA118" s="14" t="s">
        <v>205</v>
      </c>
      <c r="AB118" s="14">
        <v>40001</v>
      </c>
      <c r="AE118" s="29" t="s">
        <v>121</v>
      </c>
      <c r="AF118" s="14" t="s">
        <v>213</v>
      </c>
      <c r="AG118" s="14" t="s">
        <v>86</v>
      </c>
    </row>
    <row r="119" spans="2:33">
      <c r="B119" s="14">
        <f>10000000+INDEX(编号表!$B:$B,MATCH(H119,编号表!$A:$A,0))*100000+INDEX(编号表!$F:$F,MATCH(D119,编号表!$E:$E,0))*10000+INDEX(编号表!$D:$D,MATCH(AG119,编号表!$C:$C,0))*1000+F119</f>
        <v>11332000</v>
      </c>
      <c r="C119" s="14" t="s">
        <v>277</v>
      </c>
      <c r="D119" s="14" t="s">
        <v>276</v>
      </c>
      <c r="E119" s="14" t="s">
        <v>86</v>
      </c>
      <c r="F119" s="14">
        <v>0</v>
      </c>
      <c r="G119" s="14">
        <v>60</v>
      </c>
      <c r="H119" s="31" t="s">
        <v>217</v>
      </c>
      <c r="I119" s="14" t="s">
        <v>75</v>
      </c>
      <c r="J119" s="14" t="s">
        <v>201</v>
      </c>
      <c r="K119" s="14">
        <v>1</v>
      </c>
      <c r="L119" s="14" t="s">
        <v>213</v>
      </c>
      <c r="N119" s="14">
        <v>0</v>
      </c>
      <c r="O119" s="14" t="b">
        <v>1</v>
      </c>
      <c r="Q119" s="14" t="b">
        <v>0</v>
      </c>
      <c r="R119" s="14">
        <v>1</v>
      </c>
      <c r="S119" s="14" t="s">
        <v>77</v>
      </c>
      <c r="T119" s="14">
        <v>999</v>
      </c>
      <c r="U119" s="14" t="s">
        <v>214</v>
      </c>
      <c r="V119" s="14">
        <v>31332000</v>
      </c>
      <c r="X119" s="14" t="s">
        <v>204</v>
      </c>
      <c r="Y119" s="14" t="s">
        <v>215</v>
      </c>
      <c r="Z119" s="14">
        <v>20001</v>
      </c>
      <c r="AA119" s="14" t="s">
        <v>205</v>
      </c>
      <c r="AB119" s="14">
        <v>40001</v>
      </c>
      <c r="AE119" s="29" t="s">
        <v>121</v>
      </c>
      <c r="AF119" s="14" t="s">
        <v>213</v>
      </c>
      <c r="AG119" s="14" t="s">
        <v>86</v>
      </c>
    </row>
    <row r="120" spans="2:33">
      <c r="B120" s="14">
        <f>10000000+INDEX(编号表!$B:$B,MATCH(H120,编号表!$A:$A,0))*100000+INDEX(编号表!$F:$F,MATCH(D120,编号表!$E:$E,0))*10000+INDEX(编号表!$D:$D,MATCH(AG120,编号表!$C:$C,0))*1000+F120</f>
        <v>11332001</v>
      </c>
      <c r="C120" s="14" t="s">
        <v>278</v>
      </c>
      <c r="D120" s="14" t="s">
        <v>276</v>
      </c>
      <c r="E120" s="14" t="s">
        <v>86</v>
      </c>
      <c r="F120" s="14">
        <v>1</v>
      </c>
      <c r="G120" s="14">
        <v>60</v>
      </c>
      <c r="H120" s="31" t="s">
        <v>217</v>
      </c>
      <c r="I120" s="14" t="s">
        <v>75</v>
      </c>
      <c r="J120" s="14" t="s">
        <v>201</v>
      </c>
      <c r="K120" s="14">
        <v>1</v>
      </c>
      <c r="L120" s="14" t="s">
        <v>213</v>
      </c>
      <c r="N120" s="14">
        <v>0</v>
      </c>
      <c r="O120" s="14" t="b">
        <v>1</v>
      </c>
      <c r="Q120" s="14" t="b">
        <v>0</v>
      </c>
      <c r="R120" s="14">
        <v>1</v>
      </c>
      <c r="S120" s="14" t="s">
        <v>77</v>
      </c>
      <c r="T120" s="14">
        <v>999</v>
      </c>
      <c r="U120" s="14" t="s">
        <v>214</v>
      </c>
      <c r="V120" s="14">
        <v>31332001</v>
      </c>
      <c r="X120" s="14" t="s">
        <v>204</v>
      </c>
      <c r="Y120" s="14" t="s">
        <v>215</v>
      </c>
      <c r="Z120" s="14">
        <v>20001</v>
      </c>
      <c r="AA120" s="14" t="s">
        <v>205</v>
      </c>
      <c r="AB120" s="14">
        <v>40001</v>
      </c>
      <c r="AE120" s="29" t="s">
        <v>121</v>
      </c>
      <c r="AF120" s="14" t="s">
        <v>213</v>
      </c>
      <c r="AG120" s="14" t="s">
        <v>86</v>
      </c>
    </row>
    <row r="121" spans="2:33">
      <c r="B121" s="14">
        <f>10000000+INDEX(编号表!$B:$B,MATCH(H121,编号表!$A:$A,0))*100000+INDEX(编号表!$F:$F,MATCH(D121,编号表!$E:$E,0))*10000+INDEX(编号表!$D:$D,MATCH(AG121,编号表!$C:$C,0))*1000+F121</f>
        <v>11332002</v>
      </c>
      <c r="C121" s="14" t="s">
        <v>279</v>
      </c>
      <c r="D121" s="14" t="s">
        <v>276</v>
      </c>
      <c r="E121" s="14" t="s">
        <v>86</v>
      </c>
      <c r="F121" s="14">
        <v>2</v>
      </c>
      <c r="G121" s="14">
        <v>60</v>
      </c>
      <c r="H121" s="31" t="s">
        <v>217</v>
      </c>
      <c r="I121" s="14" t="s">
        <v>75</v>
      </c>
      <c r="J121" s="14" t="s">
        <v>201</v>
      </c>
      <c r="K121" s="14">
        <v>1</v>
      </c>
      <c r="L121" s="14" t="s">
        <v>213</v>
      </c>
      <c r="N121" s="14">
        <v>0</v>
      </c>
      <c r="O121" s="14" t="b">
        <v>1</v>
      </c>
      <c r="Q121" s="14" t="b">
        <v>0</v>
      </c>
      <c r="R121" s="14">
        <v>1</v>
      </c>
      <c r="S121" s="14" t="s">
        <v>77</v>
      </c>
      <c r="T121" s="14">
        <v>999</v>
      </c>
      <c r="U121" s="14" t="s">
        <v>214</v>
      </c>
      <c r="V121" s="14">
        <v>31332002</v>
      </c>
      <c r="X121" s="14" t="s">
        <v>204</v>
      </c>
      <c r="Y121" s="14" t="s">
        <v>215</v>
      </c>
      <c r="Z121" s="14">
        <v>20001</v>
      </c>
      <c r="AA121" s="14" t="s">
        <v>205</v>
      </c>
      <c r="AB121" s="14">
        <v>40001</v>
      </c>
      <c r="AE121" s="29" t="s">
        <v>121</v>
      </c>
      <c r="AF121" s="14" t="s">
        <v>213</v>
      </c>
      <c r="AG121" s="14" t="s">
        <v>86</v>
      </c>
    </row>
    <row r="122" spans="2:33">
      <c r="B122" s="14">
        <f>10000000+INDEX(编号表!$B:$B,MATCH(H122,编号表!$A:$A,0))*100000+INDEX(编号表!$F:$F,MATCH(D122,编号表!$E:$E,0))*10000+INDEX(编号表!$D:$D,MATCH(AG122,编号表!$C:$C,0))*1000+F122</f>
        <v>11332003</v>
      </c>
      <c r="C122" s="14" t="s">
        <v>280</v>
      </c>
      <c r="D122" s="14" t="s">
        <v>276</v>
      </c>
      <c r="E122" s="14" t="s">
        <v>86</v>
      </c>
      <c r="F122" s="14">
        <v>3</v>
      </c>
      <c r="G122" s="14">
        <v>60</v>
      </c>
      <c r="H122" s="31" t="s">
        <v>217</v>
      </c>
      <c r="I122" s="14" t="s">
        <v>75</v>
      </c>
      <c r="J122" s="14" t="s">
        <v>201</v>
      </c>
      <c r="K122" s="14">
        <v>1</v>
      </c>
      <c r="L122" s="14" t="s">
        <v>213</v>
      </c>
      <c r="N122" s="14">
        <v>0</v>
      </c>
      <c r="O122" s="14" t="b">
        <v>1</v>
      </c>
      <c r="Q122" s="14" t="b">
        <v>0</v>
      </c>
      <c r="R122" s="14">
        <v>1</v>
      </c>
      <c r="S122" s="14" t="s">
        <v>77</v>
      </c>
      <c r="T122" s="14">
        <v>999</v>
      </c>
      <c r="U122" s="14" t="s">
        <v>214</v>
      </c>
      <c r="V122" s="14">
        <v>31332003</v>
      </c>
      <c r="X122" s="14" t="s">
        <v>204</v>
      </c>
      <c r="Y122" s="14" t="s">
        <v>215</v>
      </c>
      <c r="Z122" s="14">
        <v>20001</v>
      </c>
      <c r="AA122" s="14" t="s">
        <v>205</v>
      </c>
      <c r="AB122" s="14">
        <v>40001</v>
      </c>
      <c r="AE122" s="29" t="s">
        <v>121</v>
      </c>
      <c r="AF122" s="14" t="s">
        <v>213</v>
      </c>
      <c r="AG122" s="14" t="s">
        <v>86</v>
      </c>
    </row>
    <row r="123" spans="2:33">
      <c r="B123" s="14">
        <f>10000000+INDEX(编号表!$B:$B,MATCH(H123,编号表!$A:$A,0))*100000+INDEX(编号表!$F:$F,MATCH(D123,编号表!$E:$E,0))*10000+INDEX(编号表!$D:$D,MATCH(AG123,编号表!$C:$C,0))*1000+F123</f>
        <v>11332004</v>
      </c>
      <c r="C123" s="14" t="s">
        <v>281</v>
      </c>
      <c r="D123" s="14" t="s">
        <v>276</v>
      </c>
      <c r="E123" s="14" t="s">
        <v>86</v>
      </c>
      <c r="F123" s="14">
        <v>4</v>
      </c>
      <c r="G123" s="14">
        <v>60</v>
      </c>
      <c r="H123" s="31" t="s">
        <v>217</v>
      </c>
      <c r="I123" s="14" t="s">
        <v>75</v>
      </c>
      <c r="J123" s="14" t="s">
        <v>201</v>
      </c>
      <c r="K123" s="14">
        <v>1</v>
      </c>
      <c r="L123" s="14" t="s">
        <v>213</v>
      </c>
      <c r="N123" s="14">
        <v>0</v>
      </c>
      <c r="O123" s="14" t="b">
        <v>1</v>
      </c>
      <c r="Q123" s="14" t="b">
        <v>0</v>
      </c>
      <c r="R123" s="14">
        <v>1</v>
      </c>
      <c r="S123" s="14" t="s">
        <v>77</v>
      </c>
      <c r="T123" s="14">
        <v>999</v>
      </c>
      <c r="U123" s="14" t="s">
        <v>214</v>
      </c>
      <c r="V123" s="14">
        <v>31332004</v>
      </c>
      <c r="X123" s="14" t="s">
        <v>204</v>
      </c>
      <c r="Y123" s="14" t="s">
        <v>215</v>
      </c>
      <c r="Z123" s="14">
        <v>20001</v>
      </c>
      <c r="AA123" s="14" t="s">
        <v>205</v>
      </c>
      <c r="AB123" s="14">
        <v>40001</v>
      </c>
      <c r="AE123" s="29" t="s">
        <v>121</v>
      </c>
      <c r="AF123" s="14" t="s">
        <v>213</v>
      </c>
      <c r="AG123" s="14" t="s">
        <v>86</v>
      </c>
    </row>
    <row r="124" spans="2:33">
      <c r="B124" s="14">
        <f>10000000+INDEX(编号表!$B:$B,MATCH(H124,编号表!$A:$A,0))*100000+INDEX(编号表!$F:$F,MATCH(D124,编号表!$E:$E,0))*10000+INDEX(编号表!$D:$D,MATCH(AG124,编号表!$C:$C,0))*1000+F124</f>
        <v>11332005</v>
      </c>
      <c r="C124" s="14" t="s">
        <v>282</v>
      </c>
      <c r="D124" s="14" t="s">
        <v>276</v>
      </c>
      <c r="E124" s="14" t="s">
        <v>86</v>
      </c>
      <c r="F124" s="14">
        <v>5</v>
      </c>
      <c r="G124" s="14">
        <v>60</v>
      </c>
      <c r="H124" s="31" t="s">
        <v>217</v>
      </c>
      <c r="I124" s="14" t="s">
        <v>75</v>
      </c>
      <c r="J124" s="14" t="s">
        <v>201</v>
      </c>
      <c r="K124" s="14">
        <v>1</v>
      </c>
      <c r="L124" s="14" t="s">
        <v>213</v>
      </c>
      <c r="N124" s="14">
        <v>0</v>
      </c>
      <c r="O124" s="14" t="b">
        <v>1</v>
      </c>
      <c r="Q124" s="14" t="b">
        <v>0</v>
      </c>
      <c r="R124" s="14">
        <v>1</v>
      </c>
      <c r="S124" s="14" t="s">
        <v>77</v>
      </c>
      <c r="T124" s="14">
        <v>999</v>
      </c>
      <c r="U124" s="14" t="s">
        <v>214</v>
      </c>
      <c r="V124" s="14">
        <v>31332005</v>
      </c>
      <c r="X124" s="14" t="s">
        <v>204</v>
      </c>
      <c r="Y124" s="14" t="s">
        <v>215</v>
      </c>
      <c r="Z124" s="14">
        <v>20001</v>
      </c>
      <c r="AA124" s="14" t="s">
        <v>205</v>
      </c>
      <c r="AB124" s="14">
        <v>40001</v>
      </c>
      <c r="AE124" s="29" t="s">
        <v>121</v>
      </c>
      <c r="AF124" s="14" t="s">
        <v>213</v>
      </c>
      <c r="AG124" s="14" t="s">
        <v>86</v>
      </c>
    </row>
    <row r="125" spans="2:33">
      <c r="B125" s="14">
        <f>10000000+INDEX(编号表!$B:$B,MATCH(H125,编号表!$A:$A,0))*100000+INDEX(编号表!$F:$F,MATCH(D125,编号表!$E:$E,0))*10000+INDEX(编号表!$D:$D,MATCH(AG125,编号表!$C:$C,0))*1000+F125</f>
        <v>11332006</v>
      </c>
      <c r="C125" s="14" t="s">
        <v>283</v>
      </c>
      <c r="D125" s="14" t="s">
        <v>276</v>
      </c>
      <c r="E125" s="14" t="s">
        <v>86</v>
      </c>
      <c r="F125" s="14">
        <v>6</v>
      </c>
      <c r="G125" s="14">
        <v>60</v>
      </c>
      <c r="H125" s="31" t="s">
        <v>217</v>
      </c>
      <c r="I125" s="14" t="s">
        <v>75</v>
      </c>
      <c r="J125" s="14" t="s">
        <v>201</v>
      </c>
      <c r="K125" s="14">
        <v>1</v>
      </c>
      <c r="L125" s="14" t="s">
        <v>213</v>
      </c>
      <c r="N125" s="14">
        <v>0</v>
      </c>
      <c r="O125" s="14" t="b">
        <v>1</v>
      </c>
      <c r="Q125" s="14" t="b">
        <v>0</v>
      </c>
      <c r="R125" s="14">
        <v>1</v>
      </c>
      <c r="S125" s="14" t="s">
        <v>77</v>
      </c>
      <c r="T125" s="14">
        <v>999</v>
      </c>
      <c r="U125" s="14" t="s">
        <v>214</v>
      </c>
      <c r="V125" s="14">
        <v>31332006</v>
      </c>
      <c r="X125" s="14" t="s">
        <v>204</v>
      </c>
      <c r="Y125" s="14" t="s">
        <v>215</v>
      </c>
      <c r="Z125" s="14">
        <v>20001</v>
      </c>
      <c r="AA125" s="14" t="s">
        <v>205</v>
      </c>
      <c r="AB125" s="14">
        <v>40001</v>
      </c>
      <c r="AE125" s="29" t="s">
        <v>121</v>
      </c>
      <c r="AF125" s="14" t="s">
        <v>213</v>
      </c>
      <c r="AG125" s="14" t="s">
        <v>86</v>
      </c>
    </row>
    <row r="126" spans="2:33">
      <c r="B126" s="14">
        <f>10000000+INDEX(编号表!$B:$B,MATCH(H126,编号表!$A:$A,0))*100000+INDEX(编号表!$F:$F,MATCH(D126,编号表!$E:$E,0))*10000+INDEX(编号表!$D:$D,MATCH(AG126,编号表!$C:$C,0))*1000+F126</f>
        <v>11332007</v>
      </c>
      <c r="C126" s="14" t="s">
        <v>284</v>
      </c>
      <c r="D126" s="14" t="s">
        <v>276</v>
      </c>
      <c r="E126" s="14" t="s">
        <v>86</v>
      </c>
      <c r="F126" s="14">
        <v>7</v>
      </c>
      <c r="G126" s="14">
        <v>60</v>
      </c>
      <c r="H126" s="31" t="s">
        <v>217</v>
      </c>
      <c r="I126" s="14" t="s">
        <v>75</v>
      </c>
      <c r="J126" s="14" t="s">
        <v>201</v>
      </c>
      <c r="K126" s="14">
        <v>1</v>
      </c>
      <c r="L126" s="14" t="s">
        <v>213</v>
      </c>
      <c r="N126" s="14">
        <v>0</v>
      </c>
      <c r="O126" s="14" t="b">
        <v>1</v>
      </c>
      <c r="Q126" s="14" t="b">
        <v>0</v>
      </c>
      <c r="R126" s="14">
        <v>1</v>
      </c>
      <c r="S126" s="14" t="s">
        <v>77</v>
      </c>
      <c r="T126" s="14">
        <v>999</v>
      </c>
      <c r="U126" s="14" t="s">
        <v>214</v>
      </c>
      <c r="V126" s="14">
        <v>31332007</v>
      </c>
      <c r="X126" s="14" t="s">
        <v>204</v>
      </c>
      <c r="Y126" s="14" t="s">
        <v>215</v>
      </c>
      <c r="Z126" s="14">
        <v>20001</v>
      </c>
      <c r="AA126" s="14" t="s">
        <v>205</v>
      </c>
      <c r="AB126" s="14">
        <v>40001</v>
      </c>
      <c r="AE126" s="29" t="s">
        <v>121</v>
      </c>
      <c r="AF126" s="14" t="s">
        <v>213</v>
      </c>
      <c r="AG126" s="14" t="s">
        <v>86</v>
      </c>
    </row>
    <row r="127" spans="2:33">
      <c r="B127" s="14">
        <f>10000000+INDEX(编号表!$B:$B,MATCH(H127,编号表!$A:$A,0))*100000+INDEX(编号表!$F:$F,MATCH(D127,编号表!$E:$E,0))*10000+INDEX(编号表!$D:$D,MATCH(AG127,编号表!$C:$C,0))*1000+F127</f>
        <v>11332008</v>
      </c>
      <c r="C127" s="14" t="s">
        <v>285</v>
      </c>
      <c r="D127" s="14" t="s">
        <v>276</v>
      </c>
      <c r="E127" s="14" t="s">
        <v>86</v>
      </c>
      <c r="F127" s="14">
        <v>8</v>
      </c>
      <c r="G127" s="14">
        <v>60</v>
      </c>
      <c r="H127" s="31" t="s">
        <v>217</v>
      </c>
      <c r="I127" s="14" t="s">
        <v>75</v>
      </c>
      <c r="J127" s="14" t="s">
        <v>201</v>
      </c>
      <c r="K127" s="14">
        <v>1</v>
      </c>
      <c r="L127" s="14" t="s">
        <v>213</v>
      </c>
      <c r="N127" s="14">
        <v>0</v>
      </c>
      <c r="O127" s="14" t="b">
        <v>1</v>
      </c>
      <c r="Q127" s="14" t="b">
        <v>0</v>
      </c>
      <c r="R127" s="14">
        <v>1</v>
      </c>
      <c r="S127" s="14" t="s">
        <v>77</v>
      </c>
      <c r="T127" s="14">
        <v>999</v>
      </c>
      <c r="U127" s="14" t="s">
        <v>214</v>
      </c>
      <c r="V127" s="14">
        <v>31332008</v>
      </c>
      <c r="X127" s="14" t="s">
        <v>204</v>
      </c>
      <c r="Y127" s="14" t="s">
        <v>215</v>
      </c>
      <c r="Z127" s="14">
        <v>20001</v>
      </c>
      <c r="AA127" s="14" t="s">
        <v>205</v>
      </c>
      <c r="AB127" s="14">
        <v>40001</v>
      </c>
      <c r="AE127" s="29" t="s">
        <v>121</v>
      </c>
      <c r="AF127" s="14" t="s">
        <v>213</v>
      </c>
      <c r="AG127" s="14" t="s">
        <v>86</v>
      </c>
    </row>
    <row r="128" spans="2:33">
      <c r="B128" s="14">
        <f>10000000+INDEX(编号表!$B:$B,MATCH(H128,编号表!$A:$A,0))*100000+INDEX(编号表!$F:$F,MATCH(D128,编号表!$E:$E,0))*10000+INDEX(编号表!$D:$D,MATCH(AG128,编号表!$C:$C,0))*1000+F128</f>
        <v>11332009</v>
      </c>
      <c r="C128" s="14" t="s">
        <v>286</v>
      </c>
      <c r="D128" s="14" t="s">
        <v>276</v>
      </c>
      <c r="E128" s="14" t="s">
        <v>86</v>
      </c>
      <c r="F128" s="14">
        <v>9</v>
      </c>
      <c r="G128" s="14">
        <v>60</v>
      </c>
      <c r="H128" s="31" t="s">
        <v>217</v>
      </c>
      <c r="I128" s="14" t="s">
        <v>75</v>
      </c>
      <c r="J128" s="14" t="s">
        <v>201</v>
      </c>
      <c r="K128" s="14">
        <v>1</v>
      </c>
      <c r="L128" s="14" t="s">
        <v>213</v>
      </c>
      <c r="N128" s="14">
        <v>0</v>
      </c>
      <c r="O128" s="14" t="b">
        <v>1</v>
      </c>
      <c r="Q128" s="14" t="b">
        <v>0</v>
      </c>
      <c r="R128" s="14">
        <v>1</v>
      </c>
      <c r="S128" s="14" t="s">
        <v>77</v>
      </c>
      <c r="T128" s="14">
        <v>999</v>
      </c>
      <c r="U128" s="14" t="s">
        <v>214</v>
      </c>
      <c r="V128" s="14">
        <v>31332009</v>
      </c>
      <c r="X128" s="14" t="s">
        <v>204</v>
      </c>
      <c r="Y128" s="14" t="s">
        <v>215</v>
      </c>
      <c r="Z128" s="14">
        <v>20001</v>
      </c>
      <c r="AA128" s="14" t="s">
        <v>205</v>
      </c>
      <c r="AB128" s="14">
        <v>40001</v>
      </c>
      <c r="AE128" s="29" t="s">
        <v>121</v>
      </c>
      <c r="AF128" s="14" t="s">
        <v>213</v>
      </c>
      <c r="AG128" s="14" t="s">
        <v>86</v>
      </c>
    </row>
    <row r="129" spans="2:33">
      <c r="B129" s="14">
        <f>10000000+INDEX(编号表!$B:$B,MATCH(H129,编号表!$A:$A,0))*100000+INDEX(编号表!$F:$F,MATCH(D129,编号表!$E:$E,0))*10000+INDEX(编号表!$D:$D,MATCH(AG129,编号表!$C:$C,0))*1000+F129</f>
        <v>11532000</v>
      </c>
      <c r="C129" s="14" t="s">
        <v>287</v>
      </c>
      <c r="D129" s="14" t="s">
        <v>276</v>
      </c>
      <c r="E129" s="14" t="s">
        <v>86</v>
      </c>
      <c r="F129" s="14">
        <v>0</v>
      </c>
      <c r="G129" s="14">
        <v>60</v>
      </c>
      <c r="H129" s="31" t="s">
        <v>228</v>
      </c>
      <c r="I129" s="14" t="s">
        <v>75</v>
      </c>
      <c r="J129" s="14" t="s">
        <v>201</v>
      </c>
      <c r="K129" s="14">
        <v>1</v>
      </c>
      <c r="L129" s="14" t="s">
        <v>213</v>
      </c>
      <c r="N129" s="14">
        <v>0</v>
      </c>
      <c r="O129" s="14" t="b">
        <v>1</v>
      </c>
      <c r="Q129" s="14" t="b">
        <v>0</v>
      </c>
      <c r="R129" s="14">
        <v>1</v>
      </c>
      <c r="S129" s="14" t="s">
        <v>77</v>
      </c>
      <c r="T129" s="14">
        <v>999</v>
      </c>
      <c r="U129" s="14" t="s">
        <v>214</v>
      </c>
      <c r="V129" s="14">
        <v>31532000</v>
      </c>
      <c r="X129" s="14" t="s">
        <v>204</v>
      </c>
      <c r="Y129" s="14" t="s">
        <v>215</v>
      </c>
      <c r="Z129" s="14">
        <v>20001</v>
      </c>
      <c r="AA129" s="14" t="s">
        <v>205</v>
      </c>
      <c r="AB129" s="14">
        <v>40001</v>
      </c>
      <c r="AE129" s="29" t="s">
        <v>121</v>
      </c>
      <c r="AF129" s="14" t="s">
        <v>213</v>
      </c>
      <c r="AG129" s="14" t="s">
        <v>86</v>
      </c>
    </row>
    <row r="130" spans="2:33">
      <c r="B130" s="14">
        <f>10000000+INDEX(编号表!$B:$B,MATCH(H130,编号表!$A:$A,0))*100000+INDEX(编号表!$F:$F,MATCH(D130,编号表!$E:$E,0))*10000+INDEX(编号表!$D:$D,MATCH(AG130,编号表!$C:$C,0))*1000+F130</f>
        <v>11532001</v>
      </c>
      <c r="C130" s="14" t="s">
        <v>288</v>
      </c>
      <c r="D130" s="14" t="s">
        <v>276</v>
      </c>
      <c r="E130" s="14" t="s">
        <v>86</v>
      </c>
      <c r="F130" s="14">
        <v>1</v>
      </c>
      <c r="G130" s="14">
        <v>60</v>
      </c>
      <c r="H130" s="31" t="s">
        <v>228</v>
      </c>
      <c r="I130" s="14" t="s">
        <v>75</v>
      </c>
      <c r="J130" s="14" t="s">
        <v>201</v>
      </c>
      <c r="K130" s="14">
        <v>1</v>
      </c>
      <c r="L130" s="14" t="s">
        <v>213</v>
      </c>
      <c r="N130" s="14">
        <v>0</v>
      </c>
      <c r="O130" s="14" t="b">
        <v>1</v>
      </c>
      <c r="Q130" s="14" t="b">
        <v>0</v>
      </c>
      <c r="R130" s="14">
        <v>1</v>
      </c>
      <c r="S130" s="14" t="s">
        <v>77</v>
      </c>
      <c r="T130" s="14">
        <v>999</v>
      </c>
      <c r="U130" s="14" t="s">
        <v>214</v>
      </c>
      <c r="V130" s="14">
        <v>31532001</v>
      </c>
      <c r="X130" s="14" t="s">
        <v>204</v>
      </c>
      <c r="Y130" s="14" t="s">
        <v>215</v>
      </c>
      <c r="Z130" s="14">
        <v>20001</v>
      </c>
      <c r="AA130" s="14" t="s">
        <v>205</v>
      </c>
      <c r="AB130" s="14">
        <v>40001</v>
      </c>
      <c r="AE130" s="29" t="s">
        <v>121</v>
      </c>
      <c r="AF130" s="14" t="s">
        <v>213</v>
      </c>
      <c r="AG130" s="14" t="s">
        <v>86</v>
      </c>
    </row>
    <row r="131" spans="2:33">
      <c r="B131" s="14">
        <f>10000000+INDEX(编号表!$B:$B,MATCH(H131,编号表!$A:$A,0))*100000+INDEX(编号表!$F:$F,MATCH(D131,编号表!$E:$E,0))*10000+INDEX(编号表!$D:$D,MATCH(AG131,编号表!$C:$C,0))*1000+F131</f>
        <v>11532002</v>
      </c>
      <c r="C131" s="14" t="s">
        <v>289</v>
      </c>
      <c r="D131" s="14" t="s">
        <v>276</v>
      </c>
      <c r="E131" s="14" t="s">
        <v>86</v>
      </c>
      <c r="F131" s="14">
        <v>2</v>
      </c>
      <c r="G131" s="14">
        <v>60</v>
      </c>
      <c r="H131" s="31" t="s">
        <v>228</v>
      </c>
      <c r="I131" s="14" t="s">
        <v>75</v>
      </c>
      <c r="J131" s="14" t="s">
        <v>201</v>
      </c>
      <c r="K131" s="14">
        <v>1</v>
      </c>
      <c r="L131" s="14" t="s">
        <v>213</v>
      </c>
      <c r="N131" s="14">
        <v>0</v>
      </c>
      <c r="O131" s="14" t="b">
        <v>1</v>
      </c>
      <c r="Q131" s="14" t="b">
        <v>0</v>
      </c>
      <c r="R131" s="14">
        <v>1</v>
      </c>
      <c r="S131" s="14" t="s">
        <v>77</v>
      </c>
      <c r="T131" s="14">
        <v>999</v>
      </c>
      <c r="U131" s="14" t="s">
        <v>214</v>
      </c>
      <c r="V131" s="14">
        <v>31532002</v>
      </c>
      <c r="X131" s="14" t="s">
        <v>204</v>
      </c>
      <c r="Y131" s="14" t="s">
        <v>215</v>
      </c>
      <c r="Z131" s="14">
        <v>20001</v>
      </c>
      <c r="AA131" s="14" t="s">
        <v>205</v>
      </c>
      <c r="AB131" s="14">
        <v>40001</v>
      </c>
      <c r="AE131" s="29" t="s">
        <v>121</v>
      </c>
      <c r="AF131" s="14" t="s">
        <v>213</v>
      </c>
      <c r="AG131" s="14" t="s">
        <v>86</v>
      </c>
    </row>
    <row r="132" spans="2:33">
      <c r="B132" s="14">
        <f>10000000+INDEX(编号表!$B:$B,MATCH(H132,编号表!$A:$A,0))*100000+INDEX(编号表!$F:$F,MATCH(D132,编号表!$E:$E,0))*10000+INDEX(编号表!$D:$D,MATCH(AG132,编号表!$C:$C,0))*1000+F132</f>
        <v>11532003</v>
      </c>
      <c r="C132" s="14" t="s">
        <v>290</v>
      </c>
      <c r="D132" s="14" t="s">
        <v>276</v>
      </c>
      <c r="E132" s="14" t="s">
        <v>86</v>
      </c>
      <c r="F132" s="14">
        <v>3</v>
      </c>
      <c r="G132" s="14">
        <v>60</v>
      </c>
      <c r="H132" s="31" t="s">
        <v>228</v>
      </c>
      <c r="I132" s="14" t="s">
        <v>75</v>
      </c>
      <c r="J132" s="14" t="s">
        <v>201</v>
      </c>
      <c r="K132" s="14">
        <v>1</v>
      </c>
      <c r="L132" s="14" t="s">
        <v>213</v>
      </c>
      <c r="N132" s="14">
        <v>0</v>
      </c>
      <c r="O132" s="14" t="b">
        <v>1</v>
      </c>
      <c r="Q132" s="14" t="b">
        <v>0</v>
      </c>
      <c r="R132" s="14">
        <v>1</v>
      </c>
      <c r="S132" s="14" t="s">
        <v>77</v>
      </c>
      <c r="T132" s="14">
        <v>999</v>
      </c>
      <c r="U132" s="14" t="s">
        <v>214</v>
      </c>
      <c r="V132" s="14">
        <v>31532003</v>
      </c>
      <c r="X132" s="14" t="s">
        <v>204</v>
      </c>
      <c r="Y132" s="14" t="s">
        <v>215</v>
      </c>
      <c r="Z132" s="14">
        <v>20001</v>
      </c>
      <c r="AA132" s="14" t="s">
        <v>205</v>
      </c>
      <c r="AB132" s="14">
        <v>40001</v>
      </c>
      <c r="AE132" s="29" t="s">
        <v>121</v>
      </c>
      <c r="AF132" s="14" t="s">
        <v>213</v>
      </c>
      <c r="AG132" s="14" t="s">
        <v>86</v>
      </c>
    </row>
    <row r="133" spans="2:33">
      <c r="B133" s="14">
        <f>10000000+INDEX(编号表!$B:$B,MATCH(H133,编号表!$A:$A,0))*100000+INDEX(编号表!$F:$F,MATCH(D133,编号表!$E:$E,0))*10000+INDEX(编号表!$D:$D,MATCH(AG133,编号表!$C:$C,0))*1000+F133</f>
        <v>11532004</v>
      </c>
      <c r="C133" s="14" t="s">
        <v>291</v>
      </c>
      <c r="D133" s="14" t="s">
        <v>276</v>
      </c>
      <c r="E133" s="14" t="s">
        <v>86</v>
      </c>
      <c r="F133" s="14">
        <v>4</v>
      </c>
      <c r="G133" s="14">
        <v>60</v>
      </c>
      <c r="H133" s="31" t="s">
        <v>228</v>
      </c>
      <c r="I133" s="14" t="s">
        <v>75</v>
      </c>
      <c r="J133" s="14" t="s">
        <v>201</v>
      </c>
      <c r="K133" s="14">
        <v>1</v>
      </c>
      <c r="L133" s="14" t="s">
        <v>213</v>
      </c>
      <c r="N133" s="14">
        <v>0</v>
      </c>
      <c r="O133" s="14" t="b">
        <v>1</v>
      </c>
      <c r="Q133" s="14" t="b">
        <v>0</v>
      </c>
      <c r="R133" s="14">
        <v>1</v>
      </c>
      <c r="S133" s="14" t="s">
        <v>77</v>
      </c>
      <c r="T133" s="14">
        <v>999</v>
      </c>
      <c r="U133" s="14" t="s">
        <v>214</v>
      </c>
      <c r="V133" s="14">
        <v>31532004</v>
      </c>
      <c r="X133" s="14" t="s">
        <v>204</v>
      </c>
      <c r="Y133" s="14" t="s">
        <v>215</v>
      </c>
      <c r="Z133" s="14">
        <v>20001</v>
      </c>
      <c r="AA133" s="14" t="s">
        <v>205</v>
      </c>
      <c r="AB133" s="14">
        <v>40001</v>
      </c>
      <c r="AE133" s="29" t="s">
        <v>121</v>
      </c>
      <c r="AF133" s="14" t="s">
        <v>213</v>
      </c>
      <c r="AG133" s="14" t="s">
        <v>86</v>
      </c>
    </row>
    <row r="134" spans="2:33">
      <c r="B134" s="14">
        <f>10000000+INDEX(编号表!$B:$B,MATCH(H134,编号表!$A:$A,0))*100000+INDEX(编号表!$F:$F,MATCH(D134,编号表!$E:$E,0))*10000+INDEX(编号表!$D:$D,MATCH(AG134,编号表!$C:$C,0))*1000+F134</f>
        <v>11532005</v>
      </c>
      <c r="C134" s="14" t="s">
        <v>292</v>
      </c>
      <c r="D134" s="14" t="s">
        <v>276</v>
      </c>
      <c r="E134" s="14" t="s">
        <v>86</v>
      </c>
      <c r="F134" s="14">
        <v>5</v>
      </c>
      <c r="G134" s="14">
        <v>60</v>
      </c>
      <c r="H134" s="31" t="s">
        <v>228</v>
      </c>
      <c r="I134" s="14" t="s">
        <v>75</v>
      </c>
      <c r="J134" s="14" t="s">
        <v>201</v>
      </c>
      <c r="K134" s="14">
        <v>1</v>
      </c>
      <c r="L134" s="14" t="s">
        <v>213</v>
      </c>
      <c r="N134" s="14">
        <v>0</v>
      </c>
      <c r="O134" s="14" t="b">
        <v>1</v>
      </c>
      <c r="Q134" s="14" t="b">
        <v>0</v>
      </c>
      <c r="R134" s="14">
        <v>1</v>
      </c>
      <c r="S134" s="14" t="s">
        <v>77</v>
      </c>
      <c r="T134" s="14">
        <v>999</v>
      </c>
      <c r="U134" s="14" t="s">
        <v>214</v>
      </c>
      <c r="V134" s="14">
        <v>31532005</v>
      </c>
      <c r="X134" s="14" t="s">
        <v>204</v>
      </c>
      <c r="Y134" s="14" t="s">
        <v>215</v>
      </c>
      <c r="Z134" s="14">
        <v>20001</v>
      </c>
      <c r="AA134" s="14" t="s">
        <v>205</v>
      </c>
      <c r="AB134" s="14">
        <v>40001</v>
      </c>
      <c r="AE134" s="29" t="s">
        <v>121</v>
      </c>
      <c r="AF134" s="14" t="s">
        <v>213</v>
      </c>
      <c r="AG134" s="14" t="s">
        <v>86</v>
      </c>
    </row>
    <row r="135" spans="2:33">
      <c r="B135" s="14">
        <f>10000000+INDEX(编号表!$B:$B,MATCH(H135,编号表!$A:$A,0))*100000+INDEX(编号表!$F:$F,MATCH(D135,编号表!$E:$E,0))*10000+INDEX(编号表!$D:$D,MATCH(AG135,编号表!$C:$C,0))*1000+F135</f>
        <v>11532006</v>
      </c>
      <c r="C135" s="14" t="s">
        <v>293</v>
      </c>
      <c r="D135" s="14" t="s">
        <v>276</v>
      </c>
      <c r="E135" s="14" t="s">
        <v>86</v>
      </c>
      <c r="F135" s="14">
        <v>6</v>
      </c>
      <c r="G135" s="14">
        <v>60</v>
      </c>
      <c r="H135" s="31" t="s">
        <v>228</v>
      </c>
      <c r="I135" s="14" t="s">
        <v>75</v>
      </c>
      <c r="J135" s="14" t="s">
        <v>201</v>
      </c>
      <c r="K135" s="14">
        <v>1</v>
      </c>
      <c r="L135" s="14" t="s">
        <v>213</v>
      </c>
      <c r="N135" s="14">
        <v>0</v>
      </c>
      <c r="O135" s="14" t="b">
        <v>1</v>
      </c>
      <c r="Q135" s="14" t="b">
        <v>0</v>
      </c>
      <c r="R135" s="14">
        <v>1</v>
      </c>
      <c r="S135" s="14" t="s">
        <v>77</v>
      </c>
      <c r="T135" s="14">
        <v>999</v>
      </c>
      <c r="U135" s="14" t="s">
        <v>214</v>
      </c>
      <c r="V135" s="14">
        <v>31532006</v>
      </c>
      <c r="X135" s="14" t="s">
        <v>204</v>
      </c>
      <c r="Y135" s="14" t="s">
        <v>215</v>
      </c>
      <c r="Z135" s="14">
        <v>20001</v>
      </c>
      <c r="AA135" s="14" t="s">
        <v>205</v>
      </c>
      <c r="AB135" s="14">
        <v>40001</v>
      </c>
      <c r="AE135" s="29" t="s">
        <v>121</v>
      </c>
      <c r="AF135" s="14" t="s">
        <v>213</v>
      </c>
      <c r="AG135" s="14" t="s">
        <v>86</v>
      </c>
    </row>
    <row r="136" spans="2:33">
      <c r="B136" s="14">
        <f>10000000+INDEX(编号表!$B:$B,MATCH(H136,编号表!$A:$A,0))*100000+INDEX(编号表!$F:$F,MATCH(D136,编号表!$E:$E,0))*10000+INDEX(编号表!$D:$D,MATCH(AG136,编号表!$C:$C,0))*1000+F136</f>
        <v>11532007</v>
      </c>
      <c r="C136" s="14" t="s">
        <v>294</v>
      </c>
      <c r="D136" s="14" t="s">
        <v>276</v>
      </c>
      <c r="E136" s="14" t="s">
        <v>86</v>
      </c>
      <c r="F136" s="14">
        <v>7</v>
      </c>
      <c r="G136" s="14">
        <v>60</v>
      </c>
      <c r="H136" s="31" t="s">
        <v>228</v>
      </c>
      <c r="I136" s="14" t="s">
        <v>75</v>
      </c>
      <c r="J136" s="14" t="s">
        <v>201</v>
      </c>
      <c r="K136" s="14">
        <v>1</v>
      </c>
      <c r="L136" s="14" t="s">
        <v>213</v>
      </c>
      <c r="N136" s="14">
        <v>0</v>
      </c>
      <c r="O136" s="14" t="b">
        <v>1</v>
      </c>
      <c r="Q136" s="14" t="b">
        <v>0</v>
      </c>
      <c r="R136" s="14">
        <v>1</v>
      </c>
      <c r="S136" s="14" t="s">
        <v>77</v>
      </c>
      <c r="T136" s="14">
        <v>999</v>
      </c>
      <c r="U136" s="14" t="s">
        <v>214</v>
      </c>
      <c r="V136" s="14">
        <v>31532007</v>
      </c>
      <c r="X136" s="14" t="s">
        <v>204</v>
      </c>
      <c r="Y136" s="14" t="s">
        <v>215</v>
      </c>
      <c r="Z136" s="14">
        <v>20001</v>
      </c>
      <c r="AA136" s="14" t="s">
        <v>205</v>
      </c>
      <c r="AB136" s="14">
        <v>40001</v>
      </c>
      <c r="AE136" s="29" t="s">
        <v>121</v>
      </c>
      <c r="AF136" s="14" t="s">
        <v>213</v>
      </c>
      <c r="AG136" s="14" t="s">
        <v>86</v>
      </c>
    </row>
    <row r="137" spans="2:33">
      <c r="B137" s="14">
        <f>10000000+INDEX(编号表!$B:$B,MATCH(H137,编号表!$A:$A,0))*100000+INDEX(编号表!$F:$F,MATCH(D137,编号表!$E:$E,0))*10000+INDEX(编号表!$D:$D,MATCH(AG137,编号表!$C:$C,0))*1000+F137</f>
        <v>11532008</v>
      </c>
      <c r="C137" s="14" t="s">
        <v>295</v>
      </c>
      <c r="D137" s="14" t="s">
        <v>276</v>
      </c>
      <c r="E137" s="14" t="s">
        <v>86</v>
      </c>
      <c r="F137" s="14">
        <v>8</v>
      </c>
      <c r="G137" s="14">
        <v>60</v>
      </c>
      <c r="H137" s="31" t="s">
        <v>228</v>
      </c>
      <c r="I137" s="14" t="s">
        <v>75</v>
      </c>
      <c r="J137" s="14" t="s">
        <v>201</v>
      </c>
      <c r="K137" s="14">
        <v>1</v>
      </c>
      <c r="L137" s="14" t="s">
        <v>213</v>
      </c>
      <c r="N137" s="14">
        <v>0</v>
      </c>
      <c r="O137" s="14" t="b">
        <v>1</v>
      </c>
      <c r="Q137" s="14" t="b">
        <v>0</v>
      </c>
      <c r="R137" s="14">
        <v>1</v>
      </c>
      <c r="S137" s="14" t="s">
        <v>77</v>
      </c>
      <c r="T137" s="14">
        <v>999</v>
      </c>
      <c r="U137" s="14" t="s">
        <v>214</v>
      </c>
      <c r="V137" s="14">
        <v>31532008</v>
      </c>
      <c r="X137" s="14" t="s">
        <v>204</v>
      </c>
      <c r="Y137" s="14" t="s">
        <v>215</v>
      </c>
      <c r="Z137" s="14">
        <v>20001</v>
      </c>
      <c r="AA137" s="14" t="s">
        <v>205</v>
      </c>
      <c r="AB137" s="14">
        <v>40001</v>
      </c>
      <c r="AE137" s="29" t="s">
        <v>121</v>
      </c>
      <c r="AF137" s="14" t="s">
        <v>213</v>
      </c>
      <c r="AG137" s="14" t="s">
        <v>86</v>
      </c>
    </row>
    <row r="138" spans="2:33">
      <c r="B138" s="14">
        <f>10000000+INDEX(编号表!$B:$B,MATCH(H138,编号表!$A:$A,0))*100000+INDEX(编号表!$F:$F,MATCH(D138,编号表!$E:$E,0))*10000+INDEX(编号表!$D:$D,MATCH(AG138,编号表!$C:$C,0))*1000+F138</f>
        <v>11532009</v>
      </c>
      <c r="C138" s="14" t="s">
        <v>296</v>
      </c>
      <c r="D138" s="14" t="s">
        <v>276</v>
      </c>
      <c r="E138" s="14" t="s">
        <v>86</v>
      </c>
      <c r="F138" s="14">
        <v>9</v>
      </c>
      <c r="G138" s="14">
        <v>60</v>
      </c>
      <c r="H138" s="31" t="s">
        <v>228</v>
      </c>
      <c r="I138" s="14" t="s">
        <v>75</v>
      </c>
      <c r="J138" s="14" t="s">
        <v>201</v>
      </c>
      <c r="K138" s="14">
        <v>1</v>
      </c>
      <c r="L138" s="14" t="s">
        <v>213</v>
      </c>
      <c r="N138" s="14">
        <v>0</v>
      </c>
      <c r="O138" s="14" t="b">
        <v>1</v>
      </c>
      <c r="Q138" s="14" t="b">
        <v>0</v>
      </c>
      <c r="R138" s="14">
        <v>1</v>
      </c>
      <c r="S138" s="14" t="s">
        <v>77</v>
      </c>
      <c r="T138" s="14">
        <v>999</v>
      </c>
      <c r="U138" s="14" t="s">
        <v>214</v>
      </c>
      <c r="V138" s="14">
        <v>31532009</v>
      </c>
      <c r="X138" s="14" t="s">
        <v>204</v>
      </c>
      <c r="Y138" s="14" t="s">
        <v>215</v>
      </c>
      <c r="Z138" s="14">
        <v>20001</v>
      </c>
      <c r="AA138" s="14" t="s">
        <v>205</v>
      </c>
      <c r="AB138" s="14">
        <v>40001</v>
      </c>
      <c r="AE138" s="29" t="s">
        <v>121</v>
      </c>
      <c r="AF138" s="14" t="s">
        <v>213</v>
      </c>
      <c r="AG138" s="14" t="s">
        <v>86</v>
      </c>
    </row>
    <row r="139" spans="2:33">
      <c r="B139" s="14">
        <f>10000000+INDEX(编号表!$B:$B,MATCH(H139,编号表!$A:$A,0))*100000+INDEX(编号表!$F:$F,MATCH(D139,编号表!$E:$E,0))*10000+INDEX(编号表!$D:$D,MATCH(AG139,编号表!$C:$C,0))*1000+F139</f>
        <v>11432000</v>
      </c>
      <c r="C139" s="14" t="s">
        <v>297</v>
      </c>
      <c r="D139" s="14" t="s">
        <v>276</v>
      </c>
      <c r="E139" s="14" t="s">
        <v>86</v>
      </c>
      <c r="F139" s="14">
        <v>0</v>
      </c>
      <c r="G139" s="14">
        <v>60</v>
      </c>
      <c r="H139" s="31" t="s">
        <v>239</v>
      </c>
      <c r="I139" s="14" t="s">
        <v>75</v>
      </c>
      <c r="J139" s="14" t="s">
        <v>201</v>
      </c>
      <c r="K139" s="14">
        <v>1</v>
      </c>
      <c r="L139" s="14" t="s">
        <v>213</v>
      </c>
      <c r="N139" s="14">
        <v>0</v>
      </c>
      <c r="O139" s="14" t="b">
        <v>1</v>
      </c>
      <c r="Q139" s="14" t="b">
        <v>0</v>
      </c>
      <c r="R139" s="14">
        <v>1</v>
      </c>
      <c r="S139" s="14" t="s">
        <v>77</v>
      </c>
      <c r="T139" s="14">
        <v>999</v>
      </c>
      <c r="U139" s="14" t="s">
        <v>214</v>
      </c>
      <c r="V139" s="14">
        <v>31432000</v>
      </c>
      <c r="X139" s="14" t="s">
        <v>204</v>
      </c>
      <c r="Y139" s="14" t="s">
        <v>215</v>
      </c>
      <c r="Z139" s="14">
        <v>20001</v>
      </c>
      <c r="AA139" s="14" t="s">
        <v>205</v>
      </c>
      <c r="AB139" s="14">
        <v>40001</v>
      </c>
      <c r="AE139" s="29" t="s">
        <v>121</v>
      </c>
      <c r="AF139" s="14" t="s">
        <v>213</v>
      </c>
      <c r="AG139" s="14" t="s">
        <v>86</v>
      </c>
    </row>
    <row r="140" spans="2:33">
      <c r="B140" s="14">
        <f>10000000+INDEX(编号表!$B:$B,MATCH(H140,编号表!$A:$A,0))*100000+INDEX(编号表!$F:$F,MATCH(D140,编号表!$E:$E,0))*10000+INDEX(编号表!$D:$D,MATCH(AG140,编号表!$C:$C,0))*1000+F140</f>
        <v>11432001</v>
      </c>
      <c r="C140" s="14" t="s">
        <v>298</v>
      </c>
      <c r="D140" s="14" t="s">
        <v>276</v>
      </c>
      <c r="E140" s="14" t="s">
        <v>86</v>
      </c>
      <c r="F140" s="14">
        <v>1</v>
      </c>
      <c r="G140" s="14">
        <v>60</v>
      </c>
      <c r="H140" s="31" t="s">
        <v>239</v>
      </c>
      <c r="I140" s="14" t="s">
        <v>75</v>
      </c>
      <c r="J140" s="14" t="s">
        <v>201</v>
      </c>
      <c r="K140" s="14">
        <v>1</v>
      </c>
      <c r="L140" s="14" t="s">
        <v>213</v>
      </c>
      <c r="N140" s="14">
        <v>0</v>
      </c>
      <c r="O140" s="14" t="b">
        <v>1</v>
      </c>
      <c r="Q140" s="14" t="b">
        <v>0</v>
      </c>
      <c r="R140" s="14">
        <v>1</v>
      </c>
      <c r="S140" s="14" t="s">
        <v>77</v>
      </c>
      <c r="T140" s="14">
        <v>999</v>
      </c>
      <c r="U140" s="14" t="s">
        <v>214</v>
      </c>
      <c r="V140" s="14">
        <v>31432001</v>
      </c>
      <c r="X140" s="14" t="s">
        <v>204</v>
      </c>
      <c r="Y140" s="14" t="s">
        <v>215</v>
      </c>
      <c r="Z140" s="14">
        <v>20001</v>
      </c>
      <c r="AA140" s="14" t="s">
        <v>205</v>
      </c>
      <c r="AB140" s="14">
        <v>40001</v>
      </c>
      <c r="AE140" s="29" t="s">
        <v>121</v>
      </c>
      <c r="AF140" s="14" t="s">
        <v>213</v>
      </c>
      <c r="AG140" s="14" t="s">
        <v>86</v>
      </c>
    </row>
    <row r="141" spans="2:33">
      <c r="B141" s="14">
        <f>10000000+INDEX(编号表!$B:$B,MATCH(H141,编号表!$A:$A,0))*100000+INDEX(编号表!$F:$F,MATCH(D141,编号表!$E:$E,0))*10000+INDEX(编号表!$D:$D,MATCH(AG141,编号表!$C:$C,0))*1000+F141</f>
        <v>11432002</v>
      </c>
      <c r="C141" s="14" t="s">
        <v>299</v>
      </c>
      <c r="D141" s="14" t="s">
        <v>276</v>
      </c>
      <c r="E141" s="14" t="s">
        <v>86</v>
      </c>
      <c r="F141" s="14">
        <v>2</v>
      </c>
      <c r="G141" s="14">
        <v>60</v>
      </c>
      <c r="H141" s="31" t="s">
        <v>239</v>
      </c>
      <c r="I141" s="14" t="s">
        <v>75</v>
      </c>
      <c r="J141" s="14" t="s">
        <v>201</v>
      </c>
      <c r="K141" s="14">
        <v>1</v>
      </c>
      <c r="L141" s="14" t="s">
        <v>213</v>
      </c>
      <c r="N141" s="14">
        <v>0</v>
      </c>
      <c r="O141" s="14" t="b">
        <v>1</v>
      </c>
      <c r="Q141" s="14" t="b">
        <v>0</v>
      </c>
      <c r="R141" s="14">
        <v>1</v>
      </c>
      <c r="S141" s="14" t="s">
        <v>77</v>
      </c>
      <c r="T141" s="14">
        <v>999</v>
      </c>
      <c r="U141" s="14" t="s">
        <v>214</v>
      </c>
      <c r="V141" s="14">
        <v>31432002</v>
      </c>
      <c r="X141" s="14" t="s">
        <v>204</v>
      </c>
      <c r="Y141" s="14" t="s">
        <v>215</v>
      </c>
      <c r="Z141" s="14">
        <v>20001</v>
      </c>
      <c r="AA141" s="14" t="s">
        <v>205</v>
      </c>
      <c r="AB141" s="14">
        <v>40001</v>
      </c>
      <c r="AE141" s="29" t="s">
        <v>121</v>
      </c>
      <c r="AF141" s="14" t="s">
        <v>213</v>
      </c>
      <c r="AG141" s="14" t="s">
        <v>86</v>
      </c>
    </row>
    <row r="142" spans="2:33">
      <c r="B142" s="14">
        <f>10000000+INDEX(编号表!$B:$B,MATCH(H142,编号表!$A:$A,0))*100000+INDEX(编号表!$F:$F,MATCH(D142,编号表!$E:$E,0))*10000+INDEX(编号表!$D:$D,MATCH(AG142,编号表!$C:$C,0))*1000+F142</f>
        <v>11432003</v>
      </c>
      <c r="C142" s="14" t="s">
        <v>300</v>
      </c>
      <c r="D142" s="14" t="s">
        <v>276</v>
      </c>
      <c r="E142" s="14" t="s">
        <v>86</v>
      </c>
      <c r="F142" s="14">
        <v>3</v>
      </c>
      <c r="G142" s="14">
        <v>60</v>
      </c>
      <c r="H142" s="31" t="s">
        <v>239</v>
      </c>
      <c r="I142" s="14" t="s">
        <v>75</v>
      </c>
      <c r="J142" s="14" t="s">
        <v>201</v>
      </c>
      <c r="K142" s="14">
        <v>1</v>
      </c>
      <c r="L142" s="14" t="s">
        <v>213</v>
      </c>
      <c r="N142" s="14">
        <v>0</v>
      </c>
      <c r="O142" s="14" t="b">
        <v>1</v>
      </c>
      <c r="Q142" s="14" t="b">
        <v>0</v>
      </c>
      <c r="R142" s="14">
        <v>1</v>
      </c>
      <c r="S142" s="14" t="s">
        <v>77</v>
      </c>
      <c r="T142" s="14">
        <v>999</v>
      </c>
      <c r="U142" s="14" t="s">
        <v>214</v>
      </c>
      <c r="V142" s="14">
        <v>31432003</v>
      </c>
      <c r="X142" s="14" t="s">
        <v>204</v>
      </c>
      <c r="Y142" s="14" t="s">
        <v>215</v>
      </c>
      <c r="Z142" s="14">
        <v>20001</v>
      </c>
      <c r="AA142" s="14" t="s">
        <v>205</v>
      </c>
      <c r="AB142" s="14">
        <v>40001</v>
      </c>
      <c r="AE142" s="29" t="s">
        <v>121</v>
      </c>
      <c r="AF142" s="14" t="s">
        <v>213</v>
      </c>
      <c r="AG142" s="14" t="s">
        <v>86</v>
      </c>
    </row>
    <row r="143" spans="2:33">
      <c r="B143" s="14">
        <f>10000000+INDEX(编号表!$B:$B,MATCH(H143,编号表!$A:$A,0))*100000+INDEX(编号表!$F:$F,MATCH(D143,编号表!$E:$E,0))*10000+INDEX(编号表!$D:$D,MATCH(AG143,编号表!$C:$C,0))*1000+F143</f>
        <v>11632000</v>
      </c>
      <c r="C143" s="14" t="s">
        <v>301</v>
      </c>
      <c r="D143" s="14" t="s">
        <v>276</v>
      </c>
      <c r="E143" s="14" t="s">
        <v>86</v>
      </c>
      <c r="F143" s="14">
        <v>0</v>
      </c>
      <c r="G143" s="14">
        <v>60</v>
      </c>
      <c r="H143" s="31" t="s">
        <v>244</v>
      </c>
      <c r="I143" s="14" t="s">
        <v>75</v>
      </c>
      <c r="J143" s="14" t="s">
        <v>201</v>
      </c>
      <c r="K143" s="14">
        <v>1</v>
      </c>
      <c r="L143" s="14" t="s">
        <v>213</v>
      </c>
      <c r="N143" s="14">
        <v>0</v>
      </c>
      <c r="O143" s="14" t="b">
        <v>1</v>
      </c>
      <c r="Q143" s="14" t="b">
        <v>0</v>
      </c>
      <c r="R143" s="14">
        <v>1</v>
      </c>
      <c r="S143" s="14" t="s">
        <v>77</v>
      </c>
      <c r="T143" s="14">
        <v>999</v>
      </c>
      <c r="U143" s="14" t="s">
        <v>214</v>
      </c>
      <c r="V143" s="14">
        <v>31632000</v>
      </c>
      <c r="X143" s="14" t="s">
        <v>204</v>
      </c>
      <c r="Y143" s="14" t="s">
        <v>215</v>
      </c>
      <c r="Z143" s="14">
        <v>20001</v>
      </c>
      <c r="AA143" s="14" t="s">
        <v>205</v>
      </c>
      <c r="AB143" s="14">
        <v>40001</v>
      </c>
      <c r="AE143" s="29" t="s">
        <v>121</v>
      </c>
      <c r="AF143" s="14" t="s">
        <v>213</v>
      </c>
      <c r="AG143" s="14" t="s">
        <v>86</v>
      </c>
    </row>
    <row r="144" spans="2:33">
      <c r="B144" s="14">
        <f>10000000+INDEX(编号表!$B:$B,MATCH(H144,编号表!$A:$A,0))*100000+INDEX(编号表!$F:$F,MATCH(D144,编号表!$E:$E,0))*10000+INDEX(编号表!$D:$D,MATCH(AG144,编号表!$C:$C,0))*1000+F144</f>
        <v>11632001</v>
      </c>
      <c r="C144" s="14" t="s">
        <v>302</v>
      </c>
      <c r="D144" s="14" t="s">
        <v>276</v>
      </c>
      <c r="E144" s="14" t="s">
        <v>86</v>
      </c>
      <c r="F144" s="14">
        <v>1</v>
      </c>
      <c r="G144" s="14">
        <v>60</v>
      </c>
      <c r="H144" s="31" t="s">
        <v>244</v>
      </c>
      <c r="I144" s="14" t="s">
        <v>75</v>
      </c>
      <c r="J144" s="14" t="s">
        <v>201</v>
      </c>
      <c r="K144" s="14">
        <v>1</v>
      </c>
      <c r="L144" s="14" t="s">
        <v>213</v>
      </c>
      <c r="N144" s="14">
        <v>0</v>
      </c>
      <c r="O144" s="14" t="b">
        <v>1</v>
      </c>
      <c r="Q144" s="14" t="b">
        <v>0</v>
      </c>
      <c r="R144" s="14">
        <v>1</v>
      </c>
      <c r="S144" s="14" t="s">
        <v>77</v>
      </c>
      <c r="T144" s="14">
        <v>999</v>
      </c>
      <c r="U144" s="14" t="s">
        <v>214</v>
      </c>
      <c r="V144" s="14">
        <v>31632001</v>
      </c>
      <c r="X144" s="14" t="s">
        <v>204</v>
      </c>
      <c r="Y144" s="14" t="s">
        <v>215</v>
      </c>
      <c r="Z144" s="14">
        <v>20001</v>
      </c>
      <c r="AA144" s="14" t="s">
        <v>205</v>
      </c>
      <c r="AB144" s="14">
        <v>40001</v>
      </c>
      <c r="AE144" s="29" t="s">
        <v>121</v>
      </c>
      <c r="AF144" s="14" t="s">
        <v>213</v>
      </c>
      <c r="AG144" s="14" t="s">
        <v>86</v>
      </c>
    </row>
    <row r="145" spans="2:33">
      <c r="B145" s="14">
        <f>10000000+INDEX(编号表!$B:$B,MATCH(H145,编号表!$A:$A,0))*100000+INDEX(编号表!$F:$F,MATCH(D145,编号表!$E:$E,0))*10000+INDEX(编号表!$D:$D,MATCH(AG145,编号表!$C:$C,0))*1000+F145</f>
        <v>11632002</v>
      </c>
      <c r="C145" s="14" t="s">
        <v>303</v>
      </c>
      <c r="D145" s="14" t="s">
        <v>276</v>
      </c>
      <c r="E145" s="14" t="s">
        <v>86</v>
      </c>
      <c r="F145" s="14">
        <v>2</v>
      </c>
      <c r="G145" s="14">
        <v>60</v>
      </c>
      <c r="H145" s="31" t="s">
        <v>244</v>
      </c>
      <c r="I145" s="14" t="s">
        <v>75</v>
      </c>
      <c r="J145" s="14" t="s">
        <v>201</v>
      </c>
      <c r="K145" s="14">
        <v>1</v>
      </c>
      <c r="L145" s="14" t="s">
        <v>213</v>
      </c>
      <c r="N145" s="14">
        <v>0</v>
      </c>
      <c r="O145" s="14" t="b">
        <v>1</v>
      </c>
      <c r="Q145" s="14" t="b">
        <v>0</v>
      </c>
      <c r="R145" s="14">
        <v>1</v>
      </c>
      <c r="S145" s="14" t="s">
        <v>77</v>
      </c>
      <c r="T145" s="14">
        <v>999</v>
      </c>
      <c r="U145" s="14" t="s">
        <v>214</v>
      </c>
      <c r="V145" s="14">
        <v>31632002</v>
      </c>
      <c r="X145" s="14" t="s">
        <v>204</v>
      </c>
      <c r="Y145" s="14" t="s">
        <v>215</v>
      </c>
      <c r="Z145" s="14">
        <v>20001</v>
      </c>
      <c r="AA145" s="14" t="s">
        <v>205</v>
      </c>
      <c r="AB145" s="14">
        <v>40001</v>
      </c>
      <c r="AE145" s="29" t="s">
        <v>121</v>
      </c>
      <c r="AF145" s="14" t="s">
        <v>213</v>
      </c>
      <c r="AG145" s="14" t="s">
        <v>86</v>
      </c>
    </row>
    <row r="146" spans="2:33">
      <c r="B146" s="14">
        <f>10000000+INDEX(编号表!$B:$B,MATCH(H146,编号表!$A:$A,0))*100000+INDEX(编号表!$F:$F,MATCH(D146,编号表!$E:$E,0))*10000+INDEX(编号表!$D:$D,MATCH(AG146,编号表!$C:$C,0))*1000+F146</f>
        <v>11242000</v>
      </c>
      <c r="C146" s="14" t="s">
        <v>304</v>
      </c>
      <c r="D146" s="14" t="s">
        <v>104</v>
      </c>
      <c r="E146" s="14" t="s">
        <v>86</v>
      </c>
      <c r="F146" s="14">
        <v>0</v>
      </c>
      <c r="G146" s="14">
        <v>60</v>
      </c>
      <c r="H146" s="31" t="s">
        <v>212</v>
      </c>
      <c r="I146" s="14" t="s">
        <v>75</v>
      </c>
      <c r="J146" s="14" t="s">
        <v>201</v>
      </c>
      <c r="K146" s="14">
        <v>1</v>
      </c>
      <c r="L146" s="14" t="s">
        <v>213</v>
      </c>
      <c r="N146" s="14">
        <v>0</v>
      </c>
      <c r="O146" s="14" t="b">
        <v>1</v>
      </c>
      <c r="Q146" s="14" t="b">
        <v>0</v>
      </c>
      <c r="R146" s="14">
        <v>1</v>
      </c>
      <c r="S146" s="14" t="s">
        <v>77</v>
      </c>
      <c r="T146" s="14">
        <v>999</v>
      </c>
      <c r="U146" s="14" t="s">
        <v>214</v>
      </c>
      <c r="V146" s="14">
        <v>31242000</v>
      </c>
      <c r="X146" s="14" t="s">
        <v>204</v>
      </c>
      <c r="Y146" s="14" t="s">
        <v>215</v>
      </c>
      <c r="Z146" s="14">
        <v>20001</v>
      </c>
      <c r="AA146" s="14" t="s">
        <v>205</v>
      </c>
      <c r="AB146" s="14">
        <v>40001</v>
      </c>
      <c r="AE146" s="29" t="s">
        <v>121</v>
      </c>
      <c r="AF146" s="14" t="s">
        <v>213</v>
      </c>
      <c r="AG146" s="14" t="s">
        <v>86</v>
      </c>
    </row>
    <row r="147" spans="2:33">
      <c r="B147" s="14">
        <f>10000000+INDEX(编号表!$B:$B,MATCH(H147,编号表!$A:$A,0))*100000+INDEX(编号表!$F:$F,MATCH(D147,编号表!$E:$E,0))*10000+INDEX(编号表!$D:$D,MATCH(AG147,编号表!$C:$C,0))*1000+F147</f>
        <v>11342000</v>
      </c>
      <c r="C147" s="14" t="s">
        <v>305</v>
      </c>
      <c r="D147" s="14" t="s">
        <v>104</v>
      </c>
      <c r="E147" s="14" t="s">
        <v>86</v>
      </c>
      <c r="F147" s="14">
        <v>0</v>
      </c>
      <c r="G147" s="14">
        <v>60</v>
      </c>
      <c r="H147" s="31" t="s">
        <v>217</v>
      </c>
      <c r="I147" s="14" t="s">
        <v>75</v>
      </c>
      <c r="J147" s="14" t="s">
        <v>201</v>
      </c>
      <c r="K147" s="14">
        <v>1</v>
      </c>
      <c r="L147" s="14" t="s">
        <v>213</v>
      </c>
      <c r="N147" s="14">
        <v>0</v>
      </c>
      <c r="O147" s="14" t="b">
        <v>1</v>
      </c>
      <c r="Q147" s="14" t="b">
        <v>0</v>
      </c>
      <c r="R147" s="14">
        <v>1</v>
      </c>
      <c r="S147" s="14" t="s">
        <v>77</v>
      </c>
      <c r="T147" s="14">
        <v>999</v>
      </c>
      <c r="U147" s="14" t="s">
        <v>214</v>
      </c>
      <c r="V147" s="14">
        <v>31342000</v>
      </c>
      <c r="X147" s="14" t="s">
        <v>204</v>
      </c>
      <c r="Y147" s="14" t="s">
        <v>215</v>
      </c>
      <c r="Z147" s="14">
        <v>20001</v>
      </c>
      <c r="AA147" s="14" t="s">
        <v>205</v>
      </c>
      <c r="AB147" s="14">
        <v>40001</v>
      </c>
      <c r="AE147" s="29" t="s">
        <v>121</v>
      </c>
      <c r="AF147" s="14" t="s">
        <v>213</v>
      </c>
      <c r="AG147" s="14" t="s">
        <v>86</v>
      </c>
    </row>
    <row r="148" spans="2:33">
      <c r="B148" s="14">
        <f>10000000+INDEX(编号表!$B:$B,MATCH(H148,编号表!$A:$A,0))*100000+INDEX(编号表!$F:$F,MATCH(D148,编号表!$E:$E,0))*10000+INDEX(编号表!$D:$D,MATCH(AG148,编号表!$C:$C,0))*1000+F148</f>
        <v>11342001</v>
      </c>
      <c r="C148" s="14" t="s">
        <v>306</v>
      </c>
      <c r="D148" s="14" t="s">
        <v>104</v>
      </c>
      <c r="E148" s="14" t="s">
        <v>86</v>
      </c>
      <c r="F148" s="14">
        <v>1</v>
      </c>
      <c r="G148" s="14">
        <v>60</v>
      </c>
      <c r="H148" s="31" t="s">
        <v>217</v>
      </c>
      <c r="I148" s="14" t="s">
        <v>75</v>
      </c>
      <c r="J148" s="14" t="s">
        <v>201</v>
      </c>
      <c r="K148" s="14">
        <v>1</v>
      </c>
      <c r="L148" s="14" t="s">
        <v>213</v>
      </c>
      <c r="N148" s="14">
        <v>0</v>
      </c>
      <c r="O148" s="14" t="b">
        <v>1</v>
      </c>
      <c r="Q148" s="14" t="b">
        <v>0</v>
      </c>
      <c r="R148" s="14">
        <v>1</v>
      </c>
      <c r="S148" s="14" t="s">
        <v>77</v>
      </c>
      <c r="T148" s="14">
        <v>999</v>
      </c>
      <c r="U148" s="14" t="s">
        <v>214</v>
      </c>
      <c r="V148" s="14">
        <v>31342001</v>
      </c>
      <c r="X148" s="14" t="s">
        <v>204</v>
      </c>
      <c r="Y148" s="14" t="s">
        <v>215</v>
      </c>
      <c r="Z148" s="14">
        <v>20001</v>
      </c>
      <c r="AA148" s="14" t="s">
        <v>205</v>
      </c>
      <c r="AB148" s="14">
        <v>40001</v>
      </c>
      <c r="AE148" s="29" t="s">
        <v>121</v>
      </c>
      <c r="AF148" s="14" t="s">
        <v>213</v>
      </c>
      <c r="AG148" s="14" t="s">
        <v>86</v>
      </c>
    </row>
    <row r="149" spans="2:33">
      <c r="B149" s="14">
        <f>10000000+INDEX(编号表!$B:$B,MATCH(H149,编号表!$A:$A,0))*100000+INDEX(编号表!$F:$F,MATCH(D149,编号表!$E:$E,0))*10000+INDEX(编号表!$D:$D,MATCH(AG149,编号表!$C:$C,0))*1000+F149</f>
        <v>11342002</v>
      </c>
      <c r="C149" s="14" t="s">
        <v>307</v>
      </c>
      <c r="D149" s="14" t="s">
        <v>104</v>
      </c>
      <c r="E149" s="14" t="s">
        <v>86</v>
      </c>
      <c r="F149" s="14">
        <v>2</v>
      </c>
      <c r="G149" s="14">
        <v>60</v>
      </c>
      <c r="H149" s="31" t="s">
        <v>217</v>
      </c>
      <c r="I149" s="14" t="s">
        <v>75</v>
      </c>
      <c r="J149" s="14" t="s">
        <v>201</v>
      </c>
      <c r="K149" s="14">
        <v>1</v>
      </c>
      <c r="L149" s="14" t="s">
        <v>213</v>
      </c>
      <c r="N149" s="14">
        <v>0</v>
      </c>
      <c r="O149" s="14" t="b">
        <v>1</v>
      </c>
      <c r="Q149" s="14" t="b">
        <v>0</v>
      </c>
      <c r="R149" s="14">
        <v>1</v>
      </c>
      <c r="S149" s="14" t="s">
        <v>77</v>
      </c>
      <c r="T149" s="14">
        <v>999</v>
      </c>
      <c r="U149" s="14" t="s">
        <v>214</v>
      </c>
      <c r="V149" s="14">
        <v>31342002</v>
      </c>
      <c r="X149" s="14" t="s">
        <v>204</v>
      </c>
      <c r="Y149" s="14" t="s">
        <v>215</v>
      </c>
      <c r="Z149" s="14">
        <v>20001</v>
      </c>
      <c r="AA149" s="14" t="s">
        <v>205</v>
      </c>
      <c r="AB149" s="14">
        <v>40001</v>
      </c>
      <c r="AE149" s="29" t="s">
        <v>121</v>
      </c>
      <c r="AF149" s="14" t="s">
        <v>213</v>
      </c>
      <c r="AG149" s="14" t="s">
        <v>86</v>
      </c>
    </row>
    <row r="150" spans="2:33">
      <c r="B150" s="14">
        <f>10000000+INDEX(编号表!$B:$B,MATCH(H150,编号表!$A:$A,0))*100000+INDEX(编号表!$F:$F,MATCH(D150,编号表!$E:$E,0))*10000+INDEX(编号表!$D:$D,MATCH(AG150,编号表!$C:$C,0))*1000+F150</f>
        <v>11342003</v>
      </c>
      <c r="C150" s="14" t="s">
        <v>308</v>
      </c>
      <c r="D150" s="14" t="s">
        <v>104</v>
      </c>
      <c r="E150" s="14" t="s">
        <v>86</v>
      </c>
      <c r="F150" s="14">
        <v>3</v>
      </c>
      <c r="G150" s="14">
        <v>60</v>
      </c>
      <c r="H150" s="31" t="s">
        <v>217</v>
      </c>
      <c r="I150" s="14" t="s">
        <v>75</v>
      </c>
      <c r="J150" s="14" t="s">
        <v>201</v>
      </c>
      <c r="K150" s="14">
        <v>1</v>
      </c>
      <c r="L150" s="14" t="s">
        <v>213</v>
      </c>
      <c r="N150" s="14">
        <v>0</v>
      </c>
      <c r="O150" s="14" t="b">
        <v>1</v>
      </c>
      <c r="Q150" s="14" t="b">
        <v>0</v>
      </c>
      <c r="R150" s="14">
        <v>1</v>
      </c>
      <c r="S150" s="14" t="s">
        <v>77</v>
      </c>
      <c r="T150" s="14">
        <v>999</v>
      </c>
      <c r="U150" s="14" t="s">
        <v>214</v>
      </c>
      <c r="V150" s="14">
        <v>31342003</v>
      </c>
      <c r="X150" s="14" t="s">
        <v>204</v>
      </c>
      <c r="Y150" s="14" t="s">
        <v>215</v>
      </c>
      <c r="Z150" s="14">
        <v>20001</v>
      </c>
      <c r="AA150" s="14" t="s">
        <v>205</v>
      </c>
      <c r="AB150" s="14">
        <v>40001</v>
      </c>
      <c r="AE150" s="29" t="s">
        <v>121</v>
      </c>
      <c r="AF150" s="14" t="s">
        <v>213</v>
      </c>
      <c r="AG150" s="14" t="s">
        <v>86</v>
      </c>
    </row>
    <row r="151" spans="2:33">
      <c r="B151" s="14">
        <f>10000000+INDEX(编号表!$B:$B,MATCH(H151,编号表!$A:$A,0))*100000+INDEX(编号表!$F:$F,MATCH(D151,编号表!$E:$E,0))*10000+INDEX(编号表!$D:$D,MATCH(AG151,编号表!$C:$C,0))*1000+F151</f>
        <v>11342004</v>
      </c>
      <c r="C151" s="14" t="s">
        <v>309</v>
      </c>
      <c r="D151" s="14" t="s">
        <v>104</v>
      </c>
      <c r="E151" s="14" t="s">
        <v>86</v>
      </c>
      <c r="F151" s="14">
        <v>4</v>
      </c>
      <c r="G151" s="14">
        <v>60</v>
      </c>
      <c r="H151" s="31" t="s">
        <v>217</v>
      </c>
      <c r="I151" s="14" t="s">
        <v>75</v>
      </c>
      <c r="J151" s="14" t="s">
        <v>201</v>
      </c>
      <c r="K151" s="14">
        <v>1</v>
      </c>
      <c r="L151" s="14" t="s">
        <v>213</v>
      </c>
      <c r="N151" s="14">
        <v>0</v>
      </c>
      <c r="O151" s="14" t="b">
        <v>1</v>
      </c>
      <c r="Q151" s="14" t="b">
        <v>0</v>
      </c>
      <c r="R151" s="14">
        <v>1</v>
      </c>
      <c r="S151" s="14" t="s">
        <v>77</v>
      </c>
      <c r="T151" s="14">
        <v>999</v>
      </c>
      <c r="U151" s="14" t="s">
        <v>214</v>
      </c>
      <c r="V151" s="14">
        <v>31342004</v>
      </c>
      <c r="X151" s="14" t="s">
        <v>204</v>
      </c>
      <c r="Y151" s="14" t="s">
        <v>215</v>
      </c>
      <c r="Z151" s="14">
        <v>20001</v>
      </c>
      <c r="AA151" s="14" t="s">
        <v>205</v>
      </c>
      <c r="AB151" s="14">
        <v>40001</v>
      </c>
      <c r="AE151" s="29" t="s">
        <v>121</v>
      </c>
      <c r="AF151" s="14" t="s">
        <v>213</v>
      </c>
      <c r="AG151" s="14" t="s">
        <v>86</v>
      </c>
    </row>
    <row r="152" spans="2:33">
      <c r="B152" s="14">
        <f>10000000+INDEX(编号表!$B:$B,MATCH(H152,编号表!$A:$A,0))*100000+INDEX(编号表!$F:$F,MATCH(D152,编号表!$E:$E,0))*10000+INDEX(编号表!$D:$D,MATCH(AG152,编号表!$C:$C,0))*1000+F152</f>
        <v>11342005</v>
      </c>
      <c r="C152" s="14" t="s">
        <v>310</v>
      </c>
      <c r="D152" s="14" t="s">
        <v>104</v>
      </c>
      <c r="E152" s="14" t="s">
        <v>86</v>
      </c>
      <c r="F152" s="14">
        <v>5</v>
      </c>
      <c r="G152" s="14">
        <v>60</v>
      </c>
      <c r="H152" s="31" t="s">
        <v>217</v>
      </c>
      <c r="I152" s="14" t="s">
        <v>75</v>
      </c>
      <c r="J152" s="14" t="s">
        <v>201</v>
      </c>
      <c r="K152" s="14">
        <v>1</v>
      </c>
      <c r="L152" s="14" t="s">
        <v>213</v>
      </c>
      <c r="N152" s="14">
        <v>0</v>
      </c>
      <c r="O152" s="14" t="b">
        <v>1</v>
      </c>
      <c r="Q152" s="14" t="b">
        <v>0</v>
      </c>
      <c r="R152" s="14">
        <v>1</v>
      </c>
      <c r="S152" s="14" t="s">
        <v>77</v>
      </c>
      <c r="T152" s="14">
        <v>999</v>
      </c>
      <c r="U152" s="14" t="s">
        <v>214</v>
      </c>
      <c r="V152" s="14">
        <v>31342005</v>
      </c>
      <c r="X152" s="14" t="s">
        <v>204</v>
      </c>
      <c r="Y152" s="14" t="s">
        <v>215</v>
      </c>
      <c r="Z152" s="14">
        <v>20001</v>
      </c>
      <c r="AA152" s="14" t="s">
        <v>205</v>
      </c>
      <c r="AB152" s="14">
        <v>40001</v>
      </c>
      <c r="AE152" s="29" t="s">
        <v>121</v>
      </c>
      <c r="AF152" s="14" t="s">
        <v>213</v>
      </c>
      <c r="AG152" s="14" t="s">
        <v>86</v>
      </c>
    </row>
    <row r="153" spans="2:33">
      <c r="B153" s="14">
        <f>10000000+INDEX(编号表!$B:$B,MATCH(H153,编号表!$A:$A,0))*100000+INDEX(编号表!$F:$F,MATCH(D153,编号表!$E:$E,0))*10000+INDEX(编号表!$D:$D,MATCH(AG153,编号表!$C:$C,0))*1000+F153</f>
        <v>11342006</v>
      </c>
      <c r="C153" s="14" t="s">
        <v>311</v>
      </c>
      <c r="D153" s="14" t="s">
        <v>104</v>
      </c>
      <c r="E153" s="14" t="s">
        <v>86</v>
      </c>
      <c r="F153" s="14">
        <v>6</v>
      </c>
      <c r="G153" s="14">
        <v>60</v>
      </c>
      <c r="H153" s="31" t="s">
        <v>217</v>
      </c>
      <c r="I153" s="14" t="s">
        <v>75</v>
      </c>
      <c r="J153" s="14" t="s">
        <v>201</v>
      </c>
      <c r="K153" s="14">
        <v>1</v>
      </c>
      <c r="L153" s="14" t="s">
        <v>213</v>
      </c>
      <c r="N153" s="14">
        <v>0</v>
      </c>
      <c r="O153" s="14" t="b">
        <v>1</v>
      </c>
      <c r="Q153" s="14" t="b">
        <v>0</v>
      </c>
      <c r="R153" s="14">
        <v>1</v>
      </c>
      <c r="S153" s="14" t="s">
        <v>77</v>
      </c>
      <c r="T153" s="14">
        <v>999</v>
      </c>
      <c r="U153" s="14" t="s">
        <v>214</v>
      </c>
      <c r="V153" s="14">
        <v>31342006</v>
      </c>
      <c r="X153" s="14" t="s">
        <v>204</v>
      </c>
      <c r="Y153" s="14" t="s">
        <v>215</v>
      </c>
      <c r="Z153" s="14">
        <v>20001</v>
      </c>
      <c r="AA153" s="14" t="s">
        <v>205</v>
      </c>
      <c r="AB153" s="14">
        <v>40001</v>
      </c>
      <c r="AE153" s="29" t="s">
        <v>121</v>
      </c>
      <c r="AF153" s="14" t="s">
        <v>213</v>
      </c>
      <c r="AG153" s="14" t="s">
        <v>86</v>
      </c>
    </row>
    <row r="154" spans="2:33">
      <c r="B154" s="14">
        <f>10000000+INDEX(编号表!$B:$B,MATCH(H154,编号表!$A:$A,0))*100000+INDEX(编号表!$F:$F,MATCH(D154,编号表!$E:$E,0))*10000+INDEX(编号表!$D:$D,MATCH(AG154,编号表!$C:$C,0))*1000+F154</f>
        <v>11342007</v>
      </c>
      <c r="C154" s="14" t="s">
        <v>312</v>
      </c>
      <c r="D154" s="14" t="s">
        <v>104</v>
      </c>
      <c r="E154" s="14" t="s">
        <v>86</v>
      </c>
      <c r="F154" s="14">
        <v>7</v>
      </c>
      <c r="G154" s="14">
        <v>60</v>
      </c>
      <c r="H154" s="31" t="s">
        <v>217</v>
      </c>
      <c r="I154" s="14" t="s">
        <v>75</v>
      </c>
      <c r="J154" s="14" t="s">
        <v>201</v>
      </c>
      <c r="K154" s="14">
        <v>1</v>
      </c>
      <c r="L154" s="14" t="s">
        <v>213</v>
      </c>
      <c r="N154" s="14">
        <v>0</v>
      </c>
      <c r="O154" s="14" t="b">
        <v>1</v>
      </c>
      <c r="Q154" s="14" t="b">
        <v>0</v>
      </c>
      <c r="R154" s="14">
        <v>1</v>
      </c>
      <c r="S154" s="14" t="s">
        <v>77</v>
      </c>
      <c r="T154" s="14">
        <v>999</v>
      </c>
      <c r="U154" s="14" t="s">
        <v>214</v>
      </c>
      <c r="V154" s="14">
        <v>31342007</v>
      </c>
      <c r="X154" s="14" t="s">
        <v>204</v>
      </c>
      <c r="Y154" s="14" t="s">
        <v>215</v>
      </c>
      <c r="Z154" s="14">
        <v>20001</v>
      </c>
      <c r="AA154" s="14" t="s">
        <v>205</v>
      </c>
      <c r="AB154" s="14">
        <v>40001</v>
      </c>
      <c r="AE154" s="29" t="s">
        <v>121</v>
      </c>
      <c r="AF154" s="14" t="s">
        <v>213</v>
      </c>
      <c r="AG154" s="14" t="s">
        <v>86</v>
      </c>
    </row>
    <row r="155" spans="2:33">
      <c r="B155" s="14">
        <f>10000000+INDEX(编号表!$B:$B,MATCH(H155,编号表!$A:$A,0))*100000+INDEX(编号表!$F:$F,MATCH(D155,编号表!$E:$E,0))*10000+INDEX(编号表!$D:$D,MATCH(AG155,编号表!$C:$C,0))*1000+F155</f>
        <v>11342008</v>
      </c>
      <c r="C155" s="14" t="s">
        <v>313</v>
      </c>
      <c r="D155" s="14" t="s">
        <v>104</v>
      </c>
      <c r="E155" s="14" t="s">
        <v>86</v>
      </c>
      <c r="F155" s="14">
        <v>8</v>
      </c>
      <c r="G155" s="14">
        <v>60</v>
      </c>
      <c r="H155" s="31" t="s">
        <v>217</v>
      </c>
      <c r="I155" s="14" t="s">
        <v>75</v>
      </c>
      <c r="J155" s="14" t="s">
        <v>201</v>
      </c>
      <c r="K155" s="14">
        <v>1</v>
      </c>
      <c r="L155" s="14" t="s">
        <v>213</v>
      </c>
      <c r="N155" s="14">
        <v>0</v>
      </c>
      <c r="O155" s="14" t="b">
        <v>1</v>
      </c>
      <c r="Q155" s="14" t="b">
        <v>0</v>
      </c>
      <c r="R155" s="14">
        <v>1</v>
      </c>
      <c r="S155" s="14" t="s">
        <v>77</v>
      </c>
      <c r="T155" s="14">
        <v>999</v>
      </c>
      <c r="U155" s="14" t="s">
        <v>214</v>
      </c>
      <c r="V155" s="14">
        <v>31342008</v>
      </c>
      <c r="X155" s="14" t="s">
        <v>204</v>
      </c>
      <c r="Y155" s="14" t="s">
        <v>215</v>
      </c>
      <c r="Z155" s="14">
        <v>20001</v>
      </c>
      <c r="AA155" s="14" t="s">
        <v>205</v>
      </c>
      <c r="AB155" s="14">
        <v>40001</v>
      </c>
      <c r="AE155" s="29" t="s">
        <v>121</v>
      </c>
      <c r="AF155" s="14" t="s">
        <v>213</v>
      </c>
      <c r="AG155" s="14" t="s">
        <v>86</v>
      </c>
    </row>
    <row r="156" spans="2:33">
      <c r="B156" s="14">
        <f>10000000+INDEX(编号表!$B:$B,MATCH(H156,编号表!$A:$A,0))*100000+INDEX(编号表!$F:$F,MATCH(D156,编号表!$E:$E,0))*10000+INDEX(编号表!$D:$D,MATCH(AG156,编号表!$C:$C,0))*1000+F156</f>
        <v>11342009</v>
      </c>
      <c r="C156" s="14" t="s">
        <v>314</v>
      </c>
      <c r="D156" s="14" t="s">
        <v>104</v>
      </c>
      <c r="E156" s="14" t="s">
        <v>86</v>
      </c>
      <c r="F156" s="14">
        <v>9</v>
      </c>
      <c r="G156" s="14">
        <v>60</v>
      </c>
      <c r="H156" s="31" t="s">
        <v>217</v>
      </c>
      <c r="I156" s="14" t="s">
        <v>75</v>
      </c>
      <c r="J156" s="14" t="s">
        <v>201</v>
      </c>
      <c r="K156" s="14">
        <v>1</v>
      </c>
      <c r="L156" s="14" t="s">
        <v>213</v>
      </c>
      <c r="N156" s="14">
        <v>0</v>
      </c>
      <c r="O156" s="14" t="b">
        <v>1</v>
      </c>
      <c r="Q156" s="14" t="b">
        <v>0</v>
      </c>
      <c r="R156" s="14">
        <v>1</v>
      </c>
      <c r="S156" s="14" t="s">
        <v>77</v>
      </c>
      <c r="T156" s="14">
        <v>999</v>
      </c>
      <c r="U156" s="14" t="s">
        <v>214</v>
      </c>
      <c r="V156" s="14">
        <v>31342009</v>
      </c>
      <c r="X156" s="14" t="s">
        <v>204</v>
      </c>
      <c r="Y156" s="14" t="s">
        <v>215</v>
      </c>
      <c r="Z156" s="14">
        <v>20001</v>
      </c>
      <c r="AA156" s="14" t="s">
        <v>205</v>
      </c>
      <c r="AB156" s="14">
        <v>40001</v>
      </c>
      <c r="AE156" s="29" t="s">
        <v>121</v>
      </c>
      <c r="AF156" s="14" t="s">
        <v>213</v>
      </c>
      <c r="AG156" s="14" t="s">
        <v>86</v>
      </c>
    </row>
    <row r="157" spans="2:33">
      <c r="B157" s="14">
        <f>10000000+INDEX(编号表!$B:$B,MATCH(H157,编号表!$A:$A,0))*100000+INDEX(编号表!$F:$F,MATCH(D157,编号表!$E:$E,0))*10000+INDEX(编号表!$D:$D,MATCH(AG157,编号表!$C:$C,0))*1000+F157</f>
        <v>11542000</v>
      </c>
      <c r="C157" s="14" t="s">
        <v>315</v>
      </c>
      <c r="D157" s="14" t="s">
        <v>104</v>
      </c>
      <c r="E157" s="14" t="s">
        <v>86</v>
      </c>
      <c r="F157" s="14">
        <v>0</v>
      </c>
      <c r="G157" s="14">
        <v>60</v>
      </c>
      <c r="H157" s="31" t="s">
        <v>228</v>
      </c>
      <c r="I157" s="14" t="s">
        <v>75</v>
      </c>
      <c r="J157" s="14" t="s">
        <v>201</v>
      </c>
      <c r="K157" s="14">
        <v>1</v>
      </c>
      <c r="L157" s="14" t="s">
        <v>213</v>
      </c>
      <c r="N157" s="14">
        <v>0</v>
      </c>
      <c r="O157" s="14" t="b">
        <v>1</v>
      </c>
      <c r="Q157" s="14" t="b">
        <v>0</v>
      </c>
      <c r="R157" s="14">
        <v>1</v>
      </c>
      <c r="S157" s="14" t="s">
        <v>77</v>
      </c>
      <c r="T157" s="14">
        <v>999</v>
      </c>
      <c r="U157" s="14" t="s">
        <v>214</v>
      </c>
      <c r="V157" s="14">
        <v>31542000</v>
      </c>
      <c r="X157" s="14" t="s">
        <v>204</v>
      </c>
      <c r="Y157" s="14" t="s">
        <v>215</v>
      </c>
      <c r="Z157" s="14">
        <v>20001</v>
      </c>
      <c r="AA157" s="14" t="s">
        <v>205</v>
      </c>
      <c r="AB157" s="14">
        <v>40001</v>
      </c>
      <c r="AE157" s="29" t="s">
        <v>121</v>
      </c>
      <c r="AF157" s="14" t="s">
        <v>213</v>
      </c>
      <c r="AG157" s="14" t="s">
        <v>86</v>
      </c>
    </row>
    <row r="158" spans="2:33">
      <c r="B158" s="14">
        <f>10000000+INDEX(编号表!$B:$B,MATCH(H158,编号表!$A:$A,0))*100000+INDEX(编号表!$F:$F,MATCH(D158,编号表!$E:$E,0))*10000+INDEX(编号表!$D:$D,MATCH(AG158,编号表!$C:$C,0))*1000+F158</f>
        <v>11542001</v>
      </c>
      <c r="C158" s="14" t="s">
        <v>316</v>
      </c>
      <c r="D158" s="14" t="s">
        <v>104</v>
      </c>
      <c r="E158" s="14" t="s">
        <v>86</v>
      </c>
      <c r="F158" s="14">
        <v>1</v>
      </c>
      <c r="G158" s="14">
        <v>60</v>
      </c>
      <c r="H158" s="31" t="s">
        <v>228</v>
      </c>
      <c r="I158" s="14" t="s">
        <v>75</v>
      </c>
      <c r="J158" s="14" t="s">
        <v>201</v>
      </c>
      <c r="K158" s="14">
        <v>1</v>
      </c>
      <c r="L158" s="14" t="s">
        <v>213</v>
      </c>
      <c r="N158" s="14">
        <v>0</v>
      </c>
      <c r="O158" s="14" t="b">
        <v>1</v>
      </c>
      <c r="Q158" s="14" t="b">
        <v>0</v>
      </c>
      <c r="R158" s="14">
        <v>1</v>
      </c>
      <c r="S158" s="14" t="s">
        <v>77</v>
      </c>
      <c r="T158" s="14">
        <v>999</v>
      </c>
      <c r="U158" s="14" t="s">
        <v>214</v>
      </c>
      <c r="V158" s="14">
        <v>31542001</v>
      </c>
      <c r="X158" s="14" t="s">
        <v>204</v>
      </c>
      <c r="Y158" s="14" t="s">
        <v>215</v>
      </c>
      <c r="Z158" s="14">
        <v>20001</v>
      </c>
      <c r="AA158" s="14" t="s">
        <v>205</v>
      </c>
      <c r="AB158" s="14">
        <v>40001</v>
      </c>
      <c r="AE158" s="29" t="s">
        <v>121</v>
      </c>
      <c r="AF158" s="14" t="s">
        <v>213</v>
      </c>
      <c r="AG158" s="14" t="s">
        <v>86</v>
      </c>
    </row>
    <row r="159" spans="2:33">
      <c r="B159" s="14">
        <f>10000000+INDEX(编号表!$B:$B,MATCH(H159,编号表!$A:$A,0))*100000+INDEX(编号表!$F:$F,MATCH(D159,编号表!$E:$E,0))*10000+INDEX(编号表!$D:$D,MATCH(AG159,编号表!$C:$C,0))*1000+F159</f>
        <v>11542002</v>
      </c>
      <c r="C159" s="14" t="s">
        <v>317</v>
      </c>
      <c r="D159" s="14" t="s">
        <v>104</v>
      </c>
      <c r="E159" s="14" t="s">
        <v>86</v>
      </c>
      <c r="F159" s="14">
        <v>2</v>
      </c>
      <c r="G159" s="14">
        <v>60</v>
      </c>
      <c r="H159" s="31" t="s">
        <v>228</v>
      </c>
      <c r="I159" s="14" t="s">
        <v>75</v>
      </c>
      <c r="J159" s="14" t="s">
        <v>201</v>
      </c>
      <c r="K159" s="14">
        <v>1</v>
      </c>
      <c r="L159" s="14" t="s">
        <v>213</v>
      </c>
      <c r="N159" s="14">
        <v>0</v>
      </c>
      <c r="O159" s="14" t="b">
        <v>1</v>
      </c>
      <c r="Q159" s="14" t="b">
        <v>0</v>
      </c>
      <c r="R159" s="14">
        <v>1</v>
      </c>
      <c r="S159" s="14" t="s">
        <v>77</v>
      </c>
      <c r="T159" s="14">
        <v>999</v>
      </c>
      <c r="U159" s="14" t="s">
        <v>214</v>
      </c>
      <c r="V159" s="14">
        <v>31542002</v>
      </c>
      <c r="X159" s="14" t="s">
        <v>204</v>
      </c>
      <c r="Y159" s="14" t="s">
        <v>215</v>
      </c>
      <c r="Z159" s="14">
        <v>20001</v>
      </c>
      <c r="AA159" s="14" t="s">
        <v>205</v>
      </c>
      <c r="AB159" s="14">
        <v>40001</v>
      </c>
      <c r="AE159" s="29" t="s">
        <v>121</v>
      </c>
      <c r="AF159" s="14" t="s">
        <v>213</v>
      </c>
      <c r="AG159" s="14" t="s">
        <v>86</v>
      </c>
    </row>
    <row r="160" spans="2:33">
      <c r="B160" s="14">
        <f>10000000+INDEX(编号表!$B:$B,MATCH(H160,编号表!$A:$A,0))*100000+INDEX(编号表!$F:$F,MATCH(D160,编号表!$E:$E,0))*10000+INDEX(编号表!$D:$D,MATCH(AG160,编号表!$C:$C,0))*1000+F160</f>
        <v>11542003</v>
      </c>
      <c r="C160" s="14" t="s">
        <v>318</v>
      </c>
      <c r="D160" s="14" t="s">
        <v>104</v>
      </c>
      <c r="E160" s="14" t="s">
        <v>86</v>
      </c>
      <c r="F160" s="14">
        <v>3</v>
      </c>
      <c r="G160" s="14">
        <v>60</v>
      </c>
      <c r="H160" s="31" t="s">
        <v>228</v>
      </c>
      <c r="I160" s="14" t="s">
        <v>75</v>
      </c>
      <c r="J160" s="14" t="s">
        <v>201</v>
      </c>
      <c r="K160" s="14">
        <v>1</v>
      </c>
      <c r="L160" s="14" t="s">
        <v>213</v>
      </c>
      <c r="N160" s="14">
        <v>0</v>
      </c>
      <c r="O160" s="14" t="b">
        <v>1</v>
      </c>
      <c r="Q160" s="14" t="b">
        <v>0</v>
      </c>
      <c r="R160" s="14">
        <v>1</v>
      </c>
      <c r="S160" s="14" t="s">
        <v>77</v>
      </c>
      <c r="T160" s="14">
        <v>999</v>
      </c>
      <c r="U160" s="14" t="s">
        <v>214</v>
      </c>
      <c r="V160" s="14">
        <v>31542003</v>
      </c>
      <c r="X160" s="14" t="s">
        <v>204</v>
      </c>
      <c r="Y160" s="14" t="s">
        <v>215</v>
      </c>
      <c r="Z160" s="14">
        <v>20001</v>
      </c>
      <c r="AA160" s="14" t="s">
        <v>205</v>
      </c>
      <c r="AB160" s="14">
        <v>40001</v>
      </c>
      <c r="AE160" s="29" t="s">
        <v>121</v>
      </c>
      <c r="AF160" s="14" t="s">
        <v>213</v>
      </c>
      <c r="AG160" s="14" t="s">
        <v>86</v>
      </c>
    </row>
    <row r="161" spans="2:33">
      <c r="B161" s="14">
        <f>10000000+INDEX(编号表!$B:$B,MATCH(H161,编号表!$A:$A,0))*100000+INDEX(编号表!$F:$F,MATCH(D161,编号表!$E:$E,0))*10000+INDEX(编号表!$D:$D,MATCH(AG161,编号表!$C:$C,0))*1000+F161</f>
        <v>11542004</v>
      </c>
      <c r="C161" s="14" t="s">
        <v>319</v>
      </c>
      <c r="D161" s="14" t="s">
        <v>104</v>
      </c>
      <c r="E161" s="14" t="s">
        <v>86</v>
      </c>
      <c r="F161" s="14">
        <v>4</v>
      </c>
      <c r="G161" s="14">
        <v>60</v>
      </c>
      <c r="H161" s="31" t="s">
        <v>228</v>
      </c>
      <c r="I161" s="14" t="s">
        <v>75</v>
      </c>
      <c r="J161" s="14" t="s">
        <v>201</v>
      </c>
      <c r="K161" s="14">
        <v>1</v>
      </c>
      <c r="L161" s="14" t="s">
        <v>213</v>
      </c>
      <c r="N161" s="14">
        <v>0</v>
      </c>
      <c r="O161" s="14" t="b">
        <v>1</v>
      </c>
      <c r="Q161" s="14" t="b">
        <v>0</v>
      </c>
      <c r="R161" s="14">
        <v>1</v>
      </c>
      <c r="S161" s="14" t="s">
        <v>77</v>
      </c>
      <c r="T161" s="14">
        <v>999</v>
      </c>
      <c r="U161" s="14" t="s">
        <v>214</v>
      </c>
      <c r="V161" s="14">
        <v>31542004</v>
      </c>
      <c r="X161" s="14" t="s">
        <v>204</v>
      </c>
      <c r="Y161" s="14" t="s">
        <v>215</v>
      </c>
      <c r="Z161" s="14">
        <v>20001</v>
      </c>
      <c r="AA161" s="14" t="s">
        <v>205</v>
      </c>
      <c r="AB161" s="14">
        <v>40001</v>
      </c>
      <c r="AE161" s="29" t="s">
        <v>121</v>
      </c>
      <c r="AF161" s="14" t="s">
        <v>213</v>
      </c>
      <c r="AG161" s="14" t="s">
        <v>86</v>
      </c>
    </row>
    <row r="162" spans="2:33">
      <c r="B162" s="14">
        <f>10000000+INDEX(编号表!$B:$B,MATCH(H162,编号表!$A:$A,0))*100000+INDEX(编号表!$F:$F,MATCH(D162,编号表!$E:$E,0))*10000+INDEX(编号表!$D:$D,MATCH(AG162,编号表!$C:$C,0))*1000+F162</f>
        <v>11542005</v>
      </c>
      <c r="C162" s="14" t="s">
        <v>320</v>
      </c>
      <c r="D162" s="14" t="s">
        <v>104</v>
      </c>
      <c r="E162" s="14" t="s">
        <v>86</v>
      </c>
      <c r="F162" s="14">
        <v>5</v>
      </c>
      <c r="G162" s="14">
        <v>60</v>
      </c>
      <c r="H162" s="31" t="s">
        <v>228</v>
      </c>
      <c r="I162" s="14" t="s">
        <v>75</v>
      </c>
      <c r="J162" s="14" t="s">
        <v>201</v>
      </c>
      <c r="K162" s="14">
        <v>1</v>
      </c>
      <c r="L162" s="14" t="s">
        <v>213</v>
      </c>
      <c r="N162" s="14">
        <v>0</v>
      </c>
      <c r="O162" s="14" t="b">
        <v>1</v>
      </c>
      <c r="Q162" s="14" t="b">
        <v>0</v>
      </c>
      <c r="R162" s="14">
        <v>1</v>
      </c>
      <c r="S162" s="14" t="s">
        <v>77</v>
      </c>
      <c r="T162" s="14">
        <v>999</v>
      </c>
      <c r="U162" s="14" t="s">
        <v>214</v>
      </c>
      <c r="V162" s="14">
        <v>31542005</v>
      </c>
      <c r="X162" s="14" t="s">
        <v>204</v>
      </c>
      <c r="Y162" s="14" t="s">
        <v>215</v>
      </c>
      <c r="Z162" s="14">
        <v>20001</v>
      </c>
      <c r="AA162" s="14" t="s">
        <v>205</v>
      </c>
      <c r="AB162" s="14">
        <v>40001</v>
      </c>
      <c r="AE162" s="29" t="s">
        <v>121</v>
      </c>
      <c r="AF162" s="14" t="s">
        <v>213</v>
      </c>
      <c r="AG162" s="14" t="s">
        <v>86</v>
      </c>
    </row>
    <row r="163" spans="2:33">
      <c r="B163" s="14">
        <f>10000000+INDEX(编号表!$B:$B,MATCH(H163,编号表!$A:$A,0))*100000+INDEX(编号表!$F:$F,MATCH(D163,编号表!$E:$E,0))*10000+INDEX(编号表!$D:$D,MATCH(AG163,编号表!$C:$C,0))*1000+F163</f>
        <v>11542006</v>
      </c>
      <c r="C163" s="14" t="s">
        <v>321</v>
      </c>
      <c r="D163" s="14" t="s">
        <v>104</v>
      </c>
      <c r="E163" s="14" t="s">
        <v>86</v>
      </c>
      <c r="F163" s="14">
        <v>6</v>
      </c>
      <c r="G163" s="14">
        <v>60</v>
      </c>
      <c r="H163" s="31" t="s">
        <v>228</v>
      </c>
      <c r="I163" s="14" t="s">
        <v>75</v>
      </c>
      <c r="J163" s="14" t="s">
        <v>201</v>
      </c>
      <c r="K163" s="14">
        <v>1</v>
      </c>
      <c r="L163" s="14" t="s">
        <v>213</v>
      </c>
      <c r="N163" s="14">
        <v>0</v>
      </c>
      <c r="O163" s="14" t="b">
        <v>1</v>
      </c>
      <c r="Q163" s="14" t="b">
        <v>0</v>
      </c>
      <c r="R163" s="14">
        <v>1</v>
      </c>
      <c r="S163" s="14" t="s">
        <v>77</v>
      </c>
      <c r="T163" s="14">
        <v>999</v>
      </c>
      <c r="U163" s="14" t="s">
        <v>214</v>
      </c>
      <c r="V163" s="14">
        <v>31542006</v>
      </c>
      <c r="X163" s="14" t="s">
        <v>204</v>
      </c>
      <c r="Y163" s="14" t="s">
        <v>215</v>
      </c>
      <c r="Z163" s="14">
        <v>20001</v>
      </c>
      <c r="AA163" s="14" t="s">
        <v>205</v>
      </c>
      <c r="AB163" s="14">
        <v>40001</v>
      </c>
      <c r="AE163" s="29" t="s">
        <v>121</v>
      </c>
      <c r="AF163" s="14" t="s">
        <v>213</v>
      </c>
      <c r="AG163" s="14" t="s">
        <v>86</v>
      </c>
    </row>
    <row r="164" spans="2:33">
      <c r="B164" s="14">
        <f>10000000+INDEX(编号表!$B:$B,MATCH(H164,编号表!$A:$A,0))*100000+INDEX(编号表!$F:$F,MATCH(D164,编号表!$E:$E,0))*10000+INDEX(编号表!$D:$D,MATCH(AG164,编号表!$C:$C,0))*1000+F164</f>
        <v>11542007</v>
      </c>
      <c r="C164" s="14" t="s">
        <v>322</v>
      </c>
      <c r="D164" s="14" t="s">
        <v>104</v>
      </c>
      <c r="E164" s="14" t="s">
        <v>86</v>
      </c>
      <c r="F164" s="14">
        <v>7</v>
      </c>
      <c r="G164" s="14">
        <v>60</v>
      </c>
      <c r="H164" s="31" t="s">
        <v>228</v>
      </c>
      <c r="I164" s="14" t="s">
        <v>75</v>
      </c>
      <c r="J164" s="14" t="s">
        <v>201</v>
      </c>
      <c r="K164" s="14">
        <v>1</v>
      </c>
      <c r="L164" s="14" t="s">
        <v>213</v>
      </c>
      <c r="N164" s="14">
        <v>0</v>
      </c>
      <c r="O164" s="14" t="b">
        <v>1</v>
      </c>
      <c r="Q164" s="14" t="b">
        <v>0</v>
      </c>
      <c r="R164" s="14">
        <v>1</v>
      </c>
      <c r="S164" s="14" t="s">
        <v>77</v>
      </c>
      <c r="T164" s="14">
        <v>999</v>
      </c>
      <c r="U164" s="14" t="s">
        <v>214</v>
      </c>
      <c r="V164" s="14">
        <v>31542007</v>
      </c>
      <c r="X164" s="14" t="s">
        <v>204</v>
      </c>
      <c r="Y164" s="14" t="s">
        <v>215</v>
      </c>
      <c r="Z164" s="14">
        <v>20001</v>
      </c>
      <c r="AA164" s="14" t="s">
        <v>205</v>
      </c>
      <c r="AB164" s="14">
        <v>40001</v>
      </c>
      <c r="AE164" s="29" t="s">
        <v>121</v>
      </c>
      <c r="AF164" s="14" t="s">
        <v>213</v>
      </c>
      <c r="AG164" s="14" t="s">
        <v>86</v>
      </c>
    </row>
    <row r="165" spans="2:33">
      <c r="B165" s="14">
        <f>10000000+INDEX(编号表!$B:$B,MATCH(H165,编号表!$A:$A,0))*100000+INDEX(编号表!$F:$F,MATCH(D165,编号表!$E:$E,0))*10000+INDEX(编号表!$D:$D,MATCH(AG165,编号表!$C:$C,0))*1000+F165</f>
        <v>11542008</v>
      </c>
      <c r="C165" s="14" t="s">
        <v>323</v>
      </c>
      <c r="D165" s="14" t="s">
        <v>104</v>
      </c>
      <c r="E165" s="14" t="s">
        <v>86</v>
      </c>
      <c r="F165" s="14">
        <v>8</v>
      </c>
      <c r="G165" s="14">
        <v>60</v>
      </c>
      <c r="H165" s="31" t="s">
        <v>228</v>
      </c>
      <c r="I165" s="14" t="s">
        <v>75</v>
      </c>
      <c r="J165" s="14" t="s">
        <v>201</v>
      </c>
      <c r="K165" s="14">
        <v>1</v>
      </c>
      <c r="L165" s="14" t="s">
        <v>213</v>
      </c>
      <c r="N165" s="14">
        <v>0</v>
      </c>
      <c r="O165" s="14" t="b">
        <v>1</v>
      </c>
      <c r="Q165" s="14" t="b">
        <v>0</v>
      </c>
      <c r="R165" s="14">
        <v>1</v>
      </c>
      <c r="S165" s="14" t="s">
        <v>77</v>
      </c>
      <c r="T165" s="14">
        <v>999</v>
      </c>
      <c r="U165" s="14" t="s">
        <v>214</v>
      </c>
      <c r="V165" s="14">
        <v>31542008</v>
      </c>
      <c r="X165" s="14" t="s">
        <v>204</v>
      </c>
      <c r="Y165" s="14" t="s">
        <v>215</v>
      </c>
      <c r="Z165" s="14">
        <v>20001</v>
      </c>
      <c r="AA165" s="14" t="s">
        <v>205</v>
      </c>
      <c r="AB165" s="14">
        <v>40001</v>
      </c>
      <c r="AE165" s="29" t="s">
        <v>121</v>
      </c>
      <c r="AF165" s="14" t="s">
        <v>213</v>
      </c>
      <c r="AG165" s="14" t="s">
        <v>86</v>
      </c>
    </row>
    <row r="166" spans="2:33">
      <c r="B166" s="14">
        <f>10000000+INDEX(编号表!$B:$B,MATCH(H166,编号表!$A:$A,0))*100000+INDEX(编号表!$F:$F,MATCH(D166,编号表!$E:$E,0))*10000+INDEX(编号表!$D:$D,MATCH(AG166,编号表!$C:$C,0))*1000+F166</f>
        <v>11542009</v>
      </c>
      <c r="C166" s="14" t="s">
        <v>324</v>
      </c>
      <c r="D166" s="14" t="s">
        <v>104</v>
      </c>
      <c r="E166" s="14" t="s">
        <v>86</v>
      </c>
      <c r="F166" s="14">
        <v>9</v>
      </c>
      <c r="G166" s="14">
        <v>60</v>
      </c>
      <c r="H166" s="31" t="s">
        <v>228</v>
      </c>
      <c r="I166" s="14" t="s">
        <v>75</v>
      </c>
      <c r="J166" s="14" t="s">
        <v>201</v>
      </c>
      <c r="K166" s="14">
        <v>1</v>
      </c>
      <c r="L166" s="14" t="s">
        <v>213</v>
      </c>
      <c r="N166" s="14">
        <v>0</v>
      </c>
      <c r="O166" s="14" t="b">
        <v>1</v>
      </c>
      <c r="Q166" s="14" t="b">
        <v>0</v>
      </c>
      <c r="R166" s="14">
        <v>1</v>
      </c>
      <c r="S166" s="14" t="s">
        <v>77</v>
      </c>
      <c r="T166" s="14">
        <v>999</v>
      </c>
      <c r="U166" s="14" t="s">
        <v>214</v>
      </c>
      <c r="V166" s="14">
        <v>31542009</v>
      </c>
      <c r="X166" s="14" t="s">
        <v>204</v>
      </c>
      <c r="Y166" s="14" t="s">
        <v>215</v>
      </c>
      <c r="Z166" s="14">
        <v>20001</v>
      </c>
      <c r="AA166" s="14" t="s">
        <v>205</v>
      </c>
      <c r="AB166" s="14">
        <v>40001</v>
      </c>
      <c r="AE166" s="29" t="s">
        <v>121</v>
      </c>
      <c r="AF166" s="14" t="s">
        <v>213</v>
      </c>
      <c r="AG166" s="14" t="s">
        <v>86</v>
      </c>
    </row>
    <row r="167" spans="2:33">
      <c r="B167" s="14">
        <f>10000000+INDEX(编号表!$B:$B,MATCH(H167,编号表!$A:$A,0))*100000+INDEX(编号表!$F:$F,MATCH(D167,编号表!$E:$E,0))*10000+INDEX(编号表!$D:$D,MATCH(AG167,编号表!$C:$C,0))*1000+F167</f>
        <v>11442000</v>
      </c>
      <c r="C167" s="14" t="s">
        <v>325</v>
      </c>
      <c r="D167" s="14" t="s">
        <v>104</v>
      </c>
      <c r="E167" s="14" t="s">
        <v>86</v>
      </c>
      <c r="F167" s="14">
        <v>0</v>
      </c>
      <c r="G167" s="14">
        <v>60</v>
      </c>
      <c r="H167" s="31" t="s">
        <v>239</v>
      </c>
      <c r="I167" s="14" t="s">
        <v>75</v>
      </c>
      <c r="J167" s="14" t="s">
        <v>201</v>
      </c>
      <c r="K167" s="14">
        <v>1</v>
      </c>
      <c r="L167" s="14" t="s">
        <v>213</v>
      </c>
      <c r="N167" s="14">
        <v>0</v>
      </c>
      <c r="O167" s="14" t="b">
        <v>1</v>
      </c>
      <c r="Q167" s="14" t="b">
        <v>0</v>
      </c>
      <c r="R167" s="14">
        <v>1</v>
      </c>
      <c r="S167" s="14" t="s">
        <v>77</v>
      </c>
      <c r="T167" s="14">
        <v>999</v>
      </c>
      <c r="U167" s="14" t="s">
        <v>214</v>
      </c>
      <c r="V167" s="14">
        <v>31442000</v>
      </c>
      <c r="X167" s="14" t="s">
        <v>204</v>
      </c>
      <c r="Y167" s="14" t="s">
        <v>215</v>
      </c>
      <c r="Z167" s="14">
        <v>20001</v>
      </c>
      <c r="AA167" s="14" t="s">
        <v>205</v>
      </c>
      <c r="AB167" s="14">
        <v>40001</v>
      </c>
      <c r="AE167" s="29" t="s">
        <v>121</v>
      </c>
      <c r="AF167" s="14" t="s">
        <v>213</v>
      </c>
      <c r="AG167" s="14" t="s">
        <v>86</v>
      </c>
    </row>
    <row r="168" spans="2:33">
      <c r="B168" s="14">
        <f>10000000+INDEX(编号表!$B:$B,MATCH(H168,编号表!$A:$A,0))*100000+INDEX(编号表!$F:$F,MATCH(D168,编号表!$E:$E,0))*10000+INDEX(编号表!$D:$D,MATCH(AG168,编号表!$C:$C,0))*1000+F168</f>
        <v>11442001</v>
      </c>
      <c r="C168" s="14" t="s">
        <v>326</v>
      </c>
      <c r="D168" s="14" t="s">
        <v>104</v>
      </c>
      <c r="E168" s="14" t="s">
        <v>86</v>
      </c>
      <c r="F168" s="14">
        <v>1</v>
      </c>
      <c r="G168" s="14">
        <v>60</v>
      </c>
      <c r="H168" s="31" t="s">
        <v>239</v>
      </c>
      <c r="I168" s="14" t="s">
        <v>75</v>
      </c>
      <c r="J168" s="14" t="s">
        <v>201</v>
      </c>
      <c r="K168" s="14">
        <v>1</v>
      </c>
      <c r="L168" s="14" t="s">
        <v>213</v>
      </c>
      <c r="N168" s="14">
        <v>0</v>
      </c>
      <c r="O168" s="14" t="b">
        <v>1</v>
      </c>
      <c r="Q168" s="14" t="b">
        <v>0</v>
      </c>
      <c r="R168" s="14">
        <v>1</v>
      </c>
      <c r="S168" s="14" t="s">
        <v>77</v>
      </c>
      <c r="T168" s="14">
        <v>999</v>
      </c>
      <c r="U168" s="14" t="s">
        <v>214</v>
      </c>
      <c r="V168" s="14">
        <v>31442001</v>
      </c>
      <c r="X168" s="14" t="s">
        <v>204</v>
      </c>
      <c r="Y168" s="14" t="s">
        <v>215</v>
      </c>
      <c r="Z168" s="14">
        <v>20001</v>
      </c>
      <c r="AA168" s="14" t="s">
        <v>205</v>
      </c>
      <c r="AB168" s="14">
        <v>40001</v>
      </c>
      <c r="AE168" s="29" t="s">
        <v>121</v>
      </c>
      <c r="AF168" s="14" t="s">
        <v>213</v>
      </c>
      <c r="AG168" s="14" t="s">
        <v>86</v>
      </c>
    </row>
    <row r="169" spans="2:33">
      <c r="B169" s="14">
        <f>10000000+INDEX(编号表!$B:$B,MATCH(H169,编号表!$A:$A,0))*100000+INDEX(编号表!$F:$F,MATCH(D169,编号表!$E:$E,0))*10000+INDEX(编号表!$D:$D,MATCH(AG169,编号表!$C:$C,0))*1000+F169</f>
        <v>11442002</v>
      </c>
      <c r="C169" s="14" t="s">
        <v>327</v>
      </c>
      <c r="D169" s="14" t="s">
        <v>104</v>
      </c>
      <c r="E169" s="14" t="s">
        <v>86</v>
      </c>
      <c r="F169" s="14">
        <v>2</v>
      </c>
      <c r="G169" s="14">
        <v>60</v>
      </c>
      <c r="H169" s="31" t="s">
        <v>239</v>
      </c>
      <c r="I169" s="14" t="s">
        <v>75</v>
      </c>
      <c r="J169" s="14" t="s">
        <v>201</v>
      </c>
      <c r="K169" s="14">
        <v>1</v>
      </c>
      <c r="L169" s="14" t="s">
        <v>213</v>
      </c>
      <c r="N169" s="14">
        <v>0</v>
      </c>
      <c r="O169" s="14" t="b">
        <v>1</v>
      </c>
      <c r="Q169" s="14" t="b">
        <v>0</v>
      </c>
      <c r="R169" s="14">
        <v>1</v>
      </c>
      <c r="S169" s="14" t="s">
        <v>77</v>
      </c>
      <c r="T169" s="14">
        <v>999</v>
      </c>
      <c r="U169" s="14" t="s">
        <v>214</v>
      </c>
      <c r="V169" s="14">
        <v>31442002</v>
      </c>
      <c r="X169" s="14" t="s">
        <v>204</v>
      </c>
      <c r="Y169" s="14" t="s">
        <v>215</v>
      </c>
      <c r="Z169" s="14">
        <v>20001</v>
      </c>
      <c r="AA169" s="14" t="s">
        <v>205</v>
      </c>
      <c r="AB169" s="14">
        <v>40001</v>
      </c>
      <c r="AE169" s="29" t="s">
        <v>121</v>
      </c>
      <c r="AF169" s="14" t="s">
        <v>213</v>
      </c>
      <c r="AG169" s="14" t="s">
        <v>86</v>
      </c>
    </row>
    <row r="170" spans="2:33">
      <c r="B170" s="14">
        <f>10000000+INDEX(编号表!$B:$B,MATCH(H170,编号表!$A:$A,0))*100000+INDEX(编号表!$F:$F,MATCH(D170,编号表!$E:$E,0))*10000+INDEX(编号表!$D:$D,MATCH(AG170,编号表!$C:$C,0))*1000+F170</f>
        <v>11442003</v>
      </c>
      <c r="C170" s="14" t="s">
        <v>328</v>
      </c>
      <c r="D170" s="14" t="s">
        <v>104</v>
      </c>
      <c r="E170" s="14" t="s">
        <v>86</v>
      </c>
      <c r="F170" s="14">
        <v>3</v>
      </c>
      <c r="G170" s="14">
        <v>60</v>
      </c>
      <c r="H170" s="31" t="s">
        <v>239</v>
      </c>
      <c r="I170" s="14" t="s">
        <v>75</v>
      </c>
      <c r="J170" s="14" t="s">
        <v>201</v>
      </c>
      <c r="K170" s="14">
        <v>1</v>
      </c>
      <c r="L170" s="14" t="s">
        <v>213</v>
      </c>
      <c r="N170" s="14">
        <v>0</v>
      </c>
      <c r="O170" s="14" t="b">
        <v>1</v>
      </c>
      <c r="Q170" s="14" t="b">
        <v>0</v>
      </c>
      <c r="R170" s="14">
        <v>1</v>
      </c>
      <c r="S170" s="14" t="s">
        <v>77</v>
      </c>
      <c r="T170" s="14">
        <v>999</v>
      </c>
      <c r="U170" s="14" t="s">
        <v>214</v>
      </c>
      <c r="V170" s="14">
        <v>31442003</v>
      </c>
      <c r="X170" s="14" t="s">
        <v>204</v>
      </c>
      <c r="Y170" s="14" t="s">
        <v>215</v>
      </c>
      <c r="Z170" s="14">
        <v>20001</v>
      </c>
      <c r="AA170" s="14" t="s">
        <v>205</v>
      </c>
      <c r="AB170" s="14">
        <v>40001</v>
      </c>
      <c r="AE170" s="29" t="s">
        <v>121</v>
      </c>
      <c r="AF170" s="14" t="s">
        <v>213</v>
      </c>
      <c r="AG170" s="14" t="s">
        <v>86</v>
      </c>
    </row>
    <row r="171" spans="2:33">
      <c r="B171" s="14">
        <f>10000000+INDEX(编号表!$B:$B,MATCH(H171,编号表!$A:$A,0))*100000+INDEX(编号表!$F:$F,MATCH(D171,编号表!$E:$E,0))*10000+INDEX(编号表!$D:$D,MATCH(AG171,编号表!$C:$C,0))*1000+F171</f>
        <v>11642000</v>
      </c>
      <c r="C171" s="14" t="s">
        <v>329</v>
      </c>
      <c r="D171" s="14" t="s">
        <v>104</v>
      </c>
      <c r="E171" s="14" t="s">
        <v>86</v>
      </c>
      <c r="F171" s="14">
        <v>0</v>
      </c>
      <c r="G171" s="14">
        <v>60</v>
      </c>
      <c r="H171" s="31" t="s">
        <v>244</v>
      </c>
      <c r="I171" s="14" t="s">
        <v>75</v>
      </c>
      <c r="J171" s="14" t="s">
        <v>201</v>
      </c>
      <c r="K171" s="14">
        <v>1</v>
      </c>
      <c r="L171" s="14" t="s">
        <v>213</v>
      </c>
      <c r="N171" s="14">
        <v>0</v>
      </c>
      <c r="O171" s="14" t="b">
        <v>1</v>
      </c>
      <c r="Q171" s="14" t="b">
        <v>0</v>
      </c>
      <c r="R171" s="14">
        <v>1</v>
      </c>
      <c r="S171" s="14" t="s">
        <v>77</v>
      </c>
      <c r="T171" s="14">
        <v>999</v>
      </c>
      <c r="U171" s="14" t="s">
        <v>214</v>
      </c>
      <c r="V171" s="14">
        <v>31642000</v>
      </c>
      <c r="X171" s="14" t="s">
        <v>204</v>
      </c>
      <c r="Y171" s="14" t="s">
        <v>215</v>
      </c>
      <c r="Z171" s="14">
        <v>20001</v>
      </c>
      <c r="AA171" s="14" t="s">
        <v>205</v>
      </c>
      <c r="AB171" s="14">
        <v>40001</v>
      </c>
      <c r="AE171" s="29" t="s">
        <v>121</v>
      </c>
      <c r="AF171" s="14" t="s">
        <v>213</v>
      </c>
      <c r="AG171" s="14" t="s">
        <v>86</v>
      </c>
    </row>
    <row r="172" spans="2:33">
      <c r="B172" s="14">
        <f>10000000+INDEX(编号表!$B:$B,MATCH(H172,编号表!$A:$A,0))*100000+INDEX(编号表!$F:$F,MATCH(D172,编号表!$E:$E,0))*10000+INDEX(编号表!$D:$D,MATCH(AG172,编号表!$C:$C,0))*1000+F172</f>
        <v>11642001</v>
      </c>
      <c r="C172" s="14" t="s">
        <v>330</v>
      </c>
      <c r="D172" s="14" t="s">
        <v>104</v>
      </c>
      <c r="E172" s="14" t="s">
        <v>86</v>
      </c>
      <c r="F172" s="14">
        <v>1</v>
      </c>
      <c r="G172" s="14">
        <v>60</v>
      </c>
      <c r="H172" s="31" t="s">
        <v>244</v>
      </c>
      <c r="I172" s="14" t="s">
        <v>75</v>
      </c>
      <c r="J172" s="14" t="s">
        <v>201</v>
      </c>
      <c r="K172" s="14">
        <v>1</v>
      </c>
      <c r="L172" s="14" t="s">
        <v>213</v>
      </c>
      <c r="N172" s="14">
        <v>0</v>
      </c>
      <c r="O172" s="14" t="b">
        <v>1</v>
      </c>
      <c r="Q172" s="14" t="b">
        <v>0</v>
      </c>
      <c r="R172" s="14">
        <v>1</v>
      </c>
      <c r="S172" s="14" t="s">
        <v>77</v>
      </c>
      <c r="T172" s="14">
        <v>999</v>
      </c>
      <c r="U172" s="14" t="s">
        <v>214</v>
      </c>
      <c r="V172" s="14">
        <v>31642001</v>
      </c>
      <c r="X172" s="14" t="s">
        <v>204</v>
      </c>
      <c r="Y172" s="14" t="s">
        <v>215</v>
      </c>
      <c r="Z172" s="14">
        <v>20001</v>
      </c>
      <c r="AA172" s="14" t="s">
        <v>205</v>
      </c>
      <c r="AB172" s="14">
        <v>40001</v>
      </c>
      <c r="AE172" s="29" t="s">
        <v>121</v>
      </c>
      <c r="AF172" s="14" t="s">
        <v>213</v>
      </c>
      <c r="AG172" s="14" t="s">
        <v>86</v>
      </c>
    </row>
    <row r="173" spans="2:33">
      <c r="B173" s="14">
        <f>10000000+INDEX(编号表!$B:$B,MATCH(H173,编号表!$A:$A,0))*100000+INDEX(编号表!$F:$F,MATCH(D173,编号表!$E:$E,0))*10000+INDEX(编号表!$D:$D,MATCH(AG173,编号表!$C:$C,0))*1000+F173</f>
        <v>11642002</v>
      </c>
      <c r="C173" s="14" t="s">
        <v>331</v>
      </c>
      <c r="D173" s="14" t="s">
        <v>104</v>
      </c>
      <c r="E173" s="14" t="s">
        <v>86</v>
      </c>
      <c r="F173" s="14">
        <v>2</v>
      </c>
      <c r="G173" s="14">
        <v>60</v>
      </c>
      <c r="H173" s="31" t="s">
        <v>244</v>
      </c>
      <c r="I173" s="14" t="s">
        <v>75</v>
      </c>
      <c r="J173" s="14" t="s">
        <v>201</v>
      </c>
      <c r="K173" s="14">
        <v>1</v>
      </c>
      <c r="L173" s="14" t="s">
        <v>213</v>
      </c>
      <c r="N173" s="14">
        <v>0</v>
      </c>
      <c r="O173" s="14" t="b">
        <v>1</v>
      </c>
      <c r="Q173" s="14" t="b">
        <v>0</v>
      </c>
      <c r="R173" s="14">
        <v>1</v>
      </c>
      <c r="S173" s="14" t="s">
        <v>77</v>
      </c>
      <c r="T173" s="14">
        <v>999</v>
      </c>
      <c r="U173" s="14" t="s">
        <v>214</v>
      </c>
      <c r="V173" s="14">
        <v>31642002</v>
      </c>
      <c r="X173" s="14" t="s">
        <v>204</v>
      </c>
      <c r="Y173" s="14" t="s">
        <v>215</v>
      </c>
      <c r="Z173" s="14">
        <v>20001</v>
      </c>
      <c r="AA173" s="14" t="s">
        <v>205</v>
      </c>
      <c r="AB173" s="14">
        <v>40001</v>
      </c>
      <c r="AE173" s="29" t="s">
        <v>121</v>
      </c>
      <c r="AF173" s="14" t="s">
        <v>213</v>
      </c>
      <c r="AG173" s="14" t="s">
        <v>86</v>
      </c>
    </row>
    <row r="174" spans="2:33">
      <c r="B174" s="14">
        <f>10000000+INDEX(编号表!$B:$B,MATCH(H174,编号表!$A:$A,0))*100000+INDEX(编号表!$F:$F,MATCH(D174,编号表!$E:$E,0))*10000+INDEX(编号表!$D:$D,MATCH(AG174,编号表!$C:$C,0))*1000+F174</f>
        <v>11252000</v>
      </c>
      <c r="C174" s="14" t="s">
        <v>332</v>
      </c>
      <c r="D174" s="14" t="s">
        <v>333</v>
      </c>
      <c r="E174" s="14" t="s">
        <v>86</v>
      </c>
      <c r="F174" s="14">
        <v>0</v>
      </c>
      <c r="G174" s="14">
        <v>60</v>
      </c>
      <c r="H174" s="31" t="s">
        <v>212</v>
      </c>
      <c r="I174" s="14" t="s">
        <v>75</v>
      </c>
      <c r="J174" s="14" t="s">
        <v>201</v>
      </c>
      <c r="K174" s="14">
        <v>1</v>
      </c>
      <c r="L174" s="14" t="s">
        <v>213</v>
      </c>
      <c r="N174" s="14">
        <v>0</v>
      </c>
      <c r="O174" s="14" t="b">
        <v>1</v>
      </c>
      <c r="Q174" s="14" t="b">
        <v>0</v>
      </c>
      <c r="R174" s="14">
        <v>1</v>
      </c>
      <c r="S174" s="14" t="s">
        <v>77</v>
      </c>
      <c r="T174" s="14">
        <v>999</v>
      </c>
      <c r="U174" s="14" t="s">
        <v>214</v>
      </c>
      <c r="V174" s="14">
        <v>31252000</v>
      </c>
      <c r="X174" s="14" t="s">
        <v>204</v>
      </c>
      <c r="Y174" s="14" t="s">
        <v>215</v>
      </c>
      <c r="Z174" s="14">
        <v>20001</v>
      </c>
      <c r="AA174" s="14" t="s">
        <v>205</v>
      </c>
      <c r="AB174" s="14">
        <v>40001</v>
      </c>
      <c r="AE174" s="29" t="s">
        <v>121</v>
      </c>
      <c r="AF174" s="14" t="s">
        <v>213</v>
      </c>
      <c r="AG174" s="14" t="s">
        <v>86</v>
      </c>
    </row>
    <row r="175" spans="2:33">
      <c r="B175" s="14">
        <f>10000000+INDEX(编号表!$B:$B,MATCH(H175,编号表!$A:$A,0))*100000+INDEX(编号表!$F:$F,MATCH(D175,编号表!$E:$E,0))*10000+INDEX(编号表!$D:$D,MATCH(AG175,编号表!$C:$C,0))*1000+F175</f>
        <v>11352000</v>
      </c>
      <c r="C175" s="14" t="s">
        <v>334</v>
      </c>
      <c r="D175" s="14" t="s">
        <v>333</v>
      </c>
      <c r="E175" s="14" t="s">
        <v>86</v>
      </c>
      <c r="F175" s="14">
        <v>0</v>
      </c>
      <c r="G175" s="14">
        <v>60</v>
      </c>
      <c r="H175" s="31" t="s">
        <v>217</v>
      </c>
      <c r="I175" s="14" t="s">
        <v>75</v>
      </c>
      <c r="J175" s="14" t="s">
        <v>201</v>
      </c>
      <c r="K175" s="14">
        <v>1</v>
      </c>
      <c r="L175" s="14" t="s">
        <v>213</v>
      </c>
      <c r="N175" s="14">
        <v>0</v>
      </c>
      <c r="O175" s="14" t="b">
        <v>1</v>
      </c>
      <c r="Q175" s="14" t="b">
        <v>0</v>
      </c>
      <c r="R175" s="14">
        <v>1</v>
      </c>
      <c r="S175" s="14" t="s">
        <v>77</v>
      </c>
      <c r="T175" s="14">
        <v>999</v>
      </c>
      <c r="U175" s="14" t="s">
        <v>214</v>
      </c>
      <c r="V175" s="14">
        <v>31352000</v>
      </c>
      <c r="X175" s="14" t="s">
        <v>204</v>
      </c>
      <c r="Y175" s="14" t="s">
        <v>215</v>
      </c>
      <c r="Z175" s="14">
        <v>20001</v>
      </c>
      <c r="AA175" s="14" t="s">
        <v>205</v>
      </c>
      <c r="AB175" s="14">
        <v>40001</v>
      </c>
      <c r="AE175" s="29" t="s">
        <v>121</v>
      </c>
      <c r="AF175" s="14" t="s">
        <v>213</v>
      </c>
      <c r="AG175" s="14" t="s">
        <v>86</v>
      </c>
    </row>
    <row r="176" spans="2:33">
      <c r="B176" s="14">
        <f>10000000+INDEX(编号表!$B:$B,MATCH(H176,编号表!$A:$A,0))*100000+INDEX(编号表!$F:$F,MATCH(D176,编号表!$E:$E,0))*10000+INDEX(编号表!$D:$D,MATCH(AG176,编号表!$C:$C,0))*1000+F176</f>
        <v>11352001</v>
      </c>
      <c r="C176" s="14" t="s">
        <v>335</v>
      </c>
      <c r="D176" s="14" t="s">
        <v>333</v>
      </c>
      <c r="E176" s="14" t="s">
        <v>86</v>
      </c>
      <c r="F176" s="14">
        <v>1</v>
      </c>
      <c r="G176" s="14">
        <v>60</v>
      </c>
      <c r="H176" s="31" t="s">
        <v>217</v>
      </c>
      <c r="I176" s="14" t="s">
        <v>75</v>
      </c>
      <c r="J176" s="14" t="s">
        <v>201</v>
      </c>
      <c r="K176" s="14">
        <v>1</v>
      </c>
      <c r="L176" s="14" t="s">
        <v>213</v>
      </c>
      <c r="N176" s="14">
        <v>0</v>
      </c>
      <c r="O176" s="14" t="b">
        <v>1</v>
      </c>
      <c r="Q176" s="14" t="b">
        <v>0</v>
      </c>
      <c r="R176" s="14">
        <v>1</v>
      </c>
      <c r="S176" s="14" t="s">
        <v>77</v>
      </c>
      <c r="T176" s="14">
        <v>999</v>
      </c>
      <c r="U176" s="14" t="s">
        <v>214</v>
      </c>
      <c r="V176" s="14">
        <v>31352001</v>
      </c>
      <c r="X176" s="14" t="s">
        <v>204</v>
      </c>
      <c r="Y176" s="14" t="s">
        <v>215</v>
      </c>
      <c r="Z176" s="14">
        <v>20001</v>
      </c>
      <c r="AA176" s="14" t="s">
        <v>205</v>
      </c>
      <c r="AB176" s="14">
        <v>40001</v>
      </c>
      <c r="AE176" s="29" t="s">
        <v>121</v>
      </c>
      <c r="AF176" s="14" t="s">
        <v>213</v>
      </c>
      <c r="AG176" s="14" t="s">
        <v>86</v>
      </c>
    </row>
    <row r="177" spans="2:33">
      <c r="B177" s="14">
        <f>10000000+INDEX(编号表!$B:$B,MATCH(H177,编号表!$A:$A,0))*100000+INDEX(编号表!$F:$F,MATCH(D177,编号表!$E:$E,0))*10000+INDEX(编号表!$D:$D,MATCH(AG177,编号表!$C:$C,0))*1000+F177</f>
        <v>11352002</v>
      </c>
      <c r="C177" s="14" t="s">
        <v>336</v>
      </c>
      <c r="D177" s="14" t="s">
        <v>333</v>
      </c>
      <c r="E177" s="14" t="s">
        <v>86</v>
      </c>
      <c r="F177" s="14">
        <v>2</v>
      </c>
      <c r="G177" s="14">
        <v>60</v>
      </c>
      <c r="H177" s="31" t="s">
        <v>217</v>
      </c>
      <c r="I177" s="14" t="s">
        <v>75</v>
      </c>
      <c r="J177" s="14" t="s">
        <v>201</v>
      </c>
      <c r="K177" s="14">
        <v>1</v>
      </c>
      <c r="L177" s="14" t="s">
        <v>213</v>
      </c>
      <c r="N177" s="14">
        <v>0</v>
      </c>
      <c r="O177" s="14" t="b">
        <v>1</v>
      </c>
      <c r="Q177" s="14" t="b">
        <v>0</v>
      </c>
      <c r="R177" s="14">
        <v>1</v>
      </c>
      <c r="S177" s="14" t="s">
        <v>77</v>
      </c>
      <c r="T177" s="14">
        <v>999</v>
      </c>
      <c r="U177" s="14" t="s">
        <v>214</v>
      </c>
      <c r="V177" s="14">
        <v>31352002</v>
      </c>
      <c r="X177" s="14" t="s">
        <v>204</v>
      </c>
      <c r="Y177" s="14" t="s">
        <v>215</v>
      </c>
      <c r="Z177" s="14">
        <v>20001</v>
      </c>
      <c r="AA177" s="14" t="s">
        <v>205</v>
      </c>
      <c r="AB177" s="14">
        <v>40001</v>
      </c>
      <c r="AE177" s="29" t="s">
        <v>121</v>
      </c>
      <c r="AF177" s="14" t="s">
        <v>213</v>
      </c>
      <c r="AG177" s="14" t="s">
        <v>86</v>
      </c>
    </row>
    <row r="178" spans="2:33">
      <c r="B178" s="14">
        <f>10000000+INDEX(编号表!$B:$B,MATCH(H178,编号表!$A:$A,0))*100000+INDEX(编号表!$F:$F,MATCH(D178,编号表!$E:$E,0))*10000+INDEX(编号表!$D:$D,MATCH(AG178,编号表!$C:$C,0))*1000+F178</f>
        <v>11352003</v>
      </c>
      <c r="C178" s="14" t="s">
        <v>337</v>
      </c>
      <c r="D178" s="14" t="s">
        <v>333</v>
      </c>
      <c r="E178" s="14" t="s">
        <v>86</v>
      </c>
      <c r="F178" s="14">
        <v>3</v>
      </c>
      <c r="G178" s="14">
        <v>60</v>
      </c>
      <c r="H178" s="31" t="s">
        <v>217</v>
      </c>
      <c r="I178" s="14" t="s">
        <v>75</v>
      </c>
      <c r="J178" s="14" t="s">
        <v>201</v>
      </c>
      <c r="K178" s="14">
        <v>1</v>
      </c>
      <c r="L178" s="14" t="s">
        <v>213</v>
      </c>
      <c r="N178" s="14">
        <v>0</v>
      </c>
      <c r="O178" s="14" t="b">
        <v>1</v>
      </c>
      <c r="Q178" s="14" t="b">
        <v>0</v>
      </c>
      <c r="R178" s="14">
        <v>1</v>
      </c>
      <c r="S178" s="14" t="s">
        <v>77</v>
      </c>
      <c r="T178" s="14">
        <v>999</v>
      </c>
      <c r="U178" s="14" t="s">
        <v>214</v>
      </c>
      <c r="V178" s="14">
        <v>31352003</v>
      </c>
      <c r="X178" s="14" t="s">
        <v>204</v>
      </c>
      <c r="Y178" s="14" t="s">
        <v>215</v>
      </c>
      <c r="Z178" s="14">
        <v>20001</v>
      </c>
      <c r="AA178" s="14" t="s">
        <v>205</v>
      </c>
      <c r="AB178" s="14">
        <v>40001</v>
      </c>
      <c r="AE178" s="29" t="s">
        <v>121</v>
      </c>
      <c r="AF178" s="14" t="s">
        <v>213</v>
      </c>
      <c r="AG178" s="14" t="s">
        <v>86</v>
      </c>
    </row>
    <row r="179" spans="2:33">
      <c r="B179" s="14">
        <f>10000000+INDEX(编号表!$B:$B,MATCH(H179,编号表!$A:$A,0))*100000+INDEX(编号表!$F:$F,MATCH(D179,编号表!$E:$E,0))*10000+INDEX(编号表!$D:$D,MATCH(AG179,编号表!$C:$C,0))*1000+F179</f>
        <v>11352004</v>
      </c>
      <c r="C179" s="14" t="s">
        <v>338</v>
      </c>
      <c r="D179" s="14" t="s">
        <v>333</v>
      </c>
      <c r="E179" s="14" t="s">
        <v>86</v>
      </c>
      <c r="F179" s="14">
        <v>4</v>
      </c>
      <c r="G179" s="14">
        <v>60</v>
      </c>
      <c r="H179" s="31" t="s">
        <v>217</v>
      </c>
      <c r="I179" s="14" t="s">
        <v>75</v>
      </c>
      <c r="J179" s="14" t="s">
        <v>201</v>
      </c>
      <c r="K179" s="14">
        <v>1</v>
      </c>
      <c r="L179" s="14" t="s">
        <v>213</v>
      </c>
      <c r="N179" s="14">
        <v>0</v>
      </c>
      <c r="O179" s="14" t="b">
        <v>1</v>
      </c>
      <c r="Q179" s="14" t="b">
        <v>0</v>
      </c>
      <c r="R179" s="14">
        <v>1</v>
      </c>
      <c r="S179" s="14" t="s">
        <v>77</v>
      </c>
      <c r="T179" s="14">
        <v>999</v>
      </c>
      <c r="U179" s="14" t="s">
        <v>214</v>
      </c>
      <c r="V179" s="14">
        <v>31352004</v>
      </c>
      <c r="X179" s="14" t="s">
        <v>204</v>
      </c>
      <c r="Y179" s="14" t="s">
        <v>215</v>
      </c>
      <c r="Z179" s="14">
        <v>20001</v>
      </c>
      <c r="AA179" s="14" t="s">
        <v>205</v>
      </c>
      <c r="AB179" s="14">
        <v>40001</v>
      </c>
      <c r="AE179" s="29" t="s">
        <v>121</v>
      </c>
      <c r="AF179" s="14" t="s">
        <v>213</v>
      </c>
      <c r="AG179" s="14" t="s">
        <v>86</v>
      </c>
    </row>
    <row r="180" spans="2:33">
      <c r="B180" s="14">
        <f>10000000+INDEX(编号表!$B:$B,MATCH(H180,编号表!$A:$A,0))*100000+INDEX(编号表!$F:$F,MATCH(D180,编号表!$E:$E,0))*10000+INDEX(编号表!$D:$D,MATCH(AG180,编号表!$C:$C,0))*1000+F180</f>
        <v>11352005</v>
      </c>
      <c r="C180" s="14" t="s">
        <v>339</v>
      </c>
      <c r="D180" s="14" t="s">
        <v>333</v>
      </c>
      <c r="E180" s="14" t="s">
        <v>86</v>
      </c>
      <c r="F180" s="14">
        <v>5</v>
      </c>
      <c r="G180" s="14">
        <v>60</v>
      </c>
      <c r="H180" s="31" t="s">
        <v>217</v>
      </c>
      <c r="I180" s="14" t="s">
        <v>75</v>
      </c>
      <c r="J180" s="14" t="s">
        <v>201</v>
      </c>
      <c r="K180" s="14">
        <v>1</v>
      </c>
      <c r="L180" s="14" t="s">
        <v>213</v>
      </c>
      <c r="N180" s="14">
        <v>0</v>
      </c>
      <c r="O180" s="14" t="b">
        <v>1</v>
      </c>
      <c r="Q180" s="14" t="b">
        <v>0</v>
      </c>
      <c r="R180" s="14">
        <v>1</v>
      </c>
      <c r="S180" s="14" t="s">
        <v>77</v>
      </c>
      <c r="T180" s="14">
        <v>999</v>
      </c>
      <c r="U180" s="14" t="s">
        <v>214</v>
      </c>
      <c r="V180" s="14">
        <v>31352005</v>
      </c>
      <c r="X180" s="14" t="s">
        <v>204</v>
      </c>
      <c r="Y180" s="14" t="s">
        <v>215</v>
      </c>
      <c r="Z180" s="14">
        <v>20001</v>
      </c>
      <c r="AA180" s="14" t="s">
        <v>205</v>
      </c>
      <c r="AB180" s="14">
        <v>40001</v>
      </c>
      <c r="AE180" s="29" t="s">
        <v>121</v>
      </c>
      <c r="AF180" s="14" t="s">
        <v>213</v>
      </c>
      <c r="AG180" s="14" t="s">
        <v>86</v>
      </c>
    </row>
    <row r="181" spans="2:33">
      <c r="B181" s="14">
        <f>10000000+INDEX(编号表!$B:$B,MATCH(H181,编号表!$A:$A,0))*100000+INDEX(编号表!$F:$F,MATCH(D181,编号表!$E:$E,0))*10000+INDEX(编号表!$D:$D,MATCH(AG181,编号表!$C:$C,0))*1000+F181</f>
        <v>11352006</v>
      </c>
      <c r="C181" s="14" t="s">
        <v>340</v>
      </c>
      <c r="D181" s="14" t="s">
        <v>333</v>
      </c>
      <c r="E181" s="14" t="s">
        <v>86</v>
      </c>
      <c r="F181" s="14">
        <v>6</v>
      </c>
      <c r="G181" s="14">
        <v>60</v>
      </c>
      <c r="H181" s="31" t="s">
        <v>217</v>
      </c>
      <c r="I181" s="14" t="s">
        <v>75</v>
      </c>
      <c r="J181" s="14" t="s">
        <v>201</v>
      </c>
      <c r="K181" s="14">
        <v>1</v>
      </c>
      <c r="L181" s="14" t="s">
        <v>213</v>
      </c>
      <c r="N181" s="14">
        <v>0</v>
      </c>
      <c r="O181" s="14" t="b">
        <v>1</v>
      </c>
      <c r="Q181" s="14" t="b">
        <v>0</v>
      </c>
      <c r="R181" s="14">
        <v>1</v>
      </c>
      <c r="S181" s="14" t="s">
        <v>77</v>
      </c>
      <c r="T181" s="14">
        <v>999</v>
      </c>
      <c r="U181" s="14" t="s">
        <v>214</v>
      </c>
      <c r="V181" s="14">
        <v>31352006</v>
      </c>
      <c r="X181" s="14" t="s">
        <v>204</v>
      </c>
      <c r="Y181" s="14" t="s">
        <v>215</v>
      </c>
      <c r="Z181" s="14">
        <v>20001</v>
      </c>
      <c r="AA181" s="14" t="s">
        <v>205</v>
      </c>
      <c r="AB181" s="14">
        <v>40001</v>
      </c>
      <c r="AE181" s="29" t="s">
        <v>121</v>
      </c>
      <c r="AF181" s="14" t="s">
        <v>213</v>
      </c>
      <c r="AG181" s="14" t="s">
        <v>86</v>
      </c>
    </row>
    <row r="182" spans="2:33">
      <c r="B182" s="14">
        <f>10000000+INDEX(编号表!$B:$B,MATCH(H182,编号表!$A:$A,0))*100000+INDEX(编号表!$F:$F,MATCH(D182,编号表!$E:$E,0))*10000+INDEX(编号表!$D:$D,MATCH(AG182,编号表!$C:$C,0))*1000+F182</f>
        <v>11352007</v>
      </c>
      <c r="C182" s="14" t="s">
        <v>341</v>
      </c>
      <c r="D182" s="14" t="s">
        <v>333</v>
      </c>
      <c r="E182" s="14" t="s">
        <v>86</v>
      </c>
      <c r="F182" s="14">
        <v>7</v>
      </c>
      <c r="G182" s="14">
        <v>60</v>
      </c>
      <c r="H182" s="31" t="s">
        <v>217</v>
      </c>
      <c r="I182" s="14" t="s">
        <v>75</v>
      </c>
      <c r="J182" s="14" t="s">
        <v>201</v>
      </c>
      <c r="K182" s="14">
        <v>1</v>
      </c>
      <c r="L182" s="14" t="s">
        <v>213</v>
      </c>
      <c r="N182" s="14">
        <v>0</v>
      </c>
      <c r="O182" s="14" t="b">
        <v>1</v>
      </c>
      <c r="Q182" s="14" t="b">
        <v>0</v>
      </c>
      <c r="R182" s="14">
        <v>1</v>
      </c>
      <c r="S182" s="14" t="s">
        <v>77</v>
      </c>
      <c r="T182" s="14">
        <v>999</v>
      </c>
      <c r="U182" s="14" t="s">
        <v>214</v>
      </c>
      <c r="V182" s="14">
        <v>31352007</v>
      </c>
      <c r="X182" s="14" t="s">
        <v>204</v>
      </c>
      <c r="Y182" s="14" t="s">
        <v>215</v>
      </c>
      <c r="Z182" s="14">
        <v>20001</v>
      </c>
      <c r="AA182" s="14" t="s">
        <v>205</v>
      </c>
      <c r="AB182" s="14">
        <v>40001</v>
      </c>
      <c r="AE182" s="29" t="s">
        <v>121</v>
      </c>
      <c r="AF182" s="14" t="s">
        <v>213</v>
      </c>
      <c r="AG182" s="14" t="s">
        <v>86</v>
      </c>
    </row>
    <row r="183" spans="2:33">
      <c r="B183" s="14">
        <f>10000000+INDEX(编号表!$B:$B,MATCH(H183,编号表!$A:$A,0))*100000+INDEX(编号表!$F:$F,MATCH(D183,编号表!$E:$E,0))*10000+INDEX(编号表!$D:$D,MATCH(AG183,编号表!$C:$C,0))*1000+F183</f>
        <v>11352008</v>
      </c>
      <c r="C183" s="14" t="s">
        <v>342</v>
      </c>
      <c r="D183" s="14" t="s">
        <v>333</v>
      </c>
      <c r="E183" s="14" t="s">
        <v>86</v>
      </c>
      <c r="F183" s="14">
        <v>8</v>
      </c>
      <c r="G183" s="14">
        <v>60</v>
      </c>
      <c r="H183" s="31" t="s">
        <v>217</v>
      </c>
      <c r="I183" s="14" t="s">
        <v>75</v>
      </c>
      <c r="J183" s="14" t="s">
        <v>201</v>
      </c>
      <c r="K183" s="14">
        <v>1</v>
      </c>
      <c r="L183" s="14" t="s">
        <v>213</v>
      </c>
      <c r="N183" s="14">
        <v>0</v>
      </c>
      <c r="O183" s="14" t="b">
        <v>1</v>
      </c>
      <c r="Q183" s="14" t="b">
        <v>0</v>
      </c>
      <c r="R183" s="14">
        <v>1</v>
      </c>
      <c r="S183" s="14" t="s">
        <v>77</v>
      </c>
      <c r="T183" s="14">
        <v>999</v>
      </c>
      <c r="U183" s="14" t="s">
        <v>214</v>
      </c>
      <c r="V183" s="14">
        <v>31352008</v>
      </c>
      <c r="X183" s="14" t="s">
        <v>204</v>
      </c>
      <c r="Y183" s="14" t="s">
        <v>215</v>
      </c>
      <c r="Z183" s="14">
        <v>20001</v>
      </c>
      <c r="AA183" s="14" t="s">
        <v>205</v>
      </c>
      <c r="AB183" s="14">
        <v>40001</v>
      </c>
      <c r="AE183" s="29" t="s">
        <v>121</v>
      </c>
      <c r="AF183" s="14" t="s">
        <v>213</v>
      </c>
      <c r="AG183" s="14" t="s">
        <v>86</v>
      </c>
    </row>
    <row r="184" spans="2:33">
      <c r="B184" s="14">
        <f>10000000+INDEX(编号表!$B:$B,MATCH(H184,编号表!$A:$A,0))*100000+INDEX(编号表!$F:$F,MATCH(D184,编号表!$E:$E,0))*10000+INDEX(编号表!$D:$D,MATCH(AG184,编号表!$C:$C,0))*1000+F184</f>
        <v>11352009</v>
      </c>
      <c r="C184" s="14" t="s">
        <v>343</v>
      </c>
      <c r="D184" s="14" t="s">
        <v>333</v>
      </c>
      <c r="E184" s="14" t="s">
        <v>86</v>
      </c>
      <c r="F184" s="14">
        <v>9</v>
      </c>
      <c r="G184" s="14">
        <v>60</v>
      </c>
      <c r="H184" s="31" t="s">
        <v>217</v>
      </c>
      <c r="I184" s="14" t="s">
        <v>75</v>
      </c>
      <c r="J184" s="14" t="s">
        <v>201</v>
      </c>
      <c r="K184" s="14">
        <v>1</v>
      </c>
      <c r="L184" s="14" t="s">
        <v>213</v>
      </c>
      <c r="N184" s="14">
        <v>0</v>
      </c>
      <c r="O184" s="14" t="b">
        <v>1</v>
      </c>
      <c r="Q184" s="14" t="b">
        <v>0</v>
      </c>
      <c r="R184" s="14">
        <v>1</v>
      </c>
      <c r="S184" s="14" t="s">
        <v>77</v>
      </c>
      <c r="T184" s="14">
        <v>999</v>
      </c>
      <c r="U184" s="14" t="s">
        <v>214</v>
      </c>
      <c r="V184" s="14">
        <v>31352009</v>
      </c>
      <c r="X184" s="14" t="s">
        <v>204</v>
      </c>
      <c r="Y184" s="14" t="s">
        <v>215</v>
      </c>
      <c r="Z184" s="14">
        <v>20001</v>
      </c>
      <c r="AA184" s="14" t="s">
        <v>205</v>
      </c>
      <c r="AB184" s="14">
        <v>40001</v>
      </c>
      <c r="AE184" s="29" t="s">
        <v>121</v>
      </c>
      <c r="AF184" s="14" t="s">
        <v>213</v>
      </c>
      <c r="AG184" s="14" t="s">
        <v>86</v>
      </c>
    </row>
    <row r="185" spans="2:33">
      <c r="B185" s="14">
        <f>10000000+INDEX(编号表!$B:$B,MATCH(H185,编号表!$A:$A,0))*100000+INDEX(编号表!$F:$F,MATCH(D185,编号表!$E:$E,0))*10000+INDEX(编号表!$D:$D,MATCH(AG185,编号表!$C:$C,0))*1000+F185</f>
        <v>11552000</v>
      </c>
      <c r="C185" s="14" t="s">
        <v>344</v>
      </c>
      <c r="D185" s="14" t="s">
        <v>333</v>
      </c>
      <c r="E185" s="14" t="s">
        <v>86</v>
      </c>
      <c r="F185" s="14">
        <v>0</v>
      </c>
      <c r="G185" s="14">
        <v>60</v>
      </c>
      <c r="H185" s="31" t="s">
        <v>228</v>
      </c>
      <c r="I185" s="14" t="s">
        <v>75</v>
      </c>
      <c r="J185" s="14" t="s">
        <v>201</v>
      </c>
      <c r="K185" s="14">
        <v>1</v>
      </c>
      <c r="L185" s="14" t="s">
        <v>213</v>
      </c>
      <c r="N185" s="14">
        <v>0</v>
      </c>
      <c r="O185" s="14" t="b">
        <v>1</v>
      </c>
      <c r="Q185" s="14" t="b">
        <v>0</v>
      </c>
      <c r="R185" s="14">
        <v>1</v>
      </c>
      <c r="S185" s="14" t="s">
        <v>77</v>
      </c>
      <c r="T185" s="14">
        <v>999</v>
      </c>
      <c r="U185" s="14" t="s">
        <v>214</v>
      </c>
      <c r="V185" s="14">
        <v>31552000</v>
      </c>
      <c r="X185" s="14" t="s">
        <v>204</v>
      </c>
      <c r="Y185" s="14" t="s">
        <v>215</v>
      </c>
      <c r="Z185" s="14">
        <v>20001</v>
      </c>
      <c r="AA185" s="14" t="s">
        <v>205</v>
      </c>
      <c r="AB185" s="14">
        <v>40001</v>
      </c>
      <c r="AE185" s="29" t="s">
        <v>121</v>
      </c>
      <c r="AF185" s="14" t="s">
        <v>213</v>
      </c>
      <c r="AG185" s="14" t="s">
        <v>86</v>
      </c>
    </row>
    <row r="186" spans="2:33">
      <c r="B186" s="14">
        <f>10000000+INDEX(编号表!$B:$B,MATCH(H186,编号表!$A:$A,0))*100000+INDEX(编号表!$F:$F,MATCH(D186,编号表!$E:$E,0))*10000+INDEX(编号表!$D:$D,MATCH(AG186,编号表!$C:$C,0))*1000+F186</f>
        <v>11552001</v>
      </c>
      <c r="C186" s="14" t="s">
        <v>345</v>
      </c>
      <c r="D186" s="14" t="s">
        <v>333</v>
      </c>
      <c r="E186" s="14" t="s">
        <v>86</v>
      </c>
      <c r="F186" s="14">
        <v>1</v>
      </c>
      <c r="G186" s="14">
        <v>60</v>
      </c>
      <c r="H186" s="31" t="s">
        <v>228</v>
      </c>
      <c r="I186" s="14" t="s">
        <v>75</v>
      </c>
      <c r="J186" s="14" t="s">
        <v>201</v>
      </c>
      <c r="K186" s="14">
        <v>1</v>
      </c>
      <c r="L186" s="14" t="s">
        <v>213</v>
      </c>
      <c r="N186" s="14">
        <v>0</v>
      </c>
      <c r="O186" s="14" t="b">
        <v>1</v>
      </c>
      <c r="Q186" s="14" t="b">
        <v>0</v>
      </c>
      <c r="R186" s="14">
        <v>1</v>
      </c>
      <c r="S186" s="14" t="s">
        <v>77</v>
      </c>
      <c r="T186" s="14">
        <v>999</v>
      </c>
      <c r="U186" s="14" t="s">
        <v>214</v>
      </c>
      <c r="V186" s="14">
        <v>31552001</v>
      </c>
      <c r="X186" s="14" t="s">
        <v>204</v>
      </c>
      <c r="Y186" s="14" t="s">
        <v>215</v>
      </c>
      <c r="Z186" s="14">
        <v>20001</v>
      </c>
      <c r="AA186" s="14" t="s">
        <v>205</v>
      </c>
      <c r="AB186" s="14">
        <v>40001</v>
      </c>
      <c r="AE186" s="29" t="s">
        <v>121</v>
      </c>
      <c r="AF186" s="14" t="s">
        <v>213</v>
      </c>
      <c r="AG186" s="14" t="s">
        <v>86</v>
      </c>
    </row>
    <row r="187" spans="2:33">
      <c r="B187" s="14">
        <f>10000000+INDEX(编号表!$B:$B,MATCH(H187,编号表!$A:$A,0))*100000+INDEX(编号表!$F:$F,MATCH(D187,编号表!$E:$E,0))*10000+INDEX(编号表!$D:$D,MATCH(AG187,编号表!$C:$C,0))*1000+F187</f>
        <v>11552002</v>
      </c>
      <c r="C187" s="14" t="s">
        <v>346</v>
      </c>
      <c r="D187" s="14" t="s">
        <v>333</v>
      </c>
      <c r="E187" s="14" t="s">
        <v>86</v>
      </c>
      <c r="F187" s="14">
        <v>2</v>
      </c>
      <c r="G187" s="14">
        <v>60</v>
      </c>
      <c r="H187" s="31" t="s">
        <v>228</v>
      </c>
      <c r="I187" s="14" t="s">
        <v>75</v>
      </c>
      <c r="J187" s="14" t="s">
        <v>201</v>
      </c>
      <c r="K187" s="14">
        <v>1</v>
      </c>
      <c r="L187" s="14" t="s">
        <v>213</v>
      </c>
      <c r="N187" s="14">
        <v>0</v>
      </c>
      <c r="O187" s="14" t="b">
        <v>1</v>
      </c>
      <c r="Q187" s="14" t="b">
        <v>0</v>
      </c>
      <c r="R187" s="14">
        <v>1</v>
      </c>
      <c r="S187" s="14" t="s">
        <v>77</v>
      </c>
      <c r="T187" s="14">
        <v>999</v>
      </c>
      <c r="U187" s="14" t="s">
        <v>214</v>
      </c>
      <c r="V187" s="14">
        <v>31552002</v>
      </c>
      <c r="X187" s="14" t="s">
        <v>204</v>
      </c>
      <c r="Y187" s="14" t="s">
        <v>215</v>
      </c>
      <c r="Z187" s="14">
        <v>20001</v>
      </c>
      <c r="AA187" s="14" t="s">
        <v>205</v>
      </c>
      <c r="AB187" s="14">
        <v>40001</v>
      </c>
      <c r="AE187" s="29" t="s">
        <v>121</v>
      </c>
      <c r="AF187" s="14" t="s">
        <v>213</v>
      </c>
      <c r="AG187" s="14" t="s">
        <v>86</v>
      </c>
    </row>
    <row r="188" spans="2:33">
      <c r="B188" s="14">
        <f>10000000+INDEX(编号表!$B:$B,MATCH(H188,编号表!$A:$A,0))*100000+INDEX(编号表!$F:$F,MATCH(D188,编号表!$E:$E,0))*10000+INDEX(编号表!$D:$D,MATCH(AG188,编号表!$C:$C,0))*1000+F188</f>
        <v>11552003</v>
      </c>
      <c r="C188" s="14" t="s">
        <v>347</v>
      </c>
      <c r="D188" s="14" t="s">
        <v>333</v>
      </c>
      <c r="E188" s="14" t="s">
        <v>86</v>
      </c>
      <c r="F188" s="14">
        <v>3</v>
      </c>
      <c r="G188" s="14">
        <v>60</v>
      </c>
      <c r="H188" s="31" t="s">
        <v>228</v>
      </c>
      <c r="I188" s="14" t="s">
        <v>75</v>
      </c>
      <c r="J188" s="14" t="s">
        <v>201</v>
      </c>
      <c r="K188" s="14">
        <v>1</v>
      </c>
      <c r="L188" s="14" t="s">
        <v>213</v>
      </c>
      <c r="N188" s="14">
        <v>0</v>
      </c>
      <c r="O188" s="14" t="b">
        <v>1</v>
      </c>
      <c r="Q188" s="14" t="b">
        <v>0</v>
      </c>
      <c r="R188" s="14">
        <v>1</v>
      </c>
      <c r="S188" s="14" t="s">
        <v>77</v>
      </c>
      <c r="T188" s="14">
        <v>999</v>
      </c>
      <c r="U188" s="14" t="s">
        <v>214</v>
      </c>
      <c r="V188" s="14">
        <v>31552003</v>
      </c>
      <c r="X188" s="14" t="s">
        <v>204</v>
      </c>
      <c r="Y188" s="14" t="s">
        <v>215</v>
      </c>
      <c r="Z188" s="14">
        <v>20001</v>
      </c>
      <c r="AA188" s="14" t="s">
        <v>205</v>
      </c>
      <c r="AB188" s="14">
        <v>40001</v>
      </c>
      <c r="AE188" s="29" t="s">
        <v>121</v>
      </c>
      <c r="AF188" s="14" t="s">
        <v>213</v>
      </c>
      <c r="AG188" s="14" t="s">
        <v>86</v>
      </c>
    </row>
    <row r="189" spans="2:33">
      <c r="B189" s="14">
        <f>10000000+INDEX(编号表!$B:$B,MATCH(H189,编号表!$A:$A,0))*100000+INDEX(编号表!$F:$F,MATCH(D189,编号表!$E:$E,0))*10000+INDEX(编号表!$D:$D,MATCH(AG189,编号表!$C:$C,0))*1000+F189</f>
        <v>11552004</v>
      </c>
      <c r="C189" s="14" t="s">
        <v>348</v>
      </c>
      <c r="D189" s="14" t="s">
        <v>333</v>
      </c>
      <c r="E189" s="14" t="s">
        <v>86</v>
      </c>
      <c r="F189" s="14">
        <v>4</v>
      </c>
      <c r="G189" s="14">
        <v>60</v>
      </c>
      <c r="H189" s="31" t="s">
        <v>228</v>
      </c>
      <c r="I189" s="14" t="s">
        <v>75</v>
      </c>
      <c r="J189" s="14" t="s">
        <v>201</v>
      </c>
      <c r="K189" s="14">
        <v>1</v>
      </c>
      <c r="L189" s="14" t="s">
        <v>213</v>
      </c>
      <c r="N189" s="14">
        <v>0</v>
      </c>
      <c r="O189" s="14" t="b">
        <v>1</v>
      </c>
      <c r="Q189" s="14" t="b">
        <v>0</v>
      </c>
      <c r="R189" s="14">
        <v>1</v>
      </c>
      <c r="S189" s="14" t="s">
        <v>77</v>
      </c>
      <c r="T189" s="14">
        <v>999</v>
      </c>
      <c r="U189" s="14" t="s">
        <v>214</v>
      </c>
      <c r="V189" s="14">
        <v>31552004</v>
      </c>
      <c r="X189" s="14" t="s">
        <v>204</v>
      </c>
      <c r="Y189" s="14" t="s">
        <v>215</v>
      </c>
      <c r="Z189" s="14">
        <v>20001</v>
      </c>
      <c r="AA189" s="14" t="s">
        <v>205</v>
      </c>
      <c r="AB189" s="14">
        <v>40001</v>
      </c>
      <c r="AE189" s="29" t="s">
        <v>121</v>
      </c>
      <c r="AF189" s="14" t="s">
        <v>213</v>
      </c>
      <c r="AG189" s="14" t="s">
        <v>86</v>
      </c>
    </row>
    <row r="190" spans="2:33">
      <c r="B190" s="14">
        <f>10000000+INDEX(编号表!$B:$B,MATCH(H190,编号表!$A:$A,0))*100000+INDEX(编号表!$F:$F,MATCH(D190,编号表!$E:$E,0))*10000+INDEX(编号表!$D:$D,MATCH(AG190,编号表!$C:$C,0))*1000+F190</f>
        <v>11552005</v>
      </c>
      <c r="C190" s="14" t="s">
        <v>349</v>
      </c>
      <c r="D190" s="14" t="s">
        <v>333</v>
      </c>
      <c r="E190" s="14" t="s">
        <v>86</v>
      </c>
      <c r="F190" s="14">
        <v>5</v>
      </c>
      <c r="G190" s="14">
        <v>60</v>
      </c>
      <c r="H190" s="31" t="s">
        <v>228</v>
      </c>
      <c r="I190" s="14" t="s">
        <v>75</v>
      </c>
      <c r="J190" s="14" t="s">
        <v>201</v>
      </c>
      <c r="K190" s="14">
        <v>1</v>
      </c>
      <c r="L190" s="14" t="s">
        <v>213</v>
      </c>
      <c r="N190" s="14">
        <v>0</v>
      </c>
      <c r="O190" s="14" t="b">
        <v>1</v>
      </c>
      <c r="Q190" s="14" t="b">
        <v>0</v>
      </c>
      <c r="R190" s="14">
        <v>1</v>
      </c>
      <c r="S190" s="14" t="s">
        <v>77</v>
      </c>
      <c r="T190" s="14">
        <v>999</v>
      </c>
      <c r="U190" s="14" t="s">
        <v>214</v>
      </c>
      <c r="V190" s="14">
        <v>31552005</v>
      </c>
      <c r="X190" s="14" t="s">
        <v>204</v>
      </c>
      <c r="Y190" s="14" t="s">
        <v>215</v>
      </c>
      <c r="Z190" s="14">
        <v>20001</v>
      </c>
      <c r="AA190" s="14" t="s">
        <v>205</v>
      </c>
      <c r="AB190" s="14">
        <v>40001</v>
      </c>
      <c r="AE190" s="29" t="s">
        <v>121</v>
      </c>
      <c r="AF190" s="14" t="s">
        <v>213</v>
      </c>
      <c r="AG190" s="14" t="s">
        <v>86</v>
      </c>
    </row>
    <row r="191" spans="2:33">
      <c r="B191" s="14">
        <f>10000000+INDEX(编号表!$B:$B,MATCH(H191,编号表!$A:$A,0))*100000+INDEX(编号表!$F:$F,MATCH(D191,编号表!$E:$E,0))*10000+INDEX(编号表!$D:$D,MATCH(AG191,编号表!$C:$C,0))*1000+F191</f>
        <v>11552006</v>
      </c>
      <c r="C191" s="14" t="s">
        <v>350</v>
      </c>
      <c r="D191" s="14" t="s">
        <v>333</v>
      </c>
      <c r="E191" s="14" t="s">
        <v>86</v>
      </c>
      <c r="F191" s="14">
        <v>6</v>
      </c>
      <c r="G191" s="14">
        <v>60</v>
      </c>
      <c r="H191" s="31" t="s">
        <v>228</v>
      </c>
      <c r="I191" s="14" t="s">
        <v>75</v>
      </c>
      <c r="J191" s="14" t="s">
        <v>201</v>
      </c>
      <c r="K191" s="14">
        <v>1</v>
      </c>
      <c r="L191" s="14" t="s">
        <v>213</v>
      </c>
      <c r="N191" s="14">
        <v>0</v>
      </c>
      <c r="O191" s="14" t="b">
        <v>1</v>
      </c>
      <c r="Q191" s="14" t="b">
        <v>0</v>
      </c>
      <c r="R191" s="14">
        <v>1</v>
      </c>
      <c r="S191" s="14" t="s">
        <v>77</v>
      </c>
      <c r="T191" s="14">
        <v>999</v>
      </c>
      <c r="U191" s="14" t="s">
        <v>214</v>
      </c>
      <c r="V191" s="14">
        <v>31552006</v>
      </c>
      <c r="X191" s="14" t="s">
        <v>204</v>
      </c>
      <c r="Y191" s="14" t="s">
        <v>215</v>
      </c>
      <c r="Z191" s="14">
        <v>20001</v>
      </c>
      <c r="AA191" s="14" t="s">
        <v>205</v>
      </c>
      <c r="AB191" s="14">
        <v>40001</v>
      </c>
      <c r="AE191" s="29" t="s">
        <v>121</v>
      </c>
      <c r="AF191" s="14" t="s">
        <v>213</v>
      </c>
      <c r="AG191" s="14" t="s">
        <v>86</v>
      </c>
    </row>
    <row r="192" spans="2:33">
      <c r="B192" s="14">
        <f>10000000+INDEX(编号表!$B:$B,MATCH(H192,编号表!$A:$A,0))*100000+INDEX(编号表!$F:$F,MATCH(D192,编号表!$E:$E,0))*10000+INDEX(编号表!$D:$D,MATCH(AG192,编号表!$C:$C,0))*1000+F192</f>
        <v>11552007</v>
      </c>
      <c r="C192" s="14" t="s">
        <v>351</v>
      </c>
      <c r="D192" s="14" t="s">
        <v>333</v>
      </c>
      <c r="E192" s="14" t="s">
        <v>86</v>
      </c>
      <c r="F192" s="14">
        <v>7</v>
      </c>
      <c r="G192" s="14">
        <v>60</v>
      </c>
      <c r="H192" s="31" t="s">
        <v>228</v>
      </c>
      <c r="I192" s="14" t="s">
        <v>75</v>
      </c>
      <c r="J192" s="14" t="s">
        <v>201</v>
      </c>
      <c r="K192" s="14">
        <v>1</v>
      </c>
      <c r="L192" s="14" t="s">
        <v>213</v>
      </c>
      <c r="N192" s="14">
        <v>0</v>
      </c>
      <c r="O192" s="14" t="b">
        <v>1</v>
      </c>
      <c r="Q192" s="14" t="b">
        <v>0</v>
      </c>
      <c r="R192" s="14">
        <v>1</v>
      </c>
      <c r="S192" s="14" t="s">
        <v>77</v>
      </c>
      <c r="T192" s="14">
        <v>999</v>
      </c>
      <c r="U192" s="14" t="s">
        <v>214</v>
      </c>
      <c r="V192" s="14">
        <v>31552007</v>
      </c>
      <c r="X192" s="14" t="s">
        <v>204</v>
      </c>
      <c r="Y192" s="14" t="s">
        <v>215</v>
      </c>
      <c r="Z192" s="14">
        <v>20001</v>
      </c>
      <c r="AA192" s="14" t="s">
        <v>205</v>
      </c>
      <c r="AB192" s="14">
        <v>40001</v>
      </c>
      <c r="AE192" s="29" t="s">
        <v>121</v>
      </c>
      <c r="AF192" s="14" t="s">
        <v>213</v>
      </c>
      <c r="AG192" s="14" t="s">
        <v>86</v>
      </c>
    </row>
    <row r="193" spans="2:33">
      <c r="B193" s="14">
        <f>10000000+INDEX(编号表!$B:$B,MATCH(H193,编号表!$A:$A,0))*100000+INDEX(编号表!$F:$F,MATCH(D193,编号表!$E:$E,0))*10000+INDEX(编号表!$D:$D,MATCH(AG193,编号表!$C:$C,0))*1000+F193</f>
        <v>11552008</v>
      </c>
      <c r="C193" s="14" t="s">
        <v>352</v>
      </c>
      <c r="D193" s="14" t="s">
        <v>333</v>
      </c>
      <c r="E193" s="14" t="s">
        <v>86</v>
      </c>
      <c r="F193" s="14">
        <v>8</v>
      </c>
      <c r="G193" s="14">
        <v>60</v>
      </c>
      <c r="H193" s="31" t="s">
        <v>228</v>
      </c>
      <c r="I193" s="14" t="s">
        <v>75</v>
      </c>
      <c r="J193" s="14" t="s">
        <v>201</v>
      </c>
      <c r="K193" s="14">
        <v>1</v>
      </c>
      <c r="L193" s="14" t="s">
        <v>213</v>
      </c>
      <c r="N193" s="14">
        <v>0</v>
      </c>
      <c r="O193" s="14" t="b">
        <v>1</v>
      </c>
      <c r="Q193" s="14" t="b">
        <v>0</v>
      </c>
      <c r="R193" s="14">
        <v>1</v>
      </c>
      <c r="S193" s="14" t="s">
        <v>77</v>
      </c>
      <c r="T193" s="14">
        <v>999</v>
      </c>
      <c r="U193" s="14" t="s">
        <v>214</v>
      </c>
      <c r="V193" s="14">
        <v>31552008</v>
      </c>
      <c r="X193" s="14" t="s">
        <v>204</v>
      </c>
      <c r="Y193" s="14" t="s">
        <v>215</v>
      </c>
      <c r="Z193" s="14">
        <v>20001</v>
      </c>
      <c r="AA193" s="14" t="s">
        <v>205</v>
      </c>
      <c r="AB193" s="14">
        <v>40001</v>
      </c>
      <c r="AE193" s="29" t="s">
        <v>121</v>
      </c>
      <c r="AF193" s="14" t="s">
        <v>213</v>
      </c>
      <c r="AG193" s="14" t="s">
        <v>86</v>
      </c>
    </row>
    <row r="194" spans="2:33">
      <c r="B194" s="14">
        <f>10000000+INDEX(编号表!$B:$B,MATCH(H194,编号表!$A:$A,0))*100000+INDEX(编号表!$F:$F,MATCH(D194,编号表!$E:$E,0))*10000+INDEX(编号表!$D:$D,MATCH(AG194,编号表!$C:$C,0))*1000+F194</f>
        <v>11552009</v>
      </c>
      <c r="C194" s="14" t="s">
        <v>353</v>
      </c>
      <c r="D194" s="14" t="s">
        <v>333</v>
      </c>
      <c r="E194" s="14" t="s">
        <v>86</v>
      </c>
      <c r="F194" s="14">
        <v>9</v>
      </c>
      <c r="G194" s="14">
        <v>60</v>
      </c>
      <c r="H194" s="31" t="s">
        <v>228</v>
      </c>
      <c r="I194" s="14" t="s">
        <v>75</v>
      </c>
      <c r="J194" s="14" t="s">
        <v>201</v>
      </c>
      <c r="K194" s="14">
        <v>1</v>
      </c>
      <c r="L194" s="14" t="s">
        <v>213</v>
      </c>
      <c r="N194" s="14">
        <v>0</v>
      </c>
      <c r="O194" s="14" t="b">
        <v>1</v>
      </c>
      <c r="Q194" s="14" t="b">
        <v>0</v>
      </c>
      <c r="R194" s="14">
        <v>1</v>
      </c>
      <c r="S194" s="14" t="s">
        <v>77</v>
      </c>
      <c r="T194" s="14">
        <v>999</v>
      </c>
      <c r="U194" s="14" t="s">
        <v>214</v>
      </c>
      <c r="V194" s="14">
        <v>31552009</v>
      </c>
      <c r="X194" s="14" t="s">
        <v>204</v>
      </c>
      <c r="Y194" s="14" t="s">
        <v>215</v>
      </c>
      <c r="Z194" s="14">
        <v>20001</v>
      </c>
      <c r="AA194" s="14" t="s">
        <v>205</v>
      </c>
      <c r="AB194" s="14">
        <v>40001</v>
      </c>
      <c r="AE194" s="29" t="s">
        <v>121</v>
      </c>
      <c r="AF194" s="14" t="s">
        <v>213</v>
      </c>
      <c r="AG194" s="14" t="s">
        <v>86</v>
      </c>
    </row>
    <row r="195" spans="2:33">
      <c r="B195" s="14">
        <f>10000000+INDEX(编号表!$B:$B,MATCH(H195,编号表!$A:$A,0))*100000+INDEX(编号表!$F:$F,MATCH(D195,编号表!$E:$E,0))*10000+INDEX(编号表!$D:$D,MATCH(AG195,编号表!$C:$C,0))*1000+F195</f>
        <v>11452000</v>
      </c>
      <c r="C195" s="14" t="s">
        <v>354</v>
      </c>
      <c r="D195" s="14" t="s">
        <v>333</v>
      </c>
      <c r="E195" s="14" t="s">
        <v>86</v>
      </c>
      <c r="F195" s="14">
        <v>0</v>
      </c>
      <c r="G195" s="14">
        <v>60</v>
      </c>
      <c r="H195" s="31" t="s">
        <v>239</v>
      </c>
      <c r="I195" s="14" t="s">
        <v>75</v>
      </c>
      <c r="J195" s="14" t="s">
        <v>201</v>
      </c>
      <c r="K195" s="14">
        <v>1</v>
      </c>
      <c r="L195" s="14" t="s">
        <v>213</v>
      </c>
      <c r="N195" s="14">
        <v>0</v>
      </c>
      <c r="O195" s="14" t="b">
        <v>1</v>
      </c>
      <c r="Q195" s="14" t="b">
        <v>0</v>
      </c>
      <c r="R195" s="14">
        <v>1</v>
      </c>
      <c r="S195" s="14" t="s">
        <v>77</v>
      </c>
      <c r="T195" s="14">
        <v>999</v>
      </c>
      <c r="U195" s="14" t="s">
        <v>214</v>
      </c>
      <c r="V195" s="14">
        <v>31452000</v>
      </c>
      <c r="X195" s="14" t="s">
        <v>204</v>
      </c>
      <c r="Y195" s="14" t="s">
        <v>215</v>
      </c>
      <c r="Z195" s="14">
        <v>20001</v>
      </c>
      <c r="AA195" s="14" t="s">
        <v>205</v>
      </c>
      <c r="AB195" s="14">
        <v>40001</v>
      </c>
      <c r="AE195" s="29" t="s">
        <v>121</v>
      </c>
      <c r="AF195" s="14" t="s">
        <v>213</v>
      </c>
      <c r="AG195" s="14" t="s">
        <v>86</v>
      </c>
    </row>
    <row r="196" spans="2:33">
      <c r="B196" s="14">
        <f>10000000+INDEX(编号表!$B:$B,MATCH(H196,编号表!$A:$A,0))*100000+INDEX(编号表!$F:$F,MATCH(D196,编号表!$E:$E,0))*10000+INDEX(编号表!$D:$D,MATCH(AG196,编号表!$C:$C,0))*1000+F196</f>
        <v>11452001</v>
      </c>
      <c r="C196" s="14" t="s">
        <v>355</v>
      </c>
      <c r="D196" s="14" t="s">
        <v>333</v>
      </c>
      <c r="E196" s="14" t="s">
        <v>86</v>
      </c>
      <c r="F196" s="14">
        <v>1</v>
      </c>
      <c r="G196" s="14">
        <v>60</v>
      </c>
      <c r="H196" s="31" t="s">
        <v>239</v>
      </c>
      <c r="I196" s="14" t="s">
        <v>75</v>
      </c>
      <c r="J196" s="14" t="s">
        <v>201</v>
      </c>
      <c r="K196" s="14">
        <v>1</v>
      </c>
      <c r="L196" s="14" t="s">
        <v>213</v>
      </c>
      <c r="N196" s="14">
        <v>0</v>
      </c>
      <c r="O196" s="14" t="b">
        <v>1</v>
      </c>
      <c r="Q196" s="14" t="b">
        <v>0</v>
      </c>
      <c r="R196" s="14">
        <v>1</v>
      </c>
      <c r="S196" s="14" t="s">
        <v>77</v>
      </c>
      <c r="T196" s="14">
        <v>999</v>
      </c>
      <c r="U196" s="14" t="s">
        <v>214</v>
      </c>
      <c r="V196" s="14">
        <v>31452001</v>
      </c>
      <c r="X196" s="14" t="s">
        <v>204</v>
      </c>
      <c r="Y196" s="14" t="s">
        <v>215</v>
      </c>
      <c r="Z196" s="14">
        <v>20001</v>
      </c>
      <c r="AA196" s="14" t="s">
        <v>205</v>
      </c>
      <c r="AB196" s="14">
        <v>40001</v>
      </c>
      <c r="AE196" s="29" t="s">
        <v>121</v>
      </c>
      <c r="AF196" s="14" t="s">
        <v>213</v>
      </c>
      <c r="AG196" s="14" t="s">
        <v>86</v>
      </c>
    </row>
    <row r="197" spans="2:33">
      <c r="B197" s="14">
        <f>10000000+INDEX(编号表!$B:$B,MATCH(H197,编号表!$A:$A,0))*100000+INDEX(编号表!$F:$F,MATCH(D197,编号表!$E:$E,0))*10000+INDEX(编号表!$D:$D,MATCH(AG197,编号表!$C:$C,0))*1000+F197</f>
        <v>11452002</v>
      </c>
      <c r="C197" s="14" t="s">
        <v>356</v>
      </c>
      <c r="D197" s="14" t="s">
        <v>333</v>
      </c>
      <c r="E197" s="14" t="s">
        <v>86</v>
      </c>
      <c r="F197" s="14">
        <v>2</v>
      </c>
      <c r="G197" s="14">
        <v>60</v>
      </c>
      <c r="H197" s="31" t="s">
        <v>239</v>
      </c>
      <c r="I197" s="14" t="s">
        <v>75</v>
      </c>
      <c r="J197" s="14" t="s">
        <v>201</v>
      </c>
      <c r="K197" s="14">
        <v>1</v>
      </c>
      <c r="L197" s="14" t="s">
        <v>213</v>
      </c>
      <c r="N197" s="14">
        <v>0</v>
      </c>
      <c r="O197" s="14" t="b">
        <v>1</v>
      </c>
      <c r="Q197" s="14" t="b">
        <v>0</v>
      </c>
      <c r="R197" s="14">
        <v>1</v>
      </c>
      <c r="S197" s="14" t="s">
        <v>77</v>
      </c>
      <c r="T197" s="14">
        <v>999</v>
      </c>
      <c r="U197" s="14" t="s">
        <v>214</v>
      </c>
      <c r="V197" s="14">
        <v>31452002</v>
      </c>
      <c r="X197" s="14" t="s">
        <v>204</v>
      </c>
      <c r="Y197" s="14" t="s">
        <v>215</v>
      </c>
      <c r="Z197" s="14">
        <v>20001</v>
      </c>
      <c r="AA197" s="14" t="s">
        <v>205</v>
      </c>
      <c r="AB197" s="14">
        <v>40001</v>
      </c>
      <c r="AE197" s="29" t="s">
        <v>121</v>
      </c>
      <c r="AF197" s="14" t="s">
        <v>213</v>
      </c>
      <c r="AG197" s="14" t="s">
        <v>86</v>
      </c>
    </row>
    <row r="198" spans="2:33">
      <c r="B198" s="14">
        <f>10000000+INDEX(编号表!$B:$B,MATCH(H198,编号表!$A:$A,0))*100000+INDEX(编号表!$F:$F,MATCH(D198,编号表!$E:$E,0))*10000+INDEX(编号表!$D:$D,MATCH(AG198,编号表!$C:$C,0))*1000+F198</f>
        <v>11452003</v>
      </c>
      <c r="C198" s="14" t="s">
        <v>357</v>
      </c>
      <c r="D198" s="14" t="s">
        <v>333</v>
      </c>
      <c r="E198" s="14" t="s">
        <v>86</v>
      </c>
      <c r="F198" s="14">
        <v>3</v>
      </c>
      <c r="G198" s="14">
        <v>60</v>
      </c>
      <c r="H198" s="31" t="s">
        <v>239</v>
      </c>
      <c r="I198" s="14" t="s">
        <v>75</v>
      </c>
      <c r="J198" s="14" t="s">
        <v>201</v>
      </c>
      <c r="K198" s="14">
        <v>1</v>
      </c>
      <c r="L198" s="14" t="s">
        <v>213</v>
      </c>
      <c r="N198" s="14">
        <v>0</v>
      </c>
      <c r="O198" s="14" t="b">
        <v>1</v>
      </c>
      <c r="Q198" s="14" t="b">
        <v>0</v>
      </c>
      <c r="R198" s="14">
        <v>1</v>
      </c>
      <c r="S198" s="14" t="s">
        <v>77</v>
      </c>
      <c r="T198" s="14">
        <v>999</v>
      </c>
      <c r="U198" s="14" t="s">
        <v>214</v>
      </c>
      <c r="V198" s="14">
        <v>31452003</v>
      </c>
      <c r="X198" s="14" t="s">
        <v>204</v>
      </c>
      <c r="Y198" s="14" t="s">
        <v>215</v>
      </c>
      <c r="Z198" s="14">
        <v>20001</v>
      </c>
      <c r="AA198" s="14" t="s">
        <v>205</v>
      </c>
      <c r="AB198" s="14">
        <v>40001</v>
      </c>
      <c r="AE198" s="29" t="s">
        <v>121</v>
      </c>
      <c r="AF198" s="14" t="s">
        <v>213</v>
      </c>
      <c r="AG198" s="14" t="s">
        <v>86</v>
      </c>
    </row>
    <row r="199" spans="2:33">
      <c r="B199" s="14">
        <f>10000000+INDEX(编号表!$B:$B,MATCH(H199,编号表!$A:$A,0))*100000+INDEX(编号表!$F:$F,MATCH(D199,编号表!$E:$E,0))*10000+INDEX(编号表!$D:$D,MATCH(AG199,编号表!$C:$C,0))*1000+F199</f>
        <v>11652000</v>
      </c>
      <c r="C199" s="14" t="s">
        <v>358</v>
      </c>
      <c r="D199" s="14" t="s">
        <v>333</v>
      </c>
      <c r="E199" s="14" t="s">
        <v>86</v>
      </c>
      <c r="F199" s="14">
        <v>0</v>
      </c>
      <c r="G199" s="14">
        <v>60</v>
      </c>
      <c r="H199" s="31" t="s">
        <v>244</v>
      </c>
      <c r="I199" s="14" t="s">
        <v>75</v>
      </c>
      <c r="J199" s="14" t="s">
        <v>201</v>
      </c>
      <c r="K199" s="14">
        <v>1</v>
      </c>
      <c r="L199" s="14" t="s">
        <v>213</v>
      </c>
      <c r="N199" s="14">
        <v>0</v>
      </c>
      <c r="O199" s="14" t="b">
        <v>1</v>
      </c>
      <c r="Q199" s="14" t="b">
        <v>0</v>
      </c>
      <c r="R199" s="14">
        <v>1</v>
      </c>
      <c r="S199" s="14" t="s">
        <v>77</v>
      </c>
      <c r="T199" s="14">
        <v>999</v>
      </c>
      <c r="U199" s="14" t="s">
        <v>214</v>
      </c>
      <c r="V199" s="14">
        <v>31652000</v>
      </c>
      <c r="X199" s="14" t="s">
        <v>204</v>
      </c>
      <c r="Y199" s="14" t="s">
        <v>215</v>
      </c>
      <c r="Z199" s="14">
        <v>20001</v>
      </c>
      <c r="AA199" s="14" t="s">
        <v>205</v>
      </c>
      <c r="AB199" s="14">
        <v>40001</v>
      </c>
      <c r="AE199" s="29" t="s">
        <v>121</v>
      </c>
      <c r="AF199" s="14" t="s">
        <v>213</v>
      </c>
      <c r="AG199" s="14" t="s">
        <v>86</v>
      </c>
    </row>
    <row r="200" spans="2:33">
      <c r="B200" s="14">
        <f>10000000+INDEX(编号表!$B:$B,MATCH(H200,编号表!$A:$A,0))*100000+INDEX(编号表!$F:$F,MATCH(D200,编号表!$E:$E,0))*10000+INDEX(编号表!$D:$D,MATCH(AG200,编号表!$C:$C,0))*1000+F200</f>
        <v>11652001</v>
      </c>
      <c r="C200" s="14" t="s">
        <v>359</v>
      </c>
      <c r="D200" s="14" t="s">
        <v>333</v>
      </c>
      <c r="E200" s="14" t="s">
        <v>86</v>
      </c>
      <c r="F200" s="14">
        <v>1</v>
      </c>
      <c r="G200" s="14">
        <v>60</v>
      </c>
      <c r="H200" s="31" t="s">
        <v>244</v>
      </c>
      <c r="I200" s="14" t="s">
        <v>75</v>
      </c>
      <c r="J200" s="14" t="s">
        <v>201</v>
      </c>
      <c r="K200" s="14">
        <v>1</v>
      </c>
      <c r="L200" s="14" t="s">
        <v>213</v>
      </c>
      <c r="N200" s="14">
        <v>0</v>
      </c>
      <c r="O200" s="14" t="b">
        <v>1</v>
      </c>
      <c r="Q200" s="14" t="b">
        <v>0</v>
      </c>
      <c r="R200" s="14">
        <v>1</v>
      </c>
      <c r="S200" s="14" t="s">
        <v>77</v>
      </c>
      <c r="T200" s="14">
        <v>999</v>
      </c>
      <c r="U200" s="14" t="s">
        <v>214</v>
      </c>
      <c r="V200" s="14">
        <v>31652001</v>
      </c>
      <c r="X200" s="14" t="s">
        <v>204</v>
      </c>
      <c r="Y200" s="14" t="s">
        <v>215</v>
      </c>
      <c r="Z200" s="14">
        <v>20001</v>
      </c>
      <c r="AA200" s="14" t="s">
        <v>205</v>
      </c>
      <c r="AB200" s="14">
        <v>40001</v>
      </c>
      <c r="AE200" s="29" t="s">
        <v>121</v>
      </c>
      <c r="AF200" s="14" t="s">
        <v>213</v>
      </c>
      <c r="AG200" s="14" t="s">
        <v>86</v>
      </c>
    </row>
    <row r="201" spans="2:33">
      <c r="B201" s="14">
        <f>10000000+INDEX(编号表!$B:$B,MATCH(H201,编号表!$A:$A,0))*100000+INDEX(编号表!$F:$F,MATCH(D201,编号表!$E:$E,0))*10000+INDEX(编号表!$D:$D,MATCH(AG201,编号表!$C:$C,0))*1000+F201</f>
        <v>11652002</v>
      </c>
      <c r="C201" s="14" t="s">
        <v>360</v>
      </c>
      <c r="D201" s="14" t="s">
        <v>333</v>
      </c>
      <c r="E201" s="14" t="s">
        <v>86</v>
      </c>
      <c r="F201" s="14">
        <v>2</v>
      </c>
      <c r="G201" s="14">
        <v>60</v>
      </c>
      <c r="H201" s="31" t="s">
        <v>244</v>
      </c>
      <c r="I201" s="14" t="s">
        <v>75</v>
      </c>
      <c r="J201" s="14" t="s">
        <v>201</v>
      </c>
      <c r="K201" s="14">
        <v>1</v>
      </c>
      <c r="L201" s="14" t="s">
        <v>213</v>
      </c>
      <c r="N201" s="14">
        <v>0</v>
      </c>
      <c r="O201" s="14" t="b">
        <v>1</v>
      </c>
      <c r="Q201" s="14" t="b">
        <v>0</v>
      </c>
      <c r="R201" s="14">
        <v>1</v>
      </c>
      <c r="S201" s="14" t="s">
        <v>77</v>
      </c>
      <c r="T201" s="14">
        <v>999</v>
      </c>
      <c r="U201" s="14" t="s">
        <v>214</v>
      </c>
      <c r="V201" s="14">
        <v>31652002</v>
      </c>
      <c r="X201" s="14" t="s">
        <v>204</v>
      </c>
      <c r="Y201" s="14" t="s">
        <v>215</v>
      </c>
      <c r="Z201" s="14">
        <v>20001</v>
      </c>
      <c r="AA201" s="14" t="s">
        <v>205</v>
      </c>
      <c r="AB201" s="14">
        <v>40001</v>
      </c>
      <c r="AE201" s="29" t="s">
        <v>121</v>
      </c>
      <c r="AF201" s="14" t="s">
        <v>213</v>
      </c>
      <c r="AG201" s="14" t="s">
        <v>86</v>
      </c>
    </row>
    <row r="202" spans="2:33">
      <c r="B202" s="14">
        <f>10000000+INDEX(编号表!$B:$B,MATCH(H202,编号表!$A:$A,0))*100000+INDEX(编号表!$F:$F,MATCH(D202,编号表!$E:$E,0))*10000+INDEX(编号表!$D:$D,MATCH(AG202,编号表!$C:$C,0))*1000+F202</f>
        <v>11262000</v>
      </c>
      <c r="C202" s="14" t="s">
        <v>361</v>
      </c>
      <c r="D202" s="14" t="s">
        <v>362</v>
      </c>
      <c r="E202" s="14" t="s">
        <v>86</v>
      </c>
      <c r="F202" s="14">
        <v>0</v>
      </c>
      <c r="G202" s="14">
        <v>60</v>
      </c>
      <c r="H202" s="31" t="s">
        <v>212</v>
      </c>
      <c r="I202" s="14" t="s">
        <v>75</v>
      </c>
      <c r="J202" s="14" t="s">
        <v>201</v>
      </c>
      <c r="K202" s="14">
        <v>1</v>
      </c>
      <c r="L202" s="14" t="s">
        <v>213</v>
      </c>
      <c r="N202" s="14">
        <v>0</v>
      </c>
      <c r="O202" s="14" t="b">
        <v>1</v>
      </c>
      <c r="Q202" s="14" t="b">
        <v>0</v>
      </c>
      <c r="R202" s="14">
        <v>1</v>
      </c>
      <c r="S202" s="14" t="s">
        <v>77</v>
      </c>
      <c r="T202" s="14">
        <v>999</v>
      </c>
      <c r="U202" s="14" t="s">
        <v>214</v>
      </c>
      <c r="V202" s="14">
        <v>31262000</v>
      </c>
      <c r="X202" s="14" t="s">
        <v>204</v>
      </c>
      <c r="Y202" s="14" t="s">
        <v>215</v>
      </c>
      <c r="Z202" s="14">
        <v>20001</v>
      </c>
      <c r="AA202" s="14" t="s">
        <v>205</v>
      </c>
      <c r="AB202" s="14">
        <v>40001</v>
      </c>
      <c r="AE202" s="29" t="s">
        <v>121</v>
      </c>
      <c r="AF202" s="14" t="s">
        <v>213</v>
      </c>
      <c r="AG202" s="14" t="s">
        <v>86</v>
      </c>
    </row>
    <row r="203" spans="2:33">
      <c r="B203" s="14">
        <f>10000000+INDEX(编号表!$B:$B,MATCH(H203,编号表!$A:$A,0))*100000+INDEX(编号表!$F:$F,MATCH(D203,编号表!$E:$E,0))*10000+INDEX(编号表!$D:$D,MATCH(AG203,编号表!$C:$C,0))*1000+F203</f>
        <v>11362000</v>
      </c>
      <c r="C203" s="14" t="s">
        <v>363</v>
      </c>
      <c r="D203" s="14" t="s">
        <v>362</v>
      </c>
      <c r="E203" s="14" t="s">
        <v>86</v>
      </c>
      <c r="F203" s="14">
        <v>0</v>
      </c>
      <c r="G203" s="14">
        <v>60</v>
      </c>
      <c r="H203" s="31" t="s">
        <v>217</v>
      </c>
      <c r="I203" s="14" t="s">
        <v>75</v>
      </c>
      <c r="J203" s="14" t="s">
        <v>201</v>
      </c>
      <c r="K203" s="14">
        <v>1</v>
      </c>
      <c r="L203" s="14" t="s">
        <v>213</v>
      </c>
      <c r="N203" s="14">
        <v>0</v>
      </c>
      <c r="O203" s="14" t="b">
        <v>1</v>
      </c>
      <c r="Q203" s="14" t="b">
        <v>0</v>
      </c>
      <c r="R203" s="14">
        <v>1</v>
      </c>
      <c r="S203" s="14" t="s">
        <v>77</v>
      </c>
      <c r="T203" s="14">
        <v>999</v>
      </c>
      <c r="U203" s="14" t="s">
        <v>214</v>
      </c>
      <c r="V203" s="14">
        <v>31362000</v>
      </c>
      <c r="X203" s="14" t="s">
        <v>204</v>
      </c>
      <c r="Y203" s="14" t="s">
        <v>215</v>
      </c>
      <c r="Z203" s="14">
        <v>20001</v>
      </c>
      <c r="AA203" s="14" t="s">
        <v>205</v>
      </c>
      <c r="AB203" s="14">
        <v>40001</v>
      </c>
      <c r="AE203" s="29" t="s">
        <v>121</v>
      </c>
      <c r="AF203" s="14" t="s">
        <v>213</v>
      </c>
      <c r="AG203" s="14" t="s">
        <v>86</v>
      </c>
    </row>
    <row r="204" spans="2:33">
      <c r="B204" s="14">
        <f>10000000+INDEX(编号表!$B:$B,MATCH(H204,编号表!$A:$A,0))*100000+INDEX(编号表!$F:$F,MATCH(D204,编号表!$E:$E,0))*10000+INDEX(编号表!$D:$D,MATCH(AG204,编号表!$C:$C,0))*1000+F204</f>
        <v>11362001</v>
      </c>
      <c r="C204" s="14" t="s">
        <v>364</v>
      </c>
      <c r="D204" s="14" t="s">
        <v>362</v>
      </c>
      <c r="E204" s="14" t="s">
        <v>86</v>
      </c>
      <c r="F204" s="14">
        <v>1</v>
      </c>
      <c r="G204" s="14">
        <v>60</v>
      </c>
      <c r="H204" s="31" t="s">
        <v>217</v>
      </c>
      <c r="I204" s="14" t="s">
        <v>75</v>
      </c>
      <c r="J204" s="14" t="s">
        <v>201</v>
      </c>
      <c r="K204" s="14">
        <v>1</v>
      </c>
      <c r="L204" s="14" t="s">
        <v>213</v>
      </c>
      <c r="N204" s="14">
        <v>0</v>
      </c>
      <c r="O204" s="14" t="b">
        <v>1</v>
      </c>
      <c r="Q204" s="14" t="b">
        <v>0</v>
      </c>
      <c r="R204" s="14">
        <v>1</v>
      </c>
      <c r="S204" s="14" t="s">
        <v>77</v>
      </c>
      <c r="T204" s="14">
        <v>999</v>
      </c>
      <c r="U204" s="14" t="s">
        <v>214</v>
      </c>
      <c r="V204" s="14">
        <v>31362001</v>
      </c>
      <c r="X204" s="14" t="s">
        <v>204</v>
      </c>
      <c r="Y204" s="14" t="s">
        <v>215</v>
      </c>
      <c r="Z204" s="14">
        <v>20001</v>
      </c>
      <c r="AA204" s="14" t="s">
        <v>205</v>
      </c>
      <c r="AB204" s="14">
        <v>40001</v>
      </c>
      <c r="AE204" s="29" t="s">
        <v>121</v>
      </c>
      <c r="AF204" s="14" t="s">
        <v>213</v>
      </c>
      <c r="AG204" s="14" t="s">
        <v>86</v>
      </c>
    </row>
    <row r="205" spans="2:33">
      <c r="B205" s="14">
        <f>10000000+INDEX(编号表!$B:$B,MATCH(H205,编号表!$A:$A,0))*100000+INDEX(编号表!$F:$F,MATCH(D205,编号表!$E:$E,0))*10000+INDEX(编号表!$D:$D,MATCH(AG205,编号表!$C:$C,0))*1000+F205</f>
        <v>11362002</v>
      </c>
      <c r="C205" s="14" t="s">
        <v>365</v>
      </c>
      <c r="D205" s="14" t="s">
        <v>362</v>
      </c>
      <c r="E205" s="14" t="s">
        <v>86</v>
      </c>
      <c r="F205" s="14">
        <v>2</v>
      </c>
      <c r="G205" s="14">
        <v>60</v>
      </c>
      <c r="H205" s="31" t="s">
        <v>217</v>
      </c>
      <c r="I205" s="14" t="s">
        <v>75</v>
      </c>
      <c r="J205" s="14" t="s">
        <v>201</v>
      </c>
      <c r="K205" s="14">
        <v>1</v>
      </c>
      <c r="L205" s="14" t="s">
        <v>213</v>
      </c>
      <c r="N205" s="14">
        <v>0</v>
      </c>
      <c r="O205" s="14" t="b">
        <v>1</v>
      </c>
      <c r="Q205" s="14" t="b">
        <v>0</v>
      </c>
      <c r="R205" s="14">
        <v>1</v>
      </c>
      <c r="S205" s="14" t="s">
        <v>77</v>
      </c>
      <c r="T205" s="14">
        <v>999</v>
      </c>
      <c r="U205" s="14" t="s">
        <v>214</v>
      </c>
      <c r="V205" s="14">
        <v>31362002</v>
      </c>
      <c r="X205" s="14" t="s">
        <v>204</v>
      </c>
      <c r="Y205" s="14" t="s">
        <v>215</v>
      </c>
      <c r="Z205" s="14">
        <v>20001</v>
      </c>
      <c r="AA205" s="14" t="s">
        <v>205</v>
      </c>
      <c r="AB205" s="14">
        <v>40001</v>
      </c>
      <c r="AE205" s="29" t="s">
        <v>121</v>
      </c>
      <c r="AF205" s="14" t="s">
        <v>213</v>
      </c>
      <c r="AG205" s="14" t="s">
        <v>86</v>
      </c>
    </row>
    <row r="206" spans="2:33">
      <c r="B206" s="14">
        <f>10000000+INDEX(编号表!$B:$B,MATCH(H206,编号表!$A:$A,0))*100000+INDEX(编号表!$F:$F,MATCH(D206,编号表!$E:$E,0))*10000+INDEX(编号表!$D:$D,MATCH(AG206,编号表!$C:$C,0))*1000+F206</f>
        <v>11362003</v>
      </c>
      <c r="C206" s="14" t="s">
        <v>366</v>
      </c>
      <c r="D206" s="14" t="s">
        <v>362</v>
      </c>
      <c r="E206" s="14" t="s">
        <v>86</v>
      </c>
      <c r="F206" s="14">
        <v>3</v>
      </c>
      <c r="G206" s="14">
        <v>60</v>
      </c>
      <c r="H206" s="31" t="s">
        <v>217</v>
      </c>
      <c r="I206" s="14" t="s">
        <v>75</v>
      </c>
      <c r="J206" s="14" t="s">
        <v>201</v>
      </c>
      <c r="K206" s="14">
        <v>1</v>
      </c>
      <c r="L206" s="14" t="s">
        <v>213</v>
      </c>
      <c r="N206" s="14">
        <v>0</v>
      </c>
      <c r="O206" s="14" t="b">
        <v>1</v>
      </c>
      <c r="Q206" s="14" t="b">
        <v>0</v>
      </c>
      <c r="R206" s="14">
        <v>1</v>
      </c>
      <c r="S206" s="14" t="s">
        <v>77</v>
      </c>
      <c r="T206" s="14">
        <v>999</v>
      </c>
      <c r="U206" s="14" t="s">
        <v>214</v>
      </c>
      <c r="V206" s="14">
        <v>31362003</v>
      </c>
      <c r="X206" s="14" t="s">
        <v>204</v>
      </c>
      <c r="Y206" s="14" t="s">
        <v>215</v>
      </c>
      <c r="Z206" s="14">
        <v>20001</v>
      </c>
      <c r="AA206" s="14" t="s">
        <v>205</v>
      </c>
      <c r="AB206" s="14">
        <v>40001</v>
      </c>
      <c r="AE206" s="29" t="s">
        <v>121</v>
      </c>
      <c r="AF206" s="14" t="s">
        <v>213</v>
      </c>
      <c r="AG206" s="14" t="s">
        <v>86</v>
      </c>
    </row>
    <row r="207" spans="2:33">
      <c r="B207" s="14">
        <f>10000000+INDEX(编号表!$B:$B,MATCH(H207,编号表!$A:$A,0))*100000+INDEX(编号表!$F:$F,MATCH(D207,编号表!$E:$E,0))*10000+INDEX(编号表!$D:$D,MATCH(AG207,编号表!$C:$C,0))*1000+F207</f>
        <v>11362004</v>
      </c>
      <c r="C207" s="14" t="s">
        <v>367</v>
      </c>
      <c r="D207" s="14" t="s">
        <v>362</v>
      </c>
      <c r="E207" s="14" t="s">
        <v>86</v>
      </c>
      <c r="F207" s="14">
        <v>4</v>
      </c>
      <c r="G207" s="14">
        <v>60</v>
      </c>
      <c r="H207" s="31" t="s">
        <v>217</v>
      </c>
      <c r="I207" s="14" t="s">
        <v>75</v>
      </c>
      <c r="J207" s="14" t="s">
        <v>201</v>
      </c>
      <c r="K207" s="14">
        <v>1</v>
      </c>
      <c r="L207" s="14" t="s">
        <v>213</v>
      </c>
      <c r="N207" s="14">
        <v>0</v>
      </c>
      <c r="O207" s="14" t="b">
        <v>1</v>
      </c>
      <c r="Q207" s="14" t="b">
        <v>0</v>
      </c>
      <c r="R207" s="14">
        <v>1</v>
      </c>
      <c r="S207" s="14" t="s">
        <v>77</v>
      </c>
      <c r="T207" s="14">
        <v>999</v>
      </c>
      <c r="U207" s="14" t="s">
        <v>214</v>
      </c>
      <c r="V207" s="14">
        <v>31362004</v>
      </c>
      <c r="X207" s="14" t="s">
        <v>204</v>
      </c>
      <c r="Y207" s="14" t="s">
        <v>215</v>
      </c>
      <c r="Z207" s="14">
        <v>20001</v>
      </c>
      <c r="AA207" s="14" t="s">
        <v>205</v>
      </c>
      <c r="AB207" s="14">
        <v>40001</v>
      </c>
      <c r="AE207" s="29" t="s">
        <v>121</v>
      </c>
      <c r="AF207" s="14" t="s">
        <v>213</v>
      </c>
      <c r="AG207" s="14" t="s">
        <v>86</v>
      </c>
    </row>
    <row r="208" spans="2:33">
      <c r="B208" s="14">
        <f>10000000+INDEX(编号表!$B:$B,MATCH(H208,编号表!$A:$A,0))*100000+INDEX(编号表!$F:$F,MATCH(D208,编号表!$E:$E,0))*10000+INDEX(编号表!$D:$D,MATCH(AG208,编号表!$C:$C,0))*1000+F208</f>
        <v>11362005</v>
      </c>
      <c r="C208" s="14" t="s">
        <v>368</v>
      </c>
      <c r="D208" s="14" t="s">
        <v>362</v>
      </c>
      <c r="E208" s="14" t="s">
        <v>86</v>
      </c>
      <c r="F208" s="14">
        <v>5</v>
      </c>
      <c r="G208" s="14">
        <v>60</v>
      </c>
      <c r="H208" s="31" t="s">
        <v>217</v>
      </c>
      <c r="I208" s="14" t="s">
        <v>75</v>
      </c>
      <c r="J208" s="14" t="s">
        <v>201</v>
      </c>
      <c r="K208" s="14">
        <v>1</v>
      </c>
      <c r="L208" s="14" t="s">
        <v>213</v>
      </c>
      <c r="N208" s="14">
        <v>0</v>
      </c>
      <c r="O208" s="14" t="b">
        <v>1</v>
      </c>
      <c r="Q208" s="14" t="b">
        <v>0</v>
      </c>
      <c r="R208" s="14">
        <v>1</v>
      </c>
      <c r="S208" s="14" t="s">
        <v>77</v>
      </c>
      <c r="T208" s="14">
        <v>999</v>
      </c>
      <c r="U208" s="14" t="s">
        <v>214</v>
      </c>
      <c r="V208" s="14">
        <v>31362005</v>
      </c>
      <c r="X208" s="14" t="s">
        <v>204</v>
      </c>
      <c r="Y208" s="14" t="s">
        <v>215</v>
      </c>
      <c r="Z208" s="14">
        <v>20001</v>
      </c>
      <c r="AA208" s="14" t="s">
        <v>205</v>
      </c>
      <c r="AB208" s="14">
        <v>40001</v>
      </c>
      <c r="AE208" s="29" t="s">
        <v>121</v>
      </c>
      <c r="AF208" s="14" t="s">
        <v>213</v>
      </c>
      <c r="AG208" s="14" t="s">
        <v>86</v>
      </c>
    </row>
    <row r="209" spans="2:33">
      <c r="B209" s="14">
        <f>10000000+INDEX(编号表!$B:$B,MATCH(H209,编号表!$A:$A,0))*100000+INDEX(编号表!$F:$F,MATCH(D209,编号表!$E:$E,0))*10000+INDEX(编号表!$D:$D,MATCH(AG209,编号表!$C:$C,0))*1000+F209</f>
        <v>11362006</v>
      </c>
      <c r="C209" s="14" t="s">
        <v>369</v>
      </c>
      <c r="D209" s="14" t="s">
        <v>362</v>
      </c>
      <c r="E209" s="14" t="s">
        <v>86</v>
      </c>
      <c r="F209" s="14">
        <v>6</v>
      </c>
      <c r="G209" s="14">
        <v>60</v>
      </c>
      <c r="H209" s="31" t="s">
        <v>217</v>
      </c>
      <c r="I209" s="14" t="s">
        <v>75</v>
      </c>
      <c r="J209" s="14" t="s">
        <v>201</v>
      </c>
      <c r="K209" s="14">
        <v>1</v>
      </c>
      <c r="L209" s="14" t="s">
        <v>213</v>
      </c>
      <c r="N209" s="14">
        <v>0</v>
      </c>
      <c r="O209" s="14" t="b">
        <v>1</v>
      </c>
      <c r="Q209" s="14" t="b">
        <v>0</v>
      </c>
      <c r="R209" s="14">
        <v>1</v>
      </c>
      <c r="S209" s="14" t="s">
        <v>77</v>
      </c>
      <c r="T209" s="14">
        <v>999</v>
      </c>
      <c r="U209" s="14" t="s">
        <v>214</v>
      </c>
      <c r="V209" s="14">
        <v>31362006</v>
      </c>
      <c r="X209" s="14" t="s">
        <v>204</v>
      </c>
      <c r="Y209" s="14" t="s">
        <v>215</v>
      </c>
      <c r="Z209" s="14">
        <v>20001</v>
      </c>
      <c r="AA209" s="14" t="s">
        <v>205</v>
      </c>
      <c r="AB209" s="14">
        <v>40001</v>
      </c>
      <c r="AE209" s="29" t="s">
        <v>121</v>
      </c>
      <c r="AF209" s="14" t="s">
        <v>213</v>
      </c>
      <c r="AG209" s="14" t="s">
        <v>86</v>
      </c>
    </row>
    <row r="210" spans="2:33">
      <c r="B210" s="14">
        <f>10000000+INDEX(编号表!$B:$B,MATCH(H210,编号表!$A:$A,0))*100000+INDEX(编号表!$F:$F,MATCH(D210,编号表!$E:$E,0))*10000+INDEX(编号表!$D:$D,MATCH(AG210,编号表!$C:$C,0))*1000+F210</f>
        <v>11362007</v>
      </c>
      <c r="C210" s="14" t="s">
        <v>370</v>
      </c>
      <c r="D210" s="14" t="s">
        <v>362</v>
      </c>
      <c r="E210" s="14" t="s">
        <v>86</v>
      </c>
      <c r="F210" s="14">
        <v>7</v>
      </c>
      <c r="G210" s="14">
        <v>60</v>
      </c>
      <c r="H210" s="31" t="s">
        <v>217</v>
      </c>
      <c r="I210" s="14" t="s">
        <v>75</v>
      </c>
      <c r="J210" s="14" t="s">
        <v>201</v>
      </c>
      <c r="K210" s="14">
        <v>1</v>
      </c>
      <c r="L210" s="14" t="s">
        <v>213</v>
      </c>
      <c r="N210" s="14">
        <v>0</v>
      </c>
      <c r="O210" s="14" t="b">
        <v>1</v>
      </c>
      <c r="Q210" s="14" t="b">
        <v>0</v>
      </c>
      <c r="R210" s="14">
        <v>1</v>
      </c>
      <c r="S210" s="14" t="s">
        <v>77</v>
      </c>
      <c r="T210" s="14">
        <v>999</v>
      </c>
      <c r="U210" s="14" t="s">
        <v>214</v>
      </c>
      <c r="V210" s="14">
        <v>31362007</v>
      </c>
      <c r="X210" s="14" t="s">
        <v>204</v>
      </c>
      <c r="Y210" s="14" t="s">
        <v>215</v>
      </c>
      <c r="Z210" s="14">
        <v>20001</v>
      </c>
      <c r="AA210" s="14" t="s">
        <v>205</v>
      </c>
      <c r="AB210" s="14">
        <v>40001</v>
      </c>
      <c r="AE210" s="29" t="s">
        <v>121</v>
      </c>
      <c r="AF210" s="14" t="s">
        <v>213</v>
      </c>
      <c r="AG210" s="14" t="s">
        <v>86</v>
      </c>
    </row>
    <row r="211" spans="2:33">
      <c r="B211" s="14">
        <f>10000000+INDEX(编号表!$B:$B,MATCH(H211,编号表!$A:$A,0))*100000+INDEX(编号表!$F:$F,MATCH(D211,编号表!$E:$E,0))*10000+INDEX(编号表!$D:$D,MATCH(AG211,编号表!$C:$C,0))*1000+F211</f>
        <v>11362008</v>
      </c>
      <c r="C211" s="14" t="s">
        <v>371</v>
      </c>
      <c r="D211" s="14" t="s">
        <v>362</v>
      </c>
      <c r="E211" s="14" t="s">
        <v>86</v>
      </c>
      <c r="F211" s="14">
        <v>8</v>
      </c>
      <c r="G211" s="14">
        <v>60</v>
      </c>
      <c r="H211" s="31" t="s">
        <v>217</v>
      </c>
      <c r="I211" s="14" t="s">
        <v>75</v>
      </c>
      <c r="J211" s="14" t="s">
        <v>201</v>
      </c>
      <c r="K211" s="14">
        <v>1</v>
      </c>
      <c r="L211" s="14" t="s">
        <v>213</v>
      </c>
      <c r="N211" s="14">
        <v>0</v>
      </c>
      <c r="O211" s="14" t="b">
        <v>1</v>
      </c>
      <c r="Q211" s="14" t="b">
        <v>0</v>
      </c>
      <c r="R211" s="14">
        <v>1</v>
      </c>
      <c r="S211" s="14" t="s">
        <v>77</v>
      </c>
      <c r="T211" s="14">
        <v>999</v>
      </c>
      <c r="U211" s="14" t="s">
        <v>214</v>
      </c>
      <c r="V211" s="14">
        <v>31362008</v>
      </c>
      <c r="X211" s="14" t="s">
        <v>204</v>
      </c>
      <c r="Y211" s="14" t="s">
        <v>215</v>
      </c>
      <c r="Z211" s="14">
        <v>20001</v>
      </c>
      <c r="AA211" s="14" t="s">
        <v>205</v>
      </c>
      <c r="AB211" s="14">
        <v>40001</v>
      </c>
      <c r="AE211" s="29" t="s">
        <v>121</v>
      </c>
      <c r="AF211" s="14" t="s">
        <v>213</v>
      </c>
      <c r="AG211" s="14" t="s">
        <v>86</v>
      </c>
    </row>
    <row r="212" spans="2:33">
      <c r="B212" s="14">
        <f>10000000+INDEX(编号表!$B:$B,MATCH(H212,编号表!$A:$A,0))*100000+INDEX(编号表!$F:$F,MATCH(D212,编号表!$E:$E,0))*10000+INDEX(编号表!$D:$D,MATCH(AG212,编号表!$C:$C,0))*1000+F212</f>
        <v>11362009</v>
      </c>
      <c r="C212" s="14" t="s">
        <v>372</v>
      </c>
      <c r="D212" s="14" t="s">
        <v>362</v>
      </c>
      <c r="E212" s="14" t="s">
        <v>86</v>
      </c>
      <c r="F212" s="14">
        <v>9</v>
      </c>
      <c r="G212" s="14">
        <v>60</v>
      </c>
      <c r="H212" s="31" t="s">
        <v>217</v>
      </c>
      <c r="I212" s="14" t="s">
        <v>75</v>
      </c>
      <c r="J212" s="14" t="s">
        <v>201</v>
      </c>
      <c r="K212" s="14">
        <v>1</v>
      </c>
      <c r="L212" s="14" t="s">
        <v>213</v>
      </c>
      <c r="N212" s="14">
        <v>0</v>
      </c>
      <c r="O212" s="14" t="b">
        <v>1</v>
      </c>
      <c r="Q212" s="14" t="b">
        <v>0</v>
      </c>
      <c r="R212" s="14">
        <v>1</v>
      </c>
      <c r="S212" s="14" t="s">
        <v>77</v>
      </c>
      <c r="T212" s="14">
        <v>999</v>
      </c>
      <c r="U212" s="14" t="s">
        <v>214</v>
      </c>
      <c r="V212" s="14">
        <v>31362009</v>
      </c>
      <c r="X212" s="14" t="s">
        <v>204</v>
      </c>
      <c r="Y212" s="14" t="s">
        <v>215</v>
      </c>
      <c r="Z212" s="14">
        <v>20001</v>
      </c>
      <c r="AA212" s="14" t="s">
        <v>205</v>
      </c>
      <c r="AB212" s="14">
        <v>40001</v>
      </c>
      <c r="AE212" s="29" t="s">
        <v>121</v>
      </c>
      <c r="AF212" s="14" t="s">
        <v>213</v>
      </c>
      <c r="AG212" s="14" t="s">
        <v>86</v>
      </c>
    </row>
    <row r="213" spans="2:33">
      <c r="B213" s="14">
        <f>10000000+INDEX(编号表!$B:$B,MATCH(H213,编号表!$A:$A,0))*100000+INDEX(编号表!$F:$F,MATCH(D213,编号表!$E:$E,0))*10000+INDEX(编号表!$D:$D,MATCH(AG213,编号表!$C:$C,0))*1000+F213</f>
        <v>11562000</v>
      </c>
      <c r="C213" s="14" t="s">
        <v>373</v>
      </c>
      <c r="D213" s="14" t="s">
        <v>362</v>
      </c>
      <c r="E213" s="14" t="s">
        <v>86</v>
      </c>
      <c r="F213" s="14">
        <v>0</v>
      </c>
      <c r="G213" s="14">
        <v>60</v>
      </c>
      <c r="H213" s="31" t="s">
        <v>228</v>
      </c>
      <c r="I213" s="14" t="s">
        <v>75</v>
      </c>
      <c r="J213" s="14" t="s">
        <v>201</v>
      </c>
      <c r="K213" s="14">
        <v>1</v>
      </c>
      <c r="L213" s="14" t="s">
        <v>213</v>
      </c>
      <c r="N213" s="14">
        <v>0</v>
      </c>
      <c r="O213" s="14" t="b">
        <v>1</v>
      </c>
      <c r="Q213" s="14" t="b">
        <v>0</v>
      </c>
      <c r="R213" s="14">
        <v>1</v>
      </c>
      <c r="S213" s="14" t="s">
        <v>77</v>
      </c>
      <c r="T213" s="14">
        <v>999</v>
      </c>
      <c r="U213" s="14" t="s">
        <v>214</v>
      </c>
      <c r="V213" s="14">
        <v>31562000</v>
      </c>
      <c r="X213" s="14" t="s">
        <v>204</v>
      </c>
      <c r="Y213" s="14" t="s">
        <v>215</v>
      </c>
      <c r="Z213" s="14">
        <v>20001</v>
      </c>
      <c r="AA213" s="14" t="s">
        <v>205</v>
      </c>
      <c r="AB213" s="14">
        <v>40001</v>
      </c>
      <c r="AE213" s="29" t="s">
        <v>121</v>
      </c>
      <c r="AF213" s="14" t="s">
        <v>213</v>
      </c>
      <c r="AG213" s="14" t="s">
        <v>86</v>
      </c>
    </row>
    <row r="214" spans="2:33">
      <c r="B214" s="14">
        <f>10000000+INDEX(编号表!$B:$B,MATCH(H214,编号表!$A:$A,0))*100000+INDEX(编号表!$F:$F,MATCH(D214,编号表!$E:$E,0))*10000+INDEX(编号表!$D:$D,MATCH(AG214,编号表!$C:$C,0))*1000+F214</f>
        <v>11562001</v>
      </c>
      <c r="C214" s="14" t="s">
        <v>374</v>
      </c>
      <c r="D214" s="14" t="s">
        <v>362</v>
      </c>
      <c r="E214" s="14" t="s">
        <v>86</v>
      </c>
      <c r="F214" s="14">
        <v>1</v>
      </c>
      <c r="G214" s="14">
        <v>60</v>
      </c>
      <c r="H214" s="31" t="s">
        <v>228</v>
      </c>
      <c r="I214" s="14" t="s">
        <v>75</v>
      </c>
      <c r="J214" s="14" t="s">
        <v>201</v>
      </c>
      <c r="K214" s="14">
        <v>1</v>
      </c>
      <c r="L214" s="14" t="s">
        <v>213</v>
      </c>
      <c r="N214" s="14">
        <v>0</v>
      </c>
      <c r="O214" s="14" t="b">
        <v>1</v>
      </c>
      <c r="Q214" s="14" t="b">
        <v>0</v>
      </c>
      <c r="R214" s="14">
        <v>1</v>
      </c>
      <c r="S214" s="14" t="s">
        <v>77</v>
      </c>
      <c r="T214" s="14">
        <v>999</v>
      </c>
      <c r="U214" s="14" t="s">
        <v>214</v>
      </c>
      <c r="V214" s="14">
        <v>31562001</v>
      </c>
      <c r="X214" s="14" t="s">
        <v>204</v>
      </c>
      <c r="Y214" s="14" t="s">
        <v>215</v>
      </c>
      <c r="Z214" s="14">
        <v>20001</v>
      </c>
      <c r="AA214" s="14" t="s">
        <v>205</v>
      </c>
      <c r="AB214" s="14">
        <v>40001</v>
      </c>
      <c r="AE214" s="29" t="s">
        <v>121</v>
      </c>
      <c r="AF214" s="14" t="s">
        <v>213</v>
      </c>
      <c r="AG214" s="14" t="s">
        <v>86</v>
      </c>
    </row>
    <row r="215" spans="2:33">
      <c r="B215" s="14">
        <f>10000000+INDEX(编号表!$B:$B,MATCH(H215,编号表!$A:$A,0))*100000+INDEX(编号表!$F:$F,MATCH(D215,编号表!$E:$E,0))*10000+INDEX(编号表!$D:$D,MATCH(AG215,编号表!$C:$C,0))*1000+F215</f>
        <v>11562002</v>
      </c>
      <c r="C215" s="14" t="s">
        <v>375</v>
      </c>
      <c r="D215" s="14" t="s">
        <v>362</v>
      </c>
      <c r="E215" s="14" t="s">
        <v>86</v>
      </c>
      <c r="F215" s="14">
        <v>2</v>
      </c>
      <c r="G215" s="14">
        <v>60</v>
      </c>
      <c r="H215" s="31" t="s">
        <v>228</v>
      </c>
      <c r="I215" s="14" t="s">
        <v>75</v>
      </c>
      <c r="J215" s="14" t="s">
        <v>201</v>
      </c>
      <c r="K215" s="14">
        <v>1</v>
      </c>
      <c r="L215" s="14" t="s">
        <v>213</v>
      </c>
      <c r="N215" s="14">
        <v>0</v>
      </c>
      <c r="O215" s="14" t="b">
        <v>1</v>
      </c>
      <c r="Q215" s="14" t="b">
        <v>0</v>
      </c>
      <c r="R215" s="14">
        <v>1</v>
      </c>
      <c r="S215" s="14" t="s">
        <v>77</v>
      </c>
      <c r="T215" s="14">
        <v>999</v>
      </c>
      <c r="U215" s="14" t="s">
        <v>214</v>
      </c>
      <c r="V215" s="14">
        <v>31562002</v>
      </c>
      <c r="X215" s="14" t="s">
        <v>204</v>
      </c>
      <c r="Y215" s="14" t="s">
        <v>215</v>
      </c>
      <c r="Z215" s="14">
        <v>20001</v>
      </c>
      <c r="AA215" s="14" t="s">
        <v>205</v>
      </c>
      <c r="AB215" s="14">
        <v>40001</v>
      </c>
      <c r="AE215" s="29" t="s">
        <v>121</v>
      </c>
      <c r="AF215" s="14" t="s">
        <v>213</v>
      </c>
      <c r="AG215" s="14" t="s">
        <v>86</v>
      </c>
    </row>
    <row r="216" spans="2:33">
      <c r="B216" s="14">
        <f>10000000+INDEX(编号表!$B:$B,MATCH(H216,编号表!$A:$A,0))*100000+INDEX(编号表!$F:$F,MATCH(D216,编号表!$E:$E,0))*10000+INDEX(编号表!$D:$D,MATCH(AG216,编号表!$C:$C,0))*1000+F216</f>
        <v>11562003</v>
      </c>
      <c r="C216" s="14" t="s">
        <v>376</v>
      </c>
      <c r="D216" s="14" t="s">
        <v>362</v>
      </c>
      <c r="E216" s="14" t="s">
        <v>86</v>
      </c>
      <c r="F216" s="14">
        <v>3</v>
      </c>
      <c r="G216" s="14">
        <v>60</v>
      </c>
      <c r="H216" s="31" t="s">
        <v>228</v>
      </c>
      <c r="I216" s="14" t="s">
        <v>75</v>
      </c>
      <c r="J216" s="14" t="s">
        <v>201</v>
      </c>
      <c r="K216" s="14">
        <v>1</v>
      </c>
      <c r="L216" s="14" t="s">
        <v>213</v>
      </c>
      <c r="N216" s="14">
        <v>0</v>
      </c>
      <c r="O216" s="14" t="b">
        <v>1</v>
      </c>
      <c r="Q216" s="14" t="b">
        <v>0</v>
      </c>
      <c r="R216" s="14">
        <v>1</v>
      </c>
      <c r="S216" s="14" t="s">
        <v>77</v>
      </c>
      <c r="T216" s="14">
        <v>999</v>
      </c>
      <c r="U216" s="14" t="s">
        <v>214</v>
      </c>
      <c r="V216" s="14">
        <v>31562003</v>
      </c>
      <c r="X216" s="14" t="s">
        <v>204</v>
      </c>
      <c r="Y216" s="14" t="s">
        <v>215</v>
      </c>
      <c r="Z216" s="14">
        <v>20001</v>
      </c>
      <c r="AA216" s="14" t="s">
        <v>205</v>
      </c>
      <c r="AB216" s="14">
        <v>40001</v>
      </c>
      <c r="AE216" s="29" t="s">
        <v>121</v>
      </c>
      <c r="AF216" s="14" t="s">
        <v>213</v>
      </c>
      <c r="AG216" s="14" t="s">
        <v>86</v>
      </c>
    </row>
    <row r="217" spans="2:33">
      <c r="B217" s="14">
        <f>10000000+INDEX(编号表!$B:$B,MATCH(H217,编号表!$A:$A,0))*100000+INDEX(编号表!$F:$F,MATCH(D217,编号表!$E:$E,0))*10000+INDEX(编号表!$D:$D,MATCH(AG217,编号表!$C:$C,0))*1000+F217</f>
        <v>11562004</v>
      </c>
      <c r="C217" s="14" t="s">
        <v>377</v>
      </c>
      <c r="D217" s="14" t="s">
        <v>362</v>
      </c>
      <c r="E217" s="14" t="s">
        <v>86</v>
      </c>
      <c r="F217" s="14">
        <v>4</v>
      </c>
      <c r="G217" s="14">
        <v>60</v>
      </c>
      <c r="H217" s="31" t="s">
        <v>228</v>
      </c>
      <c r="I217" s="14" t="s">
        <v>75</v>
      </c>
      <c r="J217" s="14" t="s">
        <v>201</v>
      </c>
      <c r="K217" s="14">
        <v>1</v>
      </c>
      <c r="L217" s="14" t="s">
        <v>213</v>
      </c>
      <c r="N217" s="14">
        <v>0</v>
      </c>
      <c r="O217" s="14" t="b">
        <v>1</v>
      </c>
      <c r="Q217" s="14" t="b">
        <v>0</v>
      </c>
      <c r="R217" s="14">
        <v>1</v>
      </c>
      <c r="S217" s="14" t="s">
        <v>77</v>
      </c>
      <c r="T217" s="14">
        <v>999</v>
      </c>
      <c r="U217" s="14" t="s">
        <v>214</v>
      </c>
      <c r="V217" s="14">
        <v>31562004</v>
      </c>
      <c r="X217" s="14" t="s">
        <v>204</v>
      </c>
      <c r="Y217" s="14" t="s">
        <v>215</v>
      </c>
      <c r="Z217" s="14">
        <v>20001</v>
      </c>
      <c r="AA217" s="14" t="s">
        <v>205</v>
      </c>
      <c r="AB217" s="14">
        <v>40001</v>
      </c>
      <c r="AE217" s="29" t="s">
        <v>121</v>
      </c>
      <c r="AF217" s="14" t="s">
        <v>213</v>
      </c>
      <c r="AG217" s="14" t="s">
        <v>86</v>
      </c>
    </row>
    <row r="218" spans="2:33">
      <c r="B218" s="14">
        <f>10000000+INDEX(编号表!$B:$B,MATCH(H218,编号表!$A:$A,0))*100000+INDEX(编号表!$F:$F,MATCH(D218,编号表!$E:$E,0))*10000+INDEX(编号表!$D:$D,MATCH(AG218,编号表!$C:$C,0))*1000+F218</f>
        <v>11562005</v>
      </c>
      <c r="C218" s="14" t="s">
        <v>378</v>
      </c>
      <c r="D218" s="14" t="s">
        <v>362</v>
      </c>
      <c r="E218" s="14" t="s">
        <v>86</v>
      </c>
      <c r="F218" s="14">
        <v>5</v>
      </c>
      <c r="G218" s="14">
        <v>60</v>
      </c>
      <c r="H218" s="31" t="s">
        <v>228</v>
      </c>
      <c r="I218" s="14" t="s">
        <v>75</v>
      </c>
      <c r="J218" s="14" t="s">
        <v>201</v>
      </c>
      <c r="K218" s="14">
        <v>1</v>
      </c>
      <c r="L218" s="14" t="s">
        <v>213</v>
      </c>
      <c r="N218" s="14">
        <v>0</v>
      </c>
      <c r="O218" s="14" t="b">
        <v>1</v>
      </c>
      <c r="Q218" s="14" t="b">
        <v>0</v>
      </c>
      <c r="R218" s="14">
        <v>1</v>
      </c>
      <c r="S218" s="14" t="s">
        <v>77</v>
      </c>
      <c r="T218" s="14">
        <v>999</v>
      </c>
      <c r="U218" s="14" t="s">
        <v>214</v>
      </c>
      <c r="V218" s="14">
        <v>31562005</v>
      </c>
      <c r="X218" s="14" t="s">
        <v>204</v>
      </c>
      <c r="Y218" s="14" t="s">
        <v>215</v>
      </c>
      <c r="Z218" s="14">
        <v>20001</v>
      </c>
      <c r="AA218" s="14" t="s">
        <v>205</v>
      </c>
      <c r="AB218" s="14">
        <v>40001</v>
      </c>
      <c r="AE218" s="29" t="s">
        <v>121</v>
      </c>
      <c r="AF218" s="14" t="s">
        <v>213</v>
      </c>
      <c r="AG218" s="14" t="s">
        <v>86</v>
      </c>
    </row>
    <row r="219" spans="2:33">
      <c r="B219" s="14">
        <f>10000000+INDEX(编号表!$B:$B,MATCH(H219,编号表!$A:$A,0))*100000+INDEX(编号表!$F:$F,MATCH(D219,编号表!$E:$E,0))*10000+INDEX(编号表!$D:$D,MATCH(AG219,编号表!$C:$C,0))*1000+F219</f>
        <v>11562006</v>
      </c>
      <c r="C219" s="14" t="s">
        <v>379</v>
      </c>
      <c r="D219" s="14" t="s">
        <v>362</v>
      </c>
      <c r="E219" s="14" t="s">
        <v>86</v>
      </c>
      <c r="F219" s="14">
        <v>6</v>
      </c>
      <c r="G219" s="14">
        <v>60</v>
      </c>
      <c r="H219" s="31" t="s">
        <v>228</v>
      </c>
      <c r="I219" s="14" t="s">
        <v>75</v>
      </c>
      <c r="J219" s="14" t="s">
        <v>201</v>
      </c>
      <c r="K219" s="14">
        <v>1</v>
      </c>
      <c r="L219" s="14" t="s">
        <v>213</v>
      </c>
      <c r="N219" s="14">
        <v>0</v>
      </c>
      <c r="O219" s="14" t="b">
        <v>1</v>
      </c>
      <c r="Q219" s="14" t="b">
        <v>0</v>
      </c>
      <c r="R219" s="14">
        <v>1</v>
      </c>
      <c r="S219" s="14" t="s">
        <v>77</v>
      </c>
      <c r="T219" s="14">
        <v>999</v>
      </c>
      <c r="U219" s="14" t="s">
        <v>214</v>
      </c>
      <c r="V219" s="14">
        <v>31562006</v>
      </c>
      <c r="X219" s="14" t="s">
        <v>204</v>
      </c>
      <c r="Y219" s="14" t="s">
        <v>215</v>
      </c>
      <c r="Z219" s="14">
        <v>20001</v>
      </c>
      <c r="AA219" s="14" t="s">
        <v>205</v>
      </c>
      <c r="AB219" s="14">
        <v>40001</v>
      </c>
      <c r="AE219" s="29" t="s">
        <v>121</v>
      </c>
      <c r="AF219" s="14" t="s">
        <v>213</v>
      </c>
      <c r="AG219" s="14" t="s">
        <v>86</v>
      </c>
    </row>
    <row r="220" spans="2:33">
      <c r="B220" s="14">
        <f>10000000+INDEX(编号表!$B:$B,MATCH(H220,编号表!$A:$A,0))*100000+INDEX(编号表!$F:$F,MATCH(D220,编号表!$E:$E,0))*10000+INDEX(编号表!$D:$D,MATCH(AG220,编号表!$C:$C,0))*1000+F220</f>
        <v>11562007</v>
      </c>
      <c r="C220" s="14" t="s">
        <v>380</v>
      </c>
      <c r="D220" s="14" t="s">
        <v>362</v>
      </c>
      <c r="E220" s="14" t="s">
        <v>86</v>
      </c>
      <c r="F220" s="14">
        <v>7</v>
      </c>
      <c r="G220" s="14">
        <v>60</v>
      </c>
      <c r="H220" s="31" t="s">
        <v>228</v>
      </c>
      <c r="I220" s="14" t="s">
        <v>75</v>
      </c>
      <c r="J220" s="14" t="s">
        <v>201</v>
      </c>
      <c r="K220" s="14">
        <v>1</v>
      </c>
      <c r="L220" s="14" t="s">
        <v>213</v>
      </c>
      <c r="N220" s="14">
        <v>0</v>
      </c>
      <c r="O220" s="14" t="b">
        <v>1</v>
      </c>
      <c r="Q220" s="14" t="b">
        <v>0</v>
      </c>
      <c r="R220" s="14">
        <v>1</v>
      </c>
      <c r="S220" s="14" t="s">
        <v>77</v>
      </c>
      <c r="T220" s="14">
        <v>999</v>
      </c>
      <c r="U220" s="14" t="s">
        <v>214</v>
      </c>
      <c r="V220" s="14">
        <v>31562007</v>
      </c>
      <c r="X220" s="14" t="s">
        <v>204</v>
      </c>
      <c r="Y220" s="14" t="s">
        <v>215</v>
      </c>
      <c r="Z220" s="14">
        <v>20001</v>
      </c>
      <c r="AA220" s="14" t="s">
        <v>205</v>
      </c>
      <c r="AB220" s="14">
        <v>40001</v>
      </c>
      <c r="AE220" s="29" t="s">
        <v>121</v>
      </c>
      <c r="AF220" s="14" t="s">
        <v>213</v>
      </c>
      <c r="AG220" s="14" t="s">
        <v>86</v>
      </c>
    </row>
    <row r="221" spans="2:33">
      <c r="B221" s="14">
        <f>10000000+INDEX(编号表!$B:$B,MATCH(H221,编号表!$A:$A,0))*100000+INDEX(编号表!$F:$F,MATCH(D221,编号表!$E:$E,0))*10000+INDEX(编号表!$D:$D,MATCH(AG221,编号表!$C:$C,0))*1000+F221</f>
        <v>11562008</v>
      </c>
      <c r="C221" s="14" t="s">
        <v>381</v>
      </c>
      <c r="D221" s="14" t="s">
        <v>362</v>
      </c>
      <c r="E221" s="14" t="s">
        <v>86</v>
      </c>
      <c r="F221" s="14">
        <v>8</v>
      </c>
      <c r="G221" s="14">
        <v>60</v>
      </c>
      <c r="H221" s="31" t="s">
        <v>228</v>
      </c>
      <c r="I221" s="14" t="s">
        <v>75</v>
      </c>
      <c r="J221" s="14" t="s">
        <v>201</v>
      </c>
      <c r="K221" s="14">
        <v>1</v>
      </c>
      <c r="L221" s="14" t="s">
        <v>213</v>
      </c>
      <c r="N221" s="14">
        <v>0</v>
      </c>
      <c r="O221" s="14" t="b">
        <v>1</v>
      </c>
      <c r="Q221" s="14" t="b">
        <v>0</v>
      </c>
      <c r="R221" s="14">
        <v>1</v>
      </c>
      <c r="S221" s="14" t="s">
        <v>77</v>
      </c>
      <c r="T221" s="14">
        <v>999</v>
      </c>
      <c r="U221" s="14" t="s">
        <v>214</v>
      </c>
      <c r="V221" s="14">
        <v>31562008</v>
      </c>
      <c r="X221" s="14" t="s">
        <v>204</v>
      </c>
      <c r="Y221" s="14" t="s">
        <v>215</v>
      </c>
      <c r="Z221" s="14">
        <v>20001</v>
      </c>
      <c r="AA221" s="14" t="s">
        <v>205</v>
      </c>
      <c r="AB221" s="14">
        <v>40001</v>
      </c>
      <c r="AE221" s="29" t="s">
        <v>121</v>
      </c>
      <c r="AF221" s="14" t="s">
        <v>213</v>
      </c>
      <c r="AG221" s="14" t="s">
        <v>86</v>
      </c>
    </row>
    <row r="222" spans="2:33">
      <c r="B222" s="14">
        <f>10000000+INDEX(编号表!$B:$B,MATCH(H222,编号表!$A:$A,0))*100000+INDEX(编号表!$F:$F,MATCH(D222,编号表!$E:$E,0))*10000+INDEX(编号表!$D:$D,MATCH(AG222,编号表!$C:$C,0))*1000+F222</f>
        <v>11562009</v>
      </c>
      <c r="C222" s="14" t="s">
        <v>382</v>
      </c>
      <c r="D222" s="14" t="s">
        <v>362</v>
      </c>
      <c r="E222" s="14" t="s">
        <v>86</v>
      </c>
      <c r="F222" s="14">
        <v>9</v>
      </c>
      <c r="G222" s="14">
        <v>60</v>
      </c>
      <c r="H222" s="31" t="s">
        <v>228</v>
      </c>
      <c r="I222" s="14" t="s">
        <v>75</v>
      </c>
      <c r="J222" s="14" t="s">
        <v>201</v>
      </c>
      <c r="K222" s="14">
        <v>1</v>
      </c>
      <c r="L222" s="14" t="s">
        <v>213</v>
      </c>
      <c r="N222" s="14">
        <v>0</v>
      </c>
      <c r="O222" s="14" t="b">
        <v>1</v>
      </c>
      <c r="Q222" s="14" t="b">
        <v>0</v>
      </c>
      <c r="R222" s="14">
        <v>1</v>
      </c>
      <c r="S222" s="14" t="s">
        <v>77</v>
      </c>
      <c r="T222" s="14">
        <v>999</v>
      </c>
      <c r="U222" s="14" t="s">
        <v>214</v>
      </c>
      <c r="V222" s="14">
        <v>31562009</v>
      </c>
      <c r="X222" s="14" t="s">
        <v>204</v>
      </c>
      <c r="Y222" s="14" t="s">
        <v>215</v>
      </c>
      <c r="Z222" s="14">
        <v>20001</v>
      </c>
      <c r="AA222" s="14" t="s">
        <v>205</v>
      </c>
      <c r="AB222" s="14">
        <v>40001</v>
      </c>
      <c r="AE222" s="29" t="s">
        <v>121</v>
      </c>
      <c r="AF222" s="14" t="s">
        <v>213</v>
      </c>
      <c r="AG222" s="14" t="s">
        <v>86</v>
      </c>
    </row>
    <row r="223" spans="2:33">
      <c r="B223" s="14">
        <f>10000000+INDEX(编号表!$B:$B,MATCH(H223,编号表!$A:$A,0))*100000+INDEX(编号表!$F:$F,MATCH(D223,编号表!$E:$E,0))*10000+INDEX(编号表!$D:$D,MATCH(AG223,编号表!$C:$C,0))*1000+F223</f>
        <v>11462000</v>
      </c>
      <c r="C223" s="14" t="s">
        <v>383</v>
      </c>
      <c r="D223" s="14" t="s">
        <v>362</v>
      </c>
      <c r="E223" s="14" t="s">
        <v>86</v>
      </c>
      <c r="F223" s="14">
        <v>0</v>
      </c>
      <c r="G223" s="14">
        <v>60</v>
      </c>
      <c r="H223" s="31" t="s">
        <v>239</v>
      </c>
      <c r="I223" s="14" t="s">
        <v>75</v>
      </c>
      <c r="J223" s="14" t="s">
        <v>201</v>
      </c>
      <c r="K223" s="14">
        <v>1</v>
      </c>
      <c r="L223" s="14" t="s">
        <v>213</v>
      </c>
      <c r="N223" s="14">
        <v>0</v>
      </c>
      <c r="O223" s="14" t="b">
        <v>1</v>
      </c>
      <c r="Q223" s="14" t="b">
        <v>0</v>
      </c>
      <c r="R223" s="14">
        <v>1</v>
      </c>
      <c r="S223" s="14" t="s">
        <v>77</v>
      </c>
      <c r="T223" s="14">
        <v>999</v>
      </c>
      <c r="U223" s="14" t="s">
        <v>214</v>
      </c>
      <c r="V223" s="14">
        <v>31462000</v>
      </c>
      <c r="X223" s="14" t="s">
        <v>204</v>
      </c>
      <c r="Y223" s="14" t="s">
        <v>215</v>
      </c>
      <c r="Z223" s="14">
        <v>20001</v>
      </c>
      <c r="AA223" s="14" t="s">
        <v>205</v>
      </c>
      <c r="AB223" s="14">
        <v>40001</v>
      </c>
      <c r="AE223" s="29" t="s">
        <v>121</v>
      </c>
      <c r="AF223" s="14" t="s">
        <v>213</v>
      </c>
      <c r="AG223" s="14" t="s">
        <v>86</v>
      </c>
    </row>
    <row r="224" spans="2:33">
      <c r="B224" s="14">
        <f>10000000+INDEX(编号表!$B:$B,MATCH(H224,编号表!$A:$A,0))*100000+INDEX(编号表!$F:$F,MATCH(D224,编号表!$E:$E,0))*10000+INDEX(编号表!$D:$D,MATCH(AG224,编号表!$C:$C,0))*1000+F224</f>
        <v>11462001</v>
      </c>
      <c r="C224" s="14" t="s">
        <v>384</v>
      </c>
      <c r="D224" s="14" t="s">
        <v>362</v>
      </c>
      <c r="E224" s="14" t="s">
        <v>86</v>
      </c>
      <c r="F224" s="14">
        <v>1</v>
      </c>
      <c r="G224" s="14">
        <v>60</v>
      </c>
      <c r="H224" s="31" t="s">
        <v>239</v>
      </c>
      <c r="I224" s="14" t="s">
        <v>75</v>
      </c>
      <c r="J224" s="14" t="s">
        <v>201</v>
      </c>
      <c r="K224" s="14">
        <v>1</v>
      </c>
      <c r="L224" s="14" t="s">
        <v>213</v>
      </c>
      <c r="N224" s="14">
        <v>0</v>
      </c>
      <c r="O224" s="14" t="b">
        <v>1</v>
      </c>
      <c r="Q224" s="14" t="b">
        <v>0</v>
      </c>
      <c r="R224" s="14">
        <v>1</v>
      </c>
      <c r="S224" s="14" t="s">
        <v>77</v>
      </c>
      <c r="T224" s="14">
        <v>999</v>
      </c>
      <c r="U224" s="14" t="s">
        <v>214</v>
      </c>
      <c r="V224" s="14">
        <v>31462001</v>
      </c>
      <c r="X224" s="14" t="s">
        <v>204</v>
      </c>
      <c r="Y224" s="14" t="s">
        <v>215</v>
      </c>
      <c r="Z224" s="14">
        <v>20001</v>
      </c>
      <c r="AA224" s="14" t="s">
        <v>205</v>
      </c>
      <c r="AB224" s="14">
        <v>40001</v>
      </c>
      <c r="AE224" s="29" t="s">
        <v>121</v>
      </c>
      <c r="AF224" s="14" t="s">
        <v>213</v>
      </c>
      <c r="AG224" s="14" t="s">
        <v>86</v>
      </c>
    </row>
    <row r="225" spans="2:33">
      <c r="B225" s="14">
        <f>10000000+INDEX(编号表!$B:$B,MATCH(H225,编号表!$A:$A,0))*100000+INDEX(编号表!$F:$F,MATCH(D225,编号表!$E:$E,0))*10000+INDEX(编号表!$D:$D,MATCH(AG225,编号表!$C:$C,0))*1000+F225</f>
        <v>11462002</v>
      </c>
      <c r="C225" s="14" t="s">
        <v>385</v>
      </c>
      <c r="D225" s="14" t="s">
        <v>362</v>
      </c>
      <c r="E225" s="14" t="s">
        <v>86</v>
      </c>
      <c r="F225" s="14">
        <v>2</v>
      </c>
      <c r="G225" s="14">
        <v>60</v>
      </c>
      <c r="H225" s="31" t="s">
        <v>239</v>
      </c>
      <c r="I225" s="14" t="s">
        <v>75</v>
      </c>
      <c r="J225" s="14" t="s">
        <v>201</v>
      </c>
      <c r="K225" s="14">
        <v>1</v>
      </c>
      <c r="L225" s="14" t="s">
        <v>213</v>
      </c>
      <c r="N225" s="14">
        <v>0</v>
      </c>
      <c r="O225" s="14" t="b">
        <v>1</v>
      </c>
      <c r="Q225" s="14" t="b">
        <v>0</v>
      </c>
      <c r="R225" s="14">
        <v>1</v>
      </c>
      <c r="S225" s="14" t="s">
        <v>77</v>
      </c>
      <c r="T225" s="14">
        <v>999</v>
      </c>
      <c r="U225" s="14" t="s">
        <v>214</v>
      </c>
      <c r="V225" s="14">
        <v>31462002</v>
      </c>
      <c r="X225" s="14" t="s">
        <v>204</v>
      </c>
      <c r="Y225" s="14" t="s">
        <v>215</v>
      </c>
      <c r="Z225" s="14">
        <v>20001</v>
      </c>
      <c r="AA225" s="14" t="s">
        <v>205</v>
      </c>
      <c r="AB225" s="14">
        <v>40001</v>
      </c>
      <c r="AE225" s="29" t="s">
        <v>121</v>
      </c>
      <c r="AF225" s="14" t="s">
        <v>213</v>
      </c>
      <c r="AG225" s="14" t="s">
        <v>86</v>
      </c>
    </row>
    <row r="226" spans="2:33">
      <c r="B226" s="14">
        <f>10000000+INDEX(编号表!$B:$B,MATCH(H226,编号表!$A:$A,0))*100000+INDEX(编号表!$F:$F,MATCH(D226,编号表!$E:$E,0))*10000+INDEX(编号表!$D:$D,MATCH(AG226,编号表!$C:$C,0))*1000+F226</f>
        <v>11462003</v>
      </c>
      <c r="C226" s="14" t="s">
        <v>386</v>
      </c>
      <c r="D226" s="14" t="s">
        <v>362</v>
      </c>
      <c r="E226" s="14" t="s">
        <v>86</v>
      </c>
      <c r="F226" s="14">
        <v>3</v>
      </c>
      <c r="G226" s="14">
        <v>60</v>
      </c>
      <c r="H226" s="31" t="s">
        <v>239</v>
      </c>
      <c r="I226" s="14" t="s">
        <v>75</v>
      </c>
      <c r="J226" s="14" t="s">
        <v>201</v>
      </c>
      <c r="K226" s="14">
        <v>1</v>
      </c>
      <c r="L226" s="14" t="s">
        <v>213</v>
      </c>
      <c r="N226" s="14">
        <v>0</v>
      </c>
      <c r="O226" s="14" t="b">
        <v>1</v>
      </c>
      <c r="Q226" s="14" t="b">
        <v>0</v>
      </c>
      <c r="R226" s="14">
        <v>1</v>
      </c>
      <c r="S226" s="14" t="s">
        <v>77</v>
      </c>
      <c r="T226" s="14">
        <v>999</v>
      </c>
      <c r="U226" s="14" t="s">
        <v>214</v>
      </c>
      <c r="V226" s="14">
        <v>31462003</v>
      </c>
      <c r="X226" s="14" t="s">
        <v>204</v>
      </c>
      <c r="Y226" s="14" t="s">
        <v>215</v>
      </c>
      <c r="Z226" s="14">
        <v>20001</v>
      </c>
      <c r="AA226" s="14" t="s">
        <v>205</v>
      </c>
      <c r="AB226" s="14">
        <v>40001</v>
      </c>
      <c r="AE226" s="29" t="s">
        <v>121</v>
      </c>
      <c r="AF226" s="14" t="s">
        <v>213</v>
      </c>
      <c r="AG226" s="14" t="s">
        <v>86</v>
      </c>
    </row>
    <row r="227" spans="2:33">
      <c r="B227" s="14">
        <f>10000000+INDEX(编号表!$B:$B,MATCH(H227,编号表!$A:$A,0))*100000+INDEX(编号表!$F:$F,MATCH(D227,编号表!$E:$E,0))*10000+INDEX(编号表!$D:$D,MATCH(AG227,编号表!$C:$C,0))*1000+F227</f>
        <v>11662000</v>
      </c>
      <c r="C227" s="14" t="s">
        <v>387</v>
      </c>
      <c r="D227" s="14" t="s">
        <v>362</v>
      </c>
      <c r="E227" s="14" t="s">
        <v>86</v>
      </c>
      <c r="F227" s="14">
        <v>0</v>
      </c>
      <c r="G227" s="14">
        <v>60</v>
      </c>
      <c r="H227" s="31" t="s">
        <v>244</v>
      </c>
      <c r="I227" s="14" t="s">
        <v>75</v>
      </c>
      <c r="J227" s="14" t="s">
        <v>201</v>
      </c>
      <c r="K227" s="14">
        <v>1</v>
      </c>
      <c r="L227" s="14" t="s">
        <v>213</v>
      </c>
      <c r="N227" s="14">
        <v>0</v>
      </c>
      <c r="O227" s="14" t="b">
        <v>1</v>
      </c>
      <c r="Q227" s="14" t="b">
        <v>0</v>
      </c>
      <c r="R227" s="14">
        <v>1</v>
      </c>
      <c r="S227" s="14" t="s">
        <v>77</v>
      </c>
      <c r="T227" s="14">
        <v>999</v>
      </c>
      <c r="U227" s="14" t="s">
        <v>214</v>
      </c>
      <c r="V227" s="14">
        <v>31662000</v>
      </c>
      <c r="X227" s="14" t="s">
        <v>204</v>
      </c>
      <c r="Y227" s="14" t="s">
        <v>215</v>
      </c>
      <c r="Z227" s="14">
        <v>20001</v>
      </c>
      <c r="AA227" s="14" t="s">
        <v>205</v>
      </c>
      <c r="AB227" s="14">
        <v>40001</v>
      </c>
      <c r="AE227" s="29" t="s">
        <v>121</v>
      </c>
      <c r="AF227" s="14" t="s">
        <v>213</v>
      </c>
      <c r="AG227" s="14" t="s">
        <v>86</v>
      </c>
    </row>
    <row r="228" spans="2:33">
      <c r="B228" s="14">
        <f>10000000+INDEX(编号表!$B:$B,MATCH(H228,编号表!$A:$A,0))*100000+INDEX(编号表!$F:$F,MATCH(D228,编号表!$E:$E,0))*10000+INDEX(编号表!$D:$D,MATCH(AG228,编号表!$C:$C,0))*1000+F228</f>
        <v>11662001</v>
      </c>
      <c r="C228" s="14" t="s">
        <v>388</v>
      </c>
      <c r="D228" s="14" t="s">
        <v>362</v>
      </c>
      <c r="E228" s="14" t="s">
        <v>86</v>
      </c>
      <c r="F228" s="14">
        <v>1</v>
      </c>
      <c r="G228" s="14">
        <v>60</v>
      </c>
      <c r="H228" s="31" t="s">
        <v>244</v>
      </c>
      <c r="I228" s="14" t="s">
        <v>75</v>
      </c>
      <c r="J228" s="14" t="s">
        <v>201</v>
      </c>
      <c r="K228" s="14">
        <v>1</v>
      </c>
      <c r="L228" s="14" t="s">
        <v>213</v>
      </c>
      <c r="N228" s="14">
        <v>0</v>
      </c>
      <c r="O228" s="14" t="b">
        <v>1</v>
      </c>
      <c r="Q228" s="14" t="b">
        <v>0</v>
      </c>
      <c r="R228" s="14">
        <v>1</v>
      </c>
      <c r="S228" s="14" t="s">
        <v>77</v>
      </c>
      <c r="T228" s="14">
        <v>999</v>
      </c>
      <c r="U228" s="14" t="s">
        <v>214</v>
      </c>
      <c r="V228" s="14">
        <v>31662001</v>
      </c>
      <c r="X228" s="14" t="s">
        <v>204</v>
      </c>
      <c r="Y228" s="14" t="s">
        <v>215</v>
      </c>
      <c r="Z228" s="14">
        <v>20001</v>
      </c>
      <c r="AA228" s="14" t="s">
        <v>205</v>
      </c>
      <c r="AB228" s="14">
        <v>40001</v>
      </c>
      <c r="AE228" s="29" t="s">
        <v>121</v>
      </c>
      <c r="AF228" s="14" t="s">
        <v>213</v>
      </c>
      <c r="AG228" s="14" t="s">
        <v>86</v>
      </c>
    </row>
    <row r="229" spans="2:33">
      <c r="B229" s="14">
        <f>10000000+INDEX(编号表!$B:$B,MATCH(H229,编号表!$A:$A,0))*100000+INDEX(编号表!$F:$F,MATCH(D229,编号表!$E:$E,0))*10000+INDEX(编号表!$D:$D,MATCH(AG229,编号表!$C:$C,0))*1000+F229</f>
        <v>11662002</v>
      </c>
      <c r="C229" s="14" t="s">
        <v>389</v>
      </c>
      <c r="D229" s="14" t="s">
        <v>362</v>
      </c>
      <c r="E229" s="14" t="s">
        <v>86</v>
      </c>
      <c r="F229" s="14">
        <v>2</v>
      </c>
      <c r="G229" s="14">
        <v>60</v>
      </c>
      <c r="H229" s="31" t="s">
        <v>244</v>
      </c>
      <c r="I229" s="14" t="s">
        <v>75</v>
      </c>
      <c r="J229" s="14" t="s">
        <v>201</v>
      </c>
      <c r="K229" s="14">
        <v>1</v>
      </c>
      <c r="L229" s="14" t="s">
        <v>213</v>
      </c>
      <c r="N229" s="14">
        <v>0</v>
      </c>
      <c r="O229" s="14" t="b">
        <v>1</v>
      </c>
      <c r="Q229" s="14" t="b">
        <v>0</v>
      </c>
      <c r="R229" s="14">
        <v>1</v>
      </c>
      <c r="S229" s="14" t="s">
        <v>77</v>
      </c>
      <c r="T229" s="14">
        <v>999</v>
      </c>
      <c r="U229" s="14" t="s">
        <v>214</v>
      </c>
      <c r="V229" s="14">
        <v>31662002</v>
      </c>
      <c r="X229" s="14" t="s">
        <v>204</v>
      </c>
      <c r="Y229" s="14" t="s">
        <v>215</v>
      </c>
      <c r="Z229" s="14">
        <v>20001</v>
      </c>
      <c r="AA229" s="14" t="s">
        <v>205</v>
      </c>
      <c r="AB229" s="14">
        <v>40001</v>
      </c>
      <c r="AE229" s="29" t="s">
        <v>121</v>
      </c>
      <c r="AF229" s="14" t="s">
        <v>213</v>
      </c>
      <c r="AG229" s="14" t="s">
        <v>86</v>
      </c>
    </row>
    <row r="230" spans="2:33">
      <c r="B230" s="14">
        <f>10000000+INDEX(编号表!$B:$B,MATCH(H230,编号表!$A:$A,0))*100000+INDEX(编号表!$F:$F,MATCH(D230,编号表!$E:$E,0))*10000+INDEX(编号表!$D:$D,MATCH(AG230,编号表!$C:$C,0))*1000+F230</f>
        <v>11213000</v>
      </c>
      <c r="C230" s="14" t="s">
        <v>390</v>
      </c>
      <c r="D230" s="14" t="s">
        <v>72</v>
      </c>
      <c r="E230" s="14" t="s">
        <v>89</v>
      </c>
      <c r="F230" s="14">
        <v>0</v>
      </c>
      <c r="G230" s="14">
        <v>60</v>
      </c>
      <c r="H230" s="31" t="s">
        <v>212</v>
      </c>
      <c r="I230" s="14" t="s">
        <v>75</v>
      </c>
      <c r="J230" s="14" t="s">
        <v>201</v>
      </c>
      <c r="K230" s="14">
        <v>1</v>
      </c>
      <c r="L230" s="14" t="s">
        <v>213</v>
      </c>
      <c r="N230" s="14">
        <v>0</v>
      </c>
      <c r="O230" s="14" t="b">
        <v>1</v>
      </c>
      <c r="Q230" s="14" t="b">
        <v>0</v>
      </c>
      <c r="R230" s="14">
        <v>1</v>
      </c>
      <c r="S230" s="14" t="s">
        <v>77</v>
      </c>
      <c r="T230" s="14">
        <v>999</v>
      </c>
      <c r="U230" s="14" t="s">
        <v>214</v>
      </c>
      <c r="V230" s="14">
        <v>31213000</v>
      </c>
      <c r="X230" s="14" t="s">
        <v>204</v>
      </c>
      <c r="Y230" s="14" t="s">
        <v>215</v>
      </c>
      <c r="Z230" s="14">
        <v>20001</v>
      </c>
      <c r="AA230" s="14" t="s">
        <v>205</v>
      </c>
      <c r="AB230" s="14">
        <v>40001</v>
      </c>
      <c r="AE230" s="29" t="s">
        <v>121</v>
      </c>
      <c r="AF230" s="14" t="s">
        <v>213</v>
      </c>
      <c r="AG230" s="14" t="s">
        <v>89</v>
      </c>
    </row>
    <row r="231" spans="2:33">
      <c r="B231" s="14">
        <f>10000000+INDEX(编号表!$B:$B,MATCH(H231,编号表!$A:$A,0))*100000+INDEX(编号表!$F:$F,MATCH(D231,编号表!$E:$E,0))*10000+INDEX(编号表!$D:$D,MATCH(AG231,编号表!$C:$C,0))*1000+F231</f>
        <v>11313000</v>
      </c>
      <c r="C231" s="14" t="s">
        <v>391</v>
      </c>
      <c r="D231" s="14" t="s">
        <v>72</v>
      </c>
      <c r="E231" s="14" t="s">
        <v>89</v>
      </c>
      <c r="F231" s="14">
        <v>0</v>
      </c>
      <c r="G231" s="14">
        <v>60</v>
      </c>
      <c r="H231" s="31" t="s">
        <v>217</v>
      </c>
      <c r="I231" s="14" t="s">
        <v>75</v>
      </c>
      <c r="J231" s="14" t="s">
        <v>201</v>
      </c>
      <c r="K231" s="14">
        <v>1</v>
      </c>
      <c r="L231" s="14" t="s">
        <v>213</v>
      </c>
      <c r="N231" s="14">
        <v>0</v>
      </c>
      <c r="O231" s="14" t="b">
        <v>1</v>
      </c>
      <c r="Q231" s="14" t="b">
        <v>0</v>
      </c>
      <c r="R231" s="14">
        <v>1</v>
      </c>
      <c r="S231" s="14" t="s">
        <v>77</v>
      </c>
      <c r="T231" s="14">
        <v>999</v>
      </c>
      <c r="U231" s="14" t="s">
        <v>214</v>
      </c>
      <c r="V231" s="14">
        <v>31313000</v>
      </c>
      <c r="X231" s="14" t="s">
        <v>204</v>
      </c>
      <c r="Y231" s="14" t="s">
        <v>215</v>
      </c>
      <c r="Z231" s="14">
        <v>20001</v>
      </c>
      <c r="AA231" s="14" t="s">
        <v>205</v>
      </c>
      <c r="AB231" s="14">
        <v>40001</v>
      </c>
      <c r="AE231" s="29" t="s">
        <v>121</v>
      </c>
      <c r="AF231" s="14" t="s">
        <v>213</v>
      </c>
      <c r="AG231" s="14" t="s">
        <v>89</v>
      </c>
    </row>
    <row r="232" spans="2:33">
      <c r="B232" s="14">
        <f>10000000+INDEX(编号表!$B:$B,MATCH(H232,编号表!$A:$A,0))*100000+INDEX(编号表!$F:$F,MATCH(D232,编号表!$E:$E,0))*10000+INDEX(编号表!$D:$D,MATCH(AG232,编号表!$C:$C,0))*1000+F232</f>
        <v>11313001</v>
      </c>
      <c r="C232" s="14" t="s">
        <v>392</v>
      </c>
      <c r="D232" s="14" t="s">
        <v>72</v>
      </c>
      <c r="E232" s="14" t="s">
        <v>89</v>
      </c>
      <c r="F232" s="14">
        <v>1</v>
      </c>
      <c r="G232" s="14">
        <v>60</v>
      </c>
      <c r="H232" s="31" t="s">
        <v>217</v>
      </c>
      <c r="I232" s="14" t="s">
        <v>75</v>
      </c>
      <c r="J232" s="14" t="s">
        <v>201</v>
      </c>
      <c r="K232" s="14">
        <v>1</v>
      </c>
      <c r="L232" s="14" t="s">
        <v>213</v>
      </c>
      <c r="N232" s="14">
        <v>0</v>
      </c>
      <c r="O232" s="14" t="b">
        <v>1</v>
      </c>
      <c r="Q232" s="14" t="b">
        <v>0</v>
      </c>
      <c r="R232" s="14">
        <v>1</v>
      </c>
      <c r="S232" s="14" t="s">
        <v>77</v>
      </c>
      <c r="T232" s="14">
        <v>999</v>
      </c>
      <c r="U232" s="14" t="s">
        <v>214</v>
      </c>
      <c r="V232" s="14">
        <v>31313001</v>
      </c>
      <c r="X232" s="14" t="s">
        <v>204</v>
      </c>
      <c r="Y232" s="14" t="s">
        <v>215</v>
      </c>
      <c r="Z232" s="14">
        <v>20001</v>
      </c>
      <c r="AA232" s="14" t="s">
        <v>205</v>
      </c>
      <c r="AB232" s="14">
        <v>40001</v>
      </c>
      <c r="AE232" s="29" t="s">
        <v>121</v>
      </c>
      <c r="AF232" s="14" t="s">
        <v>213</v>
      </c>
      <c r="AG232" s="14" t="s">
        <v>89</v>
      </c>
    </row>
    <row r="233" spans="2:33">
      <c r="B233" s="14">
        <f>10000000+INDEX(编号表!$B:$B,MATCH(H233,编号表!$A:$A,0))*100000+INDEX(编号表!$F:$F,MATCH(D233,编号表!$E:$E,0))*10000+INDEX(编号表!$D:$D,MATCH(AG233,编号表!$C:$C,0))*1000+F233</f>
        <v>11313002</v>
      </c>
      <c r="C233" s="14" t="s">
        <v>393</v>
      </c>
      <c r="D233" s="14" t="s">
        <v>72</v>
      </c>
      <c r="E233" s="14" t="s">
        <v>89</v>
      </c>
      <c r="F233" s="14">
        <v>2</v>
      </c>
      <c r="G233" s="14">
        <v>60</v>
      </c>
      <c r="H233" s="31" t="s">
        <v>217</v>
      </c>
      <c r="I233" s="14" t="s">
        <v>75</v>
      </c>
      <c r="J233" s="14" t="s">
        <v>201</v>
      </c>
      <c r="K233" s="14">
        <v>1</v>
      </c>
      <c r="L233" s="14" t="s">
        <v>213</v>
      </c>
      <c r="N233" s="14">
        <v>0</v>
      </c>
      <c r="O233" s="14" t="b">
        <v>1</v>
      </c>
      <c r="Q233" s="14" t="b">
        <v>0</v>
      </c>
      <c r="R233" s="14">
        <v>1</v>
      </c>
      <c r="S233" s="14" t="s">
        <v>77</v>
      </c>
      <c r="T233" s="14">
        <v>999</v>
      </c>
      <c r="U233" s="14" t="s">
        <v>214</v>
      </c>
      <c r="V233" s="14">
        <v>31313002</v>
      </c>
      <c r="X233" s="14" t="s">
        <v>204</v>
      </c>
      <c r="Y233" s="14" t="s">
        <v>215</v>
      </c>
      <c r="Z233" s="14">
        <v>20001</v>
      </c>
      <c r="AA233" s="14" t="s">
        <v>205</v>
      </c>
      <c r="AB233" s="14">
        <v>40001</v>
      </c>
      <c r="AE233" s="29" t="s">
        <v>121</v>
      </c>
      <c r="AF233" s="14" t="s">
        <v>213</v>
      </c>
      <c r="AG233" s="14" t="s">
        <v>89</v>
      </c>
    </row>
    <row r="234" spans="2:33">
      <c r="B234" s="14">
        <f>10000000+INDEX(编号表!$B:$B,MATCH(H234,编号表!$A:$A,0))*100000+INDEX(编号表!$F:$F,MATCH(D234,编号表!$E:$E,0))*10000+INDEX(编号表!$D:$D,MATCH(AG234,编号表!$C:$C,0))*1000+F234</f>
        <v>11313003</v>
      </c>
      <c r="C234" s="14" t="s">
        <v>394</v>
      </c>
      <c r="D234" s="14" t="s">
        <v>72</v>
      </c>
      <c r="E234" s="14" t="s">
        <v>89</v>
      </c>
      <c r="F234" s="14">
        <v>3</v>
      </c>
      <c r="G234" s="14">
        <v>60</v>
      </c>
      <c r="H234" s="31" t="s">
        <v>217</v>
      </c>
      <c r="I234" s="14" t="s">
        <v>75</v>
      </c>
      <c r="J234" s="14" t="s">
        <v>201</v>
      </c>
      <c r="K234" s="14">
        <v>1</v>
      </c>
      <c r="L234" s="14" t="s">
        <v>213</v>
      </c>
      <c r="N234" s="14">
        <v>0</v>
      </c>
      <c r="O234" s="14" t="b">
        <v>1</v>
      </c>
      <c r="Q234" s="14" t="b">
        <v>0</v>
      </c>
      <c r="R234" s="14">
        <v>1</v>
      </c>
      <c r="S234" s="14" t="s">
        <v>77</v>
      </c>
      <c r="T234" s="14">
        <v>999</v>
      </c>
      <c r="U234" s="14" t="s">
        <v>214</v>
      </c>
      <c r="V234" s="14">
        <v>31313003</v>
      </c>
      <c r="X234" s="14" t="s">
        <v>204</v>
      </c>
      <c r="Y234" s="14" t="s">
        <v>215</v>
      </c>
      <c r="Z234" s="14">
        <v>20001</v>
      </c>
      <c r="AA234" s="14" t="s">
        <v>205</v>
      </c>
      <c r="AB234" s="14">
        <v>40001</v>
      </c>
      <c r="AE234" s="29" t="s">
        <v>121</v>
      </c>
      <c r="AF234" s="14" t="s">
        <v>213</v>
      </c>
      <c r="AG234" s="14" t="s">
        <v>89</v>
      </c>
    </row>
    <row r="235" spans="2:33">
      <c r="B235" s="14">
        <f>10000000+INDEX(编号表!$B:$B,MATCH(H235,编号表!$A:$A,0))*100000+INDEX(编号表!$F:$F,MATCH(D235,编号表!$E:$E,0))*10000+INDEX(编号表!$D:$D,MATCH(AG235,编号表!$C:$C,0))*1000+F235</f>
        <v>11313004</v>
      </c>
      <c r="C235" s="14" t="s">
        <v>395</v>
      </c>
      <c r="D235" s="14" t="s">
        <v>72</v>
      </c>
      <c r="E235" s="14" t="s">
        <v>89</v>
      </c>
      <c r="F235" s="14">
        <v>4</v>
      </c>
      <c r="G235" s="14">
        <v>60</v>
      </c>
      <c r="H235" s="31" t="s">
        <v>217</v>
      </c>
      <c r="I235" s="14" t="s">
        <v>75</v>
      </c>
      <c r="J235" s="14" t="s">
        <v>201</v>
      </c>
      <c r="K235" s="14">
        <v>1</v>
      </c>
      <c r="L235" s="14" t="s">
        <v>213</v>
      </c>
      <c r="N235" s="14">
        <v>0</v>
      </c>
      <c r="O235" s="14" t="b">
        <v>1</v>
      </c>
      <c r="Q235" s="14" t="b">
        <v>0</v>
      </c>
      <c r="R235" s="14">
        <v>1</v>
      </c>
      <c r="S235" s="14" t="s">
        <v>77</v>
      </c>
      <c r="T235" s="14">
        <v>999</v>
      </c>
      <c r="U235" s="14" t="s">
        <v>214</v>
      </c>
      <c r="V235" s="14">
        <v>31313004</v>
      </c>
      <c r="X235" s="14" t="s">
        <v>204</v>
      </c>
      <c r="Y235" s="14" t="s">
        <v>215</v>
      </c>
      <c r="Z235" s="14">
        <v>20001</v>
      </c>
      <c r="AA235" s="14" t="s">
        <v>205</v>
      </c>
      <c r="AB235" s="14">
        <v>40001</v>
      </c>
      <c r="AE235" s="29" t="s">
        <v>121</v>
      </c>
      <c r="AF235" s="14" t="s">
        <v>213</v>
      </c>
      <c r="AG235" s="14" t="s">
        <v>89</v>
      </c>
    </row>
    <row r="236" spans="2:33">
      <c r="B236" s="14">
        <f>10000000+INDEX(编号表!$B:$B,MATCH(H236,编号表!$A:$A,0))*100000+INDEX(编号表!$F:$F,MATCH(D236,编号表!$E:$E,0))*10000+INDEX(编号表!$D:$D,MATCH(AG236,编号表!$C:$C,0))*1000+F236</f>
        <v>11313005</v>
      </c>
      <c r="C236" s="14" t="s">
        <v>396</v>
      </c>
      <c r="D236" s="14" t="s">
        <v>72</v>
      </c>
      <c r="E236" s="14" t="s">
        <v>89</v>
      </c>
      <c r="F236" s="14">
        <v>5</v>
      </c>
      <c r="G236" s="14">
        <v>60</v>
      </c>
      <c r="H236" s="31" t="s">
        <v>217</v>
      </c>
      <c r="I236" s="14" t="s">
        <v>75</v>
      </c>
      <c r="J236" s="14" t="s">
        <v>201</v>
      </c>
      <c r="K236" s="14">
        <v>1</v>
      </c>
      <c r="L236" s="14" t="s">
        <v>213</v>
      </c>
      <c r="N236" s="14">
        <v>0</v>
      </c>
      <c r="O236" s="14" t="b">
        <v>1</v>
      </c>
      <c r="Q236" s="14" t="b">
        <v>0</v>
      </c>
      <c r="R236" s="14">
        <v>1</v>
      </c>
      <c r="S236" s="14" t="s">
        <v>77</v>
      </c>
      <c r="T236" s="14">
        <v>999</v>
      </c>
      <c r="U236" s="14" t="s">
        <v>214</v>
      </c>
      <c r="V236" s="14">
        <v>31313005</v>
      </c>
      <c r="X236" s="14" t="s">
        <v>204</v>
      </c>
      <c r="Y236" s="14" t="s">
        <v>215</v>
      </c>
      <c r="Z236" s="14">
        <v>20001</v>
      </c>
      <c r="AA236" s="14" t="s">
        <v>205</v>
      </c>
      <c r="AB236" s="14">
        <v>40001</v>
      </c>
      <c r="AE236" s="29" t="s">
        <v>121</v>
      </c>
      <c r="AF236" s="14" t="s">
        <v>213</v>
      </c>
      <c r="AG236" s="14" t="s">
        <v>89</v>
      </c>
    </row>
    <row r="237" spans="2:33">
      <c r="B237" s="14">
        <f>10000000+INDEX(编号表!$B:$B,MATCH(H237,编号表!$A:$A,0))*100000+INDEX(编号表!$F:$F,MATCH(D237,编号表!$E:$E,0))*10000+INDEX(编号表!$D:$D,MATCH(AG237,编号表!$C:$C,0))*1000+F237</f>
        <v>11313006</v>
      </c>
      <c r="C237" s="14" t="s">
        <v>397</v>
      </c>
      <c r="D237" s="14" t="s">
        <v>72</v>
      </c>
      <c r="E237" s="14" t="s">
        <v>89</v>
      </c>
      <c r="F237" s="14">
        <v>6</v>
      </c>
      <c r="G237" s="14">
        <v>60</v>
      </c>
      <c r="H237" s="31" t="s">
        <v>217</v>
      </c>
      <c r="I237" s="14" t="s">
        <v>75</v>
      </c>
      <c r="J237" s="14" t="s">
        <v>201</v>
      </c>
      <c r="K237" s="14">
        <v>1</v>
      </c>
      <c r="L237" s="14" t="s">
        <v>213</v>
      </c>
      <c r="N237" s="14">
        <v>0</v>
      </c>
      <c r="O237" s="14" t="b">
        <v>1</v>
      </c>
      <c r="Q237" s="14" t="b">
        <v>0</v>
      </c>
      <c r="R237" s="14">
        <v>1</v>
      </c>
      <c r="S237" s="14" t="s">
        <v>77</v>
      </c>
      <c r="T237" s="14">
        <v>999</v>
      </c>
      <c r="U237" s="14" t="s">
        <v>214</v>
      </c>
      <c r="V237" s="14">
        <v>31313006</v>
      </c>
      <c r="X237" s="14" t="s">
        <v>204</v>
      </c>
      <c r="Y237" s="14" t="s">
        <v>215</v>
      </c>
      <c r="Z237" s="14">
        <v>20001</v>
      </c>
      <c r="AA237" s="14" t="s">
        <v>205</v>
      </c>
      <c r="AB237" s="14">
        <v>40001</v>
      </c>
      <c r="AE237" s="29" t="s">
        <v>121</v>
      </c>
      <c r="AF237" s="14" t="s">
        <v>213</v>
      </c>
      <c r="AG237" s="14" t="s">
        <v>89</v>
      </c>
    </row>
    <row r="238" spans="2:33">
      <c r="B238" s="14">
        <f>10000000+INDEX(编号表!$B:$B,MATCH(H238,编号表!$A:$A,0))*100000+INDEX(编号表!$F:$F,MATCH(D238,编号表!$E:$E,0))*10000+INDEX(编号表!$D:$D,MATCH(AG238,编号表!$C:$C,0))*1000+F238</f>
        <v>11313007</v>
      </c>
      <c r="C238" s="14" t="s">
        <v>398</v>
      </c>
      <c r="D238" s="14" t="s">
        <v>72</v>
      </c>
      <c r="E238" s="14" t="s">
        <v>89</v>
      </c>
      <c r="F238" s="14">
        <v>7</v>
      </c>
      <c r="G238" s="14">
        <v>60</v>
      </c>
      <c r="H238" s="31" t="s">
        <v>217</v>
      </c>
      <c r="I238" s="14" t="s">
        <v>75</v>
      </c>
      <c r="J238" s="14" t="s">
        <v>201</v>
      </c>
      <c r="K238" s="14">
        <v>1</v>
      </c>
      <c r="L238" s="14" t="s">
        <v>213</v>
      </c>
      <c r="N238" s="14">
        <v>0</v>
      </c>
      <c r="O238" s="14" t="b">
        <v>1</v>
      </c>
      <c r="Q238" s="14" t="b">
        <v>0</v>
      </c>
      <c r="R238" s="14">
        <v>1</v>
      </c>
      <c r="S238" s="14" t="s">
        <v>77</v>
      </c>
      <c r="T238" s="14">
        <v>999</v>
      </c>
      <c r="U238" s="14" t="s">
        <v>214</v>
      </c>
      <c r="V238" s="14">
        <v>31313007</v>
      </c>
      <c r="X238" s="14" t="s">
        <v>204</v>
      </c>
      <c r="Y238" s="14" t="s">
        <v>215</v>
      </c>
      <c r="Z238" s="14">
        <v>20001</v>
      </c>
      <c r="AA238" s="14" t="s">
        <v>205</v>
      </c>
      <c r="AB238" s="14">
        <v>40001</v>
      </c>
      <c r="AE238" s="29" t="s">
        <v>121</v>
      </c>
      <c r="AF238" s="14" t="s">
        <v>213</v>
      </c>
      <c r="AG238" s="14" t="s">
        <v>89</v>
      </c>
    </row>
    <row r="239" spans="2:33">
      <c r="B239" s="14">
        <f>10000000+INDEX(编号表!$B:$B,MATCH(H239,编号表!$A:$A,0))*100000+INDEX(编号表!$F:$F,MATCH(D239,编号表!$E:$E,0))*10000+INDEX(编号表!$D:$D,MATCH(AG239,编号表!$C:$C,0))*1000+F239</f>
        <v>11313008</v>
      </c>
      <c r="C239" s="14" t="s">
        <v>399</v>
      </c>
      <c r="D239" s="14" t="s">
        <v>72</v>
      </c>
      <c r="E239" s="14" t="s">
        <v>89</v>
      </c>
      <c r="F239" s="14">
        <v>8</v>
      </c>
      <c r="G239" s="14">
        <v>60</v>
      </c>
      <c r="H239" s="31" t="s">
        <v>217</v>
      </c>
      <c r="I239" s="14" t="s">
        <v>75</v>
      </c>
      <c r="J239" s="14" t="s">
        <v>201</v>
      </c>
      <c r="K239" s="14">
        <v>1</v>
      </c>
      <c r="L239" s="14" t="s">
        <v>213</v>
      </c>
      <c r="N239" s="14">
        <v>0</v>
      </c>
      <c r="O239" s="14" t="b">
        <v>1</v>
      </c>
      <c r="Q239" s="14" t="b">
        <v>0</v>
      </c>
      <c r="R239" s="14">
        <v>1</v>
      </c>
      <c r="S239" s="14" t="s">
        <v>77</v>
      </c>
      <c r="T239" s="14">
        <v>999</v>
      </c>
      <c r="U239" s="14" t="s">
        <v>214</v>
      </c>
      <c r="V239" s="14">
        <v>31313008</v>
      </c>
      <c r="X239" s="14" t="s">
        <v>204</v>
      </c>
      <c r="Y239" s="14" t="s">
        <v>215</v>
      </c>
      <c r="Z239" s="14">
        <v>20001</v>
      </c>
      <c r="AA239" s="14" t="s">
        <v>205</v>
      </c>
      <c r="AB239" s="14">
        <v>40001</v>
      </c>
      <c r="AE239" s="29" t="s">
        <v>121</v>
      </c>
      <c r="AF239" s="14" t="s">
        <v>213</v>
      </c>
      <c r="AG239" s="14" t="s">
        <v>89</v>
      </c>
    </row>
    <row r="240" spans="2:33">
      <c r="B240" s="14">
        <f>10000000+INDEX(编号表!$B:$B,MATCH(H240,编号表!$A:$A,0))*100000+INDEX(编号表!$F:$F,MATCH(D240,编号表!$E:$E,0))*10000+INDEX(编号表!$D:$D,MATCH(AG240,编号表!$C:$C,0))*1000+F240</f>
        <v>11313009</v>
      </c>
      <c r="C240" s="14" t="s">
        <v>400</v>
      </c>
      <c r="D240" s="14" t="s">
        <v>72</v>
      </c>
      <c r="E240" s="14" t="s">
        <v>89</v>
      </c>
      <c r="F240" s="14">
        <v>9</v>
      </c>
      <c r="G240" s="14">
        <v>60</v>
      </c>
      <c r="H240" s="31" t="s">
        <v>217</v>
      </c>
      <c r="I240" s="14" t="s">
        <v>75</v>
      </c>
      <c r="J240" s="14" t="s">
        <v>201</v>
      </c>
      <c r="K240" s="14">
        <v>1</v>
      </c>
      <c r="L240" s="14" t="s">
        <v>213</v>
      </c>
      <c r="N240" s="14">
        <v>0</v>
      </c>
      <c r="O240" s="14" t="b">
        <v>1</v>
      </c>
      <c r="Q240" s="14" t="b">
        <v>0</v>
      </c>
      <c r="R240" s="14">
        <v>1</v>
      </c>
      <c r="S240" s="14" t="s">
        <v>77</v>
      </c>
      <c r="T240" s="14">
        <v>999</v>
      </c>
      <c r="U240" s="14" t="s">
        <v>214</v>
      </c>
      <c r="V240" s="14">
        <v>31313009</v>
      </c>
      <c r="X240" s="14" t="s">
        <v>204</v>
      </c>
      <c r="Y240" s="14" t="s">
        <v>215</v>
      </c>
      <c r="Z240" s="14">
        <v>20001</v>
      </c>
      <c r="AA240" s="14" t="s">
        <v>205</v>
      </c>
      <c r="AB240" s="14">
        <v>40001</v>
      </c>
      <c r="AE240" s="29" t="s">
        <v>121</v>
      </c>
      <c r="AF240" s="14" t="s">
        <v>213</v>
      </c>
      <c r="AG240" s="14" t="s">
        <v>89</v>
      </c>
    </row>
    <row r="241" spans="2:33">
      <c r="B241" s="14">
        <f>10000000+INDEX(编号表!$B:$B,MATCH(H241,编号表!$A:$A,0))*100000+INDEX(编号表!$F:$F,MATCH(D241,编号表!$E:$E,0))*10000+INDEX(编号表!$D:$D,MATCH(AG241,编号表!$C:$C,0))*1000+F241</f>
        <v>11513000</v>
      </c>
      <c r="C241" s="14" t="s">
        <v>401</v>
      </c>
      <c r="D241" s="14" t="s">
        <v>72</v>
      </c>
      <c r="E241" s="14" t="s">
        <v>89</v>
      </c>
      <c r="F241" s="14">
        <v>0</v>
      </c>
      <c r="G241" s="14">
        <v>60</v>
      </c>
      <c r="H241" s="31" t="s">
        <v>228</v>
      </c>
      <c r="I241" s="14" t="s">
        <v>75</v>
      </c>
      <c r="J241" s="14" t="s">
        <v>201</v>
      </c>
      <c r="K241" s="14">
        <v>1</v>
      </c>
      <c r="L241" s="14" t="s">
        <v>213</v>
      </c>
      <c r="N241" s="14">
        <v>0</v>
      </c>
      <c r="O241" s="14" t="b">
        <v>1</v>
      </c>
      <c r="Q241" s="14" t="b">
        <v>0</v>
      </c>
      <c r="R241" s="14">
        <v>1</v>
      </c>
      <c r="S241" s="14" t="s">
        <v>77</v>
      </c>
      <c r="T241" s="14">
        <v>999</v>
      </c>
      <c r="U241" s="14" t="s">
        <v>214</v>
      </c>
      <c r="V241" s="14">
        <v>31513000</v>
      </c>
      <c r="X241" s="14" t="s">
        <v>204</v>
      </c>
      <c r="Y241" s="14" t="s">
        <v>215</v>
      </c>
      <c r="Z241" s="14">
        <v>20001</v>
      </c>
      <c r="AA241" s="14" t="s">
        <v>205</v>
      </c>
      <c r="AB241" s="14">
        <v>40001</v>
      </c>
      <c r="AE241" s="29" t="s">
        <v>121</v>
      </c>
      <c r="AF241" s="14" t="s">
        <v>213</v>
      </c>
      <c r="AG241" s="14" t="s">
        <v>89</v>
      </c>
    </row>
    <row r="242" spans="2:33">
      <c r="B242" s="14">
        <f>10000000+INDEX(编号表!$B:$B,MATCH(H242,编号表!$A:$A,0))*100000+INDEX(编号表!$F:$F,MATCH(D242,编号表!$E:$E,0))*10000+INDEX(编号表!$D:$D,MATCH(AG242,编号表!$C:$C,0))*1000+F242</f>
        <v>11513001</v>
      </c>
      <c r="C242" s="14" t="s">
        <v>402</v>
      </c>
      <c r="D242" s="14" t="s">
        <v>72</v>
      </c>
      <c r="E242" s="14" t="s">
        <v>89</v>
      </c>
      <c r="F242" s="14">
        <v>1</v>
      </c>
      <c r="G242" s="14">
        <v>60</v>
      </c>
      <c r="H242" s="31" t="s">
        <v>228</v>
      </c>
      <c r="I242" s="14" t="s">
        <v>75</v>
      </c>
      <c r="J242" s="14" t="s">
        <v>201</v>
      </c>
      <c r="K242" s="14">
        <v>1</v>
      </c>
      <c r="L242" s="14" t="s">
        <v>213</v>
      </c>
      <c r="N242" s="14">
        <v>0</v>
      </c>
      <c r="O242" s="14" t="b">
        <v>1</v>
      </c>
      <c r="Q242" s="14" t="b">
        <v>0</v>
      </c>
      <c r="R242" s="14">
        <v>1</v>
      </c>
      <c r="S242" s="14" t="s">
        <v>77</v>
      </c>
      <c r="T242" s="14">
        <v>999</v>
      </c>
      <c r="U242" s="14" t="s">
        <v>214</v>
      </c>
      <c r="V242" s="14">
        <v>31513001</v>
      </c>
      <c r="X242" s="14" t="s">
        <v>204</v>
      </c>
      <c r="Y242" s="14" t="s">
        <v>215</v>
      </c>
      <c r="Z242" s="14">
        <v>20001</v>
      </c>
      <c r="AA242" s="14" t="s">
        <v>205</v>
      </c>
      <c r="AB242" s="14">
        <v>40001</v>
      </c>
      <c r="AE242" s="29" t="s">
        <v>121</v>
      </c>
      <c r="AF242" s="14" t="s">
        <v>213</v>
      </c>
      <c r="AG242" s="14" t="s">
        <v>89</v>
      </c>
    </row>
    <row r="243" spans="2:33">
      <c r="B243" s="14">
        <f>10000000+INDEX(编号表!$B:$B,MATCH(H243,编号表!$A:$A,0))*100000+INDEX(编号表!$F:$F,MATCH(D243,编号表!$E:$E,0))*10000+INDEX(编号表!$D:$D,MATCH(AG243,编号表!$C:$C,0))*1000+F243</f>
        <v>11513002</v>
      </c>
      <c r="C243" s="14" t="s">
        <v>403</v>
      </c>
      <c r="D243" s="14" t="s">
        <v>72</v>
      </c>
      <c r="E243" s="14" t="s">
        <v>89</v>
      </c>
      <c r="F243" s="14">
        <v>2</v>
      </c>
      <c r="G243" s="14">
        <v>60</v>
      </c>
      <c r="H243" s="31" t="s">
        <v>228</v>
      </c>
      <c r="I243" s="14" t="s">
        <v>75</v>
      </c>
      <c r="J243" s="14" t="s">
        <v>201</v>
      </c>
      <c r="K243" s="14">
        <v>1</v>
      </c>
      <c r="L243" s="14" t="s">
        <v>213</v>
      </c>
      <c r="N243" s="14">
        <v>0</v>
      </c>
      <c r="O243" s="14" t="b">
        <v>1</v>
      </c>
      <c r="Q243" s="14" t="b">
        <v>0</v>
      </c>
      <c r="R243" s="14">
        <v>1</v>
      </c>
      <c r="S243" s="14" t="s">
        <v>77</v>
      </c>
      <c r="T243" s="14">
        <v>999</v>
      </c>
      <c r="U243" s="14" t="s">
        <v>214</v>
      </c>
      <c r="V243" s="14">
        <v>31513002</v>
      </c>
      <c r="X243" s="14" t="s">
        <v>204</v>
      </c>
      <c r="Y243" s="14" t="s">
        <v>215</v>
      </c>
      <c r="Z243" s="14">
        <v>20001</v>
      </c>
      <c r="AA243" s="14" t="s">
        <v>205</v>
      </c>
      <c r="AB243" s="14">
        <v>40001</v>
      </c>
      <c r="AE243" s="29" t="s">
        <v>121</v>
      </c>
      <c r="AF243" s="14" t="s">
        <v>213</v>
      </c>
      <c r="AG243" s="14" t="s">
        <v>89</v>
      </c>
    </row>
    <row r="244" spans="2:33">
      <c r="B244" s="14">
        <f>10000000+INDEX(编号表!$B:$B,MATCH(H244,编号表!$A:$A,0))*100000+INDEX(编号表!$F:$F,MATCH(D244,编号表!$E:$E,0))*10000+INDEX(编号表!$D:$D,MATCH(AG244,编号表!$C:$C,0))*1000+F244</f>
        <v>11513003</v>
      </c>
      <c r="C244" s="14" t="s">
        <v>404</v>
      </c>
      <c r="D244" s="14" t="s">
        <v>72</v>
      </c>
      <c r="E244" s="14" t="s">
        <v>89</v>
      </c>
      <c r="F244" s="14">
        <v>3</v>
      </c>
      <c r="G244" s="14">
        <v>60</v>
      </c>
      <c r="H244" s="31" t="s">
        <v>228</v>
      </c>
      <c r="I244" s="14" t="s">
        <v>75</v>
      </c>
      <c r="J244" s="14" t="s">
        <v>201</v>
      </c>
      <c r="K244" s="14">
        <v>1</v>
      </c>
      <c r="L244" s="14" t="s">
        <v>213</v>
      </c>
      <c r="N244" s="14">
        <v>0</v>
      </c>
      <c r="O244" s="14" t="b">
        <v>1</v>
      </c>
      <c r="Q244" s="14" t="b">
        <v>0</v>
      </c>
      <c r="R244" s="14">
        <v>1</v>
      </c>
      <c r="S244" s="14" t="s">
        <v>77</v>
      </c>
      <c r="T244" s="14">
        <v>999</v>
      </c>
      <c r="U244" s="14" t="s">
        <v>214</v>
      </c>
      <c r="V244" s="14">
        <v>31513003</v>
      </c>
      <c r="X244" s="14" t="s">
        <v>204</v>
      </c>
      <c r="Y244" s="14" t="s">
        <v>215</v>
      </c>
      <c r="Z244" s="14">
        <v>20001</v>
      </c>
      <c r="AA244" s="14" t="s">
        <v>205</v>
      </c>
      <c r="AB244" s="14">
        <v>40001</v>
      </c>
      <c r="AE244" s="29" t="s">
        <v>121</v>
      </c>
      <c r="AF244" s="14" t="s">
        <v>213</v>
      </c>
      <c r="AG244" s="14" t="s">
        <v>89</v>
      </c>
    </row>
    <row r="245" spans="2:33">
      <c r="B245" s="14">
        <f>10000000+INDEX(编号表!$B:$B,MATCH(H245,编号表!$A:$A,0))*100000+INDEX(编号表!$F:$F,MATCH(D245,编号表!$E:$E,0))*10000+INDEX(编号表!$D:$D,MATCH(AG245,编号表!$C:$C,0))*1000+F245</f>
        <v>11513004</v>
      </c>
      <c r="C245" s="14" t="s">
        <v>405</v>
      </c>
      <c r="D245" s="14" t="s">
        <v>72</v>
      </c>
      <c r="E245" s="14" t="s">
        <v>89</v>
      </c>
      <c r="F245" s="14">
        <v>4</v>
      </c>
      <c r="G245" s="14">
        <v>60</v>
      </c>
      <c r="H245" s="31" t="s">
        <v>228</v>
      </c>
      <c r="I245" s="14" t="s">
        <v>75</v>
      </c>
      <c r="J245" s="14" t="s">
        <v>201</v>
      </c>
      <c r="K245" s="14">
        <v>1</v>
      </c>
      <c r="L245" s="14" t="s">
        <v>213</v>
      </c>
      <c r="N245" s="14">
        <v>0</v>
      </c>
      <c r="O245" s="14" t="b">
        <v>1</v>
      </c>
      <c r="Q245" s="14" t="b">
        <v>0</v>
      </c>
      <c r="R245" s="14">
        <v>1</v>
      </c>
      <c r="S245" s="14" t="s">
        <v>77</v>
      </c>
      <c r="T245" s="14">
        <v>999</v>
      </c>
      <c r="U245" s="14" t="s">
        <v>214</v>
      </c>
      <c r="V245" s="14">
        <v>31513004</v>
      </c>
      <c r="X245" s="14" t="s">
        <v>204</v>
      </c>
      <c r="Y245" s="14" t="s">
        <v>215</v>
      </c>
      <c r="Z245" s="14">
        <v>20001</v>
      </c>
      <c r="AA245" s="14" t="s">
        <v>205</v>
      </c>
      <c r="AB245" s="14">
        <v>40001</v>
      </c>
      <c r="AE245" s="29" t="s">
        <v>121</v>
      </c>
      <c r="AF245" s="14" t="s">
        <v>213</v>
      </c>
      <c r="AG245" s="14" t="s">
        <v>89</v>
      </c>
    </row>
    <row r="246" spans="2:33">
      <c r="B246" s="14">
        <f>10000000+INDEX(编号表!$B:$B,MATCH(H246,编号表!$A:$A,0))*100000+INDEX(编号表!$F:$F,MATCH(D246,编号表!$E:$E,0))*10000+INDEX(编号表!$D:$D,MATCH(AG246,编号表!$C:$C,0))*1000+F246</f>
        <v>11513005</v>
      </c>
      <c r="C246" s="14" t="s">
        <v>406</v>
      </c>
      <c r="D246" s="14" t="s">
        <v>72</v>
      </c>
      <c r="E246" s="14" t="s">
        <v>89</v>
      </c>
      <c r="F246" s="14">
        <v>5</v>
      </c>
      <c r="G246" s="14">
        <v>60</v>
      </c>
      <c r="H246" s="31" t="s">
        <v>228</v>
      </c>
      <c r="I246" s="14" t="s">
        <v>75</v>
      </c>
      <c r="J246" s="14" t="s">
        <v>201</v>
      </c>
      <c r="K246" s="14">
        <v>1</v>
      </c>
      <c r="L246" s="14" t="s">
        <v>213</v>
      </c>
      <c r="N246" s="14">
        <v>0</v>
      </c>
      <c r="O246" s="14" t="b">
        <v>1</v>
      </c>
      <c r="Q246" s="14" t="b">
        <v>0</v>
      </c>
      <c r="R246" s="14">
        <v>1</v>
      </c>
      <c r="S246" s="14" t="s">
        <v>77</v>
      </c>
      <c r="T246" s="14">
        <v>999</v>
      </c>
      <c r="U246" s="14" t="s">
        <v>214</v>
      </c>
      <c r="V246" s="14">
        <v>31513005</v>
      </c>
      <c r="X246" s="14" t="s">
        <v>204</v>
      </c>
      <c r="Y246" s="14" t="s">
        <v>215</v>
      </c>
      <c r="Z246" s="14">
        <v>20001</v>
      </c>
      <c r="AA246" s="14" t="s">
        <v>205</v>
      </c>
      <c r="AB246" s="14">
        <v>40001</v>
      </c>
      <c r="AE246" s="29" t="s">
        <v>121</v>
      </c>
      <c r="AF246" s="14" t="s">
        <v>213</v>
      </c>
      <c r="AG246" s="14" t="s">
        <v>89</v>
      </c>
    </row>
    <row r="247" spans="2:33">
      <c r="B247" s="14">
        <f>10000000+INDEX(编号表!$B:$B,MATCH(H247,编号表!$A:$A,0))*100000+INDEX(编号表!$F:$F,MATCH(D247,编号表!$E:$E,0))*10000+INDEX(编号表!$D:$D,MATCH(AG247,编号表!$C:$C,0))*1000+F247</f>
        <v>11513006</v>
      </c>
      <c r="C247" s="14" t="s">
        <v>407</v>
      </c>
      <c r="D247" s="14" t="s">
        <v>72</v>
      </c>
      <c r="E247" s="14" t="s">
        <v>89</v>
      </c>
      <c r="F247" s="14">
        <v>6</v>
      </c>
      <c r="G247" s="14">
        <v>60</v>
      </c>
      <c r="H247" s="31" t="s">
        <v>228</v>
      </c>
      <c r="I247" s="14" t="s">
        <v>75</v>
      </c>
      <c r="J247" s="14" t="s">
        <v>201</v>
      </c>
      <c r="K247" s="14">
        <v>1</v>
      </c>
      <c r="L247" s="14" t="s">
        <v>213</v>
      </c>
      <c r="N247" s="14">
        <v>0</v>
      </c>
      <c r="O247" s="14" t="b">
        <v>1</v>
      </c>
      <c r="Q247" s="14" t="b">
        <v>0</v>
      </c>
      <c r="R247" s="14">
        <v>1</v>
      </c>
      <c r="S247" s="14" t="s">
        <v>77</v>
      </c>
      <c r="T247" s="14">
        <v>999</v>
      </c>
      <c r="U247" s="14" t="s">
        <v>214</v>
      </c>
      <c r="V247" s="14">
        <v>31513006</v>
      </c>
      <c r="X247" s="14" t="s">
        <v>204</v>
      </c>
      <c r="Y247" s="14" t="s">
        <v>215</v>
      </c>
      <c r="Z247" s="14">
        <v>20001</v>
      </c>
      <c r="AA247" s="14" t="s">
        <v>205</v>
      </c>
      <c r="AB247" s="14">
        <v>40001</v>
      </c>
      <c r="AE247" s="29" t="s">
        <v>121</v>
      </c>
      <c r="AF247" s="14" t="s">
        <v>213</v>
      </c>
      <c r="AG247" s="14" t="s">
        <v>89</v>
      </c>
    </row>
    <row r="248" spans="2:33">
      <c r="B248" s="14">
        <f>10000000+INDEX(编号表!$B:$B,MATCH(H248,编号表!$A:$A,0))*100000+INDEX(编号表!$F:$F,MATCH(D248,编号表!$E:$E,0))*10000+INDEX(编号表!$D:$D,MATCH(AG248,编号表!$C:$C,0))*1000+F248</f>
        <v>11513007</v>
      </c>
      <c r="C248" s="14" t="s">
        <v>408</v>
      </c>
      <c r="D248" s="14" t="s">
        <v>72</v>
      </c>
      <c r="E248" s="14" t="s">
        <v>89</v>
      </c>
      <c r="F248" s="14">
        <v>7</v>
      </c>
      <c r="G248" s="14">
        <v>60</v>
      </c>
      <c r="H248" s="31" t="s">
        <v>228</v>
      </c>
      <c r="I248" s="14" t="s">
        <v>75</v>
      </c>
      <c r="J248" s="14" t="s">
        <v>201</v>
      </c>
      <c r="K248" s="14">
        <v>1</v>
      </c>
      <c r="L248" s="14" t="s">
        <v>213</v>
      </c>
      <c r="N248" s="14">
        <v>0</v>
      </c>
      <c r="O248" s="14" t="b">
        <v>1</v>
      </c>
      <c r="Q248" s="14" t="b">
        <v>0</v>
      </c>
      <c r="R248" s="14">
        <v>1</v>
      </c>
      <c r="S248" s="14" t="s">
        <v>77</v>
      </c>
      <c r="T248" s="14">
        <v>999</v>
      </c>
      <c r="U248" s="14" t="s">
        <v>214</v>
      </c>
      <c r="V248" s="14">
        <v>31513007</v>
      </c>
      <c r="X248" s="14" t="s">
        <v>204</v>
      </c>
      <c r="Y248" s="14" t="s">
        <v>215</v>
      </c>
      <c r="Z248" s="14">
        <v>20001</v>
      </c>
      <c r="AA248" s="14" t="s">
        <v>205</v>
      </c>
      <c r="AB248" s="14">
        <v>40001</v>
      </c>
      <c r="AE248" s="29" t="s">
        <v>121</v>
      </c>
      <c r="AF248" s="14" t="s">
        <v>213</v>
      </c>
      <c r="AG248" s="14" t="s">
        <v>89</v>
      </c>
    </row>
    <row r="249" spans="2:33">
      <c r="B249" s="14">
        <f>10000000+INDEX(编号表!$B:$B,MATCH(H249,编号表!$A:$A,0))*100000+INDEX(编号表!$F:$F,MATCH(D249,编号表!$E:$E,0))*10000+INDEX(编号表!$D:$D,MATCH(AG249,编号表!$C:$C,0))*1000+F249</f>
        <v>11513008</v>
      </c>
      <c r="C249" s="14" t="s">
        <v>409</v>
      </c>
      <c r="D249" s="14" t="s">
        <v>72</v>
      </c>
      <c r="E249" s="14" t="s">
        <v>89</v>
      </c>
      <c r="F249" s="14">
        <v>8</v>
      </c>
      <c r="G249" s="14">
        <v>60</v>
      </c>
      <c r="H249" s="31" t="s">
        <v>228</v>
      </c>
      <c r="I249" s="14" t="s">
        <v>75</v>
      </c>
      <c r="J249" s="14" t="s">
        <v>201</v>
      </c>
      <c r="K249" s="14">
        <v>1</v>
      </c>
      <c r="L249" s="14" t="s">
        <v>213</v>
      </c>
      <c r="N249" s="14">
        <v>0</v>
      </c>
      <c r="O249" s="14" t="b">
        <v>1</v>
      </c>
      <c r="Q249" s="14" t="b">
        <v>0</v>
      </c>
      <c r="R249" s="14">
        <v>1</v>
      </c>
      <c r="S249" s="14" t="s">
        <v>77</v>
      </c>
      <c r="T249" s="14">
        <v>999</v>
      </c>
      <c r="U249" s="14" t="s">
        <v>214</v>
      </c>
      <c r="V249" s="14">
        <v>31513008</v>
      </c>
      <c r="X249" s="14" t="s">
        <v>204</v>
      </c>
      <c r="Y249" s="14" t="s">
        <v>215</v>
      </c>
      <c r="Z249" s="14">
        <v>20001</v>
      </c>
      <c r="AA249" s="14" t="s">
        <v>205</v>
      </c>
      <c r="AB249" s="14">
        <v>40001</v>
      </c>
      <c r="AE249" s="29" t="s">
        <v>121</v>
      </c>
      <c r="AF249" s="14" t="s">
        <v>213</v>
      </c>
      <c r="AG249" s="14" t="s">
        <v>89</v>
      </c>
    </row>
    <row r="250" spans="2:33">
      <c r="B250" s="14">
        <f>10000000+INDEX(编号表!$B:$B,MATCH(H250,编号表!$A:$A,0))*100000+INDEX(编号表!$F:$F,MATCH(D250,编号表!$E:$E,0))*10000+INDEX(编号表!$D:$D,MATCH(AG250,编号表!$C:$C,0))*1000+F250</f>
        <v>11513009</v>
      </c>
      <c r="C250" s="14" t="s">
        <v>410</v>
      </c>
      <c r="D250" s="14" t="s">
        <v>72</v>
      </c>
      <c r="E250" s="14" t="s">
        <v>89</v>
      </c>
      <c r="F250" s="14">
        <v>9</v>
      </c>
      <c r="G250" s="14">
        <v>60</v>
      </c>
      <c r="H250" s="31" t="s">
        <v>228</v>
      </c>
      <c r="I250" s="14" t="s">
        <v>75</v>
      </c>
      <c r="J250" s="14" t="s">
        <v>201</v>
      </c>
      <c r="K250" s="14">
        <v>1</v>
      </c>
      <c r="L250" s="14" t="s">
        <v>213</v>
      </c>
      <c r="N250" s="14">
        <v>0</v>
      </c>
      <c r="O250" s="14" t="b">
        <v>1</v>
      </c>
      <c r="Q250" s="14" t="b">
        <v>0</v>
      </c>
      <c r="R250" s="14">
        <v>1</v>
      </c>
      <c r="S250" s="14" t="s">
        <v>77</v>
      </c>
      <c r="T250" s="14">
        <v>999</v>
      </c>
      <c r="U250" s="14" t="s">
        <v>214</v>
      </c>
      <c r="V250" s="14">
        <v>31513009</v>
      </c>
      <c r="X250" s="14" t="s">
        <v>204</v>
      </c>
      <c r="Y250" s="14" t="s">
        <v>215</v>
      </c>
      <c r="Z250" s="14">
        <v>20001</v>
      </c>
      <c r="AA250" s="14" t="s">
        <v>205</v>
      </c>
      <c r="AB250" s="14">
        <v>40001</v>
      </c>
      <c r="AE250" s="29" t="s">
        <v>121</v>
      </c>
      <c r="AF250" s="14" t="s">
        <v>213</v>
      </c>
      <c r="AG250" s="14" t="s">
        <v>89</v>
      </c>
    </row>
    <row r="251" spans="2:33">
      <c r="B251" s="14">
        <f>10000000+INDEX(编号表!$B:$B,MATCH(H251,编号表!$A:$A,0))*100000+INDEX(编号表!$F:$F,MATCH(D251,编号表!$E:$E,0))*10000+INDEX(编号表!$D:$D,MATCH(AG251,编号表!$C:$C,0))*1000+F251</f>
        <v>11413000</v>
      </c>
      <c r="C251" s="14" t="s">
        <v>411</v>
      </c>
      <c r="D251" s="14" t="s">
        <v>72</v>
      </c>
      <c r="E251" s="14" t="s">
        <v>89</v>
      </c>
      <c r="F251" s="14">
        <v>0</v>
      </c>
      <c r="G251" s="14">
        <v>60</v>
      </c>
      <c r="H251" s="31" t="s">
        <v>239</v>
      </c>
      <c r="I251" s="14" t="s">
        <v>75</v>
      </c>
      <c r="J251" s="14" t="s">
        <v>201</v>
      </c>
      <c r="K251" s="14">
        <v>1</v>
      </c>
      <c r="L251" s="14" t="s">
        <v>213</v>
      </c>
      <c r="N251" s="14">
        <v>0</v>
      </c>
      <c r="O251" s="14" t="b">
        <v>1</v>
      </c>
      <c r="Q251" s="14" t="b">
        <v>0</v>
      </c>
      <c r="R251" s="14">
        <v>1</v>
      </c>
      <c r="S251" s="14" t="s">
        <v>77</v>
      </c>
      <c r="T251" s="14">
        <v>999</v>
      </c>
      <c r="U251" s="14" t="s">
        <v>214</v>
      </c>
      <c r="V251" s="14">
        <v>31413000</v>
      </c>
      <c r="X251" s="14" t="s">
        <v>204</v>
      </c>
      <c r="Y251" s="14" t="s">
        <v>215</v>
      </c>
      <c r="Z251" s="14">
        <v>20001</v>
      </c>
      <c r="AA251" s="14" t="s">
        <v>205</v>
      </c>
      <c r="AB251" s="14">
        <v>40001</v>
      </c>
      <c r="AE251" s="29" t="s">
        <v>121</v>
      </c>
      <c r="AF251" s="14" t="s">
        <v>213</v>
      </c>
      <c r="AG251" s="14" t="s">
        <v>89</v>
      </c>
    </row>
    <row r="252" spans="2:33">
      <c r="B252" s="14">
        <f>10000000+INDEX(编号表!$B:$B,MATCH(H252,编号表!$A:$A,0))*100000+INDEX(编号表!$F:$F,MATCH(D252,编号表!$E:$E,0))*10000+INDEX(编号表!$D:$D,MATCH(AG252,编号表!$C:$C,0))*1000+F252</f>
        <v>11413001</v>
      </c>
      <c r="C252" s="14" t="s">
        <v>412</v>
      </c>
      <c r="D252" s="14" t="s">
        <v>72</v>
      </c>
      <c r="E252" s="14" t="s">
        <v>89</v>
      </c>
      <c r="F252" s="14">
        <v>1</v>
      </c>
      <c r="G252" s="14">
        <v>60</v>
      </c>
      <c r="H252" s="31" t="s">
        <v>239</v>
      </c>
      <c r="I252" s="14" t="s">
        <v>75</v>
      </c>
      <c r="J252" s="14" t="s">
        <v>201</v>
      </c>
      <c r="K252" s="14">
        <v>1</v>
      </c>
      <c r="L252" s="14" t="s">
        <v>213</v>
      </c>
      <c r="N252" s="14">
        <v>0</v>
      </c>
      <c r="O252" s="14" t="b">
        <v>1</v>
      </c>
      <c r="Q252" s="14" t="b">
        <v>0</v>
      </c>
      <c r="R252" s="14">
        <v>1</v>
      </c>
      <c r="S252" s="14" t="s">
        <v>77</v>
      </c>
      <c r="T252" s="14">
        <v>999</v>
      </c>
      <c r="U252" s="14" t="s">
        <v>214</v>
      </c>
      <c r="V252" s="14">
        <v>31413001</v>
      </c>
      <c r="X252" s="14" t="s">
        <v>204</v>
      </c>
      <c r="Y252" s="14" t="s">
        <v>215</v>
      </c>
      <c r="Z252" s="14">
        <v>20001</v>
      </c>
      <c r="AA252" s="14" t="s">
        <v>205</v>
      </c>
      <c r="AB252" s="14">
        <v>40001</v>
      </c>
      <c r="AE252" s="29" t="s">
        <v>121</v>
      </c>
      <c r="AF252" s="14" t="s">
        <v>213</v>
      </c>
      <c r="AG252" s="14" t="s">
        <v>89</v>
      </c>
    </row>
    <row r="253" spans="2:33">
      <c r="B253" s="14">
        <f>10000000+INDEX(编号表!$B:$B,MATCH(H253,编号表!$A:$A,0))*100000+INDEX(编号表!$F:$F,MATCH(D253,编号表!$E:$E,0))*10000+INDEX(编号表!$D:$D,MATCH(AG253,编号表!$C:$C,0))*1000+F253</f>
        <v>11413002</v>
      </c>
      <c r="C253" s="14" t="s">
        <v>413</v>
      </c>
      <c r="D253" s="14" t="s">
        <v>72</v>
      </c>
      <c r="E253" s="14" t="s">
        <v>89</v>
      </c>
      <c r="F253" s="14">
        <v>2</v>
      </c>
      <c r="G253" s="14">
        <v>60</v>
      </c>
      <c r="H253" s="31" t="s">
        <v>239</v>
      </c>
      <c r="I253" s="14" t="s">
        <v>75</v>
      </c>
      <c r="J253" s="14" t="s">
        <v>201</v>
      </c>
      <c r="K253" s="14">
        <v>1</v>
      </c>
      <c r="L253" s="14" t="s">
        <v>213</v>
      </c>
      <c r="N253" s="14">
        <v>0</v>
      </c>
      <c r="O253" s="14" t="b">
        <v>1</v>
      </c>
      <c r="Q253" s="14" t="b">
        <v>0</v>
      </c>
      <c r="R253" s="14">
        <v>1</v>
      </c>
      <c r="S253" s="14" t="s">
        <v>77</v>
      </c>
      <c r="T253" s="14">
        <v>999</v>
      </c>
      <c r="U253" s="14" t="s">
        <v>214</v>
      </c>
      <c r="V253" s="14">
        <v>31413002</v>
      </c>
      <c r="X253" s="14" t="s">
        <v>204</v>
      </c>
      <c r="Y253" s="14" t="s">
        <v>215</v>
      </c>
      <c r="Z253" s="14">
        <v>20001</v>
      </c>
      <c r="AA253" s="14" t="s">
        <v>205</v>
      </c>
      <c r="AB253" s="14">
        <v>40001</v>
      </c>
      <c r="AE253" s="29" t="s">
        <v>121</v>
      </c>
      <c r="AF253" s="14" t="s">
        <v>213</v>
      </c>
      <c r="AG253" s="14" t="s">
        <v>89</v>
      </c>
    </row>
    <row r="254" spans="2:33">
      <c r="B254" s="14">
        <f>10000000+INDEX(编号表!$B:$B,MATCH(H254,编号表!$A:$A,0))*100000+INDEX(编号表!$F:$F,MATCH(D254,编号表!$E:$E,0))*10000+INDEX(编号表!$D:$D,MATCH(AG254,编号表!$C:$C,0))*1000+F254</f>
        <v>11413003</v>
      </c>
      <c r="C254" s="14" t="s">
        <v>414</v>
      </c>
      <c r="D254" s="14" t="s">
        <v>72</v>
      </c>
      <c r="E254" s="14" t="s">
        <v>89</v>
      </c>
      <c r="F254" s="14">
        <v>3</v>
      </c>
      <c r="G254" s="14">
        <v>60</v>
      </c>
      <c r="H254" s="31" t="s">
        <v>239</v>
      </c>
      <c r="I254" s="14" t="s">
        <v>75</v>
      </c>
      <c r="J254" s="14" t="s">
        <v>201</v>
      </c>
      <c r="K254" s="14">
        <v>1</v>
      </c>
      <c r="L254" s="14" t="s">
        <v>213</v>
      </c>
      <c r="N254" s="14">
        <v>0</v>
      </c>
      <c r="O254" s="14" t="b">
        <v>1</v>
      </c>
      <c r="Q254" s="14" t="b">
        <v>0</v>
      </c>
      <c r="R254" s="14">
        <v>1</v>
      </c>
      <c r="S254" s="14" t="s">
        <v>77</v>
      </c>
      <c r="T254" s="14">
        <v>999</v>
      </c>
      <c r="U254" s="14" t="s">
        <v>214</v>
      </c>
      <c r="V254" s="14">
        <v>31413003</v>
      </c>
      <c r="X254" s="14" t="s">
        <v>204</v>
      </c>
      <c r="Y254" s="14" t="s">
        <v>215</v>
      </c>
      <c r="Z254" s="14">
        <v>20001</v>
      </c>
      <c r="AA254" s="14" t="s">
        <v>205</v>
      </c>
      <c r="AB254" s="14">
        <v>40001</v>
      </c>
      <c r="AE254" s="29" t="s">
        <v>121</v>
      </c>
      <c r="AF254" s="14" t="s">
        <v>213</v>
      </c>
      <c r="AG254" s="14" t="s">
        <v>89</v>
      </c>
    </row>
    <row r="255" spans="2:33">
      <c r="B255" s="14">
        <f>10000000+INDEX(编号表!$B:$B,MATCH(H255,编号表!$A:$A,0))*100000+INDEX(编号表!$F:$F,MATCH(D255,编号表!$E:$E,0))*10000+INDEX(编号表!$D:$D,MATCH(AG255,编号表!$C:$C,0))*1000+F255</f>
        <v>11613000</v>
      </c>
      <c r="C255" s="14" t="s">
        <v>415</v>
      </c>
      <c r="D255" s="14" t="s">
        <v>72</v>
      </c>
      <c r="E255" s="14" t="s">
        <v>89</v>
      </c>
      <c r="F255" s="14">
        <v>0</v>
      </c>
      <c r="G255" s="14">
        <v>60</v>
      </c>
      <c r="H255" s="31" t="s">
        <v>244</v>
      </c>
      <c r="I255" s="14" t="s">
        <v>75</v>
      </c>
      <c r="J255" s="14" t="s">
        <v>201</v>
      </c>
      <c r="K255" s="14">
        <v>1</v>
      </c>
      <c r="L255" s="14" t="s">
        <v>213</v>
      </c>
      <c r="N255" s="14">
        <v>0</v>
      </c>
      <c r="O255" s="14" t="b">
        <v>1</v>
      </c>
      <c r="Q255" s="14" t="b">
        <v>0</v>
      </c>
      <c r="R255" s="14">
        <v>1</v>
      </c>
      <c r="S255" s="14" t="s">
        <v>77</v>
      </c>
      <c r="T255" s="14">
        <v>999</v>
      </c>
      <c r="U255" s="14" t="s">
        <v>214</v>
      </c>
      <c r="V255" s="14">
        <v>31613000</v>
      </c>
      <c r="X255" s="14" t="s">
        <v>204</v>
      </c>
      <c r="Y255" s="14" t="s">
        <v>215</v>
      </c>
      <c r="Z255" s="14">
        <v>20001</v>
      </c>
      <c r="AA255" s="14" t="s">
        <v>205</v>
      </c>
      <c r="AB255" s="14">
        <v>40001</v>
      </c>
      <c r="AE255" s="29" t="s">
        <v>121</v>
      </c>
      <c r="AF255" s="14" t="s">
        <v>213</v>
      </c>
      <c r="AG255" s="14" t="s">
        <v>89</v>
      </c>
    </row>
    <row r="256" spans="2:33">
      <c r="B256" s="14">
        <f>10000000+INDEX(编号表!$B:$B,MATCH(H256,编号表!$A:$A,0))*100000+INDEX(编号表!$F:$F,MATCH(D256,编号表!$E:$E,0))*10000+INDEX(编号表!$D:$D,MATCH(AG256,编号表!$C:$C,0))*1000+F256</f>
        <v>11613001</v>
      </c>
      <c r="C256" s="14" t="s">
        <v>416</v>
      </c>
      <c r="D256" s="14" t="s">
        <v>72</v>
      </c>
      <c r="E256" s="14" t="s">
        <v>89</v>
      </c>
      <c r="F256" s="14">
        <v>1</v>
      </c>
      <c r="G256" s="14">
        <v>60</v>
      </c>
      <c r="H256" s="31" t="s">
        <v>244</v>
      </c>
      <c r="I256" s="14" t="s">
        <v>75</v>
      </c>
      <c r="J256" s="14" t="s">
        <v>201</v>
      </c>
      <c r="K256" s="14">
        <v>1</v>
      </c>
      <c r="L256" s="14" t="s">
        <v>213</v>
      </c>
      <c r="N256" s="14">
        <v>0</v>
      </c>
      <c r="O256" s="14" t="b">
        <v>1</v>
      </c>
      <c r="Q256" s="14" t="b">
        <v>0</v>
      </c>
      <c r="R256" s="14">
        <v>1</v>
      </c>
      <c r="S256" s="14" t="s">
        <v>77</v>
      </c>
      <c r="T256" s="14">
        <v>999</v>
      </c>
      <c r="U256" s="14" t="s">
        <v>214</v>
      </c>
      <c r="V256" s="14">
        <v>31613001</v>
      </c>
      <c r="X256" s="14" t="s">
        <v>204</v>
      </c>
      <c r="Y256" s="14" t="s">
        <v>215</v>
      </c>
      <c r="Z256" s="14">
        <v>20001</v>
      </c>
      <c r="AA256" s="14" t="s">
        <v>205</v>
      </c>
      <c r="AB256" s="14">
        <v>40001</v>
      </c>
      <c r="AE256" s="29" t="s">
        <v>121</v>
      </c>
      <c r="AF256" s="14" t="s">
        <v>213</v>
      </c>
      <c r="AG256" s="14" t="s">
        <v>89</v>
      </c>
    </row>
    <row r="257" spans="2:33">
      <c r="B257" s="14">
        <f>10000000+INDEX(编号表!$B:$B,MATCH(H257,编号表!$A:$A,0))*100000+INDEX(编号表!$F:$F,MATCH(D257,编号表!$E:$E,0))*10000+INDEX(编号表!$D:$D,MATCH(AG257,编号表!$C:$C,0))*1000+F257</f>
        <v>11613002</v>
      </c>
      <c r="C257" s="14" t="s">
        <v>417</v>
      </c>
      <c r="D257" s="14" t="s">
        <v>72</v>
      </c>
      <c r="E257" s="14" t="s">
        <v>89</v>
      </c>
      <c r="F257" s="14">
        <v>2</v>
      </c>
      <c r="G257" s="14">
        <v>60</v>
      </c>
      <c r="H257" s="31" t="s">
        <v>244</v>
      </c>
      <c r="I257" s="14" t="s">
        <v>75</v>
      </c>
      <c r="J257" s="14" t="s">
        <v>201</v>
      </c>
      <c r="K257" s="14">
        <v>1</v>
      </c>
      <c r="L257" s="14" t="s">
        <v>213</v>
      </c>
      <c r="N257" s="14">
        <v>0</v>
      </c>
      <c r="O257" s="14" t="b">
        <v>1</v>
      </c>
      <c r="Q257" s="14" t="b">
        <v>0</v>
      </c>
      <c r="R257" s="14">
        <v>1</v>
      </c>
      <c r="S257" s="14" t="s">
        <v>77</v>
      </c>
      <c r="T257" s="14">
        <v>999</v>
      </c>
      <c r="U257" s="14" t="s">
        <v>214</v>
      </c>
      <c r="V257" s="14">
        <v>31613002</v>
      </c>
      <c r="X257" s="14" t="s">
        <v>204</v>
      </c>
      <c r="Y257" s="14" t="s">
        <v>215</v>
      </c>
      <c r="Z257" s="14">
        <v>20001</v>
      </c>
      <c r="AA257" s="14" t="s">
        <v>205</v>
      </c>
      <c r="AB257" s="14">
        <v>40001</v>
      </c>
      <c r="AE257" s="29" t="s">
        <v>121</v>
      </c>
      <c r="AF257" s="14" t="s">
        <v>213</v>
      </c>
      <c r="AG257" s="14" t="s">
        <v>89</v>
      </c>
    </row>
    <row r="258" spans="2:33">
      <c r="B258" s="14">
        <f>10000000+INDEX(编号表!$B:$B,MATCH(H258,编号表!$A:$A,0))*100000+INDEX(编号表!$F:$F,MATCH(D258,编号表!$E:$E,0))*10000+INDEX(编号表!$D:$D,MATCH(AG258,编号表!$C:$C,0))*1000+F258</f>
        <v>11223000</v>
      </c>
      <c r="C258" s="14" t="s">
        <v>418</v>
      </c>
      <c r="D258" s="14" t="s">
        <v>112</v>
      </c>
      <c r="E258" s="14" t="s">
        <v>89</v>
      </c>
      <c r="F258" s="14">
        <v>0</v>
      </c>
      <c r="G258" s="14">
        <v>60</v>
      </c>
      <c r="H258" s="31" t="s">
        <v>212</v>
      </c>
      <c r="I258" s="14" t="s">
        <v>75</v>
      </c>
      <c r="J258" s="14" t="s">
        <v>201</v>
      </c>
      <c r="K258" s="14">
        <v>1</v>
      </c>
      <c r="L258" s="14" t="s">
        <v>213</v>
      </c>
      <c r="N258" s="14">
        <v>0</v>
      </c>
      <c r="O258" s="14" t="b">
        <v>1</v>
      </c>
      <c r="Q258" s="14" t="b">
        <v>0</v>
      </c>
      <c r="R258" s="14">
        <v>1</v>
      </c>
      <c r="S258" s="14" t="s">
        <v>77</v>
      </c>
      <c r="T258" s="14">
        <v>999</v>
      </c>
      <c r="U258" s="14" t="s">
        <v>214</v>
      </c>
      <c r="V258" s="14">
        <v>31223000</v>
      </c>
      <c r="X258" s="14" t="s">
        <v>204</v>
      </c>
      <c r="Y258" s="14" t="s">
        <v>215</v>
      </c>
      <c r="Z258" s="14">
        <v>20001</v>
      </c>
      <c r="AA258" s="14" t="s">
        <v>205</v>
      </c>
      <c r="AB258" s="14">
        <v>40001</v>
      </c>
      <c r="AE258" s="29" t="s">
        <v>121</v>
      </c>
      <c r="AF258" s="14" t="s">
        <v>213</v>
      </c>
      <c r="AG258" s="14" t="s">
        <v>89</v>
      </c>
    </row>
    <row r="259" spans="2:33">
      <c r="B259" s="14">
        <f>10000000+INDEX(编号表!$B:$B,MATCH(H259,编号表!$A:$A,0))*100000+INDEX(编号表!$F:$F,MATCH(D259,编号表!$E:$E,0))*10000+INDEX(编号表!$D:$D,MATCH(AG259,编号表!$C:$C,0))*1000+F259</f>
        <v>11323000</v>
      </c>
      <c r="C259" s="14" t="s">
        <v>419</v>
      </c>
      <c r="D259" s="14" t="s">
        <v>112</v>
      </c>
      <c r="E259" s="14" t="s">
        <v>89</v>
      </c>
      <c r="F259" s="14">
        <v>0</v>
      </c>
      <c r="G259" s="14">
        <v>60</v>
      </c>
      <c r="H259" s="31" t="s">
        <v>217</v>
      </c>
      <c r="I259" s="14" t="s">
        <v>75</v>
      </c>
      <c r="J259" s="14" t="s">
        <v>201</v>
      </c>
      <c r="K259" s="14">
        <v>1</v>
      </c>
      <c r="L259" s="14" t="s">
        <v>213</v>
      </c>
      <c r="N259" s="14">
        <v>0</v>
      </c>
      <c r="O259" s="14" t="b">
        <v>1</v>
      </c>
      <c r="Q259" s="14" t="b">
        <v>0</v>
      </c>
      <c r="R259" s="14">
        <v>1</v>
      </c>
      <c r="S259" s="14" t="s">
        <v>77</v>
      </c>
      <c r="T259" s="14">
        <v>999</v>
      </c>
      <c r="U259" s="14" t="s">
        <v>214</v>
      </c>
      <c r="V259" s="14">
        <v>31323000</v>
      </c>
      <c r="X259" s="14" t="s">
        <v>204</v>
      </c>
      <c r="Y259" s="14" t="s">
        <v>215</v>
      </c>
      <c r="Z259" s="14">
        <v>20001</v>
      </c>
      <c r="AA259" s="14" t="s">
        <v>205</v>
      </c>
      <c r="AB259" s="14">
        <v>40001</v>
      </c>
      <c r="AE259" s="29" t="s">
        <v>121</v>
      </c>
      <c r="AF259" s="14" t="s">
        <v>213</v>
      </c>
      <c r="AG259" s="14" t="s">
        <v>89</v>
      </c>
    </row>
    <row r="260" spans="2:33">
      <c r="B260" s="14">
        <f>10000000+INDEX(编号表!$B:$B,MATCH(H260,编号表!$A:$A,0))*100000+INDEX(编号表!$F:$F,MATCH(D260,编号表!$E:$E,0))*10000+INDEX(编号表!$D:$D,MATCH(AG260,编号表!$C:$C,0))*1000+F260</f>
        <v>11323001</v>
      </c>
      <c r="C260" s="14" t="s">
        <v>420</v>
      </c>
      <c r="D260" s="14" t="s">
        <v>112</v>
      </c>
      <c r="E260" s="14" t="s">
        <v>89</v>
      </c>
      <c r="F260" s="14">
        <v>1</v>
      </c>
      <c r="G260" s="14">
        <v>60</v>
      </c>
      <c r="H260" s="31" t="s">
        <v>217</v>
      </c>
      <c r="I260" s="14" t="s">
        <v>75</v>
      </c>
      <c r="J260" s="14" t="s">
        <v>201</v>
      </c>
      <c r="K260" s="14">
        <v>1</v>
      </c>
      <c r="L260" s="14" t="s">
        <v>213</v>
      </c>
      <c r="N260" s="14">
        <v>0</v>
      </c>
      <c r="O260" s="14" t="b">
        <v>1</v>
      </c>
      <c r="Q260" s="14" t="b">
        <v>0</v>
      </c>
      <c r="R260" s="14">
        <v>1</v>
      </c>
      <c r="S260" s="14" t="s">
        <v>77</v>
      </c>
      <c r="T260" s="14">
        <v>999</v>
      </c>
      <c r="U260" s="14" t="s">
        <v>214</v>
      </c>
      <c r="V260" s="14">
        <v>31323001</v>
      </c>
      <c r="X260" s="14" t="s">
        <v>204</v>
      </c>
      <c r="Y260" s="14" t="s">
        <v>215</v>
      </c>
      <c r="Z260" s="14">
        <v>20001</v>
      </c>
      <c r="AA260" s="14" t="s">
        <v>205</v>
      </c>
      <c r="AB260" s="14">
        <v>40001</v>
      </c>
      <c r="AE260" s="29" t="s">
        <v>121</v>
      </c>
      <c r="AF260" s="14" t="s">
        <v>213</v>
      </c>
      <c r="AG260" s="14" t="s">
        <v>89</v>
      </c>
    </row>
    <row r="261" spans="2:33">
      <c r="B261" s="14">
        <f>10000000+INDEX(编号表!$B:$B,MATCH(H261,编号表!$A:$A,0))*100000+INDEX(编号表!$F:$F,MATCH(D261,编号表!$E:$E,0))*10000+INDEX(编号表!$D:$D,MATCH(AG261,编号表!$C:$C,0))*1000+F261</f>
        <v>11323002</v>
      </c>
      <c r="C261" s="14" t="s">
        <v>421</v>
      </c>
      <c r="D261" s="14" t="s">
        <v>112</v>
      </c>
      <c r="E261" s="14" t="s">
        <v>89</v>
      </c>
      <c r="F261" s="14">
        <v>2</v>
      </c>
      <c r="G261" s="14">
        <v>60</v>
      </c>
      <c r="H261" s="31" t="s">
        <v>217</v>
      </c>
      <c r="I261" s="14" t="s">
        <v>75</v>
      </c>
      <c r="J261" s="14" t="s">
        <v>201</v>
      </c>
      <c r="K261" s="14">
        <v>1</v>
      </c>
      <c r="L261" s="14" t="s">
        <v>213</v>
      </c>
      <c r="N261" s="14">
        <v>0</v>
      </c>
      <c r="O261" s="14" t="b">
        <v>1</v>
      </c>
      <c r="Q261" s="14" t="b">
        <v>0</v>
      </c>
      <c r="R261" s="14">
        <v>1</v>
      </c>
      <c r="S261" s="14" t="s">
        <v>77</v>
      </c>
      <c r="T261" s="14">
        <v>999</v>
      </c>
      <c r="U261" s="14" t="s">
        <v>214</v>
      </c>
      <c r="V261" s="14">
        <v>31323002</v>
      </c>
      <c r="X261" s="14" t="s">
        <v>204</v>
      </c>
      <c r="Y261" s="14" t="s">
        <v>215</v>
      </c>
      <c r="Z261" s="14">
        <v>20001</v>
      </c>
      <c r="AA261" s="14" t="s">
        <v>205</v>
      </c>
      <c r="AB261" s="14">
        <v>40001</v>
      </c>
      <c r="AE261" s="29" t="s">
        <v>121</v>
      </c>
      <c r="AF261" s="14" t="s">
        <v>213</v>
      </c>
      <c r="AG261" s="14" t="s">
        <v>89</v>
      </c>
    </row>
    <row r="262" spans="2:33">
      <c r="B262" s="14">
        <f>10000000+INDEX(编号表!$B:$B,MATCH(H262,编号表!$A:$A,0))*100000+INDEX(编号表!$F:$F,MATCH(D262,编号表!$E:$E,0))*10000+INDEX(编号表!$D:$D,MATCH(AG262,编号表!$C:$C,0))*1000+F262</f>
        <v>11323003</v>
      </c>
      <c r="C262" s="14" t="s">
        <v>422</v>
      </c>
      <c r="D262" s="14" t="s">
        <v>112</v>
      </c>
      <c r="E262" s="14" t="s">
        <v>89</v>
      </c>
      <c r="F262" s="14">
        <v>3</v>
      </c>
      <c r="G262" s="14">
        <v>60</v>
      </c>
      <c r="H262" s="31" t="s">
        <v>217</v>
      </c>
      <c r="I262" s="14" t="s">
        <v>75</v>
      </c>
      <c r="J262" s="14" t="s">
        <v>201</v>
      </c>
      <c r="K262" s="14">
        <v>1</v>
      </c>
      <c r="L262" s="14" t="s">
        <v>213</v>
      </c>
      <c r="N262" s="14">
        <v>0</v>
      </c>
      <c r="O262" s="14" t="b">
        <v>1</v>
      </c>
      <c r="Q262" s="14" t="b">
        <v>0</v>
      </c>
      <c r="R262" s="14">
        <v>1</v>
      </c>
      <c r="S262" s="14" t="s">
        <v>77</v>
      </c>
      <c r="T262" s="14">
        <v>999</v>
      </c>
      <c r="U262" s="14" t="s">
        <v>214</v>
      </c>
      <c r="V262" s="14">
        <v>31323003</v>
      </c>
      <c r="X262" s="14" t="s">
        <v>204</v>
      </c>
      <c r="Y262" s="14" t="s">
        <v>215</v>
      </c>
      <c r="Z262" s="14">
        <v>20001</v>
      </c>
      <c r="AA262" s="14" t="s">
        <v>205</v>
      </c>
      <c r="AB262" s="14">
        <v>40001</v>
      </c>
      <c r="AE262" s="29" t="s">
        <v>121</v>
      </c>
      <c r="AF262" s="14" t="s">
        <v>213</v>
      </c>
      <c r="AG262" s="14" t="s">
        <v>89</v>
      </c>
    </row>
    <row r="263" spans="2:33">
      <c r="B263" s="14">
        <f>10000000+INDEX(编号表!$B:$B,MATCH(H263,编号表!$A:$A,0))*100000+INDEX(编号表!$F:$F,MATCH(D263,编号表!$E:$E,0))*10000+INDEX(编号表!$D:$D,MATCH(AG263,编号表!$C:$C,0))*1000+F263</f>
        <v>11323004</v>
      </c>
      <c r="C263" s="14" t="s">
        <v>423</v>
      </c>
      <c r="D263" s="14" t="s">
        <v>112</v>
      </c>
      <c r="E263" s="14" t="s">
        <v>89</v>
      </c>
      <c r="F263" s="14">
        <v>4</v>
      </c>
      <c r="G263" s="14">
        <v>60</v>
      </c>
      <c r="H263" s="31" t="s">
        <v>217</v>
      </c>
      <c r="I263" s="14" t="s">
        <v>75</v>
      </c>
      <c r="J263" s="14" t="s">
        <v>201</v>
      </c>
      <c r="K263" s="14">
        <v>1</v>
      </c>
      <c r="L263" s="14" t="s">
        <v>213</v>
      </c>
      <c r="N263" s="14">
        <v>0</v>
      </c>
      <c r="O263" s="14" t="b">
        <v>1</v>
      </c>
      <c r="Q263" s="14" t="b">
        <v>0</v>
      </c>
      <c r="R263" s="14">
        <v>1</v>
      </c>
      <c r="S263" s="14" t="s">
        <v>77</v>
      </c>
      <c r="T263" s="14">
        <v>999</v>
      </c>
      <c r="U263" s="14" t="s">
        <v>214</v>
      </c>
      <c r="V263" s="14">
        <v>31323004</v>
      </c>
      <c r="X263" s="14" t="s">
        <v>204</v>
      </c>
      <c r="Y263" s="14" t="s">
        <v>215</v>
      </c>
      <c r="Z263" s="14">
        <v>20001</v>
      </c>
      <c r="AA263" s="14" t="s">
        <v>205</v>
      </c>
      <c r="AB263" s="14">
        <v>40001</v>
      </c>
      <c r="AE263" s="29" t="s">
        <v>121</v>
      </c>
      <c r="AF263" s="14" t="s">
        <v>213</v>
      </c>
      <c r="AG263" s="14" t="s">
        <v>89</v>
      </c>
    </row>
    <row r="264" spans="2:33">
      <c r="B264" s="14">
        <f>10000000+INDEX(编号表!$B:$B,MATCH(H264,编号表!$A:$A,0))*100000+INDEX(编号表!$F:$F,MATCH(D264,编号表!$E:$E,0))*10000+INDEX(编号表!$D:$D,MATCH(AG264,编号表!$C:$C,0))*1000+F264</f>
        <v>11323005</v>
      </c>
      <c r="C264" s="14" t="s">
        <v>424</v>
      </c>
      <c r="D264" s="14" t="s">
        <v>112</v>
      </c>
      <c r="E264" s="14" t="s">
        <v>89</v>
      </c>
      <c r="F264" s="14">
        <v>5</v>
      </c>
      <c r="G264" s="14">
        <v>60</v>
      </c>
      <c r="H264" s="31" t="s">
        <v>217</v>
      </c>
      <c r="I264" s="14" t="s">
        <v>75</v>
      </c>
      <c r="J264" s="14" t="s">
        <v>201</v>
      </c>
      <c r="K264" s="14">
        <v>1</v>
      </c>
      <c r="L264" s="14" t="s">
        <v>213</v>
      </c>
      <c r="N264" s="14">
        <v>0</v>
      </c>
      <c r="O264" s="14" t="b">
        <v>1</v>
      </c>
      <c r="Q264" s="14" t="b">
        <v>0</v>
      </c>
      <c r="R264" s="14">
        <v>1</v>
      </c>
      <c r="S264" s="14" t="s">
        <v>77</v>
      </c>
      <c r="T264" s="14">
        <v>999</v>
      </c>
      <c r="U264" s="14" t="s">
        <v>214</v>
      </c>
      <c r="V264" s="14">
        <v>31323005</v>
      </c>
      <c r="X264" s="14" t="s">
        <v>204</v>
      </c>
      <c r="Y264" s="14" t="s">
        <v>215</v>
      </c>
      <c r="Z264" s="14">
        <v>20001</v>
      </c>
      <c r="AA264" s="14" t="s">
        <v>205</v>
      </c>
      <c r="AB264" s="14">
        <v>40001</v>
      </c>
      <c r="AE264" s="29" t="s">
        <v>121</v>
      </c>
      <c r="AF264" s="14" t="s">
        <v>213</v>
      </c>
      <c r="AG264" s="14" t="s">
        <v>89</v>
      </c>
    </row>
    <row r="265" spans="2:33">
      <c r="B265" s="14">
        <f>10000000+INDEX(编号表!$B:$B,MATCH(H265,编号表!$A:$A,0))*100000+INDEX(编号表!$F:$F,MATCH(D265,编号表!$E:$E,0))*10000+INDEX(编号表!$D:$D,MATCH(AG265,编号表!$C:$C,0))*1000+F265</f>
        <v>11323006</v>
      </c>
      <c r="C265" s="14" t="s">
        <v>425</v>
      </c>
      <c r="D265" s="14" t="s">
        <v>112</v>
      </c>
      <c r="E265" s="14" t="s">
        <v>89</v>
      </c>
      <c r="F265" s="14">
        <v>6</v>
      </c>
      <c r="G265" s="14">
        <v>60</v>
      </c>
      <c r="H265" s="31" t="s">
        <v>217</v>
      </c>
      <c r="I265" s="14" t="s">
        <v>75</v>
      </c>
      <c r="J265" s="14" t="s">
        <v>201</v>
      </c>
      <c r="K265" s="14">
        <v>1</v>
      </c>
      <c r="L265" s="14" t="s">
        <v>213</v>
      </c>
      <c r="N265" s="14">
        <v>0</v>
      </c>
      <c r="O265" s="14" t="b">
        <v>1</v>
      </c>
      <c r="Q265" s="14" t="b">
        <v>0</v>
      </c>
      <c r="R265" s="14">
        <v>1</v>
      </c>
      <c r="S265" s="14" t="s">
        <v>77</v>
      </c>
      <c r="T265" s="14">
        <v>999</v>
      </c>
      <c r="U265" s="14" t="s">
        <v>214</v>
      </c>
      <c r="V265" s="14">
        <v>31323006</v>
      </c>
      <c r="X265" s="14" t="s">
        <v>204</v>
      </c>
      <c r="Y265" s="14" t="s">
        <v>215</v>
      </c>
      <c r="Z265" s="14">
        <v>20001</v>
      </c>
      <c r="AA265" s="14" t="s">
        <v>205</v>
      </c>
      <c r="AB265" s="14">
        <v>40001</v>
      </c>
      <c r="AE265" s="29" t="s">
        <v>121</v>
      </c>
      <c r="AF265" s="14" t="s">
        <v>213</v>
      </c>
      <c r="AG265" s="14" t="s">
        <v>89</v>
      </c>
    </row>
    <row r="266" spans="2:33">
      <c r="B266" s="14">
        <f>10000000+INDEX(编号表!$B:$B,MATCH(H266,编号表!$A:$A,0))*100000+INDEX(编号表!$F:$F,MATCH(D266,编号表!$E:$E,0))*10000+INDEX(编号表!$D:$D,MATCH(AG266,编号表!$C:$C,0))*1000+F266</f>
        <v>11323007</v>
      </c>
      <c r="C266" s="14" t="s">
        <v>426</v>
      </c>
      <c r="D266" s="14" t="s">
        <v>112</v>
      </c>
      <c r="E266" s="14" t="s">
        <v>89</v>
      </c>
      <c r="F266" s="14">
        <v>7</v>
      </c>
      <c r="G266" s="14">
        <v>60</v>
      </c>
      <c r="H266" s="31" t="s">
        <v>217</v>
      </c>
      <c r="I266" s="14" t="s">
        <v>75</v>
      </c>
      <c r="J266" s="14" t="s">
        <v>201</v>
      </c>
      <c r="K266" s="14">
        <v>1</v>
      </c>
      <c r="L266" s="14" t="s">
        <v>213</v>
      </c>
      <c r="N266" s="14">
        <v>0</v>
      </c>
      <c r="O266" s="14" t="b">
        <v>1</v>
      </c>
      <c r="Q266" s="14" t="b">
        <v>0</v>
      </c>
      <c r="R266" s="14">
        <v>1</v>
      </c>
      <c r="S266" s="14" t="s">
        <v>77</v>
      </c>
      <c r="T266" s="14">
        <v>999</v>
      </c>
      <c r="U266" s="14" t="s">
        <v>214</v>
      </c>
      <c r="V266" s="14">
        <v>31323007</v>
      </c>
      <c r="X266" s="14" t="s">
        <v>204</v>
      </c>
      <c r="Y266" s="14" t="s">
        <v>215</v>
      </c>
      <c r="Z266" s="14">
        <v>20001</v>
      </c>
      <c r="AA266" s="14" t="s">
        <v>205</v>
      </c>
      <c r="AB266" s="14">
        <v>40001</v>
      </c>
      <c r="AE266" s="29" t="s">
        <v>121</v>
      </c>
      <c r="AF266" s="14" t="s">
        <v>213</v>
      </c>
      <c r="AG266" s="14" t="s">
        <v>89</v>
      </c>
    </row>
    <row r="267" spans="2:33">
      <c r="B267" s="14">
        <f>10000000+INDEX(编号表!$B:$B,MATCH(H267,编号表!$A:$A,0))*100000+INDEX(编号表!$F:$F,MATCH(D267,编号表!$E:$E,0))*10000+INDEX(编号表!$D:$D,MATCH(AG267,编号表!$C:$C,0))*1000+F267</f>
        <v>11323008</v>
      </c>
      <c r="C267" s="14" t="s">
        <v>427</v>
      </c>
      <c r="D267" s="14" t="s">
        <v>112</v>
      </c>
      <c r="E267" s="14" t="s">
        <v>89</v>
      </c>
      <c r="F267" s="14">
        <v>8</v>
      </c>
      <c r="G267" s="14">
        <v>60</v>
      </c>
      <c r="H267" s="31" t="s">
        <v>217</v>
      </c>
      <c r="I267" s="14" t="s">
        <v>75</v>
      </c>
      <c r="J267" s="14" t="s">
        <v>201</v>
      </c>
      <c r="K267" s="14">
        <v>1</v>
      </c>
      <c r="L267" s="14" t="s">
        <v>213</v>
      </c>
      <c r="N267" s="14">
        <v>0</v>
      </c>
      <c r="O267" s="14" t="b">
        <v>1</v>
      </c>
      <c r="Q267" s="14" t="b">
        <v>0</v>
      </c>
      <c r="R267" s="14">
        <v>1</v>
      </c>
      <c r="S267" s="14" t="s">
        <v>77</v>
      </c>
      <c r="T267" s="14">
        <v>999</v>
      </c>
      <c r="U267" s="14" t="s">
        <v>214</v>
      </c>
      <c r="V267" s="14">
        <v>31323008</v>
      </c>
      <c r="X267" s="14" t="s">
        <v>204</v>
      </c>
      <c r="Y267" s="14" t="s">
        <v>215</v>
      </c>
      <c r="Z267" s="14">
        <v>20001</v>
      </c>
      <c r="AA267" s="14" t="s">
        <v>205</v>
      </c>
      <c r="AB267" s="14">
        <v>40001</v>
      </c>
      <c r="AE267" s="29" t="s">
        <v>121</v>
      </c>
      <c r="AF267" s="14" t="s">
        <v>213</v>
      </c>
      <c r="AG267" s="14" t="s">
        <v>89</v>
      </c>
    </row>
    <row r="268" spans="2:33">
      <c r="B268" s="14">
        <f>10000000+INDEX(编号表!$B:$B,MATCH(H268,编号表!$A:$A,0))*100000+INDEX(编号表!$F:$F,MATCH(D268,编号表!$E:$E,0))*10000+INDEX(编号表!$D:$D,MATCH(AG268,编号表!$C:$C,0))*1000+F268</f>
        <v>11323009</v>
      </c>
      <c r="C268" s="14" t="s">
        <v>428</v>
      </c>
      <c r="D268" s="14" t="s">
        <v>112</v>
      </c>
      <c r="E268" s="14" t="s">
        <v>89</v>
      </c>
      <c r="F268" s="14">
        <v>9</v>
      </c>
      <c r="G268" s="14">
        <v>60</v>
      </c>
      <c r="H268" s="31" t="s">
        <v>217</v>
      </c>
      <c r="I268" s="14" t="s">
        <v>75</v>
      </c>
      <c r="J268" s="14" t="s">
        <v>201</v>
      </c>
      <c r="K268" s="14">
        <v>1</v>
      </c>
      <c r="L268" s="14" t="s">
        <v>213</v>
      </c>
      <c r="N268" s="14">
        <v>0</v>
      </c>
      <c r="O268" s="14" t="b">
        <v>1</v>
      </c>
      <c r="Q268" s="14" t="b">
        <v>0</v>
      </c>
      <c r="R268" s="14">
        <v>1</v>
      </c>
      <c r="S268" s="14" t="s">
        <v>77</v>
      </c>
      <c r="T268" s="14">
        <v>999</v>
      </c>
      <c r="U268" s="14" t="s">
        <v>214</v>
      </c>
      <c r="V268" s="14">
        <v>31323009</v>
      </c>
      <c r="X268" s="14" t="s">
        <v>204</v>
      </c>
      <c r="Y268" s="14" t="s">
        <v>215</v>
      </c>
      <c r="Z268" s="14">
        <v>20001</v>
      </c>
      <c r="AA268" s="14" t="s">
        <v>205</v>
      </c>
      <c r="AB268" s="14">
        <v>40001</v>
      </c>
      <c r="AE268" s="29" t="s">
        <v>121</v>
      </c>
      <c r="AF268" s="14" t="s">
        <v>213</v>
      </c>
      <c r="AG268" s="14" t="s">
        <v>89</v>
      </c>
    </row>
    <row r="269" spans="2:33">
      <c r="B269" s="14">
        <f>10000000+INDEX(编号表!$B:$B,MATCH(H269,编号表!$A:$A,0))*100000+INDEX(编号表!$F:$F,MATCH(D269,编号表!$E:$E,0))*10000+INDEX(编号表!$D:$D,MATCH(AG269,编号表!$C:$C,0))*1000+F269</f>
        <v>11523000</v>
      </c>
      <c r="C269" s="14" t="s">
        <v>429</v>
      </c>
      <c r="D269" s="14" t="s">
        <v>112</v>
      </c>
      <c r="E269" s="14" t="s">
        <v>89</v>
      </c>
      <c r="F269" s="14">
        <v>0</v>
      </c>
      <c r="G269" s="14">
        <v>60</v>
      </c>
      <c r="H269" s="31" t="s">
        <v>228</v>
      </c>
      <c r="I269" s="14" t="s">
        <v>75</v>
      </c>
      <c r="J269" s="14" t="s">
        <v>201</v>
      </c>
      <c r="K269" s="14">
        <v>1</v>
      </c>
      <c r="L269" s="14" t="s">
        <v>213</v>
      </c>
      <c r="N269" s="14">
        <v>0</v>
      </c>
      <c r="O269" s="14" t="b">
        <v>1</v>
      </c>
      <c r="Q269" s="14" t="b">
        <v>0</v>
      </c>
      <c r="R269" s="14">
        <v>1</v>
      </c>
      <c r="S269" s="14" t="s">
        <v>77</v>
      </c>
      <c r="T269" s="14">
        <v>999</v>
      </c>
      <c r="U269" s="14" t="s">
        <v>214</v>
      </c>
      <c r="V269" s="14">
        <v>31523000</v>
      </c>
      <c r="X269" s="14" t="s">
        <v>204</v>
      </c>
      <c r="Y269" s="14" t="s">
        <v>215</v>
      </c>
      <c r="Z269" s="14">
        <v>20001</v>
      </c>
      <c r="AA269" s="14" t="s">
        <v>205</v>
      </c>
      <c r="AB269" s="14">
        <v>40001</v>
      </c>
      <c r="AE269" s="29" t="s">
        <v>121</v>
      </c>
      <c r="AF269" s="14" t="s">
        <v>213</v>
      </c>
      <c r="AG269" s="14" t="s">
        <v>89</v>
      </c>
    </row>
    <row r="270" spans="2:33">
      <c r="B270" s="14">
        <f>10000000+INDEX(编号表!$B:$B,MATCH(H270,编号表!$A:$A,0))*100000+INDEX(编号表!$F:$F,MATCH(D270,编号表!$E:$E,0))*10000+INDEX(编号表!$D:$D,MATCH(AG270,编号表!$C:$C,0))*1000+F270</f>
        <v>11523001</v>
      </c>
      <c r="C270" s="14" t="s">
        <v>430</v>
      </c>
      <c r="D270" s="14" t="s">
        <v>112</v>
      </c>
      <c r="E270" s="14" t="s">
        <v>89</v>
      </c>
      <c r="F270" s="14">
        <v>1</v>
      </c>
      <c r="G270" s="14">
        <v>60</v>
      </c>
      <c r="H270" s="31" t="s">
        <v>228</v>
      </c>
      <c r="I270" s="14" t="s">
        <v>75</v>
      </c>
      <c r="J270" s="14" t="s">
        <v>201</v>
      </c>
      <c r="K270" s="14">
        <v>1</v>
      </c>
      <c r="L270" s="14" t="s">
        <v>213</v>
      </c>
      <c r="N270" s="14">
        <v>0</v>
      </c>
      <c r="O270" s="14" t="b">
        <v>1</v>
      </c>
      <c r="Q270" s="14" t="b">
        <v>0</v>
      </c>
      <c r="R270" s="14">
        <v>1</v>
      </c>
      <c r="S270" s="14" t="s">
        <v>77</v>
      </c>
      <c r="T270" s="14">
        <v>999</v>
      </c>
      <c r="U270" s="14" t="s">
        <v>214</v>
      </c>
      <c r="V270" s="14">
        <v>31523001</v>
      </c>
      <c r="X270" s="14" t="s">
        <v>204</v>
      </c>
      <c r="Y270" s="14" t="s">
        <v>215</v>
      </c>
      <c r="Z270" s="14">
        <v>20001</v>
      </c>
      <c r="AA270" s="14" t="s">
        <v>205</v>
      </c>
      <c r="AB270" s="14">
        <v>40001</v>
      </c>
      <c r="AE270" s="29" t="s">
        <v>121</v>
      </c>
      <c r="AF270" s="14" t="s">
        <v>213</v>
      </c>
      <c r="AG270" s="14" t="s">
        <v>89</v>
      </c>
    </row>
    <row r="271" spans="2:33">
      <c r="B271" s="14">
        <f>10000000+INDEX(编号表!$B:$B,MATCH(H271,编号表!$A:$A,0))*100000+INDEX(编号表!$F:$F,MATCH(D271,编号表!$E:$E,0))*10000+INDEX(编号表!$D:$D,MATCH(AG271,编号表!$C:$C,0))*1000+F271</f>
        <v>11523002</v>
      </c>
      <c r="C271" s="14" t="s">
        <v>431</v>
      </c>
      <c r="D271" s="14" t="s">
        <v>112</v>
      </c>
      <c r="E271" s="14" t="s">
        <v>89</v>
      </c>
      <c r="F271" s="14">
        <v>2</v>
      </c>
      <c r="G271" s="14">
        <v>60</v>
      </c>
      <c r="H271" s="31" t="s">
        <v>228</v>
      </c>
      <c r="I271" s="14" t="s">
        <v>75</v>
      </c>
      <c r="J271" s="14" t="s">
        <v>201</v>
      </c>
      <c r="K271" s="14">
        <v>1</v>
      </c>
      <c r="L271" s="14" t="s">
        <v>213</v>
      </c>
      <c r="N271" s="14">
        <v>0</v>
      </c>
      <c r="O271" s="14" t="b">
        <v>1</v>
      </c>
      <c r="Q271" s="14" t="b">
        <v>0</v>
      </c>
      <c r="R271" s="14">
        <v>1</v>
      </c>
      <c r="S271" s="14" t="s">
        <v>77</v>
      </c>
      <c r="T271" s="14">
        <v>999</v>
      </c>
      <c r="U271" s="14" t="s">
        <v>214</v>
      </c>
      <c r="V271" s="14">
        <v>31523002</v>
      </c>
      <c r="X271" s="14" t="s">
        <v>204</v>
      </c>
      <c r="Y271" s="14" t="s">
        <v>215</v>
      </c>
      <c r="Z271" s="14">
        <v>20001</v>
      </c>
      <c r="AA271" s="14" t="s">
        <v>205</v>
      </c>
      <c r="AB271" s="14">
        <v>40001</v>
      </c>
      <c r="AE271" s="29" t="s">
        <v>121</v>
      </c>
      <c r="AF271" s="14" t="s">
        <v>213</v>
      </c>
      <c r="AG271" s="14" t="s">
        <v>89</v>
      </c>
    </row>
    <row r="272" spans="2:33">
      <c r="B272" s="14">
        <f>10000000+INDEX(编号表!$B:$B,MATCH(H272,编号表!$A:$A,0))*100000+INDEX(编号表!$F:$F,MATCH(D272,编号表!$E:$E,0))*10000+INDEX(编号表!$D:$D,MATCH(AG272,编号表!$C:$C,0))*1000+F272</f>
        <v>11523003</v>
      </c>
      <c r="C272" s="14" t="s">
        <v>432</v>
      </c>
      <c r="D272" s="14" t="s">
        <v>112</v>
      </c>
      <c r="E272" s="14" t="s">
        <v>89</v>
      </c>
      <c r="F272" s="14">
        <v>3</v>
      </c>
      <c r="G272" s="14">
        <v>60</v>
      </c>
      <c r="H272" s="31" t="s">
        <v>228</v>
      </c>
      <c r="I272" s="14" t="s">
        <v>75</v>
      </c>
      <c r="J272" s="14" t="s">
        <v>201</v>
      </c>
      <c r="K272" s="14">
        <v>1</v>
      </c>
      <c r="L272" s="14" t="s">
        <v>213</v>
      </c>
      <c r="N272" s="14">
        <v>0</v>
      </c>
      <c r="O272" s="14" t="b">
        <v>1</v>
      </c>
      <c r="Q272" s="14" t="b">
        <v>0</v>
      </c>
      <c r="R272" s="14">
        <v>1</v>
      </c>
      <c r="S272" s="14" t="s">
        <v>77</v>
      </c>
      <c r="T272" s="14">
        <v>999</v>
      </c>
      <c r="U272" s="14" t="s">
        <v>214</v>
      </c>
      <c r="V272" s="14">
        <v>31523003</v>
      </c>
      <c r="X272" s="14" t="s">
        <v>204</v>
      </c>
      <c r="Y272" s="14" t="s">
        <v>215</v>
      </c>
      <c r="Z272" s="14">
        <v>20001</v>
      </c>
      <c r="AA272" s="14" t="s">
        <v>205</v>
      </c>
      <c r="AB272" s="14">
        <v>40001</v>
      </c>
      <c r="AE272" s="29" t="s">
        <v>121</v>
      </c>
      <c r="AF272" s="14" t="s">
        <v>213</v>
      </c>
      <c r="AG272" s="14" t="s">
        <v>89</v>
      </c>
    </row>
    <row r="273" spans="2:33">
      <c r="B273" s="14">
        <f>10000000+INDEX(编号表!$B:$B,MATCH(H273,编号表!$A:$A,0))*100000+INDEX(编号表!$F:$F,MATCH(D273,编号表!$E:$E,0))*10000+INDEX(编号表!$D:$D,MATCH(AG273,编号表!$C:$C,0))*1000+F273</f>
        <v>11523004</v>
      </c>
      <c r="C273" s="14" t="s">
        <v>433</v>
      </c>
      <c r="D273" s="14" t="s">
        <v>112</v>
      </c>
      <c r="E273" s="14" t="s">
        <v>89</v>
      </c>
      <c r="F273" s="14">
        <v>4</v>
      </c>
      <c r="G273" s="14">
        <v>60</v>
      </c>
      <c r="H273" s="31" t="s">
        <v>228</v>
      </c>
      <c r="I273" s="14" t="s">
        <v>75</v>
      </c>
      <c r="J273" s="14" t="s">
        <v>201</v>
      </c>
      <c r="K273" s="14">
        <v>1</v>
      </c>
      <c r="L273" s="14" t="s">
        <v>213</v>
      </c>
      <c r="N273" s="14">
        <v>0</v>
      </c>
      <c r="O273" s="14" t="b">
        <v>1</v>
      </c>
      <c r="Q273" s="14" t="b">
        <v>0</v>
      </c>
      <c r="R273" s="14">
        <v>1</v>
      </c>
      <c r="S273" s="14" t="s">
        <v>77</v>
      </c>
      <c r="T273" s="14">
        <v>999</v>
      </c>
      <c r="U273" s="14" t="s">
        <v>214</v>
      </c>
      <c r="V273" s="14">
        <v>31523004</v>
      </c>
      <c r="X273" s="14" t="s">
        <v>204</v>
      </c>
      <c r="Y273" s="14" t="s">
        <v>215</v>
      </c>
      <c r="Z273" s="14">
        <v>20001</v>
      </c>
      <c r="AA273" s="14" t="s">
        <v>205</v>
      </c>
      <c r="AB273" s="14">
        <v>40001</v>
      </c>
      <c r="AE273" s="29" t="s">
        <v>121</v>
      </c>
      <c r="AF273" s="14" t="s">
        <v>213</v>
      </c>
      <c r="AG273" s="14" t="s">
        <v>89</v>
      </c>
    </row>
    <row r="274" spans="2:33">
      <c r="B274" s="14">
        <f>10000000+INDEX(编号表!$B:$B,MATCH(H274,编号表!$A:$A,0))*100000+INDEX(编号表!$F:$F,MATCH(D274,编号表!$E:$E,0))*10000+INDEX(编号表!$D:$D,MATCH(AG274,编号表!$C:$C,0))*1000+F274</f>
        <v>11523005</v>
      </c>
      <c r="C274" s="14" t="s">
        <v>434</v>
      </c>
      <c r="D274" s="14" t="s">
        <v>112</v>
      </c>
      <c r="E274" s="14" t="s">
        <v>89</v>
      </c>
      <c r="F274" s="14">
        <v>5</v>
      </c>
      <c r="G274" s="14">
        <v>60</v>
      </c>
      <c r="H274" s="31" t="s">
        <v>228</v>
      </c>
      <c r="I274" s="14" t="s">
        <v>75</v>
      </c>
      <c r="J274" s="14" t="s">
        <v>201</v>
      </c>
      <c r="K274" s="14">
        <v>1</v>
      </c>
      <c r="L274" s="14" t="s">
        <v>213</v>
      </c>
      <c r="N274" s="14">
        <v>0</v>
      </c>
      <c r="O274" s="14" t="b">
        <v>1</v>
      </c>
      <c r="Q274" s="14" t="b">
        <v>0</v>
      </c>
      <c r="R274" s="14">
        <v>1</v>
      </c>
      <c r="S274" s="14" t="s">
        <v>77</v>
      </c>
      <c r="T274" s="14">
        <v>999</v>
      </c>
      <c r="U274" s="14" t="s">
        <v>214</v>
      </c>
      <c r="V274" s="14">
        <v>31523005</v>
      </c>
      <c r="X274" s="14" t="s">
        <v>204</v>
      </c>
      <c r="Y274" s="14" t="s">
        <v>215</v>
      </c>
      <c r="Z274" s="14">
        <v>20001</v>
      </c>
      <c r="AA274" s="14" t="s">
        <v>205</v>
      </c>
      <c r="AB274" s="14">
        <v>40001</v>
      </c>
      <c r="AE274" s="29" t="s">
        <v>121</v>
      </c>
      <c r="AF274" s="14" t="s">
        <v>213</v>
      </c>
      <c r="AG274" s="14" t="s">
        <v>89</v>
      </c>
    </row>
    <row r="275" spans="2:33">
      <c r="B275" s="14">
        <f>10000000+INDEX(编号表!$B:$B,MATCH(H275,编号表!$A:$A,0))*100000+INDEX(编号表!$F:$F,MATCH(D275,编号表!$E:$E,0))*10000+INDEX(编号表!$D:$D,MATCH(AG275,编号表!$C:$C,0))*1000+F275</f>
        <v>11523006</v>
      </c>
      <c r="C275" s="14" t="s">
        <v>435</v>
      </c>
      <c r="D275" s="14" t="s">
        <v>112</v>
      </c>
      <c r="E275" s="14" t="s">
        <v>89</v>
      </c>
      <c r="F275" s="14">
        <v>6</v>
      </c>
      <c r="G275" s="14">
        <v>60</v>
      </c>
      <c r="H275" s="31" t="s">
        <v>228</v>
      </c>
      <c r="I275" s="14" t="s">
        <v>75</v>
      </c>
      <c r="J275" s="14" t="s">
        <v>201</v>
      </c>
      <c r="K275" s="14">
        <v>1</v>
      </c>
      <c r="L275" s="14" t="s">
        <v>213</v>
      </c>
      <c r="N275" s="14">
        <v>0</v>
      </c>
      <c r="O275" s="14" t="b">
        <v>1</v>
      </c>
      <c r="Q275" s="14" t="b">
        <v>0</v>
      </c>
      <c r="R275" s="14">
        <v>1</v>
      </c>
      <c r="S275" s="14" t="s">
        <v>77</v>
      </c>
      <c r="T275" s="14">
        <v>999</v>
      </c>
      <c r="U275" s="14" t="s">
        <v>214</v>
      </c>
      <c r="V275" s="14">
        <v>31523006</v>
      </c>
      <c r="X275" s="14" t="s">
        <v>204</v>
      </c>
      <c r="Y275" s="14" t="s">
        <v>215</v>
      </c>
      <c r="Z275" s="14">
        <v>20001</v>
      </c>
      <c r="AA275" s="14" t="s">
        <v>205</v>
      </c>
      <c r="AB275" s="14">
        <v>40001</v>
      </c>
      <c r="AE275" s="29" t="s">
        <v>121</v>
      </c>
      <c r="AF275" s="14" t="s">
        <v>213</v>
      </c>
      <c r="AG275" s="14" t="s">
        <v>89</v>
      </c>
    </row>
    <row r="276" spans="2:33">
      <c r="B276" s="14">
        <f>10000000+INDEX(编号表!$B:$B,MATCH(H276,编号表!$A:$A,0))*100000+INDEX(编号表!$F:$F,MATCH(D276,编号表!$E:$E,0))*10000+INDEX(编号表!$D:$D,MATCH(AG276,编号表!$C:$C,0))*1000+F276</f>
        <v>11523007</v>
      </c>
      <c r="C276" s="14" t="s">
        <v>436</v>
      </c>
      <c r="D276" s="14" t="s">
        <v>112</v>
      </c>
      <c r="E276" s="14" t="s">
        <v>89</v>
      </c>
      <c r="F276" s="14">
        <v>7</v>
      </c>
      <c r="G276" s="14">
        <v>60</v>
      </c>
      <c r="H276" s="31" t="s">
        <v>228</v>
      </c>
      <c r="I276" s="14" t="s">
        <v>75</v>
      </c>
      <c r="J276" s="14" t="s">
        <v>201</v>
      </c>
      <c r="K276" s="14">
        <v>1</v>
      </c>
      <c r="L276" s="14" t="s">
        <v>213</v>
      </c>
      <c r="N276" s="14">
        <v>0</v>
      </c>
      <c r="O276" s="14" t="b">
        <v>1</v>
      </c>
      <c r="Q276" s="14" t="b">
        <v>0</v>
      </c>
      <c r="R276" s="14">
        <v>1</v>
      </c>
      <c r="S276" s="14" t="s">
        <v>77</v>
      </c>
      <c r="T276" s="14">
        <v>999</v>
      </c>
      <c r="U276" s="14" t="s">
        <v>214</v>
      </c>
      <c r="V276" s="14">
        <v>31523007</v>
      </c>
      <c r="X276" s="14" t="s">
        <v>204</v>
      </c>
      <c r="Y276" s="14" t="s">
        <v>215</v>
      </c>
      <c r="Z276" s="14">
        <v>20001</v>
      </c>
      <c r="AA276" s="14" t="s">
        <v>205</v>
      </c>
      <c r="AB276" s="14">
        <v>40001</v>
      </c>
      <c r="AE276" s="29" t="s">
        <v>121</v>
      </c>
      <c r="AF276" s="14" t="s">
        <v>213</v>
      </c>
      <c r="AG276" s="14" t="s">
        <v>89</v>
      </c>
    </row>
    <row r="277" spans="2:33">
      <c r="B277" s="14">
        <f>10000000+INDEX(编号表!$B:$B,MATCH(H277,编号表!$A:$A,0))*100000+INDEX(编号表!$F:$F,MATCH(D277,编号表!$E:$E,0))*10000+INDEX(编号表!$D:$D,MATCH(AG277,编号表!$C:$C,0))*1000+F277</f>
        <v>11523008</v>
      </c>
      <c r="C277" s="14" t="s">
        <v>437</v>
      </c>
      <c r="D277" s="14" t="s">
        <v>112</v>
      </c>
      <c r="E277" s="14" t="s">
        <v>89</v>
      </c>
      <c r="F277" s="14">
        <v>8</v>
      </c>
      <c r="G277" s="14">
        <v>60</v>
      </c>
      <c r="H277" s="31" t="s">
        <v>228</v>
      </c>
      <c r="I277" s="14" t="s">
        <v>75</v>
      </c>
      <c r="J277" s="14" t="s">
        <v>201</v>
      </c>
      <c r="K277" s="14">
        <v>1</v>
      </c>
      <c r="L277" s="14" t="s">
        <v>213</v>
      </c>
      <c r="N277" s="14">
        <v>0</v>
      </c>
      <c r="O277" s="14" t="b">
        <v>1</v>
      </c>
      <c r="Q277" s="14" t="b">
        <v>0</v>
      </c>
      <c r="R277" s="14">
        <v>1</v>
      </c>
      <c r="S277" s="14" t="s">
        <v>77</v>
      </c>
      <c r="T277" s="14">
        <v>999</v>
      </c>
      <c r="U277" s="14" t="s">
        <v>214</v>
      </c>
      <c r="V277" s="14">
        <v>31523008</v>
      </c>
      <c r="X277" s="14" t="s">
        <v>204</v>
      </c>
      <c r="Y277" s="14" t="s">
        <v>215</v>
      </c>
      <c r="Z277" s="14">
        <v>20001</v>
      </c>
      <c r="AA277" s="14" t="s">
        <v>205</v>
      </c>
      <c r="AB277" s="14">
        <v>40001</v>
      </c>
      <c r="AE277" s="29" t="s">
        <v>121</v>
      </c>
      <c r="AF277" s="14" t="s">
        <v>213</v>
      </c>
      <c r="AG277" s="14" t="s">
        <v>89</v>
      </c>
    </row>
    <row r="278" spans="2:33">
      <c r="B278" s="14">
        <f>10000000+INDEX(编号表!$B:$B,MATCH(H278,编号表!$A:$A,0))*100000+INDEX(编号表!$F:$F,MATCH(D278,编号表!$E:$E,0))*10000+INDEX(编号表!$D:$D,MATCH(AG278,编号表!$C:$C,0))*1000+F278</f>
        <v>11523009</v>
      </c>
      <c r="C278" s="14" t="s">
        <v>438</v>
      </c>
      <c r="D278" s="14" t="s">
        <v>112</v>
      </c>
      <c r="E278" s="14" t="s">
        <v>89</v>
      </c>
      <c r="F278" s="14">
        <v>9</v>
      </c>
      <c r="G278" s="14">
        <v>60</v>
      </c>
      <c r="H278" s="31" t="s">
        <v>228</v>
      </c>
      <c r="I278" s="14" t="s">
        <v>75</v>
      </c>
      <c r="J278" s="14" t="s">
        <v>201</v>
      </c>
      <c r="K278" s="14">
        <v>1</v>
      </c>
      <c r="L278" s="14" t="s">
        <v>213</v>
      </c>
      <c r="N278" s="14">
        <v>0</v>
      </c>
      <c r="O278" s="14" t="b">
        <v>1</v>
      </c>
      <c r="Q278" s="14" t="b">
        <v>0</v>
      </c>
      <c r="R278" s="14">
        <v>1</v>
      </c>
      <c r="S278" s="14" t="s">
        <v>77</v>
      </c>
      <c r="T278" s="14">
        <v>999</v>
      </c>
      <c r="U278" s="14" t="s">
        <v>214</v>
      </c>
      <c r="V278" s="14">
        <v>31523009</v>
      </c>
      <c r="X278" s="14" t="s">
        <v>204</v>
      </c>
      <c r="Y278" s="14" t="s">
        <v>215</v>
      </c>
      <c r="Z278" s="14">
        <v>20001</v>
      </c>
      <c r="AA278" s="14" t="s">
        <v>205</v>
      </c>
      <c r="AB278" s="14">
        <v>40001</v>
      </c>
      <c r="AE278" s="29" t="s">
        <v>121</v>
      </c>
      <c r="AF278" s="14" t="s">
        <v>213</v>
      </c>
      <c r="AG278" s="14" t="s">
        <v>89</v>
      </c>
    </row>
    <row r="279" spans="2:33">
      <c r="B279" s="14">
        <f>10000000+INDEX(编号表!$B:$B,MATCH(H279,编号表!$A:$A,0))*100000+INDEX(编号表!$F:$F,MATCH(D279,编号表!$E:$E,0))*10000+INDEX(编号表!$D:$D,MATCH(AG279,编号表!$C:$C,0))*1000+F279</f>
        <v>11423000</v>
      </c>
      <c r="C279" s="14" t="s">
        <v>439</v>
      </c>
      <c r="D279" s="14" t="s">
        <v>112</v>
      </c>
      <c r="E279" s="14" t="s">
        <v>89</v>
      </c>
      <c r="F279" s="14">
        <v>0</v>
      </c>
      <c r="G279" s="14">
        <v>60</v>
      </c>
      <c r="H279" s="31" t="s">
        <v>239</v>
      </c>
      <c r="I279" s="14" t="s">
        <v>75</v>
      </c>
      <c r="J279" s="14" t="s">
        <v>201</v>
      </c>
      <c r="K279" s="14">
        <v>1</v>
      </c>
      <c r="L279" s="14" t="s">
        <v>213</v>
      </c>
      <c r="N279" s="14">
        <v>0</v>
      </c>
      <c r="O279" s="14" t="b">
        <v>1</v>
      </c>
      <c r="Q279" s="14" t="b">
        <v>0</v>
      </c>
      <c r="R279" s="14">
        <v>1</v>
      </c>
      <c r="S279" s="14" t="s">
        <v>77</v>
      </c>
      <c r="T279" s="14">
        <v>999</v>
      </c>
      <c r="U279" s="14" t="s">
        <v>214</v>
      </c>
      <c r="V279" s="14">
        <v>31423000</v>
      </c>
      <c r="X279" s="14" t="s">
        <v>204</v>
      </c>
      <c r="Y279" s="14" t="s">
        <v>215</v>
      </c>
      <c r="Z279" s="14">
        <v>20001</v>
      </c>
      <c r="AA279" s="14" t="s">
        <v>205</v>
      </c>
      <c r="AB279" s="14">
        <v>40001</v>
      </c>
      <c r="AE279" s="29" t="s">
        <v>121</v>
      </c>
      <c r="AF279" s="14" t="s">
        <v>213</v>
      </c>
      <c r="AG279" s="14" t="s">
        <v>89</v>
      </c>
    </row>
    <row r="280" spans="2:33">
      <c r="B280" s="14">
        <f>10000000+INDEX(编号表!$B:$B,MATCH(H280,编号表!$A:$A,0))*100000+INDEX(编号表!$F:$F,MATCH(D280,编号表!$E:$E,0))*10000+INDEX(编号表!$D:$D,MATCH(AG280,编号表!$C:$C,0))*1000+F280</f>
        <v>11423001</v>
      </c>
      <c r="C280" s="14" t="s">
        <v>440</v>
      </c>
      <c r="D280" s="14" t="s">
        <v>112</v>
      </c>
      <c r="E280" s="14" t="s">
        <v>89</v>
      </c>
      <c r="F280" s="14">
        <v>1</v>
      </c>
      <c r="G280" s="14">
        <v>60</v>
      </c>
      <c r="H280" s="31" t="s">
        <v>239</v>
      </c>
      <c r="I280" s="14" t="s">
        <v>75</v>
      </c>
      <c r="J280" s="14" t="s">
        <v>201</v>
      </c>
      <c r="K280" s="14">
        <v>1</v>
      </c>
      <c r="L280" s="14" t="s">
        <v>213</v>
      </c>
      <c r="N280" s="14">
        <v>0</v>
      </c>
      <c r="O280" s="14" t="b">
        <v>1</v>
      </c>
      <c r="Q280" s="14" t="b">
        <v>0</v>
      </c>
      <c r="R280" s="14">
        <v>1</v>
      </c>
      <c r="S280" s="14" t="s">
        <v>77</v>
      </c>
      <c r="T280" s="14">
        <v>999</v>
      </c>
      <c r="U280" s="14" t="s">
        <v>214</v>
      </c>
      <c r="V280" s="14">
        <v>31423001</v>
      </c>
      <c r="X280" s="14" t="s">
        <v>204</v>
      </c>
      <c r="Y280" s="14" t="s">
        <v>215</v>
      </c>
      <c r="Z280" s="14">
        <v>20001</v>
      </c>
      <c r="AA280" s="14" t="s">
        <v>205</v>
      </c>
      <c r="AB280" s="14">
        <v>40001</v>
      </c>
      <c r="AE280" s="29" t="s">
        <v>121</v>
      </c>
      <c r="AF280" s="14" t="s">
        <v>213</v>
      </c>
      <c r="AG280" s="14" t="s">
        <v>89</v>
      </c>
    </row>
    <row r="281" spans="2:33">
      <c r="B281" s="14">
        <f>10000000+INDEX(编号表!$B:$B,MATCH(H281,编号表!$A:$A,0))*100000+INDEX(编号表!$F:$F,MATCH(D281,编号表!$E:$E,0))*10000+INDEX(编号表!$D:$D,MATCH(AG281,编号表!$C:$C,0))*1000+F281</f>
        <v>11423002</v>
      </c>
      <c r="C281" s="14" t="s">
        <v>441</v>
      </c>
      <c r="D281" s="14" t="s">
        <v>112</v>
      </c>
      <c r="E281" s="14" t="s">
        <v>89</v>
      </c>
      <c r="F281" s="14">
        <v>2</v>
      </c>
      <c r="G281" s="14">
        <v>60</v>
      </c>
      <c r="H281" s="31" t="s">
        <v>239</v>
      </c>
      <c r="I281" s="14" t="s">
        <v>75</v>
      </c>
      <c r="J281" s="14" t="s">
        <v>201</v>
      </c>
      <c r="K281" s="14">
        <v>1</v>
      </c>
      <c r="L281" s="14" t="s">
        <v>213</v>
      </c>
      <c r="N281" s="14">
        <v>0</v>
      </c>
      <c r="O281" s="14" t="b">
        <v>1</v>
      </c>
      <c r="Q281" s="14" t="b">
        <v>0</v>
      </c>
      <c r="R281" s="14">
        <v>1</v>
      </c>
      <c r="S281" s="14" t="s">
        <v>77</v>
      </c>
      <c r="T281" s="14">
        <v>999</v>
      </c>
      <c r="U281" s="14" t="s">
        <v>214</v>
      </c>
      <c r="V281" s="14">
        <v>31423002</v>
      </c>
      <c r="X281" s="14" t="s">
        <v>204</v>
      </c>
      <c r="Y281" s="14" t="s">
        <v>215</v>
      </c>
      <c r="Z281" s="14">
        <v>20001</v>
      </c>
      <c r="AA281" s="14" t="s">
        <v>205</v>
      </c>
      <c r="AB281" s="14">
        <v>40001</v>
      </c>
      <c r="AE281" s="29" t="s">
        <v>121</v>
      </c>
      <c r="AF281" s="14" t="s">
        <v>213</v>
      </c>
      <c r="AG281" s="14" t="s">
        <v>89</v>
      </c>
    </row>
    <row r="282" spans="2:33">
      <c r="B282" s="14">
        <f>10000000+INDEX(编号表!$B:$B,MATCH(H282,编号表!$A:$A,0))*100000+INDEX(编号表!$F:$F,MATCH(D282,编号表!$E:$E,0))*10000+INDEX(编号表!$D:$D,MATCH(AG282,编号表!$C:$C,0))*1000+F282</f>
        <v>11423003</v>
      </c>
      <c r="C282" s="14" t="s">
        <v>442</v>
      </c>
      <c r="D282" s="14" t="s">
        <v>112</v>
      </c>
      <c r="E282" s="14" t="s">
        <v>89</v>
      </c>
      <c r="F282" s="14">
        <v>3</v>
      </c>
      <c r="G282" s="14">
        <v>60</v>
      </c>
      <c r="H282" s="31" t="s">
        <v>239</v>
      </c>
      <c r="I282" s="14" t="s">
        <v>75</v>
      </c>
      <c r="J282" s="14" t="s">
        <v>201</v>
      </c>
      <c r="K282" s="14">
        <v>1</v>
      </c>
      <c r="L282" s="14" t="s">
        <v>213</v>
      </c>
      <c r="N282" s="14">
        <v>0</v>
      </c>
      <c r="O282" s="14" t="b">
        <v>1</v>
      </c>
      <c r="Q282" s="14" t="b">
        <v>0</v>
      </c>
      <c r="R282" s="14">
        <v>1</v>
      </c>
      <c r="S282" s="14" t="s">
        <v>77</v>
      </c>
      <c r="T282" s="14">
        <v>999</v>
      </c>
      <c r="U282" s="14" t="s">
        <v>214</v>
      </c>
      <c r="V282" s="14">
        <v>31423003</v>
      </c>
      <c r="X282" s="14" t="s">
        <v>204</v>
      </c>
      <c r="Y282" s="14" t="s">
        <v>215</v>
      </c>
      <c r="Z282" s="14">
        <v>20001</v>
      </c>
      <c r="AA282" s="14" t="s">
        <v>205</v>
      </c>
      <c r="AB282" s="14">
        <v>40001</v>
      </c>
      <c r="AE282" s="29" t="s">
        <v>121</v>
      </c>
      <c r="AF282" s="14" t="s">
        <v>213</v>
      </c>
      <c r="AG282" s="14" t="s">
        <v>89</v>
      </c>
    </row>
    <row r="283" spans="2:33">
      <c r="B283" s="14">
        <f>10000000+INDEX(编号表!$B:$B,MATCH(H283,编号表!$A:$A,0))*100000+INDEX(编号表!$F:$F,MATCH(D283,编号表!$E:$E,0))*10000+INDEX(编号表!$D:$D,MATCH(AG283,编号表!$C:$C,0))*1000+F283</f>
        <v>11623000</v>
      </c>
      <c r="C283" s="14" t="s">
        <v>443</v>
      </c>
      <c r="D283" s="14" t="s">
        <v>112</v>
      </c>
      <c r="E283" s="14" t="s">
        <v>89</v>
      </c>
      <c r="F283" s="14">
        <v>0</v>
      </c>
      <c r="G283" s="14">
        <v>60</v>
      </c>
      <c r="H283" s="31" t="s">
        <v>244</v>
      </c>
      <c r="I283" s="14" t="s">
        <v>75</v>
      </c>
      <c r="J283" s="14" t="s">
        <v>201</v>
      </c>
      <c r="K283" s="14">
        <v>1</v>
      </c>
      <c r="L283" s="14" t="s">
        <v>213</v>
      </c>
      <c r="N283" s="14">
        <v>0</v>
      </c>
      <c r="O283" s="14" t="b">
        <v>1</v>
      </c>
      <c r="Q283" s="14" t="b">
        <v>0</v>
      </c>
      <c r="R283" s="14">
        <v>1</v>
      </c>
      <c r="S283" s="14" t="s">
        <v>77</v>
      </c>
      <c r="T283" s="14">
        <v>999</v>
      </c>
      <c r="U283" s="14" t="s">
        <v>214</v>
      </c>
      <c r="V283" s="14">
        <v>31623000</v>
      </c>
      <c r="X283" s="14" t="s">
        <v>204</v>
      </c>
      <c r="Y283" s="14" t="s">
        <v>215</v>
      </c>
      <c r="Z283" s="14">
        <v>20001</v>
      </c>
      <c r="AA283" s="14" t="s">
        <v>205</v>
      </c>
      <c r="AB283" s="14">
        <v>40001</v>
      </c>
      <c r="AE283" s="29" t="s">
        <v>121</v>
      </c>
      <c r="AF283" s="14" t="s">
        <v>213</v>
      </c>
      <c r="AG283" s="14" t="s">
        <v>89</v>
      </c>
    </row>
    <row r="284" spans="2:33">
      <c r="B284" s="14">
        <f>10000000+INDEX(编号表!$B:$B,MATCH(H284,编号表!$A:$A,0))*100000+INDEX(编号表!$F:$F,MATCH(D284,编号表!$E:$E,0))*10000+INDEX(编号表!$D:$D,MATCH(AG284,编号表!$C:$C,0))*1000+F284</f>
        <v>11623001</v>
      </c>
      <c r="C284" s="14" t="s">
        <v>444</v>
      </c>
      <c r="D284" s="14" t="s">
        <v>112</v>
      </c>
      <c r="E284" s="14" t="s">
        <v>89</v>
      </c>
      <c r="F284" s="14">
        <v>1</v>
      </c>
      <c r="G284" s="14">
        <v>60</v>
      </c>
      <c r="H284" s="31" t="s">
        <v>244</v>
      </c>
      <c r="I284" s="14" t="s">
        <v>75</v>
      </c>
      <c r="J284" s="14" t="s">
        <v>201</v>
      </c>
      <c r="K284" s="14">
        <v>1</v>
      </c>
      <c r="L284" s="14" t="s">
        <v>213</v>
      </c>
      <c r="N284" s="14">
        <v>0</v>
      </c>
      <c r="O284" s="14" t="b">
        <v>1</v>
      </c>
      <c r="Q284" s="14" t="b">
        <v>0</v>
      </c>
      <c r="R284" s="14">
        <v>1</v>
      </c>
      <c r="S284" s="14" t="s">
        <v>77</v>
      </c>
      <c r="T284" s="14">
        <v>999</v>
      </c>
      <c r="U284" s="14" t="s">
        <v>214</v>
      </c>
      <c r="V284" s="14">
        <v>31623001</v>
      </c>
      <c r="X284" s="14" t="s">
        <v>204</v>
      </c>
      <c r="Y284" s="14" t="s">
        <v>215</v>
      </c>
      <c r="Z284" s="14">
        <v>20001</v>
      </c>
      <c r="AA284" s="14" t="s">
        <v>205</v>
      </c>
      <c r="AB284" s="14">
        <v>40001</v>
      </c>
      <c r="AE284" s="29" t="s">
        <v>121</v>
      </c>
      <c r="AF284" s="14" t="s">
        <v>213</v>
      </c>
      <c r="AG284" s="14" t="s">
        <v>89</v>
      </c>
    </row>
    <row r="285" spans="2:33">
      <c r="B285" s="14">
        <f>10000000+INDEX(编号表!$B:$B,MATCH(H285,编号表!$A:$A,0))*100000+INDEX(编号表!$F:$F,MATCH(D285,编号表!$E:$E,0))*10000+INDEX(编号表!$D:$D,MATCH(AG285,编号表!$C:$C,0))*1000+F285</f>
        <v>11623002</v>
      </c>
      <c r="C285" s="14" t="s">
        <v>445</v>
      </c>
      <c r="D285" s="14" t="s">
        <v>112</v>
      </c>
      <c r="E285" s="14" t="s">
        <v>89</v>
      </c>
      <c r="F285" s="14">
        <v>2</v>
      </c>
      <c r="G285" s="14">
        <v>60</v>
      </c>
      <c r="H285" s="31" t="s">
        <v>244</v>
      </c>
      <c r="I285" s="14" t="s">
        <v>75</v>
      </c>
      <c r="J285" s="14" t="s">
        <v>201</v>
      </c>
      <c r="K285" s="14">
        <v>1</v>
      </c>
      <c r="L285" s="14" t="s">
        <v>213</v>
      </c>
      <c r="N285" s="14">
        <v>0</v>
      </c>
      <c r="O285" s="14" t="b">
        <v>1</v>
      </c>
      <c r="Q285" s="14" t="b">
        <v>0</v>
      </c>
      <c r="R285" s="14">
        <v>1</v>
      </c>
      <c r="S285" s="14" t="s">
        <v>77</v>
      </c>
      <c r="T285" s="14">
        <v>999</v>
      </c>
      <c r="U285" s="14" t="s">
        <v>214</v>
      </c>
      <c r="V285" s="14">
        <v>31623002</v>
      </c>
      <c r="X285" s="14" t="s">
        <v>204</v>
      </c>
      <c r="Y285" s="14" t="s">
        <v>215</v>
      </c>
      <c r="Z285" s="14">
        <v>20001</v>
      </c>
      <c r="AA285" s="14" t="s">
        <v>205</v>
      </c>
      <c r="AB285" s="14">
        <v>40001</v>
      </c>
      <c r="AE285" s="29" t="s">
        <v>121</v>
      </c>
      <c r="AF285" s="14" t="s">
        <v>213</v>
      </c>
      <c r="AG285" s="14" t="s">
        <v>89</v>
      </c>
    </row>
    <row r="286" spans="2:33">
      <c r="B286" s="14">
        <f>10000000+INDEX(编号表!$B:$B,MATCH(H286,编号表!$A:$A,0))*100000+INDEX(编号表!$F:$F,MATCH(D286,编号表!$E:$E,0))*10000+INDEX(编号表!$D:$D,MATCH(AG286,编号表!$C:$C,0))*1000+F286</f>
        <v>11233000</v>
      </c>
      <c r="C286" s="14" t="s">
        <v>446</v>
      </c>
      <c r="D286" s="14" t="s">
        <v>276</v>
      </c>
      <c r="E286" s="14" t="s">
        <v>89</v>
      </c>
      <c r="F286" s="14">
        <v>0</v>
      </c>
      <c r="G286" s="14">
        <v>60</v>
      </c>
      <c r="H286" s="31" t="s">
        <v>212</v>
      </c>
      <c r="I286" s="14" t="s">
        <v>75</v>
      </c>
      <c r="J286" s="14" t="s">
        <v>201</v>
      </c>
      <c r="K286" s="14">
        <v>1</v>
      </c>
      <c r="L286" s="14" t="s">
        <v>213</v>
      </c>
      <c r="N286" s="14">
        <v>0</v>
      </c>
      <c r="O286" s="14" t="b">
        <v>1</v>
      </c>
      <c r="Q286" s="14" t="b">
        <v>0</v>
      </c>
      <c r="R286" s="14">
        <v>1</v>
      </c>
      <c r="S286" s="14" t="s">
        <v>77</v>
      </c>
      <c r="T286" s="14">
        <v>999</v>
      </c>
      <c r="U286" s="14" t="s">
        <v>214</v>
      </c>
      <c r="V286" s="14">
        <v>31233000</v>
      </c>
      <c r="X286" s="14" t="s">
        <v>204</v>
      </c>
      <c r="Y286" s="14" t="s">
        <v>215</v>
      </c>
      <c r="Z286" s="14">
        <v>20001</v>
      </c>
      <c r="AA286" s="14" t="s">
        <v>205</v>
      </c>
      <c r="AB286" s="14">
        <v>40001</v>
      </c>
      <c r="AE286" s="29" t="s">
        <v>121</v>
      </c>
      <c r="AF286" s="14" t="s">
        <v>213</v>
      </c>
      <c r="AG286" s="14" t="s">
        <v>89</v>
      </c>
    </row>
    <row r="287" spans="2:33">
      <c r="B287" s="14">
        <f>10000000+INDEX(编号表!$B:$B,MATCH(H287,编号表!$A:$A,0))*100000+INDEX(编号表!$F:$F,MATCH(D287,编号表!$E:$E,0))*10000+INDEX(编号表!$D:$D,MATCH(AG287,编号表!$C:$C,0))*1000+F287</f>
        <v>11333000</v>
      </c>
      <c r="C287" s="14" t="s">
        <v>447</v>
      </c>
      <c r="D287" s="14" t="s">
        <v>276</v>
      </c>
      <c r="E287" s="14" t="s">
        <v>89</v>
      </c>
      <c r="F287" s="14">
        <v>0</v>
      </c>
      <c r="G287" s="14">
        <v>60</v>
      </c>
      <c r="H287" s="31" t="s">
        <v>217</v>
      </c>
      <c r="I287" s="14" t="s">
        <v>75</v>
      </c>
      <c r="J287" s="14" t="s">
        <v>201</v>
      </c>
      <c r="K287" s="14">
        <v>1</v>
      </c>
      <c r="L287" s="14" t="s">
        <v>213</v>
      </c>
      <c r="N287" s="14">
        <v>0</v>
      </c>
      <c r="O287" s="14" t="b">
        <v>1</v>
      </c>
      <c r="Q287" s="14" t="b">
        <v>0</v>
      </c>
      <c r="R287" s="14">
        <v>1</v>
      </c>
      <c r="S287" s="14" t="s">
        <v>77</v>
      </c>
      <c r="T287" s="14">
        <v>999</v>
      </c>
      <c r="U287" s="14" t="s">
        <v>214</v>
      </c>
      <c r="V287" s="14">
        <v>31333000</v>
      </c>
      <c r="X287" s="14" t="s">
        <v>204</v>
      </c>
      <c r="Y287" s="14" t="s">
        <v>215</v>
      </c>
      <c r="Z287" s="14">
        <v>20001</v>
      </c>
      <c r="AA287" s="14" t="s">
        <v>205</v>
      </c>
      <c r="AB287" s="14">
        <v>40001</v>
      </c>
      <c r="AE287" s="29" t="s">
        <v>121</v>
      </c>
      <c r="AF287" s="14" t="s">
        <v>213</v>
      </c>
      <c r="AG287" s="14" t="s">
        <v>89</v>
      </c>
    </row>
    <row r="288" spans="2:33">
      <c r="B288" s="14">
        <f>10000000+INDEX(编号表!$B:$B,MATCH(H288,编号表!$A:$A,0))*100000+INDEX(编号表!$F:$F,MATCH(D288,编号表!$E:$E,0))*10000+INDEX(编号表!$D:$D,MATCH(AG288,编号表!$C:$C,0))*1000+F288</f>
        <v>11333001</v>
      </c>
      <c r="C288" s="14" t="s">
        <v>448</v>
      </c>
      <c r="D288" s="14" t="s">
        <v>276</v>
      </c>
      <c r="E288" s="14" t="s">
        <v>89</v>
      </c>
      <c r="F288" s="14">
        <v>1</v>
      </c>
      <c r="G288" s="14">
        <v>60</v>
      </c>
      <c r="H288" s="31" t="s">
        <v>217</v>
      </c>
      <c r="I288" s="14" t="s">
        <v>75</v>
      </c>
      <c r="J288" s="14" t="s">
        <v>201</v>
      </c>
      <c r="K288" s="14">
        <v>1</v>
      </c>
      <c r="L288" s="14" t="s">
        <v>213</v>
      </c>
      <c r="N288" s="14">
        <v>0</v>
      </c>
      <c r="O288" s="14" t="b">
        <v>1</v>
      </c>
      <c r="Q288" s="14" t="b">
        <v>0</v>
      </c>
      <c r="R288" s="14">
        <v>1</v>
      </c>
      <c r="S288" s="14" t="s">
        <v>77</v>
      </c>
      <c r="T288" s="14">
        <v>999</v>
      </c>
      <c r="U288" s="14" t="s">
        <v>214</v>
      </c>
      <c r="V288" s="14">
        <v>31333001</v>
      </c>
      <c r="X288" s="14" t="s">
        <v>204</v>
      </c>
      <c r="Y288" s="14" t="s">
        <v>215</v>
      </c>
      <c r="Z288" s="14">
        <v>20001</v>
      </c>
      <c r="AA288" s="14" t="s">
        <v>205</v>
      </c>
      <c r="AB288" s="14">
        <v>40001</v>
      </c>
      <c r="AE288" s="29" t="s">
        <v>121</v>
      </c>
      <c r="AF288" s="14" t="s">
        <v>213</v>
      </c>
      <c r="AG288" s="14" t="s">
        <v>89</v>
      </c>
    </row>
    <row r="289" spans="2:33">
      <c r="B289" s="14">
        <f>10000000+INDEX(编号表!$B:$B,MATCH(H289,编号表!$A:$A,0))*100000+INDEX(编号表!$F:$F,MATCH(D289,编号表!$E:$E,0))*10000+INDEX(编号表!$D:$D,MATCH(AG289,编号表!$C:$C,0))*1000+F289</f>
        <v>11333002</v>
      </c>
      <c r="C289" s="14" t="s">
        <v>449</v>
      </c>
      <c r="D289" s="14" t="s">
        <v>276</v>
      </c>
      <c r="E289" s="14" t="s">
        <v>89</v>
      </c>
      <c r="F289" s="14">
        <v>2</v>
      </c>
      <c r="G289" s="14">
        <v>60</v>
      </c>
      <c r="H289" s="31" t="s">
        <v>217</v>
      </c>
      <c r="I289" s="14" t="s">
        <v>75</v>
      </c>
      <c r="J289" s="14" t="s">
        <v>201</v>
      </c>
      <c r="K289" s="14">
        <v>1</v>
      </c>
      <c r="L289" s="14" t="s">
        <v>213</v>
      </c>
      <c r="N289" s="14">
        <v>0</v>
      </c>
      <c r="O289" s="14" t="b">
        <v>1</v>
      </c>
      <c r="Q289" s="14" t="b">
        <v>0</v>
      </c>
      <c r="R289" s="14">
        <v>1</v>
      </c>
      <c r="S289" s="14" t="s">
        <v>77</v>
      </c>
      <c r="T289" s="14">
        <v>999</v>
      </c>
      <c r="U289" s="14" t="s">
        <v>214</v>
      </c>
      <c r="V289" s="14">
        <v>31333002</v>
      </c>
      <c r="X289" s="14" t="s">
        <v>204</v>
      </c>
      <c r="Y289" s="14" t="s">
        <v>215</v>
      </c>
      <c r="Z289" s="14">
        <v>20001</v>
      </c>
      <c r="AA289" s="14" t="s">
        <v>205</v>
      </c>
      <c r="AB289" s="14">
        <v>40001</v>
      </c>
      <c r="AE289" s="29" t="s">
        <v>121</v>
      </c>
      <c r="AF289" s="14" t="s">
        <v>213</v>
      </c>
      <c r="AG289" s="14" t="s">
        <v>89</v>
      </c>
    </row>
    <row r="290" spans="2:33">
      <c r="B290" s="14">
        <f>10000000+INDEX(编号表!$B:$B,MATCH(H290,编号表!$A:$A,0))*100000+INDEX(编号表!$F:$F,MATCH(D290,编号表!$E:$E,0))*10000+INDEX(编号表!$D:$D,MATCH(AG290,编号表!$C:$C,0))*1000+F290</f>
        <v>11333003</v>
      </c>
      <c r="C290" s="14" t="s">
        <v>450</v>
      </c>
      <c r="D290" s="14" t="s">
        <v>276</v>
      </c>
      <c r="E290" s="14" t="s">
        <v>89</v>
      </c>
      <c r="F290" s="14">
        <v>3</v>
      </c>
      <c r="G290" s="14">
        <v>60</v>
      </c>
      <c r="H290" s="31" t="s">
        <v>217</v>
      </c>
      <c r="I290" s="14" t="s">
        <v>75</v>
      </c>
      <c r="J290" s="14" t="s">
        <v>201</v>
      </c>
      <c r="K290" s="14">
        <v>1</v>
      </c>
      <c r="L290" s="14" t="s">
        <v>213</v>
      </c>
      <c r="N290" s="14">
        <v>0</v>
      </c>
      <c r="O290" s="14" t="b">
        <v>1</v>
      </c>
      <c r="Q290" s="14" t="b">
        <v>0</v>
      </c>
      <c r="R290" s="14">
        <v>1</v>
      </c>
      <c r="S290" s="14" t="s">
        <v>77</v>
      </c>
      <c r="T290" s="14">
        <v>999</v>
      </c>
      <c r="U290" s="14" t="s">
        <v>214</v>
      </c>
      <c r="V290" s="14">
        <v>31333003</v>
      </c>
      <c r="X290" s="14" t="s">
        <v>204</v>
      </c>
      <c r="Y290" s="14" t="s">
        <v>215</v>
      </c>
      <c r="Z290" s="14">
        <v>20001</v>
      </c>
      <c r="AA290" s="14" t="s">
        <v>205</v>
      </c>
      <c r="AB290" s="14">
        <v>40001</v>
      </c>
      <c r="AE290" s="29" t="s">
        <v>121</v>
      </c>
      <c r="AF290" s="14" t="s">
        <v>213</v>
      </c>
      <c r="AG290" s="14" t="s">
        <v>89</v>
      </c>
    </row>
    <row r="291" spans="2:33">
      <c r="B291" s="14">
        <f>10000000+INDEX(编号表!$B:$B,MATCH(H291,编号表!$A:$A,0))*100000+INDEX(编号表!$F:$F,MATCH(D291,编号表!$E:$E,0))*10000+INDEX(编号表!$D:$D,MATCH(AG291,编号表!$C:$C,0))*1000+F291</f>
        <v>11333004</v>
      </c>
      <c r="C291" s="14" t="s">
        <v>451</v>
      </c>
      <c r="D291" s="14" t="s">
        <v>276</v>
      </c>
      <c r="E291" s="14" t="s">
        <v>89</v>
      </c>
      <c r="F291" s="14">
        <v>4</v>
      </c>
      <c r="G291" s="14">
        <v>60</v>
      </c>
      <c r="H291" s="31" t="s">
        <v>217</v>
      </c>
      <c r="I291" s="14" t="s">
        <v>75</v>
      </c>
      <c r="J291" s="14" t="s">
        <v>201</v>
      </c>
      <c r="K291" s="14">
        <v>1</v>
      </c>
      <c r="L291" s="14" t="s">
        <v>213</v>
      </c>
      <c r="N291" s="14">
        <v>0</v>
      </c>
      <c r="O291" s="14" t="b">
        <v>1</v>
      </c>
      <c r="Q291" s="14" t="b">
        <v>0</v>
      </c>
      <c r="R291" s="14">
        <v>1</v>
      </c>
      <c r="S291" s="14" t="s">
        <v>77</v>
      </c>
      <c r="T291" s="14">
        <v>999</v>
      </c>
      <c r="U291" s="14" t="s">
        <v>214</v>
      </c>
      <c r="V291" s="14">
        <v>31333004</v>
      </c>
      <c r="X291" s="14" t="s">
        <v>204</v>
      </c>
      <c r="Y291" s="14" t="s">
        <v>215</v>
      </c>
      <c r="Z291" s="14">
        <v>20001</v>
      </c>
      <c r="AA291" s="14" t="s">
        <v>205</v>
      </c>
      <c r="AB291" s="14">
        <v>40001</v>
      </c>
      <c r="AE291" s="29" t="s">
        <v>121</v>
      </c>
      <c r="AF291" s="14" t="s">
        <v>213</v>
      </c>
      <c r="AG291" s="14" t="s">
        <v>89</v>
      </c>
    </row>
    <row r="292" spans="2:33">
      <c r="B292" s="14">
        <f>10000000+INDEX(编号表!$B:$B,MATCH(H292,编号表!$A:$A,0))*100000+INDEX(编号表!$F:$F,MATCH(D292,编号表!$E:$E,0))*10000+INDEX(编号表!$D:$D,MATCH(AG292,编号表!$C:$C,0))*1000+F292</f>
        <v>11333005</v>
      </c>
      <c r="C292" s="14" t="s">
        <v>452</v>
      </c>
      <c r="D292" s="14" t="s">
        <v>276</v>
      </c>
      <c r="E292" s="14" t="s">
        <v>89</v>
      </c>
      <c r="F292" s="14">
        <v>5</v>
      </c>
      <c r="G292" s="14">
        <v>60</v>
      </c>
      <c r="H292" s="31" t="s">
        <v>217</v>
      </c>
      <c r="I292" s="14" t="s">
        <v>75</v>
      </c>
      <c r="J292" s="14" t="s">
        <v>201</v>
      </c>
      <c r="K292" s="14">
        <v>1</v>
      </c>
      <c r="L292" s="14" t="s">
        <v>213</v>
      </c>
      <c r="N292" s="14">
        <v>0</v>
      </c>
      <c r="O292" s="14" t="b">
        <v>1</v>
      </c>
      <c r="Q292" s="14" t="b">
        <v>0</v>
      </c>
      <c r="R292" s="14">
        <v>1</v>
      </c>
      <c r="S292" s="14" t="s">
        <v>77</v>
      </c>
      <c r="T292" s="14">
        <v>999</v>
      </c>
      <c r="U292" s="14" t="s">
        <v>214</v>
      </c>
      <c r="V292" s="14">
        <v>31333005</v>
      </c>
      <c r="X292" s="14" t="s">
        <v>204</v>
      </c>
      <c r="Y292" s="14" t="s">
        <v>215</v>
      </c>
      <c r="Z292" s="14">
        <v>20001</v>
      </c>
      <c r="AA292" s="14" t="s">
        <v>205</v>
      </c>
      <c r="AB292" s="14">
        <v>40001</v>
      </c>
      <c r="AE292" s="29" t="s">
        <v>121</v>
      </c>
      <c r="AF292" s="14" t="s">
        <v>213</v>
      </c>
      <c r="AG292" s="14" t="s">
        <v>89</v>
      </c>
    </row>
    <row r="293" spans="2:33">
      <c r="B293" s="14">
        <f>10000000+INDEX(编号表!$B:$B,MATCH(H293,编号表!$A:$A,0))*100000+INDEX(编号表!$F:$F,MATCH(D293,编号表!$E:$E,0))*10000+INDEX(编号表!$D:$D,MATCH(AG293,编号表!$C:$C,0))*1000+F293</f>
        <v>11333006</v>
      </c>
      <c r="C293" s="14" t="s">
        <v>453</v>
      </c>
      <c r="D293" s="14" t="s">
        <v>276</v>
      </c>
      <c r="E293" s="14" t="s">
        <v>89</v>
      </c>
      <c r="F293" s="14">
        <v>6</v>
      </c>
      <c r="G293" s="14">
        <v>60</v>
      </c>
      <c r="H293" s="31" t="s">
        <v>217</v>
      </c>
      <c r="I293" s="14" t="s">
        <v>75</v>
      </c>
      <c r="J293" s="14" t="s">
        <v>201</v>
      </c>
      <c r="K293" s="14">
        <v>1</v>
      </c>
      <c r="L293" s="14" t="s">
        <v>213</v>
      </c>
      <c r="N293" s="14">
        <v>0</v>
      </c>
      <c r="O293" s="14" t="b">
        <v>1</v>
      </c>
      <c r="Q293" s="14" t="b">
        <v>0</v>
      </c>
      <c r="R293" s="14">
        <v>1</v>
      </c>
      <c r="S293" s="14" t="s">
        <v>77</v>
      </c>
      <c r="T293" s="14">
        <v>999</v>
      </c>
      <c r="U293" s="14" t="s">
        <v>214</v>
      </c>
      <c r="V293" s="14">
        <v>31333006</v>
      </c>
      <c r="X293" s="14" t="s">
        <v>204</v>
      </c>
      <c r="Y293" s="14" t="s">
        <v>215</v>
      </c>
      <c r="Z293" s="14">
        <v>20001</v>
      </c>
      <c r="AA293" s="14" t="s">
        <v>205</v>
      </c>
      <c r="AB293" s="14">
        <v>40001</v>
      </c>
      <c r="AE293" s="29" t="s">
        <v>121</v>
      </c>
      <c r="AF293" s="14" t="s">
        <v>213</v>
      </c>
      <c r="AG293" s="14" t="s">
        <v>89</v>
      </c>
    </row>
    <row r="294" spans="2:33">
      <c r="B294" s="14">
        <f>10000000+INDEX(编号表!$B:$B,MATCH(H294,编号表!$A:$A,0))*100000+INDEX(编号表!$F:$F,MATCH(D294,编号表!$E:$E,0))*10000+INDEX(编号表!$D:$D,MATCH(AG294,编号表!$C:$C,0))*1000+F294</f>
        <v>11333007</v>
      </c>
      <c r="C294" s="14" t="s">
        <v>454</v>
      </c>
      <c r="D294" s="14" t="s">
        <v>276</v>
      </c>
      <c r="E294" s="14" t="s">
        <v>89</v>
      </c>
      <c r="F294" s="14">
        <v>7</v>
      </c>
      <c r="G294" s="14">
        <v>60</v>
      </c>
      <c r="H294" s="31" t="s">
        <v>217</v>
      </c>
      <c r="I294" s="14" t="s">
        <v>75</v>
      </c>
      <c r="J294" s="14" t="s">
        <v>201</v>
      </c>
      <c r="K294" s="14">
        <v>1</v>
      </c>
      <c r="L294" s="14" t="s">
        <v>213</v>
      </c>
      <c r="N294" s="14">
        <v>0</v>
      </c>
      <c r="O294" s="14" t="b">
        <v>1</v>
      </c>
      <c r="Q294" s="14" t="b">
        <v>0</v>
      </c>
      <c r="R294" s="14">
        <v>1</v>
      </c>
      <c r="S294" s="14" t="s">
        <v>77</v>
      </c>
      <c r="T294" s="14">
        <v>999</v>
      </c>
      <c r="U294" s="14" t="s">
        <v>214</v>
      </c>
      <c r="V294" s="14">
        <v>31333007</v>
      </c>
      <c r="X294" s="14" t="s">
        <v>204</v>
      </c>
      <c r="Y294" s="14" t="s">
        <v>215</v>
      </c>
      <c r="Z294" s="14">
        <v>20001</v>
      </c>
      <c r="AA294" s="14" t="s">
        <v>205</v>
      </c>
      <c r="AB294" s="14">
        <v>40001</v>
      </c>
      <c r="AE294" s="29" t="s">
        <v>121</v>
      </c>
      <c r="AF294" s="14" t="s">
        <v>213</v>
      </c>
      <c r="AG294" s="14" t="s">
        <v>89</v>
      </c>
    </row>
    <row r="295" spans="2:33">
      <c r="B295" s="14">
        <f>10000000+INDEX(编号表!$B:$B,MATCH(H295,编号表!$A:$A,0))*100000+INDEX(编号表!$F:$F,MATCH(D295,编号表!$E:$E,0))*10000+INDEX(编号表!$D:$D,MATCH(AG295,编号表!$C:$C,0))*1000+F295</f>
        <v>11333008</v>
      </c>
      <c r="C295" s="14" t="s">
        <v>455</v>
      </c>
      <c r="D295" s="14" t="s">
        <v>276</v>
      </c>
      <c r="E295" s="14" t="s">
        <v>89</v>
      </c>
      <c r="F295" s="14">
        <v>8</v>
      </c>
      <c r="G295" s="14">
        <v>60</v>
      </c>
      <c r="H295" s="31" t="s">
        <v>217</v>
      </c>
      <c r="I295" s="14" t="s">
        <v>75</v>
      </c>
      <c r="J295" s="14" t="s">
        <v>201</v>
      </c>
      <c r="K295" s="14">
        <v>1</v>
      </c>
      <c r="L295" s="14" t="s">
        <v>213</v>
      </c>
      <c r="N295" s="14">
        <v>0</v>
      </c>
      <c r="O295" s="14" t="b">
        <v>1</v>
      </c>
      <c r="Q295" s="14" t="b">
        <v>0</v>
      </c>
      <c r="R295" s="14">
        <v>1</v>
      </c>
      <c r="S295" s="14" t="s">
        <v>77</v>
      </c>
      <c r="T295" s="14">
        <v>999</v>
      </c>
      <c r="U295" s="14" t="s">
        <v>214</v>
      </c>
      <c r="V295" s="14">
        <v>31333008</v>
      </c>
      <c r="X295" s="14" t="s">
        <v>204</v>
      </c>
      <c r="Y295" s="14" t="s">
        <v>215</v>
      </c>
      <c r="Z295" s="14">
        <v>20001</v>
      </c>
      <c r="AA295" s="14" t="s">
        <v>205</v>
      </c>
      <c r="AB295" s="14">
        <v>40001</v>
      </c>
      <c r="AE295" s="29" t="s">
        <v>121</v>
      </c>
      <c r="AF295" s="14" t="s">
        <v>213</v>
      </c>
      <c r="AG295" s="14" t="s">
        <v>89</v>
      </c>
    </row>
    <row r="296" spans="2:33">
      <c r="B296" s="14">
        <f>10000000+INDEX(编号表!$B:$B,MATCH(H296,编号表!$A:$A,0))*100000+INDEX(编号表!$F:$F,MATCH(D296,编号表!$E:$E,0))*10000+INDEX(编号表!$D:$D,MATCH(AG296,编号表!$C:$C,0))*1000+F296</f>
        <v>11333009</v>
      </c>
      <c r="C296" s="14" t="s">
        <v>456</v>
      </c>
      <c r="D296" s="14" t="s">
        <v>276</v>
      </c>
      <c r="E296" s="14" t="s">
        <v>89</v>
      </c>
      <c r="F296" s="14">
        <v>9</v>
      </c>
      <c r="G296" s="14">
        <v>60</v>
      </c>
      <c r="H296" s="31" t="s">
        <v>217</v>
      </c>
      <c r="I296" s="14" t="s">
        <v>75</v>
      </c>
      <c r="J296" s="14" t="s">
        <v>201</v>
      </c>
      <c r="K296" s="14">
        <v>1</v>
      </c>
      <c r="L296" s="14" t="s">
        <v>213</v>
      </c>
      <c r="N296" s="14">
        <v>0</v>
      </c>
      <c r="O296" s="14" t="b">
        <v>1</v>
      </c>
      <c r="Q296" s="14" t="b">
        <v>0</v>
      </c>
      <c r="R296" s="14">
        <v>1</v>
      </c>
      <c r="S296" s="14" t="s">
        <v>77</v>
      </c>
      <c r="T296" s="14">
        <v>999</v>
      </c>
      <c r="U296" s="14" t="s">
        <v>214</v>
      </c>
      <c r="V296" s="14">
        <v>31333009</v>
      </c>
      <c r="X296" s="14" t="s">
        <v>204</v>
      </c>
      <c r="Y296" s="14" t="s">
        <v>215</v>
      </c>
      <c r="Z296" s="14">
        <v>20001</v>
      </c>
      <c r="AA296" s="14" t="s">
        <v>205</v>
      </c>
      <c r="AB296" s="14">
        <v>40001</v>
      </c>
      <c r="AE296" s="29" t="s">
        <v>121</v>
      </c>
      <c r="AF296" s="14" t="s">
        <v>213</v>
      </c>
      <c r="AG296" s="14" t="s">
        <v>89</v>
      </c>
    </row>
    <row r="297" spans="2:33">
      <c r="B297" s="14">
        <f>10000000+INDEX(编号表!$B:$B,MATCH(H297,编号表!$A:$A,0))*100000+INDEX(编号表!$F:$F,MATCH(D297,编号表!$E:$E,0))*10000+INDEX(编号表!$D:$D,MATCH(AG297,编号表!$C:$C,0))*1000+F297</f>
        <v>11533000</v>
      </c>
      <c r="C297" s="14" t="s">
        <v>457</v>
      </c>
      <c r="D297" s="14" t="s">
        <v>276</v>
      </c>
      <c r="E297" s="14" t="s">
        <v>89</v>
      </c>
      <c r="F297" s="14">
        <v>0</v>
      </c>
      <c r="G297" s="14">
        <v>60</v>
      </c>
      <c r="H297" s="31" t="s">
        <v>228</v>
      </c>
      <c r="I297" s="14" t="s">
        <v>75</v>
      </c>
      <c r="J297" s="14" t="s">
        <v>201</v>
      </c>
      <c r="K297" s="14">
        <v>1</v>
      </c>
      <c r="L297" s="14" t="s">
        <v>213</v>
      </c>
      <c r="N297" s="14">
        <v>0</v>
      </c>
      <c r="O297" s="14" t="b">
        <v>1</v>
      </c>
      <c r="Q297" s="14" t="b">
        <v>0</v>
      </c>
      <c r="R297" s="14">
        <v>1</v>
      </c>
      <c r="S297" s="14" t="s">
        <v>77</v>
      </c>
      <c r="T297" s="14">
        <v>999</v>
      </c>
      <c r="U297" s="14" t="s">
        <v>214</v>
      </c>
      <c r="V297" s="14">
        <v>31533000</v>
      </c>
      <c r="X297" s="14" t="s">
        <v>204</v>
      </c>
      <c r="Y297" s="14" t="s">
        <v>215</v>
      </c>
      <c r="Z297" s="14">
        <v>20001</v>
      </c>
      <c r="AA297" s="14" t="s">
        <v>205</v>
      </c>
      <c r="AB297" s="14">
        <v>40001</v>
      </c>
      <c r="AE297" s="29" t="s">
        <v>121</v>
      </c>
      <c r="AF297" s="14" t="s">
        <v>213</v>
      </c>
      <c r="AG297" s="14" t="s">
        <v>89</v>
      </c>
    </row>
    <row r="298" spans="2:33">
      <c r="B298" s="14">
        <f>10000000+INDEX(编号表!$B:$B,MATCH(H298,编号表!$A:$A,0))*100000+INDEX(编号表!$F:$F,MATCH(D298,编号表!$E:$E,0))*10000+INDEX(编号表!$D:$D,MATCH(AG298,编号表!$C:$C,0))*1000+F298</f>
        <v>11533001</v>
      </c>
      <c r="C298" s="14" t="s">
        <v>458</v>
      </c>
      <c r="D298" s="14" t="s">
        <v>276</v>
      </c>
      <c r="E298" s="14" t="s">
        <v>89</v>
      </c>
      <c r="F298" s="14">
        <v>1</v>
      </c>
      <c r="G298" s="14">
        <v>60</v>
      </c>
      <c r="H298" s="31" t="s">
        <v>228</v>
      </c>
      <c r="I298" s="14" t="s">
        <v>75</v>
      </c>
      <c r="J298" s="14" t="s">
        <v>201</v>
      </c>
      <c r="K298" s="14">
        <v>1</v>
      </c>
      <c r="L298" s="14" t="s">
        <v>213</v>
      </c>
      <c r="N298" s="14">
        <v>0</v>
      </c>
      <c r="O298" s="14" t="b">
        <v>1</v>
      </c>
      <c r="Q298" s="14" t="b">
        <v>0</v>
      </c>
      <c r="R298" s="14">
        <v>1</v>
      </c>
      <c r="S298" s="14" t="s">
        <v>77</v>
      </c>
      <c r="T298" s="14">
        <v>999</v>
      </c>
      <c r="U298" s="14" t="s">
        <v>214</v>
      </c>
      <c r="V298" s="14">
        <v>31533001</v>
      </c>
      <c r="X298" s="14" t="s">
        <v>204</v>
      </c>
      <c r="Y298" s="14" t="s">
        <v>215</v>
      </c>
      <c r="Z298" s="14">
        <v>20001</v>
      </c>
      <c r="AA298" s="14" t="s">
        <v>205</v>
      </c>
      <c r="AB298" s="14">
        <v>40001</v>
      </c>
      <c r="AE298" s="29" t="s">
        <v>121</v>
      </c>
      <c r="AF298" s="14" t="s">
        <v>213</v>
      </c>
      <c r="AG298" s="14" t="s">
        <v>89</v>
      </c>
    </row>
    <row r="299" spans="2:33">
      <c r="B299" s="14">
        <f>10000000+INDEX(编号表!$B:$B,MATCH(H299,编号表!$A:$A,0))*100000+INDEX(编号表!$F:$F,MATCH(D299,编号表!$E:$E,0))*10000+INDEX(编号表!$D:$D,MATCH(AG299,编号表!$C:$C,0))*1000+F299</f>
        <v>11533002</v>
      </c>
      <c r="C299" s="14" t="s">
        <v>459</v>
      </c>
      <c r="D299" s="14" t="s">
        <v>276</v>
      </c>
      <c r="E299" s="14" t="s">
        <v>89</v>
      </c>
      <c r="F299" s="14">
        <v>2</v>
      </c>
      <c r="G299" s="14">
        <v>60</v>
      </c>
      <c r="H299" s="31" t="s">
        <v>228</v>
      </c>
      <c r="I299" s="14" t="s">
        <v>75</v>
      </c>
      <c r="J299" s="14" t="s">
        <v>201</v>
      </c>
      <c r="K299" s="14">
        <v>1</v>
      </c>
      <c r="L299" s="14" t="s">
        <v>213</v>
      </c>
      <c r="N299" s="14">
        <v>0</v>
      </c>
      <c r="O299" s="14" t="b">
        <v>1</v>
      </c>
      <c r="Q299" s="14" t="b">
        <v>0</v>
      </c>
      <c r="R299" s="14">
        <v>1</v>
      </c>
      <c r="S299" s="14" t="s">
        <v>77</v>
      </c>
      <c r="T299" s="14">
        <v>999</v>
      </c>
      <c r="U299" s="14" t="s">
        <v>214</v>
      </c>
      <c r="V299" s="14">
        <v>31533002</v>
      </c>
      <c r="X299" s="14" t="s">
        <v>204</v>
      </c>
      <c r="Y299" s="14" t="s">
        <v>215</v>
      </c>
      <c r="Z299" s="14">
        <v>20001</v>
      </c>
      <c r="AA299" s="14" t="s">
        <v>205</v>
      </c>
      <c r="AB299" s="14">
        <v>40001</v>
      </c>
      <c r="AE299" s="29" t="s">
        <v>121</v>
      </c>
      <c r="AF299" s="14" t="s">
        <v>213</v>
      </c>
      <c r="AG299" s="14" t="s">
        <v>89</v>
      </c>
    </row>
    <row r="300" spans="2:33">
      <c r="B300" s="14">
        <f>10000000+INDEX(编号表!$B:$B,MATCH(H300,编号表!$A:$A,0))*100000+INDEX(编号表!$F:$F,MATCH(D300,编号表!$E:$E,0))*10000+INDEX(编号表!$D:$D,MATCH(AG300,编号表!$C:$C,0))*1000+F300</f>
        <v>11533003</v>
      </c>
      <c r="C300" s="14" t="s">
        <v>460</v>
      </c>
      <c r="D300" s="14" t="s">
        <v>276</v>
      </c>
      <c r="E300" s="14" t="s">
        <v>89</v>
      </c>
      <c r="F300" s="14">
        <v>3</v>
      </c>
      <c r="G300" s="14">
        <v>60</v>
      </c>
      <c r="H300" s="31" t="s">
        <v>228</v>
      </c>
      <c r="I300" s="14" t="s">
        <v>75</v>
      </c>
      <c r="J300" s="14" t="s">
        <v>201</v>
      </c>
      <c r="K300" s="14">
        <v>1</v>
      </c>
      <c r="L300" s="14" t="s">
        <v>213</v>
      </c>
      <c r="N300" s="14">
        <v>0</v>
      </c>
      <c r="O300" s="14" t="b">
        <v>1</v>
      </c>
      <c r="Q300" s="14" t="b">
        <v>0</v>
      </c>
      <c r="R300" s="14">
        <v>1</v>
      </c>
      <c r="S300" s="14" t="s">
        <v>77</v>
      </c>
      <c r="T300" s="14">
        <v>999</v>
      </c>
      <c r="U300" s="14" t="s">
        <v>214</v>
      </c>
      <c r="V300" s="14">
        <v>31533003</v>
      </c>
      <c r="X300" s="14" t="s">
        <v>204</v>
      </c>
      <c r="Y300" s="14" t="s">
        <v>215</v>
      </c>
      <c r="Z300" s="14">
        <v>20001</v>
      </c>
      <c r="AA300" s="14" t="s">
        <v>205</v>
      </c>
      <c r="AB300" s="14">
        <v>40001</v>
      </c>
      <c r="AE300" s="29" t="s">
        <v>121</v>
      </c>
      <c r="AF300" s="14" t="s">
        <v>213</v>
      </c>
      <c r="AG300" s="14" t="s">
        <v>89</v>
      </c>
    </row>
    <row r="301" spans="2:33">
      <c r="B301" s="14">
        <f>10000000+INDEX(编号表!$B:$B,MATCH(H301,编号表!$A:$A,0))*100000+INDEX(编号表!$F:$F,MATCH(D301,编号表!$E:$E,0))*10000+INDEX(编号表!$D:$D,MATCH(AG301,编号表!$C:$C,0))*1000+F301</f>
        <v>11533004</v>
      </c>
      <c r="C301" s="14" t="s">
        <v>461</v>
      </c>
      <c r="D301" s="14" t="s">
        <v>276</v>
      </c>
      <c r="E301" s="14" t="s">
        <v>89</v>
      </c>
      <c r="F301" s="14">
        <v>4</v>
      </c>
      <c r="G301" s="14">
        <v>60</v>
      </c>
      <c r="H301" s="31" t="s">
        <v>228</v>
      </c>
      <c r="I301" s="14" t="s">
        <v>75</v>
      </c>
      <c r="J301" s="14" t="s">
        <v>201</v>
      </c>
      <c r="K301" s="14">
        <v>1</v>
      </c>
      <c r="L301" s="14" t="s">
        <v>213</v>
      </c>
      <c r="N301" s="14">
        <v>0</v>
      </c>
      <c r="O301" s="14" t="b">
        <v>1</v>
      </c>
      <c r="Q301" s="14" t="b">
        <v>0</v>
      </c>
      <c r="R301" s="14">
        <v>1</v>
      </c>
      <c r="S301" s="14" t="s">
        <v>77</v>
      </c>
      <c r="T301" s="14">
        <v>999</v>
      </c>
      <c r="U301" s="14" t="s">
        <v>214</v>
      </c>
      <c r="V301" s="14">
        <v>31533004</v>
      </c>
      <c r="X301" s="14" t="s">
        <v>204</v>
      </c>
      <c r="Y301" s="14" t="s">
        <v>215</v>
      </c>
      <c r="Z301" s="14">
        <v>20001</v>
      </c>
      <c r="AA301" s="14" t="s">
        <v>205</v>
      </c>
      <c r="AB301" s="14">
        <v>40001</v>
      </c>
      <c r="AE301" s="29" t="s">
        <v>121</v>
      </c>
      <c r="AF301" s="14" t="s">
        <v>213</v>
      </c>
      <c r="AG301" s="14" t="s">
        <v>89</v>
      </c>
    </row>
    <row r="302" spans="2:33">
      <c r="B302" s="14">
        <f>10000000+INDEX(编号表!$B:$B,MATCH(H302,编号表!$A:$A,0))*100000+INDEX(编号表!$F:$F,MATCH(D302,编号表!$E:$E,0))*10000+INDEX(编号表!$D:$D,MATCH(AG302,编号表!$C:$C,0))*1000+F302</f>
        <v>11533005</v>
      </c>
      <c r="C302" s="14" t="s">
        <v>462</v>
      </c>
      <c r="D302" s="14" t="s">
        <v>276</v>
      </c>
      <c r="E302" s="14" t="s">
        <v>89</v>
      </c>
      <c r="F302" s="14">
        <v>5</v>
      </c>
      <c r="G302" s="14">
        <v>60</v>
      </c>
      <c r="H302" s="31" t="s">
        <v>228</v>
      </c>
      <c r="I302" s="14" t="s">
        <v>75</v>
      </c>
      <c r="J302" s="14" t="s">
        <v>201</v>
      </c>
      <c r="K302" s="14">
        <v>1</v>
      </c>
      <c r="L302" s="14" t="s">
        <v>213</v>
      </c>
      <c r="N302" s="14">
        <v>0</v>
      </c>
      <c r="O302" s="14" t="b">
        <v>1</v>
      </c>
      <c r="Q302" s="14" t="b">
        <v>0</v>
      </c>
      <c r="R302" s="14">
        <v>1</v>
      </c>
      <c r="S302" s="14" t="s">
        <v>77</v>
      </c>
      <c r="T302" s="14">
        <v>999</v>
      </c>
      <c r="U302" s="14" t="s">
        <v>214</v>
      </c>
      <c r="V302" s="14">
        <v>31533005</v>
      </c>
      <c r="X302" s="14" t="s">
        <v>204</v>
      </c>
      <c r="Y302" s="14" t="s">
        <v>215</v>
      </c>
      <c r="Z302" s="14">
        <v>20001</v>
      </c>
      <c r="AA302" s="14" t="s">
        <v>205</v>
      </c>
      <c r="AB302" s="14">
        <v>40001</v>
      </c>
      <c r="AE302" s="29" t="s">
        <v>121</v>
      </c>
      <c r="AF302" s="14" t="s">
        <v>213</v>
      </c>
      <c r="AG302" s="14" t="s">
        <v>89</v>
      </c>
    </row>
    <row r="303" spans="2:33">
      <c r="B303" s="14">
        <f>10000000+INDEX(编号表!$B:$B,MATCH(H303,编号表!$A:$A,0))*100000+INDEX(编号表!$F:$F,MATCH(D303,编号表!$E:$E,0))*10000+INDEX(编号表!$D:$D,MATCH(AG303,编号表!$C:$C,0))*1000+F303</f>
        <v>11533006</v>
      </c>
      <c r="C303" s="14" t="s">
        <v>463</v>
      </c>
      <c r="D303" s="14" t="s">
        <v>276</v>
      </c>
      <c r="E303" s="14" t="s">
        <v>89</v>
      </c>
      <c r="F303" s="14">
        <v>6</v>
      </c>
      <c r="G303" s="14">
        <v>60</v>
      </c>
      <c r="H303" s="31" t="s">
        <v>228</v>
      </c>
      <c r="I303" s="14" t="s">
        <v>75</v>
      </c>
      <c r="J303" s="14" t="s">
        <v>201</v>
      </c>
      <c r="K303" s="14">
        <v>1</v>
      </c>
      <c r="L303" s="14" t="s">
        <v>213</v>
      </c>
      <c r="N303" s="14">
        <v>0</v>
      </c>
      <c r="O303" s="14" t="b">
        <v>1</v>
      </c>
      <c r="Q303" s="14" t="b">
        <v>0</v>
      </c>
      <c r="R303" s="14">
        <v>1</v>
      </c>
      <c r="S303" s="14" t="s">
        <v>77</v>
      </c>
      <c r="T303" s="14">
        <v>999</v>
      </c>
      <c r="U303" s="14" t="s">
        <v>214</v>
      </c>
      <c r="V303" s="14">
        <v>31533006</v>
      </c>
      <c r="X303" s="14" t="s">
        <v>204</v>
      </c>
      <c r="Y303" s="14" t="s">
        <v>215</v>
      </c>
      <c r="Z303" s="14">
        <v>20001</v>
      </c>
      <c r="AA303" s="14" t="s">
        <v>205</v>
      </c>
      <c r="AB303" s="14">
        <v>40001</v>
      </c>
      <c r="AE303" s="29" t="s">
        <v>121</v>
      </c>
      <c r="AF303" s="14" t="s">
        <v>213</v>
      </c>
      <c r="AG303" s="14" t="s">
        <v>89</v>
      </c>
    </row>
    <row r="304" spans="2:33">
      <c r="B304" s="14">
        <f>10000000+INDEX(编号表!$B:$B,MATCH(H304,编号表!$A:$A,0))*100000+INDEX(编号表!$F:$F,MATCH(D304,编号表!$E:$E,0))*10000+INDEX(编号表!$D:$D,MATCH(AG304,编号表!$C:$C,0))*1000+F304</f>
        <v>11533007</v>
      </c>
      <c r="C304" s="14" t="s">
        <v>464</v>
      </c>
      <c r="D304" s="14" t="s">
        <v>276</v>
      </c>
      <c r="E304" s="14" t="s">
        <v>89</v>
      </c>
      <c r="F304" s="14">
        <v>7</v>
      </c>
      <c r="G304" s="14">
        <v>60</v>
      </c>
      <c r="H304" s="31" t="s">
        <v>228</v>
      </c>
      <c r="I304" s="14" t="s">
        <v>75</v>
      </c>
      <c r="J304" s="14" t="s">
        <v>201</v>
      </c>
      <c r="K304" s="14">
        <v>1</v>
      </c>
      <c r="L304" s="14" t="s">
        <v>213</v>
      </c>
      <c r="N304" s="14">
        <v>0</v>
      </c>
      <c r="O304" s="14" t="b">
        <v>1</v>
      </c>
      <c r="Q304" s="14" t="b">
        <v>0</v>
      </c>
      <c r="R304" s="14">
        <v>1</v>
      </c>
      <c r="S304" s="14" t="s">
        <v>77</v>
      </c>
      <c r="T304" s="14">
        <v>999</v>
      </c>
      <c r="U304" s="14" t="s">
        <v>214</v>
      </c>
      <c r="V304" s="14">
        <v>31533007</v>
      </c>
      <c r="X304" s="14" t="s">
        <v>204</v>
      </c>
      <c r="Y304" s="14" t="s">
        <v>215</v>
      </c>
      <c r="Z304" s="14">
        <v>20001</v>
      </c>
      <c r="AA304" s="14" t="s">
        <v>205</v>
      </c>
      <c r="AB304" s="14">
        <v>40001</v>
      </c>
      <c r="AE304" s="29" t="s">
        <v>121</v>
      </c>
      <c r="AF304" s="14" t="s">
        <v>213</v>
      </c>
      <c r="AG304" s="14" t="s">
        <v>89</v>
      </c>
    </row>
    <row r="305" spans="2:33">
      <c r="B305" s="14">
        <f>10000000+INDEX(编号表!$B:$B,MATCH(H305,编号表!$A:$A,0))*100000+INDEX(编号表!$F:$F,MATCH(D305,编号表!$E:$E,0))*10000+INDEX(编号表!$D:$D,MATCH(AG305,编号表!$C:$C,0))*1000+F305</f>
        <v>11533008</v>
      </c>
      <c r="C305" s="14" t="s">
        <v>465</v>
      </c>
      <c r="D305" s="14" t="s">
        <v>276</v>
      </c>
      <c r="E305" s="14" t="s">
        <v>89</v>
      </c>
      <c r="F305" s="14">
        <v>8</v>
      </c>
      <c r="G305" s="14">
        <v>60</v>
      </c>
      <c r="H305" s="31" t="s">
        <v>228</v>
      </c>
      <c r="I305" s="14" t="s">
        <v>75</v>
      </c>
      <c r="J305" s="14" t="s">
        <v>201</v>
      </c>
      <c r="K305" s="14">
        <v>1</v>
      </c>
      <c r="L305" s="14" t="s">
        <v>213</v>
      </c>
      <c r="N305" s="14">
        <v>0</v>
      </c>
      <c r="O305" s="14" t="b">
        <v>1</v>
      </c>
      <c r="Q305" s="14" t="b">
        <v>0</v>
      </c>
      <c r="R305" s="14">
        <v>1</v>
      </c>
      <c r="S305" s="14" t="s">
        <v>77</v>
      </c>
      <c r="T305" s="14">
        <v>999</v>
      </c>
      <c r="U305" s="14" t="s">
        <v>214</v>
      </c>
      <c r="V305" s="14">
        <v>31533008</v>
      </c>
      <c r="X305" s="14" t="s">
        <v>204</v>
      </c>
      <c r="Y305" s="14" t="s">
        <v>215</v>
      </c>
      <c r="Z305" s="14">
        <v>20001</v>
      </c>
      <c r="AA305" s="14" t="s">
        <v>205</v>
      </c>
      <c r="AB305" s="14">
        <v>40001</v>
      </c>
      <c r="AE305" s="29" t="s">
        <v>121</v>
      </c>
      <c r="AF305" s="14" t="s">
        <v>213</v>
      </c>
      <c r="AG305" s="14" t="s">
        <v>89</v>
      </c>
    </row>
    <row r="306" spans="2:33">
      <c r="B306" s="14">
        <f>10000000+INDEX(编号表!$B:$B,MATCH(H306,编号表!$A:$A,0))*100000+INDEX(编号表!$F:$F,MATCH(D306,编号表!$E:$E,0))*10000+INDEX(编号表!$D:$D,MATCH(AG306,编号表!$C:$C,0))*1000+F306</f>
        <v>11533009</v>
      </c>
      <c r="C306" s="14" t="s">
        <v>466</v>
      </c>
      <c r="D306" s="14" t="s">
        <v>276</v>
      </c>
      <c r="E306" s="14" t="s">
        <v>89</v>
      </c>
      <c r="F306" s="14">
        <v>9</v>
      </c>
      <c r="G306" s="14">
        <v>60</v>
      </c>
      <c r="H306" s="31" t="s">
        <v>228</v>
      </c>
      <c r="I306" s="14" t="s">
        <v>75</v>
      </c>
      <c r="J306" s="14" t="s">
        <v>201</v>
      </c>
      <c r="K306" s="14">
        <v>1</v>
      </c>
      <c r="L306" s="14" t="s">
        <v>213</v>
      </c>
      <c r="N306" s="14">
        <v>0</v>
      </c>
      <c r="O306" s="14" t="b">
        <v>1</v>
      </c>
      <c r="Q306" s="14" t="b">
        <v>0</v>
      </c>
      <c r="R306" s="14">
        <v>1</v>
      </c>
      <c r="S306" s="14" t="s">
        <v>77</v>
      </c>
      <c r="T306" s="14">
        <v>999</v>
      </c>
      <c r="U306" s="14" t="s">
        <v>214</v>
      </c>
      <c r="V306" s="14">
        <v>31533009</v>
      </c>
      <c r="X306" s="14" t="s">
        <v>204</v>
      </c>
      <c r="Y306" s="14" t="s">
        <v>215</v>
      </c>
      <c r="Z306" s="14">
        <v>20001</v>
      </c>
      <c r="AA306" s="14" t="s">
        <v>205</v>
      </c>
      <c r="AB306" s="14">
        <v>40001</v>
      </c>
      <c r="AE306" s="29" t="s">
        <v>121</v>
      </c>
      <c r="AF306" s="14" t="s">
        <v>213</v>
      </c>
      <c r="AG306" s="14" t="s">
        <v>89</v>
      </c>
    </row>
    <row r="307" spans="2:33">
      <c r="B307" s="14">
        <f>10000000+INDEX(编号表!$B:$B,MATCH(H307,编号表!$A:$A,0))*100000+INDEX(编号表!$F:$F,MATCH(D307,编号表!$E:$E,0))*10000+INDEX(编号表!$D:$D,MATCH(AG307,编号表!$C:$C,0))*1000+F307</f>
        <v>11433000</v>
      </c>
      <c r="C307" s="14" t="s">
        <v>467</v>
      </c>
      <c r="D307" s="14" t="s">
        <v>276</v>
      </c>
      <c r="E307" s="14" t="s">
        <v>89</v>
      </c>
      <c r="F307" s="14">
        <v>0</v>
      </c>
      <c r="G307" s="14">
        <v>60</v>
      </c>
      <c r="H307" s="31" t="s">
        <v>239</v>
      </c>
      <c r="I307" s="14" t="s">
        <v>75</v>
      </c>
      <c r="J307" s="14" t="s">
        <v>201</v>
      </c>
      <c r="K307" s="14">
        <v>1</v>
      </c>
      <c r="L307" s="14" t="s">
        <v>213</v>
      </c>
      <c r="N307" s="14">
        <v>0</v>
      </c>
      <c r="O307" s="14" t="b">
        <v>1</v>
      </c>
      <c r="Q307" s="14" t="b">
        <v>0</v>
      </c>
      <c r="R307" s="14">
        <v>1</v>
      </c>
      <c r="S307" s="14" t="s">
        <v>77</v>
      </c>
      <c r="T307" s="14">
        <v>999</v>
      </c>
      <c r="U307" s="14" t="s">
        <v>214</v>
      </c>
      <c r="V307" s="14">
        <v>31433000</v>
      </c>
      <c r="X307" s="14" t="s">
        <v>204</v>
      </c>
      <c r="Y307" s="14" t="s">
        <v>215</v>
      </c>
      <c r="Z307" s="14">
        <v>20001</v>
      </c>
      <c r="AA307" s="14" t="s">
        <v>205</v>
      </c>
      <c r="AB307" s="14">
        <v>40001</v>
      </c>
      <c r="AE307" s="29" t="s">
        <v>121</v>
      </c>
      <c r="AF307" s="14" t="s">
        <v>213</v>
      </c>
      <c r="AG307" s="14" t="s">
        <v>89</v>
      </c>
    </row>
    <row r="308" spans="2:33">
      <c r="B308" s="14">
        <f>10000000+INDEX(编号表!$B:$B,MATCH(H308,编号表!$A:$A,0))*100000+INDEX(编号表!$F:$F,MATCH(D308,编号表!$E:$E,0))*10000+INDEX(编号表!$D:$D,MATCH(AG308,编号表!$C:$C,0))*1000+F308</f>
        <v>11433001</v>
      </c>
      <c r="C308" s="14" t="s">
        <v>468</v>
      </c>
      <c r="D308" s="14" t="s">
        <v>276</v>
      </c>
      <c r="E308" s="14" t="s">
        <v>89</v>
      </c>
      <c r="F308" s="14">
        <v>1</v>
      </c>
      <c r="G308" s="14">
        <v>60</v>
      </c>
      <c r="H308" s="31" t="s">
        <v>239</v>
      </c>
      <c r="I308" s="14" t="s">
        <v>75</v>
      </c>
      <c r="J308" s="14" t="s">
        <v>201</v>
      </c>
      <c r="K308" s="14">
        <v>1</v>
      </c>
      <c r="L308" s="14" t="s">
        <v>213</v>
      </c>
      <c r="N308" s="14">
        <v>0</v>
      </c>
      <c r="O308" s="14" t="b">
        <v>1</v>
      </c>
      <c r="Q308" s="14" t="b">
        <v>0</v>
      </c>
      <c r="R308" s="14">
        <v>1</v>
      </c>
      <c r="S308" s="14" t="s">
        <v>77</v>
      </c>
      <c r="T308" s="14">
        <v>999</v>
      </c>
      <c r="U308" s="14" t="s">
        <v>214</v>
      </c>
      <c r="V308" s="14">
        <v>31433001</v>
      </c>
      <c r="X308" s="14" t="s">
        <v>204</v>
      </c>
      <c r="Y308" s="14" t="s">
        <v>215</v>
      </c>
      <c r="Z308" s="14">
        <v>20001</v>
      </c>
      <c r="AA308" s="14" t="s">
        <v>205</v>
      </c>
      <c r="AB308" s="14">
        <v>40001</v>
      </c>
      <c r="AE308" s="29" t="s">
        <v>121</v>
      </c>
      <c r="AF308" s="14" t="s">
        <v>213</v>
      </c>
      <c r="AG308" s="14" t="s">
        <v>89</v>
      </c>
    </row>
    <row r="309" spans="2:33">
      <c r="B309" s="14">
        <f>10000000+INDEX(编号表!$B:$B,MATCH(H309,编号表!$A:$A,0))*100000+INDEX(编号表!$F:$F,MATCH(D309,编号表!$E:$E,0))*10000+INDEX(编号表!$D:$D,MATCH(AG309,编号表!$C:$C,0))*1000+F309</f>
        <v>11433002</v>
      </c>
      <c r="C309" s="14" t="s">
        <v>469</v>
      </c>
      <c r="D309" s="14" t="s">
        <v>276</v>
      </c>
      <c r="E309" s="14" t="s">
        <v>89</v>
      </c>
      <c r="F309" s="14">
        <v>2</v>
      </c>
      <c r="G309" s="14">
        <v>60</v>
      </c>
      <c r="H309" s="31" t="s">
        <v>239</v>
      </c>
      <c r="I309" s="14" t="s">
        <v>75</v>
      </c>
      <c r="J309" s="14" t="s">
        <v>201</v>
      </c>
      <c r="K309" s="14">
        <v>1</v>
      </c>
      <c r="L309" s="14" t="s">
        <v>213</v>
      </c>
      <c r="N309" s="14">
        <v>0</v>
      </c>
      <c r="O309" s="14" t="b">
        <v>1</v>
      </c>
      <c r="Q309" s="14" t="b">
        <v>0</v>
      </c>
      <c r="R309" s="14">
        <v>1</v>
      </c>
      <c r="S309" s="14" t="s">
        <v>77</v>
      </c>
      <c r="T309" s="14">
        <v>999</v>
      </c>
      <c r="U309" s="14" t="s">
        <v>214</v>
      </c>
      <c r="V309" s="14">
        <v>31433002</v>
      </c>
      <c r="X309" s="14" t="s">
        <v>204</v>
      </c>
      <c r="Y309" s="14" t="s">
        <v>215</v>
      </c>
      <c r="Z309" s="14">
        <v>20001</v>
      </c>
      <c r="AA309" s="14" t="s">
        <v>205</v>
      </c>
      <c r="AB309" s="14">
        <v>40001</v>
      </c>
      <c r="AE309" s="29" t="s">
        <v>121</v>
      </c>
      <c r="AF309" s="14" t="s">
        <v>213</v>
      </c>
      <c r="AG309" s="14" t="s">
        <v>89</v>
      </c>
    </row>
    <row r="310" spans="2:33">
      <c r="B310" s="14">
        <f>10000000+INDEX(编号表!$B:$B,MATCH(H310,编号表!$A:$A,0))*100000+INDEX(编号表!$F:$F,MATCH(D310,编号表!$E:$E,0))*10000+INDEX(编号表!$D:$D,MATCH(AG310,编号表!$C:$C,0))*1000+F310</f>
        <v>11433003</v>
      </c>
      <c r="C310" s="14" t="s">
        <v>470</v>
      </c>
      <c r="D310" s="14" t="s">
        <v>276</v>
      </c>
      <c r="E310" s="14" t="s">
        <v>89</v>
      </c>
      <c r="F310" s="14">
        <v>3</v>
      </c>
      <c r="G310" s="14">
        <v>60</v>
      </c>
      <c r="H310" s="31" t="s">
        <v>239</v>
      </c>
      <c r="I310" s="14" t="s">
        <v>75</v>
      </c>
      <c r="J310" s="14" t="s">
        <v>201</v>
      </c>
      <c r="K310" s="14">
        <v>1</v>
      </c>
      <c r="L310" s="14" t="s">
        <v>213</v>
      </c>
      <c r="N310" s="14">
        <v>0</v>
      </c>
      <c r="O310" s="14" t="b">
        <v>1</v>
      </c>
      <c r="Q310" s="14" t="b">
        <v>0</v>
      </c>
      <c r="R310" s="14">
        <v>1</v>
      </c>
      <c r="S310" s="14" t="s">
        <v>77</v>
      </c>
      <c r="T310" s="14">
        <v>999</v>
      </c>
      <c r="U310" s="14" t="s">
        <v>214</v>
      </c>
      <c r="V310" s="14">
        <v>31433003</v>
      </c>
      <c r="X310" s="14" t="s">
        <v>204</v>
      </c>
      <c r="Y310" s="14" t="s">
        <v>215</v>
      </c>
      <c r="Z310" s="14">
        <v>20001</v>
      </c>
      <c r="AA310" s="14" t="s">
        <v>205</v>
      </c>
      <c r="AB310" s="14">
        <v>40001</v>
      </c>
      <c r="AE310" s="29" t="s">
        <v>121</v>
      </c>
      <c r="AF310" s="14" t="s">
        <v>213</v>
      </c>
      <c r="AG310" s="14" t="s">
        <v>89</v>
      </c>
    </row>
    <row r="311" spans="2:33">
      <c r="B311" s="14">
        <f>10000000+INDEX(编号表!$B:$B,MATCH(H311,编号表!$A:$A,0))*100000+INDEX(编号表!$F:$F,MATCH(D311,编号表!$E:$E,0))*10000+INDEX(编号表!$D:$D,MATCH(AG311,编号表!$C:$C,0))*1000+F311</f>
        <v>11633000</v>
      </c>
      <c r="C311" s="14" t="s">
        <v>471</v>
      </c>
      <c r="D311" s="14" t="s">
        <v>276</v>
      </c>
      <c r="E311" s="14" t="s">
        <v>89</v>
      </c>
      <c r="F311" s="14">
        <v>0</v>
      </c>
      <c r="G311" s="14">
        <v>60</v>
      </c>
      <c r="H311" s="31" t="s">
        <v>244</v>
      </c>
      <c r="I311" s="14" t="s">
        <v>75</v>
      </c>
      <c r="J311" s="14" t="s">
        <v>201</v>
      </c>
      <c r="K311" s="14">
        <v>1</v>
      </c>
      <c r="L311" s="14" t="s">
        <v>213</v>
      </c>
      <c r="N311" s="14">
        <v>0</v>
      </c>
      <c r="O311" s="14" t="b">
        <v>1</v>
      </c>
      <c r="Q311" s="14" t="b">
        <v>0</v>
      </c>
      <c r="R311" s="14">
        <v>1</v>
      </c>
      <c r="S311" s="14" t="s">
        <v>77</v>
      </c>
      <c r="T311" s="14">
        <v>999</v>
      </c>
      <c r="U311" s="14" t="s">
        <v>214</v>
      </c>
      <c r="V311" s="14">
        <v>31633000</v>
      </c>
      <c r="X311" s="14" t="s">
        <v>204</v>
      </c>
      <c r="Y311" s="14" t="s">
        <v>215</v>
      </c>
      <c r="Z311" s="14">
        <v>20001</v>
      </c>
      <c r="AA311" s="14" t="s">
        <v>205</v>
      </c>
      <c r="AB311" s="14">
        <v>40001</v>
      </c>
      <c r="AE311" s="29" t="s">
        <v>121</v>
      </c>
      <c r="AF311" s="14" t="s">
        <v>213</v>
      </c>
      <c r="AG311" s="14" t="s">
        <v>89</v>
      </c>
    </row>
    <row r="312" spans="2:33">
      <c r="B312" s="14">
        <f>10000000+INDEX(编号表!$B:$B,MATCH(H312,编号表!$A:$A,0))*100000+INDEX(编号表!$F:$F,MATCH(D312,编号表!$E:$E,0))*10000+INDEX(编号表!$D:$D,MATCH(AG312,编号表!$C:$C,0))*1000+F312</f>
        <v>11633001</v>
      </c>
      <c r="C312" s="14" t="s">
        <v>472</v>
      </c>
      <c r="D312" s="14" t="s">
        <v>276</v>
      </c>
      <c r="E312" s="14" t="s">
        <v>89</v>
      </c>
      <c r="F312" s="14">
        <v>1</v>
      </c>
      <c r="G312" s="14">
        <v>60</v>
      </c>
      <c r="H312" s="31" t="s">
        <v>244</v>
      </c>
      <c r="I312" s="14" t="s">
        <v>75</v>
      </c>
      <c r="J312" s="14" t="s">
        <v>201</v>
      </c>
      <c r="K312" s="14">
        <v>1</v>
      </c>
      <c r="L312" s="14" t="s">
        <v>213</v>
      </c>
      <c r="N312" s="14">
        <v>0</v>
      </c>
      <c r="O312" s="14" t="b">
        <v>1</v>
      </c>
      <c r="Q312" s="14" t="b">
        <v>0</v>
      </c>
      <c r="R312" s="14">
        <v>1</v>
      </c>
      <c r="S312" s="14" t="s">
        <v>77</v>
      </c>
      <c r="T312" s="14">
        <v>999</v>
      </c>
      <c r="U312" s="14" t="s">
        <v>214</v>
      </c>
      <c r="V312" s="14">
        <v>31633001</v>
      </c>
      <c r="X312" s="14" t="s">
        <v>204</v>
      </c>
      <c r="Y312" s="14" t="s">
        <v>215</v>
      </c>
      <c r="Z312" s="14">
        <v>20001</v>
      </c>
      <c r="AA312" s="14" t="s">
        <v>205</v>
      </c>
      <c r="AB312" s="14">
        <v>40001</v>
      </c>
      <c r="AE312" s="29" t="s">
        <v>121</v>
      </c>
      <c r="AF312" s="14" t="s">
        <v>213</v>
      </c>
      <c r="AG312" s="14" t="s">
        <v>89</v>
      </c>
    </row>
    <row r="313" spans="2:33">
      <c r="B313" s="14">
        <f>10000000+INDEX(编号表!$B:$B,MATCH(H313,编号表!$A:$A,0))*100000+INDEX(编号表!$F:$F,MATCH(D313,编号表!$E:$E,0))*10000+INDEX(编号表!$D:$D,MATCH(AG313,编号表!$C:$C,0))*1000+F313</f>
        <v>11633002</v>
      </c>
      <c r="C313" s="14" t="s">
        <v>473</v>
      </c>
      <c r="D313" s="14" t="s">
        <v>276</v>
      </c>
      <c r="E313" s="14" t="s">
        <v>89</v>
      </c>
      <c r="F313" s="14">
        <v>2</v>
      </c>
      <c r="G313" s="14">
        <v>60</v>
      </c>
      <c r="H313" s="31" t="s">
        <v>244</v>
      </c>
      <c r="I313" s="14" t="s">
        <v>75</v>
      </c>
      <c r="J313" s="14" t="s">
        <v>201</v>
      </c>
      <c r="K313" s="14">
        <v>1</v>
      </c>
      <c r="L313" s="14" t="s">
        <v>213</v>
      </c>
      <c r="N313" s="14">
        <v>0</v>
      </c>
      <c r="O313" s="14" t="b">
        <v>1</v>
      </c>
      <c r="Q313" s="14" t="b">
        <v>0</v>
      </c>
      <c r="R313" s="14">
        <v>1</v>
      </c>
      <c r="S313" s="14" t="s">
        <v>77</v>
      </c>
      <c r="T313" s="14">
        <v>999</v>
      </c>
      <c r="U313" s="14" t="s">
        <v>214</v>
      </c>
      <c r="V313" s="14">
        <v>31633002</v>
      </c>
      <c r="X313" s="14" t="s">
        <v>204</v>
      </c>
      <c r="Y313" s="14" t="s">
        <v>215</v>
      </c>
      <c r="Z313" s="14">
        <v>20001</v>
      </c>
      <c r="AA313" s="14" t="s">
        <v>205</v>
      </c>
      <c r="AB313" s="14">
        <v>40001</v>
      </c>
      <c r="AE313" s="29" t="s">
        <v>121</v>
      </c>
      <c r="AF313" s="14" t="s">
        <v>213</v>
      </c>
      <c r="AG313" s="14" t="s">
        <v>89</v>
      </c>
    </row>
    <row r="314" spans="2:33">
      <c r="B314" s="14">
        <f>10000000+INDEX(编号表!$B:$B,MATCH(H314,编号表!$A:$A,0))*100000+INDEX(编号表!$F:$F,MATCH(D314,编号表!$E:$E,0))*10000+INDEX(编号表!$D:$D,MATCH(AG314,编号表!$C:$C,0))*1000+F314</f>
        <v>11243000</v>
      </c>
      <c r="C314" s="14" t="s">
        <v>474</v>
      </c>
      <c r="D314" s="14" t="s">
        <v>104</v>
      </c>
      <c r="E314" s="14" t="s">
        <v>89</v>
      </c>
      <c r="F314" s="14">
        <v>0</v>
      </c>
      <c r="G314" s="14">
        <v>60</v>
      </c>
      <c r="H314" s="31" t="s">
        <v>212</v>
      </c>
      <c r="I314" s="14" t="s">
        <v>75</v>
      </c>
      <c r="J314" s="14" t="s">
        <v>201</v>
      </c>
      <c r="K314" s="14">
        <v>1</v>
      </c>
      <c r="L314" s="14" t="s">
        <v>213</v>
      </c>
      <c r="N314" s="14">
        <v>0</v>
      </c>
      <c r="O314" s="14" t="b">
        <v>1</v>
      </c>
      <c r="Q314" s="14" t="b">
        <v>0</v>
      </c>
      <c r="R314" s="14">
        <v>1</v>
      </c>
      <c r="S314" s="14" t="s">
        <v>77</v>
      </c>
      <c r="T314" s="14">
        <v>999</v>
      </c>
      <c r="U314" s="14" t="s">
        <v>214</v>
      </c>
      <c r="V314" s="14">
        <v>31243000</v>
      </c>
      <c r="X314" s="14" t="s">
        <v>204</v>
      </c>
      <c r="Y314" s="14" t="s">
        <v>215</v>
      </c>
      <c r="Z314" s="14">
        <v>20001</v>
      </c>
      <c r="AA314" s="14" t="s">
        <v>205</v>
      </c>
      <c r="AB314" s="14">
        <v>40001</v>
      </c>
      <c r="AE314" s="29" t="s">
        <v>121</v>
      </c>
      <c r="AF314" s="14" t="s">
        <v>213</v>
      </c>
      <c r="AG314" s="14" t="s">
        <v>89</v>
      </c>
    </row>
    <row r="315" spans="2:33">
      <c r="B315" s="14">
        <f>10000000+INDEX(编号表!$B:$B,MATCH(H315,编号表!$A:$A,0))*100000+INDEX(编号表!$F:$F,MATCH(D315,编号表!$E:$E,0))*10000+INDEX(编号表!$D:$D,MATCH(AG315,编号表!$C:$C,0))*1000+F315</f>
        <v>11343000</v>
      </c>
      <c r="C315" s="14" t="s">
        <v>475</v>
      </c>
      <c r="D315" s="14" t="s">
        <v>104</v>
      </c>
      <c r="E315" s="14" t="s">
        <v>89</v>
      </c>
      <c r="F315" s="14">
        <v>0</v>
      </c>
      <c r="G315" s="14">
        <v>60</v>
      </c>
      <c r="H315" s="31" t="s">
        <v>217</v>
      </c>
      <c r="I315" s="14" t="s">
        <v>75</v>
      </c>
      <c r="J315" s="14" t="s">
        <v>201</v>
      </c>
      <c r="K315" s="14">
        <v>1</v>
      </c>
      <c r="L315" s="14" t="s">
        <v>213</v>
      </c>
      <c r="N315" s="14">
        <v>0</v>
      </c>
      <c r="O315" s="14" t="b">
        <v>1</v>
      </c>
      <c r="Q315" s="14" t="b">
        <v>0</v>
      </c>
      <c r="R315" s="14">
        <v>1</v>
      </c>
      <c r="S315" s="14" t="s">
        <v>77</v>
      </c>
      <c r="T315" s="14">
        <v>999</v>
      </c>
      <c r="U315" s="14" t="s">
        <v>214</v>
      </c>
      <c r="V315" s="14">
        <v>31343000</v>
      </c>
      <c r="X315" s="14" t="s">
        <v>204</v>
      </c>
      <c r="Y315" s="14" t="s">
        <v>215</v>
      </c>
      <c r="Z315" s="14">
        <v>20001</v>
      </c>
      <c r="AA315" s="14" t="s">
        <v>205</v>
      </c>
      <c r="AB315" s="14">
        <v>40001</v>
      </c>
      <c r="AE315" s="29" t="s">
        <v>121</v>
      </c>
      <c r="AF315" s="14" t="s">
        <v>213</v>
      </c>
      <c r="AG315" s="14" t="s">
        <v>89</v>
      </c>
    </row>
    <row r="316" spans="2:33">
      <c r="B316" s="14">
        <f>10000000+INDEX(编号表!$B:$B,MATCH(H316,编号表!$A:$A,0))*100000+INDEX(编号表!$F:$F,MATCH(D316,编号表!$E:$E,0))*10000+INDEX(编号表!$D:$D,MATCH(AG316,编号表!$C:$C,0))*1000+F316</f>
        <v>11343001</v>
      </c>
      <c r="C316" s="14" t="s">
        <v>476</v>
      </c>
      <c r="D316" s="14" t="s">
        <v>104</v>
      </c>
      <c r="E316" s="14" t="s">
        <v>89</v>
      </c>
      <c r="F316" s="14">
        <v>1</v>
      </c>
      <c r="G316" s="14">
        <v>60</v>
      </c>
      <c r="H316" s="31" t="s">
        <v>217</v>
      </c>
      <c r="I316" s="14" t="s">
        <v>75</v>
      </c>
      <c r="J316" s="14" t="s">
        <v>201</v>
      </c>
      <c r="K316" s="14">
        <v>1</v>
      </c>
      <c r="L316" s="14" t="s">
        <v>213</v>
      </c>
      <c r="N316" s="14">
        <v>0</v>
      </c>
      <c r="O316" s="14" t="b">
        <v>1</v>
      </c>
      <c r="Q316" s="14" t="b">
        <v>0</v>
      </c>
      <c r="R316" s="14">
        <v>1</v>
      </c>
      <c r="S316" s="14" t="s">
        <v>77</v>
      </c>
      <c r="T316" s="14">
        <v>999</v>
      </c>
      <c r="U316" s="14" t="s">
        <v>214</v>
      </c>
      <c r="V316" s="14">
        <v>31343001</v>
      </c>
      <c r="X316" s="14" t="s">
        <v>204</v>
      </c>
      <c r="Y316" s="14" t="s">
        <v>215</v>
      </c>
      <c r="Z316" s="14">
        <v>20001</v>
      </c>
      <c r="AA316" s="14" t="s">
        <v>205</v>
      </c>
      <c r="AB316" s="14">
        <v>40001</v>
      </c>
      <c r="AE316" s="29" t="s">
        <v>121</v>
      </c>
      <c r="AF316" s="14" t="s">
        <v>213</v>
      </c>
      <c r="AG316" s="14" t="s">
        <v>89</v>
      </c>
    </row>
    <row r="317" spans="2:33">
      <c r="B317" s="14">
        <f>10000000+INDEX(编号表!$B:$B,MATCH(H317,编号表!$A:$A,0))*100000+INDEX(编号表!$F:$F,MATCH(D317,编号表!$E:$E,0))*10000+INDEX(编号表!$D:$D,MATCH(AG317,编号表!$C:$C,0))*1000+F317</f>
        <v>11343002</v>
      </c>
      <c r="C317" s="14" t="s">
        <v>477</v>
      </c>
      <c r="D317" s="14" t="s">
        <v>104</v>
      </c>
      <c r="E317" s="14" t="s">
        <v>89</v>
      </c>
      <c r="F317" s="14">
        <v>2</v>
      </c>
      <c r="G317" s="14">
        <v>60</v>
      </c>
      <c r="H317" s="31" t="s">
        <v>217</v>
      </c>
      <c r="I317" s="14" t="s">
        <v>75</v>
      </c>
      <c r="J317" s="14" t="s">
        <v>201</v>
      </c>
      <c r="K317" s="14">
        <v>1</v>
      </c>
      <c r="L317" s="14" t="s">
        <v>213</v>
      </c>
      <c r="N317" s="14">
        <v>0</v>
      </c>
      <c r="O317" s="14" t="b">
        <v>1</v>
      </c>
      <c r="Q317" s="14" t="b">
        <v>0</v>
      </c>
      <c r="R317" s="14">
        <v>1</v>
      </c>
      <c r="S317" s="14" t="s">
        <v>77</v>
      </c>
      <c r="T317" s="14">
        <v>999</v>
      </c>
      <c r="U317" s="14" t="s">
        <v>214</v>
      </c>
      <c r="V317" s="14">
        <v>31343002</v>
      </c>
      <c r="X317" s="14" t="s">
        <v>204</v>
      </c>
      <c r="Y317" s="14" t="s">
        <v>215</v>
      </c>
      <c r="Z317" s="14">
        <v>20001</v>
      </c>
      <c r="AA317" s="14" t="s">
        <v>205</v>
      </c>
      <c r="AB317" s="14">
        <v>40001</v>
      </c>
      <c r="AE317" s="29" t="s">
        <v>121</v>
      </c>
      <c r="AF317" s="14" t="s">
        <v>213</v>
      </c>
      <c r="AG317" s="14" t="s">
        <v>89</v>
      </c>
    </row>
    <row r="318" spans="2:33">
      <c r="B318" s="14">
        <f>10000000+INDEX(编号表!$B:$B,MATCH(H318,编号表!$A:$A,0))*100000+INDEX(编号表!$F:$F,MATCH(D318,编号表!$E:$E,0))*10000+INDEX(编号表!$D:$D,MATCH(AG318,编号表!$C:$C,0))*1000+F318</f>
        <v>11343003</v>
      </c>
      <c r="C318" s="14" t="s">
        <v>478</v>
      </c>
      <c r="D318" s="14" t="s">
        <v>104</v>
      </c>
      <c r="E318" s="14" t="s">
        <v>89</v>
      </c>
      <c r="F318" s="14">
        <v>3</v>
      </c>
      <c r="G318" s="14">
        <v>60</v>
      </c>
      <c r="H318" s="31" t="s">
        <v>217</v>
      </c>
      <c r="I318" s="14" t="s">
        <v>75</v>
      </c>
      <c r="J318" s="14" t="s">
        <v>201</v>
      </c>
      <c r="K318" s="14">
        <v>1</v>
      </c>
      <c r="L318" s="14" t="s">
        <v>213</v>
      </c>
      <c r="N318" s="14">
        <v>0</v>
      </c>
      <c r="O318" s="14" t="b">
        <v>1</v>
      </c>
      <c r="Q318" s="14" t="b">
        <v>0</v>
      </c>
      <c r="R318" s="14">
        <v>1</v>
      </c>
      <c r="S318" s="14" t="s">
        <v>77</v>
      </c>
      <c r="T318" s="14">
        <v>999</v>
      </c>
      <c r="U318" s="14" t="s">
        <v>214</v>
      </c>
      <c r="V318" s="14">
        <v>31343003</v>
      </c>
      <c r="X318" s="14" t="s">
        <v>204</v>
      </c>
      <c r="Y318" s="14" t="s">
        <v>215</v>
      </c>
      <c r="Z318" s="14">
        <v>20001</v>
      </c>
      <c r="AA318" s="14" t="s">
        <v>205</v>
      </c>
      <c r="AB318" s="14">
        <v>40001</v>
      </c>
      <c r="AE318" s="29" t="s">
        <v>121</v>
      </c>
      <c r="AF318" s="14" t="s">
        <v>213</v>
      </c>
      <c r="AG318" s="14" t="s">
        <v>89</v>
      </c>
    </row>
    <row r="319" spans="2:33">
      <c r="B319" s="14">
        <f>10000000+INDEX(编号表!$B:$B,MATCH(H319,编号表!$A:$A,0))*100000+INDEX(编号表!$F:$F,MATCH(D319,编号表!$E:$E,0))*10000+INDEX(编号表!$D:$D,MATCH(AG319,编号表!$C:$C,0))*1000+F319</f>
        <v>11343004</v>
      </c>
      <c r="C319" s="14" t="s">
        <v>479</v>
      </c>
      <c r="D319" s="14" t="s">
        <v>104</v>
      </c>
      <c r="E319" s="14" t="s">
        <v>89</v>
      </c>
      <c r="F319" s="14">
        <v>4</v>
      </c>
      <c r="G319" s="14">
        <v>60</v>
      </c>
      <c r="H319" s="31" t="s">
        <v>217</v>
      </c>
      <c r="I319" s="14" t="s">
        <v>75</v>
      </c>
      <c r="J319" s="14" t="s">
        <v>201</v>
      </c>
      <c r="K319" s="14">
        <v>1</v>
      </c>
      <c r="L319" s="14" t="s">
        <v>213</v>
      </c>
      <c r="N319" s="14">
        <v>0</v>
      </c>
      <c r="O319" s="14" t="b">
        <v>1</v>
      </c>
      <c r="Q319" s="14" t="b">
        <v>0</v>
      </c>
      <c r="R319" s="14">
        <v>1</v>
      </c>
      <c r="S319" s="14" t="s">
        <v>77</v>
      </c>
      <c r="T319" s="14">
        <v>999</v>
      </c>
      <c r="U319" s="14" t="s">
        <v>214</v>
      </c>
      <c r="V319" s="14">
        <v>31343004</v>
      </c>
      <c r="X319" s="14" t="s">
        <v>204</v>
      </c>
      <c r="Y319" s="14" t="s">
        <v>215</v>
      </c>
      <c r="Z319" s="14">
        <v>20001</v>
      </c>
      <c r="AA319" s="14" t="s">
        <v>205</v>
      </c>
      <c r="AB319" s="14">
        <v>40001</v>
      </c>
      <c r="AE319" s="29" t="s">
        <v>121</v>
      </c>
      <c r="AF319" s="14" t="s">
        <v>213</v>
      </c>
      <c r="AG319" s="14" t="s">
        <v>89</v>
      </c>
    </row>
    <row r="320" spans="2:33">
      <c r="B320" s="14">
        <f>10000000+INDEX(编号表!$B:$B,MATCH(H320,编号表!$A:$A,0))*100000+INDEX(编号表!$F:$F,MATCH(D320,编号表!$E:$E,0))*10000+INDEX(编号表!$D:$D,MATCH(AG320,编号表!$C:$C,0))*1000+F320</f>
        <v>11343005</v>
      </c>
      <c r="C320" s="14" t="s">
        <v>480</v>
      </c>
      <c r="D320" s="14" t="s">
        <v>104</v>
      </c>
      <c r="E320" s="14" t="s">
        <v>89</v>
      </c>
      <c r="F320" s="14">
        <v>5</v>
      </c>
      <c r="G320" s="14">
        <v>60</v>
      </c>
      <c r="H320" s="31" t="s">
        <v>217</v>
      </c>
      <c r="I320" s="14" t="s">
        <v>75</v>
      </c>
      <c r="J320" s="14" t="s">
        <v>201</v>
      </c>
      <c r="K320" s="14">
        <v>1</v>
      </c>
      <c r="L320" s="14" t="s">
        <v>213</v>
      </c>
      <c r="N320" s="14">
        <v>0</v>
      </c>
      <c r="O320" s="14" t="b">
        <v>1</v>
      </c>
      <c r="Q320" s="14" t="b">
        <v>0</v>
      </c>
      <c r="R320" s="14">
        <v>1</v>
      </c>
      <c r="S320" s="14" t="s">
        <v>77</v>
      </c>
      <c r="T320" s="14">
        <v>999</v>
      </c>
      <c r="U320" s="14" t="s">
        <v>214</v>
      </c>
      <c r="V320" s="14">
        <v>31343005</v>
      </c>
      <c r="X320" s="14" t="s">
        <v>204</v>
      </c>
      <c r="Y320" s="14" t="s">
        <v>215</v>
      </c>
      <c r="Z320" s="14">
        <v>20001</v>
      </c>
      <c r="AA320" s="14" t="s">
        <v>205</v>
      </c>
      <c r="AB320" s="14">
        <v>40001</v>
      </c>
      <c r="AE320" s="29" t="s">
        <v>121</v>
      </c>
      <c r="AF320" s="14" t="s">
        <v>213</v>
      </c>
      <c r="AG320" s="14" t="s">
        <v>89</v>
      </c>
    </row>
    <row r="321" spans="2:33">
      <c r="B321" s="14">
        <f>10000000+INDEX(编号表!$B:$B,MATCH(H321,编号表!$A:$A,0))*100000+INDEX(编号表!$F:$F,MATCH(D321,编号表!$E:$E,0))*10000+INDEX(编号表!$D:$D,MATCH(AG321,编号表!$C:$C,0))*1000+F321</f>
        <v>11343006</v>
      </c>
      <c r="C321" s="14" t="s">
        <v>481</v>
      </c>
      <c r="D321" s="14" t="s">
        <v>104</v>
      </c>
      <c r="E321" s="14" t="s">
        <v>89</v>
      </c>
      <c r="F321" s="14">
        <v>6</v>
      </c>
      <c r="G321" s="14">
        <v>60</v>
      </c>
      <c r="H321" s="31" t="s">
        <v>217</v>
      </c>
      <c r="I321" s="14" t="s">
        <v>75</v>
      </c>
      <c r="J321" s="14" t="s">
        <v>201</v>
      </c>
      <c r="K321" s="14">
        <v>1</v>
      </c>
      <c r="L321" s="14" t="s">
        <v>213</v>
      </c>
      <c r="N321" s="14">
        <v>0</v>
      </c>
      <c r="O321" s="14" t="b">
        <v>1</v>
      </c>
      <c r="Q321" s="14" t="b">
        <v>0</v>
      </c>
      <c r="R321" s="14">
        <v>1</v>
      </c>
      <c r="S321" s="14" t="s">
        <v>77</v>
      </c>
      <c r="T321" s="14">
        <v>999</v>
      </c>
      <c r="U321" s="14" t="s">
        <v>214</v>
      </c>
      <c r="V321" s="14">
        <v>31343006</v>
      </c>
      <c r="X321" s="14" t="s">
        <v>204</v>
      </c>
      <c r="Y321" s="14" t="s">
        <v>215</v>
      </c>
      <c r="Z321" s="14">
        <v>20001</v>
      </c>
      <c r="AA321" s="14" t="s">
        <v>205</v>
      </c>
      <c r="AB321" s="14">
        <v>40001</v>
      </c>
      <c r="AE321" s="29" t="s">
        <v>121</v>
      </c>
      <c r="AF321" s="14" t="s">
        <v>213</v>
      </c>
      <c r="AG321" s="14" t="s">
        <v>89</v>
      </c>
    </row>
    <row r="322" spans="2:33">
      <c r="B322" s="14">
        <f>10000000+INDEX(编号表!$B:$B,MATCH(H322,编号表!$A:$A,0))*100000+INDEX(编号表!$F:$F,MATCH(D322,编号表!$E:$E,0))*10000+INDEX(编号表!$D:$D,MATCH(AG322,编号表!$C:$C,0))*1000+F322</f>
        <v>11343007</v>
      </c>
      <c r="C322" s="14" t="s">
        <v>482</v>
      </c>
      <c r="D322" s="14" t="s">
        <v>104</v>
      </c>
      <c r="E322" s="14" t="s">
        <v>89</v>
      </c>
      <c r="F322" s="14">
        <v>7</v>
      </c>
      <c r="G322" s="14">
        <v>60</v>
      </c>
      <c r="H322" s="31" t="s">
        <v>217</v>
      </c>
      <c r="I322" s="14" t="s">
        <v>75</v>
      </c>
      <c r="J322" s="14" t="s">
        <v>201</v>
      </c>
      <c r="K322" s="14">
        <v>1</v>
      </c>
      <c r="L322" s="14" t="s">
        <v>213</v>
      </c>
      <c r="N322" s="14">
        <v>0</v>
      </c>
      <c r="O322" s="14" t="b">
        <v>1</v>
      </c>
      <c r="Q322" s="14" t="b">
        <v>0</v>
      </c>
      <c r="R322" s="14">
        <v>1</v>
      </c>
      <c r="S322" s="14" t="s">
        <v>77</v>
      </c>
      <c r="T322" s="14">
        <v>999</v>
      </c>
      <c r="U322" s="14" t="s">
        <v>214</v>
      </c>
      <c r="V322" s="14">
        <v>31343007</v>
      </c>
      <c r="X322" s="14" t="s">
        <v>204</v>
      </c>
      <c r="Y322" s="14" t="s">
        <v>215</v>
      </c>
      <c r="Z322" s="14">
        <v>20001</v>
      </c>
      <c r="AA322" s="14" t="s">
        <v>205</v>
      </c>
      <c r="AB322" s="14">
        <v>40001</v>
      </c>
      <c r="AE322" s="29" t="s">
        <v>121</v>
      </c>
      <c r="AF322" s="14" t="s">
        <v>213</v>
      </c>
      <c r="AG322" s="14" t="s">
        <v>89</v>
      </c>
    </row>
    <row r="323" spans="2:33">
      <c r="B323" s="14">
        <f>10000000+INDEX(编号表!$B:$B,MATCH(H323,编号表!$A:$A,0))*100000+INDEX(编号表!$F:$F,MATCH(D323,编号表!$E:$E,0))*10000+INDEX(编号表!$D:$D,MATCH(AG323,编号表!$C:$C,0))*1000+F323</f>
        <v>11343008</v>
      </c>
      <c r="C323" s="14" t="s">
        <v>483</v>
      </c>
      <c r="D323" s="14" t="s">
        <v>104</v>
      </c>
      <c r="E323" s="14" t="s">
        <v>89</v>
      </c>
      <c r="F323" s="14">
        <v>8</v>
      </c>
      <c r="G323" s="14">
        <v>60</v>
      </c>
      <c r="H323" s="31" t="s">
        <v>217</v>
      </c>
      <c r="I323" s="14" t="s">
        <v>75</v>
      </c>
      <c r="J323" s="14" t="s">
        <v>201</v>
      </c>
      <c r="K323" s="14">
        <v>1</v>
      </c>
      <c r="L323" s="14" t="s">
        <v>213</v>
      </c>
      <c r="N323" s="14">
        <v>0</v>
      </c>
      <c r="O323" s="14" t="b">
        <v>1</v>
      </c>
      <c r="Q323" s="14" t="b">
        <v>0</v>
      </c>
      <c r="R323" s="14">
        <v>1</v>
      </c>
      <c r="S323" s="14" t="s">
        <v>77</v>
      </c>
      <c r="T323" s="14">
        <v>999</v>
      </c>
      <c r="U323" s="14" t="s">
        <v>214</v>
      </c>
      <c r="V323" s="14">
        <v>31343008</v>
      </c>
      <c r="X323" s="14" t="s">
        <v>204</v>
      </c>
      <c r="Y323" s="14" t="s">
        <v>215</v>
      </c>
      <c r="Z323" s="14">
        <v>20001</v>
      </c>
      <c r="AA323" s="14" t="s">
        <v>205</v>
      </c>
      <c r="AB323" s="14">
        <v>40001</v>
      </c>
      <c r="AE323" s="29" t="s">
        <v>121</v>
      </c>
      <c r="AF323" s="14" t="s">
        <v>213</v>
      </c>
      <c r="AG323" s="14" t="s">
        <v>89</v>
      </c>
    </row>
    <row r="324" spans="2:33">
      <c r="B324" s="14">
        <f>10000000+INDEX(编号表!$B:$B,MATCH(H324,编号表!$A:$A,0))*100000+INDEX(编号表!$F:$F,MATCH(D324,编号表!$E:$E,0))*10000+INDEX(编号表!$D:$D,MATCH(AG324,编号表!$C:$C,0))*1000+F324</f>
        <v>11343009</v>
      </c>
      <c r="C324" s="14" t="s">
        <v>484</v>
      </c>
      <c r="D324" s="14" t="s">
        <v>104</v>
      </c>
      <c r="E324" s="14" t="s">
        <v>89</v>
      </c>
      <c r="F324" s="14">
        <v>9</v>
      </c>
      <c r="G324" s="14">
        <v>60</v>
      </c>
      <c r="H324" s="31" t="s">
        <v>217</v>
      </c>
      <c r="I324" s="14" t="s">
        <v>75</v>
      </c>
      <c r="J324" s="14" t="s">
        <v>201</v>
      </c>
      <c r="K324" s="14">
        <v>1</v>
      </c>
      <c r="L324" s="14" t="s">
        <v>213</v>
      </c>
      <c r="N324" s="14">
        <v>0</v>
      </c>
      <c r="O324" s="14" t="b">
        <v>1</v>
      </c>
      <c r="Q324" s="14" t="b">
        <v>0</v>
      </c>
      <c r="R324" s="14">
        <v>1</v>
      </c>
      <c r="S324" s="14" t="s">
        <v>77</v>
      </c>
      <c r="T324" s="14">
        <v>999</v>
      </c>
      <c r="U324" s="14" t="s">
        <v>214</v>
      </c>
      <c r="V324" s="14">
        <v>31343009</v>
      </c>
      <c r="X324" s="14" t="s">
        <v>204</v>
      </c>
      <c r="Y324" s="14" t="s">
        <v>215</v>
      </c>
      <c r="Z324" s="14">
        <v>20001</v>
      </c>
      <c r="AA324" s="14" t="s">
        <v>205</v>
      </c>
      <c r="AB324" s="14">
        <v>40001</v>
      </c>
      <c r="AE324" s="29" t="s">
        <v>121</v>
      </c>
      <c r="AF324" s="14" t="s">
        <v>213</v>
      </c>
      <c r="AG324" s="14" t="s">
        <v>89</v>
      </c>
    </row>
    <row r="325" spans="2:33">
      <c r="B325" s="14">
        <f>10000000+INDEX(编号表!$B:$B,MATCH(H325,编号表!$A:$A,0))*100000+INDEX(编号表!$F:$F,MATCH(D325,编号表!$E:$E,0))*10000+INDEX(编号表!$D:$D,MATCH(AG325,编号表!$C:$C,0))*1000+F325</f>
        <v>11543000</v>
      </c>
      <c r="C325" s="14" t="s">
        <v>485</v>
      </c>
      <c r="D325" s="14" t="s">
        <v>104</v>
      </c>
      <c r="E325" s="14" t="s">
        <v>89</v>
      </c>
      <c r="F325" s="14">
        <v>0</v>
      </c>
      <c r="G325" s="14">
        <v>60</v>
      </c>
      <c r="H325" s="31" t="s">
        <v>228</v>
      </c>
      <c r="I325" s="14" t="s">
        <v>75</v>
      </c>
      <c r="J325" s="14" t="s">
        <v>201</v>
      </c>
      <c r="K325" s="14">
        <v>1</v>
      </c>
      <c r="L325" s="14" t="s">
        <v>213</v>
      </c>
      <c r="N325" s="14">
        <v>0</v>
      </c>
      <c r="O325" s="14" t="b">
        <v>1</v>
      </c>
      <c r="Q325" s="14" t="b">
        <v>0</v>
      </c>
      <c r="R325" s="14">
        <v>1</v>
      </c>
      <c r="S325" s="14" t="s">
        <v>77</v>
      </c>
      <c r="T325" s="14">
        <v>999</v>
      </c>
      <c r="U325" s="14" t="s">
        <v>214</v>
      </c>
      <c r="V325" s="14">
        <v>31543000</v>
      </c>
      <c r="X325" s="14" t="s">
        <v>204</v>
      </c>
      <c r="Y325" s="14" t="s">
        <v>215</v>
      </c>
      <c r="Z325" s="14">
        <v>20001</v>
      </c>
      <c r="AA325" s="14" t="s">
        <v>205</v>
      </c>
      <c r="AB325" s="14">
        <v>40001</v>
      </c>
      <c r="AE325" s="29" t="s">
        <v>121</v>
      </c>
      <c r="AF325" s="14" t="s">
        <v>213</v>
      </c>
      <c r="AG325" s="14" t="s">
        <v>89</v>
      </c>
    </row>
    <row r="326" spans="2:33">
      <c r="B326" s="14">
        <f>10000000+INDEX(编号表!$B:$B,MATCH(H326,编号表!$A:$A,0))*100000+INDEX(编号表!$F:$F,MATCH(D326,编号表!$E:$E,0))*10000+INDEX(编号表!$D:$D,MATCH(AG326,编号表!$C:$C,0))*1000+F326</f>
        <v>11543001</v>
      </c>
      <c r="C326" s="14" t="s">
        <v>486</v>
      </c>
      <c r="D326" s="14" t="s">
        <v>104</v>
      </c>
      <c r="E326" s="14" t="s">
        <v>89</v>
      </c>
      <c r="F326" s="14">
        <v>1</v>
      </c>
      <c r="G326" s="14">
        <v>60</v>
      </c>
      <c r="H326" s="31" t="s">
        <v>228</v>
      </c>
      <c r="I326" s="14" t="s">
        <v>75</v>
      </c>
      <c r="J326" s="14" t="s">
        <v>201</v>
      </c>
      <c r="K326" s="14">
        <v>1</v>
      </c>
      <c r="L326" s="14" t="s">
        <v>213</v>
      </c>
      <c r="N326" s="14">
        <v>0</v>
      </c>
      <c r="O326" s="14" t="b">
        <v>1</v>
      </c>
      <c r="Q326" s="14" t="b">
        <v>0</v>
      </c>
      <c r="R326" s="14">
        <v>1</v>
      </c>
      <c r="S326" s="14" t="s">
        <v>77</v>
      </c>
      <c r="T326" s="14">
        <v>999</v>
      </c>
      <c r="U326" s="14" t="s">
        <v>214</v>
      </c>
      <c r="V326" s="14">
        <v>31543001</v>
      </c>
      <c r="X326" s="14" t="s">
        <v>204</v>
      </c>
      <c r="Y326" s="14" t="s">
        <v>215</v>
      </c>
      <c r="Z326" s="14">
        <v>20001</v>
      </c>
      <c r="AA326" s="14" t="s">
        <v>205</v>
      </c>
      <c r="AB326" s="14">
        <v>40001</v>
      </c>
      <c r="AE326" s="29" t="s">
        <v>121</v>
      </c>
      <c r="AF326" s="14" t="s">
        <v>213</v>
      </c>
      <c r="AG326" s="14" t="s">
        <v>89</v>
      </c>
    </row>
    <row r="327" spans="2:33">
      <c r="B327" s="14">
        <f>10000000+INDEX(编号表!$B:$B,MATCH(H327,编号表!$A:$A,0))*100000+INDEX(编号表!$F:$F,MATCH(D327,编号表!$E:$E,0))*10000+INDEX(编号表!$D:$D,MATCH(AG327,编号表!$C:$C,0))*1000+F327</f>
        <v>11543002</v>
      </c>
      <c r="C327" s="14" t="s">
        <v>487</v>
      </c>
      <c r="D327" s="14" t="s">
        <v>104</v>
      </c>
      <c r="E327" s="14" t="s">
        <v>89</v>
      </c>
      <c r="F327" s="14">
        <v>2</v>
      </c>
      <c r="G327" s="14">
        <v>60</v>
      </c>
      <c r="H327" s="31" t="s">
        <v>228</v>
      </c>
      <c r="I327" s="14" t="s">
        <v>75</v>
      </c>
      <c r="J327" s="14" t="s">
        <v>201</v>
      </c>
      <c r="K327" s="14">
        <v>1</v>
      </c>
      <c r="L327" s="14" t="s">
        <v>213</v>
      </c>
      <c r="N327" s="14">
        <v>0</v>
      </c>
      <c r="O327" s="14" t="b">
        <v>1</v>
      </c>
      <c r="Q327" s="14" t="b">
        <v>0</v>
      </c>
      <c r="R327" s="14">
        <v>1</v>
      </c>
      <c r="S327" s="14" t="s">
        <v>77</v>
      </c>
      <c r="T327" s="14">
        <v>999</v>
      </c>
      <c r="U327" s="14" t="s">
        <v>214</v>
      </c>
      <c r="V327" s="14">
        <v>31543002</v>
      </c>
      <c r="X327" s="14" t="s">
        <v>204</v>
      </c>
      <c r="Y327" s="14" t="s">
        <v>215</v>
      </c>
      <c r="Z327" s="14">
        <v>20001</v>
      </c>
      <c r="AA327" s="14" t="s">
        <v>205</v>
      </c>
      <c r="AB327" s="14">
        <v>40001</v>
      </c>
      <c r="AE327" s="29" t="s">
        <v>121</v>
      </c>
      <c r="AF327" s="14" t="s">
        <v>213</v>
      </c>
      <c r="AG327" s="14" t="s">
        <v>89</v>
      </c>
    </row>
    <row r="328" spans="2:33">
      <c r="B328" s="14">
        <f>10000000+INDEX(编号表!$B:$B,MATCH(H328,编号表!$A:$A,0))*100000+INDEX(编号表!$F:$F,MATCH(D328,编号表!$E:$E,0))*10000+INDEX(编号表!$D:$D,MATCH(AG328,编号表!$C:$C,0))*1000+F328</f>
        <v>11543003</v>
      </c>
      <c r="C328" s="14" t="s">
        <v>488</v>
      </c>
      <c r="D328" s="14" t="s">
        <v>104</v>
      </c>
      <c r="E328" s="14" t="s">
        <v>89</v>
      </c>
      <c r="F328" s="14">
        <v>3</v>
      </c>
      <c r="G328" s="14">
        <v>60</v>
      </c>
      <c r="H328" s="31" t="s">
        <v>228</v>
      </c>
      <c r="I328" s="14" t="s">
        <v>75</v>
      </c>
      <c r="J328" s="14" t="s">
        <v>201</v>
      </c>
      <c r="K328" s="14">
        <v>1</v>
      </c>
      <c r="L328" s="14" t="s">
        <v>213</v>
      </c>
      <c r="N328" s="14">
        <v>0</v>
      </c>
      <c r="O328" s="14" t="b">
        <v>1</v>
      </c>
      <c r="Q328" s="14" t="b">
        <v>0</v>
      </c>
      <c r="R328" s="14">
        <v>1</v>
      </c>
      <c r="S328" s="14" t="s">
        <v>77</v>
      </c>
      <c r="T328" s="14">
        <v>999</v>
      </c>
      <c r="U328" s="14" t="s">
        <v>214</v>
      </c>
      <c r="V328" s="14">
        <v>31543003</v>
      </c>
      <c r="X328" s="14" t="s">
        <v>204</v>
      </c>
      <c r="Y328" s="14" t="s">
        <v>215</v>
      </c>
      <c r="Z328" s="14">
        <v>20001</v>
      </c>
      <c r="AA328" s="14" t="s">
        <v>205</v>
      </c>
      <c r="AB328" s="14">
        <v>40001</v>
      </c>
      <c r="AE328" s="29" t="s">
        <v>121</v>
      </c>
      <c r="AF328" s="14" t="s">
        <v>213</v>
      </c>
      <c r="AG328" s="14" t="s">
        <v>89</v>
      </c>
    </row>
    <row r="329" spans="2:33">
      <c r="B329" s="14">
        <f>10000000+INDEX(编号表!$B:$B,MATCH(H329,编号表!$A:$A,0))*100000+INDEX(编号表!$F:$F,MATCH(D329,编号表!$E:$E,0))*10000+INDEX(编号表!$D:$D,MATCH(AG329,编号表!$C:$C,0))*1000+F329</f>
        <v>11543004</v>
      </c>
      <c r="C329" s="14" t="s">
        <v>489</v>
      </c>
      <c r="D329" s="14" t="s">
        <v>104</v>
      </c>
      <c r="E329" s="14" t="s">
        <v>89</v>
      </c>
      <c r="F329" s="14">
        <v>4</v>
      </c>
      <c r="G329" s="14">
        <v>60</v>
      </c>
      <c r="H329" s="31" t="s">
        <v>228</v>
      </c>
      <c r="I329" s="14" t="s">
        <v>75</v>
      </c>
      <c r="J329" s="14" t="s">
        <v>201</v>
      </c>
      <c r="K329" s="14">
        <v>1</v>
      </c>
      <c r="L329" s="14" t="s">
        <v>213</v>
      </c>
      <c r="N329" s="14">
        <v>0</v>
      </c>
      <c r="O329" s="14" t="b">
        <v>1</v>
      </c>
      <c r="Q329" s="14" t="b">
        <v>0</v>
      </c>
      <c r="R329" s="14">
        <v>1</v>
      </c>
      <c r="S329" s="14" t="s">
        <v>77</v>
      </c>
      <c r="T329" s="14">
        <v>999</v>
      </c>
      <c r="U329" s="14" t="s">
        <v>214</v>
      </c>
      <c r="V329" s="14">
        <v>31543004</v>
      </c>
      <c r="X329" s="14" t="s">
        <v>204</v>
      </c>
      <c r="Y329" s="14" t="s">
        <v>215</v>
      </c>
      <c r="Z329" s="14">
        <v>20001</v>
      </c>
      <c r="AA329" s="14" t="s">
        <v>205</v>
      </c>
      <c r="AB329" s="14">
        <v>40001</v>
      </c>
      <c r="AE329" s="29" t="s">
        <v>121</v>
      </c>
      <c r="AF329" s="14" t="s">
        <v>213</v>
      </c>
      <c r="AG329" s="14" t="s">
        <v>89</v>
      </c>
    </row>
    <row r="330" spans="2:33">
      <c r="B330" s="14">
        <f>10000000+INDEX(编号表!$B:$B,MATCH(H330,编号表!$A:$A,0))*100000+INDEX(编号表!$F:$F,MATCH(D330,编号表!$E:$E,0))*10000+INDEX(编号表!$D:$D,MATCH(AG330,编号表!$C:$C,0))*1000+F330</f>
        <v>11543005</v>
      </c>
      <c r="C330" s="14" t="s">
        <v>490</v>
      </c>
      <c r="D330" s="14" t="s">
        <v>104</v>
      </c>
      <c r="E330" s="14" t="s">
        <v>89</v>
      </c>
      <c r="F330" s="14">
        <v>5</v>
      </c>
      <c r="G330" s="14">
        <v>60</v>
      </c>
      <c r="H330" s="31" t="s">
        <v>228</v>
      </c>
      <c r="I330" s="14" t="s">
        <v>75</v>
      </c>
      <c r="J330" s="14" t="s">
        <v>201</v>
      </c>
      <c r="K330" s="14">
        <v>1</v>
      </c>
      <c r="L330" s="14" t="s">
        <v>213</v>
      </c>
      <c r="N330" s="14">
        <v>0</v>
      </c>
      <c r="O330" s="14" t="b">
        <v>1</v>
      </c>
      <c r="Q330" s="14" t="b">
        <v>0</v>
      </c>
      <c r="R330" s="14">
        <v>1</v>
      </c>
      <c r="S330" s="14" t="s">
        <v>77</v>
      </c>
      <c r="T330" s="14">
        <v>999</v>
      </c>
      <c r="U330" s="14" t="s">
        <v>214</v>
      </c>
      <c r="V330" s="14">
        <v>31543005</v>
      </c>
      <c r="X330" s="14" t="s">
        <v>204</v>
      </c>
      <c r="Y330" s="14" t="s">
        <v>215</v>
      </c>
      <c r="Z330" s="14">
        <v>20001</v>
      </c>
      <c r="AA330" s="14" t="s">
        <v>205</v>
      </c>
      <c r="AB330" s="14">
        <v>40001</v>
      </c>
      <c r="AE330" s="29" t="s">
        <v>121</v>
      </c>
      <c r="AF330" s="14" t="s">
        <v>213</v>
      </c>
      <c r="AG330" s="14" t="s">
        <v>89</v>
      </c>
    </row>
    <row r="331" spans="2:33">
      <c r="B331" s="14">
        <f>10000000+INDEX(编号表!$B:$B,MATCH(H331,编号表!$A:$A,0))*100000+INDEX(编号表!$F:$F,MATCH(D331,编号表!$E:$E,0))*10000+INDEX(编号表!$D:$D,MATCH(AG331,编号表!$C:$C,0))*1000+F331</f>
        <v>11543006</v>
      </c>
      <c r="C331" s="14" t="s">
        <v>491</v>
      </c>
      <c r="D331" s="14" t="s">
        <v>104</v>
      </c>
      <c r="E331" s="14" t="s">
        <v>89</v>
      </c>
      <c r="F331" s="14">
        <v>6</v>
      </c>
      <c r="G331" s="14">
        <v>60</v>
      </c>
      <c r="H331" s="31" t="s">
        <v>228</v>
      </c>
      <c r="I331" s="14" t="s">
        <v>75</v>
      </c>
      <c r="J331" s="14" t="s">
        <v>201</v>
      </c>
      <c r="K331" s="14">
        <v>1</v>
      </c>
      <c r="L331" s="14" t="s">
        <v>213</v>
      </c>
      <c r="N331" s="14">
        <v>0</v>
      </c>
      <c r="O331" s="14" t="b">
        <v>1</v>
      </c>
      <c r="Q331" s="14" t="b">
        <v>0</v>
      </c>
      <c r="R331" s="14">
        <v>1</v>
      </c>
      <c r="S331" s="14" t="s">
        <v>77</v>
      </c>
      <c r="T331" s="14">
        <v>999</v>
      </c>
      <c r="U331" s="14" t="s">
        <v>214</v>
      </c>
      <c r="V331" s="14">
        <v>31543006</v>
      </c>
      <c r="X331" s="14" t="s">
        <v>204</v>
      </c>
      <c r="Y331" s="14" t="s">
        <v>215</v>
      </c>
      <c r="Z331" s="14">
        <v>20001</v>
      </c>
      <c r="AA331" s="14" t="s">
        <v>205</v>
      </c>
      <c r="AB331" s="14">
        <v>40001</v>
      </c>
      <c r="AE331" s="29" t="s">
        <v>121</v>
      </c>
      <c r="AF331" s="14" t="s">
        <v>213</v>
      </c>
      <c r="AG331" s="14" t="s">
        <v>89</v>
      </c>
    </row>
    <row r="332" spans="2:33">
      <c r="B332" s="14">
        <f>10000000+INDEX(编号表!$B:$B,MATCH(H332,编号表!$A:$A,0))*100000+INDEX(编号表!$F:$F,MATCH(D332,编号表!$E:$E,0))*10000+INDEX(编号表!$D:$D,MATCH(AG332,编号表!$C:$C,0))*1000+F332</f>
        <v>11543007</v>
      </c>
      <c r="C332" s="14" t="s">
        <v>492</v>
      </c>
      <c r="D332" s="14" t="s">
        <v>104</v>
      </c>
      <c r="E332" s="14" t="s">
        <v>89</v>
      </c>
      <c r="F332" s="14">
        <v>7</v>
      </c>
      <c r="G332" s="14">
        <v>60</v>
      </c>
      <c r="H332" s="31" t="s">
        <v>228</v>
      </c>
      <c r="I332" s="14" t="s">
        <v>75</v>
      </c>
      <c r="J332" s="14" t="s">
        <v>201</v>
      </c>
      <c r="K332" s="14">
        <v>1</v>
      </c>
      <c r="L332" s="14" t="s">
        <v>213</v>
      </c>
      <c r="N332" s="14">
        <v>0</v>
      </c>
      <c r="O332" s="14" t="b">
        <v>1</v>
      </c>
      <c r="Q332" s="14" t="b">
        <v>0</v>
      </c>
      <c r="R332" s="14">
        <v>1</v>
      </c>
      <c r="S332" s="14" t="s">
        <v>77</v>
      </c>
      <c r="T332" s="14">
        <v>999</v>
      </c>
      <c r="U332" s="14" t="s">
        <v>214</v>
      </c>
      <c r="V332" s="14">
        <v>31543007</v>
      </c>
      <c r="X332" s="14" t="s">
        <v>204</v>
      </c>
      <c r="Y332" s="14" t="s">
        <v>215</v>
      </c>
      <c r="Z332" s="14">
        <v>20001</v>
      </c>
      <c r="AA332" s="14" t="s">
        <v>205</v>
      </c>
      <c r="AB332" s="14">
        <v>40001</v>
      </c>
      <c r="AE332" s="29" t="s">
        <v>121</v>
      </c>
      <c r="AF332" s="14" t="s">
        <v>213</v>
      </c>
      <c r="AG332" s="14" t="s">
        <v>89</v>
      </c>
    </row>
    <row r="333" spans="2:33">
      <c r="B333" s="14">
        <f>10000000+INDEX(编号表!$B:$B,MATCH(H333,编号表!$A:$A,0))*100000+INDEX(编号表!$F:$F,MATCH(D333,编号表!$E:$E,0))*10000+INDEX(编号表!$D:$D,MATCH(AG333,编号表!$C:$C,0))*1000+F333</f>
        <v>11543008</v>
      </c>
      <c r="C333" s="14" t="s">
        <v>493</v>
      </c>
      <c r="D333" s="14" t="s">
        <v>104</v>
      </c>
      <c r="E333" s="14" t="s">
        <v>89</v>
      </c>
      <c r="F333" s="14">
        <v>8</v>
      </c>
      <c r="G333" s="14">
        <v>60</v>
      </c>
      <c r="H333" s="31" t="s">
        <v>228</v>
      </c>
      <c r="I333" s="14" t="s">
        <v>75</v>
      </c>
      <c r="J333" s="14" t="s">
        <v>201</v>
      </c>
      <c r="K333" s="14">
        <v>1</v>
      </c>
      <c r="L333" s="14" t="s">
        <v>213</v>
      </c>
      <c r="N333" s="14">
        <v>0</v>
      </c>
      <c r="O333" s="14" t="b">
        <v>1</v>
      </c>
      <c r="Q333" s="14" t="b">
        <v>0</v>
      </c>
      <c r="R333" s="14">
        <v>1</v>
      </c>
      <c r="S333" s="14" t="s">
        <v>77</v>
      </c>
      <c r="T333" s="14">
        <v>999</v>
      </c>
      <c r="U333" s="14" t="s">
        <v>214</v>
      </c>
      <c r="V333" s="14">
        <v>31543008</v>
      </c>
      <c r="X333" s="14" t="s">
        <v>204</v>
      </c>
      <c r="Y333" s="14" t="s">
        <v>215</v>
      </c>
      <c r="Z333" s="14">
        <v>20001</v>
      </c>
      <c r="AA333" s="14" t="s">
        <v>205</v>
      </c>
      <c r="AB333" s="14">
        <v>40001</v>
      </c>
      <c r="AE333" s="29" t="s">
        <v>121</v>
      </c>
      <c r="AF333" s="14" t="s">
        <v>213</v>
      </c>
      <c r="AG333" s="14" t="s">
        <v>89</v>
      </c>
    </row>
    <row r="334" spans="2:33">
      <c r="B334" s="14">
        <f>10000000+INDEX(编号表!$B:$B,MATCH(H334,编号表!$A:$A,0))*100000+INDEX(编号表!$F:$F,MATCH(D334,编号表!$E:$E,0))*10000+INDEX(编号表!$D:$D,MATCH(AG334,编号表!$C:$C,0))*1000+F334</f>
        <v>11543009</v>
      </c>
      <c r="C334" s="14" t="s">
        <v>494</v>
      </c>
      <c r="D334" s="14" t="s">
        <v>104</v>
      </c>
      <c r="E334" s="14" t="s">
        <v>89</v>
      </c>
      <c r="F334" s="14">
        <v>9</v>
      </c>
      <c r="G334" s="14">
        <v>60</v>
      </c>
      <c r="H334" s="31" t="s">
        <v>228</v>
      </c>
      <c r="I334" s="14" t="s">
        <v>75</v>
      </c>
      <c r="J334" s="14" t="s">
        <v>201</v>
      </c>
      <c r="K334" s="14">
        <v>1</v>
      </c>
      <c r="L334" s="14" t="s">
        <v>213</v>
      </c>
      <c r="N334" s="14">
        <v>0</v>
      </c>
      <c r="O334" s="14" t="b">
        <v>1</v>
      </c>
      <c r="Q334" s="14" t="b">
        <v>0</v>
      </c>
      <c r="R334" s="14">
        <v>1</v>
      </c>
      <c r="S334" s="14" t="s">
        <v>77</v>
      </c>
      <c r="T334" s="14">
        <v>999</v>
      </c>
      <c r="U334" s="14" t="s">
        <v>214</v>
      </c>
      <c r="V334" s="14">
        <v>31543009</v>
      </c>
      <c r="X334" s="14" t="s">
        <v>204</v>
      </c>
      <c r="Y334" s="14" t="s">
        <v>215</v>
      </c>
      <c r="Z334" s="14">
        <v>20001</v>
      </c>
      <c r="AA334" s="14" t="s">
        <v>205</v>
      </c>
      <c r="AB334" s="14">
        <v>40001</v>
      </c>
      <c r="AE334" s="29" t="s">
        <v>121</v>
      </c>
      <c r="AF334" s="14" t="s">
        <v>213</v>
      </c>
      <c r="AG334" s="14" t="s">
        <v>89</v>
      </c>
    </row>
    <row r="335" spans="2:33">
      <c r="B335" s="14">
        <f>10000000+INDEX(编号表!$B:$B,MATCH(H335,编号表!$A:$A,0))*100000+INDEX(编号表!$F:$F,MATCH(D335,编号表!$E:$E,0))*10000+INDEX(编号表!$D:$D,MATCH(AG335,编号表!$C:$C,0))*1000+F335</f>
        <v>11443000</v>
      </c>
      <c r="C335" s="14" t="s">
        <v>495</v>
      </c>
      <c r="D335" s="14" t="s">
        <v>104</v>
      </c>
      <c r="E335" s="14" t="s">
        <v>89</v>
      </c>
      <c r="F335" s="14">
        <v>0</v>
      </c>
      <c r="G335" s="14">
        <v>60</v>
      </c>
      <c r="H335" s="31" t="s">
        <v>239</v>
      </c>
      <c r="I335" s="14" t="s">
        <v>75</v>
      </c>
      <c r="J335" s="14" t="s">
        <v>201</v>
      </c>
      <c r="K335" s="14">
        <v>1</v>
      </c>
      <c r="L335" s="14" t="s">
        <v>213</v>
      </c>
      <c r="N335" s="14">
        <v>0</v>
      </c>
      <c r="O335" s="14" t="b">
        <v>1</v>
      </c>
      <c r="Q335" s="14" t="b">
        <v>0</v>
      </c>
      <c r="R335" s="14">
        <v>1</v>
      </c>
      <c r="S335" s="14" t="s">
        <v>77</v>
      </c>
      <c r="T335" s="14">
        <v>999</v>
      </c>
      <c r="U335" s="14" t="s">
        <v>214</v>
      </c>
      <c r="V335" s="14">
        <v>31443000</v>
      </c>
      <c r="X335" s="14" t="s">
        <v>204</v>
      </c>
      <c r="Y335" s="14" t="s">
        <v>215</v>
      </c>
      <c r="Z335" s="14">
        <v>20001</v>
      </c>
      <c r="AA335" s="14" t="s">
        <v>205</v>
      </c>
      <c r="AB335" s="14">
        <v>40001</v>
      </c>
      <c r="AE335" s="29" t="s">
        <v>121</v>
      </c>
      <c r="AF335" s="14" t="s">
        <v>213</v>
      </c>
      <c r="AG335" s="14" t="s">
        <v>89</v>
      </c>
    </row>
    <row r="336" spans="2:33">
      <c r="B336" s="14">
        <f>10000000+INDEX(编号表!$B:$B,MATCH(H336,编号表!$A:$A,0))*100000+INDEX(编号表!$F:$F,MATCH(D336,编号表!$E:$E,0))*10000+INDEX(编号表!$D:$D,MATCH(AG336,编号表!$C:$C,0))*1000+F336</f>
        <v>11443001</v>
      </c>
      <c r="C336" s="14" t="s">
        <v>496</v>
      </c>
      <c r="D336" s="14" t="s">
        <v>104</v>
      </c>
      <c r="E336" s="14" t="s">
        <v>89</v>
      </c>
      <c r="F336" s="14">
        <v>1</v>
      </c>
      <c r="G336" s="14">
        <v>60</v>
      </c>
      <c r="H336" s="31" t="s">
        <v>239</v>
      </c>
      <c r="I336" s="14" t="s">
        <v>75</v>
      </c>
      <c r="J336" s="14" t="s">
        <v>201</v>
      </c>
      <c r="K336" s="14">
        <v>1</v>
      </c>
      <c r="L336" s="14" t="s">
        <v>213</v>
      </c>
      <c r="N336" s="14">
        <v>0</v>
      </c>
      <c r="O336" s="14" t="b">
        <v>1</v>
      </c>
      <c r="Q336" s="14" t="b">
        <v>0</v>
      </c>
      <c r="R336" s="14">
        <v>1</v>
      </c>
      <c r="S336" s="14" t="s">
        <v>77</v>
      </c>
      <c r="T336" s="14">
        <v>999</v>
      </c>
      <c r="U336" s="14" t="s">
        <v>214</v>
      </c>
      <c r="V336" s="14">
        <v>31443001</v>
      </c>
      <c r="X336" s="14" t="s">
        <v>204</v>
      </c>
      <c r="Y336" s="14" t="s">
        <v>215</v>
      </c>
      <c r="Z336" s="14">
        <v>20001</v>
      </c>
      <c r="AA336" s="14" t="s">
        <v>205</v>
      </c>
      <c r="AB336" s="14">
        <v>40001</v>
      </c>
      <c r="AE336" s="29" t="s">
        <v>121</v>
      </c>
      <c r="AF336" s="14" t="s">
        <v>213</v>
      </c>
      <c r="AG336" s="14" t="s">
        <v>89</v>
      </c>
    </row>
    <row r="337" spans="2:33">
      <c r="B337" s="14">
        <f>10000000+INDEX(编号表!$B:$B,MATCH(H337,编号表!$A:$A,0))*100000+INDEX(编号表!$F:$F,MATCH(D337,编号表!$E:$E,0))*10000+INDEX(编号表!$D:$D,MATCH(AG337,编号表!$C:$C,0))*1000+F337</f>
        <v>11443002</v>
      </c>
      <c r="C337" s="14" t="s">
        <v>497</v>
      </c>
      <c r="D337" s="14" t="s">
        <v>104</v>
      </c>
      <c r="E337" s="14" t="s">
        <v>89</v>
      </c>
      <c r="F337" s="14">
        <v>2</v>
      </c>
      <c r="G337" s="14">
        <v>60</v>
      </c>
      <c r="H337" s="31" t="s">
        <v>239</v>
      </c>
      <c r="I337" s="14" t="s">
        <v>75</v>
      </c>
      <c r="J337" s="14" t="s">
        <v>201</v>
      </c>
      <c r="K337" s="14">
        <v>1</v>
      </c>
      <c r="L337" s="14" t="s">
        <v>213</v>
      </c>
      <c r="N337" s="14">
        <v>0</v>
      </c>
      <c r="O337" s="14" t="b">
        <v>1</v>
      </c>
      <c r="Q337" s="14" t="b">
        <v>0</v>
      </c>
      <c r="R337" s="14">
        <v>1</v>
      </c>
      <c r="S337" s="14" t="s">
        <v>77</v>
      </c>
      <c r="T337" s="14">
        <v>999</v>
      </c>
      <c r="U337" s="14" t="s">
        <v>214</v>
      </c>
      <c r="V337" s="14">
        <v>31443002</v>
      </c>
      <c r="X337" s="14" t="s">
        <v>204</v>
      </c>
      <c r="Y337" s="14" t="s">
        <v>215</v>
      </c>
      <c r="Z337" s="14">
        <v>20001</v>
      </c>
      <c r="AA337" s="14" t="s">
        <v>205</v>
      </c>
      <c r="AB337" s="14">
        <v>40001</v>
      </c>
      <c r="AE337" s="29" t="s">
        <v>121</v>
      </c>
      <c r="AF337" s="14" t="s">
        <v>213</v>
      </c>
      <c r="AG337" s="14" t="s">
        <v>89</v>
      </c>
    </row>
    <row r="338" spans="2:33">
      <c r="B338" s="14">
        <f>10000000+INDEX(编号表!$B:$B,MATCH(H338,编号表!$A:$A,0))*100000+INDEX(编号表!$F:$F,MATCH(D338,编号表!$E:$E,0))*10000+INDEX(编号表!$D:$D,MATCH(AG338,编号表!$C:$C,0))*1000+F338</f>
        <v>11443003</v>
      </c>
      <c r="C338" s="14" t="s">
        <v>498</v>
      </c>
      <c r="D338" s="14" t="s">
        <v>104</v>
      </c>
      <c r="E338" s="14" t="s">
        <v>89</v>
      </c>
      <c r="F338" s="14">
        <v>3</v>
      </c>
      <c r="G338" s="14">
        <v>60</v>
      </c>
      <c r="H338" s="31" t="s">
        <v>239</v>
      </c>
      <c r="I338" s="14" t="s">
        <v>75</v>
      </c>
      <c r="J338" s="14" t="s">
        <v>201</v>
      </c>
      <c r="K338" s="14">
        <v>1</v>
      </c>
      <c r="L338" s="14" t="s">
        <v>213</v>
      </c>
      <c r="N338" s="14">
        <v>0</v>
      </c>
      <c r="O338" s="14" t="b">
        <v>1</v>
      </c>
      <c r="Q338" s="14" t="b">
        <v>0</v>
      </c>
      <c r="R338" s="14">
        <v>1</v>
      </c>
      <c r="S338" s="14" t="s">
        <v>77</v>
      </c>
      <c r="T338" s="14">
        <v>999</v>
      </c>
      <c r="U338" s="14" t="s">
        <v>214</v>
      </c>
      <c r="V338" s="14">
        <v>31443003</v>
      </c>
      <c r="X338" s="14" t="s">
        <v>204</v>
      </c>
      <c r="Y338" s="14" t="s">
        <v>215</v>
      </c>
      <c r="Z338" s="14">
        <v>20001</v>
      </c>
      <c r="AA338" s="14" t="s">
        <v>205</v>
      </c>
      <c r="AB338" s="14">
        <v>40001</v>
      </c>
      <c r="AE338" s="29" t="s">
        <v>121</v>
      </c>
      <c r="AF338" s="14" t="s">
        <v>213</v>
      </c>
      <c r="AG338" s="14" t="s">
        <v>89</v>
      </c>
    </row>
    <row r="339" spans="2:33">
      <c r="B339" s="14">
        <f>10000000+INDEX(编号表!$B:$B,MATCH(H339,编号表!$A:$A,0))*100000+INDEX(编号表!$F:$F,MATCH(D339,编号表!$E:$E,0))*10000+INDEX(编号表!$D:$D,MATCH(AG339,编号表!$C:$C,0))*1000+F339</f>
        <v>11643000</v>
      </c>
      <c r="C339" s="14" t="s">
        <v>499</v>
      </c>
      <c r="D339" s="14" t="s">
        <v>104</v>
      </c>
      <c r="E339" s="14" t="s">
        <v>89</v>
      </c>
      <c r="F339" s="14">
        <v>0</v>
      </c>
      <c r="G339" s="14">
        <v>60</v>
      </c>
      <c r="H339" s="31" t="s">
        <v>244</v>
      </c>
      <c r="I339" s="14" t="s">
        <v>75</v>
      </c>
      <c r="J339" s="14" t="s">
        <v>201</v>
      </c>
      <c r="K339" s="14">
        <v>1</v>
      </c>
      <c r="L339" s="14" t="s">
        <v>213</v>
      </c>
      <c r="N339" s="14">
        <v>0</v>
      </c>
      <c r="O339" s="14" t="b">
        <v>1</v>
      </c>
      <c r="Q339" s="14" t="b">
        <v>0</v>
      </c>
      <c r="R339" s="14">
        <v>1</v>
      </c>
      <c r="S339" s="14" t="s">
        <v>77</v>
      </c>
      <c r="T339" s="14">
        <v>999</v>
      </c>
      <c r="U339" s="14" t="s">
        <v>214</v>
      </c>
      <c r="V339" s="14">
        <v>31643000</v>
      </c>
      <c r="X339" s="14" t="s">
        <v>204</v>
      </c>
      <c r="Y339" s="14" t="s">
        <v>215</v>
      </c>
      <c r="Z339" s="14">
        <v>20001</v>
      </c>
      <c r="AA339" s="14" t="s">
        <v>205</v>
      </c>
      <c r="AB339" s="14">
        <v>40001</v>
      </c>
      <c r="AE339" s="29" t="s">
        <v>121</v>
      </c>
      <c r="AF339" s="14" t="s">
        <v>213</v>
      </c>
      <c r="AG339" s="14" t="s">
        <v>89</v>
      </c>
    </row>
    <row r="340" spans="2:33">
      <c r="B340" s="14">
        <f>10000000+INDEX(编号表!$B:$B,MATCH(H340,编号表!$A:$A,0))*100000+INDEX(编号表!$F:$F,MATCH(D340,编号表!$E:$E,0))*10000+INDEX(编号表!$D:$D,MATCH(AG340,编号表!$C:$C,0))*1000+F340</f>
        <v>11643001</v>
      </c>
      <c r="C340" s="14" t="s">
        <v>500</v>
      </c>
      <c r="D340" s="14" t="s">
        <v>104</v>
      </c>
      <c r="E340" s="14" t="s">
        <v>89</v>
      </c>
      <c r="F340" s="14">
        <v>1</v>
      </c>
      <c r="G340" s="14">
        <v>60</v>
      </c>
      <c r="H340" s="31" t="s">
        <v>244</v>
      </c>
      <c r="I340" s="14" t="s">
        <v>75</v>
      </c>
      <c r="J340" s="14" t="s">
        <v>201</v>
      </c>
      <c r="K340" s="14">
        <v>1</v>
      </c>
      <c r="L340" s="14" t="s">
        <v>213</v>
      </c>
      <c r="N340" s="14">
        <v>0</v>
      </c>
      <c r="O340" s="14" t="b">
        <v>1</v>
      </c>
      <c r="Q340" s="14" t="b">
        <v>0</v>
      </c>
      <c r="R340" s="14">
        <v>1</v>
      </c>
      <c r="S340" s="14" t="s">
        <v>77</v>
      </c>
      <c r="T340" s="14">
        <v>999</v>
      </c>
      <c r="U340" s="14" t="s">
        <v>214</v>
      </c>
      <c r="V340" s="14">
        <v>31643001</v>
      </c>
      <c r="X340" s="14" t="s">
        <v>204</v>
      </c>
      <c r="Y340" s="14" t="s">
        <v>215</v>
      </c>
      <c r="Z340" s="14">
        <v>20001</v>
      </c>
      <c r="AA340" s="14" t="s">
        <v>205</v>
      </c>
      <c r="AB340" s="14">
        <v>40001</v>
      </c>
      <c r="AE340" s="29" t="s">
        <v>121</v>
      </c>
      <c r="AF340" s="14" t="s">
        <v>213</v>
      </c>
      <c r="AG340" s="14" t="s">
        <v>89</v>
      </c>
    </row>
    <row r="341" spans="2:33">
      <c r="B341" s="14">
        <f>10000000+INDEX(编号表!$B:$B,MATCH(H341,编号表!$A:$A,0))*100000+INDEX(编号表!$F:$F,MATCH(D341,编号表!$E:$E,0))*10000+INDEX(编号表!$D:$D,MATCH(AG341,编号表!$C:$C,0))*1000+F341</f>
        <v>11643002</v>
      </c>
      <c r="C341" s="14" t="s">
        <v>501</v>
      </c>
      <c r="D341" s="14" t="s">
        <v>104</v>
      </c>
      <c r="E341" s="14" t="s">
        <v>89</v>
      </c>
      <c r="F341" s="14">
        <v>2</v>
      </c>
      <c r="G341" s="14">
        <v>60</v>
      </c>
      <c r="H341" s="31" t="s">
        <v>244</v>
      </c>
      <c r="I341" s="14" t="s">
        <v>75</v>
      </c>
      <c r="J341" s="14" t="s">
        <v>201</v>
      </c>
      <c r="K341" s="14">
        <v>1</v>
      </c>
      <c r="L341" s="14" t="s">
        <v>213</v>
      </c>
      <c r="N341" s="14">
        <v>0</v>
      </c>
      <c r="O341" s="14" t="b">
        <v>1</v>
      </c>
      <c r="Q341" s="14" t="b">
        <v>0</v>
      </c>
      <c r="R341" s="14">
        <v>1</v>
      </c>
      <c r="S341" s="14" t="s">
        <v>77</v>
      </c>
      <c r="T341" s="14">
        <v>999</v>
      </c>
      <c r="U341" s="14" t="s">
        <v>214</v>
      </c>
      <c r="V341" s="14">
        <v>31643002</v>
      </c>
      <c r="X341" s="14" t="s">
        <v>204</v>
      </c>
      <c r="Y341" s="14" t="s">
        <v>215</v>
      </c>
      <c r="Z341" s="14">
        <v>20001</v>
      </c>
      <c r="AA341" s="14" t="s">
        <v>205</v>
      </c>
      <c r="AB341" s="14">
        <v>40001</v>
      </c>
      <c r="AE341" s="29" t="s">
        <v>121</v>
      </c>
      <c r="AF341" s="14" t="s">
        <v>213</v>
      </c>
      <c r="AG341" s="14" t="s">
        <v>89</v>
      </c>
    </row>
    <row r="342" spans="2:33">
      <c r="B342" s="14">
        <f>10000000+INDEX(编号表!$B:$B,MATCH(H342,编号表!$A:$A,0))*100000+INDEX(编号表!$F:$F,MATCH(D342,编号表!$E:$E,0))*10000+INDEX(编号表!$D:$D,MATCH(AG342,编号表!$C:$C,0))*1000+F342</f>
        <v>11253000</v>
      </c>
      <c r="C342" s="14" t="s">
        <v>502</v>
      </c>
      <c r="D342" s="14" t="s">
        <v>333</v>
      </c>
      <c r="E342" s="14" t="s">
        <v>89</v>
      </c>
      <c r="F342" s="14">
        <v>0</v>
      </c>
      <c r="G342" s="14">
        <v>60</v>
      </c>
      <c r="H342" s="31" t="s">
        <v>212</v>
      </c>
      <c r="I342" s="14" t="s">
        <v>75</v>
      </c>
      <c r="J342" s="14" t="s">
        <v>201</v>
      </c>
      <c r="K342" s="14">
        <v>1</v>
      </c>
      <c r="L342" s="14" t="s">
        <v>213</v>
      </c>
      <c r="N342" s="14">
        <v>0</v>
      </c>
      <c r="O342" s="14" t="b">
        <v>1</v>
      </c>
      <c r="Q342" s="14" t="b">
        <v>0</v>
      </c>
      <c r="R342" s="14">
        <v>1</v>
      </c>
      <c r="S342" s="14" t="s">
        <v>77</v>
      </c>
      <c r="T342" s="14">
        <v>999</v>
      </c>
      <c r="U342" s="14" t="s">
        <v>214</v>
      </c>
      <c r="V342" s="14">
        <v>31253000</v>
      </c>
      <c r="X342" s="14" t="s">
        <v>204</v>
      </c>
      <c r="Y342" s="14" t="s">
        <v>215</v>
      </c>
      <c r="Z342" s="14">
        <v>20001</v>
      </c>
      <c r="AA342" s="14" t="s">
        <v>205</v>
      </c>
      <c r="AB342" s="14">
        <v>40001</v>
      </c>
      <c r="AE342" s="29" t="s">
        <v>121</v>
      </c>
      <c r="AF342" s="14" t="s">
        <v>213</v>
      </c>
      <c r="AG342" s="14" t="s">
        <v>89</v>
      </c>
    </row>
    <row r="343" spans="2:33">
      <c r="B343" s="14">
        <f>10000000+INDEX(编号表!$B:$B,MATCH(H343,编号表!$A:$A,0))*100000+INDEX(编号表!$F:$F,MATCH(D343,编号表!$E:$E,0))*10000+INDEX(编号表!$D:$D,MATCH(AG343,编号表!$C:$C,0))*1000+F343</f>
        <v>11353000</v>
      </c>
      <c r="C343" s="14" t="s">
        <v>503</v>
      </c>
      <c r="D343" s="14" t="s">
        <v>333</v>
      </c>
      <c r="E343" s="14" t="s">
        <v>89</v>
      </c>
      <c r="F343" s="14">
        <v>0</v>
      </c>
      <c r="G343" s="14">
        <v>60</v>
      </c>
      <c r="H343" s="31" t="s">
        <v>217</v>
      </c>
      <c r="I343" s="14" t="s">
        <v>75</v>
      </c>
      <c r="J343" s="14" t="s">
        <v>201</v>
      </c>
      <c r="K343" s="14">
        <v>1</v>
      </c>
      <c r="L343" s="14" t="s">
        <v>213</v>
      </c>
      <c r="N343" s="14">
        <v>0</v>
      </c>
      <c r="O343" s="14" t="b">
        <v>1</v>
      </c>
      <c r="Q343" s="14" t="b">
        <v>0</v>
      </c>
      <c r="R343" s="14">
        <v>1</v>
      </c>
      <c r="S343" s="14" t="s">
        <v>77</v>
      </c>
      <c r="T343" s="14">
        <v>999</v>
      </c>
      <c r="U343" s="14" t="s">
        <v>214</v>
      </c>
      <c r="V343" s="14">
        <v>31353000</v>
      </c>
      <c r="X343" s="14" t="s">
        <v>204</v>
      </c>
      <c r="Y343" s="14" t="s">
        <v>215</v>
      </c>
      <c r="Z343" s="14">
        <v>20001</v>
      </c>
      <c r="AA343" s="14" t="s">
        <v>205</v>
      </c>
      <c r="AB343" s="14">
        <v>40001</v>
      </c>
      <c r="AE343" s="29" t="s">
        <v>121</v>
      </c>
      <c r="AF343" s="14" t="s">
        <v>213</v>
      </c>
      <c r="AG343" s="14" t="s">
        <v>89</v>
      </c>
    </row>
    <row r="344" spans="2:33">
      <c r="B344" s="14">
        <f>10000000+INDEX(编号表!$B:$B,MATCH(H344,编号表!$A:$A,0))*100000+INDEX(编号表!$F:$F,MATCH(D344,编号表!$E:$E,0))*10000+INDEX(编号表!$D:$D,MATCH(AG344,编号表!$C:$C,0))*1000+F344</f>
        <v>11353001</v>
      </c>
      <c r="C344" s="14" t="s">
        <v>504</v>
      </c>
      <c r="D344" s="14" t="s">
        <v>333</v>
      </c>
      <c r="E344" s="14" t="s">
        <v>89</v>
      </c>
      <c r="F344" s="14">
        <v>1</v>
      </c>
      <c r="G344" s="14">
        <v>60</v>
      </c>
      <c r="H344" s="31" t="s">
        <v>217</v>
      </c>
      <c r="I344" s="14" t="s">
        <v>75</v>
      </c>
      <c r="J344" s="14" t="s">
        <v>201</v>
      </c>
      <c r="K344" s="14">
        <v>1</v>
      </c>
      <c r="L344" s="14" t="s">
        <v>213</v>
      </c>
      <c r="N344" s="14">
        <v>0</v>
      </c>
      <c r="O344" s="14" t="b">
        <v>1</v>
      </c>
      <c r="Q344" s="14" t="b">
        <v>0</v>
      </c>
      <c r="R344" s="14">
        <v>1</v>
      </c>
      <c r="S344" s="14" t="s">
        <v>77</v>
      </c>
      <c r="T344" s="14">
        <v>999</v>
      </c>
      <c r="U344" s="14" t="s">
        <v>214</v>
      </c>
      <c r="V344" s="14">
        <v>31353001</v>
      </c>
      <c r="X344" s="14" t="s">
        <v>204</v>
      </c>
      <c r="Y344" s="14" t="s">
        <v>215</v>
      </c>
      <c r="Z344" s="14">
        <v>20001</v>
      </c>
      <c r="AA344" s="14" t="s">
        <v>205</v>
      </c>
      <c r="AB344" s="14">
        <v>40001</v>
      </c>
      <c r="AE344" s="29" t="s">
        <v>121</v>
      </c>
      <c r="AF344" s="14" t="s">
        <v>213</v>
      </c>
      <c r="AG344" s="14" t="s">
        <v>89</v>
      </c>
    </row>
    <row r="345" spans="2:33">
      <c r="B345" s="14">
        <f>10000000+INDEX(编号表!$B:$B,MATCH(H345,编号表!$A:$A,0))*100000+INDEX(编号表!$F:$F,MATCH(D345,编号表!$E:$E,0))*10000+INDEX(编号表!$D:$D,MATCH(AG345,编号表!$C:$C,0))*1000+F345</f>
        <v>11353002</v>
      </c>
      <c r="C345" s="14" t="s">
        <v>505</v>
      </c>
      <c r="D345" s="14" t="s">
        <v>333</v>
      </c>
      <c r="E345" s="14" t="s">
        <v>89</v>
      </c>
      <c r="F345" s="14">
        <v>2</v>
      </c>
      <c r="G345" s="14">
        <v>60</v>
      </c>
      <c r="H345" s="31" t="s">
        <v>217</v>
      </c>
      <c r="I345" s="14" t="s">
        <v>75</v>
      </c>
      <c r="J345" s="14" t="s">
        <v>201</v>
      </c>
      <c r="K345" s="14">
        <v>1</v>
      </c>
      <c r="L345" s="14" t="s">
        <v>213</v>
      </c>
      <c r="N345" s="14">
        <v>0</v>
      </c>
      <c r="O345" s="14" t="b">
        <v>1</v>
      </c>
      <c r="Q345" s="14" t="b">
        <v>0</v>
      </c>
      <c r="R345" s="14">
        <v>1</v>
      </c>
      <c r="S345" s="14" t="s">
        <v>77</v>
      </c>
      <c r="T345" s="14">
        <v>999</v>
      </c>
      <c r="U345" s="14" t="s">
        <v>214</v>
      </c>
      <c r="V345" s="14">
        <v>31353002</v>
      </c>
      <c r="X345" s="14" t="s">
        <v>204</v>
      </c>
      <c r="Y345" s="14" t="s">
        <v>215</v>
      </c>
      <c r="Z345" s="14">
        <v>20001</v>
      </c>
      <c r="AA345" s="14" t="s">
        <v>205</v>
      </c>
      <c r="AB345" s="14">
        <v>40001</v>
      </c>
      <c r="AE345" s="29" t="s">
        <v>121</v>
      </c>
      <c r="AF345" s="14" t="s">
        <v>213</v>
      </c>
      <c r="AG345" s="14" t="s">
        <v>89</v>
      </c>
    </row>
    <row r="346" spans="2:33">
      <c r="B346" s="14">
        <f>10000000+INDEX(编号表!$B:$B,MATCH(H346,编号表!$A:$A,0))*100000+INDEX(编号表!$F:$F,MATCH(D346,编号表!$E:$E,0))*10000+INDEX(编号表!$D:$D,MATCH(AG346,编号表!$C:$C,0))*1000+F346</f>
        <v>11353003</v>
      </c>
      <c r="C346" s="14" t="s">
        <v>506</v>
      </c>
      <c r="D346" s="14" t="s">
        <v>333</v>
      </c>
      <c r="E346" s="14" t="s">
        <v>89</v>
      </c>
      <c r="F346" s="14">
        <v>3</v>
      </c>
      <c r="G346" s="14">
        <v>60</v>
      </c>
      <c r="H346" s="31" t="s">
        <v>217</v>
      </c>
      <c r="I346" s="14" t="s">
        <v>75</v>
      </c>
      <c r="J346" s="14" t="s">
        <v>201</v>
      </c>
      <c r="K346" s="14">
        <v>1</v>
      </c>
      <c r="L346" s="14" t="s">
        <v>213</v>
      </c>
      <c r="N346" s="14">
        <v>0</v>
      </c>
      <c r="O346" s="14" t="b">
        <v>1</v>
      </c>
      <c r="Q346" s="14" t="b">
        <v>0</v>
      </c>
      <c r="R346" s="14">
        <v>1</v>
      </c>
      <c r="S346" s="14" t="s">
        <v>77</v>
      </c>
      <c r="T346" s="14">
        <v>999</v>
      </c>
      <c r="U346" s="14" t="s">
        <v>214</v>
      </c>
      <c r="V346" s="14">
        <v>31353003</v>
      </c>
      <c r="X346" s="14" t="s">
        <v>204</v>
      </c>
      <c r="Y346" s="14" t="s">
        <v>215</v>
      </c>
      <c r="Z346" s="14">
        <v>20001</v>
      </c>
      <c r="AA346" s="14" t="s">
        <v>205</v>
      </c>
      <c r="AB346" s="14">
        <v>40001</v>
      </c>
      <c r="AE346" s="29" t="s">
        <v>121</v>
      </c>
      <c r="AF346" s="14" t="s">
        <v>213</v>
      </c>
      <c r="AG346" s="14" t="s">
        <v>89</v>
      </c>
    </row>
    <row r="347" spans="2:33">
      <c r="B347" s="14">
        <f>10000000+INDEX(编号表!$B:$B,MATCH(H347,编号表!$A:$A,0))*100000+INDEX(编号表!$F:$F,MATCH(D347,编号表!$E:$E,0))*10000+INDEX(编号表!$D:$D,MATCH(AG347,编号表!$C:$C,0))*1000+F347</f>
        <v>11353004</v>
      </c>
      <c r="C347" s="14" t="s">
        <v>507</v>
      </c>
      <c r="D347" s="14" t="s">
        <v>333</v>
      </c>
      <c r="E347" s="14" t="s">
        <v>89</v>
      </c>
      <c r="F347" s="14">
        <v>4</v>
      </c>
      <c r="G347" s="14">
        <v>60</v>
      </c>
      <c r="H347" s="31" t="s">
        <v>217</v>
      </c>
      <c r="I347" s="14" t="s">
        <v>75</v>
      </c>
      <c r="J347" s="14" t="s">
        <v>201</v>
      </c>
      <c r="K347" s="14">
        <v>1</v>
      </c>
      <c r="L347" s="14" t="s">
        <v>213</v>
      </c>
      <c r="N347" s="14">
        <v>0</v>
      </c>
      <c r="O347" s="14" t="b">
        <v>1</v>
      </c>
      <c r="Q347" s="14" t="b">
        <v>0</v>
      </c>
      <c r="R347" s="14">
        <v>1</v>
      </c>
      <c r="S347" s="14" t="s">
        <v>77</v>
      </c>
      <c r="T347" s="14">
        <v>999</v>
      </c>
      <c r="U347" s="14" t="s">
        <v>214</v>
      </c>
      <c r="V347" s="14">
        <v>31353004</v>
      </c>
      <c r="X347" s="14" t="s">
        <v>204</v>
      </c>
      <c r="Y347" s="14" t="s">
        <v>215</v>
      </c>
      <c r="Z347" s="14">
        <v>20001</v>
      </c>
      <c r="AA347" s="14" t="s">
        <v>205</v>
      </c>
      <c r="AB347" s="14">
        <v>40001</v>
      </c>
      <c r="AE347" s="29" t="s">
        <v>121</v>
      </c>
      <c r="AF347" s="14" t="s">
        <v>213</v>
      </c>
      <c r="AG347" s="14" t="s">
        <v>89</v>
      </c>
    </row>
    <row r="348" spans="2:33">
      <c r="B348" s="14">
        <f>10000000+INDEX(编号表!$B:$B,MATCH(H348,编号表!$A:$A,0))*100000+INDEX(编号表!$F:$F,MATCH(D348,编号表!$E:$E,0))*10000+INDEX(编号表!$D:$D,MATCH(AG348,编号表!$C:$C,0))*1000+F348</f>
        <v>11353005</v>
      </c>
      <c r="C348" s="14" t="s">
        <v>508</v>
      </c>
      <c r="D348" s="14" t="s">
        <v>333</v>
      </c>
      <c r="E348" s="14" t="s">
        <v>89</v>
      </c>
      <c r="F348" s="14">
        <v>5</v>
      </c>
      <c r="G348" s="14">
        <v>60</v>
      </c>
      <c r="H348" s="31" t="s">
        <v>217</v>
      </c>
      <c r="I348" s="14" t="s">
        <v>75</v>
      </c>
      <c r="J348" s="14" t="s">
        <v>201</v>
      </c>
      <c r="K348" s="14">
        <v>1</v>
      </c>
      <c r="L348" s="14" t="s">
        <v>213</v>
      </c>
      <c r="N348" s="14">
        <v>0</v>
      </c>
      <c r="O348" s="14" t="b">
        <v>1</v>
      </c>
      <c r="Q348" s="14" t="b">
        <v>0</v>
      </c>
      <c r="R348" s="14">
        <v>1</v>
      </c>
      <c r="S348" s="14" t="s">
        <v>77</v>
      </c>
      <c r="T348" s="14">
        <v>999</v>
      </c>
      <c r="U348" s="14" t="s">
        <v>214</v>
      </c>
      <c r="V348" s="14">
        <v>31353005</v>
      </c>
      <c r="X348" s="14" t="s">
        <v>204</v>
      </c>
      <c r="Y348" s="14" t="s">
        <v>215</v>
      </c>
      <c r="Z348" s="14">
        <v>20001</v>
      </c>
      <c r="AA348" s="14" t="s">
        <v>205</v>
      </c>
      <c r="AB348" s="14">
        <v>40001</v>
      </c>
      <c r="AE348" s="29" t="s">
        <v>121</v>
      </c>
      <c r="AF348" s="14" t="s">
        <v>213</v>
      </c>
      <c r="AG348" s="14" t="s">
        <v>89</v>
      </c>
    </row>
    <row r="349" spans="2:33">
      <c r="B349" s="14">
        <f>10000000+INDEX(编号表!$B:$B,MATCH(H349,编号表!$A:$A,0))*100000+INDEX(编号表!$F:$F,MATCH(D349,编号表!$E:$E,0))*10000+INDEX(编号表!$D:$D,MATCH(AG349,编号表!$C:$C,0))*1000+F349</f>
        <v>11353006</v>
      </c>
      <c r="C349" s="14" t="s">
        <v>509</v>
      </c>
      <c r="D349" s="14" t="s">
        <v>333</v>
      </c>
      <c r="E349" s="14" t="s">
        <v>89</v>
      </c>
      <c r="F349" s="14">
        <v>6</v>
      </c>
      <c r="G349" s="14">
        <v>60</v>
      </c>
      <c r="H349" s="31" t="s">
        <v>217</v>
      </c>
      <c r="I349" s="14" t="s">
        <v>75</v>
      </c>
      <c r="J349" s="14" t="s">
        <v>201</v>
      </c>
      <c r="K349" s="14">
        <v>1</v>
      </c>
      <c r="L349" s="14" t="s">
        <v>213</v>
      </c>
      <c r="N349" s="14">
        <v>0</v>
      </c>
      <c r="O349" s="14" t="b">
        <v>1</v>
      </c>
      <c r="Q349" s="14" t="b">
        <v>0</v>
      </c>
      <c r="R349" s="14">
        <v>1</v>
      </c>
      <c r="S349" s="14" t="s">
        <v>77</v>
      </c>
      <c r="T349" s="14">
        <v>999</v>
      </c>
      <c r="U349" s="14" t="s">
        <v>214</v>
      </c>
      <c r="V349" s="14">
        <v>31353006</v>
      </c>
      <c r="X349" s="14" t="s">
        <v>204</v>
      </c>
      <c r="Y349" s="14" t="s">
        <v>215</v>
      </c>
      <c r="Z349" s="14">
        <v>20001</v>
      </c>
      <c r="AA349" s="14" t="s">
        <v>205</v>
      </c>
      <c r="AB349" s="14">
        <v>40001</v>
      </c>
      <c r="AE349" s="29" t="s">
        <v>121</v>
      </c>
      <c r="AF349" s="14" t="s">
        <v>213</v>
      </c>
      <c r="AG349" s="14" t="s">
        <v>89</v>
      </c>
    </row>
    <row r="350" spans="2:33">
      <c r="B350" s="14">
        <f>10000000+INDEX(编号表!$B:$B,MATCH(H350,编号表!$A:$A,0))*100000+INDEX(编号表!$F:$F,MATCH(D350,编号表!$E:$E,0))*10000+INDEX(编号表!$D:$D,MATCH(AG350,编号表!$C:$C,0))*1000+F350</f>
        <v>11353007</v>
      </c>
      <c r="C350" s="14" t="s">
        <v>510</v>
      </c>
      <c r="D350" s="14" t="s">
        <v>333</v>
      </c>
      <c r="E350" s="14" t="s">
        <v>89</v>
      </c>
      <c r="F350" s="14">
        <v>7</v>
      </c>
      <c r="G350" s="14">
        <v>60</v>
      </c>
      <c r="H350" s="31" t="s">
        <v>217</v>
      </c>
      <c r="I350" s="14" t="s">
        <v>75</v>
      </c>
      <c r="J350" s="14" t="s">
        <v>201</v>
      </c>
      <c r="K350" s="14">
        <v>1</v>
      </c>
      <c r="L350" s="14" t="s">
        <v>213</v>
      </c>
      <c r="N350" s="14">
        <v>0</v>
      </c>
      <c r="O350" s="14" t="b">
        <v>1</v>
      </c>
      <c r="Q350" s="14" t="b">
        <v>0</v>
      </c>
      <c r="R350" s="14">
        <v>1</v>
      </c>
      <c r="S350" s="14" t="s">
        <v>77</v>
      </c>
      <c r="T350" s="14">
        <v>999</v>
      </c>
      <c r="U350" s="14" t="s">
        <v>214</v>
      </c>
      <c r="V350" s="14">
        <v>31353007</v>
      </c>
      <c r="X350" s="14" t="s">
        <v>204</v>
      </c>
      <c r="Y350" s="14" t="s">
        <v>215</v>
      </c>
      <c r="Z350" s="14">
        <v>20001</v>
      </c>
      <c r="AA350" s="14" t="s">
        <v>205</v>
      </c>
      <c r="AB350" s="14">
        <v>40001</v>
      </c>
      <c r="AE350" s="29" t="s">
        <v>121</v>
      </c>
      <c r="AF350" s="14" t="s">
        <v>213</v>
      </c>
      <c r="AG350" s="14" t="s">
        <v>89</v>
      </c>
    </row>
    <row r="351" spans="2:33">
      <c r="B351" s="14">
        <f>10000000+INDEX(编号表!$B:$B,MATCH(H351,编号表!$A:$A,0))*100000+INDEX(编号表!$F:$F,MATCH(D351,编号表!$E:$E,0))*10000+INDEX(编号表!$D:$D,MATCH(AG351,编号表!$C:$C,0))*1000+F351</f>
        <v>11353008</v>
      </c>
      <c r="C351" s="14" t="s">
        <v>511</v>
      </c>
      <c r="D351" s="14" t="s">
        <v>333</v>
      </c>
      <c r="E351" s="14" t="s">
        <v>89</v>
      </c>
      <c r="F351" s="14">
        <v>8</v>
      </c>
      <c r="G351" s="14">
        <v>60</v>
      </c>
      <c r="H351" s="31" t="s">
        <v>217</v>
      </c>
      <c r="I351" s="14" t="s">
        <v>75</v>
      </c>
      <c r="J351" s="14" t="s">
        <v>201</v>
      </c>
      <c r="K351" s="14">
        <v>1</v>
      </c>
      <c r="L351" s="14" t="s">
        <v>213</v>
      </c>
      <c r="N351" s="14">
        <v>0</v>
      </c>
      <c r="O351" s="14" t="b">
        <v>1</v>
      </c>
      <c r="Q351" s="14" t="b">
        <v>0</v>
      </c>
      <c r="R351" s="14">
        <v>1</v>
      </c>
      <c r="S351" s="14" t="s">
        <v>77</v>
      </c>
      <c r="T351" s="14">
        <v>999</v>
      </c>
      <c r="U351" s="14" t="s">
        <v>214</v>
      </c>
      <c r="V351" s="14">
        <v>31353008</v>
      </c>
      <c r="X351" s="14" t="s">
        <v>204</v>
      </c>
      <c r="Y351" s="14" t="s">
        <v>215</v>
      </c>
      <c r="Z351" s="14">
        <v>20001</v>
      </c>
      <c r="AA351" s="14" t="s">
        <v>205</v>
      </c>
      <c r="AB351" s="14">
        <v>40001</v>
      </c>
      <c r="AE351" s="29" t="s">
        <v>121</v>
      </c>
      <c r="AF351" s="14" t="s">
        <v>213</v>
      </c>
      <c r="AG351" s="14" t="s">
        <v>89</v>
      </c>
    </row>
    <row r="352" spans="2:33">
      <c r="B352" s="14">
        <f>10000000+INDEX(编号表!$B:$B,MATCH(H352,编号表!$A:$A,0))*100000+INDEX(编号表!$F:$F,MATCH(D352,编号表!$E:$E,0))*10000+INDEX(编号表!$D:$D,MATCH(AG352,编号表!$C:$C,0))*1000+F352</f>
        <v>11353009</v>
      </c>
      <c r="C352" s="14" t="s">
        <v>512</v>
      </c>
      <c r="D352" s="14" t="s">
        <v>333</v>
      </c>
      <c r="E352" s="14" t="s">
        <v>89</v>
      </c>
      <c r="F352" s="14">
        <v>9</v>
      </c>
      <c r="G352" s="14">
        <v>60</v>
      </c>
      <c r="H352" s="31" t="s">
        <v>217</v>
      </c>
      <c r="I352" s="14" t="s">
        <v>75</v>
      </c>
      <c r="J352" s="14" t="s">
        <v>201</v>
      </c>
      <c r="K352" s="14">
        <v>1</v>
      </c>
      <c r="L352" s="14" t="s">
        <v>213</v>
      </c>
      <c r="N352" s="14">
        <v>0</v>
      </c>
      <c r="O352" s="14" t="b">
        <v>1</v>
      </c>
      <c r="Q352" s="14" t="b">
        <v>0</v>
      </c>
      <c r="R352" s="14">
        <v>1</v>
      </c>
      <c r="S352" s="14" t="s">
        <v>77</v>
      </c>
      <c r="T352" s="14">
        <v>999</v>
      </c>
      <c r="U352" s="14" t="s">
        <v>214</v>
      </c>
      <c r="V352" s="14">
        <v>31353009</v>
      </c>
      <c r="X352" s="14" t="s">
        <v>204</v>
      </c>
      <c r="Y352" s="14" t="s">
        <v>215</v>
      </c>
      <c r="Z352" s="14">
        <v>20001</v>
      </c>
      <c r="AA352" s="14" t="s">
        <v>205</v>
      </c>
      <c r="AB352" s="14">
        <v>40001</v>
      </c>
      <c r="AE352" s="29" t="s">
        <v>121</v>
      </c>
      <c r="AF352" s="14" t="s">
        <v>213</v>
      </c>
      <c r="AG352" s="14" t="s">
        <v>89</v>
      </c>
    </row>
    <row r="353" spans="2:33">
      <c r="B353" s="14">
        <f>10000000+INDEX(编号表!$B:$B,MATCH(H353,编号表!$A:$A,0))*100000+INDEX(编号表!$F:$F,MATCH(D353,编号表!$E:$E,0))*10000+INDEX(编号表!$D:$D,MATCH(AG353,编号表!$C:$C,0))*1000+F353</f>
        <v>11553000</v>
      </c>
      <c r="C353" s="14" t="s">
        <v>513</v>
      </c>
      <c r="D353" s="14" t="s">
        <v>333</v>
      </c>
      <c r="E353" s="14" t="s">
        <v>89</v>
      </c>
      <c r="F353" s="14">
        <v>0</v>
      </c>
      <c r="G353" s="14">
        <v>60</v>
      </c>
      <c r="H353" s="31" t="s">
        <v>228</v>
      </c>
      <c r="I353" s="14" t="s">
        <v>75</v>
      </c>
      <c r="J353" s="14" t="s">
        <v>201</v>
      </c>
      <c r="K353" s="14">
        <v>1</v>
      </c>
      <c r="L353" s="14" t="s">
        <v>213</v>
      </c>
      <c r="N353" s="14">
        <v>0</v>
      </c>
      <c r="O353" s="14" t="b">
        <v>1</v>
      </c>
      <c r="Q353" s="14" t="b">
        <v>0</v>
      </c>
      <c r="R353" s="14">
        <v>1</v>
      </c>
      <c r="S353" s="14" t="s">
        <v>77</v>
      </c>
      <c r="T353" s="14">
        <v>999</v>
      </c>
      <c r="U353" s="14" t="s">
        <v>214</v>
      </c>
      <c r="V353" s="14">
        <v>31553000</v>
      </c>
      <c r="X353" s="14" t="s">
        <v>204</v>
      </c>
      <c r="Y353" s="14" t="s">
        <v>215</v>
      </c>
      <c r="Z353" s="14">
        <v>20001</v>
      </c>
      <c r="AA353" s="14" t="s">
        <v>205</v>
      </c>
      <c r="AB353" s="14">
        <v>40001</v>
      </c>
      <c r="AE353" s="29" t="s">
        <v>121</v>
      </c>
      <c r="AF353" s="14" t="s">
        <v>213</v>
      </c>
      <c r="AG353" s="14" t="s">
        <v>89</v>
      </c>
    </row>
    <row r="354" spans="2:33">
      <c r="B354" s="14">
        <f>10000000+INDEX(编号表!$B:$B,MATCH(H354,编号表!$A:$A,0))*100000+INDEX(编号表!$F:$F,MATCH(D354,编号表!$E:$E,0))*10000+INDEX(编号表!$D:$D,MATCH(AG354,编号表!$C:$C,0))*1000+F354</f>
        <v>11553001</v>
      </c>
      <c r="C354" s="14" t="s">
        <v>514</v>
      </c>
      <c r="D354" s="14" t="s">
        <v>333</v>
      </c>
      <c r="E354" s="14" t="s">
        <v>89</v>
      </c>
      <c r="F354" s="14">
        <v>1</v>
      </c>
      <c r="G354" s="14">
        <v>60</v>
      </c>
      <c r="H354" s="31" t="s">
        <v>228</v>
      </c>
      <c r="I354" s="14" t="s">
        <v>75</v>
      </c>
      <c r="J354" s="14" t="s">
        <v>201</v>
      </c>
      <c r="K354" s="14">
        <v>1</v>
      </c>
      <c r="L354" s="14" t="s">
        <v>213</v>
      </c>
      <c r="N354" s="14">
        <v>0</v>
      </c>
      <c r="O354" s="14" t="b">
        <v>1</v>
      </c>
      <c r="Q354" s="14" t="b">
        <v>0</v>
      </c>
      <c r="R354" s="14">
        <v>1</v>
      </c>
      <c r="S354" s="14" t="s">
        <v>77</v>
      </c>
      <c r="T354" s="14">
        <v>999</v>
      </c>
      <c r="U354" s="14" t="s">
        <v>214</v>
      </c>
      <c r="V354" s="14">
        <v>31553001</v>
      </c>
      <c r="X354" s="14" t="s">
        <v>204</v>
      </c>
      <c r="Y354" s="14" t="s">
        <v>215</v>
      </c>
      <c r="Z354" s="14">
        <v>20001</v>
      </c>
      <c r="AA354" s="14" t="s">
        <v>205</v>
      </c>
      <c r="AB354" s="14">
        <v>40001</v>
      </c>
      <c r="AE354" s="29" t="s">
        <v>121</v>
      </c>
      <c r="AF354" s="14" t="s">
        <v>213</v>
      </c>
      <c r="AG354" s="14" t="s">
        <v>89</v>
      </c>
    </row>
    <row r="355" spans="2:33">
      <c r="B355" s="14">
        <f>10000000+INDEX(编号表!$B:$B,MATCH(H355,编号表!$A:$A,0))*100000+INDEX(编号表!$F:$F,MATCH(D355,编号表!$E:$E,0))*10000+INDEX(编号表!$D:$D,MATCH(AG355,编号表!$C:$C,0))*1000+F355</f>
        <v>11553002</v>
      </c>
      <c r="C355" s="14" t="s">
        <v>515</v>
      </c>
      <c r="D355" s="14" t="s">
        <v>333</v>
      </c>
      <c r="E355" s="14" t="s">
        <v>89</v>
      </c>
      <c r="F355" s="14">
        <v>2</v>
      </c>
      <c r="G355" s="14">
        <v>60</v>
      </c>
      <c r="H355" s="31" t="s">
        <v>228</v>
      </c>
      <c r="I355" s="14" t="s">
        <v>75</v>
      </c>
      <c r="J355" s="14" t="s">
        <v>201</v>
      </c>
      <c r="K355" s="14">
        <v>1</v>
      </c>
      <c r="L355" s="14" t="s">
        <v>213</v>
      </c>
      <c r="N355" s="14">
        <v>0</v>
      </c>
      <c r="O355" s="14" t="b">
        <v>1</v>
      </c>
      <c r="Q355" s="14" t="b">
        <v>0</v>
      </c>
      <c r="R355" s="14">
        <v>1</v>
      </c>
      <c r="S355" s="14" t="s">
        <v>77</v>
      </c>
      <c r="T355" s="14">
        <v>999</v>
      </c>
      <c r="U355" s="14" t="s">
        <v>214</v>
      </c>
      <c r="V355" s="14">
        <v>31553002</v>
      </c>
      <c r="X355" s="14" t="s">
        <v>204</v>
      </c>
      <c r="Y355" s="14" t="s">
        <v>215</v>
      </c>
      <c r="Z355" s="14">
        <v>20001</v>
      </c>
      <c r="AA355" s="14" t="s">
        <v>205</v>
      </c>
      <c r="AB355" s="14">
        <v>40001</v>
      </c>
      <c r="AE355" s="29" t="s">
        <v>121</v>
      </c>
      <c r="AF355" s="14" t="s">
        <v>213</v>
      </c>
      <c r="AG355" s="14" t="s">
        <v>89</v>
      </c>
    </row>
    <row r="356" spans="2:33">
      <c r="B356" s="14">
        <f>10000000+INDEX(编号表!$B:$B,MATCH(H356,编号表!$A:$A,0))*100000+INDEX(编号表!$F:$F,MATCH(D356,编号表!$E:$E,0))*10000+INDEX(编号表!$D:$D,MATCH(AG356,编号表!$C:$C,0))*1000+F356</f>
        <v>11553003</v>
      </c>
      <c r="C356" s="14" t="s">
        <v>516</v>
      </c>
      <c r="D356" s="14" t="s">
        <v>333</v>
      </c>
      <c r="E356" s="14" t="s">
        <v>89</v>
      </c>
      <c r="F356" s="14">
        <v>3</v>
      </c>
      <c r="G356" s="14">
        <v>60</v>
      </c>
      <c r="H356" s="31" t="s">
        <v>228</v>
      </c>
      <c r="I356" s="14" t="s">
        <v>75</v>
      </c>
      <c r="J356" s="14" t="s">
        <v>201</v>
      </c>
      <c r="K356" s="14">
        <v>1</v>
      </c>
      <c r="L356" s="14" t="s">
        <v>213</v>
      </c>
      <c r="N356" s="14">
        <v>0</v>
      </c>
      <c r="O356" s="14" t="b">
        <v>1</v>
      </c>
      <c r="Q356" s="14" t="b">
        <v>0</v>
      </c>
      <c r="R356" s="14">
        <v>1</v>
      </c>
      <c r="S356" s="14" t="s">
        <v>77</v>
      </c>
      <c r="T356" s="14">
        <v>999</v>
      </c>
      <c r="U356" s="14" t="s">
        <v>214</v>
      </c>
      <c r="V356" s="14">
        <v>31553003</v>
      </c>
      <c r="X356" s="14" t="s">
        <v>204</v>
      </c>
      <c r="Y356" s="14" t="s">
        <v>215</v>
      </c>
      <c r="Z356" s="14">
        <v>20001</v>
      </c>
      <c r="AA356" s="14" t="s">
        <v>205</v>
      </c>
      <c r="AB356" s="14">
        <v>40001</v>
      </c>
      <c r="AE356" s="29" t="s">
        <v>121</v>
      </c>
      <c r="AF356" s="14" t="s">
        <v>213</v>
      </c>
      <c r="AG356" s="14" t="s">
        <v>89</v>
      </c>
    </row>
    <row r="357" spans="2:33">
      <c r="B357" s="14">
        <f>10000000+INDEX(编号表!$B:$B,MATCH(H357,编号表!$A:$A,0))*100000+INDEX(编号表!$F:$F,MATCH(D357,编号表!$E:$E,0))*10000+INDEX(编号表!$D:$D,MATCH(AG357,编号表!$C:$C,0))*1000+F357</f>
        <v>11553004</v>
      </c>
      <c r="C357" s="14" t="s">
        <v>517</v>
      </c>
      <c r="D357" s="14" t="s">
        <v>333</v>
      </c>
      <c r="E357" s="14" t="s">
        <v>89</v>
      </c>
      <c r="F357" s="14">
        <v>4</v>
      </c>
      <c r="G357" s="14">
        <v>60</v>
      </c>
      <c r="H357" s="31" t="s">
        <v>228</v>
      </c>
      <c r="I357" s="14" t="s">
        <v>75</v>
      </c>
      <c r="J357" s="14" t="s">
        <v>201</v>
      </c>
      <c r="K357" s="14">
        <v>1</v>
      </c>
      <c r="L357" s="14" t="s">
        <v>213</v>
      </c>
      <c r="N357" s="14">
        <v>0</v>
      </c>
      <c r="O357" s="14" t="b">
        <v>1</v>
      </c>
      <c r="Q357" s="14" t="b">
        <v>0</v>
      </c>
      <c r="R357" s="14">
        <v>1</v>
      </c>
      <c r="S357" s="14" t="s">
        <v>77</v>
      </c>
      <c r="T357" s="14">
        <v>999</v>
      </c>
      <c r="U357" s="14" t="s">
        <v>214</v>
      </c>
      <c r="V357" s="14">
        <v>31553004</v>
      </c>
      <c r="X357" s="14" t="s">
        <v>204</v>
      </c>
      <c r="Y357" s="14" t="s">
        <v>215</v>
      </c>
      <c r="Z357" s="14">
        <v>20001</v>
      </c>
      <c r="AA357" s="14" t="s">
        <v>205</v>
      </c>
      <c r="AB357" s="14">
        <v>40001</v>
      </c>
      <c r="AE357" s="29" t="s">
        <v>121</v>
      </c>
      <c r="AF357" s="14" t="s">
        <v>213</v>
      </c>
      <c r="AG357" s="14" t="s">
        <v>89</v>
      </c>
    </row>
    <row r="358" spans="2:33">
      <c r="B358" s="14">
        <f>10000000+INDEX(编号表!$B:$B,MATCH(H358,编号表!$A:$A,0))*100000+INDEX(编号表!$F:$F,MATCH(D358,编号表!$E:$E,0))*10000+INDEX(编号表!$D:$D,MATCH(AG358,编号表!$C:$C,0))*1000+F358</f>
        <v>11553005</v>
      </c>
      <c r="C358" s="14" t="s">
        <v>518</v>
      </c>
      <c r="D358" s="14" t="s">
        <v>333</v>
      </c>
      <c r="E358" s="14" t="s">
        <v>89</v>
      </c>
      <c r="F358" s="14">
        <v>5</v>
      </c>
      <c r="G358" s="14">
        <v>60</v>
      </c>
      <c r="H358" s="31" t="s">
        <v>228</v>
      </c>
      <c r="I358" s="14" t="s">
        <v>75</v>
      </c>
      <c r="J358" s="14" t="s">
        <v>201</v>
      </c>
      <c r="K358" s="14">
        <v>1</v>
      </c>
      <c r="L358" s="14" t="s">
        <v>213</v>
      </c>
      <c r="N358" s="14">
        <v>0</v>
      </c>
      <c r="O358" s="14" t="b">
        <v>1</v>
      </c>
      <c r="Q358" s="14" t="b">
        <v>0</v>
      </c>
      <c r="R358" s="14">
        <v>1</v>
      </c>
      <c r="S358" s="14" t="s">
        <v>77</v>
      </c>
      <c r="T358" s="14">
        <v>999</v>
      </c>
      <c r="U358" s="14" t="s">
        <v>214</v>
      </c>
      <c r="V358" s="14">
        <v>31553005</v>
      </c>
      <c r="X358" s="14" t="s">
        <v>204</v>
      </c>
      <c r="Y358" s="14" t="s">
        <v>215</v>
      </c>
      <c r="Z358" s="14">
        <v>20001</v>
      </c>
      <c r="AA358" s="14" t="s">
        <v>205</v>
      </c>
      <c r="AB358" s="14">
        <v>40001</v>
      </c>
      <c r="AE358" s="29" t="s">
        <v>121</v>
      </c>
      <c r="AF358" s="14" t="s">
        <v>213</v>
      </c>
      <c r="AG358" s="14" t="s">
        <v>89</v>
      </c>
    </row>
    <row r="359" spans="2:33">
      <c r="B359" s="14">
        <f>10000000+INDEX(编号表!$B:$B,MATCH(H359,编号表!$A:$A,0))*100000+INDEX(编号表!$F:$F,MATCH(D359,编号表!$E:$E,0))*10000+INDEX(编号表!$D:$D,MATCH(AG359,编号表!$C:$C,0))*1000+F359</f>
        <v>11553006</v>
      </c>
      <c r="C359" s="14" t="s">
        <v>519</v>
      </c>
      <c r="D359" s="14" t="s">
        <v>333</v>
      </c>
      <c r="E359" s="14" t="s">
        <v>89</v>
      </c>
      <c r="F359" s="14">
        <v>6</v>
      </c>
      <c r="G359" s="14">
        <v>60</v>
      </c>
      <c r="H359" s="31" t="s">
        <v>228</v>
      </c>
      <c r="I359" s="14" t="s">
        <v>75</v>
      </c>
      <c r="J359" s="14" t="s">
        <v>201</v>
      </c>
      <c r="K359" s="14">
        <v>1</v>
      </c>
      <c r="L359" s="14" t="s">
        <v>213</v>
      </c>
      <c r="N359" s="14">
        <v>0</v>
      </c>
      <c r="O359" s="14" t="b">
        <v>1</v>
      </c>
      <c r="Q359" s="14" t="b">
        <v>0</v>
      </c>
      <c r="R359" s="14">
        <v>1</v>
      </c>
      <c r="S359" s="14" t="s">
        <v>77</v>
      </c>
      <c r="T359" s="14">
        <v>999</v>
      </c>
      <c r="U359" s="14" t="s">
        <v>214</v>
      </c>
      <c r="V359" s="14">
        <v>31553006</v>
      </c>
      <c r="X359" s="14" t="s">
        <v>204</v>
      </c>
      <c r="Y359" s="14" t="s">
        <v>215</v>
      </c>
      <c r="Z359" s="14">
        <v>20001</v>
      </c>
      <c r="AA359" s="14" t="s">
        <v>205</v>
      </c>
      <c r="AB359" s="14">
        <v>40001</v>
      </c>
      <c r="AE359" s="29" t="s">
        <v>121</v>
      </c>
      <c r="AF359" s="14" t="s">
        <v>213</v>
      </c>
      <c r="AG359" s="14" t="s">
        <v>89</v>
      </c>
    </row>
    <row r="360" spans="2:33">
      <c r="B360" s="14">
        <f>10000000+INDEX(编号表!$B:$B,MATCH(H360,编号表!$A:$A,0))*100000+INDEX(编号表!$F:$F,MATCH(D360,编号表!$E:$E,0))*10000+INDEX(编号表!$D:$D,MATCH(AG360,编号表!$C:$C,0))*1000+F360</f>
        <v>11553007</v>
      </c>
      <c r="C360" s="14" t="s">
        <v>520</v>
      </c>
      <c r="D360" s="14" t="s">
        <v>333</v>
      </c>
      <c r="E360" s="14" t="s">
        <v>89</v>
      </c>
      <c r="F360" s="14">
        <v>7</v>
      </c>
      <c r="G360" s="14">
        <v>60</v>
      </c>
      <c r="H360" s="31" t="s">
        <v>228</v>
      </c>
      <c r="I360" s="14" t="s">
        <v>75</v>
      </c>
      <c r="J360" s="14" t="s">
        <v>201</v>
      </c>
      <c r="K360" s="14">
        <v>1</v>
      </c>
      <c r="L360" s="14" t="s">
        <v>213</v>
      </c>
      <c r="N360" s="14">
        <v>0</v>
      </c>
      <c r="O360" s="14" t="b">
        <v>1</v>
      </c>
      <c r="Q360" s="14" t="b">
        <v>0</v>
      </c>
      <c r="R360" s="14">
        <v>1</v>
      </c>
      <c r="S360" s="14" t="s">
        <v>77</v>
      </c>
      <c r="T360" s="14">
        <v>999</v>
      </c>
      <c r="U360" s="14" t="s">
        <v>214</v>
      </c>
      <c r="V360" s="14">
        <v>31553007</v>
      </c>
      <c r="X360" s="14" t="s">
        <v>204</v>
      </c>
      <c r="Y360" s="14" t="s">
        <v>215</v>
      </c>
      <c r="Z360" s="14">
        <v>20001</v>
      </c>
      <c r="AA360" s="14" t="s">
        <v>205</v>
      </c>
      <c r="AB360" s="14">
        <v>40001</v>
      </c>
      <c r="AE360" s="29" t="s">
        <v>121</v>
      </c>
      <c r="AF360" s="14" t="s">
        <v>213</v>
      </c>
      <c r="AG360" s="14" t="s">
        <v>89</v>
      </c>
    </row>
    <row r="361" spans="2:33">
      <c r="B361" s="14">
        <f>10000000+INDEX(编号表!$B:$B,MATCH(H361,编号表!$A:$A,0))*100000+INDEX(编号表!$F:$F,MATCH(D361,编号表!$E:$E,0))*10000+INDEX(编号表!$D:$D,MATCH(AG361,编号表!$C:$C,0))*1000+F361</f>
        <v>11553008</v>
      </c>
      <c r="C361" s="14" t="s">
        <v>521</v>
      </c>
      <c r="D361" s="14" t="s">
        <v>333</v>
      </c>
      <c r="E361" s="14" t="s">
        <v>89</v>
      </c>
      <c r="F361" s="14">
        <v>8</v>
      </c>
      <c r="G361" s="14">
        <v>60</v>
      </c>
      <c r="H361" s="31" t="s">
        <v>228</v>
      </c>
      <c r="I361" s="14" t="s">
        <v>75</v>
      </c>
      <c r="J361" s="14" t="s">
        <v>201</v>
      </c>
      <c r="K361" s="14">
        <v>1</v>
      </c>
      <c r="L361" s="14" t="s">
        <v>213</v>
      </c>
      <c r="N361" s="14">
        <v>0</v>
      </c>
      <c r="O361" s="14" t="b">
        <v>1</v>
      </c>
      <c r="Q361" s="14" t="b">
        <v>0</v>
      </c>
      <c r="R361" s="14">
        <v>1</v>
      </c>
      <c r="S361" s="14" t="s">
        <v>77</v>
      </c>
      <c r="T361" s="14">
        <v>999</v>
      </c>
      <c r="U361" s="14" t="s">
        <v>214</v>
      </c>
      <c r="V361" s="14">
        <v>31553008</v>
      </c>
      <c r="X361" s="14" t="s">
        <v>204</v>
      </c>
      <c r="Y361" s="14" t="s">
        <v>215</v>
      </c>
      <c r="Z361" s="14">
        <v>20001</v>
      </c>
      <c r="AA361" s="14" t="s">
        <v>205</v>
      </c>
      <c r="AB361" s="14">
        <v>40001</v>
      </c>
      <c r="AE361" s="29" t="s">
        <v>121</v>
      </c>
      <c r="AF361" s="14" t="s">
        <v>213</v>
      </c>
      <c r="AG361" s="14" t="s">
        <v>89</v>
      </c>
    </row>
    <row r="362" spans="2:33">
      <c r="B362" s="14">
        <f>10000000+INDEX(编号表!$B:$B,MATCH(H362,编号表!$A:$A,0))*100000+INDEX(编号表!$F:$F,MATCH(D362,编号表!$E:$E,0))*10000+INDEX(编号表!$D:$D,MATCH(AG362,编号表!$C:$C,0))*1000+F362</f>
        <v>11553009</v>
      </c>
      <c r="C362" s="14" t="s">
        <v>522</v>
      </c>
      <c r="D362" s="14" t="s">
        <v>333</v>
      </c>
      <c r="E362" s="14" t="s">
        <v>89</v>
      </c>
      <c r="F362" s="14">
        <v>9</v>
      </c>
      <c r="G362" s="14">
        <v>60</v>
      </c>
      <c r="H362" s="31" t="s">
        <v>228</v>
      </c>
      <c r="I362" s="14" t="s">
        <v>75</v>
      </c>
      <c r="J362" s="14" t="s">
        <v>201</v>
      </c>
      <c r="K362" s="14">
        <v>1</v>
      </c>
      <c r="L362" s="14" t="s">
        <v>213</v>
      </c>
      <c r="N362" s="14">
        <v>0</v>
      </c>
      <c r="O362" s="14" t="b">
        <v>1</v>
      </c>
      <c r="Q362" s="14" t="b">
        <v>0</v>
      </c>
      <c r="R362" s="14">
        <v>1</v>
      </c>
      <c r="S362" s="14" t="s">
        <v>77</v>
      </c>
      <c r="T362" s="14">
        <v>999</v>
      </c>
      <c r="U362" s="14" t="s">
        <v>214</v>
      </c>
      <c r="V362" s="14">
        <v>31553009</v>
      </c>
      <c r="X362" s="14" t="s">
        <v>204</v>
      </c>
      <c r="Y362" s="14" t="s">
        <v>215</v>
      </c>
      <c r="Z362" s="14">
        <v>20001</v>
      </c>
      <c r="AA362" s="14" t="s">
        <v>205</v>
      </c>
      <c r="AB362" s="14">
        <v>40001</v>
      </c>
      <c r="AE362" s="29" t="s">
        <v>121</v>
      </c>
      <c r="AF362" s="14" t="s">
        <v>213</v>
      </c>
      <c r="AG362" s="14" t="s">
        <v>89</v>
      </c>
    </row>
    <row r="363" spans="2:33">
      <c r="B363" s="14">
        <f>10000000+INDEX(编号表!$B:$B,MATCH(H363,编号表!$A:$A,0))*100000+INDEX(编号表!$F:$F,MATCH(D363,编号表!$E:$E,0))*10000+INDEX(编号表!$D:$D,MATCH(AG363,编号表!$C:$C,0))*1000+F363</f>
        <v>11453000</v>
      </c>
      <c r="C363" s="14" t="s">
        <v>523</v>
      </c>
      <c r="D363" s="14" t="s">
        <v>333</v>
      </c>
      <c r="E363" s="14" t="s">
        <v>89</v>
      </c>
      <c r="F363" s="14">
        <v>0</v>
      </c>
      <c r="G363" s="14">
        <v>60</v>
      </c>
      <c r="H363" s="31" t="s">
        <v>239</v>
      </c>
      <c r="I363" s="14" t="s">
        <v>75</v>
      </c>
      <c r="J363" s="14" t="s">
        <v>201</v>
      </c>
      <c r="K363" s="14">
        <v>1</v>
      </c>
      <c r="L363" s="14" t="s">
        <v>213</v>
      </c>
      <c r="N363" s="14">
        <v>0</v>
      </c>
      <c r="O363" s="14" t="b">
        <v>1</v>
      </c>
      <c r="Q363" s="14" t="b">
        <v>0</v>
      </c>
      <c r="R363" s="14">
        <v>1</v>
      </c>
      <c r="S363" s="14" t="s">
        <v>77</v>
      </c>
      <c r="T363" s="14">
        <v>999</v>
      </c>
      <c r="U363" s="14" t="s">
        <v>214</v>
      </c>
      <c r="V363" s="14">
        <v>31453000</v>
      </c>
      <c r="X363" s="14" t="s">
        <v>204</v>
      </c>
      <c r="Y363" s="14" t="s">
        <v>215</v>
      </c>
      <c r="Z363" s="14">
        <v>20001</v>
      </c>
      <c r="AA363" s="14" t="s">
        <v>205</v>
      </c>
      <c r="AB363" s="14">
        <v>40001</v>
      </c>
      <c r="AE363" s="29" t="s">
        <v>121</v>
      </c>
      <c r="AF363" s="14" t="s">
        <v>213</v>
      </c>
      <c r="AG363" s="14" t="s">
        <v>89</v>
      </c>
    </row>
    <row r="364" spans="2:33">
      <c r="B364" s="14">
        <f>10000000+INDEX(编号表!$B:$B,MATCH(H364,编号表!$A:$A,0))*100000+INDEX(编号表!$F:$F,MATCH(D364,编号表!$E:$E,0))*10000+INDEX(编号表!$D:$D,MATCH(AG364,编号表!$C:$C,0))*1000+F364</f>
        <v>11453001</v>
      </c>
      <c r="C364" s="14" t="s">
        <v>524</v>
      </c>
      <c r="D364" s="14" t="s">
        <v>333</v>
      </c>
      <c r="E364" s="14" t="s">
        <v>89</v>
      </c>
      <c r="F364" s="14">
        <v>1</v>
      </c>
      <c r="G364" s="14">
        <v>60</v>
      </c>
      <c r="H364" s="31" t="s">
        <v>239</v>
      </c>
      <c r="I364" s="14" t="s">
        <v>75</v>
      </c>
      <c r="J364" s="14" t="s">
        <v>201</v>
      </c>
      <c r="K364" s="14">
        <v>1</v>
      </c>
      <c r="L364" s="14" t="s">
        <v>213</v>
      </c>
      <c r="N364" s="14">
        <v>0</v>
      </c>
      <c r="O364" s="14" t="b">
        <v>1</v>
      </c>
      <c r="Q364" s="14" t="b">
        <v>0</v>
      </c>
      <c r="R364" s="14">
        <v>1</v>
      </c>
      <c r="S364" s="14" t="s">
        <v>77</v>
      </c>
      <c r="T364" s="14">
        <v>999</v>
      </c>
      <c r="U364" s="14" t="s">
        <v>214</v>
      </c>
      <c r="V364" s="14">
        <v>31453001</v>
      </c>
      <c r="X364" s="14" t="s">
        <v>204</v>
      </c>
      <c r="Y364" s="14" t="s">
        <v>215</v>
      </c>
      <c r="Z364" s="14">
        <v>20001</v>
      </c>
      <c r="AA364" s="14" t="s">
        <v>205</v>
      </c>
      <c r="AB364" s="14">
        <v>40001</v>
      </c>
      <c r="AE364" s="29" t="s">
        <v>121</v>
      </c>
      <c r="AF364" s="14" t="s">
        <v>213</v>
      </c>
      <c r="AG364" s="14" t="s">
        <v>89</v>
      </c>
    </row>
    <row r="365" spans="2:33">
      <c r="B365" s="14">
        <f>10000000+INDEX(编号表!$B:$B,MATCH(H365,编号表!$A:$A,0))*100000+INDEX(编号表!$F:$F,MATCH(D365,编号表!$E:$E,0))*10000+INDEX(编号表!$D:$D,MATCH(AG365,编号表!$C:$C,0))*1000+F365</f>
        <v>11453002</v>
      </c>
      <c r="C365" s="14" t="s">
        <v>525</v>
      </c>
      <c r="D365" s="14" t="s">
        <v>333</v>
      </c>
      <c r="E365" s="14" t="s">
        <v>89</v>
      </c>
      <c r="F365" s="14">
        <v>2</v>
      </c>
      <c r="G365" s="14">
        <v>60</v>
      </c>
      <c r="H365" s="31" t="s">
        <v>239</v>
      </c>
      <c r="I365" s="14" t="s">
        <v>75</v>
      </c>
      <c r="J365" s="14" t="s">
        <v>201</v>
      </c>
      <c r="K365" s="14">
        <v>1</v>
      </c>
      <c r="L365" s="14" t="s">
        <v>213</v>
      </c>
      <c r="N365" s="14">
        <v>0</v>
      </c>
      <c r="O365" s="14" t="b">
        <v>1</v>
      </c>
      <c r="Q365" s="14" t="b">
        <v>0</v>
      </c>
      <c r="R365" s="14">
        <v>1</v>
      </c>
      <c r="S365" s="14" t="s">
        <v>77</v>
      </c>
      <c r="T365" s="14">
        <v>999</v>
      </c>
      <c r="U365" s="14" t="s">
        <v>214</v>
      </c>
      <c r="V365" s="14">
        <v>31453002</v>
      </c>
      <c r="X365" s="14" t="s">
        <v>204</v>
      </c>
      <c r="Y365" s="14" t="s">
        <v>215</v>
      </c>
      <c r="Z365" s="14">
        <v>20001</v>
      </c>
      <c r="AA365" s="14" t="s">
        <v>205</v>
      </c>
      <c r="AB365" s="14">
        <v>40001</v>
      </c>
      <c r="AE365" s="29" t="s">
        <v>121</v>
      </c>
      <c r="AF365" s="14" t="s">
        <v>213</v>
      </c>
      <c r="AG365" s="14" t="s">
        <v>89</v>
      </c>
    </row>
    <row r="366" spans="2:33">
      <c r="B366" s="14">
        <f>10000000+INDEX(编号表!$B:$B,MATCH(H366,编号表!$A:$A,0))*100000+INDEX(编号表!$F:$F,MATCH(D366,编号表!$E:$E,0))*10000+INDEX(编号表!$D:$D,MATCH(AG366,编号表!$C:$C,0))*1000+F366</f>
        <v>11453003</v>
      </c>
      <c r="C366" s="14" t="s">
        <v>526</v>
      </c>
      <c r="D366" s="14" t="s">
        <v>333</v>
      </c>
      <c r="E366" s="14" t="s">
        <v>89</v>
      </c>
      <c r="F366" s="14">
        <v>3</v>
      </c>
      <c r="G366" s="14">
        <v>60</v>
      </c>
      <c r="H366" s="31" t="s">
        <v>239</v>
      </c>
      <c r="I366" s="14" t="s">
        <v>75</v>
      </c>
      <c r="J366" s="14" t="s">
        <v>201</v>
      </c>
      <c r="K366" s="14">
        <v>1</v>
      </c>
      <c r="L366" s="14" t="s">
        <v>213</v>
      </c>
      <c r="N366" s="14">
        <v>0</v>
      </c>
      <c r="O366" s="14" t="b">
        <v>1</v>
      </c>
      <c r="Q366" s="14" t="b">
        <v>0</v>
      </c>
      <c r="R366" s="14">
        <v>1</v>
      </c>
      <c r="S366" s="14" t="s">
        <v>77</v>
      </c>
      <c r="T366" s="14">
        <v>999</v>
      </c>
      <c r="U366" s="14" t="s">
        <v>214</v>
      </c>
      <c r="V366" s="14">
        <v>31453003</v>
      </c>
      <c r="X366" s="14" t="s">
        <v>204</v>
      </c>
      <c r="Y366" s="14" t="s">
        <v>215</v>
      </c>
      <c r="Z366" s="14">
        <v>20001</v>
      </c>
      <c r="AA366" s="14" t="s">
        <v>205</v>
      </c>
      <c r="AB366" s="14">
        <v>40001</v>
      </c>
      <c r="AE366" s="29" t="s">
        <v>121</v>
      </c>
      <c r="AF366" s="14" t="s">
        <v>213</v>
      </c>
      <c r="AG366" s="14" t="s">
        <v>89</v>
      </c>
    </row>
    <row r="367" spans="2:33">
      <c r="B367" s="14">
        <f>10000000+INDEX(编号表!$B:$B,MATCH(H367,编号表!$A:$A,0))*100000+INDEX(编号表!$F:$F,MATCH(D367,编号表!$E:$E,0))*10000+INDEX(编号表!$D:$D,MATCH(AG367,编号表!$C:$C,0))*1000+F367</f>
        <v>11653000</v>
      </c>
      <c r="C367" s="14" t="s">
        <v>527</v>
      </c>
      <c r="D367" s="14" t="s">
        <v>333</v>
      </c>
      <c r="E367" s="14" t="s">
        <v>89</v>
      </c>
      <c r="F367" s="14">
        <v>0</v>
      </c>
      <c r="G367" s="14">
        <v>60</v>
      </c>
      <c r="H367" s="31" t="s">
        <v>244</v>
      </c>
      <c r="I367" s="14" t="s">
        <v>75</v>
      </c>
      <c r="J367" s="14" t="s">
        <v>201</v>
      </c>
      <c r="K367" s="14">
        <v>1</v>
      </c>
      <c r="L367" s="14" t="s">
        <v>213</v>
      </c>
      <c r="N367" s="14">
        <v>0</v>
      </c>
      <c r="O367" s="14" t="b">
        <v>1</v>
      </c>
      <c r="Q367" s="14" t="b">
        <v>0</v>
      </c>
      <c r="R367" s="14">
        <v>1</v>
      </c>
      <c r="S367" s="14" t="s">
        <v>77</v>
      </c>
      <c r="T367" s="14">
        <v>999</v>
      </c>
      <c r="U367" s="14" t="s">
        <v>214</v>
      </c>
      <c r="V367" s="14">
        <v>31653000</v>
      </c>
      <c r="X367" s="14" t="s">
        <v>204</v>
      </c>
      <c r="Y367" s="14" t="s">
        <v>215</v>
      </c>
      <c r="Z367" s="14">
        <v>20001</v>
      </c>
      <c r="AA367" s="14" t="s">
        <v>205</v>
      </c>
      <c r="AB367" s="14">
        <v>40001</v>
      </c>
      <c r="AE367" s="29" t="s">
        <v>121</v>
      </c>
      <c r="AF367" s="14" t="s">
        <v>213</v>
      </c>
      <c r="AG367" s="14" t="s">
        <v>89</v>
      </c>
    </row>
    <row r="368" spans="2:33">
      <c r="B368" s="14">
        <f>10000000+INDEX(编号表!$B:$B,MATCH(H368,编号表!$A:$A,0))*100000+INDEX(编号表!$F:$F,MATCH(D368,编号表!$E:$E,0))*10000+INDEX(编号表!$D:$D,MATCH(AG368,编号表!$C:$C,0))*1000+F368</f>
        <v>11653001</v>
      </c>
      <c r="C368" s="14" t="s">
        <v>528</v>
      </c>
      <c r="D368" s="14" t="s">
        <v>333</v>
      </c>
      <c r="E368" s="14" t="s">
        <v>89</v>
      </c>
      <c r="F368" s="14">
        <v>1</v>
      </c>
      <c r="G368" s="14">
        <v>60</v>
      </c>
      <c r="H368" s="31" t="s">
        <v>244</v>
      </c>
      <c r="I368" s="14" t="s">
        <v>75</v>
      </c>
      <c r="J368" s="14" t="s">
        <v>201</v>
      </c>
      <c r="K368" s="14">
        <v>1</v>
      </c>
      <c r="L368" s="14" t="s">
        <v>213</v>
      </c>
      <c r="N368" s="14">
        <v>0</v>
      </c>
      <c r="O368" s="14" t="b">
        <v>1</v>
      </c>
      <c r="Q368" s="14" t="b">
        <v>0</v>
      </c>
      <c r="R368" s="14">
        <v>1</v>
      </c>
      <c r="S368" s="14" t="s">
        <v>77</v>
      </c>
      <c r="T368" s="14">
        <v>999</v>
      </c>
      <c r="U368" s="14" t="s">
        <v>214</v>
      </c>
      <c r="V368" s="14">
        <v>31653001</v>
      </c>
      <c r="X368" s="14" t="s">
        <v>204</v>
      </c>
      <c r="Y368" s="14" t="s">
        <v>215</v>
      </c>
      <c r="Z368" s="14">
        <v>20001</v>
      </c>
      <c r="AA368" s="14" t="s">
        <v>205</v>
      </c>
      <c r="AB368" s="14">
        <v>40001</v>
      </c>
      <c r="AE368" s="29" t="s">
        <v>121</v>
      </c>
      <c r="AF368" s="14" t="s">
        <v>213</v>
      </c>
      <c r="AG368" s="14" t="s">
        <v>89</v>
      </c>
    </row>
    <row r="369" spans="2:33">
      <c r="B369" s="14">
        <f>10000000+INDEX(编号表!$B:$B,MATCH(H369,编号表!$A:$A,0))*100000+INDEX(编号表!$F:$F,MATCH(D369,编号表!$E:$E,0))*10000+INDEX(编号表!$D:$D,MATCH(AG369,编号表!$C:$C,0))*1000+F369</f>
        <v>11653002</v>
      </c>
      <c r="C369" s="14" t="s">
        <v>529</v>
      </c>
      <c r="D369" s="14" t="s">
        <v>333</v>
      </c>
      <c r="E369" s="14" t="s">
        <v>89</v>
      </c>
      <c r="F369" s="14">
        <v>2</v>
      </c>
      <c r="G369" s="14">
        <v>60</v>
      </c>
      <c r="H369" s="31" t="s">
        <v>244</v>
      </c>
      <c r="I369" s="14" t="s">
        <v>75</v>
      </c>
      <c r="J369" s="14" t="s">
        <v>201</v>
      </c>
      <c r="K369" s="14">
        <v>1</v>
      </c>
      <c r="L369" s="14" t="s">
        <v>213</v>
      </c>
      <c r="N369" s="14">
        <v>0</v>
      </c>
      <c r="O369" s="14" t="b">
        <v>1</v>
      </c>
      <c r="Q369" s="14" t="b">
        <v>0</v>
      </c>
      <c r="R369" s="14">
        <v>1</v>
      </c>
      <c r="S369" s="14" t="s">
        <v>77</v>
      </c>
      <c r="T369" s="14">
        <v>999</v>
      </c>
      <c r="U369" s="14" t="s">
        <v>214</v>
      </c>
      <c r="V369" s="14">
        <v>31653002</v>
      </c>
      <c r="X369" s="14" t="s">
        <v>204</v>
      </c>
      <c r="Y369" s="14" t="s">
        <v>215</v>
      </c>
      <c r="Z369" s="14">
        <v>20001</v>
      </c>
      <c r="AA369" s="14" t="s">
        <v>205</v>
      </c>
      <c r="AB369" s="14">
        <v>40001</v>
      </c>
      <c r="AE369" s="29" t="s">
        <v>121</v>
      </c>
      <c r="AF369" s="14" t="s">
        <v>213</v>
      </c>
      <c r="AG369" s="14" t="s">
        <v>89</v>
      </c>
    </row>
    <row r="370" spans="2:33">
      <c r="B370" s="14">
        <f>10000000+INDEX(编号表!$B:$B,MATCH(H370,编号表!$A:$A,0))*100000+INDEX(编号表!$F:$F,MATCH(D370,编号表!$E:$E,0))*10000+INDEX(编号表!$D:$D,MATCH(AG370,编号表!$C:$C,0))*1000+F370</f>
        <v>11263000</v>
      </c>
      <c r="C370" s="14" t="s">
        <v>530</v>
      </c>
      <c r="D370" s="14" t="s">
        <v>362</v>
      </c>
      <c r="E370" s="14" t="s">
        <v>89</v>
      </c>
      <c r="F370" s="14">
        <v>0</v>
      </c>
      <c r="G370" s="14">
        <v>60</v>
      </c>
      <c r="H370" s="31" t="s">
        <v>212</v>
      </c>
      <c r="I370" s="14" t="s">
        <v>75</v>
      </c>
      <c r="J370" s="14" t="s">
        <v>201</v>
      </c>
      <c r="K370" s="14">
        <v>1</v>
      </c>
      <c r="L370" s="14" t="s">
        <v>213</v>
      </c>
      <c r="N370" s="14">
        <v>0</v>
      </c>
      <c r="O370" s="14" t="b">
        <v>1</v>
      </c>
      <c r="Q370" s="14" t="b">
        <v>0</v>
      </c>
      <c r="R370" s="14">
        <v>1</v>
      </c>
      <c r="S370" s="14" t="s">
        <v>77</v>
      </c>
      <c r="T370" s="14">
        <v>999</v>
      </c>
      <c r="U370" s="14" t="s">
        <v>214</v>
      </c>
      <c r="V370" s="14">
        <v>31263000</v>
      </c>
      <c r="X370" s="14" t="s">
        <v>204</v>
      </c>
      <c r="Y370" s="14" t="s">
        <v>215</v>
      </c>
      <c r="Z370" s="14">
        <v>20001</v>
      </c>
      <c r="AA370" s="14" t="s">
        <v>205</v>
      </c>
      <c r="AB370" s="14">
        <v>40001</v>
      </c>
      <c r="AE370" s="29" t="s">
        <v>121</v>
      </c>
      <c r="AF370" s="14" t="s">
        <v>213</v>
      </c>
      <c r="AG370" s="14" t="s">
        <v>89</v>
      </c>
    </row>
    <row r="371" spans="2:33">
      <c r="B371" s="14">
        <f>10000000+INDEX(编号表!$B:$B,MATCH(H371,编号表!$A:$A,0))*100000+INDEX(编号表!$F:$F,MATCH(D371,编号表!$E:$E,0))*10000+INDEX(编号表!$D:$D,MATCH(AG371,编号表!$C:$C,0))*1000+F371</f>
        <v>11363000</v>
      </c>
      <c r="C371" s="14" t="s">
        <v>531</v>
      </c>
      <c r="D371" s="14" t="s">
        <v>362</v>
      </c>
      <c r="E371" s="14" t="s">
        <v>89</v>
      </c>
      <c r="F371" s="14">
        <v>0</v>
      </c>
      <c r="G371" s="14">
        <v>60</v>
      </c>
      <c r="H371" s="31" t="s">
        <v>217</v>
      </c>
      <c r="I371" s="14" t="s">
        <v>75</v>
      </c>
      <c r="J371" s="14" t="s">
        <v>201</v>
      </c>
      <c r="K371" s="14">
        <v>1</v>
      </c>
      <c r="L371" s="14" t="s">
        <v>213</v>
      </c>
      <c r="N371" s="14">
        <v>0</v>
      </c>
      <c r="O371" s="14" t="b">
        <v>1</v>
      </c>
      <c r="Q371" s="14" t="b">
        <v>0</v>
      </c>
      <c r="R371" s="14">
        <v>1</v>
      </c>
      <c r="S371" s="14" t="s">
        <v>77</v>
      </c>
      <c r="T371" s="14">
        <v>999</v>
      </c>
      <c r="U371" s="14" t="s">
        <v>214</v>
      </c>
      <c r="V371" s="14">
        <v>31363000</v>
      </c>
      <c r="X371" s="14" t="s">
        <v>204</v>
      </c>
      <c r="Y371" s="14" t="s">
        <v>215</v>
      </c>
      <c r="Z371" s="14">
        <v>20001</v>
      </c>
      <c r="AA371" s="14" t="s">
        <v>205</v>
      </c>
      <c r="AB371" s="14">
        <v>40001</v>
      </c>
      <c r="AE371" s="29" t="s">
        <v>121</v>
      </c>
      <c r="AF371" s="14" t="s">
        <v>213</v>
      </c>
      <c r="AG371" s="14" t="s">
        <v>89</v>
      </c>
    </row>
    <row r="372" spans="2:33">
      <c r="B372" s="14">
        <f>10000000+INDEX(编号表!$B:$B,MATCH(H372,编号表!$A:$A,0))*100000+INDEX(编号表!$F:$F,MATCH(D372,编号表!$E:$E,0))*10000+INDEX(编号表!$D:$D,MATCH(AG372,编号表!$C:$C,0))*1000+F372</f>
        <v>11363001</v>
      </c>
      <c r="C372" s="14" t="s">
        <v>532</v>
      </c>
      <c r="D372" s="14" t="s">
        <v>362</v>
      </c>
      <c r="E372" s="14" t="s">
        <v>89</v>
      </c>
      <c r="F372" s="14">
        <v>1</v>
      </c>
      <c r="G372" s="14">
        <v>60</v>
      </c>
      <c r="H372" s="31" t="s">
        <v>217</v>
      </c>
      <c r="I372" s="14" t="s">
        <v>75</v>
      </c>
      <c r="J372" s="14" t="s">
        <v>201</v>
      </c>
      <c r="K372" s="14">
        <v>1</v>
      </c>
      <c r="L372" s="14" t="s">
        <v>213</v>
      </c>
      <c r="N372" s="14">
        <v>0</v>
      </c>
      <c r="O372" s="14" t="b">
        <v>1</v>
      </c>
      <c r="Q372" s="14" t="b">
        <v>0</v>
      </c>
      <c r="R372" s="14">
        <v>1</v>
      </c>
      <c r="S372" s="14" t="s">
        <v>77</v>
      </c>
      <c r="T372" s="14">
        <v>999</v>
      </c>
      <c r="U372" s="14" t="s">
        <v>214</v>
      </c>
      <c r="V372" s="14">
        <v>31363001</v>
      </c>
      <c r="X372" s="14" t="s">
        <v>204</v>
      </c>
      <c r="Y372" s="14" t="s">
        <v>215</v>
      </c>
      <c r="Z372" s="14">
        <v>20001</v>
      </c>
      <c r="AA372" s="14" t="s">
        <v>205</v>
      </c>
      <c r="AB372" s="14">
        <v>40001</v>
      </c>
      <c r="AE372" s="29" t="s">
        <v>121</v>
      </c>
      <c r="AF372" s="14" t="s">
        <v>213</v>
      </c>
      <c r="AG372" s="14" t="s">
        <v>89</v>
      </c>
    </row>
    <row r="373" spans="2:33">
      <c r="B373" s="14">
        <f>10000000+INDEX(编号表!$B:$B,MATCH(H373,编号表!$A:$A,0))*100000+INDEX(编号表!$F:$F,MATCH(D373,编号表!$E:$E,0))*10000+INDEX(编号表!$D:$D,MATCH(AG373,编号表!$C:$C,0))*1000+F373</f>
        <v>11363002</v>
      </c>
      <c r="C373" s="14" t="s">
        <v>533</v>
      </c>
      <c r="D373" s="14" t="s">
        <v>362</v>
      </c>
      <c r="E373" s="14" t="s">
        <v>89</v>
      </c>
      <c r="F373" s="14">
        <v>2</v>
      </c>
      <c r="G373" s="14">
        <v>60</v>
      </c>
      <c r="H373" s="31" t="s">
        <v>217</v>
      </c>
      <c r="I373" s="14" t="s">
        <v>75</v>
      </c>
      <c r="J373" s="14" t="s">
        <v>201</v>
      </c>
      <c r="K373" s="14">
        <v>1</v>
      </c>
      <c r="L373" s="14" t="s">
        <v>213</v>
      </c>
      <c r="N373" s="14">
        <v>0</v>
      </c>
      <c r="O373" s="14" t="b">
        <v>1</v>
      </c>
      <c r="Q373" s="14" t="b">
        <v>0</v>
      </c>
      <c r="R373" s="14">
        <v>1</v>
      </c>
      <c r="S373" s="14" t="s">
        <v>77</v>
      </c>
      <c r="T373" s="14">
        <v>999</v>
      </c>
      <c r="U373" s="14" t="s">
        <v>214</v>
      </c>
      <c r="V373" s="14">
        <v>31363002</v>
      </c>
      <c r="X373" s="14" t="s">
        <v>204</v>
      </c>
      <c r="Y373" s="14" t="s">
        <v>215</v>
      </c>
      <c r="Z373" s="14">
        <v>20001</v>
      </c>
      <c r="AA373" s="14" t="s">
        <v>205</v>
      </c>
      <c r="AB373" s="14">
        <v>40001</v>
      </c>
      <c r="AE373" s="29" t="s">
        <v>121</v>
      </c>
      <c r="AF373" s="14" t="s">
        <v>213</v>
      </c>
      <c r="AG373" s="14" t="s">
        <v>89</v>
      </c>
    </row>
    <row r="374" spans="2:33">
      <c r="B374" s="14">
        <f>10000000+INDEX(编号表!$B:$B,MATCH(H374,编号表!$A:$A,0))*100000+INDEX(编号表!$F:$F,MATCH(D374,编号表!$E:$E,0))*10000+INDEX(编号表!$D:$D,MATCH(AG374,编号表!$C:$C,0))*1000+F374</f>
        <v>11363003</v>
      </c>
      <c r="C374" s="14" t="s">
        <v>534</v>
      </c>
      <c r="D374" s="14" t="s">
        <v>362</v>
      </c>
      <c r="E374" s="14" t="s">
        <v>89</v>
      </c>
      <c r="F374" s="14">
        <v>3</v>
      </c>
      <c r="G374" s="14">
        <v>60</v>
      </c>
      <c r="H374" s="31" t="s">
        <v>217</v>
      </c>
      <c r="I374" s="14" t="s">
        <v>75</v>
      </c>
      <c r="J374" s="14" t="s">
        <v>201</v>
      </c>
      <c r="K374" s="14">
        <v>1</v>
      </c>
      <c r="L374" s="14" t="s">
        <v>213</v>
      </c>
      <c r="N374" s="14">
        <v>0</v>
      </c>
      <c r="O374" s="14" t="b">
        <v>1</v>
      </c>
      <c r="Q374" s="14" t="b">
        <v>0</v>
      </c>
      <c r="R374" s="14">
        <v>1</v>
      </c>
      <c r="S374" s="14" t="s">
        <v>77</v>
      </c>
      <c r="T374" s="14">
        <v>999</v>
      </c>
      <c r="U374" s="14" t="s">
        <v>214</v>
      </c>
      <c r="V374" s="14">
        <v>31363003</v>
      </c>
      <c r="X374" s="14" t="s">
        <v>204</v>
      </c>
      <c r="Y374" s="14" t="s">
        <v>215</v>
      </c>
      <c r="Z374" s="14">
        <v>20001</v>
      </c>
      <c r="AA374" s="14" t="s">
        <v>205</v>
      </c>
      <c r="AB374" s="14">
        <v>40001</v>
      </c>
      <c r="AE374" s="29" t="s">
        <v>121</v>
      </c>
      <c r="AF374" s="14" t="s">
        <v>213</v>
      </c>
      <c r="AG374" s="14" t="s">
        <v>89</v>
      </c>
    </row>
    <row r="375" spans="2:33">
      <c r="B375" s="14">
        <f>10000000+INDEX(编号表!$B:$B,MATCH(H375,编号表!$A:$A,0))*100000+INDEX(编号表!$F:$F,MATCH(D375,编号表!$E:$E,0))*10000+INDEX(编号表!$D:$D,MATCH(AG375,编号表!$C:$C,0))*1000+F375</f>
        <v>11363004</v>
      </c>
      <c r="C375" s="14" t="s">
        <v>535</v>
      </c>
      <c r="D375" s="14" t="s">
        <v>362</v>
      </c>
      <c r="E375" s="14" t="s">
        <v>89</v>
      </c>
      <c r="F375" s="14">
        <v>4</v>
      </c>
      <c r="G375" s="14">
        <v>60</v>
      </c>
      <c r="H375" s="31" t="s">
        <v>217</v>
      </c>
      <c r="I375" s="14" t="s">
        <v>75</v>
      </c>
      <c r="J375" s="14" t="s">
        <v>201</v>
      </c>
      <c r="K375" s="14">
        <v>1</v>
      </c>
      <c r="L375" s="14" t="s">
        <v>213</v>
      </c>
      <c r="N375" s="14">
        <v>0</v>
      </c>
      <c r="O375" s="14" t="b">
        <v>1</v>
      </c>
      <c r="Q375" s="14" t="b">
        <v>0</v>
      </c>
      <c r="R375" s="14">
        <v>1</v>
      </c>
      <c r="S375" s="14" t="s">
        <v>77</v>
      </c>
      <c r="T375" s="14">
        <v>999</v>
      </c>
      <c r="U375" s="14" t="s">
        <v>214</v>
      </c>
      <c r="V375" s="14">
        <v>31363004</v>
      </c>
      <c r="X375" s="14" t="s">
        <v>204</v>
      </c>
      <c r="Y375" s="14" t="s">
        <v>215</v>
      </c>
      <c r="Z375" s="14">
        <v>20001</v>
      </c>
      <c r="AA375" s="14" t="s">
        <v>205</v>
      </c>
      <c r="AB375" s="14">
        <v>40001</v>
      </c>
      <c r="AE375" s="29" t="s">
        <v>121</v>
      </c>
      <c r="AF375" s="14" t="s">
        <v>213</v>
      </c>
      <c r="AG375" s="14" t="s">
        <v>89</v>
      </c>
    </row>
    <row r="376" spans="2:33">
      <c r="B376" s="14">
        <f>10000000+INDEX(编号表!$B:$B,MATCH(H376,编号表!$A:$A,0))*100000+INDEX(编号表!$F:$F,MATCH(D376,编号表!$E:$E,0))*10000+INDEX(编号表!$D:$D,MATCH(AG376,编号表!$C:$C,0))*1000+F376</f>
        <v>11363005</v>
      </c>
      <c r="C376" s="14" t="s">
        <v>536</v>
      </c>
      <c r="D376" s="14" t="s">
        <v>362</v>
      </c>
      <c r="E376" s="14" t="s">
        <v>89</v>
      </c>
      <c r="F376" s="14">
        <v>5</v>
      </c>
      <c r="G376" s="14">
        <v>60</v>
      </c>
      <c r="H376" s="31" t="s">
        <v>217</v>
      </c>
      <c r="I376" s="14" t="s">
        <v>75</v>
      </c>
      <c r="J376" s="14" t="s">
        <v>201</v>
      </c>
      <c r="K376" s="14">
        <v>1</v>
      </c>
      <c r="L376" s="14" t="s">
        <v>213</v>
      </c>
      <c r="N376" s="14">
        <v>0</v>
      </c>
      <c r="O376" s="14" t="b">
        <v>1</v>
      </c>
      <c r="Q376" s="14" t="b">
        <v>0</v>
      </c>
      <c r="R376" s="14">
        <v>1</v>
      </c>
      <c r="S376" s="14" t="s">
        <v>77</v>
      </c>
      <c r="T376" s="14">
        <v>999</v>
      </c>
      <c r="U376" s="14" t="s">
        <v>214</v>
      </c>
      <c r="V376" s="14">
        <v>31363005</v>
      </c>
      <c r="X376" s="14" t="s">
        <v>204</v>
      </c>
      <c r="Y376" s="14" t="s">
        <v>215</v>
      </c>
      <c r="Z376" s="14">
        <v>20001</v>
      </c>
      <c r="AA376" s="14" t="s">
        <v>205</v>
      </c>
      <c r="AB376" s="14">
        <v>40001</v>
      </c>
      <c r="AE376" s="29" t="s">
        <v>121</v>
      </c>
      <c r="AF376" s="14" t="s">
        <v>213</v>
      </c>
      <c r="AG376" s="14" t="s">
        <v>89</v>
      </c>
    </row>
    <row r="377" spans="2:33">
      <c r="B377" s="14">
        <f>10000000+INDEX(编号表!$B:$B,MATCH(H377,编号表!$A:$A,0))*100000+INDEX(编号表!$F:$F,MATCH(D377,编号表!$E:$E,0))*10000+INDEX(编号表!$D:$D,MATCH(AG377,编号表!$C:$C,0))*1000+F377</f>
        <v>11363006</v>
      </c>
      <c r="C377" s="14" t="s">
        <v>537</v>
      </c>
      <c r="D377" s="14" t="s">
        <v>362</v>
      </c>
      <c r="E377" s="14" t="s">
        <v>89</v>
      </c>
      <c r="F377" s="14">
        <v>6</v>
      </c>
      <c r="G377" s="14">
        <v>60</v>
      </c>
      <c r="H377" s="31" t="s">
        <v>217</v>
      </c>
      <c r="I377" s="14" t="s">
        <v>75</v>
      </c>
      <c r="J377" s="14" t="s">
        <v>201</v>
      </c>
      <c r="K377" s="14">
        <v>1</v>
      </c>
      <c r="L377" s="14" t="s">
        <v>213</v>
      </c>
      <c r="N377" s="14">
        <v>0</v>
      </c>
      <c r="O377" s="14" t="b">
        <v>1</v>
      </c>
      <c r="Q377" s="14" t="b">
        <v>0</v>
      </c>
      <c r="R377" s="14">
        <v>1</v>
      </c>
      <c r="S377" s="14" t="s">
        <v>77</v>
      </c>
      <c r="T377" s="14">
        <v>999</v>
      </c>
      <c r="U377" s="14" t="s">
        <v>214</v>
      </c>
      <c r="V377" s="14">
        <v>31363006</v>
      </c>
      <c r="X377" s="14" t="s">
        <v>204</v>
      </c>
      <c r="Y377" s="14" t="s">
        <v>215</v>
      </c>
      <c r="Z377" s="14">
        <v>20001</v>
      </c>
      <c r="AA377" s="14" t="s">
        <v>205</v>
      </c>
      <c r="AB377" s="14">
        <v>40001</v>
      </c>
      <c r="AE377" s="29" t="s">
        <v>121</v>
      </c>
      <c r="AF377" s="14" t="s">
        <v>213</v>
      </c>
      <c r="AG377" s="14" t="s">
        <v>89</v>
      </c>
    </row>
    <row r="378" spans="2:33">
      <c r="B378" s="14">
        <f>10000000+INDEX(编号表!$B:$B,MATCH(H378,编号表!$A:$A,0))*100000+INDEX(编号表!$F:$F,MATCH(D378,编号表!$E:$E,0))*10000+INDEX(编号表!$D:$D,MATCH(AG378,编号表!$C:$C,0))*1000+F378</f>
        <v>11363007</v>
      </c>
      <c r="C378" s="14" t="s">
        <v>538</v>
      </c>
      <c r="D378" s="14" t="s">
        <v>362</v>
      </c>
      <c r="E378" s="14" t="s">
        <v>89</v>
      </c>
      <c r="F378" s="14">
        <v>7</v>
      </c>
      <c r="G378" s="14">
        <v>60</v>
      </c>
      <c r="H378" s="31" t="s">
        <v>217</v>
      </c>
      <c r="I378" s="14" t="s">
        <v>75</v>
      </c>
      <c r="J378" s="14" t="s">
        <v>201</v>
      </c>
      <c r="K378" s="14">
        <v>1</v>
      </c>
      <c r="L378" s="14" t="s">
        <v>213</v>
      </c>
      <c r="N378" s="14">
        <v>0</v>
      </c>
      <c r="O378" s="14" t="b">
        <v>1</v>
      </c>
      <c r="Q378" s="14" t="b">
        <v>0</v>
      </c>
      <c r="R378" s="14">
        <v>1</v>
      </c>
      <c r="S378" s="14" t="s">
        <v>77</v>
      </c>
      <c r="T378" s="14">
        <v>999</v>
      </c>
      <c r="U378" s="14" t="s">
        <v>214</v>
      </c>
      <c r="V378" s="14">
        <v>31363007</v>
      </c>
      <c r="X378" s="14" t="s">
        <v>204</v>
      </c>
      <c r="Y378" s="14" t="s">
        <v>215</v>
      </c>
      <c r="Z378" s="14">
        <v>20001</v>
      </c>
      <c r="AA378" s="14" t="s">
        <v>205</v>
      </c>
      <c r="AB378" s="14">
        <v>40001</v>
      </c>
      <c r="AE378" s="29" t="s">
        <v>121</v>
      </c>
      <c r="AF378" s="14" t="s">
        <v>213</v>
      </c>
      <c r="AG378" s="14" t="s">
        <v>89</v>
      </c>
    </row>
    <row r="379" spans="2:33">
      <c r="B379" s="14">
        <f>10000000+INDEX(编号表!$B:$B,MATCH(H379,编号表!$A:$A,0))*100000+INDEX(编号表!$F:$F,MATCH(D379,编号表!$E:$E,0))*10000+INDEX(编号表!$D:$D,MATCH(AG379,编号表!$C:$C,0))*1000+F379</f>
        <v>11363008</v>
      </c>
      <c r="C379" s="14" t="s">
        <v>539</v>
      </c>
      <c r="D379" s="14" t="s">
        <v>362</v>
      </c>
      <c r="E379" s="14" t="s">
        <v>89</v>
      </c>
      <c r="F379" s="14">
        <v>8</v>
      </c>
      <c r="G379" s="14">
        <v>60</v>
      </c>
      <c r="H379" s="31" t="s">
        <v>217</v>
      </c>
      <c r="I379" s="14" t="s">
        <v>75</v>
      </c>
      <c r="J379" s="14" t="s">
        <v>201</v>
      </c>
      <c r="K379" s="14">
        <v>1</v>
      </c>
      <c r="L379" s="14" t="s">
        <v>213</v>
      </c>
      <c r="N379" s="14">
        <v>0</v>
      </c>
      <c r="O379" s="14" t="b">
        <v>1</v>
      </c>
      <c r="Q379" s="14" t="b">
        <v>0</v>
      </c>
      <c r="R379" s="14">
        <v>1</v>
      </c>
      <c r="S379" s="14" t="s">
        <v>77</v>
      </c>
      <c r="T379" s="14">
        <v>999</v>
      </c>
      <c r="U379" s="14" t="s">
        <v>214</v>
      </c>
      <c r="V379" s="14">
        <v>31363008</v>
      </c>
      <c r="X379" s="14" t="s">
        <v>204</v>
      </c>
      <c r="Y379" s="14" t="s">
        <v>215</v>
      </c>
      <c r="Z379" s="14">
        <v>20001</v>
      </c>
      <c r="AA379" s="14" t="s">
        <v>205</v>
      </c>
      <c r="AB379" s="14">
        <v>40001</v>
      </c>
      <c r="AE379" s="29" t="s">
        <v>121</v>
      </c>
      <c r="AF379" s="14" t="s">
        <v>213</v>
      </c>
      <c r="AG379" s="14" t="s">
        <v>89</v>
      </c>
    </row>
    <row r="380" spans="2:33">
      <c r="B380" s="14">
        <f>10000000+INDEX(编号表!$B:$B,MATCH(H380,编号表!$A:$A,0))*100000+INDEX(编号表!$F:$F,MATCH(D380,编号表!$E:$E,0))*10000+INDEX(编号表!$D:$D,MATCH(AG380,编号表!$C:$C,0))*1000+F380</f>
        <v>11363009</v>
      </c>
      <c r="C380" s="14" t="s">
        <v>540</v>
      </c>
      <c r="D380" s="14" t="s">
        <v>362</v>
      </c>
      <c r="E380" s="14" t="s">
        <v>89</v>
      </c>
      <c r="F380" s="14">
        <v>9</v>
      </c>
      <c r="G380" s="14">
        <v>60</v>
      </c>
      <c r="H380" s="31" t="s">
        <v>217</v>
      </c>
      <c r="I380" s="14" t="s">
        <v>75</v>
      </c>
      <c r="J380" s="14" t="s">
        <v>201</v>
      </c>
      <c r="K380" s="14">
        <v>1</v>
      </c>
      <c r="L380" s="14" t="s">
        <v>213</v>
      </c>
      <c r="N380" s="14">
        <v>0</v>
      </c>
      <c r="O380" s="14" t="b">
        <v>1</v>
      </c>
      <c r="Q380" s="14" t="b">
        <v>0</v>
      </c>
      <c r="R380" s="14">
        <v>1</v>
      </c>
      <c r="S380" s="14" t="s">
        <v>77</v>
      </c>
      <c r="T380" s="14">
        <v>999</v>
      </c>
      <c r="U380" s="14" t="s">
        <v>214</v>
      </c>
      <c r="V380" s="14">
        <v>31363009</v>
      </c>
      <c r="X380" s="14" t="s">
        <v>204</v>
      </c>
      <c r="Y380" s="14" t="s">
        <v>215</v>
      </c>
      <c r="Z380" s="14">
        <v>20001</v>
      </c>
      <c r="AA380" s="14" t="s">
        <v>205</v>
      </c>
      <c r="AB380" s="14">
        <v>40001</v>
      </c>
      <c r="AE380" s="29" t="s">
        <v>121</v>
      </c>
      <c r="AF380" s="14" t="s">
        <v>213</v>
      </c>
      <c r="AG380" s="14" t="s">
        <v>89</v>
      </c>
    </row>
    <row r="381" spans="2:33">
      <c r="B381" s="14">
        <f>10000000+INDEX(编号表!$B:$B,MATCH(H381,编号表!$A:$A,0))*100000+INDEX(编号表!$F:$F,MATCH(D381,编号表!$E:$E,0))*10000+INDEX(编号表!$D:$D,MATCH(AG381,编号表!$C:$C,0))*1000+F381</f>
        <v>11563000</v>
      </c>
      <c r="C381" s="14" t="s">
        <v>541</v>
      </c>
      <c r="D381" s="14" t="s">
        <v>362</v>
      </c>
      <c r="E381" s="14" t="s">
        <v>89</v>
      </c>
      <c r="F381" s="14">
        <v>0</v>
      </c>
      <c r="G381" s="14">
        <v>60</v>
      </c>
      <c r="H381" s="31" t="s">
        <v>228</v>
      </c>
      <c r="I381" s="14" t="s">
        <v>75</v>
      </c>
      <c r="J381" s="14" t="s">
        <v>201</v>
      </c>
      <c r="K381" s="14">
        <v>1</v>
      </c>
      <c r="L381" s="14" t="s">
        <v>213</v>
      </c>
      <c r="N381" s="14">
        <v>0</v>
      </c>
      <c r="O381" s="14" t="b">
        <v>1</v>
      </c>
      <c r="Q381" s="14" t="b">
        <v>0</v>
      </c>
      <c r="R381" s="14">
        <v>1</v>
      </c>
      <c r="S381" s="14" t="s">
        <v>77</v>
      </c>
      <c r="T381" s="14">
        <v>999</v>
      </c>
      <c r="U381" s="14" t="s">
        <v>214</v>
      </c>
      <c r="V381" s="14">
        <v>31563000</v>
      </c>
      <c r="X381" s="14" t="s">
        <v>204</v>
      </c>
      <c r="Y381" s="14" t="s">
        <v>215</v>
      </c>
      <c r="Z381" s="14">
        <v>20001</v>
      </c>
      <c r="AA381" s="14" t="s">
        <v>205</v>
      </c>
      <c r="AB381" s="14">
        <v>40001</v>
      </c>
      <c r="AE381" s="29" t="s">
        <v>121</v>
      </c>
      <c r="AF381" s="14" t="s">
        <v>213</v>
      </c>
      <c r="AG381" s="14" t="s">
        <v>89</v>
      </c>
    </row>
    <row r="382" spans="2:33">
      <c r="B382" s="14">
        <f>10000000+INDEX(编号表!$B:$B,MATCH(H382,编号表!$A:$A,0))*100000+INDEX(编号表!$F:$F,MATCH(D382,编号表!$E:$E,0))*10000+INDEX(编号表!$D:$D,MATCH(AG382,编号表!$C:$C,0))*1000+F382</f>
        <v>11563001</v>
      </c>
      <c r="C382" s="14" t="s">
        <v>542</v>
      </c>
      <c r="D382" s="14" t="s">
        <v>362</v>
      </c>
      <c r="E382" s="14" t="s">
        <v>89</v>
      </c>
      <c r="F382" s="14">
        <v>1</v>
      </c>
      <c r="G382" s="14">
        <v>60</v>
      </c>
      <c r="H382" s="31" t="s">
        <v>228</v>
      </c>
      <c r="I382" s="14" t="s">
        <v>75</v>
      </c>
      <c r="J382" s="14" t="s">
        <v>201</v>
      </c>
      <c r="K382" s="14">
        <v>1</v>
      </c>
      <c r="L382" s="14" t="s">
        <v>213</v>
      </c>
      <c r="N382" s="14">
        <v>0</v>
      </c>
      <c r="O382" s="14" t="b">
        <v>1</v>
      </c>
      <c r="Q382" s="14" t="b">
        <v>0</v>
      </c>
      <c r="R382" s="14">
        <v>1</v>
      </c>
      <c r="S382" s="14" t="s">
        <v>77</v>
      </c>
      <c r="T382" s="14">
        <v>999</v>
      </c>
      <c r="U382" s="14" t="s">
        <v>214</v>
      </c>
      <c r="V382" s="14">
        <v>31563001</v>
      </c>
      <c r="X382" s="14" t="s">
        <v>204</v>
      </c>
      <c r="Y382" s="14" t="s">
        <v>215</v>
      </c>
      <c r="Z382" s="14">
        <v>20001</v>
      </c>
      <c r="AA382" s="14" t="s">
        <v>205</v>
      </c>
      <c r="AB382" s="14">
        <v>40001</v>
      </c>
      <c r="AE382" s="29" t="s">
        <v>121</v>
      </c>
      <c r="AF382" s="14" t="s">
        <v>213</v>
      </c>
      <c r="AG382" s="14" t="s">
        <v>89</v>
      </c>
    </row>
    <row r="383" spans="2:33">
      <c r="B383" s="14">
        <f>10000000+INDEX(编号表!$B:$B,MATCH(H383,编号表!$A:$A,0))*100000+INDEX(编号表!$F:$F,MATCH(D383,编号表!$E:$E,0))*10000+INDEX(编号表!$D:$D,MATCH(AG383,编号表!$C:$C,0))*1000+F383</f>
        <v>11563002</v>
      </c>
      <c r="C383" s="14" t="s">
        <v>543</v>
      </c>
      <c r="D383" s="14" t="s">
        <v>362</v>
      </c>
      <c r="E383" s="14" t="s">
        <v>89</v>
      </c>
      <c r="F383" s="14">
        <v>2</v>
      </c>
      <c r="G383" s="14">
        <v>60</v>
      </c>
      <c r="H383" s="31" t="s">
        <v>228</v>
      </c>
      <c r="I383" s="14" t="s">
        <v>75</v>
      </c>
      <c r="J383" s="14" t="s">
        <v>201</v>
      </c>
      <c r="K383" s="14">
        <v>1</v>
      </c>
      <c r="L383" s="14" t="s">
        <v>213</v>
      </c>
      <c r="N383" s="14">
        <v>0</v>
      </c>
      <c r="O383" s="14" t="b">
        <v>1</v>
      </c>
      <c r="Q383" s="14" t="b">
        <v>0</v>
      </c>
      <c r="R383" s="14">
        <v>1</v>
      </c>
      <c r="S383" s="14" t="s">
        <v>77</v>
      </c>
      <c r="T383" s="14">
        <v>999</v>
      </c>
      <c r="U383" s="14" t="s">
        <v>214</v>
      </c>
      <c r="V383" s="14">
        <v>31563002</v>
      </c>
      <c r="X383" s="14" t="s">
        <v>204</v>
      </c>
      <c r="Y383" s="14" t="s">
        <v>215</v>
      </c>
      <c r="Z383" s="14">
        <v>20001</v>
      </c>
      <c r="AA383" s="14" t="s">
        <v>205</v>
      </c>
      <c r="AB383" s="14">
        <v>40001</v>
      </c>
      <c r="AE383" s="29" t="s">
        <v>121</v>
      </c>
      <c r="AF383" s="14" t="s">
        <v>213</v>
      </c>
      <c r="AG383" s="14" t="s">
        <v>89</v>
      </c>
    </row>
    <row r="384" spans="2:33">
      <c r="B384" s="14">
        <f>10000000+INDEX(编号表!$B:$B,MATCH(H384,编号表!$A:$A,0))*100000+INDEX(编号表!$F:$F,MATCH(D384,编号表!$E:$E,0))*10000+INDEX(编号表!$D:$D,MATCH(AG384,编号表!$C:$C,0))*1000+F384</f>
        <v>11563003</v>
      </c>
      <c r="C384" s="14" t="s">
        <v>544</v>
      </c>
      <c r="D384" s="14" t="s">
        <v>362</v>
      </c>
      <c r="E384" s="14" t="s">
        <v>89</v>
      </c>
      <c r="F384" s="14">
        <v>3</v>
      </c>
      <c r="G384" s="14">
        <v>60</v>
      </c>
      <c r="H384" s="31" t="s">
        <v>228</v>
      </c>
      <c r="I384" s="14" t="s">
        <v>75</v>
      </c>
      <c r="J384" s="14" t="s">
        <v>201</v>
      </c>
      <c r="K384" s="14">
        <v>1</v>
      </c>
      <c r="L384" s="14" t="s">
        <v>213</v>
      </c>
      <c r="N384" s="14">
        <v>0</v>
      </c>
      <c r="O384" s="14" t="b">
        <v>1</v>
      </c>
      <c r="Q384" s="14" t="b">
        <v>0</v>
      </c>
      <c r="R384" s="14">
        <v>1</v>
      </c>
      <c r="S384" s="14" t="s">
        <v>77</v>
      </c>
      <c r="T384" s="14">
        <v>999</v>
      </c>
      <c r="U384" s="14" t="s">
        <v>214</v>
      </c>
      <c r="V384" s="14">
        <v>31563003</v>
      </c>
      <c r="X384" s="14" t="s">
        <v>204</v>
      </c>
      <c r="Y384" s="14" t="s">
        <v>215</v>
      </c>
      <c r="Z384" s="14">
        <v>20001</v>
      </c>
      <c r="AA384" s="14" t="s">
        <v>205</v>
      </c>
      <c r="AB384" s="14">
        <v>40001</v>
      </c>
      <c r="AE384" s="29" t="s">
        <v>121</v>
      </c>
      <c r="AF384" s="14" t="s">
        <v>213</v>
      </c>
      <c r="AG384" s="14" t="s">
        <v>89</v>
      </c>
    </row>
    <row r="385" spans="2:33">
      <c r="B385" s="14">
        <f>10000000+INDEX(编号表!$B:$B,MATCH(H385,编号表!$A:$A,0))*100000+INDEX(编号表!$F:$F,MATCH(D385,编号表!$E:$E,0))*10000+INDEX(编号表!$D:$D,MATCH(AG385,编号表!$C:$C,0))*1000+F385</f>
        <v>11563004</v>
      </c>
      <c r="C385" s="14" t="s">
        <v>545</v>
      </c>
      <c r="D385" s="14" t="s">
        <v>362</v>
      </c>
      <c r="E385" s="14" t="s">
        <v>89</v>
      </c>
      <c r="F385" s="14">
        <v>4</v>
      </c>
      <c r="G385" s="14">
        <v>60</v>
      </c>
      <c r="H385" s="31" t="s">
        <v>228</v>
      </c>
      <c r="I385" s="14" t="s">
        <v>75</v>
      </c>
      <c r="J385" s="14" t="s">
        <v>201</v>
      </c>
      <c r="K385" s="14">
        <v>1</v>
      </c>
      <c r="L385" s="14" t="s">
        <v>213</v>
      </c>
      <c r="N385" s="14">
        <v>0</v>
      </c>
      <c r="O385" s="14" t="b">
        <v>1</v>
      </c>
      <c r="Q385" s="14" t="b">
        <v>0</v>
      </c>
      <c r="R385" s="14">
        <v>1</v>
      </c>
      <c r="S385" s="14" t="s">
        <v>77</v>
      </c>
      <c r="T385" s="14">
        <v>999</v>
      </c>
      <c r="U385" s="14" t="s">
        <v>214</v>
      </c>
      <c r="V385" s="14">
        <v>31563004</v>
      </c>
      <c r="X385" s="14" t="s">
        <v>204</v>
      </c>
      <c r="Y385" s="14" t="s">
        <v>215</v>
      </c>
      <c r="Z385" s="14">
        <v>20001</v>
      </c>
      <c r="AA385" s="14" t="s">
        <v>205</v>
      </c>
      <c r="AB385" s="14">
        <v>40001</v>
      </c>
      <c r="AE385" s="29" t="s">
        <v>121</v>
      </c>
      <c r="AF385" s="14" t="s">
        <v>213</v>
      </c>
      <c r="AG385" s="14" t="s">
        <v>89</v>
      </c>
    </row>
    <row r="386" spans="2:33">
      <c r="B386" s="14">
        <f>10000000+INDEX(编号表!$B:$B,MATCH(H386,编号表!$A:$A,0))*100000+INDEX(编号表!$F:$F,MATCH(D386,编号表!$E:$E,0))*10000+INDEX(编号表!$D:$D,MATCH(AG386,编号表!$C:$C,0))*1000+F386</f>
        <v>11563005</v>
      </c>
      <c r="C386" s="14" t="s">
        <v>546</v>
      </c>
      <c r="D386" s="14" t="s">
        <v>362</v>
      </c>
      <c r="E386" s="14" t="s">
        <v>89</v>
      </c>
      <c r="F386" s="14">
        <v>5</v>
      </c>
      <c r="G386" s="14">
        <v>60</v>
      </c>
      <c r="H386" s="31" t="s">
        <v>228</v>
      </c>
      <c r="I386" s="14" t="s">
        <v>75</v>
      </c>
      <c r="J386" s="14" t="s">
        <v>201</v>
      </c>
      <c r="K386" s="14">
        <v>1</v>
      </c>
      <c r="L386" s="14" t="s">
        <v>213</v>
      </c>
      <c r="N386" s="14">
        <v>0</v>
      </c>
      <c r="O386" s="14" t="b">
        <v>1</v>
      </c>
      <c r="Q386" s="14" t="b">
        <v>0</v>
      </c>
      <c r="R386" s="14">
        <v>1</v>
      </c>
      <c r="S386" s="14" t="s">
        <v>77</v>
      </c>
      <c r="T386" s="14">
        <v>999</v>
      </c>
      <c r="U386" s="14" t="s">
        <v>214</v>
      </c>
      <c r="V386" s="14">
        <v>31563005</v>
      </c>
      <c r="X386" s="14" t="s">
        <v>204</v>
      </c>
      <c r="Y386" s="14" t="s">
        <v>215</v>
      </c>
      <c r="Z386" s="14">
        <v>20001</v>
      </c>
      <c r="AA386" s="14" t="s">
        <v>205</v>
      </c>
      <c r="AB386" s="14">
        <v>40001</v>
      </c>
      <c r="AE386" s="29" t="s">
        <v>121</v>
      </c>
      <c r="AF386" s="14" t="s">
        <v>213</v>
      </c>
      <c r="AG386" s="14" t="s">
        <v>89</v>
      </c>
    </row>
    <row r="387" spans="2:33">
      <c r="B387" s="14">
        <f>10000000+INDEX(编号表!$B:$B,MATCH(H387,编号表!$A:$A,0))*100000+INDEX(编号表!$F:$F,MATCH(D387,编号表!$E:$E,0))*10000+INDEX(编号表!$D:$D,MATCH(AG387,编号表!$C:$C,0))*1000+F387</f>
        <v>11563006</v>
      </c>
      <c r="C387" s="14" t="s">
        <v>547</v>
      </c>
      <c r="D387" s="14" t="s">
        <v>362</v>
      </c>
      <c r="E387" s="14" t="s">
        <v>89</v>
      </c>
      <c r="F387" s="14">
        <v>6</v>
      </c>
      <c r="G387" s="14">
        <v>60</v>
      </c>
      <c r="H387" s="31" t="s">
        <v>228</v>
      </c>
      <c r="I387" s="14" t="s">
        <v>75</v>
      </c>
      <c r="J387" s="14" t="s">
        <v>201</v>
      </c>
      <c r="K387" s="14">
        <v>1</v>
      </c>
      <c r="L387" s="14" t="s">
        <v>213</v>
      </c>
      <c r="N387" s="14">
        <v>0</v>
      </c>
      <c r="O387" s="14" t="b">
        <v>1</v>
      </c>
      <c r="Q387" s="14" t="b">
        <v>0</v>
      </c>
      <c r="R387" s="14">
        <v>1</v>
      </c>
      <c r="S387" s="14" t="s">
        <v>77</v>
      </c>
      <c r="T387" s="14">
        <v>999</v>
      </c>
      <c r="U387" s="14" t="s">
        <v>214</v>
      </c>
      <c r="V387" s="14">
        <v>31563006</v>
      </c>
      <c r="X387" s="14" t="s">
        <v>204</v>
      </c>
      <c r="Y387" s="14" t="s">
        <v>215</v>
      </c>
      <c r="Z387" s="14">
        <v>20001</v>
      </c>
      <c r="AA387" s="14" t="s">
        <v>205</v>
      </c>
      <c r="AB387" s="14">
        <v>40001</v>
      </c>
      <c r="AE387" s="29" t="s">
        <v>121</v>
      </c>
      <c r="AF387" s="14" t="s">
        <v>213</v>
      </c>
      <c r="AG387" s="14" t="s">
        <v>89</v>
      </c>
    </row>
    <row r="388" spans="2:33">
      <c r="B388" s="14">
        <f>10000000+INDEX(编号表!$B:$B,MATCH(H388,编号表!$A:$A,0))*100000+INDEX(编号表!$F:$F,MATCH(D388,编号表!$E:$E,0))*10000+INDEX(编号表!$D:$D,MATCH(AG388,编号表!$C:$C,0))*1000+F388</f>
        <v>11563007</v>
      </c>
      <c r="C388" s="14" t="s">
        <v>548</v>
      </c>
      <c r="D388" s="14" t="s">
        <v>362</v>
      </c>
      <c r="E388" s="14" t="s">
        <v>89</v>
      </c>
      <c r="F388" s="14">
        <v>7</v>
      </c>
      <c r="G388" s="14">
        <v>60</v>
      </c>
      <c r="H388" s="31" t="s">
        <v>228</v>
      </c>
      <c r="I388" s="14" t="s">
        <v>75</v>
      </c>
      <c r="J388" s="14" t="s">
        <v>201</v>
      </c>
      <c r="K388" s="14">
        <v>1</v>
      </c>
      <c r="L388" s="14" t="s">
        <v>213</v>
      </c>
      <c r="N388" s="14">
        <v>0</v>
      </c>
      <c r="O388" s="14" t="b">
        <v>1</v>
      </c>
      <c r="Q388" s="14" t="b">
        <v>0</v>
      </c>
      <c r="R388" s="14">
        <v>1</v>
      </c>
      <c r="S388" s="14" t="s">
        <v>77</v>
      </c>
      <c r="T388" s="14">
        <v>999</v>
      </c>
      <c r="U388" s="14" t="s">
        <v>214</v>
      </c>
      <c r="V388" s="14">
        <v>31563007</v>
      </c>
      <c r="X388" s="14" t="s">
        <v>204</v>
      </c>
      <c r="Y388" s="14" t="s">
        <v>215</v>
      </c>
      <c r="Z388" s="14">
        <v>20001</v>
      </c>
      <c r="AA388" s="14" t="s">
        <v>205</v>
      </c>
      <c r="AB388" s="14">
        <v>40001</v>
      </c>
      <c r="AE388" s="29" t="s">
        <v>121</v>
      </c>
      <c r="AF388" s="14" t="s">
        <v>213</v>
      </c>
      <c r="AG388" s="14" t="s">
        <v>89</v>
      </c>
    </row>
    <row r="389" spans="2:33">
      <c r="B389" s="14">
        <f>10000000+INDEX(编号表!$B:$B,MATCH(H389,编号表!$A:$A,0))*100000+INDEX(编号表!$F:$F,MATCH(D389,编号表!$E:$E,0))*10000+INDEX(编号表!$D:$D,MATCH(AG389,编号表!$C:$C,0))*1000+F389</f>
        <v>11563008</v>
      </c>
      <c r="C389" s="14" t="s">
        <v>549</v>
      </c>
      <c r="D389" s="14" t="s">
        <v>362</v>
      </c>
      <c r="E389" s="14" t="s">
        <v>89</v>
      </c>
      <c r="F389" s="14">
        <v>8</v>
      </c>
      <c r="G389" s="14">
        <v>60</v>
      </c>
      <c r="H389" s="31" t="s">
        <v>228</v>
      </c>
      <c r="I389" s="14" t="s">
        <v>75</v>
      </c>
      <c r="J389" s="14" t="s">
        <v>201</v>
      </c>
      <c r="K389" s="14">
        <v>1</v>
      </c>
      <c r="L389" s="14" t="s">
        <v>213</v>
      </c>
      <c r="N389" s="14">
        <v>0</v>
      </c>
      <c r="O389" s="14" t="b">
        <v>1</v>
      </c>
      <c r="Q389" s="14" t="b">
        <v>0</v>
      </c>
      <c r="R389" s="14">
        <v>1</v>
      </c>
      <c r="S389" s="14" t="s">
        <v>77</v>
      </c>
      <c r="T389" s="14">
        <v>999</v>
      </c>
      <c r="U389" s="14" t="s">
        <v>214</v>
      </c>
      <c r="V389" s="14">
        <v>31563008</v>
      </c>
      <c r="X389" s="14" t="s">
        <v>204</v>
      </c>
      <c r="Y389" s="14" t="s">
        <v>215</v>
      </c>
      <c r="Z389" s="14">
        <v>20001</v>
      </c>
      <c r="AA389" s="14" t="s">
        <v>205</v>
      </c>
      <c r="AB389" s="14">
        <v>40001</v>
      </c>
      <c r="AE389" s="29" t="s">
        <v>121</v>
      </c>
      <c r="AF389" s="14" t="s">
        <v>213</v>
      </c>
      <c r="AG389" s="14" t="s">
        <v>89</v>
      </c>
    </row>
    <row r="390" spans="2:33">
      <c r="B390" s="14">
        <f>10000000+INDEX(编号表!$B:$B,MATCH(H390,编号表!$A:$A,0))*100000+INDEX(编号表!$F:$F,MATCH(D390,编号表!$E:$E,0))*10000+INDEX(编号表!$D:$D,MATCH(AG390,编号表!$C:$C,0))*1000+F390</f>
        <v>11563009</v>
      </c>
      <c r="C390" s="14" t="s">
        <v>550</v>
      </c>
      <c r="D390" s="14" t="s">
        <v>362</v>
      </c>
      <c r="E390" s="14" t="s">
        <v>89</v>
      </c>
      <c r="F390" s="14">
        <v>9</v>
      </c>
      <c r="G390" s="14">
        <v>60</v>
      </c>
      <c r="H390" s="31" t="s">
        <v>228</v>
      </c>
      <c r="I390" s="14" t="s">
        <v>75</v>
      </c>
      <c r="J390" s="14" t="s">
        <v>201</v>
      </c>
      <c r="K390" s="14">
        <v>1</v>
      </c>
      <c r="L390" s="14" t="s">
        <v>213</v>
      </c>
      <c r="N390" s="14">
        <v>0</v>
      </c>
      <c r="O390" s="14" t="b">
        <v>1</v>
      </c>
      <c r="Q390" s="14" t="b">
        <v>0</v>
      </c>
      <c r="R390" s="14">
        <v>1</v>
      </c>
      <c r="S390" s="14" t="s">
        <v>77</v>
      </c>
      <c r="T390" s="14">
        <v>999</v>
      </c>
      <c r="U390" s="14" t="s">
        <v>214</v>
      </c>
      <c r="V390" s="14">
        <v>31563009</v>
      </c>
      <c r="X390" s="14" t="s">
        <v>204</v>
      </c>
      <c r="Y390" s="14" t="s">
        <v>215</v>
      </c>
      <c r="Z390" s="14">
        <v>20001</v>
      </c>
      <c r="AA390" s="14" t="s">
        <v>205</v>
      </c>
      <c r="AB390" s="14">
        <v>40001</v>
      </c>
      <c r="AE390" s="29" t="s">
        <v>121</v>
      </c>
      <c r="AF390" s="14" t="s">
        <v>213</v>
      </c>
      <c r="AG390" s="14" t="s">
        <v>89</v>
      </c>
    </row>
    <row r="391" spans="2:33">
      <c r="B391" s="14">
        <f>10000000+INDEX(编号表!$B:$B,MATCH(H391,编号表!$A:$A,0))*100000+INDEX(编号表!$F:$F,MATCH(D391,编号表!$E:$E,0))*10000+INDEX(编号表!$D:$D,MATCH(AG391,编号表!$C:$C,0))*1000+F391</f>
        <v>11463000</v>
      </c>
      <c r="C391" s="14" t="s">
        <v>551</v>
      </c>
      <c r="D391" s="14" t="s">
        <v>362</v>
      </c>
      <c r="E391" s="14" t="s">
        <v>89</v>
      </c>
      <c r="F391" s="14">
        <v>0</v>
      </c>
      <c r="G391" s="14">
        <v>60</v>
      </c>
      <c r="H391" s="31" t="s">
        <v>239</v>
      </c>
      <c r="I391" s="14" t="s">
        <v>75</v>
      </c>
      <c r="J391" s="14" t="s">
        <v>201</v>
      </c>
      <c r="K391" s="14">
        <v>1</v>
      </c>
      <c r="L391" s="14" t="s">
        <v>213</v>
      </c>
      <c r="N391" s="14">
        <v>0</v>
      </c>
      <c r="O391" s="14" t="b">
        <v>1</v>
      </c>
      <c r="Q391" s="14" t="b">
        <v>0</v>
      </c>
      <c r="R391" s="14">
        <v>1</v>
      </c>
      <c r="S391" s="14" t="s">
        <v>77</v>
      </c>
      <c r="T391" s="14">
        <v>999</v>
      </c>
      <c r="U391" s="14" t="s">
        <v>214</v>
      </c>
      <c r="V391" s="14">
        <v>31463000</v>
      </c>
      <c r="X391" s="14" t="s">
        <v>204</v>
      </c>
      <c r="Y391" s="14" t="s">
        <v>215</v>
      </c>
      <c r="Z391" s="14">
        <v>20001</v>
      </c>
      <c r="AA391" s="14" t="s">
        <v>205</v>
      </c>
      <c r="AB391" s="14">
        <v>40001</v>
      </c>
      <c r="AE391" s="29" t="s">
        <v>121</v>
      </c>
      <c r="AF391" s="14" t="s">
        <v>213</v>
      </c>
      <c r="AG391" s="14" t="s">
        <v>89</v>
      </c>
    </row>
    <row r="392" spans="2:33">
      <c r="B392" s="14">
        <f>10000000+INDEX(编号表!$B:$B,MATCH(H392,编号表!$A:$A,0))*100000+INDEX(编号表!$F:$F,MATCH(D392,编号表!$E:$E,0))*10000+INDEX(编号表!$D:$D,MATCH(AG392,编号表!$C:$C,0))*1000+F392</f>
        <v>11463001</v>
      </c>
      <c r="C392" s="14" t="s">
        <v>552</v>
      </c>
      <c r="D392" s="14" t="s">
        <v>362</v>
      </c>
      <c r="E392" s="14" t="s">
        <v>89</v>
      </c>
      <c r="F392" s="14">
        <v>1</v>
      </c>
      <c r="G392" s="14">
        <v>60</v>
      </c>
      <c r="H392" s="31" t="s">
        <v>239</v>
      </c>
      <c r="I392" s="14" t="s">
        <v>75</v>
      </c>
      <c r="J392" s="14" t="s">
        <v>201</v>
      </c>
      <c r="K392" s="14">
        <v>1</v>
      </c>
      <c r="L392" s="14" t="s">
        <v>213</v>
      </c>
      <c r="N392" s="14">
        <v>0</v>
      </c>
      <c r="O392" s="14" t="b">
        <v>1</v>
      </c>
      <c r="Q392" s="14" t="b">
        <v>0</v>
      </c>
      <c r="R392" s="14">
        <v>1</v>
      </c>
      <c r="S392" s="14" t="s">
        <v>77</v>
      </c>
      <c r="T392" s="14">
        <v>999</v>
      </c>
      <c r="U392" s="14" t="s">
        <v>214</v>
      </c>
      <c r="V392" s="14">
        <v>31463001</v>
      </c>
      <c r="X392" s="14" t="s">
        <v>204</v>
      </c>
      <c r="Y392" s="14" t="s">
        <v>215</v>
      </c>
      <c r="Z392" s="14">
        <v>20001</v>
      </c>
      <c r="AA392" s="14" t="s">
        <v>205</v>
      </c>
      <c r="AB392" s="14">
        <v>40001</v>
      </c>
      <c r="AE392" s="29" t="s">
        <v>121</v>
      </c>
      <c r="AF392" s="14" t="s">
        <v>213</v>
      </c>
      <c r="AG392" s="14" t="s">
        <v>89</v>
      </c>
    </row>
    <row r="393" spans="2:33">
      <c r="B393" s="14">
        <f>10000000+INDEX(编号表!$B:$B,MATCH(H393,编号表!$A:$A,0))*100000+INDEX(编号表!$F:$F,MATCH(D393,编号表!$E:$E,0))*10000+INDEX(编号表!$D:$D,MATCH(AG393,编号表!$C:$C,0))*1000+F393</f>
        <v>11463002</v>
      </c>
      <c r="C393" s="14" t="s">
        <v>553</v>
      </c>
      <c r="D393" s="14" t="s">
        <v>362</v>
      </c>
      <c r="E393" s="14" t="s">
        <v>89</v>
      </c>
      <c r="F393" s="14">
        <v>2</v>
      </c>
      <c r="G393" s="14">
        <v>60</v>
      </c>
      <c r="H393" s="31" t="s">
        <v>239</v>
      </c>
      <c r="I393" s="14" t="s">
        <v>75</v>
      </c>
      <c r="J393" s="14" t="s">
        <v>201</v>
      </c>
      <c r="K393" s="14">
        <v>1</v>
      </c>
      <c r="L393" s="14" t="s">
        <v>213</v>
      </c>
      <c r="N393" s="14">
        <v>0</v>
      </c>
      <c r="O393" s="14" t="b">
        <v>1</v>
      </c>
      <c r="Q393" s="14" t="b">
        <v>0</v>
      </c>
      <c r="R393" s="14">
        <v>1</v>
      </c>
      <c r="S393" s="14" t="s">
        <v>77</v>
      </c>
      <c r="T393" s="14">
        <v>999</v>
      </c>
      <c r="U393" s="14" t="s">
        <v>214</v>
      </c>
      <c r="V393" s="14">
        <v>31463002</v>
      </c>
      <c r="X393" s="14" t="s">
        <v>204</v>
      </c>
      <c r="Y393" s="14" t="s">
        <v>215</v>
      </c>
      <c r="Z393" s="14">
        <v>20001</v>
      </c>
      <c r="AA393" s="14" t="s">
        <v>205</v>
      </c>
      <c r="AB393" s="14">
        <v>40001</v>
      </c>
      <c r="AE393" s="29" t="s">
        <v>121</v>
      </c>
      <c r="AF393" s="14" t="s">
        <v>213</v>
      </c>
      <c r="AG393" s="14" t="s">
        <v>89</v>
      </c>
    </row>
    <row r="394" spans="2:33">
      <c r="B394" s="14">
        <f>10000000+INDEX(编号表!$B:$B,MATCH(H394,编号表!$A:$A,0))*100000+INDEX(编号表!$F:$F,MATCH(D394,编号表!$E:$E,0))*10000+INDEX(编号表!$D:$D,MATCH(AG394,编号表!$C:$C,0))*1000+F394</f>
        <v>11463003</v>
      </c>
      <c r="C394" s="14" t="s">
        <v>554</v>
      </c>
      <c r="D394" s="14" t="s">
        <v>362</v>
      </c>
      <c r="E394" s="14" t="s">
        <v>89</v>
      </c>
      <c r="F394" s="14">
        <v>3</v>
      </c>
      <c r="G394" s="14">
        <v>60</v>
      </c>
      <c r="H394" s="31" t="s">
        <v>239</v>
      </c>
      <c r="I394" s="14" t="s">
        <v>75</v>
      </c>
      <c r="J394" s="14" t="s">
        <v>201</v>
      </c>
      <c r="K394" s="14">
        <v>1</v>
      </c>
      <c r="L394" s="14" t="s">
        <v>213</v>
      </c>
      <c r="N394" s="14">
        <v>0</v>
      </c>
      <c r="O394" s="14" t="b">
        <v>1</v>
      </c>
      <c r="Q394" s="14" t="b">
        <v>0</v>
      </c>
      <c r="R394" s="14">
        <v>1</v>
      </c>
      <c r="S394" s="14" t="s">
        <v>77</v>
      </c>
      <c r="T394" s="14">
        <v>999</v>
      </c>
      <c r="U394" s="14" t="s">
        <v>214</v>
      </c>
      <c r="V394" s="14">
        <v>31463003</v>
      </c>
      <c r="X394" s="14" t="s">
        <v>204</v>
      </c>
      <c r="Y394" s="14" t="s">
        <v>215</v>
      </c>
      <c r="Z394" s="14">
        <v>20001</v>
      </c>
      <c r="AA394" s="14" t="s">
        <v>205</v>
      </c>
      <c r="AB394" s="14">
        <v>40001</v>
      </c>
      <c r="AE394" s="29" t="s">
        <v>121</v>
      </c>
      <c r="AF394" s="14" t="s">
        <v>213</v>
      </c>
      <c r="AG394" s="14" t="s">
        <v>89</v>
      </c>
    </row>
    <row r="395" spans="2:33">
      <c r="B395" s="14">
        <f>10000000+INDEX(编号表!$B:$B,MATCH(H395,编号表!$A:$A,0))*100000+INDEX(编号表!$F:$F,MATCH(D395,编号表!$E:$E,0))*10000+INDEX(编号表!$D:$D,MATCH(AG395,编号表!$C:$C,0))*1000+F395</f>
        <v>11663000</v>
      </c>
      <c r="C395" s="14" t="s">
        <v>555</v>
      </c>
      <c r="D395" s="14" t="s">
        <v>362</v>
      </c>
      <c r="E395" s="14" t="s">
        <v>89</v>
      </c>
      <c r="F395" s="14">
        <v>0</v>
      </c>
      <c r="G395" s="14">
        <v>60</v>
      </c>
      <c r="H395" s="31" t="s">
        <v>244</v>
      </c>
      <c r="I395" s="14" t="s">
        <v>75</v>
      </c>
      <c r="J395" s="14" t="s">
        <v>201</v>
      </c>
      <c r="K395" s="14">
        <v>1</v>
      </c>
      <c r="L395" s="14" t="s">
        <v>213</v>
      </c>
      <c r="N395" s="14">
        <v>0</v>
      </c>
      <c r="O395" s="14" t="b">
        <v>1</v>
      </c>
      <c r="Q395" s="14" t="b">
        <v>0</v>
      </c>
      <c r="R395" s="14">
        <v>1</v>
      </c>
      <c r="S395" s="14" t="s">
        <v>77</v>
      </c>
      <c r="T395" s="14">
        <v>999</v>
      </c>
      <c r="U395" s="14" t="s">
        <v>214</v>
      </c>
      <c r="V395" s="14">
        <v>31663000</v>
      </c>
      <c r="X395" s="14" t="s">
        <v>204</v>
      </c>
      <c r="Y395" s="14" t="s">
        <v>215</v>
      </c>
      <c r="Z395" s="14">
        <v>20001</v>
      </c>
      <c r="AA395" s="14" t="s">
        <v>205</v>
      </c>
      <c r="AB395" s="14">
        <v>40001</v>
      </c>
      <c r="AE395" s="29" t="s">
        <v>121</v>
      </c>
      <c r="AF395" s="14" t="s">
        <v>213</v>
      </c>
      <c r="AG395" s="14" t="s">
        <v>89</v>
      </c>
    </row>
    <row r="396" spans="2:33">
      <c r="B396" s="14">
        <f>10000000+INDEX(编号表!$B:$B,MATCH(H396,编号表!$A:$A,0))*100000+INDEX(编号表!$F:$F,MATCH(D396,编号表!$E:$E,0))*10000+INDEX(编号表!$D:$D,MATCH(AG396,编号表!$C:$C,0))*1000+F396</f>
        <v>11663001</v>
      </c>
      <c r="C396" s="14" t="s">
        <v>556</v>
      </c>
      <c r="D396" s="14" t="s">
        <v>362</v>
      </c>
      <c r="E396" s="14" t="s">
        <v>89</v>
      </c>
      <c r="F396" s="14">
        <v>1</v>
      </c>
      <c r="G396" s="14">
        <v>60</v>
      </c>
      <c r="H396" s="31" t="s">
        <v>244</v>
      </c>
      <c r="I396" s="14" t="s">
        <v>75</v>
      </c>
      <c r="J396" s="14" t="s">
        <v>201</v>
      </c>
      <c r="K396" s="14">
        <v>1</v>
      </c>
      <c r="L396" s="14" t="s">
        <v>213</v>
      </c>
      <c r="N396" s="14">
        <v>0</v>
      </c>
      <c r="O396" s="14" t="b">
        <v>1</v>
      </c>
      <c r="Q396" s="14" t="b">
        <v>0</v>
      </c>
      <c r="R396" s="14">
        <v>1</v>
      </c>
      <c r="S396" s="14" t="s">
        <v>77</v>
      </c>
      <c r="T396" s="14">
        <v>999</v>
      </c>
      <c r="U396" s="14" t="s">
        <v>214</v>
      </c>
      <c r="V396" s="14">
        <v>31663001</v>
      </c>
      <c r="X396" s="14" t="s">
        <v>204</v>
      </c>
      <c r="Y396" s="14" t="s">
        <v>215</v>
      </c>
      <c r="Z396" s="14">
        <v>20001</v>
      </c>
      <c r="AA396" s="14" t="s">
        <v>205</v>
      </c>
      <c r="AB396" s="14">
        <v>40001</v>
      </c>
      <c r="AE396" s="29" t="s">
        <v>121</v>
      </c>
      <c r="AF396" s="14" t="s">
        <v>213</v>
      </c>
      <c r="AG396" s="14" t="s">
        <v>89</v>
      </c>
    </row>
    <row r="397" spans="2:33">
      <c r="B397" s="14">
        <f>10000000+INDEX(编号表!$B:$B,MATCH(H397,编号表!$A:$A,0))*100000+INDEX(编号表!$F:$F,MATCH(D397,编号表!$E:$E,0))*10000+INDEX(编号表!$D:$D,MATCH(AG397,编号表!$C:$C,0))*1000+F397</f>
        <v>11663002</v>
      </c>
      <c r="C397" s="14" t="s">
        <v>557</v>
      </c>
      <c r="D397" s="14" t="s">
        <v>362</v>
      </c>
      <c r="E397" s="14" t="s">
        <v>89</v>
      </c>
      <c r="F397" s="14">
        <v>2</v>
      </c>
      <c r="G397" s="14">
        <v>60</v>
      </c>
      <c r="H397" s="31" t="s">
        <v>244</v>
      </c>
      <c r="I397" s="14" t="s">
        <v>75</v>
      </c>
      <c r="J397" s="14" t="s">
        <v>201</v>
      </c>
      <c r="K397" s="14">
        <v>1</v>
      </c>
      <c r="L397" s="14" t="s">
        <v>213</v>
      </c>
      <c r="N397" s="14">
        <v>0</v>
      </c>
      <c r="O397" s="14" t="b">
        <v>1</v>
      </c>
      <c r="Q397" s="14" t="b">
        <v>0</v>
      </c>
      <c r="R397" s="14">
        <v>1</v>
      </c>
      <c r="S397" s="14" t="s">
        <v>77</v>
      </c>
      <c r="T397" s="14">
        <v>999</v>
      </c>
      <c r="U397" s="14" t="s">
        <v>214</v>
      </c>
      <c r="V397" s="14">
        <v>31663002</v>
      </c>
      <c r="X397" s="14" t="s">
        <v>204</v>
      </c>
      <c r="Y397" s="14" t="s">
        <v>215</v>
      </c>
      <c r="Z397" s="14">
        <v>20001</v>
      </c>
      <c r="AA397" s="14" t="s">
        <v>205</v>
      </c>
      <c r="AB397" s="14">
        <v>40001</v>
      </c>
      <c r="AE397" s="29" t="s">
        <v>121</v>
      </c>
      <c r="AF397" s="14" t="s">
        <v>213</v>
      </c>
      <c r="AG397" s="14" t="s">
        <v>89</v>
      </c>
    </row>
    <row r="398" spans="2:33">
      <c r="B398" s="14">
        <f>10000000+INDEX(编号表!$B:$B,MATCH(H398,编号表!$A:$A,0))*100000+INDEX(编号表!$F:$F,MATCH(D398,编号表!$E:$E,0))*10000+INDEX(编号表!$D:$D,MATCH(AG398,编号表!$C:$C,0))*1000+F398</f>
        <v>11214000</v>
      </c>
      <c r="C398" s="14" t="s">
        <v>558</v>
      </c>
      <c r="D398" s="14" t="s">
        <v>72</v>
      </c>
      <c r="E398" s="14" t="s">
        <v>92</v>
      </c>
      <c r="F398" s="14">
        <v>0</v>
      </c>
      <c r="G398" s="14">
        <v>60</v>
      </c>
      <c r="H398" s="31" t="s">
        <v>212</v>
      </c>
      <c r="I398" s="14" t="s">
        <v>75</v>
      </c>
      <c r="J398" s="14" t="s">
        <v>201</v>
      </c>
      <c r="K398" s="14">
        <v>1</v>
      </c>
      <c r="L398" s="14" t="s">
        <v>213</v>
      </c>
      <c r="N398" s="14">
        <v>0</v>
      </c>
      <c r="O398" s="14" t="b">
        <v>1</v>
      </c>
      <c r="Q398" s="14" t="b">
        <v>0</v>
      </c>
      <c r="R398" s="14">
        <v>1</v>
      </c>
      <c r="S398" s="14" t="s">
        <v>77</v>
      </c>
      <c r="T398" s="14">
        <v>999</v>
      </c>
      <c r="U398" s="14" t="s">
        <v>214</v>
      </c>
      <c r="V398" s="14">
        <v>31214000</v>
      </c>
      <c r="X398" s="14" t="s">
        <v>204</v>
      </c>
      <c r="Y398" s="14" t="s">
        <v>215</v>
      </c>
      <c r="Z398" s="14">
        <v>20001</v>
      </c>
      <c r="AA398" s="14" t="s">
        <v>205</v>
      </c>
      <c r="AB398" s="14">
        <v>40001</v>
      </c>
      <c r="AE398" s="29" t="s">
        <v>121</v>
      </c>
      <c r="AF398" s="14" t="s">
        <v>213</v>
      </c>
      <c r="AG398" s="14" t="s">
        <v>92</v>
      </c>
    </row>
    <row r="399" spans="2:33">
      <c r="B399" s="14">
        <f>10000000+INDEX(编号表!$B:$B,MATCH(H399,编号表!$A:$A,0))*100000+INDEX(编号表!$F:$F,MATCH(D399,编号表!$E:$E,0))*10000+INDEX(编号表!$D:$D,MATCH(AG399,编号表!$C:$C,0))*1000+F399</f>
        <v>11314000</v>
      </c>
      <c r="C399" s="14" t="s">
        <v>559</v>
      </c>
      <c r="D399" s="14" t="s">
        <v>72</v>
      </c>
      <c r="E399" s="14" t="s">
        <v>92</v>
      </c>
      <c r="F399" s="14">
        <v>0</v>
      </c>
      <c r="G399" s="14">
        <v>60</v>
      </c>
      <c r="H399" s="31" t="s">
        <v>217</v>
      </c>
      <c r="I399" s="14" t="s">
        <v>75</v>
      </c>
      <c r="J399" s="14" t="s">
        <v>201</v>
      </c>
      <c r="K399" s="14">
        <v>1</v>
      </c>
      <c r="L399" s="14" t="s">
        <v>213</v>
      </c>
      <c r="N399" s="14">
        <v>0</v>
      </c>
      <c r="O399" s="14" t="b">
        <v>1</v>
      </c>
      <c r="Q399" s="14" t="b">
        <v>0</v>
      </c>
      <c r="R399" s="14">
        <v>1</v>
      </c>
      <c r="S399" s="14" t="s">
        <v>77</v>
      </c>
      <c r="T399" s="14">
        <v>999</v>
      </c>
      <c r="U399" s="14" t="s">
        <v>214</v>
      </c>
      <c r="V399" s="14">
        <v>31314000</v>
      </c>
      <c r="X399" s="14" t="s">
        <v>204</v>
      </c>
      <c r="Y399" s="14" t="s">
        <v>215</v>
      </c>
      <c r="Z399" s="14">
        <v>20001</v>
      </c>
      <c r="AA399" s="14" t="s">
        <v>205</v>
      </c>
      <c r="AB399" s="14">
        <v>40001</v>
      </c>
      <c r="AE399" s="29" t="s">
        <v>121</v>
      </c>
      <c r="AF399" s="14" t="s">
        <v>213</v>
      </c>
      <c r="AG399" s="14" t="s">
        <v>92</v>
      </c>
    </row>
    <row r="400" spans="2:33">
      <c r="B400" s="14">
        <f>10000000+INDEX(编号表!$B:$B,MATCH(H400,编号表!$A:$A,0))*100000+INDEX(编号表!$F:$F,MATCH(D400,编号表!$E:$E,0))*10000+INDEX(编号表!$D:$D,MATCH(AG400,编号表!$C:$C,0))*1000+F400</f>
        <v>11314001</v>
      </c>
      <c r="C400" s="14" t="s">
        <v>560</v>
      </c>
      <c r="D400" s="14" t="s">
        <v>72</v>
      </c>
      <c r="E400" s="14" t="s">
        <v>92</v>
      </c>
      <c r="F400" s="14">
        <v>1</v>
      </c>
      <c r="G400" s="14">
        <v>60</v>
      </c>
      <c r="H400" s="31" t="s">
        <v>217</v>
      </c>
      <c r="I400" s="14" t="s">
        <v>75</v>
      </c>
      <c r="J400" s="14" t="s">
        <v>201</v>
      </c>
      <c r="K400" s="14">
        <v>1</v>
      </c>
      <c r="L400" s="14" t="s">
        <v>213</v>
      </c>
      <c r="N400" s="14">
        <v>0</v>
      </c>
      <c r="O400" s="14" t="b">
        <v>1</v>
      </c>
      <c r="Q400" s="14" t="b">
        <v>0</v>
      </c>
      <c r="R400" s="14">
        <v>1</v>
      </c>
      <c r="S400" s="14" t="s">
        <v>77</v>
      </c>
      <c r="T400" s="14">
        <v>999</v>
      </c>
      <c r="U400" s="14" t="s">
        <v>214</v>
      </c>
      <c r="V400" s="14">
        <v>31314001</v>
      </c>
      <c r="X400" s="14" t="s">
        <v>204</v>
      </c>
      <c r="Y400" s="14" t="s">
        <v>215</v>
      </c>
      <c r="Z400" s="14">
        <v>20001</v>
      </c>
      <c r="AA400" s="14" t="s">
        <v>205</v>
      </c>
      <c r="AB400" s="14">
        <v>40001</v>
      </c>
      <c r="AE400" s="29" t="s">
        <v>121</v>
      </c>
      <c r="AF400" s="14" t="s">
        <v>213</v>
      </c>
      <c r="AG400" s="14" t="s">
        <v>92</v>
      </c>
    </row>
    <row r="401" spans="2:33">
      <c r="B401" s="14">
        <f>10000000+INDEX(编号表!$B:$B,MATCH(H401,编号表!$A:$A,0))*100000+INDEX(编号表!$F:$F,MATCH(D401,编号表!$E:$E,0))*10000+INDEX(编号表!$D:$D,MATCH(AG401,编号表!$C:$C,0))*1000+F401</f>
        <v>11314002</v>
      </c>
      <c r="C401" s="14" t="s">
        <v>561</v>
      </c>
      <c r="D401" s="14" t="s">
        <v>72</v>
      </c>
      <c r="E401" s="14" t="s">
        <v>92</v>
      </c>
      <c r="F401" s="14">
        <v>2</v>
      </c>
      <c r="G401" s="14">
        <v>60</v>
      </c>
      <c r="H401" s="31" t="s">
        <v>217</v>
      </c>
      <c r="I401" s="14" t="s">
        <v>75</v>
      </c>
      <c r="J401" s="14" t="s">
        <v>201</v>
      </c>
      <c r="K401" s="14">
        <v>1</v>
      </c>
      <c r="L401" s="14" t="s">
        <v>213</v>
      </c>
      <c r="N401" s="14">
        <v>0</v>
      </c>
      <c r="O401" s="14" t="b">
        <v>1</v>
      </c>
      <c r="Q401" s="14" t="b">
        <v>0</v>
      </c>
      <c r="R401" s="14">
        <v>1</v>
      </c>
      <c r="S401" s="14" t="s">
        <v>77</v>
      </c>
      <c r="T401" s="14">
        <v>999</v>
      </c>
      <c r="U401" s="14" t="s">
        <v>214</v>
      </c>
      <c r="V401" s="14">
        <v>31314002</v>
      </c>
      <c r="X401" s="14" t="s">
        <v>204</v>
      </c>
      <c r="Y401" s="14" t="s">
        <v>215</v>
      </c>
      <c r="Z401" s="14">
        <v>20001</v>
      </c>
      <c r="AA401" s="14" t="s">
        <v>205</v>
      </c>
      <c r="AB401" s="14">
        <v>40001</v>
      </c>
      <c r="AE401" s="29" t="s">
        <v>121</v>
      </c>
      <c r="AF401" s="14" t="s">
        <v>213</v>
      </c>
      <c r="AG401" s="14" t="s">
        <v>92</v>
      </c>
    </row>
    <row r="402" spans="2:33">
      <c r="B402" s="14">
        <f>10000000+INDEX(编号表!$B:$B,MATCH(H402,编号表!$A:$A,0))*100000+INDEX(编号表!$F:$F,MATCH(D402,编号表!$E:$E,0))*10000+INDEX(编号表!$D:$D,MATCH(AG402,编号表!$C:$C,0))*1000+F402</f>
        <v>11314003</v>
      </c>
      <c r="C402" s="14" t="s">
        <v>562</v>
      </c>
      <c r="D402" s="14" t="s">
        <v>72</v>
      </c>
      <c r="E402" s="14" t="s">
        <v>92</v>
      </c>
      <c r="F402" s="14">
        <v>3</v>
      </c>
      <c r="G402" s="14">
        <v>60</v>
      </c>
      <c r="H402" s="31" t="s">
        <v>217</v>
      </c>
      <c r="I402" s="14" t="s">
        <v>75</v>
      </c>
      <c r="J402" s="14" t="s">
        <v>201</v>
      </c>
      <c r="K402" s="14">
        <v>1</v>
      </c>
      <c r="L402" s="14" t="s">
        <v>213</v>
      </c>
      <c r="N402" s="14">
        <v>0</v>
      </c>
      <c r="O402" s="14" t="b">
        <v>1</v>
      </c>
      <c r="Q402" s="14" t="b">
        <v>0</v>
      </c>
      <c r="R402" s="14">
        <v>1</v>
      </c>
      <c r="S402" s="14" t="s">
        <v>77</v>
      </c>
      <c r="T402" s="14">
        <v>999</v>
      </c>
      <c r="U402" s="14" t="s">
        <v>214</v>
      </c>
      <c r="V402" s="14">
        <v>31314003</v>
      </c>
      <c r="X402" s="14" t="s">
        <v>204</v>
      </c>
      <c r="Y402" s="14" t="s">
        <v>215</v>
      </c>
      <c r="Z402" s="14">
        <v>20001</v>
      </c>
      <c r="AA402" s="14" t="s">
        <v>205</v>
      </c>
      <c r="AB402" s="14">
        <v>40001</v>
      </c>
      <c r="AE402" s="29" t="s">
        <v>121</v>
      </c>
      <c r="AF402" s="14" t="s">
        <v>213</v>
      </c>
      <c r="AG402" s="14" t="s">
        <v>92</v>
      </c>
    </row>
    <row r="403" spans="2:33">
      <c r="B403" s="14">
        <f>10000000+INDEX(编号表!$B:$B,MATCH(H403,编号表!$A:$A,0))*100000+INDEX(编号表!$F:$F,MATCH(D403,编号表!$E:$E,0))*10000+INDEX(编号表!$D:$D,MATCH(AG403,编号表!$C:$C,0))*1000+F403</f>
        <v>11314004</v>
      </c>
      <c r="C403" s="14" t="s">
        <v>563</v>
      </c>
      <c r="D403" s="14" t="s">
        <v>72</v>
      </c>
      <c r="E403" s="14" t="s">
        <v>92</v>
      </c>
      <c r="F403" s="14">
        <v>4</v>
      </c>
      <c r="G403" s="14">
        <v>60</v>
      </c>
      <c r="H403" s="31" t="s">
        <v>217</v>
      </c>
      <c r="I403" s="14" t="s">
        <v>75</v>
      </c>
      <c r="J403" s="14" t="s">
        <v>201</v>
      </c>
      <c r="K403" s="14">
        <v>1</v>
      </c>
      <c r="L403" s="14" t="s">
        <v>213</v>
      </c>
      <c r="N403" s="14">
        <v>0</v>
      </c>
      <c r="O403" s="14" t="b">
        <v>1</v>
      </c>
      <c r="Q403" s="14" t="b">
        <v>0</v>
      </c>
      <c r="R403" s="14">
        <v>1</v>
      </c>
      <c r="S403" s="14" t="s">
        <v>77</v>
      </c>
      <c r="T403" s="14">
        <v>999</v>
      </c>
      <c r="U403" s="14" t="s">
        <v>214</v>
      </c>
      <c r="V403" s="14">
        <v>31314004</v>
      </c>
      <c r="X403" s="14" t="s">
        <v>204</v>
      </c>
      <c r="Y403" s="14" t="s">
        <v>215</v>
      </c>
      <c r="Z403" s="14">
        <v>20001</v>
      </c>
      <c r="AA403" s="14" t="s">
        <v>205</v>
      </c>
      <c r="AB403" s="14">
        <v>40001</v>
      </c>
      <c r="AE403" s="29" t="s">
        <v>121</v>
      </c>
      <c r="AF403" s="14" t="s">
        <v>213</v>
      </c>
      <c r="AG403" s="14" t="s">
        <v>92</v>
      </c>
    </row>
    <row r="404" spans="2:33">
      <c r="B404" s="14">
        <f>10000000+INDEX(编号表!$B:$B,MATCH(H404,编号表!$A:$A,0))*100000+INDEX(编号表!$F:$F,MATCH(D404,编号表!$E:$E,0))*10000+INDEX(编号表!$D:$D,MATCH(AG404,编号表!$C:$C,0))*1000+F404</f>
        <v>11314005</v>
      </c>
      <c r="C404" s="14" t="s">
        <v>564</v>
      </c>
      <c r="D404" s="14" t="s">
        <v>72</v>
      </c>
      <c r="E404" s="14" t="s">
        <v>92</v>
      </c>
      <c r="F404" s="14">
        <v>5</v>
      </c>
      <c r="G404" s="14">
        <v>60</v>
      </c>
      <c r="H404" s="31" t="s">
        <v>217</v>
      </c>
      <c r="I404" s="14" t="s">
        <v>75</v>
      </c>
      <c r="J404" s="14" t="s">
        <v>201</v>
      </c>
      <c r="K404" s="14">
        <v>1</v>
      </c>
      <c r="L404" s="14" t="s">
        <v>213</v>
      </c>
      <c r="N404" s="14">
        <v>0</v>
      </c>
      <c r="O404" s="14" t="b">
        <v>1</v>
      </c>
      <c r="Q404" s="14" t="b">
        <v>0</v>
      </c>
      <c r="R404" s="14">
        <v>1</v>
      </c>
      <c r="S404" s="14" t="s">
        <v>77</v>
      </c>
      <c r="T404" s="14">
        <v>999</v>
      </c>
      <c r="U404" s="14" t="s">
        <v>214</v>
      </c>
      <c r="V404" s="14">
        <v>31314005</v>
      </c>
      <c r="X404" s="14" t="s">
        <v>204</v>
      </c>
      <c r="Y404" s="14" t="s">
        <v>215</v>
      </c>
      <c r="Z404" s="14">
        <v>20001</v>
      </c>
      <c r="AA404" s="14" t="s">
        <v>205</v>
      </c>
      <c r="AB404" s="14">
        <v>40001</v>
      </c>
      <c r="AE404" s="29" t="s">
        <v>121</v>
      </c>
      <c r="AF404" s="14" t="s">
        <v>213</v>
      </c>
      <c r="AG404" s="14" t="s">
        <v>92</v>
      </c>
    </row>
    <row r="405" spans="2:33">
      <c r="B405" s="14">
        <f>10000000+INDEX(编号表!$B:$B,MATCH(H405,编号表!$A:$A,0))*100000+INDEX(编号表!$F:$F,MATCH(D405,编号表!$E:$E,0))*10000+INDEX(编号表!$D:$D,MATCH(AG405,编号表!$C:$C,0))*1000+F405</f>
        <v>11314006</v>
      </c>
      <c r="C405" s="14" t="s">
        <v>565</v>
      </c>
      <c r="D405" s="14" t="s">
        <v>72</v>
      </c>
      <c r="E405" s="14" t="s">
        <v>92</v>
      </c>
      <c r="F405" s="14">
        <v>6</v>
      </c>
      <c r="G405" s="14">
        <v>60</v>
      </c>
      <c r="H405" s="31" t="s">
        <v>217</v>
      </c>
      <c r="I405" s="14" t="s">
        <v>75</v>
      </c>
      <c r="J405" s="14" t="s">
        <v>201</v>
      </c>
      <c r="K405" s="14">
        <v>1</v>
      </c>
      <c r="L405" s="14" t="s">
        <v>213</v>
      </c>
      <c r="N405" s="14">
        <v>0</v>
      </c>
      <c r="O405" s="14" t="b">
        <v>1</v>
      </c>
      <c r="Q405" s="14" t="b">
        <v>0</v>
      </c>
      <c r="R405" s="14">
        <v>1</v>
      </c>
      <c r="S405" s="14" t="s">
        <v>77</v>
      </c>
      <c r="T405" s="14">
        <v>999</v>
      </c>
      <c r="U405" s="14" t="s">
        <v>214</v>
      </c>
      <c r="V405" s="14">
        <v>31314006</v>
      </c>
      <c r="X405" s="14" t="s">
        <v>204</v>
      </c>
      <c r="Y405" s="14" t="s">
        <v>215</v>
      </c>
      <c r="Z405" s="14">
        <v>20001</v>
      </c>
      <c r="AA405" s="14" t="s">
        <v>205</v>
      </c>
      <c r="AB405" s="14">
        <v>40001</v>
      </c>
      <c r="AE405" s="29" t="s">
        <v>121</v>
      </c>
      <c r="AF405" s="14" t="s">
        <v>213</v>
      </c>
      <c r="AG405" s="14" t="s">
        <v>92</v>
      </c>
    </row>
    <row r="406" spans="2:33">
      <c r="B406" s="14">
        <f>10000000+INDEX(编号表!$B:$B,MATCH(H406,编号表!$A:$A,0))*100000+INDEX(编号表!$F:$F,MATCH(D406,编号表!$E:$E,0))*10000+INDEX(编号表!$D:$D,MATCH(AG406,编号表!$C:$C,0))*1000+F406</f>
        <v>11314007</v>
      </c>
      <c r="C406" s="14" t="s">
        <v>566</v>
      </c>
      <c r="D406" s="14" t="s">
        <v>72</v>
      </c>
      <c r="E406" s="14" t="s">
        <v>92</v>
      </c>
      <c r="F406" s="14">
        <v>7</v>
      </c>
      <c r="G406" s="14">
        <v>60</v>
      </c>
      <c r="H406" s="31" t="s">
        <v>217</v>
      </c>
      <c r="I406" s="14" t="s">
        <v>75</v>
      </c>
      <c r="J406" s="14" t="s">
        <v>201</v>
      </c>
      <c r="K406" s="14">
        <v>1</v>
      </c>
      <c r="L406" s="14" t="s">
        <v>213</v>
      </c>
      <c r="N406" s="14">
        <v>0</v>
      </c>
      <c r="O406" s="14" t="b">
        <v>1</v>
      </c>
      <c r="Q406" s="14" t="b">
        <v>0</v>
      </c>
      <c r="R406" s="14">
        <v>1</v>
      </c>
      <c r="S406" s="14" t="s">
        <v>77</v>
      </c>
      <c r="T406" s="14">
        <v>999</v>
      </c>
      <c r="U406" s="14" t="s">
        <v>214</v>
      </c>
      <c r="V406" s="14">
        <v>31314007</v>
      </c>
      <c r="X406" s="14" t="s">
        <v>204</v>
      </c>
      <c r="Y406" s="14" t="s">
        <v>215</v>
      </c>
      <c r="Z406" s="14">
        <v>20001</v>
      </c>
      <c r="AA406" s="14" t="s">
        <v>205</v>
      </c>
      <c r="AB406" s="14">
        <v>40001</v>
      </c>
      <c r="AE406" s="29" t="s">
        <v>121</v>
      </c>
      <c r="AF406" s="14" t="s">
        <v>213</v>
      </c>
      <c r="AG406" s="14" t="s">
        <v>92</v>
      </c>
    </row>
    <row r="407" spans="2:33">
      <c r="B407" s="14">
        <f>10000000+INDEX(编号表!$B:$B,MATCH(H407,编号表!$A:$A,0))*100000+INDEX(编号表!$F:$F,MATCH(D407,编号表!$E:$E,0))*10000+INDEX(编号表!$D:$D,MATCH(AG407,编号表!$C:$C,0))*1000+F407</f>
        <v>11314008</v>
      </c>
      <c r="C407" s="14" t="s">
        <v>567</v>
      </c>
      <c r="D407" s="14" t="s">
        <v>72</v>
      </c>
      <c r="E407" s="14" t="s">
        <v>92</v>
      </c>
      <c r="F407" s="14">
        <v>8</v>
      </c>
      <c r="G407" s="14">
        <v>60</v>
      </c>
      <c r="H407" s="31" t="s">
        <v>217</v>
      </c>
      <c r="I407" s="14" t="s">
        <v>75</v>
      </c>
      <c r="J407" s="14" t="s">
        <v>201</v>
      </c>
      <c r="K407" s="14">
        <v>1</v>
      </c>
      <c r="L407" s="14" t="s">
        <v>213</v>
      </c>
      <c r="N407" s="14">
        <v>0</v>
      </c>
      <c r="O407" s="14" t="b">
        <v>1</v>
      </c>
      <c r="Q407" s="14" t="b">
        <v>0</v>
      </c>
      <c r="R407" s="14">
        <v>1</v>
      </c>
      <c r="S407" s="14" t="s">
        <v>77</v>
      </c>
      <c r="T407" s="14">
        <v>999</v>
      </c>
      <c r="U407" s="14" t="s">
        <v>214</v>
      </c>
      <c r="V407" s="14">
        <v>31314008</v>
      </c>
      <c r="X407" s="14" t="s">
        <v>204</v>
      </c>
      <c r="Y407" s="14" t="s">
        <v>215</v>
      </c>
      <c r="Z407" s="14">
        <v>20001</v>
      </c>
      <c r="AA407" s="14" t="s">
        <v>205</v>
      </c>
      <c r="AB407" s="14">
        <v>40001</v>
      </c>
      <c r="AE407" s="29" t="s">
        <v>121</v>
      </c>
      <c r="AF407" s="14" t="s">
        <v>213</v>
      </c>
      <c r="AG407" s="14" t="s">
        <v>92</v>
      </c>
    </row>
    <row r="408" spans="2:33">
      <c r="B408" s="14">
        <f>10000000+INDEX(编号表!$B:$B,MATCH(H408,编号表!$A:$A,0))*100000+INDEX(编号表!$F:$F,MATCH(D408,编号表!$E:$E,0))*10000+INDEX(编号表!$D:$D,MATCH(AG408,编号表!$C:$C,0))*1000+F408</f>
        <v>11314009</v>
      </c>
      <c r="C408" s="14" t="s">
        <v>568</v>
      </c>
      <c r="D408" s="14" t="s">
        <v>72</v>
      </c>
      <c r="E408" s="14" t="s">
        <v>92</v>
      </c>
      <c r="F408" s="14">
        <v>9</v>
      </c>
      <c r="G408" s="14">
        <v>60</v>
      </c>
      <c r="H408" s="31" t="s">
        <v>217</v>
      </c>
      <c r="I408" s="14" t="s">
        <v>75</v>
      </c>
      <c r="J408" s="14" t="s">
        <v>201</v>
      </c>
      <c r="K408" s="14">
        <v>1</v>
      </c>
      <c r="L408" s="14" t="s">
        <v>213</v>
      </c>
      <c r="N408" s="14">
        <v>0</v>
      </c>
      <c r="O408" s="14" t="b">
        <v>1</v>
      </c>
      <c r="Q408" s="14" t="b">
        <v>0</v>
      </c>
      <c r="R408" s="14">
        <v>1</v>
      </c>
      <c r="S408" s="14" t="s">
        <v>77</v>
      </c>
      <c r="T408" s="14">
        <v>999</v>
      </c>
      <c r="U408" s="14" t="s">
        <v>214</v>
      </c>
      <c r="V408" s="14">
        <v>31314009</v>
      </c>
      <c r="X408" s="14" t="s">
        <v>204</v>
      </c>
      <c r="Y408" s="14" t="s">
        <v>215</v>
      </c>
      <c r="Z408" s="14">
        <v>20001</v>
      </c>
      <c r="AA408" s="14" t="s">
        <v>205</v>
      </c>
      <c r="AB408" s="14">
        <v>40001</v>
      </c>
      <c r="AE408" s="29" t="s">
        <v>121</v>
      </c>
      <c r="AF408" s="14" t="s">
        <v>213</v>
      </c>
      <c r="AG408" s="14" t="s">
        <v>92</v>
      </c>
    </row>
    <row r="409" spans="2:33">
      <c r="B409" s="14">
        <f>10000000+INDEX(编号表!$B:$B,MATCH(H409,编号表!$A:$A,0))*100000+INDEX(编号表!$F:$F,MATCH(D409,编号表!$E:$E,0))*10000+INDEX(编号表!$D:$D,MATCH(AG409,编号表!$C:$C,0))*1000+F409</f>
        <v>11514000</v>
      </c>
      <c r="C409" s="14" t="s">
        <v>569</v>
      </c>
      <c r="D409" s="14" t="s">
        <v>72</v>
      </c>
      <c r="E409" s="14" t="s">
        <v>92</v>
      </c>
      <c r="F409" s="14">
        <v>0</v>
      </c>
      <c r="G409" s="14">
        <v>60</v>
      </c>
      <c r="H409" s="31" t="s">
        <v>228</v>
      </c>
      <c r="I409" s="14" t="s">
        <v>75</v>
      </c>
      <c r="J409" s="14" t="s">
        <v>201</v>
      </c>
      <c r="K409" s="14">
        <v>1</v>
      </c>
      <c r="L409" s="14" t="s">
        <v>213</v>
      </c>
      <c r="N409" s="14">
        <v>0</v>
      </c>
      <c r="O409" s="14" t="b">
        <v>1</v>
      </c>
      <c r="Q409" s="14" t="b">
        <v>0</v>
      </c>
      <c r="R409" s="14">
        <v>1</v>
      </c>
      <c r="S409" s="14" t="s">
        <v>77</v>
      </c>
      <c r="T409" s="14">
        <v>999</v>
      </c>
      <c r="U409" s="14" t="s">
        <v>214</v>
      </c>
      <c r="V409" s="14">
        <v>31514000</v>
      </c>
      <c r="X409" s="14" t="s">
        <v>204</v>
      </c>
      <c r="Y409" s="14" t="s">
        <v>215</v>
      </c>
      <c r="Z409" s="14">
        <v>20001</v>
      </c>
      <c r="AA409" s="14" t="s">
        <v>205</v>
      </c>
      <c r="AB409" s="14">
        <v>40001</v>
      </c>
      <c r="AE409" s="29" t="s">
        <v>121</v>
      </c>
      <c r="AF409" s="14" t="s">
        <v>213</v>
      </c>
      <c r="AG409" s="14" t="s">
        <v>92</v>
      </c>
    </row>
    <row r="410" spans="2:33">
      <c r="B410" s="14">
        <f>10000000+INDEX(编号表!$B:$B,MATCH(H410,编号表!$A:$A,0))*100000+INDEX(编号表!$F:$F,MATCH(D410,编号表!$E:$E,0))*10000+INDEX(编号表!$D:$D,MATCH(AG410,编号表!$C:$C,0))*1000+F410</f>
        <v>11514001</v>
      </c>
      <c r="C410" s="14" t="s">
        <v>570</v>
      </c>
      <c r="D410" s="14" t="s">
        <v>72</v>
      </c>
      <c r="E410" s="14" t="s">
        <v>92</v>
      </c>
      <c r="F410" s="14">
        <v>1</v>
      </c>
      <c r="G410" s="14">
        <v>60</v>
      </c>
      <c r="H410" s="31" t="s">
        <v>228</v>
      </c>
      <c r="I410" s="14" t="s">
        <v>75</v>
      </c>
      <c r="J410" s="14" t="s">
        <v>201</v>
      </c>
      <c r="K410" s="14">
        <v>1</v>
      </c>
      <c r="L410" s="14" t="s">
        <v>213</v>
      </c>
      <c r="N410" s="14">
        <v>0</v>
      </c>
      <c r="O410" s="14" t="b">
        <v>1</v>
      </c>
      <c r="Q410" s="14" t="b">
        <v>0</v>
      </c>
      <c r="R410" s="14">
        <v>1</v>
      </c>
      <c r="S410" s="14" t="s">
        <v>77</v>
      </c>
      <c r="T410" s="14">
        <v>999</v>
      </c>
      <c r="U410" s="14" t="s">
        <v>214</v>
      </c>
      <c r="V410" s="14">
        <v>31514001</v>
      </c>
      <c r="X410" s="14" t="s">
        <v>204</v>
      </c>
      <c r="Y410" s="14" t="s">
        <v>215</v>
      </c>
      <c r="Z410" s="14">
        <v>20001</v>
      </c>
      <c r="AA410" s="14" t="s">
        <v>205</v>
      </c>
      <c r="AB410" s="14">
        <v>40001</v>
      </c>
      <c r="AE410" s="29" t="s">
        <v>121</v>
      </c>
      <c r="AF410" s="14" t="s">
        <v>213</v>
      </c>
      <c r="AG410" s="14" t="s">
        <v>92</v>
      </c>
    </row>
    <row r="411" spans="2:33">
      <c r="B411" s="14">
        <f>10000000+INDEX(编号表!$B:$B,MATCH(H411,编号表!$A:$A,0))*100000+INDEX(编号表!$F:$F,MATCH(D411,编号表!$E:$E,0))*10000+INDEX(编号表!$D:$D,MATCH(AG411,编号表!$C:$C,0))*1000+F411</f>
        <v>11514002</v>
      </c>
      <c r="C411" s="14" t="s">
        <v>571</v>
      </c>
      <c r="D411" s="14" t="s">
        <v>72</v>
      </c>
      <c r="E411" s="14" t="s">
        <v>92</v>
      </c>
      <c r="F411" s="14">
        <v>2</v>
      </c>
      <c r="G411" s="14">
        <v>60</v>
      </c>
      <c r="H411" s="31" t="s">
        <v>228</v>
      </c>
      <c r="I411" s="14" t="s">
        <v>75</v>
      </c>
      <c r="J411" s="14" t="s">
        <v>201</v>
      </c>
      <c r="K411" s="14">
        <v>1</v>
      </c>
      <c r="L411" s="14" t="s">
        <v>213</v>
      </c>
      <c r="N411" s="14">
        <v>0</v>
      </c>
      <c r="O411" s="14" t="b">
        <v>1</v>
      </c>
      <c r="Q411" s="14" t="b">
        <v>0</v>
      </c>
      <c r="R411" s="14">
        <v>1</v>
      </c>
      <c r="S411" s="14" t="s">
        <v>77</v>
      </c>
      <c r="T411" s="14">
        <v>999</v>
      </c>
      <c r="U411" s="14" t="s">
        <v>214</v>
      </c>
      <c r="V411" s="14">
        <v>31514002</v>
      </c>
      <c r="X411" s="14" t="s">
        <v>204</v>
      </c>
      <c r="Y411" s="14" t="s">
        <v>215</v>
      </c>
      <c r="Z411" s="14">
        <v>20001</v>
      </c>
      <c r="AA411" s="14" t="s">
        <v>205</v>
      </c>
      <c r="AB411" s="14">
        <v>40001</v>
      </c>
      <c r="AE411" s="29" t="s">
        <v>121</v>
      </c>
      <c r="AF411" s="14" t="s">
        <v>213</v>
      </c>
      <c r="AG411" s="14" t="s">
        <v>92</v>
      </c>
    </row>
    <row r="412" spans="2:33">
      <c r="B412" s="14">
        <f>10000000+INDEX(编号表!$B:$B,MATCH(H412,编号表!$A:$A,0))*100000+INDEX(编号表!$F:$F,MATCH(D412,编号表!$E:$E,0))*10000+INDEX(编号表!$D:$D,MATCH(AG412,编号表!$C:$C,0))*1000+F412</f>
        <v>11514003</v>
      </c>
      <c r="C412" s="14" t="s">
        <v>572</v>
      </c>
      <c r="D412" s="14" t="s">
        <v>72</v>
      </c>
      <c r="E412" s="14" t="s">
        <v>92</v>
      </c>
      <c r="F412" s="14">
        <v>3</v>
      </c>
      <c r="G412" s="14">
        <v>60</v>
      </c>
      <c r="H412" s="31" t="s">
        <v>228</v>
      </c>
      <c r="I412" s="14" t="s">
        <v>75</v>
      </c>
      <c r="J412" s="14" t="s">
        <v>201</v>
      </c>
      <c r="K412" s="14">
        <v>1</v>
      </c>
      <c r="L412" s="14" t="s">
        <v>213</v>
      </c>
      <c r="N412" s="14">
        <v>0</v>
      </c>
      <c r="O412" s="14" t="b">
        <v>1</v>
      </c>
      <c r="Q412" s="14" t="b">
        <v>0</v>
      </c>
      <c r="R412" s="14">
        <v>1</v>
      </c>
      <c r="S412" s="14" t="s">
        <v>77</v>
      </c>
      <c r="T412" s="14">
        <v>999</v>
      </c>
      <c r="U412" s="14" t="s">
        <v>214</v>
      </c>
      <c r="V412" s="14">
        <v>31514003</v>
      </c>
      <c r="X412" s="14" t="s">
        <v>204</v>
      </c>
      <c r="Y412" s="14" t="s">
        <v>215</v>
      </c>
      <c r="Z412" s="14">
        <v>20001</v>
      </c>
      <c r="AA412" s="14" t="s">
        <v>205</v>
      </c>
      <c r="AB412" s="14">
        <v>40001</v>
      </c>
      <c r="AE412" s="29" t="s">
        <v>121</v>
      </c>
      <c r="AF412" s="14" t="s">
        <v>213</v>
      </c>
      <c r="AG412" s="14" t="s">
        <v>92</v>
      </c>
    </row>
    <row r="413" spans="2:33">
      <c r="B413" s="14">
        <f>10000000+INDEX(编号表!$B:$B,MATCH(H413,编号表!$A:$A,0))*100000+INDEX(编号表!$F:$F,MATCH(D413,编号表!$E:$E,0))*10000+INDEX(编号表!$D:$D,MATCH(AG413,编号表!$C:$C,0))*1000+F413</f>
        <v>11514004</v>
      </c>
      <c r="C413" s="14" t="s">
        <v>573</v>
      </c>
      <c r="D413" s="14" t="s">
        <v>72</v>
      </c>
      <c r="E413" s="14" t="s">
        <v>92</v>
      </c>
      <c r="F413" s="14">
        <v>4</v>
      </c>
      <c r="G413" s="14">
        <v>60</v>
      </c>
      <c r="H413" s="31" t="s">
        <v>228</v>
      </c>
      <c r="I413" s="14" t="s">
        <v>75</v>
      </c>
      <c r="J413" s="14" t="s">
        <v>201</v>
      </c>
      <c r="K413" s="14">
        <v>1</v>
      </c>
      <c r="L413" s="14" t="s">
        <v>213</v>
      </c>
      <c r="N413" s="14">
        <v>0</v>
      </c>
      <c r="O413" s="14" t="b">
        <v>1</v>
      </c>
      <c r="Q413" s="14" t="b">
        <v>0</v>
      </c>
      <c r="R413" s="14">
        <v>1</v>
      </c>
      <c r="S413" s="14" t="s">
        <v>77</v>
      </c>
      <c r="T413" s="14">
        <v>999</v>
      </c>
      <c r="U413" s="14" t="s">
        <v>214</v>
      </c>
      <c r="V413" s="14">
        <v>31514004</v>
      </c>
      <c r="X413" s="14" t="s">
        <v>204</v>
      </c>
      <c r="Y413" s="14" t="s">
        <v>215</v>
      </c>
      <c r="Z413" s="14">
        <v>20001</v>
      </c>
      <c r="AA413" s="14" t="s">
        <v>205</v>
      </c>
      <c r="AB413" s="14">
        <v>40001</v>
      </c>
      <c r="AE413" s="29" t="s">
        <v>121</v>
      </c>
      <c r="AF413" s="14" t="s">
        <v>213</v>
      </c>
      <c r="AG413" s="14" t="s">
        <v>92</v>
      </c>
    </row>
    <row r="414" spans="2:33">
      <c r="B414" s="14">
        <f>10000000+INDEX(编号表!$B:$B,MATCH(H414,编号表!$A:$A,0))*100000+INDEX(编号表!$F:$F,MATCH(D414,编号表!$E:$E,0))*10000+INDEX(编号表!$D:$D,MATCH(AG414,编号表!$C:$C,0))*1000+F414</f>
        <v>11514005</v>
      </c>
      <c r="C414" s="14" t="s">
        <v>574</v>
      </c>
      <c r="D414" s="14" t="s">
        <v>72</v>
      </c>
      <c r="E414" s="14" t="s">
        <v>92</v>
      </c>
      <c r="F414" s="14">
        <v>5</v>
      </c>
      <c r="G414" s="14">
        <v>60</v>
      </c>
      <c r="H414" s="31" t="s">
        <v>228</v>
      </c>
      <c r="I414" s="14" t="s">
        <v>75</v>
      </c>
      <c r="J414" s="14" t="s">
        <v>201</v>
      </c>
      <c r="K414" s="14">
        <v>1</v>
      </c>
      <c r="L414" s="14" t="s">
        <v>213</v>
      </c>
      <c r="N414" s="14">
        <v>0</v>
      </c>
      <c r="O414" s="14" t="b">
        <v>1</v>
      </c>
      <c r="Q414" s="14" t="b">
        <v>0</v>
      </c>
      <c r="R414" s="14">
        <v>1</v>
      </c>
      <c r="S414" s="14" t="s">
        <v>77</v>
      </c>
      <c r="T414" s="14">
        <v>999</v>
      </c>
      <c r="U414" s="14" t="s">
        <v>214</v>
      </c>
      <c r="V414" s="14">
        <v>31514005</v>
      </c>
      <c r="X414" s="14" t="s">
        <v>204</v>
      </c>
      <c r="Y414" s="14" t="s">
        <v>215</v>
      </c>
      <c r="Z414" s="14">
        <v>20001</v>
      </c>
      <c r="AA414" s="14" t="s">
        <v>205</v>
      </c>
      <c r="AB414" s="14">
        <v>40001</v>
      </c>
      <c r="AE414" s="29" t="s">
        <v>121</v>
      </c>
      <c r="AF414" s="14" t="s">
        <v>213</v>
      </c>
      <c r="AG414" s="14" t="s">
        <v>92</v>
      </c>
    </row>
    <row r="415" spans="2:33">
      <c r="B415" s="14">
        <f>10000000+INDEX(编号表!$B:$B,MATCH(H415,编号表!$A:$A,0))*100000+INDEX(编号表!$F:$F,MATCH(D415,编号表!$E:$E,0))*10000+INDEX(编号表!$D:$D,MATCH(AG415,编号表!$C:$C,0))*1000+F415</f>
        <v>11514006</v>
      </c>
      <c r="C415" s="14" t="s">
        <v>575</v>
      </c>
      <c r="D415" s="14" t="s">
        <v>72</v>
      </c>
      <c r="E415" s="14" t="s">
        <v>92</v>
      </c>
      <c r="F415" s="14">
        <v>6</v>
      </c>
      <c r="G415" s="14">
        <v>60</v>
      </c>
      <c r="H415" s="31" t="s">
        <v>228</v>
      </c>
      <c r="I415" s="14" t="s">
        <v>75</v>
      </c>
      <c r="J415" s="14" t="s">
        <v>201</v>
      </c>
      <c r="K415" s="14">
        <v>1</v>
      </c>
      <c r="L415" s="14" t="s">
        <v>213</v>
      </c>
      <c r="N415" s="14">
        <v>0</v>
      </c>
      <c r="O415" s="14" t="b">
        <v>1</v>
      </c>
      <c r="Q415" s="14" t="b">
        <v>0</v>
      </c>
      <c r="R415" s="14">
        <v>1</v>
      </c>
      <c r="S415" s="14" t="s">
        <v>77</v>
      </c>
      <c r="T415" s="14">
        <v>999</v>
      </c>
      <c r="U415" s="14" t="s">
        <v>214</v>
      </c>
      <c r="V415" s="14">
        <v>31514006</v>
      </c>
      <c r="X415" s="14" t="s">
        <v>204</v>
      </c>
      <c r="Y415" s="14" t="s">
        <v>215</v>
      </c>
      <c r="Z415" s="14">
        <v>20001</v>
      </c>
      <c r="AA415" s="14" t="s">
        <v>205</v>
      </c>
      <c r="AB415" s="14">
        <v>40001</v>
      </c>
      <c r="AE415" s="29" t="s">
        <v>121</v>
      </c>
      <c r="AF415" s="14" t="s">
        <v>213</v>
      </c>
      <c r="AG415" s="14" t="s">
        <v>92</v>
      </c>
    </row>
    <row r="416" spans="2:33">
      <c r="B416" s="14">
        <f>10000000+INDEX(编号表!$B:$B,MATCH(H416,编号表!$A:$A,0))*100000+INDEX(编号表!$F:$F,MATCH(D416,编号表!$E:$E,0))*10000+INDEX(编号表!$D:$D,MATCH(AG416,编号表!$C:$C,0))*1000+F416</f>
        <v>11514007</v>
      </c>
      <c r="C416" s="14" t="s">
        <v>576</v>
      </c>
      <c r="D416" s="14" t="s">
        <v>72</v>
      </c>
      <c r="E416" s="14" t="s">
        <v>92</v>
      </c>
      <c r="F416" s="14">
        <v>7</v>
      </c>
      <c r="G416" s="14">
        <v>60</v>
      </c>
      <c r="H416" s="31" t="s">
        <v>228</v>
      </c>
      <c r="I416" s="14" t="s">
        <v>75</v>
      </c>
      <c r="J416" s="14" t="s">
        <v>201</v>
      </c>
      <c r="K416" s="14">
        <v>1</v>
      </c>
      <c r="L416" s="14" t="s">
        <v>213</v>
      </c>
      <c r="N416" s="14">
        <v>0</v>
      </c>
      <c r="O416" s="14" t="b">
        <v>1</v>
      </c>
      <c r="Q416" s="14" t="b">
        <v>0</v>
      </c>
      <c r="R416" s="14">
        <v>1</v>
      </c>
      <c r="S416" s="14" t="s">
        <v>77</v>
      </c>
      <c r="T416" s="14">
        <v>999</v>
      </c>
      <c r="U416" s="14" t="s">
        <v>214</v>
      </c>
      <c r="V416" s="14">
        <v>31514007</v>
      </c>
      <c r="X416" s="14" t="s">
        <v>204</v>
      </c>
      <c r="Y416" s="14" t="s">
        <v>215</v>
      </c>
      <c r="Z416" s="14">
        <v>20001</v>
      </c>
      <c r="AA416" s="14" t="s">
        <v>205</v>
      </c>
      <c r="AB416" s="14">
        <v>40001</v>
      </c>
      <c r="AE416" s="29" t="s">
        <v>121</v>
      </c>
      <c r="AF416" s="14" t="s">
        <v>213</v>
      </c>
      <c r="AG416" s="14" t="s">
        <v>92</v>
      </c>
    </row>
    <row r="417" spans="2:33">
      <c r="B417" s="14">
        <f>10000000+INDEX(编号表!$B:$B,MATCH(H417,编号表!$A:$A,0))*100000+INDEX(编号表!$F:$F,MATCH(D417,编号表!$E:$E,0))*10000+INDEX(编号表!$D:$D,MATCH(AG417,编号表!$C:$C,0))*1000+F417</f>
        <v>11514008</v>
      </c>
      <c r="C417" s="14" t="s">
        <v>577</v>
      </c>
      <c r="D417" s="14" t="s">
        <v>72</v>
      </c>
      <c r="E417" s="14" t="s">
        <v>92</v>
      </c>
      <c r="F417" s="14">
        <v>8</v>
      </c>
      <c r="G417" s="14">
        <v>60</v>
      </c>
      <c r="H417" s="31" t="s">
        <v>228</v>
      </c>
      <c r="I417" s="14" t="s">
        <v>75</v>
      </c>
      <c r="J417" s="14" t="s">
        <v>201</v>
      </c>
      <c r="K417" s="14">
        <v>1</v>
      </c>
      <c r="L417" s="14" t="s">
        <v>213</v>
      </c>
      <c r="N417" s="14">
        <v>0</v>
      </c>
      <c r="O417" s="14" t="b">
        <v>1</v>
      </c>
      <c r="Q417" s="14" t="b">
        <v>0</v>
      </c>
      <c r="R417" s="14">
        <v>1</v>
      </c>
      <c r="S417" s="14" t="s">
        <v>77</v>
      </c>
      <c r="T417" s="14">
        <v>999</v>
      </c>
      <c r="U417" s="14" t="s">
        <v>214</v>
      </c>
      <c r="V417" s="14">
        <v>31514008</v>
      </c>
      <c r="X417" s="14" t="s">
        <v>204</v>
      </c>
      <c r="Y417" s="14" t="s">
        <v>215</v>
      </c>
      <c r="Z417" s="14">
        <v>20001</v>
      </c>
      <c r="AA417" s="14" t="s">
        <v>205</v>
      </c>
      <c r="AB417" s="14">
        <v>40001</v>
      </c>
      <c r="AE417" s="29" t="s">
        <v>121</v>
      </c>
      <c r="AF417" s="14" t="s">
        <v>213</v>
      </c>
      <c r="AG417" s="14" t="s">
        <v>92</v>
      </c>
    </row>
    <row r="418" spans="2:33">
      <c r="B418" s="14">
        <f>10000000+INDEX(编号表!$B:$B,MATCH(H418,编号表!$A:$A,0))*100000+INDEX(编号表!$F:$F,MATCH(D418,编号表!$E:$E,0))*10000+INDEX(编号表!$D:$D,MATCH(AG418,编号表!$C:$C,0))*1000+F418</f>
        <v>11514009</v>
      </c>
      <c r="C418" s="14" t="s">
        <v>578</v>
      </c>
      <c r="D418" s="14" t="s">
        <v>72</v>
      </c>
      <c r="E418" s="14" t="s">
        <v>92</v>
      </c>
      <c r="F418" s="14">
        <v>9</v>
      </c>
      <c r="G418" s="14">
        <v>60</v>
      </c>
      <c r="H418" s="31" t="s">
        <v>228</v>
      </c>
      <c r="I418" s="14" t="s">
        <v>75</v>
      </c>
      <c r="J418" s="14" t="s">
        <v>201</v>
      </c>
      <c r="K418" s="14">
        <v>1</v>
      </c>
      <c r="L418" s="14" t="s">
        <v>213</v>
      </c>
      <c r="N418" s="14">
        <v>0</v>
      </c>
      <c r="O418" s="14" t="b">
        <v>1</v>
      </c>
      <c r="Q418" s="14" t="b">
        <v>0</v>
      </c>
      <c r="R418" s="14">
        <v>1</v>
      </c>
      <c r="S418" s="14" t="s">
        <v>77</v>
      </c>
      <c r="T418" s="14">
        <v>999</v>
      </c>
      <c r="U418" s="14" t="s">
        <v>214</v>
      </c>
      <c r="V418" s="14">
        <v>31514009</v>
      </c>
      <c r="X418" s="14" t="s">
        <v>204</v>
      </c>
      <c r="Y418" s="14" t="s">
        <v>215</v>
      </c>
      <c r="Z418" s="14">
        <v>20001</v>
      </c>
      <c r="AA418" s="14" t="s">
        <v>205</v>
      </c>
      <c r="AB418" s="14">
        <v>40001</v>
      </c>
      <c r="AE418" s="29" t="s">
        <v>121</v>
      </c>
      <c r="AF418" s="14" t="s">
        <v>213</v>
      </c>
      <c r="AG418" s="14" t="s">
        <v>92</v>
      </c>
    </row>
    <row r="419" spans="2:33">
      <c r="B419" s="14">
        <f>10000000+INDEX(编号表!$B:$B,MATCH(H419,编号表!$A:$A,0))*100000+INDEX(编号表!$F:$F,MATCH(D419,编号表!$E:$E,0))*10000+INDEX(编号表!$D:$D,MATCH(AG419,编号表!$C:$C,0))*1000+F419</f>
        <v>11414000</v>
      </c>
      <c r="C419" s="14" t="s">
        <v>579</v>
      </c>
      <c r="D419" s="14" t="s">
        <v>72</v>
      </c>
      <c r="E419" s="14" t="s">
        <v>92</v>
      </c>
      <c r="F419" s="14">
        <v>0</v>
      </c>
      <c r="G419" s="14">
        <v>60</v>
      </c>
      <c r="H419" s="31" t="s">
        <v>239</v>
      </c>
      <c r="I419" s="14" t="s">
        <v>75</v>
      </c>
      <c r="J419" s="14" t="s">
        <v>201</v>
      </c>
      <c r="K419" s="14">
        <v>1</v>
      </c>
      <c r="L419" s="14" t="s">
        <v>213</v>
      </c>
      <c r="N419" s="14">
        <v>0</v>
      </c>
      <c r="O419" s="14" t="b">
        <v>1</v>
      </c>
      <c r="Q419" s="14" t="b">
        <v>0</v>
      </c>
      <c r="R419" s="14">
        <v>1</v>
      </c>
      <c r="S419" s="14" t="s">
        <v>77</v>
      </c>
      <c r="T419" s="14">
        <v>999</v>
      </c>
      <c r="U419" s="14" t="s">
        <v>214</v>
      </c>
      <c r="V419" s="14">
        <v>31414000</v>
      </c>
      <c r="X419" s="14" t="s">
        <v>204</v>
      </c>
      <c r="Y419" s="14" t="s">
        <v>215</v>
      </c>
      <c r="Z419" s="14">
        <v>20001</v>
      </c>
      <c r="AA419" s="14" t="s">
        <v>205</v>
      </c>
      <c r="AB419" s="14">
        <v>40001</v>
      </c>
      <c r="AE419" s="29" t="s">
        <v>121</v>
      </c>
      <c r="AF419" s="14" t="s">
        <v>213</v>
      </c>
      <c r="AG419" s="14" t="s">
        <v>92</v>
      </c>
    </row>
    <row r="420" spans="2:33">
      <c r="B420" s="14">
        <f>10000000+INDEX(编号表!$B:$B,MATCH(H420,编号表!$A:$A,0))*100000+INDEX(编号表!$F:$F,MATCH(D420,编号表!$E:$E,0))*10000+INDEX(编号表!$D:$D,MATCH(AG420,编号表!$C:$C,0))*1000+F420</f>
        <v>11414001</v>
      </c>
      <c r="C420" s="14" t="s">
        <v>580</v>
      </c>
      <c r="D420" s="14" t="s">
        <v>72</v>
      </c>
      <c r="E420" s="14" t="s">
        <v>92</v>
      </c>
      <c r="F420" s="14">
        <v>1</v>
      </c>
      <c r="G420" s="14">
        <v>60</v>
      </c>
      <c r="H420" s="31" t="s">
        <v>239</v>
      </c>
      <c r="I420" s="14" t="s">
        <v>75</v>
      </c>
      <c r="J420" s="14" t="s">
        <v>201</v>
      </c>
      <c r="K420" s="14">
        <v>1</v>
      </c>
      <c r="L420" s="14" t="s">
        <v>213</v>
      </c>
      <c r="N420" s="14">
        <v>0</v>
      </c>
      <c r="O420" s="14" t="b">
        <v>1</v>
      </c>
      <c r="Q420" s="14" t="b">
        <v>0</v>
      </c>
      <c r="R420" s="14">
        <v>1</v>
      </c>
      <c r="S420" s="14" t="s">
        <v>77</v>
      </c>
      <c r="T420" s="14">
        <v>999</v>
      </c>
      <c r="U420" s="14" t="s">
        <v>214</v>
      </c>
      <c r="V420" s="14">
        <v>31414001</v>
      </c>
      <c r="X420" s="14" t="s">
        <v>204</v>
      </c>
      <c r="Y420" s="14" t="s">
        <v>215</v>
      </c>
      <c r="Z420" s="14">
        <v>20001</v>
      </c>
      <c r="AA420" s="14" t="s">
        <v>205</v>
      </c>
      <c r="AB420" s="14">
        <v>40001</v>
      </c>
      <c r="AE420" s="29" t="s">
        <v>121</v>
      </c>
      <c r="AF420" s="14" t="s">
        <v>213</v>
      </c>
      <c r="AG420" s="14" t="s">
        <v>92</v>
      </c>
    </row>
    <row r="421" spans="2:33">
      <c r="B421" s="14">
        <f>10000000+INDEX(编号表!$B:$B,MATCH(H421,编号表!$A:$A,0))*100000+INDEX(编号表!$F:$F,MATCH(D421,编号表!$E:$E,0))*10000+INDEX(编号表!$D:$D,MATCH(AG421,编号表!$C:$C,0))*1000+F421</f>
        <v>11414002</v>
      </c>
      <c r="C421" s="14" t="s">
        <v>581</v>
      </c>
      <c r="D421" s="14" t="s">
        <v>72</v>
      </c>
      <c r="E421" s="14" t="s">
        <v>92</v>
      </c>
      <c r="F421" s="14">
        <v>2</v>
      </c>
      <c r="G421" s="14">
        <v>60</v>
      </c>
      <c r="H421" s="31" t="s">
        <v>239</v>
      </c>
      <c r="I421" s="14" t="s">
        <v>75</v>
      </c>
      <c r="J421" s="14" t="s">
        <v>201</v>
      </c>
      <c r="K421" s="14">
        <v>1</v>
      </c>
      <c r="L421" s="14" t="s">
        <v>213</v>
      </c>
      <c r="N421" s="14">
        <v>0</v>
      </c>
      <c r="O421" s="14" t="b">
        <v>1</v>
      </c>
      <c r="Q421" s="14" t="b">
        <v>0</v>
      </c>
      <c r="R421" s="14">
        <v>1</v>
      </c>
      <c r="S421" s="14" t="s">
        <v>77</v>
      </c>
      <c r="T421" s="14">
        <v>999</v>
      </c>
      <c r="U421" s="14" t="s">
        <v>214</v>
      </c>
      <c r="V421" s="14">
        <v>31414002</v>
      </c>
      <c r="X421" s="14" t="s">
        <v>204</v>
      </c>
      <c r="Y421" s="14" t="s">
        <v>215</v>
      </c>
      <c r="Z421" s="14">
        <v>20001</v>
      </c>
      <c r="AA421" s="14" t="s">
        <v>205</v>
      </c>
      <c r="AB421" s="14">
        <v>40001</v>
      </c>
      <c r="AE421" s="29" t="s">
        <v>121</v>
      </c>
      <c r="AF421" s="14" t="s">
        <v>213</v>
      </c>
      <c r="AG421" s="14" t="s">
        <v>92</v>
      </c>
    </row>
    <row r="422" spans="2:33">
      <c r="B422" s="14">
        <f>10000000+INDEX(编号表!$B:$B,MATCH(H422,编号表!$A:$A,0))*100000+INDEX(编号表!$F:$F,MATCH(D422,编号表!$E:$E,0))*10000+INDEX(编号表!$D:$D,MATCH(AG422,编号表!$C:$C,0))*1000+F422</f>
        <v>11414003</v>
      </c>
      <c r="C422" s="14" t="s">
        <v>582</v>
      </c>
      <c r="D422" s="14" t="s">
        <v>72</v>
      </c>
      <c r="E422" s="14" t="s">
        <v>92</v>
      </c>
      <c r="F422" s="14">
        <v>3</v>
      </c>
      <c r="G422" s="14">
        <v>60</v>
      </c>
      <c r="H422" s="31" t="s">
        <v>239</v>
      </c>
      <c r="I422" s="14" t="s">
        <v>75</v>
      </c>
      <c r="J422" s="14" t="s">
        <v>201</v>
      </c>
      <c r="K422" s="14">
        <v>1</v>
      </c>
      <c r="L422" s="14" t="s">
        <v>213</v>
      </c>
      <c r="N422" s="14">
        <v>0</v>
      </c>
      <c r="O422" s="14" t="b">
        <v>1</v>
      </c>
      <c r="Q422" s="14" t="b">
        <v>0</v>
      </c>
      <c r="R422" s="14">
        <v>1</v>
      </c>
      <c r="S422" s="14" t="s">
        <v>77</v>
      </c>
      <c r="T422" s="14">
        <v>999</v>
      </c>
      <c r="U422" s="14" t="s">
        <v>214</v>
      </c>
      <c r="V422" s="14">
        <v>31414003</v>
      </c>
      <c r="X422" s="14" t="s">
        <v>204</v>
      </c>
      <c r="Y422" s="14" t="s">
        <v>215</v>
      </c>
      <c r="Z422" s="14">
        <v>20001</v>
      </c>
      <c r="AA422" s="14" t="s">
        <v>205</v>
      </c>
      <c r="AB422" s="14">
        <v>40001</v>
      </c>
      <c r="AE422" s="29" t="s">
        <v>121</v>
      </c>
      <c r="AF422" s="14" t="s">
        <v>213</v>
      </c>
      <c r="AG422" s="14" t="s">
        <v>92</v>
      </c>
    </row>
    <row r="423" spans="2:33">
      <c r="B423" s="14">
        <f>10000000+INDEX(编号表!$B:$B,MATCH(H423,编号表!$A:$A,0))*100000+INDEX(编号表!$F:$F,MATCH(D423,编号表!$E:$E,0))*10000+INDEX(编号表!$D:$D,MATCH(AG423,编号表!$C:$C,0))*1000+F423</f>
        <v>11614000</v>
      </c>
      <c r="C423" s="14" t="s">
        <v>583</v>
      </c>
      <c r="D423" s="14" t="s">
        <v>72</v>
      </c>
      <c r="E423" s="14" t="s">
        <v>92</v>
      </c>
      <c r="F423" s="14">
        <v>0</v>
      </c>
      <c r="G423" s="14">
        <v>60</v>
      </c>
      <c r="H423" s="31" t="s">
        <v>244</v>
      </c>
      <c r="I423" s="14" t="s">
        <v>75</v>
      </c>
      <c r="J423" s="14" t="s">
        <v>201</v>
      </c>
      <c r="K423" s="14">
        <v>1</v>
      </c>
      <c r="L423" s="14" t="s">
        <v>213</v>
      </c>
      <c r="N423" s="14">
        <v>0</v>
      </c>
      <c r="O423" s="14" t="b">
        <v>1</v>
      </c>
      <c r="Q423" s="14" t="b">
        <v>0</v>
      </c>
      <c r="R423" s="14">
        <v>1</v>
      </c>
      <c r="S423" s="14" t="s">
        <v>77</v>
      </c>
      <c r="T423" s="14">
        <v>999</v>
      </c>
      <c r="U423" s="14" t="s">
        <v>214</v>
      </c>
      <c r="V423" s="14">
        <v>31614000</v>
      </c>
      <c r="X423" s="14" t="s">
        <v>204</v>
      </c>
      <c r="Y423" s="14" t="s">
        <v>215</v>
      </c>
      <c r="Z423" s="14">
        <v>20001</v>
      </c>
      <c r="AA423" s="14" t="s">
        <v>205</v>
      </c>
      <c r="AB423" s="14">
        <v>40001</v>
      </c>
      <c r="AE423" s="29" t="s">
        <v>121</v>
      </c>
      <c r="AF423" s="14" t="s">
        <v>213</v>
      </c>
      <c r="AG423" s="14" t="s">
        <v>92</v>
      </c>
    </row>
    <row r="424" spans="2:33">
      <c r="B424" s="14">
        <f>10000000+INDEX(编号表!$B:$B,MATCH(H424,编号表!$A:$A,0))*100000+INDEX(编号表!$F:$F,MATCH(D424,编号表!$E:$E,0))*10000+INDEX(编号表!$D:$D,MATCH(AG424,编号表!$C:$C,0))*1000+F424</f>
        <v>11614001</v>
      </c>
      <c r="C424" s="14" t="s">
        <v>584</v>
      </c>
      <c r="D424" s="14" t="s">
        <v>72</v>
      </c>
      <c r="E424" s="14" t="s">
        <v>92</v>
      </c>
      <c r="F424" s="14">
        <v>1</v>
      </c>
      <c r="G424" s="14">
        <v>60</v>
      </c>
      <c r="H424" s="31" t="s">
        <v>244</v>
      </c>
      <c r="I424" s="14" t="s">
        <v>75</v>
      </c>
      <c r="J424" s="14" t="s">
        <v>201</v>
      </c>
      <c r="K424" s="14">
        <v>1</v>
      </c>
      <c r="L424" s="14" t="s">
        <v>213</v>
      </c>
      <c r="N424" s="14">
        <v>0</v>
      </c>
      <c r="O424" s="14" t="b">
        <v>1</v>
      </c>
      <c r="Q424" s="14" t="b">
        <v>0</v>
      </c>
      <c r="R424" s="14">
        <v>1</v>
      </c>
      <c r="S424" s="14" t="s">
        <v>77</v>
      </c>
      <c r="T424" s="14">
        <v>999</v>
      </c>
      <c r="U424" s="14" t="s">
        <v>214</v>
      </c>
      <c r="V424" s="14">
        <v>31614001</v>
      </c>
      <c r="X424" s="14" t="s">
        <v>204</v>
      </c>
      <c r="Y424" s="14" t="s">
        <v>215</v>
      </c>
      <c r="Z424" s="14">
        <v>20001</v>
      </c>
      <c r="AA424" s="14" t="s">
        <v>205</v>
      </c>
      <c r="AB424" s="14">
        <v>40001</v>
      </c>
      <c r="AE424" s="29" t="s">
        <v>121</v>
      </c>
      <c r="AF424" s="14" t="s">
        <v>213</v>
      </c>
      <c r="AG424" s="14" t="s">
        <v>92</v>
      </c>
    </row>
    <row r="425" spans="2:33">
      <c r="B425" s="14">
        <f>10000000+INDEX(编号表!$B:$B,MATCH(H425,编号表!$A:$A,0))*100000+INDEX(编号表!$F:$F,MATCH(D425,编号表!$E:$E,0))*10000+INDEX(编号表!$D:$D,MATCH(AG425,编号表!$C:$C,0))*1000+F425</f>
        <v>11614002</v>
      </c>
      <c r="C425" s="14" t="s">
        <v>585</v>
      </c>
      <c r="D425" s="14" t="s">
        <v>72</v>
      </c>
      <c r="E425" s="14" t="s">
        <v>92</v>
      </c>
      <c r="F425" s="14">
        <v>2</v>
      </c>
      <c r="G425" s="14">
        <v>60</v>
      </c>
      <c r="H425" s="31" t="s">
        <v>244</v>
      </c>
      <c r="I425" s="14" t="s">
        <v>75</v>
      </c>
      <c r="J425" s="14" t="s">
        <v>201</v>
      </c>
      <c r="K425" s="14">
        <v>1</v>
      </c>
      <c r="L425" s="14" t="s">
        <v>213</v>
      </c>
      <c r="N425" s="14">
        <v>0</v>
      </c>
      <c r="O425" s="14" t="b">
        <v>1</v>
      </c>
      <c r="Q425" s="14" t="b">
        <v>0</v>
      </c>
      <c r="R425" s="14">
        <v>1</v>
      </c>
      <c r="S425" s="14" t="s">
        <v>77</v>
      </c>
      <c r="T425" s="14">
        <v>999</v>
      </c>
      <c r="U425" s="14" t="s">
        <v>214</v>
      </c>
      <c r="V425" s="14">
        <v>31614002</v>
      </c>
      <c r="X425" s="14" t="s">
        <v>204</v>
      </c>
      <c r="Y425" s="14" t="s">
        <v>215</v>
      </c>
      <c r="Z425" s="14">
        <v>20001</v>
      </c>
      <c r="AA425" s="14" t="s">
        <v>205</v>
      </c>
      <c r="AB425" s="14">
        <v>40001</v>
      </c>
      <c r="AE425" s="29" t="s">
        <v>121</v>
      </c>
      <c r="AF425" s="14" t="s">
        <v>213</v>
      </c>
      <c r="AG425" s="14" t="s">
        <v>92</v>
      </c>
    </row>
    <row r="426" spans="2:33">
      <c r="B426" s="14">
        <f>10000000+INDEX(编号表!$B:$B,MATCH(H426,编号表!$A:$A,0))*100000+INDEX(编号表!$F:$F,MATCH(D426,编号表!$E:$E,0))*10000+INDEX(编号表!$D:$D,MATCH(AG426,编号表!$C:$C,0))*1000+F426</f>
        <v>11224000</v>
      </c>
      <c r="C426" s="14" t="s">
        <v>586</v>
      </c>
      <c r="D426" s="14" t="s">
        <v>112</v>
      </c>
      <c r="E426" s="14" t="s">
        <v>92</v>
      </c>
      <c r="F426" s="14">
        <v>0</v>
      </c>
      <c r="G426" s="14">
        <v>60</v>
      </c>
      <c r="H426" s="31" t="s">
        <v>212</v>
      </c>
      <c r="I426" s="14" t="s">
        <v>75</v>
      </c>
      <c r="J426" s="14" t="s">
        <v>201</v>
      </c>
      <c r="K426" s="14">
        <v>1</v>
      </c>
      <c r="L426" s="14" t="s">
        <v>213</v>
      </c>
      <c r="N426" s="14">
        <v>0</v>
      </c>
      <c r="O426" s="14" t="b">
        <v>1</v>
      </c>
      <c r="Q426" s="14" t="b">
        <v>0</v>
      </c>
      <c r="R426" s="14">
        <v>1</v>
      </c>
      <c r="S426" s="14" t="s">
        <v>77</v>
      </c>
      <c r="T426" s="14">
        <v>999</v>
      </c>
      <c r="U426" s="14" t="s">
        <v>214</v>
      </c>
      <c r="V426" s="14">
        <v>31224000</v>
      </c>
      <c r="X426" s="14" t="s">
        <v>204</v>
      </c>
      <c r="Y426" s="14" t="s">
        <v>215</v>
      </c>
      <c r="Z426" s="14">
        <v>20001</v>
      </c>
      <c r="AA426" s="14" t="s">
        <v>205</v>
      </c>
      <c r="AB426" s="14">
        <v>40001</v>
      </c>
      <c r="AE426" s="29" t="s">
        <v>121</v>
      </c>
      <c r="AF426" s="14" t="s">
        <v>213</v>
      </c>
      <c r="AG426" s="14" t="s">
        <v>92</v>
      </c>
    </row>
    <row r="427" spans="2:33">
      <c r="B427" s="14">
        <f>10000000+INDEX(编号表!$B:$B,MATCH(H427,编号表!$A:$A,0))*100000+INDEX(编号表!$F:$F,MATCH(D427,编号表!$E:$E,0))*10000+INDEX(编号表!$D:$D,MATCH(AG427,编号表!$C:$C,0))*1000+F427</f>
        <v>11324000</v>
      </c>
      <c r="C427" s="14" t="s">
        <v>587</v>
      </c>
      <c r="D427" s="14" t="s">
        <v>112</v>
      </c>
      <c r="E427" s="14" t="s">
        <v>92</v>
      </c>
      <c r="F427" s="14">
        <v>0</v>
      </c>
      <c r="G427" s="14">
        <v>60</v>
      </c>
      <c r="H427" s="31" t="s">
        <v>217</v>
      </c>
      <c r="I427" s="14" t="s">
        <v>75</v>
      </c>
      <c r="J427" s="14" t="s">
        <v>201</v>
      </c>
      <c r="K427" s="14">
        <v>1</v>
      </c>
      <c r="L427" s="14" t="s">
        <v>213</v>
      </c>
      <c r="N427" s="14">
        <v>0</v>
      </c>
      <c r="O427" s="14" t="b">
        <v>1</v>
      </c>
      <c r="Q427" s="14" t="b">
        <v>0</v>
      </c>
      <c r="R427" s="14">
        <v>1</v>
      </c>
      <c r="S427" s="14" t="s">
        <v>77</v>
      </c>
      <c r="T427" s="14">
        <v>999</v>
      </c>
      <c r="U427" s="14" t="s">
        <v>214</v>
      </c>
      <c r="V427" s="14">
        <v>31324000</v>
      </c>
      <c r="X427" s="14" t="s">
        <v>204</v>
      </c>
      <c r="Y427" s="14" t="s">
        <v>215</v>
      </c>
      <c r="Z427" s="14">
        <v>20001</v>
      </c>
      <c r="AA427" s="14" t="s">
        <v>205</v>
      </c>
      <c r="AB427" s="14">
        <v>40001</v>
      </c>
      <c r="AE427" s="29" t="s">
        <v>121</v>
      </c>
      <c r="AF427" s="14" t="s">
        <v>213</v>
      </c>
      <c r="AG427" s="14" t="s">
        <v>92</v>
      </c>
    </row>
    <row r="428" spans="2:33">
      <c r="B428" s="14">
        <f>10000000+INDEX(编号表!$B:$B,MATCH(H428,编号表!$A:$A,0))*100000+INDEX(编号表!$F:$F,MATCH(D428,编号表!$E:$E,0))*10000+INDEX(编号表!$D:$D,MATCH(AG428,编号表!$C:$C,0))*1000+F428</f>
        <v>11324001</v>
      </c>
      <c r="C428" s="14" t="s">
        <v>588</v>
      </c>
      <c r="D428" s="14" t="s">
        <v>112</v>
      </c>
      <c r="E428" s="14" t="s">
        <v>92</v>
      </c>
      <c r="F428" s="14">
        <v>1</v>
      </c>
      <c r="G428" s="14">
        <v>60</v>
      </c>
      <c r="H428" s="31" t="s">
        <v>217</v>
      </c>
      <c r="I428" s="14" t="s">
        <v>75</v>
      </c>
      <c r="J428" s="14" t="s">
        <v>201</v>
      </c>
      <c r="K428" s="14">
        <v>1</v>
      </c>
      <c r="L428" s="14" t="s">
        <v>213</v>
      </c>
      <c r="N428" s="14">
        <v>0</v>
      </c>
      <c r="O428" s="14" t="b">
        <v>1</v>
      </c>
      <c r="Q428" s="14" t="b">
        <v>0</v>
      </c>
      <c r="R428" s="14">
        <v>1</v>
      </c>
      <c r="S428" s="14" t="s">
        <v>77</v>
      </c>
      <c r="T428" s="14">
        <v>999</v>
      </c>
      <c r="U428" s="14" t="s">
        <v>214</v>
      </c>
      <c r="V428" s="14">
        <v>31324001</v>
      </c>
      <c r="X428" s="14" t="s">
        <v>204</v>
      </c>
      <c r="Y428" s="14" t="s">
        <v>215</v>
      </c>
      <c r="Z428" s="14">
        <v>20001</v>
      </c>
      <c r="AA428" s="14" t="s">
        <v>205</v>
      </c>
      <c r="AB428" s="14">
        <v>40001</v>
      </c>
      <c r="AE428" s="29" t="s">
        <v>121</v>
      </c>
      <c r="AF428" s="14" t="s">
        <v>213</v>
      </c>
      <c r="AG428" s="14" t="s">
        <v>92</v>
      </c>
    </row>
    <row r="429" spans="2:33">
      <c r="B429" s="14">
        <f>10000000+INDEX(编号表!$B:$B,MATCH(H429,编号表!$A:$A,0))*100000+INDEX(编号表!$F:$F,MATCH(D429,编号表!$E:$E,0))*10000+INDEX(编号表!$D:$D,MATCH(AG429,编号表!$C:$C,0))*1000+F429</f>
        <v>11324002</v>
      </c>
      <c r="C429" s="14" t="s">
        <v>589</v>
      </c>
      <c r="D429" s="14" t="s">
        <v>112</v>
      </c>
      <c r="E429" s="14" t="s">
        <v>92</v>
      </c>
      <c r="F429" s="14">
        <v>2</v>
      </c>
      <c r="G429" s="14">
        <v>60</v>
      </c>
      <c r="H429" s="31" t="s">
        <v>217</v>
      </c>
      <c r="I429" s="14" t="s">
        <v>75</v>
      </c>
      <c r="J429" s="14" t="s">
        <v>201</v>
      </c>
      <c r="K429" s="14">
        <v>1</v>
      </c>
      <c r="L429" s="14" t="s">
        <v>213</v>
      </c>
      <c r="N429" s="14">
        <v>0</v>
      </c>
      <c r="O429" s="14" t="b">
        <v>1</v>
      </c>
      <c r="Q429" s="14" t="b">
        <v>0</v>
      </c>
      <c r="R429" s="14">
        <v>1</v>
      </c>
      <c r="S429" s="14" t="s">
        <v>77</v>
      </c>
      <c r="T429" s="14">
        <v>999</v>
      </c>
      <c r="U429" s="14" t="s">
        <v>214</v>
      </c>
      <c r="V429" s="14">
        <v>31324002</v>
      </c>
      <c r="X429" s="14" t="s">
        <v>204</v>
      </c>
      <c r="Y429" s="14" t="s">
        <v>215</v>
      </c>
      <c r="Z429" s="14">
        <v>20001</v>
      </c>
      <c r="AA429" s="14" t="s">
        <v>205</v>
      </c>
      <c r="AB429" s="14">
        <v>40001</v>
      </c>
      <c r="AE429" s="29" t="s">
        <v>121</v>
      </c>
      <c r="AF429" s="14" t="s">
        <v>213</v>
      </c>
      <c r="AG429" s="14" t="s">
        <v>92</v>
      </c>
    </row>
    <row r="430" spans="2:33">
      <c r="B430" s="14">
        <f>10000000+INDEX(编号表!$B:$B,MATCH(H430,编号表!$A:$A,0))*100000+INDEX(编号表!$F:$F,MATCH(D430,编号表!$E:$E,0))*10000+INDEX(编号表!$D:$D,MATCH(AG430,编号表!$C:$C,0))*1000+F430</f>
        <v>11324003</v>
      </c>
      <c r="C430" s="14" t="s">
        <v>590</v>
      </c>
      <c r="D430" s="14" t="s">
        <v>112</v>
      </c>
      <c r="E430" s="14" t="s">
        <v>92</v>
      </c>
      <c r="F430" s="14">
        <v>3</v>
      </c>
      <c r="G430" s="14">
        <v>60</v>
      </c>
      <c r="H430" s="31" t="s">
        <v>217</v>
      </c>
      <c r="I430" s="14" t="s">
        <v>75</v>
      </c>
      <c r="J430" s="14" t="s">
        <v>201</v>
      </c>
      <c r="K430" s="14">
        <v>1</v>
      </c>
      <c r="L430" s="14" t="s">
        <v>213</v>
      </c>
      <c r="N430" s="14">
        <v>0</v>
      </c>
      <c r="O430" s="14" t="b">
        <v>1</v>
      </c>
      <c r="Q430" s="14" t="b">
        <v>0</v>
      </c>
      <c r="R430" s="14">
        <v>1</v>
      </c>
      <c r="S430" s="14" t="s">
        <v>77</v>
      </c>
      <c r="T430" s="14">
        <v>999</v>
      </c>
      <c r="U430" s="14" t="s">
        <v>214</v>
      </c>
      <c r="V430" s="14">
        <v>31324003</v>
      </c>
      <c r="X430" s="14" t="s">
        <v>204</v>
      </c>
      <c r="Y430" s="14" t="s">
        <v>215</v>
      </c>
      <c r="Z430" s="14">
        <v>20001</v>
      </c>
      <c r="AA430" s="14" t="s">
        <v>205</v>
      </c>
      <c r="AB430" s="14">
        <v>40001</v>
      </c>
      <c r="AE430" s="29" t="s">
        <v>121</v>
      </c>
      <c r="AF430" s="14" t="s">
        <v>213</v>
      </c>
      <c r="AG430" s="14" t="s">
        <v>92</v>
      </c>
    </row>
    <row r="431" spans="2:33">
      <c r="B431" s="14">
        <f>10000000+INDEX(编号表!$B:$B,MATCH(H431,编号表!$A:$A,0))*100000+INDEX(编号表!$F:$F,MATCH(D431,编号表!$E:$E,0))*10000+INDEX(编号表!$D:$D,MATCH(AG431,编号表!$C:$C,0))*1000+F431</f>
        <v>11324004</v>
      </c>
      <c r="C431" s="14" t="s">
        <v>591</v>
      </c>
      <c r="D431" s="14" t="s">
        <v>112</v>
      </c>
      <c r="E431" s="14" t="s">
        <v>92</v>
      </c>
      <c r="F431" s="14">
        <v>4</v>
      </c>
      <c r="G431" s="14">
        <v>60</v>
      </c>
      <c r="H431" s="31" t="s">
        <v>217</v>
      </c>
      <c r="I431" s="14" t="s">
        <v>75</v>
      </c>
      <c r="J431" s="14" t="s">
        <v>201</v>
      </c>
      <c r="K431" s="14">
        <v>1</v>
      </c>
      <c r="L431" s="14" t="s">
        <v>213</v>
      </c>
      <c r="N431" s="14">
        <v>0</v>
      </c>
      <c r="O431" s="14" t="b">
        <v>1</v>
      </c>
      <c r="Q431" s="14" t="b">
        <v>0</v>
      </c>
      <c r="R431" s="14">
        <v>1</v>
      </c>
      <c r="S431" s="14" t="s">
        <v>77</v>
      </c>
      <c r="T431" s="14">
        <v>999</v>
      </c>
      <c r="U431" s="14" t="s">
        <v>214</v>
      </c>
      <c r="V431" s="14">
        <v>31324004</v>
      </c>
      <c r="X431" s="14" t="s">
        <v>204</v>
      </c>
      <c r="Y431" s="14" t="s">
        <v>215</v>
      </c>
      <c r="Z431" s="14">
        <v>20001</v>
      </c>
      <c r="AA431" s="14" t="s">
        <v>205</v>
      </c>
      <c r="AB431" s="14">
        <v>40001</v>
      </c>
      <c r="AE431" s="29" t="s">
        <v>121</v>
      </c>
      <c r="AF431" s="14" t="s">
        <v>213</v>
      </c>
      <c r="AG431" s="14" t="s">
        <v>92</v>
      </c>
    </row>
    <row r="432" spans="2:33">
      <c r="B432" s="14">
        <f>10000000+INDEX(编号表!$B:$B,MATCH(H432,编号表!$A:$A,0))*100000+INDEX(编号表!$F:$F,MATCH(D432,编号表!$E:$E,0))*10000+INDEX(编号表!$D:$D,MATCH(AG432,编号表!$C:$C,0))*1000+F432</f>
        <v>11324005</v>
      </c>
      <c r="C432" s="14" t="s">
        <v>592</v>
      </c>
      <c r="D432" s="14" t="s">
        <v>112</v>
      </c>
      <c r="E432" s="14" t="s">
        <v>92</v>
      </c>
      <c r="F432" s="14">
        <v>5</v>
      </c>
      <c r="G432" s="14">
        <v>60</v>
      </c>
      <c r="H432" s="31" t="s">
        <v>217</v>
      </c>
      <c r="I432" s="14" t="s">
        <v>75</v>
      </c>
      <c r="J432" s="14" t="s">
        <v>201</v>
      </c>
      <c r="K432" s="14">
        <v>1</v>
      </c>
      <c r="L432" s="14" t="s">
        <v>213</v>
      </c>
      <c r="N432" s="14">
        <v>0</v>
      </c>
      <c r="O432" s="14" t="b">
        <v>1</v>
      </c>
      <c r="Q432" s="14" t="b">
        <v>0</v>
      </c>
      <c r="R432" s="14">
        <v>1</v>
      </c>
      <c r="S432" s="14" t="s">
        <v>77</v>
      </c>
      <c r="T432" s="14">
        <v>999</v>
      </c>
      <c r="U432" s="14" t="s">
        <v>214</v>
      </c>
      <c r="V432" s="14">
        <v>31324005</v>
      </c>
      <c r="X432" s="14" t="s">
        <v>204</v>
      </c>
      <c r="Y432" s="14" t="s">
        <v>215</v>
      </c>
      <c r="Z432" s="14">
        <v>20001</v>
      </c>
      <c r="AA432" s="14" t="s">
        <v>205</v>
      </c>
      <c r="AB432" s="14">
        <v>40001</v>
      </c>
      <c r="AE432" s="29" t="s">
        <v>121</v>
      </c>
      <c r="AF432" s="14" t="s">
        <v>213</v>
      </c>
      <c r="AG432" s="14" t="s">
        <v>92</v>
      </c>
    </row>
    <row r="433" spans="2:33">
      <c r="B433" s="14">
        <f>10000000+INDEX(编号表!$B:$B,MATCH(H433,编号表!$A:$A,0))*100000+INDEX(编号表!$F:$F,MATCH(D433,编号表!$E:$E,0))*10000+INDEX(编号表!$D:$D,MATCH(AG433,编号表!$C:$C,0))*1000+F433</f>
        <v>11324006</v>
      </c>
      <c r="C433" s="14" t="s">
        <v>593</v>
      </c>
      <c r="D433" s="14" t="s">
        <v>112</v>
      </c>
      <c r="E433" s="14" t="s">
        <v>92</v>
      </c>
      <c r="F433" s="14">
        <v>6</v>
      </c>
      <c r="G433" s="14">
        <v>60</v>
      </c>
      <c r="H433" s="31" t="s">
        <v>217</v>
      </c>
      <c r="I433" s="14" t="s">
        <v>75</v>
      </c>
      <c r="J433" s="14" t="s">
        <v>201</v>
      </c>
      <c r="K433" s="14">
        <v>1</v>
      </c>
      <c r="L433" s="14" t="s">
        <v>213</v>
      </c>
      <c r="N433" s="14">
        <v>0</v>
      </c>
      <c r="O433" s="14" t="b">
        <v>1</v>
      </c>
      <c r="Q433" s="14" t="b">
        <v>0</v>
      </c>
      <c r="R433" s="14">
        <v>1</v>
      </c>
      <c r="S433" s="14" t="s">
        <v>77</v>
      </c>
      <c r="T433" s="14">
        <v>999</v>
      </c>
      <c r="U433" s="14" t="s">
        <v>214</v>
      </c>
      <c r="V433" s="14">
        <v>31324006</v>
      </c>
      <c r="X433" s="14" t="s">
        <v>204</v>
      </c>
      <c r="Y433" s="14" t="s">
        <v>215</v>
      </c>
      <c r="Z433" s="14">
        <v>20001</v>
      </c>
      <c r="AA433" s="14" t="s">
        <v>205</v>
      </c>
      <c r="AB433" s="14">
        <v>40001</v>
      </c>
      <c r="AE433" s="29" t="s">
        <v>121</v>
      </c>
      <c r="AF433" s="14" t="s">
        <v>213</v>
      </c>
      <c r="AG433" s="14" t="s">
        <v>92</v>
      </c>
    </row>
    <row r="434" spans="2:33">
      <c r="B434" s="14">
        <f>10000000+INDEX(编号表!$B:$B,MATCH(H434,编号表!$A:$A,0))*100000+INDEX(编号表!$F:$F,MATCH(D434,编号表!$E:$E,0))*10000+INDEX(编号表!$D:$D,MATCH(AG434,编号表!$C:$C,0))*1000+F434</f>
        <v>11324007</v>
      </c>
      <c r="C434" s="14" t="s">
        <v>594</v>
      </c>
      <c r="D434" s="14" t="s">
        <v>112</v>
      </c>
      <c r="E434" s="14" t="s">
        <v>92</v>
      </c>
      <c r="F434" s="14">
        <v>7</v>
      </c>
      <c r="G434" s="14">
        <v>60</v>
      </c>
      <c r="H434" s="31" t="s">
        <v>217</v>
      </c>
      <c r="I434" s="14" t="s">
        <v>75</v>
      </c>
      <c r="J434" s="14" t="s">
        <v>201</v>
      </c>
      <c r="K434" s="14">
        <v>1</v>
      </c>
      <c r="L434" s="14" t="s">
        <v>213</v>
      </c>
      <c r="N434" s="14">
        <v>0</v>
      </c>
      <c r="O434" s="14" t="b">
        <v>1</v>
      </c>
      <c r="Q434" s="14" t="b">
        <v>0</v>
      </c>
      <c r="R434" s="14">
        <v>1</v>
      </c>
      <c r="S434" s="14" t="s">
        <v>77</v>
      </c>
      <c r="T434" s="14">
        <v>999</v>
      </c>
      <c r="U434" s="14" t="s">
        <v>214</v>
      </c>
      <c r="V434" s="14">
        <v>31324007</v>
      </c>
      <c r="X434" s="14" t="s">
        <v>204</v>
      </c>
      <c r="Y434" s="14" t="s">
        <v>215</v>
      </c>
      <c r="Z434" s="14">
        <v>20001</v>
      </c>
      <c r="AA434" s="14" t="s">
        <v>205</v>
      </c>
      <c r="AB434" s="14">
        <v>40001</v>
      </c>
      <c r="AE434" s="29" t="s">
        <v>121</v>
      </c>
      <c r="AF434" s="14" t="s">
        <v>213</v>
      </c>
      <c r="AG434" s="14" t="s">
        <v>92</v>
      </c>
    </row>
    <row r="435" spans="2:33">
      <c r="B435" s="14">
        <f>10000000+INDEX(编号表!$B:$B,MATCH(H435,编号表!$A:$A,0))*100000+INDEX(编号表!$F:$F,MATCH(D435,编号表!$E:$E,0))*10000+INDEX(编号表!$D:$D,MATCH(AG435,编号表!$C:$C,0))*1000+F435</f>
        <v>11324008</v>
      </c>
      <c r="C435" s="14" t="s">
        <v>595</v>
      </c>
      <c r="D435" s="14" t="s">
        <v>112</v>
      </c>
      <c r="E435" s="14" t="s">
        <v>92</v>
      </c>
      <c r="F435" s="14">
        <v>8</v>
      </c>
      <c r="G435" s="14">
        <v>60</v>
      </c>
      <c r="H435" s="31" t="s">
        <v>217</v>
      </c>
      <c r="I435" s="14" t="s">
        <v>75</v>
      </c>
      <c r="J435" s="14" t="s">
        <v>201</v>
      </c>
      <c r="K435" s="14">
        <v>1</v>
      </c>
      <c r="L435" s="14" t="s">
        <v>213</v>
      </c>
      <c r="N435" s="14">
        <v>0</v>
      </c>
      <c r="O435" s="14" t="b">
        <v>1</v>
      </c>
      <c r="Q435" s="14" t="b">
        <v>0</v>
      </c>
      <c r="R435" s="14">
        <v>1</v>
      </c>
      <c r="S435" s="14" t="s">
        <v>77</v>
      </c>
      <c r="T435" s="14">
        <v>999</v>
      </c>
      <c r="U435" s="14" t="s">
        <v>214</v>
      </c>
      <c r="V435" s="14">
        <v>31324008</v>
      </c>
      <c r="X435" s="14" t="s">
        <v>204</v>
      </c>
      <c r="Y435" s="14" t="s">
        <v>215</v>
      </c>
      <c r="Z435" s="14">
        <v>20001</v>
      </c>
      <c r="AA435" s="14" t="s">
        <v>205</v>
      </c>
      <c r="AB435" s="14">
        <v>40001</v>
      </c>
      <c r="AE435" s="29" t="s">
        <v>121</v>
      </c>
      <c r="AF435" s="14" t="s">
        <v>213</v>
      </c>
      <c r="AG435" s="14" t="s">
        <v>92</v>
      </c>
    </row>
    <row r="436" spans="2:33">
      <c r="B436" s="14">
        <f>10000000+INDEX(编号表!$B:$B,MATCH(H436,编号表!$A:$A,0))*100000+INDEX(编号表!$F:$F,MATCH(D436,编号表!$E:$E,0))*10000+INDEX(编号表!$D:$D,MATCH(AG436,编号表!$C:$C,0))*1000+F436</f>
        <v>11324009</v>
      </c>
      <c r="C436" s="14" t="s">
        <v>596</v>
      </c>
      <c r="D436" s="14" t="s">
        <v>112</v>
      </c>
      <c r="E436" s="14" t="s">
        <v>92</v>
      </c>
      <c r="F436" s="14">
        <v>9</v>
      </c>
      <c r="G436" s="14">
        <v>60</v>
      </c>
      <c r="H436" s="31" t="s">
        <v>217</v>
      </c>
      <c r="I436" s="14" t="s">
        <v>75</v>
      </c>
      <c r="J436" s="14" t="s">
        <v>201</v>
      </c>
      <c r="K436" s="14">
        <v>1</v>
      </c>
      <c r="L436" s="14" t="s">
        <v>213</v>
      </c>
      <c r="N436" s="14">
        <v>0</v>
      </c>
      <c r="O436" s="14" t="b">
        <v>1</v>
      </c>
      <c r="Q436" s="14" t="b">
        <v>0</v>
      </c>
      <c r="R436" s="14">
        <v>1</v>
      </c>
      <c r="S436" s="14" t="s">
        <v>77</v>
      </c>
      <c r="T436" s="14">
        <v>999</v>
      </c>
      <c r="U436" s="14" t="s">
        <v>214</v>
      </c>
      <c r="V436" s="14">
        <v>31324009</v>
      </c>
      <c r="X436" s="14" t="s">
        <v>204</v>
      </c>
      <c r="Y436" s="14" t="s">
        <v>215</v>
      </c>
      <c r="Z436" s="14">
        <v>20001</v>
      </c>
      <c r="AA436" s="14" t="s">
        <v>205</v>
      </c>
      <c r="AB436" s="14">
        <v>40001</v>
      </c>
      <c r="AE436" s="29" t="s">
        <v>121</v>
      </c>
      <c r="AF436" s="14" t="s">
        <v>213</v>
      </c>
      <c r="AG436" s="14" t="s">
        <v>92</v>
      </c>
    </row>
    <row r="437" spans="2:33">
      <c r="B437" s="14">
        <f>10000000+INDEX(编号表!$B:$B,MATCH(H437,编号表!$A:$A,0))*100000+INDEX(编号表!$F:$F,MATCH(D437,编号表!$E:$E,0))*10000+INDEX(编号表!$D:$D,MATCH(AG437,编号表!$C:$C,0))*1000+F437</f>
        <v>11524000</v>
      </c>
      <c r="C437" s="14" t="s">
        <v>597</v>
      </c>
      <c r="D437" s="14" t="s">
        <v>112</v>
      </c>
      <c r="E437" s="14" t="s">
        <v>92</v>
      </c>
      <c r="F437" s="14">
        <v>0</v>
      </c>
      <c r="G437" s="14">
        <v>60</v>
      </c>
      <c r="H437" s="31" t="s">
        <v>228</v>
      </c>
      <c r="I437" s="14" t="s">
        <v>75</v>
      </c>
      <c r="J437" s="14" t="s">
        <v>201</v>
      </c>
      <c r="K437" s="14">
        <v>1</v>
      </c>
      <c r="L437" s="14" t="s">
        <v>213</v>
      </c>
      <c r="N437" s="14">
        <v>0</v>
      </c>
      <c r="O437" s="14" t="b">
        <v>1</v>
      </c>
      <c r="Q437" s="14" t="b">
        <v>0</v>
      </c>
      <c r="R437" s="14">
        <v>1</v>
      </c>
      <c r="S437" s="14" t="s">
        <v>77</v>
      </c>
      <c r="T437" s="14">
        <v>999</v>
      </c>
      <c r="U437" s="14" t="s">
        <v>214</v>
      </c>
      <c r="V437" s="14">
        <v>31524000</v>
      </c>
      <c r="X437" s="14" t="s">
        <v>204</v>
      </c>
      <c r="Y437" s="14" t="s">
        <v>215</v>
      </c>
      <c r="Z437" s="14">
        <v>20001</v>
      </c>
      <c r="AA437" s="14" t="s">
        <v>205</v>
      </c>
      <c r="AB437" s="14">
        <v>40001</v>
      </c>
      <c r="AE437" s="29" t="s">
        <v>121</v>
      </c>
      <c r="AF437" s="14" t="s">
        <v>213</v>
      </c>
      <c r="AG437" s="14" t="s">
        <v>92</v>
      </c>
    </row>
    <row r="438" spans="2:33">
      <c r="B438" s="14">
        <f>10000000+INDEX(编号表!$B:$B,MATCH(H438,编号表!$A:$A,0))*100000+INDEX(编号表!$F:$F,MATCH(D438,编号表!$E:$E,0))*10000+INDEX(编号表!$D:$D,MATCH(AG438,编号表!$C:$C,0))*1000+F438</f>
        <v>11524001</v>
      </c>
      <c r="C438" s="14" t="s">
        <v>598</v>
      </c>
      <c r="D438" s="14" t="s">
        <v>112</v>
      </c>
      <c r="E438" s="14" t="s">
        <v>92</v>
      </c>
      <c r="F438" s="14">
        <v>1</v>
      </c>
      <c r="G438" s="14">
        <v>60</v>
      </c>
      <c r="H438" s="31" t="s">
        <v>228</v>
      </c>
      <c r="I438" s="14" t="s">
        <v>75</v>
      </c>
      <c r="J438" s="14" t="s">
        <v>201</v>
      </c>
      <c r="K438" s="14">
        <v>1</v>
      </c>
      <c r="L438" s="14" t="s">
        <v>213</v>
      </c>
      <c r="N438" s="14">
        <v>0</v>
      </c>
      <c r="O438" s="14" t="b">
        <v>1</v>
      </c>
      <c r="Q438" s="14" t="b">
        <v>0</v>
      </c>
      <c r="R438" s="14">
        <v>1</v>
      </c>
      <c r="S438" s="14" t="s">
        <v>77</v>
      </c>
      <c r="T438" s="14">
        <v>999</v>
      </c>
      <c r="U438" s="14" t="s">
        <v>214</v>
      </c>
      <c r="V438" s="14">
        <v>31524001</v>
      </c>
      <c r="X438" s="14" t="s">
        <v>204</v>
      </c>
      <c r="Y438" s="14" t="s">
        <v>215</v>
      </c>
      <c r="Z438" s="14">
        <v>20001</v>
      </c>
      <c r="AA438" s="14" t="s">
        <v>205</v>
      </c>
      <c r="AB438" s="14">
        <v>40001</v>
      </c>
      <c r="AE438" s="29" t="s">
        <v>121</v>
      </c>
      <c r="AF438" s="14" t="s">
        <v>213</v>
      </c>
      <c r="AG438" s="14" t="s">
        <v>92</v>
      </c>
    </row>
    <row r="439" spans="2:33">
      <c r="B439" s="14">
        <f>10000000+INDEX(编号表!$B:$B,MATCH(H439,编号表!$A:$A,0))*100000+INDEX(编号表!$F:$F,MATCH(D439,编号表!$E:$E,0))*10000+INDEX(编号表!$D:$D,MATCH(AG439,编号表!$C:$C,0))*1000+F439</f>
        <v>11524002</v>
      </c>
      <c r="C439" s="14" t="s">
        <v>599</v>
      </c>
      <c r="D439" s="14" t="s">
        <v>112</v>
      </c>
      <c r="E439" s="14" t="s">
        <v>92</v>
      </c>
      <c r="F439" s="14">
        <v>2</v>
      </c>
      <c r="G439" s="14">
        <v>60</v>
      </c>
      <c r="H439" s="31" t="s">
        <v>228</v>
      </c>
      <c r="I439" s="14" t="s">
        <v>75</v>
      </c>
      <c r="J439" s="14" t="s">
        <v>201</v>
      </c>
      <c r="K439" s="14">
        <v>1</v>
      </c>
      <c r="L439" s="14" t="s">
        <v>213</v>
      </c>
      <c r="N439" s="14">
        <v>0</v>
      </c>
      <c r="O439" s="14" t="b">
        <v>1</v>
      </c>
      <c r="Q439" s="14" t="b">
        <v>0</v>
      </c>
      <c r="R439" s="14">
        <v>1</v>
      </c>
      <c r="S439" s="14" t="s">
        <v>77</v>
      </c>
      <c r="T439" s="14">
        <v>999</v>
      </c>
      <c r="U439" s="14" t="s">
        <v>214</v>
      </c>
      <c r="V439" s="14">
        <v>31524002</v>
      </c>
      <c r="X439" s="14" t="s">
        <v>204</v>
      </c>
      <c r="Y439" s="14" t="s">
        <v>215</v>
      </c>
      <c r="Z439" s="14">
        <v>20001</v>
      </c>
      <c r="AA439" s="14" t="s">
        <v>205</v>
      </c>
      <c r="AB439" s="14">
        <v>40001</v>
      </c>
      <c r="AE439" s="29" t="s">
        <v>121</v>
      </c>
      <c r="AF439" s="14" t="s">
        <v>213</v>
      </c>
      <c r="AG439" s="14" t="s">
        <v>92</v>
      </c>
    </row>
    <row r="440" spans="2:33">
      <c r="B440" s="14">
        <f>10000000+INDEX(编号表!$B:$B,MATCH(H440,编号表!$A:$A,0))*100000+INDEX(编号表!$F:$F,MATCH(D440,编号表!$E:$E,0))*10000+INDEX(编号表!$D:$D,MATCH(AG440,编号表!$C:$C,0))*1000+F440</f>
        <v>11524003</v>
      </c>
      <c r="C440" s="14" t="s">
        <v>600</v>
      </c>
      <c r="D440" s="14" t="s">
        <v>112</v>
      </c>
      <c r="E440" s="14" t="s">
        <v>92</v>
      </c>
      <c r="F440" s="14">
        <v>3</v>
      </c>
      <c r="G440" s="14">
        <v>60</v>
      </c>
      <c r="H440" s="31" t="s">
        <v>228</v>
      </c>
      <c r="I440" s="14" t="s">
        <v>75</v>
      </c>
      <c r="J440" s="14" t="s">
        <v>201</v>
      </c>
      <c r="K440" s="14">
        <v>1</v>
      </c>
      <c r="L440" s="14" t="s">
        <v>213</v>
      </c>
      <c r="N440" s="14">
        <v>0</v>
      </c>
      <c r="O440" s="14" t="b">
        <v>1</v>
      </c>
      <c r="Q440" s="14" t="b">
        <v>0</v>
      </c>
      <c r="R440" s="14">
        <v>1</v>
      </c>
      <c r="S440" s="14" t="s">
        <v>77</v>
      </c>
      <c r="T440" s="14">
        <v>999</v>
      </c>
      <c r="U440" s="14" t="s">
        <v>214</v>
      </c>
      <c r="V440" s="14">
        <v>31524003</v>
      </c>
      <c r="X440" s="14" t="s">
        <v>204</v>
      </c>
      <c r="Y440" s="14" t="s">
        <v>215</v>
      </c>
      <c r="Z440" s="14">
        <v>20001</v>
      </c>
      <c r="AA440" s="14" t="s">
        <v>205</v>
      </c>
      <c r="AB440" s="14">
        <v>40001</v>
      </c>
      <c r="AE440" s="29" t="s">
        <v>121</v>
      </c>
      <c r="AF440" s="14" t="s">
        <v>213</v>
      </c>
      <c r="AG440" s="14" t="s">
        <v>92</v>
      </c>
    </row>
    <row r="441" spans="2:33">
      <c r="B441" s="14">
        <f>10000000+INDEX(编号表!$B:$B,MATCH(H441,编号表!$A:$A,0))*100000+INDEX(编号表!$F:$F,MATCH(D441,编号表!$E:$E,0))*10000+INDEX(编号表!$D:$D,MATCH(AG441,编号表!$C:$C,0))*1000+F441</f>
        <v>11524004</v>
      </c>
      <c r="C441" s="14" t="s">
        <v>601</v>
      </c>
      <c r="D441" s="14" t="s">
        <v>112</v>
      </c>
      <c r="E441" s="14" t="s">
        <v>92</v>
      </c>
      <c r="F441" s="14">
        <v>4</v>
      </c>
      <c r="G441" s="14">
        <v>60</v>
      </c>
      <c r="H441" s="31" t="s">
        <v>228</v>
      </c>
      <c r="I441" s="14" t="s">
        <v>75</v>
      </c>
      <c r="J441" s="14" t="s">
        <v>201</v>
      </c>
      <c r="K441" s="14">
        <v>1</v>
      </c>
      <c r="L441" s="14" t="s">
        <v>213</v>
      </c>
      <c r="N441" s="14">
        <v>0</v>
      </c>
      <c r="O441" s="14" t="b">
        <v>1</v>
      </c>
      <c r="Q441" s="14" t="b">
        <v>0</v>
      </c>
      <c r="R441" s="14">
        <v>1</v>
      </c>
      <c r="S441" s="14" t="s">
        <v>77</v>
      </c>
      <c r="T441" s="14">
        <v>999</v>
      </c>
      <c r="U441" s="14" t="s">
        <v>214</v>
      </c>
      <c r="V441" s="14">
        <v>31524004</v>
      </c>
      <c r="X441" s="14" t="s">
        <v>204</v>
      </c>
      <c r="Y441" s="14" t="s">
        <v>215</v>
      </c>
      <c r="Z441" s="14">
        <v>20001</v>
      </c>
      <c r="AA441" s="14" t="s">
        <v>205</v>
      </c>
      <c r="AB441" s="14">
        <v>40001</v>
      </c>
      <c r="AE441" s="29" t="s">
        <v>121</v>
      </c>
      <c r="AF441" s="14" t="s">
        <v>213</v>
      </c>
      <c r="AG441" s="14" t="s">
        <v>92</v>
      </c>
    </row>
    <row r="442" spans="2:33">
      <c r="B442" s="14">
        <f>10000000+INDEX(编号表!$B:$B,MATCH(H442,编号表!$A:$A,0))*100000+INDEX(编号表!$F:$F,MATCH(D442,编号表!$E:$E,0))*10000+INDEX(编号表!$D:$D,MATCH(AG442,编号表!$C:$C,0))*1000+F442</f>
        <v>11524005</v>
      </c>
      <c r="C442" s="14" t="s">
        <v>602</v>
      </c>
      <c r="D442" s="14" t="s">
        <v>112</v>
      </c>
      <c r="E442" s="14" t="s">
        <v>92</v>
      </c>
      <c r="F442" s="14">
        <v>5</v>
      </c>
      <c r="G442" s="14">
        <v>60</v>
      </c>
      <c r="H442" s="31" t="s">
        <v>228</v>
      </c>
      <c r="I442" s="14" t="s">
        <v>75</v>
      </c>
      <c r="J442" s="14" t="s">
        <v>201</v>
      </c>
      <c r="K442" s="14">
        <v>1</v>
      </c>
      <c r="L442" s="14" t="s">
        <v>213</v>
      </c>
      <c r="N442" s="14">
        <v>0</v>
      </c>
      <c r="O442" s="14" t="b">
        <v>1</v>
      </c>
      <c r="Q442" s="14" t="b">
        <v>0</v>
      </c>
      <c r="R442" s="14">
        <v>1</v>
      </c>
      <c r="S442" s="14" t="s">
        <v>77</v>
      </c>
      <c r="T442" s="14">
        <v>999</v>
      </c>
      <c r="U442" s="14" t="s">
        <v>214</v>
      </c>
      <c r="V442" s="14">
        <v>31524005</v>
      </c>
      <c r="X442" s="14" t="s">
        <v>204</v>
      </c>
      <c r="Y442" s="14" t="s">
        <v>215</v>
      </c>
      <c r="Z442" s="14">
        <v>20001</v>
      </c>
      <c r="AA442" s="14" t="s">
        <v>205</v>
      </c>
      <c r="AB442" s="14">
        <v>40001</v>
      </c>
      <c r="AE442" s="29" t="s">
        <v>121</v>
      </c>
      <c r="AF442" s="14" t="s">
        <v>213</v>
      </c>
      <c r="AG442" s="14" t="s">
        <v>92</v>
      </c>
    </row>
    <row r="443" spans="2:33">
      <c r="B443" s="14">
        <f>10000000+INDEX(编号表!$B:$B,MATCH(H443,编号表!$A:$A,0))*100000+INDEX(编号表!$F:$F,MATCH(D443,编号表!$E:$E,0))*10000+INDEX(编号表!$D:$D,MATCH(AG443,编号表!$C:$C,0))*1000+F443</f>
        <v>11524006</v>
      </c>
      <c r="C443" s="14" t="s">
        <v>603</v>
      </c>
      <c r="D443" s="14" t="s">
        <v>112</v>
      </c>
      <c r="E443" s="14" t="s">
        <v>92</v>
      </c>
      <c r="F443" s="14">
        <v>6</v>
      </c>
      <c r="G443" s="14">
        <v>60</v>
      </c>
      <c r="H443" s="31" t="s">
        <v>228</v>
      </c>
      <c r="I443" s="14" t="s">
        <v>75</v>
      </c>
      <c r="J443" s="14" t="s">
        <v>201</v>
      </c>
      <c r="K443" s="14">
        <v>1</v>
      </c>
      <c r="L443" s="14" t="s">
        <v>213</v>
      </c>
      <c r="N443" s="14">
        <v>0</v>
      </c>
      <c r="O443" s="14" t="b">
        <v>1</v>
      </c>
      <c r="Q443" s="14" t="b">
        <v>0</v>
      </c>
      <c r="R443" s="14">
        <v>1</v>
      </c>
      <c r="S443" s="14" t="s">
        <v>77</v>
      </c>
      <c r="T443" s="14">
        <v>999</v>
      </c>
      <c r="U443" s="14" t="s">
        <v>214</v>
      </c>
      <c r="V443" s="14">
        <v>31524006</v>
      </c>
      <c r="X443" s="14" t="s">
        <v>204</v>
      </c>
      <c r="Y443" s="14" t="s">
        <v>215</v>
      </c>
      <c r="Z443" s="14">
        <v>20001</v>
      </c>
      <c r="AA443" s="14" t="s">
        <v>205</v>
      </c>
      <c r="AB443" s="14">
        <v>40001</v>
      </c>
      <c r="AE443" s="29" t="s">
        <v>121</v>
      </c>
      <c r="AF443" s="14" t="s">
        <v>213</v>
      </c>
      <c r="AG443" s="14" t="s">
        <v>92</v>
      </c>
    </row>
    <row r="444" spans="2:33">
      <c r="B444" s="14">
        <f>10000000+INDEX(编号表!$B:$B,MATCH(H444,编号表!$A:$A,0))*100000+INDEX(编号表!$F:$F,MATCH(D444,编号表!$E:$E,0))*10000+INDEX(编号表!$D:$D,MATCH(AG444,编号表!$C:$C,0))*1000+F444</f>
        <v>11524007</v>
      </c>
      <c r="C444" s="14" t="s">
        <v>604</v>
      </c>
      <c r="D444" s="14" t="s">
        <v>112</v>
      </c>
      <c r="E444" s="14" t="s">
        <v>92</v>
      </c>
      <c r="F444" s="14">
        <v>7</v>
      </c>
      <c r="G444" s="14">
        <v>60</v>
      </c>
      <c r="H444" s="31" t="s">
        <v>228</v>
      </c>
      <c r="I444" s="14" t="s">
        <v>75</v>
      </c>
      <c r="J444" s="14" t="s">
        <v>201</v>
      </c>
      <c r="K444" s="14">
        <v>1</v>
      </c>
      <c r="L444" s="14" t="s">
        <v>213</v>
      </c>
      <c r="N444" s="14">
        <v>0</v>
      </c>
      <c r="O444" s="14" t="b">
        <v>1</v>
      </c>
      <c r="Q444" s="14" t="b">
        <v>0</v>
      </c>
      <c r="R444" s="14">
        <v>1</v>
      </c>
      <c r="S444" s="14" t="s">
        <v>77</v>
      </c>
      <c r="T444" s="14">
        <v>999</v>
      </c>
      <c r="U444" s="14" t="s">
        <v>214</v>
      </c>
      <c r="V444" s="14">
        <v>31524007</v>
      </c>
      <c r="X444" s="14" t="s">
        <v>204</v>
      </c>
      <c r="Y444" s="14" t="s">
        <v>215</v>
      </c>
      <c r="Z444" s="14">
        <v>20001</v>
      </c>
      <c r="AA444" s="14" t="s">
        <v>205</v>
      </c>
      <c r="AB444" s="14">
        <v>40001</v>
      </c>
      <c r="AE444" s="29" t="s">
        <v>121</v>
      </c>
      <c r="AF444" s="14" t="s">
        <v>213</v>
      </c>
      <c r="AG444" s="14" t="s">
        <v>92</v>
      </c>
    </row>
    <row r="445" spans="2:33">
      <c r="B445" s="14">
        <f>10000000+INDEX(编号表!$B:$B,MATCH(H445,编号表!$A:$A,0))*100000+INDEX(编号表!$F:$F,MATCH(D445,编号表!$E:$E,0))*10000+INDEX(编号表!$D:$D,MATCH(AG445,编号表!$C:$C,0))*1000+F445</f>
        <v>11524008</v>
      </c>
      <c r="C445" s="14" t="s">
        <v>605</v>
      </c>
      <c r="D445" s="14" t="s">
        <v>112</v>
      </c>
      <c r="E445" s="14" t="s">
        <v>92</v>
      </c>
      <c r="F445" s="14">
        <v>8</v>
      </c>
      <c r="G445" s="14">
        <v>60</v>
      </c>
      <c r="H445" s="31" t="s">
        <v>228</v>
      </c>
      <c r="I445" s="14" t="s">
        <v>75</v>
      </c>
      <c r="J445" s="14" t="s">
        <v>201</v>
      </c>
      <c r="K445" s="14">
        <v>1</v>
      </c>
      <c r="L445" s="14" t="s">
        <v>213</v>
      </c>
      <c r="N445" s="14">
        <v>0</v>
      </c>
      <c r="O445" s="14" t="b">
        <v>1</v>
      </c>
      <c r="Q445" s="14" t="b">
        <v>0</v>
      </c>
      <c r="R445" s="14">
        <v>1</v>
      </c>
      <c r="S445" s="14" t="s">
        <v>77</v>
      </c>
      <c r="T445" s="14">
        <v>999</v>
      </c>
      <c r="U445" s="14" t="s">
        <v>214</v>
      </c>
      <c r="V445" s="14">
        <v>31524008</v>
      </c>
      <c r="X445" s="14" t="s">
        <v>204</v>
      </c>
      <c r="Y445" s="14" t="s">
        <v>215</v>
      </c>
      <c r="Z445" s="14">
        <v>20001</v>
      </c>
      <c r="AA445" s="14" t="s">
        <v>205</v>
      </c>
      <c r="AB445" s="14">
        <v>40001</v>
      </c>
      <c r="AE445" s="29" t="s">
        <v>121</v>
      </c>
      <c r="AF445" s="14" t="s">
        <v>213</v>
      </c>
      <c r="AG445" s="14" t="s">
        <v>92</v>
      </c>
    </row>
    <row r="446" spans="2:33">
      <c r="B446" s="14">
        <f>10000000+INDEX(编号表!$B:$B,MATCH(H446,编号表!$A:$A,0))*100000+INDEX(编号表!$F:$F,MATCH(D446,编号表!$E:$E,0))*10000+INDEX(编号表!$D:$D,MATCH(AG446,编号表!$C:$C,0))*1000+F446</f>
        <v>11524009</v>
      </c>
      <c r="C446" s="14" t="s">
        <v>606</v>
      </c>
      <c r="D446" s="14" t="s">
        <v>112</v>
      </c>
      <c r="E446" s="14" t="s">
        <v>92</v>
      </c>
      <c r="F446" s="14">
        <v>9</v>
      </c>
      <c r="G446" s="14">
        <v>60</v>
      </c>
      <c r="H446" s="31" t="s">
        <v>228</v>
      </c>
      <c r="I446" s="14" t="s">
        <v>75</v>
      </c>
      <c r="J446" s="14" t="s">
        <v>201</v>
      </c>
      <c r="K446" s="14">
        <v>1</v>
      </c>
      <c r="L446" s="14" t="s">
        <v>213</v>
      </c>
      <c r="N446" s="14">
        <v>0</v>
      </c>
      <c r="O446" s="14" t="b">
        <v>1</v>
      </c>
      <c r="Q446" s="14" t="b">
        <v>0</v>
      </c>
      <c r="R446" s="14">
        <v>1</v>
      </c>
      <c r="S446" s="14" t="s">
        <v>77</v>
      </c>
      <c r="T446" s="14">
        <v>999</v>
      </c>
      <c r="U446" s="14" t="s">
        <v>214</v>
      </c>
      <c r="V446" s="14">
        <v>31524009</v>
      </c>
      <c r="X446" s="14" t="s">
        <v>204</v>
      </c>
      <c r="Y446" s="14" t="s">
        <v>215</v>
      </c>
      <c r="Z446" s="14">
        <v>20001</v>
      </c>
      <c r="AA446" s="14" t="s">
        <v>205</v>
      </c>
      <c r="AB446" s="14">
        <v>40001</v>
      </c>
      <c r="AE446" s="29" t="s">
        <v>121</v>
      </c>
      <c r="AF446" s="14" t="s">
        <v>213</v>
      </c>
      <c r="AG446" s="14" t="s">
        <v>92</v>
      </c>
    </row>
    <row r="447" spans="2:33">
      <c r="B447" s="14">
        <f>10000000+INDEX(编号表!$B:$B,MATCH(H447,编号表!$A:$A,0))*100000+INDEX(编号表!$F:$F,MATCH(D447,编号表!$E:$E,0))*10000+INDEX(编号表!$D:$D,MATCH(AG447,编号表!$C:$C,0))*1000+F447</f>
        <v>11424000</v>
      </c>
      <c r="C447" s="14" t="s">
        <v>607</v>
      </c>
      <c r="D447" s="14" t="s">
        <v>112</v>
      </c>
      <c r="E447" s="14" t="s">
        <v>92</v>
      </c>
      <c r="F447" s="14">
        <v>0</v>
      </c>
      <c r="G447" s="14">
        <v>60</v>
      </c>
      <c r="H447" s="31" t="s">
        <v>239</v>
      </c>
      <c r="I447" s="14" t="s">
        <v>75</v>
      </c>
      <c r="J447" s="14" t="s">
        <v>201</v>
      </c>
      <c r="K447" s="14">
        <v>1</v>
      </c>
      <c r="L447" s="14" t="s">
        <v>213</v>
      </c>
      <c r="N447" s="14">
        <v>0</v>
      </c>
      <c r="O447" s="14" t="b">
        <v>1</v>
      </c>
      <c r="Q447" s="14" t="b">
        <v>0</v>
      </c>
      <c r="R447" s="14">
        <v>1</v>
      </c>
      <c r="S447" s="14" t="s">
        <v>77</v>
      </c>
      <c r="T447" s="14">
        <v>999</v>
      </c>
      <c r="U447" s="14" t="s">
        <v>214</v>
      </c>
      <c r="V447" s="14">
        <v>31424000</v>
      </c>
      <c r="X447" s="14" t="s">
        <v>204</v>
      </c>
      <c r="Y447" s="14" t="s">
        <v>215</v>
      </c>
      <c r="Z447" s="14">
        <v>20001</v>
      </c>
      <c r="AA447" s="14" t="s">
        <v>205</v>
      </c>
      <c r="AB447" s="14">
        <v>40001</v>
      </c>
      <c r="AE447" s="29" t="s">
        <v>121</v>
      </c>
      <c r="AF447" s="14" t="s">
        <v>213</v>
      </c>
      <c r="AG447" s="14" t="s">
        <v>92</v>
      </c>
    </row>
    <row r="448" spans="2:33">
      <c r="B448" s="14">
        <f>10000000+INDEX(编号表!$B:$B,MATCH(H448,编号表!$A:$A,0))*100000+INDEX(编号表!$F:$F,MATCH(D448,编号表!$E:$E,0))*10000+INDEX(编号表!$D:$D,MATCH(AG448,编号表!$C:$C,0))*1000+F448</f>
        <v>11424001</v>
      </c>
      <c r="C448" s="14" t="s">
        <v>608</v>
      </c>
      <c r="D448" s="14" t="s">
        <v>112</v>
      </c>
      <c r="E448" s="14" t="s">
        <v>92</v>
      </c>
      <c r="F448" s="14">
        <v>1</v>
      </c>
      <c r="G448" s="14">
        <v>60</v>
      </c>
      <c r="H448" s="31" t="s">
        <v>239</v>
      </c>
      <c r="I448" s="14" t="s">
        <v>75</v>
      </c>
      <c r="J448" s="14" t="s">
        <v>201</v>
      </c>
      <c r="K448" s="14">
        <v>1</v>
      </c>
      <c r="L448" s="14" t="s">
        <v>213</v>
      </c>
      <c r="N448" s="14">
        <v>0</v>
      </c>
      <c r="O448" s="14" t="b">
        <v>1</v>
      </c>
      <c r="Q448" s="14" t="b">
        <v>0</v>
      </c>
      <c r="R448" s="14">
        <v>1</v>
      </c>
      <c r="S448" s="14" t="s">
        <v>77</v>
      </c>
      <c r="T448" s="14">
        <v>999</v>
      </c>
      <c r="U448" s="14" t="s">
        <v>214</v>
      </c>
      <c r="V448" s="14">
        <v>31424001</v>
      </c>
      <c r="X448" s="14" t="s">
        <v>204</v>
      </c>
      <c r="Y448" s="14" t="s">
        <v>215</v>
      </c>
      <c r="Z448" s="14">
        <v>20001</v>
      </c>
      <c r="AA448" s="14" t="s">
        <v>205</v>
      </c>
      <c r="AB448" s="14">
        <v>40001</v>
      </c>
      <c r="AE448" s="29" t="s">
        <v>121</v>
      </c>
      <c r="AF448" s="14" t="s">
        <v>213</v>
      </c>
      <c r="AG448" s="14" t="s">
        <v>92</v>
      </c>
    </row>
    <row r="449" spans="2:33">
      <c r="B449" s="14">
        <f>10000000+INDEX(编号表!$B:$B,MATCH(H449,编号表!$A:$A,0))*100000+INDEX(编号表!$F:$F,MATCH(D449,编号表!$E:$E,0))*10000+INDEX(编号表!$D:$D,MATCH(AG449,编号表!$C:$C,0))*1000+F449</f>
        <v>11424002</v>
      </c>
      <c r="C449" s="14" t="s">
        <v>609</v>
      </c>
      <c r="D449" s="14" t="s">
        <v>112</v>
      </c>
      <c r="E449" s="14" t="s">
        <v>92</v>
      </c>
      <c r="F449" s="14">
        <v>2</v>
      </c>
      <c r="G449" s="14">
        <v>60</v>
      </c>
      <c r="H449" s="31" t="s">
        <v>239</v>
      </c>
      <c r="I449" s="14" t="s">
        <v>75</v>
      </c>
      <c r="J449" s="14" t="s">
        <v>201</v>
      </c>
      <c r="K449" s="14">
        <v>1</v>
      </c>
      <c r="L449" s="14" t="s">
        <v>213</v>
      </c>
      <c r="N449" s="14">
        <v>0</v>
      </c>
      <c r="O449" s="14" t="b">
        <v>1</v>
      </c>
      <c r="Q449" s="14" t="b">
        <v>0</v>
      </c>
      <c r="R449" s="14">
        <v>1</v>
      </c>
      <c r="S449" s="14" t="s">
        <v>77</v>
      </c>
      <c r="T449" s="14">
        <v>999</v>
      </c>
      <c r="U449" s="14" t="s">
        <v>214</v>
      </c>
      <c r="V449" s="14">
        <v>31424002</v>
      </c>
      <c r="X449" s="14" t="s">
        <v>204</v>
      </c>
      <c r="Y449" s="14" t="s">
        <v>215</v>
      </c>
      <c r="Z449" s="14">
        <v>20001</v>
      </c>
      <c r="AA449" s="14" t="s">
        <v>205</v>
      </c>
      <c r="AB449" s="14">
        <v>40001</v>
      </c>
      <c r="AE449" s="29" t="s">
        <v>121</v>
      </c>
      <c r="AF449" s="14" t="s">
        <v>213</v>
      </c>
      <c r="AG449" s="14" t="s">
        <v>92</v>
      </c>
    </row>
    <row r="450" spans="2:33">
      <c r="B450" s="14">
        <f>10000000+INDEX(编号表!$B:$B,MATCH(H450,编号表!$A:$A,0))*100000+INDEX(编号表!$F:$F,MATCH(D450,编号表!$E:$E,0))*10000+INDEX(编号表!$D:$D,MATCH(AG450,编号表!$C:$C,0))*1000+F450</f>
        <v>11424003</v>
      </c>
      <c r="C450" s="14" t="s">
        <v>610</v>
      </c>
      <c r="D450" s="14" t="s">
        <v>112</v>
      </c>
      <c r="E450" s="14" t="s">
        <v>92</v>
      </c>
      <c r="F450" s="14">
        <v>3</v>
      </c>
      <c r="G450" s="14">
        <v>60</v>
      </c>
      <c r="H450" s="31" t="s">
        <v>239</v>
      </c>
      <c r="I450" s="14" t="s">
        <v>75</v>
      </c>
      <c r="J450" s="14" t="s">
        <v>201</v>
      </c>
      <c r="K450" s="14">
        <v>1</v>
      </c>
      <c r="L450" s="14" t="s">
        <v>213</v>
      </c>
      <c r="N450" s="14">
        <v>0</v>
      </c>
      <c r="O450" s="14" t="b">
        <v>1</v>
      </c>
      <c r="Q450" s="14" t="b">
        <v>0</v>
      </c>
      <c r="R450" s="14">
        <v>1</v>
      </c>
      <c r="S450" s="14" t="s">
        <v>77</v>
      </c>
      <c r="T450" s="14">
        <v>999</v>
      </c>
      <c r="U450" s="14" t="s">
        <v>214</v>
      </c>
      <c r="V450" s="14">
        <v>31424003</v>
      </c>
      <c r="X450" s="14" t="s">
        <v>204</v>
      </c>
      <c r="Y450" s="14" t="s">
        <v>215</v>
      </c>
      <c r="Z450" s="14">
        <v>20001</v>
      </c>
      <c r="AA450" s="14" t="s">
        <v>205</v>
      </c>
      <c r="AB450" s="14">
        <v>40001</v>
      </c>
      <c r="AE450" s="29" t="s">
        <v>121</v>
      </c>
      <c r="AF450" s="14" t="s">
        <v>213</v>
      </c>
      <c r="AG450" s="14" t="s">
        <v>92</v>
      </c>
    </row>
    <row r="451" spans="2:33">
      <c r="B451" s="14">
        <f>10000000+INDEX(编号表!$B:$B,MATCH(H451,编号表!$A:$A,0))*100000+INDEX(编号表!$F:$F,MATCH(D451,编号表!$E:$E,0))*10000+INDEX(编号表!$D:$D,MATCH(AG451,编号表!$C:$C,0))*1000+F451</f>
        <v>11624000</v>
      </c>
      <c r="C451" s="14" t="s">
        <v>611</v>
      </c>
      <c r="D451" s="14" t="s">
        <v>112</v>
      </c>
      <c r="E451" s="14" t="s">
        <v>92</v>
      </c>
      <c r="F451" s="14">
        <v>0</v>
      </c>
      <c r="G451" s="14">
        <v>60</v>
      </c>
      <c r="H451" s="31" t="s">
        <v>244</v>
      </c>
      <c r="I451" s="14" t="s">
        <v>75</v>
      </c>
      <c r="J451" s="14" t="s">
        <v>201</v>
      </c>
      <c r="K451" s="14">
        <v>1</v>
      </c>
      <c r="L451" s="14" t="s">
        <v>213</v>
      </c>
      <c r="N451" s="14">
        <v>0</v>
      </c>
      <c r="O451" s="14" t="b">
        <v>1</v>
      </c>
      <c r="Q451" s="14" t="b">
        <v>0</v>
      </c>
      <c r="R451" s="14">
        <v>1</v>
      </c>
      <c r="S451" s="14" t="s">
        <v>77</v>
      </c>
      <c r="T451" s="14">
        <v>999</v>
      </c>
      <c r="U451" s="14" t="s">
        <v>214</v>
      </c>
      <c r="V451" s="14">
        <v>31624000</v>
      </c>
      <c r="X451" s="14" t="s">
        <v>204</v>
      </c>
      <c r="Y451" s="14" t="s">
        <v>215</v>
      </c>
      <c r="Z451" s="14">
        <v>20001</v>
      </c>
      <c r="AA451" s="14" t="s">
        <v>205</v>
      </c>
      <c r="AB451" s="14">
        <v>40001</v>
      </c>
      <c r="AE451" s="29" t="s">
        <v>121</v>
      </c>
      <c r="AF451" s="14" t="s">
        <v>213</v>
      </c>
      <c r="AG451" s="14" t="s">
        <v>92</v>
      </c>
    </row>
    <row r="452" spans="2:33">
      <c r="B452" s="14">
        <f>10000000+INDEX(编号表!$B:$B,MATCH(H452,编号表!$A:$A,0))*100000+INDEX(编号表!$F:$F,MATCH(D452,编号表!$E:$E,0))*10000+INDEX(编号表!$D:$D,MATCH(AG452,编号表!$C:$C,0))*1000+F452</f>
        <v>11624001</v>
      </c>
      <c r="C452" s="14" t="s">
        <v>612</v>
      </c>
      <c r="D452" s="14" t="s">
        <v>112</v>
      </c>
      <c r="E452" s="14" t="s">
        <v>92</v>
      </c>
      <c r="F452" s="14">
        <v>1</v>
      </c>
      <c r="G452" s="14">
        <v>60</v>
      </c>
      <c r="H452" s="31" t="s">
        <v>244</v>
      </c>
      <c r="I452" s="14" t="s">
        <v>75</v>
      </c>
      <c r="J452" s="14" t="s">
        <v>201</v>
      </c>
      <c r="K452" s="14">
        <v>1</v>
      </c>
      <c r="L452" s="14" t="s">
        <v>213</v>
      </c>
      <c r="N452" s="14">
        <v>0</v>
      </c>
      <c r="O452" s="14" t="b">
        <v>1</v>
      </c>
      <c r="Q452" s="14" t="b">
        <v>0</v>
      </c>
      <c r="R452" s="14">
        <v>1</v>
      </c>
      <c r="S452" s="14" t="s">
        <v>77</v>
      </c>
      <c r="T452" s="14">
        <v>999</v>
      </c>
      <c r="U452" s="14" t="s">
        <v>214</v>
      </c>
      <c r="V452" s="14">
        <v>31624001</v>
      </c>
      <c r="X452" s="14" t="s">
        <v>204</v>
      </c>
      <c r="Y452" s="14" t="s">
        <v>215</v>
      </c>
      <c r="Z452" s="14">
        <v>20001</v>
      </c>
      <c r="AA452" s="14" t="s">
        <v>205</v>
      </c>
      <c r="AB452" s="14">
        <v>40001</v>
      </c>
      <c r="AE452" s="29" t="s">
        <v>121</v>
      </c>
      <c r="AF452" s="14" t="s">
        <v>213</v>
      </c>
      <c r="AG452" s="14" t="s">
        <v>92</v>
      </c>
    </row>
    <row r="453" spans="2:33">
      <c r="B453" s="14">
        <f>10000000+INDEX(编号表!$B:$B,MATCH(H453,编号表!$A:$A,0))*100000+INDEX(编号表!$F:$F,MATCH(D453,编号表!$E:$E,0))*10000+INDEX(编号表!$D:$D,MATCH(AG453,编号表!$C:$C,0))*1000+F453</f>
        <v>11624002</v>
      </c>
      <c r="C453" s="14" t="s">
        <v>613</v>
      </c>
      <c r="D453" s="14" t="s">
        <v>112</v>
      </c>
      <c r="E453" s="14" t="s">
        <v>92</v>
      </c>
      <c r="F453" s="14">
        <v>2</v>
      </c>
      <c r="G453" s="14">
        <v>60</v>
      </c>
      <c r="H453" s="31" t="s">
        <v>244</v>
      </c>
      <c r="I453" s="14" t="s">
        <v>75</v>
      </c>
      <c r="J453" s="14" t="s">
        <v>201</v>
      </c>
      <c r="K453" s="14">
        <v>1</v>
      </c>
      <c r="L453" s="14" t="s">
        <v>213</v>
      </c>
      <c r="N453" s="14">
        <v>0</v>
      </c>
      <c r="O453" s="14" t="b">
        <v>1</v>
      </c>
      <c r="Q453" s="14" t="b">
        <v>0</v>
      </c>
      <c r="R453" s="14">
        <v>1</v>
      </c>
      <c r="S453" s="14" t="s">
        <v>77</v>
      </c>
      <c r="T453" s="14">
        <v>999</v>
      </c>
      <c r="U453" s="14" t="s">
        <v>214</v>
      </c>
      <c r="V453" s="14">
        <v>31624002</v>
      </c>
      <c r="X453" s="14" t="s">
        <v>204</v>
      </c>
      <c r="Y453" s="14" t="s">
        <v>215</v>
      </c>
      <c r="Z453" s="14">
        <v>20001</v>
      </c>
      <c r="AA453" s="14" t="s">
        <v>205</v>
      </c>
      <c r="AB453" s="14">
        <v>40001</v>
      </c>
      <c r="AE453" s="29" t="s">
        <v>121</v>
      </c>
      <c r="AF453" s="14" t="s">
        <v>213</v>
      </c>
      <c r="AG453" s="14" t="s">
        <v>92</v>
      </c>
    </row>
    <row r="454" spans="2:33">
      <c r="B454" s="14">
        <f>10000000+INDEX(编号表!$B:$B,MATCH(H454,编号表!$A:$A,0))*100000+INDEX(编号表!$F:$F,MATCH(D454,编号表!$E:$E,0))*10000+INDEX(编号表!$D:$D,MATCH(AG454,编号表!$C:$C,0))*1000+F454</f>
        <v>11234000</v>
      </c>
      <c r="C454" s="14" t="s">
        <v>614</v>
      </c>
      <c r="D454" s="14" t="s">
        <v>276</v>
      </c>
      <c r="E454" s="14" t="s">
        <v>92</v>
      </c>
      <c r="F454" s="14">
        <v>0</v>
      </c>
      <c r="G454" s="14">
        <v>60</v>
      </c>
      <c r="H454" s="31" t="s">
        <v>212</v>
      </c>
      <c r="I454" s="14" t="s">
        <v>75</v>
      </c>
      <c r="J454" s="14" t="s">
        <v>201</v>
      </c>
      <c r="K454" s="14">
        <v>1</v>
      </c>
      <c r="L454" s="14" t="s">
        <v>213</v>
      </c>
      <c r="N454" s="14">
        <v>0</v>
      </c>
      <c r="O454" s="14" t="b">
        <v>1</v>
      </c>
      <c r="Q454" s="14" t="b">
        <v>0</v>
      </c>
      <c r="R454" s="14">
        <v>1</v>
      </c>
      <c r="S454" s="14" t="s">
        <v>77</v>
      </c>
      <c r="T454" s="14">
        <v>999</v>
      </c>
      <c r="U454" s="14" t="s">
        <v>214</v>
      </c>
      <c r="V454" s="14">
        <v>31234000</v>
      </c>
      <c r="X454" s="14" t="s">
        <v>204</v>
      </c>
      <c r="Y454" s="14" t="s">
        <v>215</v>
      </c>
      <c r="Z454" s="14">
        <v>20001</v>
      </c>
      <c r="AA454" s="14" t="s">
        <v>205</v>
      </c>
      <c r="AB454" s="14">
        <v>40001</v>
      </c>
      <c r="AE454" s="29" t="s">
        <v>121</v>
      </c>
      <c r="AF454" s="14" t="s">
        <v>213</v>
      </c>
      <c r="AG454" s="14" t="s">
        <v>92</v>
      </c>
    </row>
    <row r="455" spans="2:33">
      <c r="B455" s="14">
        <f>10000000+INDEX(编号表!$B:$B,MATCH(H455,编号表!$A:$A,0))*100000+INDEX(编号表!$F:$F,MATCH(D455,编号表!$E:$E,0))*10000+INDEX(编号表!$D:$D,MATCH(AG455,编号表!$C:$C,0))*1000+F455</f>
        <v>11334000</v>
      </c>
      <c r="C455" s="14" t="s">
        <v>615</v>
      </c>
      <c r="D455" s="14" t="s">
        <v>276</v>
      </c>
      <c r="E455" s="14" t="s">
        <v>92</v>
      </c>
      <c r="F455" s="14">
        <v>0</v>
      </c>
      <c r="G455" s="14">
        <v>60</v>
      </c>
      <c r="H455" s="31" t="s">
        <v>217</v>
      </c>
      <c r="I455" s="14" t="s">
        <v>75</v>
      </c>
      <c r="J455" s="14" t="s">
        <v>201</v>
      </c>
      <c r="K455" s="14">
        <v>1</v>
      </c>
      <c r="L455" s="14" t="s">
        <v>213</v>
      </c>
      <c r="N455" s="14">
        <v>0</v>
      </c>
      <c r="O455" s="14" t="b">
        <v>1</v>
      </c>
      <c r="Q455" s="14" t="b">
        <v>0</v>
      </c>
      <c r="R455" s="14">
        <v>1</v>
      </c>
      <c r="S455" s="14" t="s">
        <v>77</v>
      </c>
      <c r="T455" s="14">
        <v>999</v>
      </c>
      <c r="U455" s="14" t="s">
        <v>214</v>
      </c>
      <c r="V455" s="14">
        <v>31334000</v>
      </c>
      <c r="X455" s="14" t="s">
        <v>204</v>
      </c>
      <c r="Y455" s="14" t="s">
        <v>215</v>
      </c>
      <c r="Z455" s="14">
        <v>20001</v>
      </c>
      <c r="AA455" s="14" t="s">
        <v>205</v>
      </c>
      <c r="AB455" s="14">
        <v>40001</v>
      </c>
      <c r="AE455" s="29" t="s">
        <v>121</v>
      </c>
      <c r="AF455" s="14" t="s">
        <v>213</v>
      </c>
      <c r="AG455" s="14" t="s">
        <v>92</v>
      </c>
    </row>
    <row r="456" spans="2:33">
      <c r="B456" s="14">
        <f>10000000+INDEX(编号表!$B:$B,MATCH(H456,编号表!$A:$A,0))*100000+INDEX(编号表!$F:$F,MATCH(D456,编号表!$E:$E,0))*10000+INDEX(编号表!$D:$D,MATCH(AG456,编号表!$C:$C,0))*1000+F456</f>
        <v>11334001</v>
      </c>
      <c r="C456" s="14" t="s">
        <v>616</v>
      </c>
      <c r="D456" s="14" t="s">
        <v>276</v>
      </c>
      <c r="E456" s="14" t="s">
        <v>92</v>
      </c>
      <c r="F456" s="14">
        <v>1</v>
      </c>
      <c r="G456" s="14">
        <v>60</v>
      </c>
      <c r="H456" s="31" t="s">
        <v>217</v>
      </c>
      <c r="I456" s="14" t="s">
        <v>75</v>
      </c>
      <c r="J456" s="14" t="s">
        <v>201</v>
      </c>
      <c r="K456" s="14">
        <v>1</v>
      </c>
      <c r="L456" s="14" t="s">
        <v>213</v>
      </c>
      <c r="N456" s="14">
        <v>0</v>
      </c>
      <c r="O456" s="14" t="b">
        <v>1</v>
      </c>
      <c r="Q456" s="14" t="b">
        <v>0</v>
      </c>
      <c r="R456" s="14">
        <v>1</v>
      </c>
      <c r="S456" s="14" t="s">
        <v>77</v>
      </c>
      <c r="T456" s="14">
        <v>999</v>
      </c>
      <c r="U456" s="14" t="s">
        <v>214</v>
      </c>
      <c r="V456" s="14">
        <v>31334001</v>
      </c>
      <c r="X456" s="14" t="s">
        <v>204</v>
      </c>
      <c r="Y456" s="14" t="s">
        <v>215</v>
      </c>
      <c r="Z456" s="14">
        <v>20001</v>
      </c>
      <c r="AA456" s="14" t="s">
        <v>205</v>
      </c>
      <c r="AB456" s="14">
        <v>40001</v>
      </c>
      <c r="AE456" s="29" t="s">
        <v>121</v>
      </c>
      <c r="AF456" s="14" t="s">
        <v>213</v>
      </c>
      <c r="AG456" s="14" t="s">
        <v>92</v>
      </c>
    </row>
    <row r="457" spans="2:33">
      <c r="B457" s="14">
        <f>10000000+INDEX(编号表!$B:$B,MATCH(H457,编号表!$A:$A,0))*100000+INDEX(编号表!$F:$F,MATCH(D457,编号表!$E:$E,0))*10000+INDEX(编号表!$D:$D,MATCH(AG457,编号表!$C:$C,0))*1000+F457</f>
        <v>11334002</v>
      </c>
      <c r="C457" s="14" t="s">
        <v>617</v>
      </c>
      <c r="D457" s="14" t="s">
        <v>276</v>
      </c>
      <c r="E457" s="14" t="s">
        <v>92</v>
      </c>
      <c r="F457" s="14">
        <v>2</v>
      </c>
      <c r="G457" s="14">
        <v>60</v>
      </c>
      <c r="H457" s="31" t="s">
        <v>217</v>
      </c>
      <c r="I457" s="14" t="s">
        <v>75</v>
      </c>
      <c r="J457" s="14" t="s">
        <v>201</v>
      </c>
      <c r="K457" s="14">
        <v>1</v>
      </c>
      <c r="L457" s="14" t="s">
        <v>213</v>
      </c>
      <c r="N457" s="14">
        <v>0</v>
      </c>
      <c r="O457" s="14" t="b">
        <v>1</v>
      </c>
      <c r="Q457" s="14" t="b">
        <v>0</v>
      </c>
      <c r="R457" s="14">
        <v>1</v>
      </c>
      <c r="S457" s="14" t="s">
        <v>77</v>
      </c>
      <c r="T457" s="14">
        <v>999</v>
      </c>
      <c r="U457" s="14" t="s">
        <v>214</v>
      </c>
      <c r="V457" s="14">
        <v>31334002</v>
      </c>
      <c r="X457" s="14" t="s">
        <v>204</v>
      </c>
      <c r="Y457" s="14" t="s">
        <v>215</v>
      </c>
      <c r="Z457" s="14">
        <v>20001</v>
      </c>
      <c r="AA457" s="14" t="s">
        <v>205</v>
      </c>
      <c r="AB457" s="14">
        <v>40001</v>
      </c>
      <c r="AE457" s="29" t="s">
        <v>121</v>
      </c>
      <c r="AF457" s="14" t="s">
        <v>213</v>
      </c>
      <c r="AG457" s="14" t="s">
        <v>92</v>
      </c>
    </row>
    <row r="458" spans="2:33">
      <c r="B458" s="14">
        <f>10000000+INDEX(编号表!$B:$B,MATCH(H458,编号表!$A:$A,0))*100000+INDEX(编号表!$F:$F,MATCH(D458,编号表!$E:$E,0))*10000+INDEX(编号表!$D:$D,MATCH(AG458,编号表!$C:$C,0))*1000+F458</f>
        <v>11334003</v>
      </c>
      <c r="C458" s="14" t="s">
        <v>618</v>
      </c>
      <c r="D458" s="14" t="s">
        <v>276</v>
      </c>
      <c r="E458" s="14" t="s">
        <v>92</v>
      </c>
      <c r="F458" s="14">
        <v>3</v>
      </c>
      <c r="G458" s="14">
        <v>60</v>
      </c>
      <c r="H458" s="31" t="s">
        <v>217</v>
      </c>
      <c r="I458" s="14" t="s">
        <v>75</v>
      </c>
      <c r="J458" s="14" t="s">
        <v>201</v>
      </c>
      <c r="K458" s="14">
        <v>1</v>
      </c>
      <c r="L458" s="14" t="s">
        <v>213</v>
      </c>
      <c r="N458" s="14">
        <v>0</v>
      </c>
      <c r="O458" s="14" t="b">
        <v>1</v>
      </c>
      <c r="Q458" s="14" t="b">
        <v>0</v>
      </c>
      <c r="R458" s="14">
        <v>1</v>
      </c>
      <c r="S458" s="14" t="s">
        <v>77</v>
      </c>
      <c r="T458" s="14">
        <v>999</v>
      </c>
      <c r="U458" s="14" t="s">
        <v>214</v>
      </c>
      <c r="V458" s="14">
        <v>31334003</v>
      </c>
      <c r="X458" s="14" t="s">
        <v>204</v>
      </c>
      <c r="Y458" s="14" t="s">
        <v>215</v>
      </c>
      <c r="Z458" s="14">
        <v>20001</v>
      </c>
      <c r="AA458" s="14" t="s">
        <v>205</v>
      </c>
      <c r="AB458" s="14">
        <v>40001</v>
      </c>
      <c r="AE458" s="29" t="s">
        <v>121</v>
      </c>
      <c r="AF458" s="14" t="s">
        <v>213</v>
      </c>
      <c r="AG458" s="14" t="s">
        <v>92</v>
      </c>
    </row>
    <row r="459" spans="2:33">
      <c r="B459" s="14">
        <f>10000000+INDEX(编号表!$B:$B,MATCH(H459,编号表!$A:$A,0))*100000+INDEX(编号表!$F:$F,MATCH(D459,编号表!$E:$E,0))*10000+INDEX(编号表!$D:$D,MATCH(AG459,编号表!$C:$C,0))*1000+F459</f>
        <v>11334004</v>
      </c>
      <c r="C459" s="14" t="s">
        <v>619</v>
      </c>
      <c r="D459" s="14" t="s">
        <v>276</v>
      </c>
      <c r="E459" s="14" t="s">
        <v>92</v>
      </c>
      <c r="F459" s="14">
        <v>4</v>
      </c>
      <c r="G459" s="14">
        <v>60</v>
      </c>
      <c r="H459" s="31" t="s">
        <v>217</v>
      </c>
      <c r="I459" s="14" t="s">
        <v>75</v>
      </c>
      <c r="J459" s="14" t="s">
        <v>201</v>
      </c>
      <c r="K459" s="14">
        <v>1</v>
      </c>
      <c r="L459" s="14" t="s">
        <v>213</v>
      </c>
      <c r="N459" s="14">
        <v>0</v>
      </c>
      <c r="O459" s="14" t="b">
        <v>1</v>
      </c>
      <c r="Q459" s="14" t="b">
        <v>0</v>
      </c>
      <c r="R459" s="14">
        <v>1</v>
      </c>
      <c r="S459" s="14" t="s">
        <v>77</v>
      </c>
      <c r="T459" s="14">
        <v>999</v>
      </c>
      <c r="U459" s="14" t="s">
        <v>214</v>
      </c>
      <c r="V459" s="14">
        <v>31334004</v>
      </c>
      <c r="X459" s="14" t="s">
        <v>204</v>
      </c>
      <c r="Y459" s="14" t="s">
        <v>215</v>
      </c>
      <c r="Z459" s="14">
        <v>20001</v>
      </c>
      <c r="AA459" s="14" t="s">
        <v>205</v>
      </c>
      <c r="AB459" s="14">
        <v>40001</v>
      </c>
      <c r="AE459" s="29" t="s">
        <v>121</v>
      </c>
      <c r="AF459" s="14" t="s">
        <v>213</v>
      </c>
      <c r="AG459" s="14" t="s">
        <v>92</v>
      </c>
    </row>
    <row r="460" spans="2:33">
      <c r="B460" s="14">
        <f>10000000+INDEX(编号表!$B:$B,MATCH(H460,编号表!$A:$A,0))*100000+INDEX(编号表!$F:$F,MATCH(D460,编号表!$E:$E,0))*10000+INDEX(编号表!$D:$D,MATCH(AG460,编号表!$C:$C,0))*1000+F460</f>
        <v>11334005</v>
      </c>
      <c r="C460" s="14" t="s">
        <v>620</v>
      </c>
      <c r="D460" s="14" t="s">
        <v>276</v>
      </c>
      <c r="E460" s="14" t="s">
        <v>92</v>
      </c>
      <c r="F460" s="14">
        <v>5</v>
      </c>
      <c r="G460" s="14">
        <v>60</v>
      </c>
      <c r="H460" s="31" t="s">
        <v>217</v>
      </c>
      <c r="I460" s="14" t="s">
        <v>75</v>
      </c>
      <c r="J460" s="14" t="s">
        <v>201</v>
      </c>
      <c r="K460" s="14">
        <v>1</v>
      </c>
      <c r="L460" s="14" t="s">
        <v>213</v>
      </c>
      <c r="N460" s="14">
        <v>0</v>
      </c>
      <c r="O460" s="14" t="b">
        <v>1</v>
      </c>
      <c r="Q460" s="14" t="b">
        <v>0</v>
      </c>
      <c r="R460" s="14">
        <v>1</v>
      </c>
      <c r="S460" s="14" t="s">
        <v>77</v>
      </c>
      <c r="T460" s="14">
        <v>999</v>
      </c>
      <c r="U460" s="14" t="s">
        <v>214</v>
      </c>
      <c r="V460" s="14">
        <v>31334005</v>
      </c>
      <c r="X460" s="14" t="s">
        <v>204</v>
      </c>
      <c r="Y460" s="14" t="s">
        <v>215</v>
      </c>
      <c r="Z460" s="14">
        <v>20001</v>
      </c>
      <c r="AA460" s="14" t="s">
        <v>205</v>
      </c>
      <c r="AB460" s="14">
        <v>40001</v>
      </c>
      <c r="AE460" s="29" t="s">
        <v>121</v>
      </c>
      <c r="AF460" s="14" t="s">
        <v>213</v>
      </c>
      <c r="AG460" s="14" t="s">
        <v>92</v>
      </c>
    </row>
    <row r="461" spans="2:33">
      <c r="B461" s="14">
        <f>10000000+INDEX(编号表!$B:$B,MATCH(H461,编号表!$A:$A,0))*100000+INDEX(编号表!$F:$F,MATCH(D461,编号表!$E:$E,0))*10000+INDEX(编号表!$D:$D,MATCH(AG461,编号表!$C:$C,0))*1000+F461</f>
        <v>11334006</v>
      </c>
      <c r="C461" s="14" t="s">
        <v>621</v>
      </c>
      <c r="D461" s="14" t="s">
        <v>276</v>
      </c>
      <c r="E461" s="14" t="s">
        <v>92</v>
      </c>
      <c r="F461" s="14">
        <v>6</v>
      </c>
      <c r="G461" s="14">
        <v>60</v>
      </c>
      <c r="H461" s="31" t="s">
        <v>217</v>
      </c>
      <c r="I461" s="14" t="s">
        <v>75</v>
      </c>
      <c r="J461" s="14" t="s">
        <v>201</v>
      </c>
      <c r="K461" s="14">
        <v>1</v>
      </c>
      <c r="L461" s="14" t="s">
        <v>213</v>
      </c>
      <c r="N461" s="14">
        <v>0</v>
      </c>
      <c r="O461" s="14" t="b">
        <v>1</v>
      </c>
      <c r="Q461" s="14" t="b">
        <v>0</v>
      </c>
      <c r="R461" s="14">
        <v>1</v>
      </c>
      <c r="S461" s="14" t="s">
        <v>77</v>
      </c>
      <c r="T461" s="14">
        <v>999</v>
      </c>
      <c r="U461" s="14" t="s">
        <v>214</v>
      </c>
      <c r="V461" s="14">
        <v>31334006</v>
      </c>
      <c r="X461" s="14" t="s">
        <v>204</v>
      </c>
      <c r="Y461" s="14" t="s">
        <v>215</v>
      </c>
      <c r="Z461" s="14">
        <v>20001</v>
      </c>
      <c r="AA461" s="14" t="s">
        <v>205</v>
      </c>
      <c r="AB461" s="14">
        <v>40001</v>
      </c>
      <c r="AE461" s="29" t="s">
        <v>121</v>
      </c>
      <c r="AF461" s="14" t="s">
        <v>213</v>
      </c>
      <c r="AG461" s="14" t="s">
        <v>92</v>
      </c>
    </row>
    <row r="462" spans="2:33">
      <c r="B462" s="14">
        <f>10000000+INDEX(编号表!$B:$B,MATCH(H462,编号表!$A:$A,0))*100000+INDEX(编号表!$F:$F,MATCH(D462,编号表!$E:$E,0))*10000+INDEX(编号表!$D:$D,MATCH(AG462,编号表!$C:$C,0))*1000+F462</f>
        <v>11334007</v>
      </c>
      <c r="C462" s="14" t="s">
        <v>622</v>
      </c>
      <c r="D462" s="14" t="s">
        <v>276</v>
      </c>
      <c r="E462" s="14" t="s">
        <v>92</v>
      </c>
      <c r="F462" s="14">
        <v>7</v>
      </c>
      <c r="G462" s="14">
        <v>60</v>
      </c>
      <c r="H462" s="31" t="s">
        <v>217</v>
      </c>
      <c r="I462" s="14" t="s">
        <v>75</v>
      </c>
      <c r="J462" s="14" t="s">
        <v>201</v>
      </c>
      <c r="K462" s="14">
        <v>1</v>
      </c>
      <c r="L462" s="14" t="s">
        <v>213</v>
      </c>
      <c r="N462" s="14">
        <v>0</v>
      </c>
      <c r="O462" s="14" t="b">
        <v>1</v>
      </c>
      <c r="Q462" s="14" t="b">
        <v>0</v>
      </c>
      <c r="R462" s="14">
        <v>1</v>
      </c>
      <c r="S462" s="14" t="s">
        <v>77</v>
      </c>
      <c r="T462" s="14">
        <v>999</v>
      </c>
      <c r="U462" s="14" t="s">
        <v>214</v>
      </c>
      <c r="V462" s="14">
        <v>31334007</v>
      </c>
      <c r="X462" s="14" t="s">
        <v>204</v>
      </c>
      <c r="Y462" s="14" t="s">
        <v>215</v>
      </c>
      <c r="Z462" s="14">
        <v>20001</v>
      </c>
      <c r="AA462" s="14" t="s">
        <v>205</v>
      </c>
      <c r="AB462" s="14">
        <v>40001</v>
      </c>
      <c r="AE462" s="29" t="s">
        <v>121</v>
      </c>
      <c r="AF462" s="14" t="s">
        <v>213</v>
      </c>
      <c r="AG462" s="14" t="s">
        <v>92</v>
      </c>
    </row>
    <row r="463" spans="2:33">
      <c r="B463" s="14">
        <f>10000000+INDEX(编号表!$B:$B,MATCH(H463,编号表!$A:$A,0))*100000+INDEX(编号表!$F:$F,MATCH(D463,编号表!$E:$E,0))*10000+INDEX(编号表!$D:$D,MATCH(AG463,编号表!$C:$C,0))*1000+F463</f>
        <v>11334008</v>
      </c>
      <c r="C463" s="14" t="s">
        <v>623</v>
      </c>
      <c r="D463" s="14" t="s">
        <v>276</v>
      </c>
      <c r="E463" s="14" t="s">
        <v>92</v>
      </c>
      <c r="F463" s="14">
        <v>8</v>
      </c>
      <c r="G463" s="14">
        <v>60</v>
      </c>
      <c r="H463" s="31" t="s">
        <v>217</v>
      </c>
      <c r="I463" s="14" t="s">
        <v>75</v>
      </c>
      <c r="J463" s="14" t="s">
        <v>201</v>
      </c>
      <c r="K463" s="14">
        <v>1</v>
      </c>
      <c r="L463" s="14" t="s">
        <v>213</v>
      </c>
      <c r="N463" s="14">
        <v>0</v>
      </c>
      <c r="O463" s="14" t="b">
        <v>1</v>
      </c>
      <c r="Q463" s="14" t="b">
        <v>0</v>
      </c>
      <c r="R463" s="14">
        <v>1</v>
      </c>
      <c r="S463" s="14" t="s">
        <v>77</v>
      </c>
      <c r="T463" s="14">
        <v>999</v>
      </c>
      <c r="U463" s="14" t="s">
        <v>214</v>
      </c>
      <c r="V463" s="14">
        <v>31334008</v>
      </c>
      <c r="X463" s="14" t="s">
        <v>204</v>
      </c>
      <c r="Y463" s="14" t="s">
        <v>215</v>
      </c>
      <c r="Z463" s="14">
        <v>20001</v>
      </c>
      <c r="AA463" s="14" t="s">
        <v>205</v>
      </c>
      <c r="AB463" s="14">
        <v>40001</v>
      </c>
      <c r="AE463" s="29" t="s">
        <v>121</v>
      </c>
      <c r="AF463" s="14" t="s">
        <v>213</v>
      </c>
      <c r="AG463" s="14" t="s">
        <v>92</v>
      </c>
    </row>
    <row r="464" spans="2:33">
      <c r="B464" s="14">
        <f>10000000+INDEX(编号表!$B:$B,MATCH(H464,编号表!$A:$A,0))*100000+INDEX(编号表!$F:$F,MATCH(D464,编号表!$E:$E,0))*10000+INDEX(编号表!$D:$D,MATCH(AG464,编号表!$C:$C,0))*1000+F464</f>
        <v>11334009</v>
      </c>
      <c r="C464" s="14" t="s">
        <v>624</v>
      </c>
      <c r="D464" s="14" t="s">
        <v>276</v>
      </c>
      <c r="E464" s="14" t="s">
        <v>92</v>
      </c>
      <c r="F464" s="14">
        <v>9</v>
      </c>
      <c r="G464" s="14">
        <v>60</v>
      </c>
      <c r="H464" s="31" t="s">
        <v>217</v>
      </c>
      <c r="I464" s="14" t="s">
        <v>75</v>
      </c>
      <c r="J464" s="14" t="s">
        <v>201</v>
      </c>
      <c r="K464" s="14">
        <v>1</v>
      </c>
      <c r="L464" s="14" t="s">
        <v>213</v>
      </c>
      <c r="N464" s="14">
        <v>0</v>
      </c>
      <c r="O464" s="14" t="b">
        <v>1</v>
      </c>
      <c r="Q464" s="14" t="b">
        <v>0</v>
      </c>
      <c r="R464" s="14">
        <v>1</v>
      </c>
      <c r="S464" s="14" t="s">
        <v>77</v>
      </c>
      <c r="T464" s="14">
        <v>999</v>
      </c>
      <c r="U464" s="14" t="s">
        <v>214</v>
      </c>
      <c r="V464" s="14">
        <v>31334009</v>
      </c>
      <c r="X464" s="14" t="s">
        <v>204</v>
      </c>
      <c r="Y464" s="14" t="s">
        <v>215</v>
      </c>
      <c r="Z464" s="14">
        <v>20001</v>
      </c>
      <c r="AA464" s="14" t="s">
        <v>205</v>
      </c>
      <c r="AB464" s="14">
        <v>40001</v>
      </c>
      <c r="AE464" s="29" t="s">
        <v>121</v>
      </c>
      <c r="AF464" s="14" t="s">
        <v>213</v>
      </c>
      <c r="AG464" s="14" t="s">
        <v>92</v>
      </c>
    </row>
    <row r="465" spans="2:33">
      <c r="B465" s="14">
        <f>10000000+INDEX(编号表!$B:$B,MATCH(H465,编号表!$A:$A,0))*100000+INDEX(编号表!$F:$F,MATCH(D465,编号表!$E:$E,0))*10000+INDEX(编号表!$D:$D,MATCH(AG465,编号表!$C:$C,0))*1000+F465</f>
        <v>11534000</v>
      </c>
      <c r="C465" s="14" t="s">
        <v>625</v>
      </c>
      <c r="D465" s="14" t="s">
        <v>276</v>
      </c>
      <c r="E465" s="14" t="s">
        <v>92</v>
      </c>
      <c r="F465" s="14">
        <v>0</v>
      </c>
      <c r="G465" s="14">
        <v>60</v>
      </c>
      <c r="H465" s="31" t="s">
        <v>228</v>
      </c>
      <c r="I465" s="14" t="s">
        <v>75</v>
      </c>
      <c r="J465" s="14" t="s">
        <v>201</v>
      </c>
      <c r="K465" s="14">
        <v>1</v>
      </c>
      <c r="L465" s="14" t="s">
        <v>213</v>
      </c>
      <c r="N465" s="14">
        <v>0</v>
      </c>
      <c r="O465" s="14" t="b">
        <v>1</v>
      </c>
      <c r="Q465" s="14" t="b">
        <v>0</v>
      </c>
      <c r="R465" s="14">
        <v>1</v>
      </c>
      <c r="S465" s="14" t="s">
        <v>77</v>
      </c>
      <c r="T465" s="14">
        <v>999</v>
      </c>
      <c r="U465" s="14" t="s">
        <v>214</v>
      </c>
      <c r="V465" s="14">
        <v>31534000</v>
      </c>
      <c r="X465" s="14" t="s">
        <v>204</v>
      </c>
      <c r="Y465" s="14" t="s">
        <v>215</v>
      </c>
      <c r="Z465" s="14">
        <v>20001</v>
      </c>
      <c r="AA465" s="14" t="s">
        <v>205</v>
      </c>
      <c r="AB465" s="14">
        <v>40001</v>
      </c>
      <c r="AE465" s="29" t="s">
        <v>121</v>
      </c>
      <c r="AF465" s="14" t="s">
        <v>213</v>
      </c>
      <c r="AG465" s="14" t="s">
        <v>92</v>
      </c>
    </row>
    <row r="466" spans="2:33">
      <c r="B466" s="14">
        <f>10000000+INDEX(编号表!$B:$B,MATCH(H466,编号表!$A:$A,0))*100000+INDEX(编号表!$F:$F,MATCH(D466,编号表!$E:$E,0))*10000+INDEX(编号表!$D:$D,MATCH(AG466,编号表!$C:$C,0))*1000+F466</f>
        <v>11534001</v>
      </c>
      <c r="C466" s="14" t="s">
        <v>626</v>
      </c>
      <c r="D466" s="14" t="s">
        <v>276</v>
      </c>
      <c r="E466" s="14" t="s">
        <v>92</v>
      </c>
      <c r="F466" s="14">
        <v>1</v>
      </c>
      <c r="G466" s="14">
        <v>60</v>
      </c>
      <c r="H466" s="31" t="s">
        <v>228</v>
      </c>
      <c r="I466" s="14" t="s">
        <v>75</v>
      </c>
      <c r="J466" s="14" t="s">
        <v>201</v>
      </c>
      <c r="K466" s="14">
        <v>1</v>
      </c>
      <c r="L466" s="14" t="s">
        <v>213</v>
      </c>
      <c r="N466" s="14">
        <v>0</v>
      </c>
      <c r="O466" s="14" t="b">
        <v>1</v>
      </c>
      <c r="Q466" s="14" t="b">
        <v>0</v>
      </c>
      <c r="R466" s="14">
        <v>1</v>
      </c>
      <c r="S466" s="14" t="s">
        <v>77</v>
      </c>
      <c r="T466" s="14">
        <v>999</v>
      </c>
      <c r="U466" s="14" t="s">
        <v>214</v>
      </c>
      <c r="V466" s="14">
        <v>31534001</v>
      </c>
      <c r="X466" s="14" t="s">
        <v>204</v>
      </c>
      <c r="Y466" s="14" t="s">
        <v>215</v>
      </c>
      <c r="Z466" s="14">
        <v>20001</v>
      </c>
      <c r="AA466" s="14" t="s">
        <v>205</v>
      </c>
      <c r="AB466" s="14">
        <v>40001</v>
      </c>
      <c r="AE466" s="29" t="s">
        <v>121</v>
      </c>
      <c r="AF466" s="14" t="s">
        <v>213</v>
      </c>
      <c r="AG466" s="14" t="s">
        <v>92</v>
      </c>
    </row>
    <row r="467" spans="2:33">
      <c r="B467" s="14">
        <f>10000000+INDEX(编号表!$B:$B,MATCH(H467,编号表!$A:$A,0))*100000+INDEX(编号表!$F:$F,MATCH(D467,编号表!$E:$E,0))*10000+INDEX(编号表!$D:$D,MATCH(AG467,编号表!$C:$C,0))*1000+F467</f>
        <v>11534002</v>
      </c>
      <c r="C467" s="14" t="s">
        <v>627</v>
      </c>
      <c r="D467" s="14" t="s">
        <v>276</v>
      </c>
      <c r="E467" s="14" t="s">
        <v>92</v>
      </c>
      <c r="F467" s="14">
        <v>2</v>
      </c>
      <c r="G467" s="14">
        <v>60</v>
      </c>
      <c r="H467" s="31" t="s">
        <v>228</v>
      </c>
      <c r="I467" s="14" t="s">
        <v>75</v>
      </c>
      <c r="J467" s="14" t="s">
        <v>201</v>
      </c>
      <c r="K467" s="14">
        <v>1</v>
      </c>
      <c r="L467" s="14" t="s">
        <v>213</v>
      </c>
      <c r="N467" s="14">
        <v>0</v>
      </c>
      <c r="O467" s="14" t="b">
        <v>1</v>
      </c>
      <c r="Q467" s="14" t="b">
        <v>0</v>
      </c>
      <c r="R467" s="14">
        <v>1</v>
      </c>
      <c r="S467" s="14" t="s">
        <v>77</v>
      </c>
      <c r="T467" s="14">
        <v>999</v>
      </c>
      <c r="U467" s="14" t="s">
        <v>214</v>
      </c>
      <c r="V467" s="14">
        <v>31534002</v>
      </c>
      <c r="X467" s="14" t="s">
        <v>204</v>
      </c>
      <c r="Y467" s="14" t="s">
        <v>215</v>
      </c>
      <c r="Z467" s="14">
        <v>20001</v>
      </c>
      <c r="AA467" s="14" t="s">
        <v>205</v>
      </c>
      <c r="AB467" s="14">
        <v>40001</v>
      </c>
      <c r="AE467" s="29" t="s">
        <v>121</v>
      </c>
      <c r="AF467" s="14" t="s">
        <v>213</v>
      </c>
      <c r="AG467" s="14" t="s">
        <v>92</v>
      </c>
    </row>
    <row r="468" spans="2:33">
      <c r="B468" s="14">
        <f>10000000+INDEX(编号表!$B:$B,MATCH(H468,编号表!$A:$A,0))*100000+INDEX(编号表!$F:$F,MATCH(D468,编号表!$E:$E,0))*10000+INDEX(编号表!$D:$D,MATCH(AG468,编号表!$C:$C,0))*1000+F468</f>
        <v>11534003</v>
      </c>
      <c r="C468" s="14" t="s">
        <v>628</v>
      </c>
      <c r="D468" s="14" t="s">
        <v>276</v>
      </c>
      <c r="E468" s="14" t="s">
        <v>92</v>
      </c>
      <c r="F468" s="14">
        <v>3</v>
      </c>
      <c r="G468" s="14">
        <v>60</v>
      </c>
      <c r="H468" s="31" t="s">
        <v>228</v>
      </c>
      <c r="I468" s="14" t="s">
        <v>75</v>
      </c>
      <c r="J468" s="14" t="s">
        <v>201</v>
      </c>
      <c r="K468" s="14">
        <v>1</v>
      </c>
      <c r="L468" s="14" t="s">
        <v>213</v>
      </c>
      <c r="N468" s="14">
        <v>0</v>
      </c>
      <c r="O468" s="14" t="b">
        <v>1</v>
      </c>
      <c r="Q468" s="14" t="b">
        <v>0</v>
      </c>
      <c r="R468" s="14">
        <v>1</v>
      </c>
      <c r="S468" s="14" t="s">
        <v>77</v>
      </c>
      <c r="T468" s="14">
        <v>999</v>
      </c>
      <c r="U468" s="14" t="s">
        <v>214</v>
      </c>
      <c r="V468" s="14">
        <v>31534003</v>
      </c>
      <c r="X468" s="14" t="s">
        <v>204</v>
      </c>
      <c r="Y468" s="14" t="s">
        <v>215</v>
      </c>
      <c r="Z468" s="14">
        <v>20001</v>
      </c>
      <c r="AA468" s="14" t="s">
        <v>205</v>
      </c>
      <c r="AB468" s="14">
        <v>40001</v>
      </c>
      <c r="AE468" s="29" t="s">
        <v>121</v>
      </c>
      <c r="AF468" s="14" t="s">
        <v>213</v>
      </c>
      <c r="AG468" s="14" t="s">
        <v>92</v>
      </c>
    </row>
    <row r="469" spans="2:33">
      <c r="B469" s="14">
        <f>10000000+INDEX(编号表!$B:$B,MATCH(H469,编号表!$A:$A,0))*100000+INDEX(编号表!$F:$F,MATCH(D469,编号表!$E:$E,0))*10000+INDEX(编号表!$D:$D,MATCH(AG469,编号表!$C:$C,0))*1000+F469</f>
        <v>11534004</v>
      </c>
      <c r="C469" s="14" t="s">
        <v>629</v>
      </c>
      <c r="D469" s="14" t="s">
        <v>276</v>
      </c>
      <c r="E469" s="14" t="s">
        <v>92</v>
      </c>
      <c r="F469" s="14">
        <v>4</v>
      </c>
      <c r="G469" s="14">
        <v>60</v>
      </c>
      <c r="H469" s="31" t="s">
        <v>228</v>
      </c>
      <c r="I469" s="14" t="s">
        <v>75</v>
      </c>
      <c r="J469" s="14" t="s">
        <v>201</v>
      </c>
      <c r="K469" s="14">
        <v>1</v>
      </c>
      <c r="L469" s="14" t="s">
        <v>213</v>
      </c>
      <c r="N469" s="14">
        <v>0</v>
      </c>
      <c r="O469" s="14" t="b">
        <v>1</v>
      </c>
      <c r="Q469" s="14" t="b">
        <v>0</v>
      </c>
      <c r="R469" s="14">
        <v>1</v>
      </c>
      <c r="S469" s="14" t="s">
        <v>77</v>
      </c>
      <c r="T469" s="14">
        <v>999</v>
      </c>
      <c r="U469" s="14" t="s">
        <v>214</v>
      </c>
      <c r="V469" s="14">
        <v>31534004</v>
      </c>
      <c r="X469" s="14" t="s">
        <v>204</v>
      </c>
      <c r="Y469" s="14" t="s">
        <v>215</v>
      </c>
      <c r="Z469" s="14">
        <v>20001</v>
      </c>
      <c r="AA469" s="14" t="s">
        <v>205</v>
      </c>
      <c r="AB469" s="14">
        <v>40001</v>
      </c>
      <c r="AE469" s="29" t="s">
        <v>121</v>
      </c>
      <c r="AF469" s="14" t="s">
        <v>213</v>
      </c>
      <c r="AG469" s="14" t="s">
        <v>92</v>
      </c>
    </row>
    <row r="470" spans="2:33">
      <c r="B470" s="14">
        <f>10000000+INDEX(编号表!$B:$B,MATCH(H470,编号表!$A:$A,0))*100000+INDEX(编号表!$F:$F,MATCH(D470,编号表!$E:$E,0))*10000+INDEX(编号表!$D:$D,MATCH(AG470,编号表!$C:$C,0))*1000+F470</f>
        <v>11534005</v>
      </c>
      <c r="C470" s="14" t="s">
        <v>630</v>
      </c>
      <c r="D470" s="14" t="s">
        <v>276</v>
      </c>
      <c r="E470" s="14" t="s">
        <v>92</v>
      </c>
      <c r="F470" s="14">
        <v>5</v>
      </c>
      <c r="G470" s="14">
        <v>60</v>
      </c>
      <c r="H470" s="31" t="s">
        <v>228</v>
      </c>
      <c r="I470" s="14" t="s">
        <v>75</v>
      </c>
      <c r="J470" s="14" t="s">
        <v>201</v>
      </c>
      <c r="K470" s="14">
        <v>1</v>
      </c>
      <c r="L470" s="14" t="s">
        <v>213</v>
      </c>
      <c r="N470" s="14">
        <v>0</v>
      </c>
      <c r="O470" s="14" t="b">
        <v>1</v>
      </c>
      <c r="Q470" s="14" t="b">
        <v>0</v>
      </c>
      <c r="R470" s="14">
        <v>1</v>
      </c>
      <c r="S470" s="14" t="s">
        <v>77</v>
      </c>
      <c r="T470" s="14">
        <v>999</v>
      </c>
      <c r="U470" s="14" t="s">
        <v>214</v>
      </c>
      <c r="V470" s="14">
        <v>31534005</v>
      </c>
      <c r="X470" s="14" t="s">
        <v>204</v>
      </c>
      <c r="Y470" s="14" t="s">
        <v>215</v>
      </c>
      <c r="Z470" s="14">
        <v>20001</v>
      </c>
      <c r="AA470" s="14" t="s">
        <v>205</v>
      </c>
      <c r="AB470" s="14">
        <v>40001</v>
      </c>
      <c r="AE470" s="29" t="s">
        <v>121</v>
      </c>
      <c r="AF470" s="14" t="s">
        <v>213</v>
      </c>
      <c r="AG470" s="14" t="s">
        <v>92</v>
      </c>
    </row>
    <row r="471" spans="2:33">
      <c r="B471" s="14">
        <f>10000000+INDEX(编号表!$B:$B,MATCH(H471,编号表!$A:$A,0))*100000+INDEX(编号表!$F:$F,MATCH(D471,编号表!$E:$E,0))*10000+INDEX(编号表!$D:$D,MATCH(AG471,编号表!$C:$C,0))*1000+F471</f>
        <v>11534006</v>
      </c>
      <c r="C471" s="14" t="s">
        <v>631</v>
      </c>
      <c r="D471" s="14" t="s">
        <v>276</v>
      </c>
      <c r="E471" s="14" t="s">
        <v>92</v>
      </c>
      <c r="F471" s="14">
        <v>6</v>
      </c>
      <c r="G471" s="14">
        <v>60</v>
      </c>
      <c r="H471" s="31" t="s">
        <v>228</v>
      </c>
      <c r="I471" s="14" t="s">
        <v>75</v>
      </c>
      <c r="J471" s="14" t="s">
        <v>201</v>
      </c>
      <c r="K471" s="14">
        <v>1</v>
      </c>
      <c r="L471" s="14" t="s">
        <v>213</v>
      </c>
      <c r="N471" s="14">
        <v>0</v>
      </c>
      <c r="O471" s="14" t="b">
        <v>1</v>
      </c>
      <c r="Q471" s="14" t="b">
        <v>0</v>
      </c>
      <c r="R471" s="14">
        <v>1</v>
      </c>
      <c r="S471" s="14" t="s">
        <v>77</v>
      </c>
      <c r="T471" s="14">
        <v>999</v>
      </c>
      <c r="U471" s="14" t="s">
        <v>214</v>
      </c>
      <c r="V471" s="14">
        <v>31534006</v>
      </c>
      <c r="X471" s="14" t="s">
        <v>204</v>
      </c>
      <c r="Y471" s="14" t="s">
        <v>215</v>
      </c>
      <c r="Z471" s="14">
        <v>20001</v>
      </c>
      <c r="AA471" s="14" t="s">
        <v>205</v>
      </c>
      <c r="AB471" s="14">
        <v>40001</v>
      </c>
      <c r="AE471" s="29" t="s">
        <v>121</v>
      </c>
      <c r="AF471" s="14" t="s">
        <v>213</v>
      </c>
      <c r="AG471" s="14" t="s">
        <v>92</v>
      </c>
    </row>
    <row r="472" spans="2:33">
      <c r="B472" s="14">
        <f>10000000+INDEX(编号表!$B:$B,MATCH(H472,编号表!$A:$A,0))*100000+INDEX(编号表!$F:$F,MATCH(D472,编号表!$E:$E,0))*10000+INDEX(编号表!$D:$D,MATCH(AG472,编号表!$C:$C,0))*1000+F472</f>
        <v>11534007</v>
      </c>
      <c r="C472" s="14" t="s">
        <v>632</v>
      </c>
      <c r="D472" s="14" t="s">
        <v>276</v>
      </c>
      <c r="E472" s="14" t="s">
        <v>92</v>
      </c>
      <c r="F472" s="14">
        <v>7</v>
      </c>
      <c r="G472" s="14">
        <v>60</v>
      </c>
      <c r="H472" s="31" t="s">
        <v>228</v>
      </c>
      <c r="I472" s="14" t="s">
        <v>75</v>
      </c>
      <c r="J472" s="14" t="s">
        <v>201</v>
      </c>
      <c r="K472" s="14">
        <v>1</v>
      </c>
      <c r="L472" s="14" t="s">
        <v>213</v>
      </c>
      <c r="N472" s="14">
        <v>0</v>
      </c>
      <c r="O472" s="14" t="b">
        <v>1</v>
      </c>
      <c r="Q472" s="14" t="b">
        <v>0</v>
      </c>
      <c r="R472" s="14">
        <v>1</v>
      </c>
      <c r="S472" s="14" t="s">
        <v>77</v>
      </c>
      <c r="T472" s="14">
        <v>999</v>
      </c>
      <c r="U472" s="14" t="s">
        <v>214</v>
      </c>
      <c r="V472" s="14">
        <v>31534007</v>
      </c>
      <c r="X472" s="14" t="s">
        <v>204</v>
      </c>
      <c r="Y472" s="14" t="s">
        <v>215</v>
      </c>
      <c r="Z472" s="14">
        <v>20001</v>
      </c>
      <c r="AA472" s="14" t="s">
        <v>205</v>
      </c>
      <c r="AB472" s="14">
        <v>40001</v>
      </c>
      <c r="AE472" s="29" t="s">
        <v>121</v>
      </c>
      <c r="AF472" s="14" t="s">
        <v>213</v>
      </c>
      <c r="AG472" s="14" t="s">
        <v>92</v>
      </c>
    </row>
    <row r="473" spans="2:33">
      <c r="B473" s="14">
        <f>10000000+INDEX(编号表!$B:$B,MATCH(H473,编号表!$A:$A,0))*100000+INDEX(编号表!$F:$F,MATCH(D473,编号表!$E:$E,0))*10000+INDEX(编号表!$D:$D,MATCH(AG473,编号表!$C:$C,0))*1000+F473</f>
        <v>11534008</v>
      </c>
      <c r="C473" s="14" t="s">
        <v>633</v>
      </c>
      <c r="D473" s="14" t="s">
        <v>276</v>
      </c>
      <c r="E473" s="14" t="s">
        <v>92</v>
      </c>
      <c r="F473" s="14">
        <v>8</v>
      </c>
      <c r="G473" s="14">
        <v>60</v>
      </c>
      <c r="H473" s="31" t="s">
        <v>228</v>
      </c>
      <c r="I473" s="14" t="s">
        <v>75</v>
      </c>
      <c r="J473" s="14" t="s">
        <v>201</v>
      </c>
      <c r="K473" s="14">
        <v>1</v>
      </c>
      <c r="L473" s="14" t="s">
        <v>213</v>
      </c>
      <c r="N473" s="14">
        <v>0</v>
      </c>
      <c r="O473" s="14" t="b">
        <v>1</v>
      </c>
      <c r="Q473" s="14" t="b">
        <v>0</v>
      </c>
      <c r="R473" s="14">
        <v>1</v>
      </c>
      <c r="S473" s="14" t="s">
        <v>77</v>
      </c>
      <c r="T473" s="14">
        <v>999</v>
      </c>
      <c r="U473" s="14" t="s">
        <v>214</v>
      </c>
      <c r="V473" s="14">
        <v>31534008</v>
      </c>
      <c r="X473" s="14" t="s">
        <v>204</v>
      </c>
      <c r="Y473" s="14" t="s">
        <v>215</v>
      </c>
      <c r="Z473" s="14">
        <v>20001</v>
      </c>
      <c r="AA473" s="14" t="s">
        <v>205</v>
      </c>
      <c r="AB473" s="14">
        <v>40001</v>
      </c>
      <c r="AE473" s="29" t="s">
        <v>121</v>
      </c>
      <c r="AF473" s="14" t="s">
        <v>213</v>
      </c>
      <c r="AG473" s="14" t="s">
        <v>92</v>
      </c>
    </row>
    <row r="474" spans="2:33">
      <c r="B474" s="14">
        <f>10000000+INDEX(编号表!$B:$B,MATCH(H474,编号表!$A:$A,0))*100000+INDEX(编号表!$F:$F,MATCH(D474,编号表!$E:$E,0))*10000+INDEX(编号表!$D:$D,MATCH(AG474,编号表!$C:$C,0))*1000+F474</f>
        <v>11534009</v>
      </c>
      <c r="C474" s="14" t="s">
        <v>634</v>
      </c>
      <c r="D474" s="14" t="s">
        <v>276</v>
      </c>
      <c r="E474" s="14" t="s">
        <v>92</v>
      </c>
      <c r="F474" s="14">
        <v>9</v>
      </c>
      <c r="G474" s="14">
        <v>60</v>
      </c>
      <c r="H474" s="31" t="s">
        <v>228</v>
      </c>
      <c r="I474" s="14" t="s">
        <v>75</v>
      </c>
      <c r="J474" s="14" t="s">
        <v>201</v>
      </c>
      <c r="K474" s="14">
        <v>1</v>
      </c>
      <c r="L474" s="14" t="s">
        <v>213</v>
      </c>
      <c r="N474" s="14">
        <v>0</v>
      </c>
      <c r="O474" s="14" t="b">
        <v>1</v>
      </c>
      <c r="Q474" s="14" t="b">
        <v>0</v>
      </c>
      <c r="R474" s="14">
        <v>1</v>
      </c>
      <c r="S474" s="14" t="s">
        <v>77</v>
      </c>
      <c r="T474" s="14">
        <v>999</v>
      </c>
      <c r="U474" s="14" t="s">
        <v>214</v>
      </c>
      <c r="V474" s="14">
        <v>31534009</v>
      </c>
      <c r="X474" s="14" t="s">
        <v>204</v>
      </c>
      <c r="Y474" s="14" t="s">
        <v>215</v>
      </c>
      <c r="Z474" s="14">
        <v>20001</v>
      </c>
      <c r="AA474" s="14" t="s">
        <v>205</v>
      </c>
      <c r="AB474" s="14">
        <v>40001</v>
      </c>
      <c r="AE474" s="29" t="s">
        <v>121</v>
      </c>
      <c r="AF474" s="14" t="s">
        <v>213</v>
      </c>
      <c r="AG474" s="14" t="s">
        <v>92</v>
      </c>
    </row>
    <row r="475" spans="2:33">
      <c r="B475" s="14">
        <f>10000000+INDEX(编号表!$B:$B,MATCH(H475,编号表!$A:$A,0))*100000+INDEX(编号表!$F:$F,MATCH(D475,编号表!$E:$E,0))*10000+INDEX(编号表!$D:$D,MATCH(AG475,编号表!$C:$C,0))*1000+F475</f>
        <v>11434000</v>
      </c>
      <c r="C475" s="14" t="s">
        <v>635</v>
      </c>
      <c r="D475" s="14" t="s">
        <v>276</v>
      </c>
      <c r="E475" s="14" t="s">
        <v>92</v>
      </c>
      <c r="F475" s="14">
        <v>0</v>
      </c>
      <c r="G475" s="14">
        <v>60</v>
      </c>
      <c r="H475" s="31" t="s">
        <v>239</v>
      </c>
      <c r="I475" s="14" t="s">
        <v>75</v>
      </c>
      <c r="J475" s="14" t="s">
        <v>201</v>
      </c>
      <c r="K475" s="14">
        <v>1</v>
      </c>
      <c r="L475" s="14" t="s">
        <v>213</v>
      </c>
      <c r="N475" s="14">
        <v>0</v>
      </c>
      <c r="O475" s="14" t="b">
        <v>1</v>
      </c>
      <c r="Q475" s="14" t="b">
        <v>0</v>
      </c>
      <c r="R475" s="14">
        <v>1</v>
      </c>
      <c r="S475" s="14" t="s">
        <v>77</v>
      </c>
      <c r="T475" s="14">
        <v>999</v>
      </c>
      <c r="U475" s="14" t="s">
        <v>214</v>
      </c>
      <c r="V475" s="14">
        <v>31434000</v>
      </c>
      <c r="X475" s="14" t="s">
        <v>204</v>
      </c>
      <c r="Y475" s="14" t="s">
        <v>215</v>
      </c>
      <c r="Z475" s="14">
        <v>20001</v>
      </c>
      <c r="AA475" s="14" t="s">
        <v>205</v>
      </c>
      <c r="AB475" s="14">
        <v>40001</v>
      </c>
      <c r="AE475" s="29" t="s">
        <v>121</v>
      </c>
      <c r="AF475" s="14" t="s">
        <v>213</v>
      </c>
      <c r="AG475" s="14" t="s">
        <v>92</v>
      </c>
    </row>
    <row r="476" spans="2:33">
      <c r="B476" s="14">
        <f>10000000+INDEX(编号表!$B:$B,MATCH(H476,编号表!$A:$A,0))*100000+INDEX(编号表!$F:$F,MATCH(D476,编号表!$E:$E,0))*10000+INDEX(编号表!$D:$D,MATCH(AG476,编号表!$C:$C,0))*1000+F476</f>
        <v>11434001</v>
      </c>
      <c r="C476" s="14" t="s">
        <v>636</v>
      </c>
      <c r="D476" s="14" t="s">
        <v>276</v>
      </c>
      <c r="E476" s="14" t="s">
        <v>92</v>
      </c>
      <c r="F476" s="14">
        <v>1</v>
      </c>
      <c r="G476" s="14">
        <v>60</v>
      </c>
      <c r="H476" s="31" t="s">
        <v>239</v>
      </c>
      <c r="I476" s="14" t="s">
        <v>75</v>
      </c>
      <c r="J476" s="14" t="s">
        <v>201</v>
      </c>
      <c r="K476" s="14">
        <v>1</v>
      </c>
      <c r="L476" s="14" t="s">
        <v>213</v>
      </c>
      <c r="N476" s="14">
        <v>0</v>
      </c>
      <c r="O476" s="14" t="b">
        <v>1</v>
      </c>
      <c r="Q476" s="14" t="b">
        <v>0</v>
      </c>
      <c r="R476" s="14">
        <v>1</v>
      </c>
      <c r="S476" s="14" t="s">
        <v>77</v>
      </c>
      <c r="T476" s="14">
        <v>999</v>
      </c>
      <c r="U476" s="14" t="s">
        <v>214</v>
      </c>
      <c r="V476" s="14">
        <v>31434001</v>
      </c>
      <c r="X476" s="14" t="s">
        <v>204</v>
      </c>
      <c r="Y476" s="14" t="s">
        <v>215</v>
      </c>
      <c r="Z476" s="14">
        <v>20001</v>
      </c>
      <c r="AA476" s="14" t="s">
        <v>205</v>
      </c>
      <c r="AB476" s="14">
        <v>40001</v>
      </c>
      <c r="AE476" s="29" t="s">
        <v>121</v>
      </c>
      <c r="AF476" s="14" t="s">
        <v>213</v>
      </c>
      <c r="AG476" s="14" t="s">
        <v>92</v>
      </c>
    </row>
    <row r="477" spans="2:33">
      <c r="B477" s="14">
        <f>10000000+INDEX(编号表!$B:$B,MATCH(H477,编号表!$A:$A,0))*100000+INDEX(编号表!$F:$F,MATCH(D477,编号表!$E:$E,0))*10000+INDEX(编号表!$D:$D,MATCH(AG477,编号表!$C:$C,0))*1000+F477</f>
        <v>11434002</v>
      </c>
      <c r="C477" s="14" t="s">
        <v>637</v>
      </c>
      <c r="D477" s="14" t="s">
        <v>276</v>
      </c>
      <c r="E477" s="14" t="s">
        <v>92</v>
      </c>
      <c r="F477" s="14">
        <v>2</v>
      </c>
      <c r="G477" s="14">
        <v>60</v>
      </c>
      <c r="H477" s="31" t="s">
        <v>239</v>
      </c>
      <c r="I477" s="14" t="s">
        <v>75</v>
      </c>
      <c r="J477" s="14" t="s">
        <v>201</v>
      </c>
      <c r="K477" s="14">
        <v>1</v>
      </c>
      <c r="L477" s="14" t="s">
        <v>213</v>
      </c>
      <c r="N477" s="14">
        <v>0</v>
      </c>
      <c r="O477" s="14" t="b">
        <v>1</v>
      </c>
      <c r="Q477" s="14" t="b">
        <v>0</v>
      </c>
      <c r="R477" s="14">
        <v>1</v>
      </c>
      <c r="S477" s="14" t="s">
        <v>77</v>
      </c>
      <c r="T477" s="14">
        <v>999</v>
      </c>
      <c r="U477" s="14" t="s">
        <v>214</v>
      </c>
      <c r="V477" s="14">
        <v>31434002</v>
      </c>
      <c r="X477" s="14" t="s">
        <v>204</v>
      </c>
      <c r="Y477" s="14" t="s">
        <v>215</v>
      </c>
      <c r="Z477" s="14">
        <v>20001</v>
      </c>
      <c r="AA477" s="14" t="s">
        <v>205</v>
      </c>
      <c r="AB477" s="14">
        <v>40001</v>
      </c>
      <c r="AE477" s="29" t="s">
        <v>121</v>
      </c>
      <c r="AF477" s="14" t="s">
        <v>213</v>
      </c>
      <c r="AG477" s="14" t="s">
        <v>92</v>
      </c>
    </row>
    <row r="478" spans="2:33">
      <c r="B478" s="14">
        <f>10000000+INDEX(编号表!$B:$B,MATCH(H478,编号表!$A:$A,0))*100000+INDEX(编号表!$F:$F,MATCH(D478,编号表!$E:$E,0))*10000+INDEX(编号表!$D:$D,MATCH(AG478,编号表!$C:$C,0))*1000+F478</f>
        <v>11434003</v>
      </c>
      <c r="C478" s="14" t="s">
        <v>638</v>
      </c>
      <c r="D478" s="14" t="s">
        <v>276</v>
      </c>
      <c r="E478" s="14" t="s">
        <v>92</v>
      </c>
      <c r="F478" s="14">
        <v>3</v>
      </c>
      <c r="G478" s="14">
        <v>60</v>
      </c>
      <c r="H478" s="31" t="s">
        <v>239</v>
      </c>
      <c r="I478" s="14" t="s">
        <v>75</v>
      </c>
      <c r="J478" s="14" t="s">
        <v>201</v>
      </c>
      <c r="K478" s="14">
        <v>1</v>
      </c>
      <c r="L478" s="14" t="s">
        <v>213</v>
      </c>
      <c r="N478" s="14">
        <v>0</v>
      </c>
      <c r="O478" s="14" t="b">
        <v>1</v>
      </c>
      <c r="Q478" s="14" t="b">
        <v>0</v>
      </c>
      <c r="R478" s="14">
        <v>1</v>
      </c>
      <c r="S478" s="14" t="s">
        <v>77</v>
      </c>
      <c r="T478" s="14">
        <v>999</v>
      </c>
      <c r="U478" s="14" t="s">
        <v>214</v>
      </c>
      <c r="V478" s="14">
        <v>31434003</v>
      </c>
      <c r="X478" s="14" t="s">
        <v>204</v>
      </c>
      <c r="Y478" s="14" t="s">
        <v>215</v>
      </c>
      <c r="Z478" s="14">
        <v>20001</v>
      </c>
      <c r="AA478" s="14" t="s">
        <v>205</v>
      </c>
      <c r="AB478" s="14">
        <v>40001</v>
      </c>
      <c r="AE478" s="29" t="s">
        <v>121</v>
      </c>
      <c r="AF478" s="14" t="s">
        <v>213</v>
      </c>
      <c r="AG478" s="14" t="s">
        <v>92</v>
      </c>
    </row>
    <row r="479" spans="2:33">
      <c r="B479" s="14">
        <f>10000000+INDEX(编号表!$B:$B,MATCH(H479,编号表!$A:$A,0))*100000+INDEX(编号表!$F:$F,MATCH(D479,编号表!$E:$E,0))*10000+INDEX(编号表!$D:$D,MATCH(AG479,编号表!$C:$C,0))*1000+F479</f>
        <v>11634000</v>
      </c>
      <c r="C479" s="14" t="s">
        <v>639</v>
      </c>
      <c r="D479" s="14" t="s">
        <v>276</v>
      </c>
      <c r="E479" s="14" t="s">
        <v>92</v>
      </c>
      <c r="F479" s="14">
        <v>0</v>
      </c>
      <c r="G479" s="14">
        <v>60</v>
      </c>
      <c r="H479" s="31" t="s">
        <v>244</v>
      </c>
      <c r="I479" s="14" t="s">
        <v>75</v>
      </c>
      <c r="J479" s="14" t="s">
        <v>201</v>
      </c>
      <c r="K479" s="14">
        <v>1</v>
      </c>
      <c r="L479" s="14" t="s">
        <v>213</v>
      </c>
      <c r="N479" s="14">
        <v>0</v>
      </c>
      <c r="O479" s="14" t="b">
        <v>1</v>
      </c>
      <c r="Q479" s="14" t="b">
        <v>0</v>
      </c>
      <c r="R479" s="14">
        <v>1</v>
      </c>
      <c r="S479" s="14" t="s">
        <v>77</v>
      </c>
      <c r="T479" s="14">
        <v>999</v>
      </c>
      <c r="U479" s="14" t="s">
        <v>214</v>
      </c>
      <c r="V479" s="14">
        <v>31634000</v>
      </c>
      <c r="X479" s="14" t="s">
        <v>204</v>
      </c>
      <c r="Y479" s="14" t="s">
        <v>215</v>
      </c>
      <c r="Z479" s="14">
        <v>20001</v>
      </c>
      <c r="AA479" s="14" t="s">
        <v>205</v>
      </c>
      <c r="AB479" s="14">
        <v>40001</v>
      </c>
      <c r="AE479" s="29" t="s">
        <v>121</v>
      </c>
      <c r="AF479" s="14" t="s">
        <v>213</v>
      </c>
      <c r="AG479" s="14" t="s">
        <v>92</v>
      </c>
    </row>
    <row r="480" spans="2:33">
      <c r="B480" s="14">
        <f>10000000+INDEX(编号表!$B:$B,MATCH(H480,编号表!$A:$A,0))*100000+INDEX(编号表!$F:$F,MATCH(D480,编号表!$E:$E,0))*10000+INDEX(编号表!$D:$D,MATCH(AG480,编号表!$C:$C,0))*1000+F480</f>
        <v>11634001</v>
      </c>
      <c r="C480" s="14" t="s">
        <v>640</v>
      </c>
      <c r="D480" s="14" t="s">
        <v>276</v>
      </c>
      <c r="E480" s="14" t="s">
        <v>92</v>
      </c>
      <c r="F480" s="14">
        <v>1</v>
      </c>
      <c r="G480" s="14">
        <v>60</v>
      </c>
      <c r="H480" s="31" t="s">
        <v>244</v>
      </c>
      <c r="I480" s="14" t="s">
        <v>75</v>
      </c>
      <c r="J480" s="14" t="s">
        <v>201</v>
      </c>
      <c r="K480" s="14">
        <v>1</v>
      </c>
      <c r="L480" s="14" t="s">
        <v>213</v>
      </c>
      <c r="N480" s="14">
        <v>0</v>
      </c>
      <c r="O480" s="14" t="b">
        <v>1</v>
      </c>
      <c r="Q480" s="14" t="b">
        <v>0</v>
      </c>
      <c r="R480" s="14">
        <v>1</v>
      </c>
      <c r="S480" s="14" t="s">
        <v>77</v>
      </c>
      <c r="T480" s="14">
        <v>999</v>
      </c>
      <c r="U480" s="14" t="s">
        <v>214</v>
      </c>
      <c r="V480" s="14">
        <v>31634001</v>
      </c>
      <c r="X480" s="14" t="s">
        <v>204</v>
      </c>
      <c r="Y480" s="14" t="s">
        <v>215</v>
      </c>
      <c r="Z480" s="14">
        <v>20001</v>
      </c>
      <c r="AA480" s="14" t="s">
        <v>205</v>
      </c>
      <c r="AB480" s="14">
        <v>40001</v>
      </c>
      <c r="AE480" s="29" t="s">
        <v>121</v>
      </c>
      <c r="AF480" s="14" t="s">
        <v>213</v>
      </c>
      <c r="AG480" s="14" t="s">
        <v>92</v>
      </c>
    </row>
    <row r="481" spans="2:33">
      <c r="B481" s="14">
        <f>10000000+INDEX(编号表!$B:$B,MATCH(H481,编号表!$A:$A,0))*100000+INDEX(编号表!$F:$F,MATCH(D481,编号表!$E:$E,0))*10000+INDEX(编号表!$D:$D,MATCH(AG481,编号表!$C:$C,0))*1000+F481</f>
        <v>11634002</v>
      </c>
      <c r="C481" s="14" t="s">
        <v>641</v>
      </c>
      <c r="D481" s="14" t="s">
        <v>276</v>
      </c>
      <c r="E481" s="14" t="s">
        <v>92</v>
      </c>
      <c r="F481" s="14">
        <v>2</v>
      </c>
      <c r="G481" s="14">
        <v>60</v>
      </c>
      <c r="H481" s="31" t="s">
        <v>244</v>
      </c>
      <c r="I481" s="14" t="s">
        <v>75</v>
      </c>
      <c r="J481" s="14" t="s">
        <v>201</v>
      </c>
      <c r="K481" s="14">
        <v>1</v>
      </c>
      <c r="L481" s="14" t="s">
        <v>213</v>
      </c>
      <c r="N481" s="14">
        <v>0</v>
      </c>
      <c r="O481" s="14" t="b">
        <v>1</v>
      </c>
      <c r="Q481" s="14" t="b">
        <v>0</v>
      </c>
      <c r="R481" s="14">
        <v>1</v>
      </c>
      <c r="S481" s="14" t="s">
        <v>77</v>
      </c>
      <c r="T481" s="14">
        <v>999</v>
      </c>
      <c r="U481" s="14" t="s">
        <v>214</v>
      </c>
      <c r="V481" s="14">
        <v>31634002</v>
      </c>
      <c r="X481" s="14" t="s">
        <v>204</v>
      </c>
      <c r="Y481" s="14" t="s">
        <v>215</v>
      </c>
      <c r="Z481" s="14">
        <v>20001</v>
      </c>
      <c r="AA481" s="14" t="s">
        <v>205</v>
      </c>
      <c r="AB481" s="14">
        <v>40001</v>
      </c>
      <c r="AE481" s="29" t="s">
        <v>121</v>
      </c>
      <c r="AF481" s="14" t="s">
        <v>213</v>
      </c>
      <c r="AG481" s="14" t="s">
        <v>92</v>
      </c>
    </row>
    <row r="482" spans="2:33">
      <c r="B482" s="14">
        <f>10000000+INDEX(编号表!$B:$B,MATCH(H482,编号表!$A:$A,0))*100000+INDEX(编号表!$F:$F,MATCH(D482,编号表!$E:$E,0))*10000+INDEX(编号表!$D:$D,MATCH(AG482,编号表!$C:$C,0))*1000+F482</f>
        <v>11244000</v>
      </c>
      <c r="C482" s="14" t="s">
        <v>642</v>
      </c>
      <c r="D482" s="14" t="s">
        <v>104</v>
      </c>
      <c r="E482" s="14" t="s">
        <v>92</v>
      </c>
      <c r="F482" s="14">
        <v>0</v>
      </c>
      <c r="G482" s="14">
        <v>60</v>
      </c>
      <c r="H482" s="31" t="s">
        <v>212</v>
      </c>
      <c r="I482" s="14" t="s">
        <v>75</v>
      </c>
      <c r="J482" s="14" t="s">
        <v>201</v>
      </c>
      <c r="K482" s="14">
        <v>1</v>
      </c>
      <c r="L482" s="14" t="s">
        <v>213</v>
      </c>
      <c r="N482" s="14">
        <v>0</v>
      </c>
      <c r="O482" s="14" t="b">
        <v>1</v>
      </c>
      <c r="Q482" s="14" t="b">
        <v>0</v>
      </c>
      <c r="R482" s="14">
        <v>1</v>
      </c>
      <c r="S482" s="14" t="s">
        <v>77</v>
      </c>
      <c r="T482" s="14">
        <v>999</v>
      </c>
      <c r="U482" s="14" t="s">
        <v>214</v>
      </c>
      <c r="V482" s="14">
        <v>31244000</v>
      </c>
      <c r="X482" s="14" t="s">
        <v>204</v>
      </c>
      <c r="Y482" s="14" t="s">
        <v>215</v>
      </c>
      <c r="Z482" s="14">
        <v>20001</v>
      </c>
      <c r="AA482" s="14" t="s">
        <v>205</v>
      </c>
      <c r="AB482" s="14">
        <v>40001</v>
      </c>
      <c r="AE482" s="29" t="s">
        <v>121</v>
      </c>
      <c r="AF482" s="14" t="s">
        <v>213</v>
      </c>
      <c r="AG482" s="14" t="s">
        <v>92</v>
      </c>
    </row>
    <row r="483" spans="2:33">
      <c r="B483" s="14">
        <f>10000000+INDEX(编号表!$B:$B,MATCH(H483,编号表!$A:$A,0))*100000+INDEX(编号表!$F:$F,MATCH(D483,编号表!$E:$E,0))*10000+INDEX(编号表!$D:$D,MATCH(AG483,编号表!$C:$C,0))*1000+F483</f>
        <v>11344000</v>
      </c>
      <c r="C483" s="14" t="s">
        <v>643</v>
      </c>
      <c r="D483" s="14" t="s">
        <v>104</v>
      </c>
      <c r="E483" s="14" t="s">
        <v>92</v>
      </c>
      <c r="F483" s="14">
        <v>0</v>
      </c>
      <c r="G483" s="14">
        <v>60</v>
      </c>
      <c r="H483" s="31" t="s">
        <v>217</v>
      </c>
      <c r="I483" s="14" t="s">
        <v>75</v>
      </c>
      <c r="J483" s="14" t="s">
        <v>201</v>
      </c>
      <c r="K483" s="14">
        <v>1</v>
      </c>
      <c r="L483" s="14" t="s">
        <v>213</v>
      </c>
      <c r="N483" s="14">
        <v>0</v>
      </c>
      <c r="O483" s="14" t="b">
        <v>1</v>
      </c>
      <c r="Q483" s="14" t="b">
        <v>0</v>
      </c>
      <c r="R483" s="14">
        <v>1</v>
      </c>
      <c r="S483" s="14" t="s">
        <v>77</v>
      </c>
      <c r="T483" s="14">
        <v>999</v>
      </c>
      <c r="U483" s="14" t="s">
        <v>214</v>
      </c>
      <c r="V483" s="14">
        <v>31344000</v>
      </c>
      <c r="X483" s="14" t="s">
        <v>204</v>
      </c>
      <c r="Y483" s="14" t="s">
        <v>215</v>
      </c>
      <c r="Z483" s="14">
        <v>20001</v>
      </c>
      <c r="AA483" s="14" t="s">
        <v>205</v>
      </c>
      <c r="AB483" s="14">
        <v>40001</v>
      </c>
      <c r="AE483" s="29" t="s">
        <v>121</v>
      </c>
      <c r="AF483" s="14" t="s">
        <v>213</v>
      </c>
      <c r="AG483" s="14" t="s">
        <v>92</v>
      </c>
    </row>
    <row r="484" spans="2:33">
      <c r="B484" s="14">
        <f>10000000+INDEX(编号表!$B:$B,MATCH(H484,编号表!$A:$A,0))*100000+INDEX(编号表!$F:$F,MATCH(D484,编号表!$E:$E,0))*10000+INDEX(编号表!$D:$D,MATCH(AG484,编号表!$C:$C,0))*1000+F484</f>
        <v>11344001</v>
      </c>
      <c r="C484" s="14" t="s">
        <v>644</v>
      </c>
      <c r="D484" s="14" t="s">
        <v>104</v>
      </c>
      <c r="E484" s="14" t="s">
        <v>92</v>
      </c>
      <c r="F484" s="14">
        <v>1</v>
      </c>
      <c r="G484" s="14">
        <v>60</v>
      </c>
      <c r="H484" s="31" t="s">
        <v>217</v>
      </c>
      <c r="I484" s="14" t="s">
        <v>75</v>
      </c>
      <c r="J484" s="14" t="s">
        <v>201</v>
      </c>
      <c r="K484" s="14">
        <v>1</v>
      </c>
      <c r="L484" s="14" t="s">
        <v>213</v>
      </c>
      <c r="N484" s="14">
        <v>0</v>
      </c>
      <c r="O484" s="14" t="b">
        <v>1</v>
      </c>
      <c r="Q484" s="14" t="b">
        <v>0</v>
      </c>
      <c r="R484" s="14">
        <v>1</v>
      </c>
      <c r="S484" s="14" t="s">
        <v>77</v>
      </c>
      <c r="T484" s="14">
        <v>999</v>
      </c>
      <c r="U484" s="14" t="s">
        <v>214</v>
      </c>
      <c r="V484" s="14">
        <v>31344001</v>
      </c>
      <c r="X484" s="14" t="s">
        <v>204</v>
      </c>
      <c r="Y484" s="14" t="s">
        <v>215</v>
      </c>
      <c r="Z484" s="14">
        <v>20001</v>
      </c>
      <c r="AA484" s="14" t="s">
        <v>205</v>
      </c>
      <c r="AB484" s="14">
        <v>40001</v>
      </c>
      <c r="AE484" s="29" t="s">
        <v>121</v>
      </c>
      <c r="AF484" s="14" t="s">
        <v>213</v>
      </c>
      <c r="AG484" s="14" t="s">
        <v>92</v>
      </c>
    </row>
    <row r="485" spans="2:33">
      <c r="B485" s="14">
        <f>10000000+INDEX(编号表!$B:$B,MATCH(H485,编号表!$A:$A,0))*100000+INDEX(编号表!$F:$F,MATCH(D485,编号表!$E:$E,0))*10000+INDEX(编号表!$D:$D,MATCH(AG485,编号表!$C:$C,0))*1000+F485</f>
        <v>11344002</v>
      </c>
      <c r="C485" s="14" t="s">
        <v>645</v>
      </c>
      <c r="D485" s="14" t="s">
        <v>104</v>
      </c>
      <c r="E485" s="14" t="s">
        <v>92</v>
      </c>
      <c r="F485" s="14">
        <v>2</v>
      </c>
      <c r="G485" s="14">
        <v>60</v>
      </c>
      <c r="H485" s="31" t="s">
        <v>217</v>
      </c>
      <c r="I485" s="14" t="s">
        <v>75</v>
      </c>
      <c r="J485" s="14" t="s">
        <v>201</v>
      </c>
      <c r="K485" s="14">
        <v>1</v>
      </c>
      <c r="L485" s="14" t="s">
        <v>213</v>
      </c>
      <c r="N485" s="14">
        <v>0</v>
      </c>
      <c r="O485" s="14" t="b">
        <v>1</v>
      </c>
      <c r="Q485" s="14" t="b">
        <v>0</v>
      </c>
      <c r="R485" s="14">
        <v>1</v>
      </c>
      <c r="S485" s="14" t="s">
        <v>77</v>
      </c>
      <c r="T485" s="14">
        <v>999</v>
      </c>
      <c r="U485" s="14" t="s">
        <v>214</v>
      </c>
      <c r="V485" s="14">
        <v>31344002</v>
      </c>
      <c r="X485" s="14" t="s">
        <v>204</v>
      </c>
      <c r="Y485" s="14" t="s">
        <v>215</v>
      </c>
      <c r="Z485" s="14">
        <v>20001</v>
      </c>
      <c r="AA485" s="14" t="s">
        <v>205</v>
      </c>
      <c r="AB485" s="14">
        <v>40001</v>
      </c>
      <c r="AE485" s="29" t="s">
        <v>121</v>
      </c>
      <c r="AF485" s="14" t="s">
        <v>213</v>
      </c>
      <c r="AG485" s="14" t="s">
        <v>92</v>
      </c>
    </row>
    <row r="486" spans="2:33">
      <c r="B486" s="14">
        <f>10000000+INDEX(编号表!$B:$B,MATCH(H486,编号表!$A:$A,0))*100000+INDEX(编号表!$F:$F,MATCH(D486,编号表!$E:$E,0))*10000+INDEX(编号表!$D:$D,MATCH(AG486,编号表!$C:$C,0))*1000+F486</f>
        <v>11344003</v>
      </c>
      <c r="C486" s="14" t="s">
        <v>646</v>
      </c>
      <c r="D486" s="14" t="s">
        <v>104</v>
      </c>
      <c r="E486" s="14" t="s">
        <v>92</v>
      </c>
      <c r="F486" s="14">
        <v>3</v>
      </c>
      <c r="G486" s="14">
        <v>60</v>
      </c>
      <c r="H486" s="31" t="s">
        <v>217</v>
      </c>
      <c r="I486" s="14" t="s">
        <v>75</v>
      </c>
      <c r="J486" s="14" t="s">
        <v>201</v>
      </c>
      <c r="K486" s="14">
        <v>1</v>
      </c>
      <c r="L486" s="14" t="s">
        <v>213</v>
      </c>
      <c r="N486" s="14">
        <v>0</v>
      </c>
      <c r="O486" s="14" t="b">
        <v>1</v>
      </c>
      <c r="Q486" s="14" t="b">
        <v>0</v>
      </c>
      <c r="R486" s="14">
        <v>1</v>
      </c>
      <c r="S486" s="14" t="s">
        <v>77</v>
      </c>
      <c r="T486" s="14">
        <v>999</v>
      </c>
      <c r="U486" s="14" t="s">
        <v>214</v>
      </c>
      <c r="V486" s="14">
        <v>31344003</v>
      </c>
      <c r="X486" s="14" t="s">
        <v>204</v>
      </c>
      <c r="Y486" s="14" t="s">
        <v>215</v>
      </c>
      <c r="Z486" s="14">
        <v>20001</v>
      </c>
      <c r="AA486" s="14" t="s">
        <v>205</v>
      </c>
      <c r="AB486" s="14">
        <v>40001</v>
      </c>
      <c r="AE486" s="29" t="s">
        <v>121</v>
      </c>
      <c r="AF486" s="14" t="s">
        <v>213</v>
      </c>
      <c r="AG486" s="14" t="s">
        <v>92</v>
      </c>
    </row>
    <row r="487" spans="2:33">
      <c r="B487" s="14">
        <f>10000000+INDEX(编号表!$B:$B,MATCH(H487,编号表!$A:$A,0))*100000+INDEX(编号表!$F:$F,MATCH(D487,编号表!$E:$E,0))*10000+INDEX(编号表!$D:$D,MATCH(AG487,编号表!$C:$C,0))*1000+F487</f>
        <v>11344004</v>
      </c>
      <c r="C487" s="14" t="s">
        <v>647</v>
      </c>
      <c r="D487" s="14" t="s">
        <v>104</v>
      </c>
      <c r="E487" s="14" t="s">
        <v>92</v>
      </c>
      <c r="F487" s="14">
        <v>4</v>
      </c>
      <c r="G487" s="14">
        <v>60</v>
      </c>
      <c r="H487" s="31" t="s">
        <v>217</v>
      </c>
      <c r="I487" s="14" t="s">
        <v>75</v>
      </c>
      <c r="J487" s="14" t="s">
        <v>201</v>
      </c>
      <c r="K487" s="14">
        <v>1</v>
      </c>
      <c r="L487" s="14" t="s">
        <v>213</v>
      </c>
      <c r="N487" s="14">
        <v>0</v>
      </c>
      <c r="O487" s="14" t="b">
        <v>1</v>
      </c>
      <c r="Q487" s="14" t="b">
        <v>0</v>
      </c>
      <c r="R487" s="14">
        <v>1</v>
      </c>
      <c r="S487" s="14" t="s">
        <v>77</v>
      </c>
      <c r="T487" s="14">
        <v>999</v>
      </c>
      <c r="U487" s="14" t="s">
        <v>214</v>
      </c>
      <c r="V487" s="14">
        <v>31344004</v>
      </c>
      <c r="X487" s="14" t="s">
        <v>204</v>
      </c>
      <c r="Y487" s="14" t="s">
        <v>215</v>
      </c>
      <c r="Z487" s="14">
        <v>20001</v>
      </c>
      <c r="AA487" s="14" t="s">
        <v>205</v>
      </c>
      <c r="AB487" s="14">
        <v>40001</v>
      </c>
      <c r="AE487" s="29" t="s">
        <v>121</v>
      </c>
      <c r="AF487" s="14" t="s">
        <v>213</v>
      </c>
      <c r="AG487" s="14" t="s">
        <v>92</v>
      </c>
    </row>
    <row r="488" spans="2:33">
      <c r="B488" s="14">
        <f>10000000+INDEX(编号表!$B:$B,MATCH(H488,编号表!$A:$A,0))*100000+INDEX(编号表!$F:$F,MATCH(D488,编号表!$E:$E,0))*10000+INDEX(编号表!$D:$D,MATCH(AG488,编号表!$C:$C,0))*1000+F488</f>
        <v>11344005</v>
      </c>
      <c r="C488" s="14" t="s">
        <v>648</v>
      </c>
      <c r="D488" s="14" t="s">
        <v>104</v>
      </c>
      <c r="E488" s="14" t="s">
        <v>92</v>
      </c>
      <c r="F488" s="14">
        <v>5</v>
      </c>
      <c r="G488" s="14">
        <v>60</v>
      </c>
      <c r="H488" s="31" t="s">
        <v>217</v>
      </c>
      <c r="I488" s="14" t="s">
        <v>75</v>
      </c>
      <c r="J488" s="14" t="s">
        <v>201</v>
      </c>
      <c r="K488" s="14">
        <v>1</v>
      </c>
      <c r="L488" s="14" t="s">
        <v>213</v>
      </c>
      <c r="N488" s="14">
        <v>0</v>
      </c>
      <c r="O488" s="14" t="b">
        <v>1</v>
      </c>
      <c r="Q488" s="14" t="b">
        <v>0</v>
      </c>
      <c r="R488" s="14">
        <v>1</v>
      </c>
      <c r="S488" s="14" t="s">
        <v>77</v>
      </c>
      <c r="T488" s="14">
        <v>999</v>
      </c>
      <c r="U488" s="14" t="s">
        <v>214</v>
      </c>
      <c r="V488" s="14">
        <v>31344005</v>
      </c>
      <c r="X488" s="14" t="s">
        <v>204</v>
      </c>
      <c r="Y488" s="14" t="s">
        <v>215</v>
      </c>
      <c r="Z488" s="14">
        <v>20001</v>
      </c>
      <c r="AA488" s="14" t="s">
        <v>205</v>
      </c>
      <c r="AB488" s="14">
        <v>40001</v>
      </c>
      <c r="AE488" s="29" t="s">
        <v>121</v>
      </c>
      <c r="AF488" s="14" t="s">
        <v>213</v>
      </c>
      <c r="AG488" s="14" t="s">
        <v>92</v>
      </c>
    </row>
    <row r="489" spans="2:33">
      <c r="B489" s="14">
        <f>10000000+INDEX(编号表!$B:$B,MATCH(H489,编号表!$A:$A,0))*100000+INDEX(编号表!$F:$F,MATCH(D489,编号表!$E:$E,0))*10000+INDEX(编号表!$D:$D,MATCH(AG489,编号表!$C:$C,0))*1000+F489</f>
        <v>11344006</v>
      </c>
      <c r="C489" s="14" t="s">
        <v>649</v>
      </c>
      <c r="D489" s="14" t="s">
        <v>104</v>
      </c>
      <c r="E489" s="14" t="s">
        <v>92</v>
      </c>
      <c r="F489" s="14">
        <v>6</v>
      </c>
      <c r="G489" s="14">
        <v>60</v>
      </c>
      <c r="H489" s="31" t="s">
        <v>217</v>
      </c>
      <c r="I489" s="14" t="s">
        <v>75</v>
      </c>
      <c r="J489" s="14" t="s">
        <v>201</v>
      </c>
      <c r="K489" s="14">
        <v>1</v>
      </c>
      <c r="L489" s="14" t="s">
        <v>213</v>
      </c>
      <c r="N489" s="14">
        <v>0</v>
      </c>
      <c r="O489" s="14" t="b">
        <v>1</v>
      </c>
      <c r="Q489" s="14" t="b">
        <v>0</v>
      </c>
      <c r="R489" s="14">
        <v>1</v>
      </c>
      <c r="S489" s="14" t="s">
        <v>77</v>
      </c>
      <c r="T489" s="14">
        <v>999</v>
      </c>
      <c r="U489" s="14" t="s">
        <v>214</v>
      </c>
      <c r="V489" s="14">
        <v>31344006</v>
      </c>
      <c r="X489" s="14" t="s">
        <v>204</v>
      </c>
      <c r="Y489" s="14" t="s">
        <v>215</v>
      </c>
      <c r="Z489" s="14">
        <v>20001</v>
      </c>
      <c r="AA489" s="14" t="s">
        <v>205</v>
      </c>
      <c r="AB489" s="14">
        <v>40001</v>
      </c>
      <c r="AE489" s="29" t="s">
        <v>121</v>
      </c>
      <c r="AF489" s="14" t="s">
        <v>213</v>
      </c>
      <c r="AG489" s="14" t="s">
        <v>92</v>
      </c>
    </row>
    <row r="490" spans="2:33">
      <c r="B490" s="14">
        <f>10000000+INDEX(编号表!$B:$B,MATCH(H490,编号表!$A:$A,0))*100000+INDEX(编号表!$F:$F,MATCH(D490,编号表!$E:$E,0))*10000+INDEX(编号表!$D:$D,MATCH(AG490,编号表!$C:$C,0))*1000+F490</f>
        <v>11344007</v>
      </c>
      <c r="C490" s="14" t="s">
        <v>650</v>
      </c>
      <c r="D490" s="14" t="s">
        <v>104</v>
      </c>
      <c r="E490" s="14" t="s">
        <v>92</v>
      </c>
      <c r="F490" s="14">
        <v>7</v>
      </c>
      <c r="G490" s="14">
        <v>60</v>
      </c>
      <c r="H490" s="31" t="s">
        <v>217</v>
      </c>
      <c r="I490" s="14" t="s">
        <v>75</v>
      </c>
      <c r="J490" s="14" t="s">
        <v>201</v>
      </c>
      <c r="K490" s="14">
        <v>1</v>
      </c>
      <c r="L490" s="14" t="s">
        <v>213</v>
      </c>
      <c r="N490" s="14">
        <v>0</v>
      </c>
      <c r="O490" s="14" t="b">
        <v>1</v>
      </c>
      <c r="Q490" s="14" t="b">
        <v>0</v>
      </c>
      <c r="R490" s="14">
        <v>1</v>
      </c>
      <c r="S490" s="14" t="s">
        <v>77</v>
      </c>
      <c r="T490" s="14">
        <v>999</v>
      </c>
      <c r="U490" s="14" t="s">
        <v>214</v>
      </c>
      <c r="V490" s="14">
        <v>31344007</v>
      </c>
      <c r="X490" s="14" t="s">
        <v>204</v>
      </c>
      <c r="Y490" s="14" t="s">
        <v>215</v>
      </c>
      <c r="Z490" s="14">
        <v>20001</v>
      </c>
      <c r="AA490" s="14" t="s">
        <v>205</v>
      </c>
      <c r="AB490" s="14">
        <v>40001</v>
      </c>
      <c r="AE490" s="29" t="s">
        <v>121</v>
      </c>
      <c r="AF490" s="14" t="s">
        <v>213</v>
      </c>
      <c r="AG490" s="14" t="s">
        <v>92</v>
      </c>
    </row>
    <row r="491" spans="2:33">
      <c r="B491" s="14">
        <f>10000000+INDEX(编号表!$B:$B,MATCH(H491,编号表!$A:$A,0))*100000+INDEX(编号表!$F:$F,MATCH(D491,编号表!$E:$E,0))*10000+INDEX(编号表!$D:$D,MATCH(AG491,编号表!$C:$C,0))*1000+F491</f>
        <v>11344008</v>
      </c>
      <c r="C491" s="14" t="s">
        <v>651</v>
      </c>
      <c r="D491" s="14" t="s">
        <v>104</v>
      </c>
      <c r="E491" s="14" t="s">
        <v>92</v>
      </c>
      <c r="F491" s="14">
        <v>8</v>
      </c>
      <c r="G491" s="14">
        <v>60</v>
      </c>
      <c r="H491" s="31" t="s">
        <v>217</v>
      </c>
      <c r="I491" s="14" t="s">
        <v>75</v>
      </c>
      <c r="J491" s="14" t="s">
        <v>201</v>
      </c>
      <c r="K491" s="14">
        <v>1</v>
      </c>
      <c r="L491" s="14" t="s">
        <v>213</v>
      </c>
      <c r="N491" s="14">
        <v>0</v>
      </c>
      <c r="O491" s="14" t="b">
        <v>1</v>
      </c>
      <c r="Q491" s="14" t="b">
        <v>0</v>
      </c>
      <c r="R491" s="14">
        <v>1</v>
      </c>
      <c r="S491" s="14" t="s">
        <v>77</v>
      </c>
      <c r="T491" s="14">
        <v>999</v>
      </c>
      <c r="U491" s="14" t="s">
        <v>214</v>
      </c>
      <c r="V491" s="14">
        <v>31344008</v>
      </c>
      <c r="X491" s="14" t="s">
        <v>204</v>
      </c>
      <c r="Y491" s="14" t="s">
        <v>215</v>
      </c>
      <c r="Z491" s="14">
        <v>20001</v>
      </c>
      <c r="AA491" s="14" t="s">
        <v>205</v>
      </c>
      <c r="AB491" s="14">
        <v>40001</v>
      </c>
      <c r="AE491" s="29" t="s">
        <v>121</v>
      </c>
      <c r="AF491" s="14" t="s">
        <v>213</v>
      </c>
      <c r="AG491" s="14" t="s">
        <v>92</v>
      </c>
    </row>
    <row r="492" spans="2:33">
      <c r="B492" s="14">
        <f>10000000+INDEX(编号表!$B:$B,MATCH(H492,编号表!$A:$A,0))*100000+INDEX(编号表!$F:$F,MATCH(D492,编号表!$E:$E,0))*10000+INDEX(编号表!$D:$D,MATCH(AG492,编号表!$C:$C,0))*1000+F492</f>
        <v>11344009</v>
      </c>
      <c r="C492" s="14" t="s">
        <v>652</v>
      </c>
      <c r="D492" s="14" t="s">
        <v>104</v>
      </c>
      <c r="E492" s="14" t="s">
        <v>92</v>
      </c>
      <c r="F492" s="14">
        <v>9</v>
      </c>
      <c r="G492" s="14">
        <v>60</v>
      </c>
      <c r="H492" s="31" t="s">
        <v>217</v>
      </c>
      <c r="I492" s="14" t="s">
        <v>75</v>
      </c>
      <c r="J492" s="14" t="s">
        <v>201</v>
      </c>
      <c r="K492" s="14">
        <v>1</v>
      </c>
      <c r="L492" s="14" t="s">
        <v>213</v>
      </c>
      <c r="N492" s="14">
        <v>0</v>
      </c>
      <c r="O492" s="14" t="b">
        <v>1</v>
      </c>
      <c r="Q492" s="14" t="b">
        <v>0</v>
      </c>
      <c r="R492" s="14">
        <v>1</v>
      </c>
      <c r="S492" s="14" t="s">
        <v>77</v>
      </c>
      <c r="T492" s="14">
        <v>999</v>
      </c>
      <c r="U492" s="14" t="s">
        <v>214</v>
      </c>
      <c r="V492" s="14">
        <v>31344009</v>
      </c>
      <c r="X492" s="14" t="s">
        <v>204</v>
      </c>
      <c r="Y492" s="14" t="s">
        <v>215</v>
      </c>
      <c r="Z492" s="14">
        <v>20001</v>
      </c>
      <c r="AA492" s="14" t="s">
        <v>205</v>
      </c>
      <c r="AB492" s="14">
        <v>40001</v>
      </c>
      <c r="AE492" s="29" t="s">
        <v>121</v>
      </c>
      <c r="AF492" s="14" t="s">
        <v>213</v>
      </c>
      <c r="AG492" s="14" t="s">
        <v>92</v>
      </c>
    </row>
    <row r="493" spans="2:33">
      <c r="B493" s="14">
        <f>10000000+INDEX(编号表!$B:$B,MATCH(H493,编号表!$A:$A,0))*100000+INDEX(编号表!$F:$F,MATCH(D493,编号表!$E:$E,0))*10000+INDEX(编号表!$D:$D,MATCH(AG493,编号表!$C:$C,0))*1000+F493</f>
        <v>11544000</v>
      </c>
      <c r="C493" s="14" t="s">
        <v>653</v>
      </c>
      <c r="D493" s="14" t="s">
        <v>104</v>
      </c>
      <c r="E493" s="14" t="s">
        <v>92</v>
      </c>
      <c r="F493" s="14">
        <v>0</v>
      </c>
      <c r="G493" s="14">
        <v>60</v>
      </c>
      <c r="H493" s="31" t="s">
        <v>228</v>
      </c>
      <c r="I493" s="14" t="s">
        <v>75</v>
      </c>
      <c r="J493" s="14" t="s">
        <v>201</v>
      </c>
      <c r="K493" s="14">
        <v>1</v>
      </c>
      <c r="L493" s="14" t="s">
        <v>213</v>
      </c>
      <c r="N493" s="14">
        <v>0</v>
      </c>
      <c r="O493" s="14" t="b">
        <v>1</v>
      </c>
      <c r="Q493" s="14" t="b">
        <v>0</v>
      </c>
      <c r="R493" s="14">
        <v>1</v>
      </c>
      <c r="S493" s="14" t="s">
        <v>77</v>
      </c>
      <c r="T493" s="14">
        <v>999</v>
      </c>
      <c r="U493" s="14" t="s">
        <v>214</v>
      </c>
      <c r="V493" s="14">
        <v>31544000</v>
      </c>
      <c r="X493" s="14" t="s">
        <v>204</v>
      </c>
      <c r="Y493" s="14" t="s">
        <v>215</v>
      </c>
      <c r="Z493" s="14">
        <v>20001</v>
      </c>
      <c r="AA493" s="14" t="s">
        <v>205</v>
      </c>
      <c r="AB493" s="14">
        <v>40001</v>
      </c>
      <c r="AE493" s="29" t="s">
        <v>121</v>
      </c>
      <c r="AF493" s="14" t="s">
        <v>213</v>
      </c>
      <c r="AG493" s="14" t="s">
        <v>92</v>
      </c>
    </row>
    <row r="494" spans="2:33">
      <c r="B494" s="14">
        <f>10000000+INDEX(编号表!$B:$B,MATCH(H494,编号表!$A:$A,0))*100000+INDEX(编号表!$F:$F,MATCH(D494,编号表!$E:$E,0))*10000+INDEX(编号表!$D:$D,MATCH(AG494,编号表!$C:$C,0))*1000+F494</f>
        <v>11544001</v>
      </c>
      <c r="C494" s="14" t="s">
        <v>654</v>
      </c>
      <c r="D494" s="14" t="s">
        <v>104</v>
      </c>
      <c r="E494" s="14" t="s">
        <v>92</v>
      </c>
      <c r="F494" s="14">
        <v>1</v>
      </c>
      <c r="G494" s="14">
        <v>60</v>
      </c>
      <c r="H494" s="31" t="s">
        <v>228</v>
      </c>
      <c r="I494" s="14" t="s">
        <v>75</v>
      </c>
      <c r="J494" s="14" t="s">
        <v>201</v>
      </c>
      <c r="K494" s="14">
        <v>1</v>
      </c>
      <c r="L494" s="14" t="s">
        <v>213</v>
      </c>
      <c r="N494" s="14">
        <v>0</v>
      </c>
      <c r="O494" s="14" t="b">
        <v>1</v>
      </c>
      <c r="Q494" s="14" t="b">
        <v>0</v>
      </c>
      <c r="R494" s="14">
        <v>1</v>
      </c>
      <c r="S494" s="14" t="s">
        <v>77</v>
      </c>
      <c r="T494" s="14">
        <v>999</v>
      </c>
      <c r="U494" s="14" t="s">
        <v>214</v>
      </c>
      <c r="V494" s="14">
        <v>31544001</v>
      </c>
      <c r="X494" s="14" t="s">
        <v>204</v>
      </c>
      <c r="Y494" s="14" t="s">
        <v>215</v>
      </c>
      <c r="Z494" s="14">
        <v>20001</v>
      </c>
      <c r="AA494" s="14" t="s">
        <v>205</v>
      </c>
      <c r="AB494" s="14">
        <v>40001</v>
      </c>
      <c r="AE494" s="29" t="s">
        <v>121</v>
      </c>
      <c r="AF494" s="14" t="s">
        <v>213</v>
      </c>
      <c r="AG494" s="14" t="s">
        <v>92</v>
      </c>
    </row>
    <row r="495" spans="2:33">
      <c r="B495" s="14">
        <f>10000000+INDEX(编号表!$B:$B,MATCH(H495,编号表!$A:$A,0))*100000+INDEX(编号表!$F:$F,MATCH(D495,编号表!$E:$E,0))*10000+INDEX(编号表!$D:$D,MATCH(AG495,编号表!$C:$C,0))*1000+F495</f>
        <v>11544002</v>
      </c>
      <c r="C495" s="14" t="s">
        <v>655</v>
      </c>
      <c r="D495" s="14" t="s">
        <v>104</v>
      </c>
      <c r="E495" s="14" t="s">
        <v>92</v>
      </c>
      <c r="F495" s="14">
        <v>2</v>
      </c>
      <c r="G495" s="14">
        <v>60</v>
      </c>
      <c r="H495" s="31" t="s">
        <v>228</v>
      </c>
      <c r="I495" s="14" t="s">
        <v>75</v>
      </c>
      <c r="J495" s="14" t="s">
        <v>201</v>
      </c>
      <c r="K495" s="14">
        <v>1</v>
      </c>
      <c r="L495" s="14" t="s">
        <v>213</v>
      </c>
      <c r="N495" s="14">
        <v>0</v>
      </c>
      <c r="O495" s="14" t="b">
        <v>1</v>
      </c>
      <c r="Q495" s="14" t="b">
        <v>0</v>
      </c>
      <c r="R495" s="14">
        <v>1</v>
      </c>
      <c r="S495" s="14" t="s">
        <v>77</v>
      </c>
      <c r="T495" s="14">
        <v>999</v>
      </c>
      <c r="U495" s="14" t="s">
        <v>214</v>
      </c>
      <c r="V495" s="14">
        <v>31544002</v>
      </c>
      <c r="X495" s="14" t="s">
        <v>204</v>
      </c>
      <c r="Y495" s="14" t="s">
        <v>215</v>
      </c>
      <c r="Z495" s="14">
        <v>20001</v>
      </c>
      <c r="AA495" s="14" t="s">
        <v>205</v>
      </c>
      <c r="AB495" s="14">
        <v>40001</v>
      </c>
      <c r="AE495" s="29" t="s">
        <v>121</v>
      </c>
      <c r="AF495" s="14" t="s">
        <v>213</v>
      </c>
      <c r="AG495" s="14" t="s">
        <v>92</v>
      </c>
    </row>
    <row r="496" spans="2:33">
      <c r="B496" s="14">
        <f>10000000+INDEX(编号表!$B:$B,MATCH(H496,编号表!$A:$A,0))*100000+INDEX(编号表!$F:$F,MATCH(D496,编号表!$E:$E,0))*10000+INDEX(编号表!$D:$D,MATCH(AG496,编号表!$C:$C,0))*1000+F496</f>
        <v>11544003</v>
      </c>
      <c r="C496" s="14" t="s">
        <v>656</v>
      </c>
      <c r="D496" s="14" t="s">
        <v>104</v>
      </c>
      <c r="E496" s="14" t="s">
        <v>92</v>
      </c>
      <c r="F496" s="14">
        <v>3</v>
      </c>
      <c r="G496" s="14">
        <v>60</v>
      </c>
      <c r="H496" s="31" t="s">
        <v>228</v>
      </c>
      <c r="I496" s="14" t="s">
        <v>75</v>
      </c>
      <c r="J496" s="14" t="s">
        <v>201</v>
      </c>
      <c r="K496" s="14">
        <v>1</v>
      </c>
      <c r="L496" s="14" t="s">
        <v>213</v>
      </c>
      <c r="N496" s="14">
        <v>0</v>
      </c>
      <c r="O496" s="14" t="b">
        <v>1</v>
      </c>
      <c r="Q496" s="14" t="b">
        <v>0</v>
      </c>
      <c r="R496" s="14">
        <v>1</v>
      </c>
      <c r="S496" s="14" t="s">
        <v>77</v>
      </c>
      <c r="T496" s="14">
        <v>999</v>
      </c>
      <c r="U496" s="14" t="s">
        <v>214</v>
      </c>
      <c r="V496" s="14">
        <v>31544003</v>
      </c>
      <c r="X496" s="14" t="s">
        <v>204</v>
      </c>
      <c r="Y496" s="14" t="s">
        <v>215</v>
      </c>
      <c r="Z496" s="14">
        <v>20001</v>
      </c>
      <c r="AA496" s="14" t="s">
        <v>205</v>
      </c>
      <c r="AB496" s="14">
        <v>40001</v>
      </c>
      <c r="AE496" s="29" t="s">
        <v>121</v>
      </c>
      <c r="AF496" s="14" t="s">
        <v>213</v>
      </c>
      <c r="AG496" s="14" t="s">
        <v>92</v>
      </c>
    </row>
    <row r="497" spans="2:33">
      <c r="B497" s="14">
        <f>10000000+INDEX(编号表!$B:$B,MATCH(H497,编号表!$A:$A,0))*100000+INDEX(编号表!$F:$F,MATCH(D497,编号表!$E:$E,0))*10000+INDEX(编号表!$D:$D,MATCH(AG497,编号表!$C:$C,0))*1000+F497</f>
        <v>11544004</v>
      </c>
      <c r="C497" s="14" t="s">
        <v>657</v>
      </c>
      <c r="D497" s="14" t="s">
        <v>104</v>
      </c>
      <c r="E497" s="14" t="s">
        <v>92</v>
      </c>
      <c r="F497" s="14">
        <v>4</v>
      </c>
      <c r="G497" s="14">
        <v>60</v>
      </c>
      <c r="H497" s="31" t="s">
        <v>228</v>
      </c>
      <c r="I497" s="14" t="s">
        <v>75</v>
      </c>
      <c r="J497" s="14" t="s">
        <v>201</v>
      </c>
      <c r="K497" s="14">
        <v>1</v>
      </c>
      <c r="L497" s="14" t="s">
        <v>213</v>
      </c>
      <c r="N497" s="14">
        <v>0</v>
      </c>
      <c r="O497" s="14" t="b">
        <v>1</v>
      </c>
      <c r="Q497" s="14" t="b">
        <v>0</v>
      </c>
      <c r="R497" s="14">
        <v>1</v>
      </c>
      <c r="S497" s="14" t="s">
        <v>77</v>
      </c>
      <c r="T497" s="14">
        <v>999</v>
      </c>
      <c r="U497" s="14" t="s">
        <v>214</v>
      </c>
      <c r="V497" s="14">
        <v>31544004</v>
      </c>
      <c r="X497" s="14" t="s">
        <v>204</v>
      </c>
      <c r="Y497" s="14" t="s">
        <v>215</v>
      </c>
      <c r="Z497" s="14">
        <v>20001</v>
      </c>
      <c r="AA497" s="14" t="s">
        <v>205</v>
      </c>
      <c r="AB497" s="14">
        <v>40001</v>
      </c>
      <c r="AE497" s="29" t="s">
        <v>121</v>
      </c>
      <c r="AF497" s="14" t="s">
        <v>213</v>
      </c>
      <c r="AG497" s="14" t="s">
        <v>92</v>
      </c>
    </row>
    <row r="498" spans="2:33">
      <c r="B498" s="14">
        <f>10000000+INDEX(编号表!$B:$B,MATCH(H498,编号表!$A:$A,0))*100000+INDEX(编号表!$F:$F,MATCH(D498,编号表!$E:$E,0))*10000+INDEX(编号表!$D:$D,MATCH(AG498,编号表!$C:$C,0))*1000+F498</f>
        <v>11544005</v>
      </c>
      <c r="C498" s="14" t="s">
        <v>658</v>
      </c>
      <c r="D498" s="14" t="s">
        <v>104</v>
      </c>
      <c r="E498" s="14" t="s">
        <v>92</v>
      </c>
      <c r="F498" s="14">
        <v>5</v>
      </c>
      <c r="G498" s="14">
        <v>60</v>
      </c>
      <c r="H498" s="31" t="s">
        <v>228</v>
      </c>
      <c r="I498" s="14" t="s">
        <v>75</v>
      </c>
      <c r="J498" s="14" t="s">
        <v>201</v>
      </c>
      <c r="K498" s="14">
        <v>1</v>
      </c>
      <c r="L498" s="14" t="s">
        <v>213</v>
      </c>
      <c r="N498" s="14">
        <v>0</v>
      </c>
      <c r="O498" s="14" t="b">
        <v>1</v>
      </c>
      <c r="Q498" s="14" t="b">
        <v>0</v>
      </c>
      <c r="R498" s="14">
        <v>1</v>
      </c>
      <c r="S498" s="14" t="s">
        <v>77</v>
      </c>
      <c r="T498" s="14">
        <v>999</v>
      </c>
      <c r="U498" s="14" t="s">
        <v>214</v>
      </c>
      <c r="V498" s="14">
        <v>31544005</v>
      </c>
      <c r="X498" s="14" t="s">
        <v>204</v>
      </c>
      <c r="Y498" s="14" t="s">
        <v>215</v>
      </c>
      <c r="Z498" s="14">
        <v>20001</v>
      </c>
      <c r="AA498" s="14" t="s">
        <v>205</v>
      </c>
      <c r="AB498" s="14">
        <v>40001</v>
      </c>
      <c r="AE498" s="29" t="s">
        <v>121</v>
      </c>
      <c r="AF498" s="14" t="s">
        <v>213</v>
      </c>
      <c r="AG498" s="14" t="s">
        <v>92</v>
      </c>
    </row>
    <row r="499" spans="2:33">
      <c r="B499" s="14">
        <f>10000000+INDEX(编号表!$B:$B,MATCH(H499,编号表!$A:$A,0))*100000+INDEX(编号表!$F:$F,MATCH(D499,编号表!$E:$E,0))*10000+INDEX(编号表!$D:$D,MATCH(AG499,编号表!$C:$C,0))*1000+F499</f>
        <v>11544006</v>
      </c>
      <c r="C499" s="14" t="s">
        <v>659</v>
      </c>
      <c r="D499" s="14" t="s">
        <v>104</v>
      </c>
      <c r="E499" s="14" t="s">
        <v>92</v>
      </c>
      <c r="F499" s="14">
        <v>6</v>
      </c>
      <c r="G499" s="14">
        <v>60</v>
      </c>
      <c r="H499" s="31" t="s">
        <v>228</v>
      </c>
      <c r="I499" s="14" t="s">
        <v>75</v>
      </c>
      <c r="J499" s="14" t="s">
        <v>201</v>
      </c>
      <c r="K499" s="14">
        <v>1</v>
      </c>
      <c r="L499" s="14" t="s">
        <v>213</v>
      </c>
      <c r="N499" s="14">
        <v>0</v>
      </c>
      <c r="O499" s="14" t="b">
        <v>1</v>
      </c>
      <c r="Q499" s="14" t="b">
        <v>0</v>
      </c>
      <c r="R499" s="14">
        <v>1</v>
      </c>
      <c r="S499" s="14" t="s">
        <v>77</v>
      </c>
      <c r="T499" s="14">
        <v>999</v>
      </c>
      <c r="U499" s="14" t="s">
        <v>214</v>
      </c>
      <c r="V499" s="14">
        <v>31544006</v>
      </c>
      <c r="X499" s="14" t="s">
        <v>204</v>
      </c>
      <c r="Y499" s="14" t="s">
        <v>215</v>
      </c>
      <c r="Z499" s="14">
        <v>20001</v>
      </c>
      <c r="AA499" s="14" t="s">
        <v>205</v>
      </c>
      <c r="AB499" s="14">
        <v>40001</v>
      </c>
      <c r="AE499" s="29" t="s">
        <v>121</v>
      </c>
      <c r="AF499" s="14" t="s">
        <v>213</v>
      </c>
      <c r="AG499" s="14" t="s">
        <v>92</v>
      </c>
    </row>
    <row r="500" spans="2:33">
      <c r="B500" s="14">
        <f>10000000+INDEX(编号表!$B:$B,MATCH(H500,编号表!$A:$A,0))*100000+INDEX(编号表!$F:$F,MATCH(D500,编号表!$E:$E,0))*10000+INDEX(编号表!$D:$D,MATCH(AG500,编号表!$C:$C,0))*1000+F500</f>
        <v>11544007</v>
      </c>
      <c r="C500" s="14" t="s">
        <v>660</v>
      </c>
      <c r="D500" s="14" t="s">
        <v>104</v>
      </c>
      <c r="E500" s="14" t="s">
        <v>92</v>
      </c>
      <c r="F500" s="14">
        <v>7</v>
      </c>
      <c r="G500" s="14">
        <v>60</v>
      </c>
      <c r="H500" s="31" t="s">
        <v>228</v>
      </c>
      <c r="I500" s="14" t="s">
        <v>75</v>
      </c>
      <c r="J500" s="14" t="s">
        <v>201</v>
      </c>
      <c r="K500" s="14">
        <v>1</v>
      </c>
      <c r="L500" s="14" t="s">
        <v>213</v>
      </c>
      <c r="N500" s="14">
        <v>0</v>
      </c>
      <c r="O500" s="14" t="b">
        <v>1</v>
      </c>
      <c r="Q500" s="14" t="b">
        <v>0</v>
      </c>
      <c r="R500" s="14">
        <v>1</v>
      </c>
      <c r="S500" s="14" t="s">
        <v>77</v>
      </c>
      <c r="T500" s="14">
        <v>999</v>
      </c>
      <c r="U500" s="14" t="s">
        <v>214</v>
      </c>
      <c r="V500" s="14">
        <v>31544007</v>
      </c>
      <c r="X500" s="14" t="s">
        <v>204</v>
      </c>
      <c r="Y500" s="14" t="s">
        <v>215</v>
      </c>
      <c r="Z500" s="14">
        <v>20001</v>
      </c>
      <c r="AA500" s="14" t="s">
        <v>205</v>
      </c>
      <c r="AB500" s="14">
        <v>40001</v>
      </c>
      <c r="AE500" s="29" t="s">
        <v>121</v>
      </c>
      <c r="AF500" s="14" t="s">
        <v>213</v>
      </c>
      <c r="AG500" s="14" t="s">
        <v>92</v>
      </c>
    </row>
    <row r="501" spans="2:33">
      <c r="B501" s="14">
        <f>10000000+INDEX(编号表!$B:$B,MATCH(H501,编号表!$A:$A,0))*100000+INDEX(编号表!$F:$F,MATCH(D501,编号表!$E:$E,0))*10000+INDEX(编号表!$D:$D,MATCH(AG501,编号表!$C:$C,0))*1000+F501</f>
        <v>11544008</v>
      </c>
      <c r="C501" s="14" t="s">
        <v>661</v>
      </c>
      <c r="D501" s="14" t="s">
        <v>104</v>
      </c>
      <c r="E501" s="14" t="s">
        <v>92</v>
      </c>
      <c r="F501" s="14">
        <v>8</v>
      </c>
      <c r="G501" s="14">
        <v>60</v>
      </c>
      <c r="H501" s="31" t="s">
        <v>228</v>
      </c>
      <c r="I501" s="14" t="s">
        <v>75</v>
      </c>
      <c r="J501" s="14" t="s">
        <v>201</v>
      </c>
      <c r="K501" s="14">
        <v>1</v>
      </c>
      <c r="L501" s="14" t="s">
        <v>213</v>
      </c>
      <c r="N501" s="14">
        <v>0</v>
      </c>
      <c r="O501" s="14" t="b">
        <v>1</v>
      </c>
      <c r="Q501" s="14" t="b">
        <v>0</v>
      </c>
      <c r="R501" s="14">
        <v>1</v>
      </c>
      <c r="S501" s="14" t="s">
        <v>77</v>
      </c>
      <c r="T501" s="14">
        <v>999</v>
      </c>
      <c r="U501" s="14" t="s">
        <v>214</v>
      </c>
      <c r="V501" s="14">
        <v>31544008</v>
      </c>
      <c r="X501" s="14" t="s">
        <v>204</v>
      </c>
      <c r="Y501" s="14" t="s">
        <v>215</v>
      </c>
      <c r="Z501" s="14">
        <v>20001</v>
      </c>
      <c r="AA501" s="14" t="s">
        <v>205</v>
      </c>
      <c r="AB501" s="14">
        <v>40001</v>
      </c>
      <c r="AE501" s="29" t="s">
        <v>121</v>
      </c>
      <c r="AF501" s="14" t="s">
        <v>213</v>
      </c>
      <c r="AG501" s="14" t="s">
        <v>92</v>
      </c>
    </row>
    <row r="502" spans="2:33">
      <c r="B502" s="14">
        <f>10000000+INDEX(编号表!$B:$B,MATCH(H502,编号表!$A:$A,0))*100000+INDEX(编号表!$F:$F,MATCH(D502,编号表!$E:$E,0))*10000+INDEX(编号表!$D:$D,MATCH(AG502,编号表!$C:$C,0))*1000+F502</f>
        <v>11544009</v>
      </c>
      <c r="C502" s="14" t="s">
        <v>662</v>
      </c>
      <c r="D502" s="14" t="s">
        <v>104</v>
      </c>
      <c r="E502" s="14" t="s">
        <v>92</v>
      </c>
      <c r="F502" s="14">
        <v>9</v>
      </c>
      <c r="G502" s="14">
        <v>60</v>
      </c>
      <c r="H502" s="31" t="s">
        <v>228</v>
      </c>
      <c r="I502" s="14" t="s">
        <v>75</v>
      </c>
      <c r="J502" s="14" t="s">
        <v>201</v>
      </c>
      <c r="K502" s="14">
        <v>1</v>
      </c>
      <c r="L502" s="14" t="s">
        <v>213</v>
      </c>
      <c r="N502" s="14">
        <v>0</v>
      </c>
      <c r="O502" s="14" t="b">
        <v>1</v>
      </c>
      <c r="Q502" s="14" t="b">
        <v>0</v>
      </c>
      <c r="R502" s="14">
        <v>1</v>
      </c>
      <c r="S502" s="14" t="s">
        <v>77</v>
      </c>
      <c r="T502" s="14">
        <v>999</v>
      </c>
      <c r="U502" s="14" t="s">
        <v>214</v>
      </c>
      <c r="V502" s="14">
        <v>31544009</v>
      </c>
      <c r="X502" s="14" t="s">
        <v>204</v>
      </c>
      <c r="Y502" s="14" t="s">
        <v>215</v>
      </c>
      <c r="Z502" s="14">
        <v>20001</v>
      </c>
      <c r="AA502" s="14" t="s">
        <v>205</v>
      </c>
      <c r="AB502" s="14">
        <v>40001</v>
      </c>
      <c r="AE502" s="29" t="s">
        <v>121</v>
      </c>
      <c r="AF502" s="14" t="s">
        <v>213</v>
      </c>
      <c r="AG502" s="14" t="s">
        <v>92</v>
      </c>
    </row>
    <row r="503" spans="2:33">
      <c r="B503" s="14">
        <f>10000000+INDEX(编号表!$B:$B,MATCH(H503,编号表!$A:$A,0))*100000+INDEX(编号表!$F:$F,MATCH(D503,编号表!$E:$E,0))*10000+INDEX(编号表!$D:$D,MATCH(AG503,编号表!$C:$C,0))*1000+F503</f>
        <v>11444000</v>
      </c>
      <c r="C503" s="14" t="s">
        <v>663</v>
      </c>
      <c r="D503" s="14" t="s">
        <v>104</v>
      </c>
      <c r="E503" s="14" t="s">
        <v>92</v>
      </c>
      <c r="F503" s="14">
        <v>0</v>
      </c>
      <c r="G503" s="14">
        <v>60</v>
      </c>
      <c r="H503" s="31" t="s">
        <v>239</v>
      </c>
      <c r="I503" s="14" t="s">
        <v>75</v>
      </c>
      <c r="J503" s="14" t="s">
        <v>201</v>
      </c>
      <c r="K503" s="14">
        <v>1</v>
      </c>
      <c r="L503" s="14" t="s">
        <v>213</v>
      </c>
      <c r="N503" s="14">
        <v>0</v>
      </c>
      <c r="O503" s="14" t="b">
        <v>1</v>
      </c>
      <c r="Q503" s="14" t="b">
        <v>0</v>
      </c>
      <c r="R503" s="14">
        <v>1</v>
      </c>
      <c r="S503" s="14" t="s">
        <v>77</v>
      </c>
      <c r="T503" s="14">
        <v>999</v>
      </c>
      <c r="U503" s="14" t="s">
        <v>214</v>
      </c>
      <c r="V503" s="14">
        <v>31444000</v>
      </c>
      <c r="X503" s="14" t="s">
        <v>204</v>
      </c>
      <c r="Y503" s="14" t="s">
        <v>215</v>
      </c>
      <c r="Z503" s="14">
        <v>20001</v>
      </c>
      <c r="AA503" s="14" t="s">
        <v>205</v>
      </c>
      <c r="AB503" s="14">
        <v>40001</v>
      </c>
      <c r="AE503" s="29" t="s">
        <v>121</v>
      </c>
      <c r="AF503" s="14" t="s">
        <v>213</v>
      </c>
      <c r="AG503" s="14" t="s">
        <v>92</v>
      </c>
    </row>
    <row r="504" spans="2:33">
      <c r="B504" s="14">
        <f>10000000+INDEX(编号表!$B:$B,MATCH(H504,编号表!$A:$A,0))*100000+INDEX(编号表!$F:$F,MATCH(D504,编号表!$E:$E,0))*10000+INDEX(编号表!$D:$D,MATCH(AG504,编号表!$C:$C,0))*1000+F504</f>
        <v>11444001</v>
      </c>
      <c r="C504" s="14" t="s">
        <v>664</v>
      </c>
      <c r="D504" s="14" t="s">
        <v>104</v>
      </c>
      <c r="E504" s="14" t="s">
        <v>92</v>
      </c>
      <c r="F504" s="14">
        <v>1</v>
      </c>
      <c r="G504" s="14">
        <v>60</v>
      </c>
      <c r="H504" s="31" t="s">
        <v>239</v>
      </c>
      <c r="I504" s="14" t="s">
        <v>75</v>
      </c>
      <c r="J504" s="14" t="s">
        <v>201</v>
      </c>
      <c r="K504" s="14">
        <v>1</v>
      </c>
      <c r="L504" s="14" t="s">
        <v>213</v>
      </c>
      <c r="N504" s="14">
        <v>0</v>
      </c>
      <c r="O504" s="14" t="b">
        <v>1</v>
      </c>
      <c r="Q504" s="14" t="b">
        <v>0</v>
      </c>
      <c r="R504" s="14">
        <v>1</v>
      </c>
      <c r="S504" s="14" t="s">
        <v>77</v>
      </c>
      <c r="T504" s="14">
        <v>999</v>
      </c>
      <c r="U504" s="14" t="s">
        <v>214</v>
      </c>
      <c r="V504" s="14">
        <v>31444001</v>
      </c>
      <c r="X504" s="14" t="s">
        <v>204</v>
      </c>
      <c r="Y504" s="14" t="s">
        <v>215</v>
      </c>
      <c r="Z504" s="14">
        <v>20001</v>
      </c>
      <c r="AA504" s="14" t="s">
        <v>205</v>
      </c>
      <c r="AB504" s="14">
        <v>40001</v>
      </c>
      <c r="AE504" s="29" t="s">
        <v>121</v>
      </c>
      <c r="AF504" s="14" t="s">
        <v>213</v>
      </c>
      <c r="AG504" s="14" t="s">
        <v>92</v>
      </c>
    </row>
    <row r="505" spans="2:33">
      <c r="B505" s="14">
        <f>10000000+INDEX(编号表!$B:$B,MATCH(H505,编号表!$A:$A,0))*100000+INDEX(编号表!$F:$F,MATCH(D505,编号表!$E:$E,0))*10000+INDEX(编号表!$D:$D,MATCH(AG505,编号表!$C:$C,0))*1000+F505</f>
        <v>11444002</v>
      </c>
      <c r="C505" s="14" t="s">
        <v>665</v>
      </c>
      <c r="D505" s="14" t="s">
        <v>104</v>
      </c>
      <c r="E505" s="14" t="s">
        <v>92</v>
      </c>
      <c r="F505" s="14">
        <v>2</v>
      </c>
      <c r="G505" s="14">
        <v>60</v>
      </c>
      <c r="H505" s="31" t="s">
        <v>239</v>
      </c>
      <c r="I505" s="14" t="s">
        <v>75</v>
      </c>
      <c r="J505" s="14" t="s">
        <v>201</v>
      </c>
      <c r="K505" s="14">
        <v>1</v>
      </c>
      <c r="L505" s="14" t="s">
        <v>213</v>
      </c>
      <c r="N505" s="14">
        <v>0</v>
      </c>
      <c r="O505" s="14" t="b">
        <v>1</v>
      </c>
      <c r="Q505" s="14" t="b">
        <v>0</v>
      </c>
      <c r="R505" s="14">
        <v>1</v>
      </c>
      <c r="S505" s="14" t="s">
        <v>77</v>
      </c>
      <c r="T505" s="14">
        <v>999</v>
      </c>
      <c r="U505" s="14" t="s">
        <v>214</v>
      </c>
      <c r="V505" s="14">
        <v>31444002</v>
      </c>
      <c r="X505" s="14" t="s">
        <v>204</v>
      </c>
      <c r="Y505" s="14" t="s">
        <v>215</v>
      </c>
      <c r="Z505" s="14">
        <v>20001</v>
      </c>
      <c r="AA505" s="14" t="s">
        <v>205</v>
      </c>
      <c r="AB505" s="14">
        <v>40001</v>
      </c>
      <c r="AE505" s="29" t="s">
        <v>121</v>
      </c>
      <c r="AF505" s="14" t="s">
        <v>213</v>
      </c>
      <c r="AG505" s="14" t="s">
        <v>92</v>
      </c>
    </row>
    <row r="506" spans="2:33">
      <c r="B506" s="14">
        <f>10000000+INDEX(编号表!$B:$B,MATCH(H506,编号表!$A:$A,0))*100000+INDEX(编号表!$F:$F,MATCH(D506,编号表!$E:$E,0))*10000+INDEX(编号表!$D:$D,MATCH(AG506,编号表!$C:$C,0))*1000+F506</f>
        <v>11444003</v>
      </c>
      <c r="C506" s="14" t="s">
        <v>666</v>
      </c>
      <c r="D506" s="14" t="s">
        <v>104</v>
      </c>
      <c r="E506" s="14" t="s">
        <v>92</v>
      </c>
      <c r="F506" s="14">
        <v>3</v>
      </c>
      <c r="G506" s="14">
        <v>60</v>
      </c>
      <c r="H506" s="31" t="s">
        <v>239</v>
      </c>
      <c r="I506" s="14" t="s">
        <v>75</v>
      </c>
      <c r="J506" s="14" t="s">
        <v>201</v>
      </c>
      <c r="K506" s="14">
        <v>1</v>
      </c>
      <c r="L506" s="14" t="s">
        <v>213</v>
      </c>
      <c r="N506" s="14">
        <v>0</v>
      </c>
      <c r="O506" s="14" t="b">
        <v>1</v>
      </c>
      <c r="Q506" s="14" t="b">
        <v>0</v>
      </c>
      <c r="R506" s="14">
        <v>1</v>
      </c>
      <c r="S506" s="14" t="s">
        <v>77</v>
      </c>
      <c r="T506" s="14">
        <v>999</v>
      </c>
      <c r="U506" s="14" t="s">
        <v>214</v>
      </c>
      <c r="V506" s="14">
        <v>31444003</v>
      </c>
      <c r="X506" s="14" t="s">
        <v>204</v>
      </c>
      <c r="Y506" s="14" t="s">
        <v>215</v>
      </c>
      <c r="Z506" s="14">
        <v>20001</v>
      </c>
      <c r="AA506" s="14" t="s">
        <v>205</v>
      </c>
      <c r="AB506" s="14">
        <v>40001</v>
      </c>
      <c r="AE506" s="29" t="s">
        <v>121</v>
      </c>
      <c r="AF506" s="14" t="s">
        <v>213</v>
      </c>
      <c r="AG506" s="14" t="s">
        <v>92</v>
      </c>
    </row>
    <row r="507" spans="2:33">
      <c r="B507" s="14">
        <f>10000000+INDEX(编号表!$B:$B,MATCH(H507,编号表!$A:$A,0))*100000+INDEX(编号表!$F:$F,MATCH(D507,编号表!$E:$E,0))*10000+INDEX(编号表!$D:$D,MATCH(AG507,编号表!$C:$C,0))*1000+F507</f>
        <v>11644000</v>
      </c>
      <c r="C507" s="14" t="s">
        <v>667</v>
      </c>
      <c r="D507" s="14" t="s">
        <v>104</v>
      </c>
      <c r="E507" s="14" t="s">
        <v>92</v>
      </c>
      <c r="F507" s="14">
        <v>0</v>
      </c>
      <c r="G507" s="14">
        <v>60</v>
      </c>
      <c r="H507" s="31" t="s">
        <v>244</v>
      </c>
      <c r="I507" s="14" t="s">
        <v>75</v>
      </c>
      <c r="J507" s="14" t="s">
        <v>201</v>
      </c>
      <c r="K507" s="14">
        <v>1</v>
      </c>
      <c r="L507" s="14" t="s">
        <v>213</v>
      </c>
      <c r="N507" s="14">
        <v>0</v>
      </c>
      <c r="O507" s="14" t="b">
        <v>1</v>
      </c>
      <c r="Q507" s="14" t="b">
        <v>0</v>
      </c>
      <c r="R507" s="14">
        <v>1</v>
      </c>
      <c r="S507" s="14" t="s">
        <v>77</v>
      </c>
      <c r="T507" s="14">
        <v>999</v>
      </c>
      <c r="U507" s="14" t="s">
        <v>214</v>
      </c>
      <c r="V507" s="14">
        <v>31644000</v>
      </c>
      <c r="X507" s="14" t="s">
        <v>204</v>
      </c>
      <c r="Y507" s="14" t="s">
        <v>215</v>
      </c>
      <c r="Z507" s="14">
        <v>20001</v>
      </c>
      <c r="AA507" s="14" t="s">
        <v>205</v>
      </c>
      <c r="AB507" s="14">
        <v>40001</v>
      </c>
      <c r="AE507" s="29" t="s">
        <v>121</v>
      </c>
      <c r="AF507" s="14" t="s">
        <v>213</v>
      </c>
      <c r="AG507" s="14" t="s">
        <v>92</v>
      </c>
    </row>
    <row r="508" spans="2:33">
      <c r="B508" s="14">
        <f>10000000+INDEX(编号表!$B:$B,MATCH(H508,编号表!$A:$A,0))*100000+INDEX(编号表!$F:$F,MATCH(D508,编号表!$E:$E,0))*10000+INDEX(编号表!$D:$D,MATCH(AG508,编号表!$C:$C,0))*1000+F508</f>
        <v>11644001</v>
      </c>
      <c r="C508" s="14" t="s">
        <v>668</v>
      </c>
      <c r="D508" s="14" t="s">
        <v>104</v>
      </c>
      <c r="E508" s="14" t="s">
        <v>92</v>
      </c>
      <c r="F508" s="14">
        <v>1</v>
      </c>
      <c r="G508" s="14">
        <v>60</v>
      </c>
      <c r="H508" s="31" t="s">
        <v>244</v>
      </c>
      <c r="I508" s="14" t="s">
        <v>75</v>
      </c>
      <c r="J508" s="14" t="s">
        <v>201</v>
      </c>
      <c r="K508" s="14">
        <v>1</v>
      </c>
      <c r="L508" s="14" t="s">
        <v>213</v>
      </c>
      <c r="N508" s="14">
        <v>0</v>
      </c>
      <c r="O508" s="14" t="b">
        <v>1</v>
      </c>
      <c r="Q508" s="14" t="b">
        <v>0</v>
      </c>
      <c r="R508" s="14">
        <v>1</v>
      </c>
      <c r="S508" s="14" t="s">
        <v>77</v>
      </c>
      <c r="T508" s="14">
        <v>999</v>
      </c>
      <c r="U508" s="14" t="s">
        <v>214</v>
      </c>
      <c r="V508" s="14">
        <v>31644001</v>
      </c>
      <c r="X508" s="14" t="s">
        <v>204</v>
      </c>
      <c r="Y508" s="14" t="s">
        <v>215</v>
      </c>
      <c r="Z508" s="14">
        <v>20001</v>
      </c>
      <c r="AA508" s="14" t="s">
        <v>205</v>
      </c>
      <c r="AB508" s="14">
        <v>40001</v>
      </c>
      <c r="AE508" s="29" t="s">
        <v>121</v>
      </c>
      <c r="AF508" s="14" t="s">
        <v>213</v>
      </c>
      <c r="AG508" s="14" t="s">
        <v>92</v>
      </c>
    </row>
    <row r="509" spans="2:33">
      <c r="B509" s="14">
        <f>10000000+INDEX(编号表!$B:$B,MATCH(H509,编号表!$A:$A,0))*100000+INDEX(编号表!$F:$F,MATCH(D509,编号表!$E:$E,0))*10000+INDEX(编号表!$D:$D,MATCH(AG509,编号表!$C:$C,0))*1000+F509</f>
        <v>11644002</v>
      </c>
      <c r="C509" s="14" t="s">
        <v>669</v>
      </c>
      <c r="D509" s="14" t="s">
        <v>104</v>
      </c>
      <c r="E509" s="14" t="s">
        <v>92</v>
      </c>
      <c r="F509" s="14">
        <v>2</v>
      </c>
      <c r="G509" s="14">
        <v>60</v>
      </c>
      <c r="H509" s="31" t="s">
        <v>244</v>
      </c>
      <c r="I509" s="14" t="s">
        <v>75</v>
      </c>
      <c r="J509" s="14" t="s">
        <v>201</v>
      </c>
      <c r="K509" s="14">
        <v>1</v>
      </c>
      <c r="L509" s="14" t="s">
        <v>213</v>
      </c>
      <c r="N509" s="14">
        <v>0</v>
      </c>
      <c r="O509" s="14" t="b">
        <v>1</v>
      </c>
      <c r="Q509" s="14" t="b">
        <v>0</v>
      </c>
      <c r="R509" s="14">
        <v>1</v>
      </c>
      <c r="S509" s="14" t="s">
        <v>77</v>
      </c>
      <c r="T509" s="14">
        <v>999</v>
      </c>
      <c r="U509" s="14" t="s">
        <v>214</v>
      </c>
      <c r="V509" s="14">
        <v>31644002</v>
      </c>
      <c r="X509" s="14" t="s">
        <v>204</v>
      </c>
      <c r="Y509" s="14" t="s">
        <v>215</v>
      </c>
      <c r="Z509" s="14">
        <v>20001</v>
      </c>
      <c r="AA509" s="14" t="s">
        <v>205</v>
      </c>
      <c r="AB509" s="14">
        <v>40001</v>
      </c>
      <c r="AE509" s="29" t="s">
        <v>121</v>
      </c>
      <c r="AF509" s="14" t="s">
        <v>213</v>
      </c>
      <c r="AG509" s="14" t="s">
        <v>92</v>
      </c>
    </row>
    <row r="510" spans="2:33">
      <c r="B510" s="14">
        <f>10000000+INDEX(编号表!$B:$B,MATCH(H510,编号表!$A:$A,0))*100000+INDEX(编号表!$F:$F,MATCH(D510,编号表!$E:$E,0))*10000+INDEX(编号表!$D:$D,MATCH(AG510,编号表!$C:$C,0))*1000+F510</f>
        <v>11254000</v>
      </c>
      <c r="C510" s="14" t="s">
        <v>670</v>
      </c>
      <c r="D510" s="14" t="s">
        <v>333</v>
      </c>
      <c r="E510" s="14" t="s">
        <v>92</v>
      </c>
      <c r="F510" s="14">
        <v>0</v>
      </c>
      <c r="G510" s="14">
        <v>60</v>
      </c>
      <c r="H510" s="31" t="s">
        <v>212</v>
      </c>
      <c r="I510" s="14" t="s">
        <v>75</v>
      </c>
      <c r="J510" s="14" t="s">
        <v>201</v>
      </c>
      <c r="K510" s="14">
        <v>1</v>
      </c>
      <c r="L510" s="14" t="s">
        <v>213</v>
      </c>
      <c r="N510" s="14">
        <v>0</v>
      </c>
      <c r="O510" s="14" t="b">
        <v>1</v>
      </c>
      <c r="Q510" s="14" t="b">
        <v>0</v>
      </c>
      <c r="R510" s="14">
        <v>1</v>
      </c>
      <c r="S510" s="14" t="s">
        <v>77</v>
      </c>
      <c r="T510" s="14">
        <v>999</v>
      </c>
      <c r="U510" s="14" t="s">
        <v>214</v>
      </c>
      <c r="V510" s="14">
        <v>31254000</v>
      </c>
      <c r="X510" s="14" t="s">
        <v>204</v>
      </c>
      <c r="Y510" s="14" t="s">
        <v>215</v>
      </c>
      <c r="Z510" s="14">
        <v>20001</v>
      </c>
      <c r="AA510" s="14" t="s">
        <v>205</v>
      </c>
      <c r="AB510" s="14">
        <v>40001</v>
      </c>
      <c r="AE510" s="29" t="s">
        <v>121</v>
      </c>
      <c r="AF510" s="14" t="s">
        <v>213</v>
      </c>
      <c r="AG510" s="14" t="s">
        <v>92</v>
      </c>
    </row>
    <row r="511" spans="2:33">
      <c r="B511" s="14">
        <f>10000000+INDEX(编号表!$B:$B,MATCH(H511,编号表!$A:$A,0))*100000+INDEX(编号表!$F:$F,MATCH(D511,编号表!$E:$E,0))*10000+INDEX(编号表!$D:$D,MATCH(AG511,编号表!$C:$C,0))*1000+F511</f>
        <v>11354000</v>
      </c>
      <c r="C511" s="14" t="s">
        <v>671</v>
      </c>
      <c r="D511" s="14" t="s">
        <v>333</v>
      </c>
      <c r="E511" s="14" t="s">
        <v>92</v>
      </c>
      <c r="F511" s="14">
        <v>0</v>
      </c>
      <c r="G511" s="14">
        <v>60</v>
      </c>
      <c r="H511" s="31" t="s">
        <v>217</v>
      </c>
      <c r="I511" s="14" t="s">
        <v>75</v>
      </c>
      <c r="J511" s="14" t="s">
        <v>201</v>
      </c>
      <c r="K511" s="14">
        <v>1</v>
      </c>
      <c r="L511" s="14" t="s">
        <v>213</v>
      </c>
      <c r="N511" s="14">
        <v>0</v>
      </c>
      <c r="O511" s="14" t="b">
        <v>1</v>
      </c>
      <c r="Q511" s="14" t="b">
        <v>0</v>
      </c>
      <c r="R511" s="14">
        <v>1</v>
      </c>
      <c r="S511" s="14" t="s">
        <v>77</v>
      </c>
      <c r="T511" s="14">
        <v>999</v>
      </c>
      <c r="U511" s="14" t="s">
        <v>214</v>
      </c>
      <c r="V511" s="14">
        <v>31354000</v>
      </c>
      <c r="X511" s="14" t="s">
        <v>204</v>
      </c>
      <c r="Y511" s="14" t="s">
        <v>215</v>
      </c>
      <c r="Z511" s="14">
        <v>20001</v>
      </c>
      <c r="AA511" s="14" t="s">
        <v>205</v>
      </c>
      <c r="AB511" s="14">
        <v>40001</v>
      </c>
      <c r="AE511" s="29" t="s">
        <v>121</v>
      </c>
      <c r="AF511" s="14" t="s">
        <v>213</v>
      </c>
      <c r="AG511" s="14" t="s">
        <v>92</v>
      </c>
    </row>
    <row r="512" spans="2:33">
      <c r="B512" s="14">
        <f>10000000+INDEX(编号表!$B:$B,MATCH(H512,编号表!$A:$A,0))*100000+INDEX(编号表!$F:$F,MATCH(D512,编号表!$E:$E,0))*10000+INDEX(编号表!$D:$D,MATCH(AG512,编号表!$C:$C,0))*1000+F512</f>
        <v>11354001</v>
      </c>
      <c r="C512" s="14" t="s">
        <v>672</v>
      </c>
      <c r="D512" s="14" t="s">
        <v>333</v>
      </c>
      <c r="E512" s="14" t="s">
        <v>92</v>
      </c>
      <c r="F512" s="14">
        <v>1</v>
      </c>
      <c r="G512" s="14">
        <v>60</v>
      </c>
      <c r="H512" s="31" t="s">
        <v>217</v>
      </c>
      <c r="I512" s="14" t="s">
        <v>75</v>
      </c>
      <c r="J512" s="14" t="s">
        <v>201</v>
      </c>
      <c r="K512" s="14">
        <v>1</v>
      </c>
      <c r="L512" s="14" t="s">
        <v>213</v>
      </c>
      <c r="N512" s="14">
        <v>0</v>
      </c>
      <c r="O512" s="14" t="b">
        <v>1</v>
      </c>
      <c r="Q512" s="14" t="b">
        <v>0</v>
      </c>
      <c r="R512" s="14">
        <v>1</v>
      </c>
      <c r="S512" s="14" t="s">
        <v>77</v>
      </c>
      <c r="T512" s="14">
        <v>999</v>
      </c>
      <c r="U512" s="14" t="s">
        <v>214</v>
      </c>
      <c r="V512" s="14">
        <v>31354001</v>
      </c>
      <c r="X512" s="14" t="s">
        <v>204</v>
      </c>
      <c r="Y512" s="14" t="s">
        <v>215</v>
      </c>
      <c r="Z512" s="14">
        <v>20001</v>
      </c>
      <c r="AA512" s="14" t="s">
        <v>205</v>
      </c>
      <c r="AB512" s="14">
        <v>40001</v>
      </c>
      <c r="AE512" s="29" t="s">
        <v>121</v>
      </c>
      <c r="AF512" s="14" t="s">
        <v>213</v>
      </c>
      <c r="AG512" s="14" t="s">
        <v>92</v>
      </c>
    </row>
    <row r="513" spans="2:33">
      <c r="B513" s="14">
        <f>10000000+INDEX(编号表!$B:$B,MATCH(H513,编号表!$A:$A,0))*100000+INDEX(编号表!$F:$F,MATCH(D513,编号表!$E:$E,0))*10000+INDEX(编号表!$D:$D,MATCH(AG513,编号表!$C:$C,0))*1000+F513</f>
        <v>11354002</v>
      </c>
      <c r="C513" s="14" t="s">
        <v>673</v>
      </c>
      <c r="D513" s="14" t="s">
        <v>333</v>
      </c>
      <c r="E513" s="14" t="s">
        <v>92</v>
      </c>
      <c r="F513" s="14">
        <v>2</v>
      </c>
      <c r="G513" s="14">
        <v>60</v>
      </c>
      <c r="H513" s="31" t="s">
        <v>217</v>
      </c>
      <c r="I513" s="14" t="s">
        <v>75</v>
      </c>
      <c r="J513" s="14" t="s">
        <v>201</v>
      </c>
      <c r="K513" s="14">
        <v>1</v>
      </c>
      <c r="L513" s="14" t="s">
        <v>213</v>
      </c>
      <c r="N513" s="14">
        <v>0</v>
      </c>
      <c r="O513" s="14" t="b">
        <v>1</v>
      </c>
      <c r="Q513" s="14" t="b">
        <v>0</v>
      </c>
      <c r="R513" s="14">
        <v>1</v>
      </c>
      <c r="S513" s="14" t="s">
        <v>77</v>
      </c>
      <c r="T513" s="14">
        <v>999</v>
      </c>
      <c r="U513" s="14" t="s">
        <v>214</v>
      </c>
      <c r="V513" s="14">
        <v>31354002</v>
      </c>
      <c r="X513" s="14" t="s">
        <v>204</v>
      </c>
      <c r="Y513" s="14" t="s">
        <v>215</v>
      </c>
      <c r="Z513" s="14">
        <v>20001</v>
      </c>
      <c r="AA513" s="14" t="s">
        <v>205</v>
      </c>
      <c r="AB513" s="14">
        <v>40001</v>
      </c>
      <c r="AE513" s="29" t="s">
        <v>121</v>
      </c>
      <c r="AF513" s="14" t="s">
        <v>213</v>
      </c>
      <c r="AG513" s="14" t="s">
        <v>92</v>
      </c>
    </row>
    <row r="514" spans="2:33">
      <c r="B514" s="14">
        <f>10000000+INDEX(编号表!$B:$B,MATCH(H514,编号表!$A:$A,0))*100000+INDEX(编号表!$F:$F,MATCH(D514,编号表!$E:$E,0))*10000+INDEX(编号表!$D:$D,MATCH(AG514,编号表!$C:$C,0))*1000+F514</f>
        <v>11354003</v>
      </c>
      <c r="C514" s="14" t="s">
        <v>674</v>
      </c>
      <c r="D514" s="14" t="s">
        <v>333</v>
      </c>
      <c r="E514" s="14" t="s">
        <v>92</v>
      </c>
      <c r="F514" s="14">
        <v>3</v>
      </c>
      <c r="G514" s="14">
        <v>60</v>
      </c>
      <c r="H514" s="31" t="s">
        <v>217</v>
      </c>
      <c r="I514" s="14" t="s">
        <v>75</v>
      </c>
      <c r="J514" s="14" t="s">
        <v>201</v>
      </c>
      <c r="K514" s="14">
        <v>1</v>
      </c>
      <c r="L514" s="14" t="s">
        <v>213</v>
      </c>
      <c r="N514" s="14">
        <v>0</v>
      </c>
      <c r="O514" s="14" t="b">
        <v>1</v>
      </c>
      <c r="Q514" s="14" t="b">
        <v>0</v>
      </c>
      <c r="R514" s="14">
        <v>1</v>
      </c>
      <c r="S514" s="14" t="s">
        <v>77</v>
      </c>
      <c r="T514" s="14">
        <v>999</v>
      </c>
      <c r="U514" s="14" t="s">
        <v>214</v>
      </c>
      <c r="V514" s="14">
        <v>31354003</v>
      </c>
      <c r="X514" s="14" t="s">
        <v>204</v>
      </c>
      <c r="Y514" s="14" t="s">
        <v>215</v>
      </c>
      <c r="Z514" s="14">
        <v>20001</v>
      </c>
      <c r="AA514" s="14" t="s">
        <v>205</v>
      </c>
      <c r="AB514" s="14">
        <v>40001</v>
      </c>
      <c r="AE514" s="29" t="s">
        <v>121</v>
      </c>
      <c r="AF514" s="14" t="s">
        <v>213</v>
      </c>
      <c r="AG514" s="14" t="s">
        <v>92</v>
      </c>
    </row>
    <row r="515" spans="2:33">
      <c r="B515" s="14">
        <f>10000000+INDEX(编号表!$B:$B,MATCH(H515,编号表!$A:$A,0))*100000+INDEX(编号表!$F:$F,MATCH(D515,编号表!$E:$E,0))*10000+INDEX(编号表!$D:$D,MATCH(AG515,编号表!$C:$C,0))*1000+F515</f>
        <v>11354004</v>
      </c>
      <c r="C515" s="14" t="s">
        <v>675</v>
      </c>
      <c r="D515" s="14" t="s">
        <v>333</v>
      </c>
      <c r="E515" s="14" t="s">
        <v>92</v>
      </c>
      <c r="F515" s="14">
        <v>4</v>
      </c>
      <c r="G515" s="14">
        <v>60</v>
      </c>
      <c r="H515" s="31" t="s">
        <v>217</v>
      </c>
      <c r="I515" s="14" t="s">
        <v>75</v>
      </c>
      <c r="J515" s="14" t="s">
        <v>201</v>
      </c>
      <c r="K515" s="14">
        <v>1</v>
      </c>
      <c r="L515" s="14" t="s">
        <v>213</v>
      </c>
      <c r="N515" s="14">
        <v>0</v>
      </c>
      <c r="O515" s="14" t="b">
        <v>1</v>
      </c>
      <c r="Q515" s="14" t="b">
        <v>0</v>
      </c>
      <c r="R515" s="14">
        <v>1</v>
      </c>
      <c r="S515" s="14" t="s">
        <v>77</v>
      </c>
      <c r="T515" s="14">
        <v>999</v>
      </c>
      <c r="U515" s="14" t="s">
        <v>214</v>
      </c>
      <c r="V515" s="14">
        <v>31354004</v>
      </c>
      <c r="X515" s="14" t="s">
        <v>204</v>
      </c>
      <c r="Y515" s="14" t="s">
        <v>215</v>
      </c>
      <c r="Z515" s="14">
        <v>20001</v>
      </c>
      <c r="AA515" s="14" t="s">
        <v>205</v>
      </c>
      <c r="AB515" s="14">
        <v>40001</v>
      </c>
      <c r="AE515" s="29" t="s">
        <v>121</v>
      </c>
      <c r="AF515" s="14" t="s">
        <v>213</v>
      </c>
      <c r="AG515" s="14" t="s">
        <v>92</v>
      </c>
    </row>
    <row r="516" spans="2:33">
      <c r="B516" s="14">
        <f>10000000+INDEX(编号表!$B:$B,MATCH(H516,编号表!$A:$A,0))*100000+INDEX(编号表!$F:$F,MATCH(D516,编号表!$E:$E,0))*10000+INDEX(编号表!$D:$D,MATCH(AG516,编号表!$C:$C,0))*1000+F516</f>
        <v>11354005</v>
      </c>
      <c r="C516" s="14" t="s">
        <v>676</v>
      </c>
      <c r="D516" s="14" t="s">
        <v>333</v>
      </c>
      <c r="E516" s="14" t="s">
        <v>92</v>
      </c>
      <c r="F516" s="14">
        <v>5</v>
      </c>
      <c r="G516" s="14">
        <v>60</v>
      </c>
      <c r="H516" s="31" t="s">
        <v>217</v>
      </c>
      <c r="I516" s="14" t="s">
        <v>75</v>
      </c>
      <c r="J516" s="14" t="s">
        <v>201</v>
      </c>
      <c r="K516" s="14">
        <v>1</v>
      </c>
      <c r="L516" s="14" t="s">
        <v>213</v>
      </c>
      <c r="N516" s="14">
        <v>0</v>
      </c>
      <c r="O516" s="14" t="b">
        <v>1</v>
      </c>
      <c r="Q516" s="14" t="b">
        <v>0</v>
      </c>
      <c r="R516" s="14">
        <v>1</v>
      </c>
      <c r="S516" s="14" t="s">
        <v>77</v>
      </c>
      <c r="T516" s="14">
        <v>999</v>
      </c>
      <c r="U516" s="14" t="s">
        <v>214</v>
      </c>
      <c r="V516" s="14">
        <v>31354005</v>
      </c>
      <c r="X516" s="14" t="s">
        <v>204</v>
      </c>
      <c r="Y516" s="14" t="s">
        <v>215</v>
      </c>
      <c r="Z516" s="14">
        <v>20001</v>
      </c>
      <c r="AA516" s="14" t="s">
        <v>205</v>
      </c>
      <c r="AB516" s="14">
        <v>40001</v>
      </c>
      <c r="AE516" s="29" t="s">
        <v>121</v>
      </c>
      <c r="AF516" s="14" t="s">
        <v>213</v>
      </c>
      <c r="AG516" s="14" t="s">
        <v>92</v>
      </c>
    </row>
    <row r="517" spans="2:33">
      <c r="B517" s="14">
        <f>10000000+INDEX(编号表!$B:$B,MATCH(H517,编号表!$A:$A,0))*100000+INDEX(编号表!$F:$F,MATCH(D517,编号表!$E:$E,0))*10000+INDEX(编号表!$D:$D,MATCH(AG517,编号表!$C:$C,0))*1000+F517</f>
        <v>11354006</v>
      </c>
      <c r="C517" s="14" t="s">
        <v>677</v>
      </c>
      <c r="D517" s="14" t="s">
        <v>333</v>
      </c>
      <c r="E517" s="14" t="s">
        <v>92</v>
      </c>
      <c r="F517" s="14">
        <v>6</v>
      </c>
      <c r="G517" s="14">
        <v>60</v>
      </c>
      <c r="H517" s="31" t="s">
        <v>217</v>
      </c>
      <c r="I517" s="14" t="s">
        <v>75</v>
      </c>
      <c r="J517" s="14" t="s">
        <v>201</v>
      </c>
      <c r="K517" s="14">
        <v>1</v>
      </c>
      <c r="L517" s="14" t="s">
        <v>213</v>
      </c>
      <c r="N517" s="14">
        <v>0</v>
      </c>
      <c r="O517" s="14" t="b">
        <v>1</v>
      </c>
      <c r="Q517" s="14" t="b">
        <v>0</v>
      </c>
      <c r="R517" s="14">
        <v>1</v>
      </c>
      <c r="S517" s="14" t="s">
        <v>77</v>
      </c>
      <c r="T517" s="14">
        <v>999</v>
      </c>
      <c r="U517" s="14" t="s">
        <v>214</v>
      </c>
      <c r="V517" s="14">
        <v>31354006</v>
      </c>
      <c r="X517" s="14" t="s">
        <v>204</v>
      </c>
      <c r="Y517" s="14" t="s">
        <v>215</v>
      </c>
      <c r="Z517" s="14">
        <v>20001</v>
      </c>
      <c r="AA517" s="14" t="s">
        <v>205</v>
      </c>
      <c r="AB517" s="14">
        <v>40001</v>
      </c>
      <c r="AE517" s="29" t="s">
        <v>121</v>
      </c>
      <c r="AF517" s="14" t="s">
        <v>213</v>
      </c>
      <c r="AG517" s="14" t="s">
        <v>92</v>
      </c>
    </row>
    <row r="518" spans="2:33">
      <c r="B518" s="14">
        <f>10000000+INDEX(编号表!$B:$B,MATCH(H518,编号表!$A:$A,0))*100000+INDEX(编号表!$F:$F,MATCH(D518,编号表!$E:$E,0))*10000+INDEX(编号表!$D:$D,MATCH(AG518,编号表!$C:$C,0))*1000+F518</f>
        <v>11354007</v>
      </c>
      <c r="C518" s="14" t="s">
        <v>678</v>
      </c>
      <c r="D518" s="14" t="s">
        <v>333</v>
      </c>
      <c r="E518" s="14" t="s">
        <v>92</v>
      </c>
      <c r="F518" s="14">
        <v>7</v>
      </c>
      <c r="G518" s="14">
        <v>60</v>
      </c>
      <c r="H518" s="31" t="s">
        <v>217</v>
      </c>
      <c r="I518" s="14" t="s">
        <v>75</v>
      </c>
      <c r="J518" s="14" t="s">
        <v>201</v>
      </c>
      <c r="K518" s="14">
        <v>1</v>
      </c>
      <c r="L518" s="14" t="s">
        <v>213</v>
      </c>
      <c r="N518" s="14">
        <v>0</v>
      </c>
      <c r="O518" s="14" t="b">
        <v>1</v>
      </c>
      <c r="Q518" s="14" t="b">
        <v>0</v>
      </c>
      <c r="R518" s="14">
        <v>1</v>
      </c>
      <c r="S518" s="14" t="s">
        <v>77</v>
      </c>
      <c r="T518" s="14">
        <v>999</v>
      </c>
      <c r="U518" s="14" t="s">
        <v>214</v>
      </c>
      <c r="V518" s="14">
        <v>31354007</v>
      </c>
      <c r="X518" s="14" t="s">
        <v>204</v>
      </c>
      <c r="Y518" s="14" t="s">
        <v>215</v>
      </c>
      <c r="Z518" s="14">
        <v>20001</v>
      </c>
      <c r="AA518" s="14" t="s">
        <v>205</v>
      </c>
      <c r="AB518" s="14">
        <v>40001</v>
      </c>
      <c r="AE518" s="29" t="s">
        <v>121</v>
      </c>
      <c r="AF518" s="14" t="s">
        <v>213</v>
      </c>
      <c r="AG518" s="14" t="s">
        <v>92</v>
      </c>
    </row>
    <row r="519" spans="2:33">
      <c r="B519" s="14">
        <f>10000000+INDEX(编号表!$B:$B,MATCH(H519,编号表!$A:$A,0))*100000+INDEX(编号表!$F:$F,MATCH(D519,编号表!$E:$E,0))*10000+INDEX(编号表!$D:$D,MATCH(AG519,编号表!$C:$C,0))*1000+F519</f>
        <v>11354008</v>
      </c>
      <c r="C519" s="14" t="s">
        <v>679</v>
      </c>
      <c r="D519" s="14" t="s">
        <v>333</v>
      </c>
      <c r="E519" s="14" t="s">
        <v>92</v>
      </c>
      <c r="F519" s="14">
        <v>8</v>
      </c>
      <c r="G519" s="14">
        <v>60</v>
      </c>
      <c r="H519" s="31" t="s">
        <v>217</v>
      </c>
      <c r="I519" s="14" t="s">
        <v>75</v>
      </c>
      <c r="J519" s="14" t="s">
        <v>201</v>
      </c>
      <c r="K519" s="14">
        <v>1</v>
      </c>
      <c r="L519" s="14" t="s">
        <v>213</v>
      </c>
      <c r="N519" s="14">
        <v>0</v>
      </c>
      <c r="O519" s="14" t="b">
        <v>1</v>
      </c>
      <c r="Q519" s="14" t="b">
        <v>0</v>
      </c>
      <c r="R519" s="14">
        <v>1</v>
      </c>
      <c r="S519" s="14" t="s">
        <v>77</v>
      </c>
      <c r="T519" s="14">
        <v>999</v>
      </c>
      <c r="U519" s="14" t="s">
        <v>214</v>
      </c>
      <c r="V519" s="14">
        <v>31354008</v>
      </c>
      <c r="X519" s="14" t="s">
        <v>204</v>
      </c>
      <c r="Y519" s="14" t="s">
        <v>215</v>
      </c>
      <c r="Z519" s="14">
        <v>20001</v>
      </c>
      <c r="AA519" s="14" t="s">
        <v>205</v>
      </c>
      <c r="AB519" s="14">
        <v>40001</v>
      </c>
      <c r="AE519" s="29" t="s">
        <v>121</v>
      </c>
      <c r="AF519" s="14" t="s">
        <v>213</v>
      </c>
      <c r="AG519" s="14" t="s">
        <v>92</v>
      </c>
    </row>
    <row r="520" spans="2:33">
      <c r="B520" s="14">
        <f>10000000+INDEX(编号表!$B:$B,MATCH(H520,编号表!$A:$A,0))*100000+INDEX(编号表!$F:$F,MATCH(D520,编号表!$E:$E,0))*10000+INDEX(编号表!$D:$D,MATCH(AG520,编号表!$C:$C,0))*1000+F520</f>
        <v>11354009</v>
      </c>
      <c r="C520" s="14" t="s">
        <v>680</v>
      </c>
      <c r="D520" s="14" t="s">
        <v>333</v>
      </c>
      <c r="E520" s="14" t="s">
        <v>92</v>
      </c>
      <c r="F520" s="14">
        <v>9</v>
      </c>
      <c r="G520" s="14">
        <v>60</v>
      </c>
      <c r="H520" s="31" t="s">
        <v>217</v>
      </c>
      <c r="I520" s="14" t="s">
        <v>75</v>
      </c>
      <c r="J520" s="14" t="s">
        <v>201</v>
      </c>
      <c r="K520" s="14">
        <v>1</v>
      </c>
      <c r="L520" s="14" t="s">
        <v>213</v>
      </c>
      <c r="N520" s="14">
        <v>0</v>
      </c>
      <c r="O520" s="14" t="b">
        <v>1</v>
      </c>
      <c r="Q520" s="14" t="b">
        <v>0</v>
      </c>
      <c r="R520" s="14">
        <v>1</v>
      </c>
      <c r="S520" s="14" t="s">
        <v>77</v>
      </c>
      <c r="T520" s="14">
        <v>999</v>
      </c>
      <c r="U520" s="14" t="s">
        <v>214</v>
      </c>
      <c r="V520" s="14">
        <v>31354009</v>
      </c>
      <c r="X520" s="14" t="s">
        <v>204</v>
      </c>
      <c r="Y520" s="14" t="s">
        <v>215</v>
      </c>
      <c r="Z520" s="14">
        <v>20001</v>
      </c>
      <c r="AA520" s="14" t="s">
        <v>205</v>
      </c>
      <c r="AB520" s="14">
        <v>40001</v>
      </c>
      <c r="AE520" s="29" t="s">
        <v>121</v>
      </c>
      <c r="AF520" s="14" t="s">
        <v>213</v>
      </c>
      <c r="AG520" s="14" t="s">
        <v>92</v>
      </c>
    </row>
    <row r="521" spans="2:33">
      <c r="B521" s="14">
        <f>10000000+INDEX(编号表!$B:$B,MATCH(H521,编号表!$A:$A,0))*100000+INDEX(编号表!$F:$F,MATCH(D521,编号表!$E:$E,0))*10000+INDEX(编号表!$D:$D,MATCH(AG521,编号表!$C:$C,0))*1000+F521</f>
        <v>11554000</v>
      </c>
      <c r="C521" s="14" t="s">
        <v>681</v>
      </c>
      <c r="D521" s="14" t="s">
        <v>333</v>
      </c>
      <c r="E521" s="14" t="s">
        <v>92</v>
      </c>
      <c r="F521" s="14">
        <v>0</v>
      </c>
      <c r="G521" s="14">
        <v>60</v>
      </c>
      <c r="H521" s="31" t="s">
        <v>228</v>
      </c>
      <c r="I521" s="14" t="s">
        <v>75</v>
      </c>
      <c r="J521" s="14" t="s">
        <v>201</v>
      </c>
      <c r="K521" s="14">
        <v>1</v>
      </c>
      <c r="L521" s="14" t="s">
        <v>213</v>
      </c>
      <c r="N521" s="14">
        <v>0</v>
      </c>
      <c r="O521" s="14" t="b">
        <v>1</v>
      </c>
      <c r="Q521" s="14" t="b">
        <v>0</v>
      </c>
      <c r="R521" s="14">
        <v>1</v>
      </c>
      <c r="S521" s="14" t="s">
        <v>77</v>
      </c>
      <c r="T521" s="14">
        <v>999</v>
      </c>
      <c r="U521" s="14" t="s">
        <v>214</v>
      </c>
      <c r="V521" s="14">
        <v>31554000</v>
      </c>
      <c r="X521" s="14" t="s">
        <v>204</v>
      </c>
      <c r="Y521" s="14" t="s">
        <v>215</v>
      </c>
      <c r="Z521" s="14">
        <v>20001</v>
      </c>
      <c r="AA521" s="14" t="s">
        <v>205</v>
      </c>
      <c r="AB521" s="14">
        <v>40001</v>
      </c>
      <c r="AE521" s="29" t="s">
        <v>121</v>
      </c>
      <c r="AF521" s="14" t="s">
        <v>213</v>
      </c>
      <c r="AG521" s="14" t="s">
        <v>92</v>
      </c>
    </row>
    <row r="522" spans="2:33">
      <c r="B522" s="14">
        <f>10000000+INDEX(编号表!$B:$B,MATCH(H522,编号表!$A:$A,0))*100000+INDEX(编号表!$F:$F,MATCH(D522,编号表!$E:$E,0))*10000+INDEX(编号表!$D:$D,MATCH(AG522,编号表!$C:$C,0))*1000+F522</f>
        <v>11554001</v>
      </c>
      <c r="C522" s="14" t="s">
        <v>682</v>
      </c>
      <c r="D522" s="14" t="s">
        <v>333</v>
      </c>
      <c r="E522" s="14" t="s">
        <v>92</v>
      </c>
      <c r="F522" s="14">
        <v>1</v>
      </c>
      <c r="G522" s="14">
        <v>60</v>
      </c>
      <c r="H522" s="31" t="s">
        <v>228</v>
      </c>
      <c r="I522" s="14" t="s">
        <v>75</v>
      </c>
      <c r="J522" s="14" t="s">
        <v>201</v>
      </c>
      <c r="K522" s="14">
        <v>1</v>
      </c>
      <c r="L522" s="14" t="s">
        <v>213</v>
      </c>
      <c r="N522" s="14">
        <v>0</v>
      </c>
      <c r="O522" s="14" t="b">
        <v>1</v>
      </c>
      <c r="Q522" s="14" t="b">
        <v>0</v>
      </c>
      <c r="R522" s="14">
        <v>1</v>
      </c>
      <c r="S522" s="14" t="s">
        <v>77</v>
      </c>
      <c r="T522" s="14">
        <v>999</v>
      </c>
      <c r="U522" s="14" t="s">
        <v>214</v>
      </c>
      <c r="V522" s="14">
        <v>31554001</v>
      </c>
      <c r="X522" s="14" t="s">
        <v>204</v>
      </c>
      <c r="Y522" s="14" t="s">
        <v>215</v>
      </c>
      <c r="Z522" s="14">
        <v>20001</v>
      </c>
      <c r="AA522" s="14" t="s">
        <v>205</v>
      </c>
      <c r="AB522" s="14">
        <v>40001</v>
      </c>
      <c r="AE522" s="29" t="s">
        <v>121</v>
      </c>
      <c r="AF522" s="14" t="s">
        <v>213</v>
      </c>
      <c r="AG522" s="14" t="s">
        <v>92</v>
      </c>
    </row>
    <row r="523" spans="2:33">
      <c r="B523" s="14">
        <f>10000000+INDEX(编号表!$B:$B,MATCH(H523,编号表!$A:$A,0))*100000+INDEX(编号表!$F:$F,MATCH(D523,编号表!$E:$E,0))*10000+INDEX(编号表!$D:$D,MATCH(AG523,编号表!$C:$C,0))*1000+F523</f>
        <v>11554002</v>
      </c>
      <c r="C523" s="14" t="s">
        <v>683</v>
      </c>
      <c r="D523" s="14" t="s">
        <v>333</v>
      </c>
      <c r="E523" s="14" t="s">
        <v>92</v>
      </c>
      <c r="F523" s="14">
        <v>2</v>
      </c>
      <c r="G523" s="14">
        <v>60</v>
      </c>
      <c r="H523" s="31" t="s">
        <v>228</v>
      </c>
      <c r="I523" s="14" t="s">
        <v>75</v>
      </c>
      <c r="J523" s="14" t="s">
        <v>201</v>
      </c>
      <c r="K523" s="14">
        <v>1</v>
      </c>
      <c r="L523" s="14" t="s">
        <v>213</v>
      </c>
      <c r="N523" s="14">
        <v>0</v>
      </c>
      <c r="O523" s="14" t="b">
        <v>1</v>
      </c>
      <c r="Q523" s="14" t="b">
        <v>0</v>
      </c>
      <c r="R523" s="14">
        <v>1</v>
      </c>
      <c r="S523" s="14" t="s">
        <v>77</v>
      </c>
      <c r="T523" s="14">
        <v>999</v>
      </c>
      <c r="U523" s="14" t="s">
        <v>214</v>
      </c>
      <c r="V523" s="14">
        <v>31554002</v>
      </c>
      <c r="X523" s="14" t="s">
        <v>204</v>
      </c>
      <c r="Y523" s="14" t="s">
        <v>215</v>
      </c>
      <c r="Z523" s="14">
        <v>20001</v>
      </c>
      <c r="AA523" s="14" t="s">
        <v>205</v>
      </c>
      <c r="AB523" s="14">
        <v>40001</v>
      </c>
      <c r="AE523" s="29" t="s">
        <v>121</v>
      </c>
      <c r="AF523" s="14" t="s">
        <v>213</v>
      </c>
      <c r="AG523" s="14" t="s">
        <v>92</v>
      </c>
    </row>
    <row r="524" spans="2:33">
      <c r="B524" s="14">
        <f>10000000+INDEX(编号表!$B:$B,MATCH(H524,编号表!$A:$A,0))*100000+INDEX(编号表!$F:$F,MATCH(D524,编号表!$E:$E,0))*10000+INDEX(编号表!$D:$D,MATCH(AG524,编号表!$C:$C,0))*1000+F524</f>
        <v>11554003</v>
      </c>
      <c r="C524" s="14" t="s">
        <v>684</v>
      </c>
      <c r="D524" s="14" t="s">
        <v>333</v>
      </c>
      <c r="E524" s="14" t="s">
        <v>92</v>
      </c>
      <c r="F524" s="14">
        <v>3</v>
      </c>
      <c r="G524" s="14">
        <v>60</v>
      </c>
      <c r="H524" s="31" t="s">
        <v>228</v>
      </c>
      <c r="I524" s="14" t="s">
        <v>75</v>
      </c>
      <c r="J524" s="14" t="s">
        <v>201</v>
      </c>
      <c r="K524" s="14">
        <v>1</v>
      </c>
      <c r="L524" s="14" t="s">
        <v>213</v>
      </c>
      <c r="N524" s="14">
        <v>0</v>
      </c>
      <c r="O524" s="14" t="b">
        <v>1</v>
      </c>
      <c r="Q524" s="14" t="b">
        <v>0</v>
      </c>
      <c r="R524" s="14">
        <v>1</v>
      </c>
      <c r="S524" s="14" t="s">
        <v>77</v>
      </c>
      <c r="T524" s="14">
        <v>999</v>
      </c>
      <c r="U524" s="14" t="s">
        <v>214</v>
      </c>
      <c r="V524" s="14">
        <v>31554003</v>
      </c>
      <c r="X524" s="14" t="s">
        <v>204</v>
      </c>
      <c r="Y524" s="14" t="s">
        <v>215</v>
      </c>
      <c r="Z524" s="14">
        <v>20001</v>
      </c>
      <c r="AA524" s="14" t="s">
        <v>205</v>
      </c>
      <c r="AB524" s="14">
        <v>40001</v>
      </c>
      <c r="AE524" s="29" t="s">
        <v>121</v>
      </c>
      <c r="AF524" s="14" t="s">
        <v>213</v>
      </c>
      <c r="AG524" s="14" t="s">
        <v>92</v>
      </c>
    </row>
    <row r="525" spans="2:33">
      <c r="B525" s="14">
        <f>10000000+INDEX(编号表!$B:$B,MATCH(H525,编号表!$A:$A,0))*100000+INDEX(编号表!$F:$F,MATCH(D525,编号表!$E:$E,0))*10000+INDEX(编号表!$D:$D,MATCH(AG525,编号表!$C:$C,0))*1000+F525</f>
        <v>11554004</v>
      </c>
      <c r="C525" s="14" t="s">
        <v>685</v>
      </c>
      <c r="D525" s="14" t="s">
        <v>333</v>
      </c>
      <c r="E525" s="14" t="s">
        <v>92</v>
      </c>
      <c r="F525" s="14">
        <v>4</v>
      </c>
      <c r="G525" s="14">
        <v>60</v>
      </c>
      <c r="H525" s="31" t="s">
        <v>228</v>
      </c>
      <c r="I525" s="14" t="s">
        <v>75</v>
      </c>
      <c r="J525" s="14" t="s">
        <v>201</v>
      </c>
      <c r="K525" s="14">
        <v>1</v>
      </c>
      <c r="L525" s="14" t="s">
        <v>213</v>
      </c>
      <c r="N525" s="14">
        <v>0</v>
      </c>
      <c r="O525" s="14" t="b">
        <v>1</v>
      </c>
      <c r="Q525" s="14" t="b">
        <v>0</v>
      </c>
      <c r="R525" s="14">
        <v>1</v>
      </c>
      <c r="S525" s="14" t="s">
        <v>77</v>
      </c>
      <c r="T525" s="14">
        <v>999</v>
      </c>
      <c r="U525" s="14" t="s">
        <v>214</v>
      </c>
      <c r="V525" s="14">
        <v>31554004</v>
      </c>
      <c r="X525" s="14" t="s">
        <v>204</v>
      </c>
      <c r="Y525" s="14" t="s">
        <v>215</v>
      </c>
      <c r="Z525" s="14">
        <v>20001</v>
      </c>
      <c r="AA525" s="14" t="s">
        <v>205</v>
      </c>
      <c r="AB525" s="14">
        <v>40001</v>
      </c>
      <c r="AE525" s="29" t="s">
        <v>121</v>
      </c>
      <c r="AF525" s="14" t="s">
        <v>213</v>
      </c>
      <c r="AG525" s="14" t="s">
        <v>92</v>
      </c>
    </row>
    <row r="526" spans="2:33">
      <c r="B526" s="14">
        <f>10000000+INDEX(编号表!$B:$B,MATCH(H526,编号表!$A:$A,0))*100000+INDEX(编号表!$F:$F,MATCH(D526,编号表!$E:$E,0))*10000+INDEX(编号表!$D:$D,MATCH(AG526,编号表!$C:$C,0))*1000+F526</f>
        <v>11554005</v>
      </c>
      <c r="C526" s="14" t="s">
        <v>686</v>
      </c>
      <c r="D526" s="14" t="s">
        <v>333</v>
      </c>
      <c r="E526" s="14" t="s">
        <v>92</v>
      </c>
      <c r="F526" s="14">
        <v>5</v>
      </c>
      <c r="G526" s="14">
        <v>60</v>
      </c>
      <c r="H526" s="31" t="s">
        <v>228</v>
      </c>
      <c r="I526" s="14" t="s">
        <v>75</v>
      </c>
      <c r="J526" s="14" t="s">
        <v>201</v>
      </c>
      <c r="K526" s="14">
        <v>1</v>
      </c>
      <c r="L526" s="14" t="s">
        <v>213</v>
      </c>
      <c r="N526" s="14">
        <v>0</v>
      </c>
      <c r="O526" s="14" t="b">
        <v>1</v>
      </c>
      <c r="Q526" s="14" t="b">
        <v>0</v>
      </c>
      <c r="R526" s="14">
        <v>1</v>
      </c>
      <c r="S526" s="14" t="s">
        <v>77</v>
      </c>
      <c r="T526" s="14">
        <v>999</v>
      </c>
      <c r="U526" s="14" t="s">
        <v>214</v>
      </c>
      <c r="V526" s="14">
        <v>31554005</v>
      </c>
      <c r="X526" s="14" t="s">
        <v>204</v>
      </c>
      <c r="Y526" s="14" t="s">
        <v>215</v>
      </c>
      <c r="Z526" s="14">
        <v>20001</v>
      </c>
      <c r="AA526" s="14" t="s">
        <v>205</v>
      </c>
      <c r="AB526" s="14">
        <v>40001</v>
      </c>
      <c r="AE526" s="29" t="s">
        <v>121</v>
      </c>
      <c r="AF526" s="14" t="s">
        <v>213</v>
      </c>
      <c r="AG526" s="14" t="s">
        <v>92</v>
      </c>
    </row>
    <row r="527" spans="2:33">
      <c r="B527" s="14">
        <f>10000000+INDEX(编号表!$B:$B,MATCH(H527,编号表!$A:$A,0))*100000+INDEX(编号表!$F:$F,MATCH(D527,编号表!$E:$E,0))*10000+INDEX(编号表!$D:$D,MATCH(AG527,编号表!$C:$C,0))*1000+F527</f>
        <v>11554006</v>
      </c>
      <c r="C527" s="14" t="s">
        <v>687</v>
      </c>
      <c r="D527" s="14" t="s">
        <v>333</v>
      </c>
      <c r="E527" s="14" t="s">
        <v>92</v>
      </c>
      <c r="F527" s="14">
        <v>6</v>
      </c>
      <c r="G527" s="14">
        <v>60</v>
      </c>
      <c r="H527" s="31" t="s">
        <v>228</v>
      </c>
      <c r="I527" s="14" t="s">
        <v>75</v>
      </c>
      <c r="J527" s="14" t="s">
        <v>201</v>
      </c>
      <c r="K527" s="14">
        <v>1</v>
      </c>
      <c r="L527" s="14" t="s">
        <v>213</v>
      </c>
      <c r="N527" s="14">
        <v>0</v>
      </c>
      <c r="O527" s="14" t="b">
        <v>1</v>
      </c>
      <c r="Q527" s="14" t="b">
        <v>0</v>
      </c>
      <c r="R527" s="14">
        <v>1</v>
      </c>
      <c r="S527" s="14" t="s">
        <v>77</v>
      </c>
      <c r="T527" s="14">
        <v>999</v>
      </c>
      <c r="U527" s="14" t="s">
        <v>214</v>
      </c>
      <c r="V527" s="14">
        <v>31554006</v>
      </c>
      <c r="X527" s="14" t="s">
        <v>204</v>
      </c>
      <c r="Y527" s="14" t="s">
        <v>215</v>
      </c>
      <c r="Z527" s="14">
        <v>20001</v>
      </c>
      <c r="AA527" s="14" t="s">
        <v>205</v>
      </c>
      <c r="AB527" s="14">
        <v>40001</v>
      </c>
      <c r="AE527" s="29" t="s">
        <v>121</v>
      </c>
      <c r="AF527" s="14" t="s">
        <v>213</v>
      </c>
      <c r="AG527" s="14" t="s">
        <v>92</v>
      </c>
    </row>
    <row r="528" spans="2:33">
      <c r="B528" s="14">
        <f>10000000+INDEX(编号表!$B:$B,MATCH(H528,编号表!$A:$A,0))*100000+INDEX(编号表!$F:$F,MATCH(D528,编号表!$E:$E,0))*10000+INDEX(编号表!$D:$D,MATCH(AG528,编号表!$C:$C,0))*1000+F528</f>
        <v>11554007</v>
      </c>
      <c r="C528" s="14" t="s">
        <v>688</v>
      </c>
      <c r="D528" s="14" t="s">
        <v>333</v>
      </c>
      <c r="E528" s="14" t="s">
        <v>92</v>
      </c>
      <c r="F528" s="14">
        <v>7</v>
      </c>
      <c r="G528" s="14">
        <v>60</v>
      </c>
      <c r="H528" s="31" t="s">
        <v>228</v>
      </c>
      <c r="I528" s="14" t="s">
        <v>75</v>
      </c>
      <c r="J528" s="14" t="s">
        <v>201</v>
      </c>
      <c r="K528" s="14">
        <v>1</v>
      </c>
      <c r="L528" s="14" t="s">
        <v>213</v>
      </c>
      <c r="N528" s="14">
        <v>0</v>
      </c>
      <c r="O528" s="14" t="b">
        <v>1</v>
      </c>
      <c r="Q528" s="14" t="b">
        <v>0</v>
      </c>
      <c r="R528" s="14">
        <v>1</v>
      </c>
      <c r="S528" s="14" t="s">
        <v>77</v>
      </c>
      <c r="T528" s="14">
        <v>999</v>
      </c>
      <c r="U528" s="14" t="s">
        <v>214</v>
      </c>
      <c r="V528" s="14">
        <v>31554007</v>
      </c>
      <c r="X528" s="14" t="s">
        <v>204</v>
      </c>
      <c r="Y528" s="14" t="s">
        <v>215</v>
      </c>
      <c r="Z528" s="14">
        <v>20001</v>
      </c>
      <c r="AA528" s="14" t="s">
        <v>205</v>
      </c>
      <c r="AB528" s="14">
        <v>40001</v>
      </c>
      <c r="AE528" s="29" t="s">
        <v>121</v>
      </c>
      <c r="AF528" s="14" t="s">
        <v>213</v>
      </c>
      <c r="AG528" s="14" t="s">
        <v>92</v>
      </c>
    </row>
    <row r="529" spans="2:33">
      <c r="B529" s="14">
        <f>10000000+INDEX(编号表!$B:$B,MATCH(H529,编号表!$A:$A,0))*100000+INDEX(编号表!$F:$F,MATCH(D529,编号表!$E:$E,0))*10000+INDEX(编号表!$D:$D,MATCH(AG529,编号表!$C:$C,0))*1000+F529</f>
        <v>11554008</v>
      </c>
      <c r="C529" s="14" t="s">
        <v>689</v>
      </c>
      <c r="D529" s="14" t="s">
        <v>333</v>
      </c>
      <c r="E529" s="14" t="s">
        <v>92</v>
      </c>
      <c r="F529" s="14">
        <v>8</v>
      </c>
      <c r="G529" s="14">
        <v>60</v>
      </c>
      <c r="H529" s="31" t="s">
        <v>228</v>
      </c>
      <c r="I529" s="14" t="s">
        <v>75</v>
      </c>
      <c r="J529" s="14" t="s">
        <v>201</v>
      </c>
      <c r="K529" s="14">
        <v>1</v>
      </c>
      <c r="L529" s="14" t="s">
        <v>213</v>
      </c>
      <c r="N529" s="14">
        <v>0</v>
      </c>
      <c r="O529" s="14" t="b">
        <v>1</v>
      </c>
      <c r="Q529" s="14" t="b">
        <v>0</v>
      </c>
      <c r="R529" s="14">
        <v>1</v>
      </c>
      <c r="S529" s="14" t="s">
        <v>77</v>
      </c>
      <c r="T529" s="14">
        <v>999</v>
      </c>
      <c r="U529" s="14" t="s">
        <v>214</v>
      </c>
      <c r="V529" s="14">
        <v>31554008</v>
      </c>
      <c r="X529" s="14" t="s">
        <v>204</v>
      </c>
      <c r="Y529" s="14" t="s">
        <v>215</v>
      </c>
      <c r="Z529" s="14">
        <v>20001</v>
      </c>
      <c r="AA529" s="14" t="s">
        <v>205</v>
      </c>
      <c r="AB529" s="14">
        <v>40001</v>
      </c>
      <c r="AE529" s="29" t="s">
        <v>121</v>
      </c>
      <c r="AF529" s="14" t="s">
        <v>213</v>
      </c>
      <c r="AG529" s="14" t="s">
        <v>92</v>
      </c>
    </row>
    <row r="530" spans="2:33">
      <c r="B530" s="14">
        <f>10000000+INDEX(编号表!$B:$B,MATCH(H530,编号表!$A:$A,0))*100000+INDEX(编号表!$F:$F,MATCH(D530,编号表!$E:$E,0))*10000+INDEX(编号表!$D:$D,MATCH(AG530,编号表!$C:$C,0))*1000+F530</f>
        <v>11554009</v>
      </c>
      <c r="C530" s="14" t="s">
        <v>690</v>
      </c>
      <c r="D530" s="14" t="s">
        <v>333</v>
      </c>
      <c r="E530" s="14" t="s">
        <v>92</v>
      </c>
      <c r="F530" s="14">
        <v>9</v>
      </c>
      <c r="G530" s="14">
        <v>60</v>
      </c>
      <c r="H530" s="31" t="s">
        <v>228</v>
      </c>
      <c r="I530" s="14" t="s">
        <v>75</v>
      </c>
      <c r="J530" s="14" t="s">
        <v>201</v>
      </c>
      <c r="K530" s="14">
        <v>1</v>
      </c>
      <c r="L530" s="14" t="s">
        <v>213</v>
      </c>
      <c r="N530" s="14">
        <v>0</v>
      </c>
      <c r="O530" s="14" t="b">
        <v>1</v>
      </c>
      <c r="Q530" s="14" t="b">
        <v>0</v>
      </c>
      <c r="R530" s="14">
        <v>1</v>
      </c>
      <c r="S530" s="14" t="s">
        <v>77</v>
      </c>
      <c r="T530" s="14">
        <v>999</v>
      </c>
      <c r="U530" s="14" t="s">
        <v>214</v>
      </c>
      <c r="V530" s="14">
        <v>31554009</v>
      </c>
      <c r="X530" s="14" t="s">
        <v>204</v>
      </c>
      <c r="Y530" s="14" t="s">
        <v>215</v>
      </c>
      <c r="Z530" s="14">
        <v>20001</v>
      </c>
      <c r="AA530" s="14" t="s">
        <v>205</v>
      </c>
      <c r="AB530" s="14">
        <v>40001</v>
      </c>
      <c r="AE530" s="29" t="s">
        <v>121</v>
      </c>
      <c r="AF530" s="14" t="s">
        <v>213</v>
      </c>
      <c r="AG530" s="14" t="s">
        <v>92</v>
      </c>
    </row>
    <row r="531" spans="2:33">
      <c r="B531" s="14">
        <f>10000000+INDEX(编号表!$B:$B,MATCH(H531,编号表!$A:$A,0))*100000+INDEX(编号表!$F:$F,MATCH(D531,编号表!$E:$E,0))*10000+INDEX(编号表!$D:$D,MATCH(AG531,编号表!$C:$C,0))*1000+F531</f>
        <v>11454000</v>
      </c>
      <c r="C531" s="14" t="s">
        <v>691</v>
      </c>
      <c r="D531" s="14" t="s">
        <v>333</v>
      </c>
      <c r="E531" s="14" t="s">
        <v>92</v>
      </c>
      <c r="F531" s="14">
        <v>0</v>
      </c>
      <c r="G531" s="14">
        <v>60</v>
      </c>
      <c r="H531" s="31" t="s">
        <v>239</v>
      </c>
      <c r="I531" s="14" t="s">
        <v>75</v>
      </c>
      <c r="J531" s="14" t="s">
        <v>201</v>
      </c>
      <c r="K531" s="14">
        <v>1</v>
      </c>
      <c r="L531" s="14" t="s">
        <v>213</v>
      </c>
      <c r="N531" s="14">
        <v>0</v>
      </c>
      <c r="O531" s="14" t="b">
        <v>1</v>
      </c>
      <c r="Q531" s="14" t="b">
        <v>0</v>
      </c>
      <c r="R531" s="14">
        <v>1</v>
      </c>
      <c r="S531" s="14" t="s">
        <v>77</v>
      </c>
      <c r="T531" s="14">
        <v>999</v>
      </c>
      <c r="U531" s="14" t="s">
        <v>214</v>
      </c>
      <c r="V531" s="14">
        <v>31454000</v>
      </c>
      <c r="X531" s="14" t="s">
        <v>204</v>
      </c>
      <c r="Y531" s="14" t="s">
        <v>215</v>
      </c>
      <c r="Z531" s="14">
        <v>20001</v>
      </c>
      <c r="AA531" s="14" t="s">
        <v>205</v>
      </c>
      <c r="AB531" s="14">
        <v>40001</v>
      </c>
      <c r="AE531" s="29" t="s">
        <v>121</v>
      </c>
      <c r="AF531" s="14" t="s">
        <v>213</v>
      </c>
      <c r="AG531" s="14" t="s">
        <v>92</v>
      </c>
    </row>
    <row r="532" spans="2:33">
      <c r="B532" s="14">
        <f>10000000+INDEX(编号表!$B:$B,MATCH(H532,编号表!$A:$A,0))*100000+INDEX(编号表!$F:$F,MATCH(D532,编号表!$E:$E,0))*10000+INDEX(编号表!$D:$D,MATCH(AG532,编号表!$C:$C,0))*1000+F532</f>
        <v>11454001</v>
      </c>
      <c r="C532" s="14" t="s">
        <v>692</v>
      </c>
      <c r="D532" s="14" t="s">
        <v>333</v>
      </c>
      <c r="E532" s="14" t="s">
        <v>92</v>
      </c>
      <c r="F532" s="14">
        <v>1</v>
      </c>
      <c r="G532" s="14">
        <v>60</v>
      </c>
      <c r="H532" s="31" t="s">
        <v>239</v>
      </c>
      <c r="I532" s="14" t="s">
        <v>75</v>
      </c>
      <c r="J532" s="14" t="s">
        <v>201</v>
      </c>
      <c r="K532" s="14">
        <v>1</v>
      </c>
      <c r="L532" s="14" t="s">
        <v>213</v>
      </c>
      <c r="N532" s="14">
        <v>0</v>
      </c>
      <c r="O532" s="14" t="b">
        <v>1</v>
      </c>
      <c r="Q532" s="14" t="b">
        <v>0</v>
      </c>
      <c r="R532" s="14">
        <v>1</v>
      </c>
      <c r="S532" s="14" t="s">
        <v>77</v>
      </c>
      <c r="T532" s="14">
        <v>999</v>
      </c>
      <c r="U532" s="14" t="s">
        <v>214</v>
      </c>
      <c r="V532" s="14">
        <v>31454001</v>
      </c>
      <c r="X532" s="14" t="s">
        <v>204</v>
      </c>
      <c r="Y532" s="14" t="s">
        <v>215</v>
      </c>
      <c r="Z532" s="14">
        <v>20001</v>
      </c>
      <c r="AA532" s="14" t="s">
        <v>205</v>
      </c>
      <c r="AB532" s="14">
        <v>40001</v>
      </c>
      <c r="AE532" s="29" t="s">
        <v>121</v>
      </c>
      <c r="AF532" s="14" t="s">
        <v>213</v>
      </c>
      <c r="AG532" s="14" t="s">
        <v>92</v>
      </c>
    </row>
    <row r="533" spans="2:33">
      <c r="B533" s="14">
        <f>10000000+INDEX(编号表!$B:$B,MATCH(H533,编号表!$A:$A,0))*100000+INDEX(编号表!$F:$F,MATCH(D533,编号表!$E:$E,0))*10000+INDEX(编号表!$D:$D,MATCH(AG533,编号表!$C:$C,0))*1000+F533</f>
        <v>11454002</v>
      </c>
      <c r="C533" s="14" t="s">
        <v>693</v>
      </c>
      <c r="D533" s="14" t="s">
        <v>333</v>
      </c>
      <c r="E533" s="14" t="s">
        <v>92</v>
      </c>
      <c r="F533" s="14">
        <v>2</v>
      </c>
      <c r="G533" s="14">
        <v>60</v>
      </c>
      <c r="H533" s="31" t="s">
        <v>239</v>
      </c>
      <c r="I533" s="14" t="s">
        <v>75</v>
      </c>
      <c r="J533" s="14" t="s">
        <v>201</v>
      </c>
      <c r="K533" s="14">
        <v>1</v>
      </c>
      <c r="L533" s="14" t="s">
        <v>213</v>
      </c>
      <c r="N533" s="14">
        <v>0</v>
      </c>
      <c r="O533" s="14" t="b">
        <v>1</v>
      </c>
      <c r="Q533" s="14" t="b">
        <v>0</v>
      </c>
      <c r="R533" s="14">
        <v>1</v>
      </c>
      <c r="S533" s="14" t="s">
        <v>77</v>
      </c>
      <c r="T533" s="14">
        <v>999</v>
      </c>
      <c r="U533" s="14" t="s">
        <v>214</v>
      </c>
      <c r="V533" s="14">
        <v>31454002</v>
      </c>
      <c r="X533" s="14" t="s">
        <v>204</v>
      </c>
      <c r="Y533" s="14" t="s">
        <v>215</v>
      </c>
      <c r="Z533" s="14">
        <v>20001</v>
      </c>
      <c r="AA533" s="14" t="s">
        <v>205</v>
      </c>
      <c r="AB533" s="14">
        <v>40001</v>
      </c>
      <c r="AE533" s="29" t="s">
        <v>121</v>
      </c>
      <c r="AF533" s="14" t="s">
        <v>213</v>
      </c>
      <c r="AG533" s="14" t="s">
        <v>92</v>
      </c>
    </row>
    <row r="534" spans="2:33">
      <c r="B534" s="14">
        <f>10000000+INDEX(编号表!$B:$B,MATCH(H534,编号表!$A:$A,0))*100000+INDEX(编号表!$F:$F,MATCH(D534,编号表!$E:$E,0))*10000+INDEX(编号表!$D:$D,MATCH(AG534,编号表!$C:$C,0))*1000+F534</f>
        <v>11454003</v>
      </c>
      <c r="C534" s="14" t="s">
        <v>694</v>
      </c>
      <c r="D534" s="14" t="s">
        <v>333</v>
      </c>
      <c r="E534" s="14" t="s">
        <v>92</v>
      </c>
      <c r="F534" s="14">
        <v>3</v>
      </c>
      <c r="G534" s="14">
        <v>60</v>
      </c>
      <c r="H534" s="31" t="s">
        <v>239</v>
      </c>
      <c r="I534" s="14" t="s">
        <v>75</v>
      </c>
      <c r="J534" s="14" t="s">
        <v>201</v>
      </c>
      <c r="K534" s="14">
        <v>1</v>
      </c>
      <c r="L534" s="14" t="s">
        <v>213</v>
      </c>
      <c r="N534" s="14">
        <v>0</v>
      </c>
      <c r="O534" s="14" t="b">
        <v>1</v>
      </c>
      <c r="Q534" s="14" t="b">
        <v>0</v>
      </c>
      <c r="R534" s="14">
        <v>1</v>
      </c>
      <c r="S534" s="14" t="s">
        <v>77</v>
      </c>
      <c r="T534" s="14">
        <v>999</v>
      </c>
      <c r="U534" s="14" t="s">
        <v>214</v>
      </c>
      <c r="V534" s="14">
        <v>31454003</v>
      </c>
      <c r="X534" s="14" t="s">
        <v>204</v>
      </c>
      <c r="Y534" s="14" t="s">
        <v>215</v>
      </c>
      <c r="Z534" s="14">
        <v>20001</v>
      </c>
      <c r="AA534" s="14" t="s">
        <v>205</v>
      </c>
      <c r="AB534" s="14">
        <v>40001</v>
      </c>
      <c r="AE534" s="29" t="s">
        <v>121</v>
      </c>
      <c r="AF534" s="14" t="s">
        <v>213</v>
      </c>
      <c r="AG534" s="14" t="s">
        <v>92</v>
      </c>
    </row>
    <row r="535" spans="2:33">
      <c r="B535" s="14">
        <f>10000000+INDEX(编号表!$B:$B,MATCH(H535,编号表!$A:$A,0))*100000+INDEX(编号表!$F:$F,MATCH(D535,编号表!$E:$E,0))*10000+INDEX(编号表!$D:$D,MATCH(AG535,编号表!$C:$C,0))*1000+F535</f>
        <v>11654000</v>
      </c>
      <c r="C535" s="14" t="s">
        <v>695</v>
      </c>
      <c r="D535" s="14" t="s">
        <v>333</v>
      </c>
      <c r="E535" s="14" t="s">
        <v>92</v>
      </c>
      <c r="F535" s="14">
        <v>0</v>
      </c>
      <c r="G535" s="14">
        <v>60</v>
      </c>
      <c r="H535" s="31" t="s">
        <v>244</v>
      </c>
      <c r="I535" s="14" t="s">
        <v>75</v>
      </c>
      <c r="J535" s="14" t="s">
        <v>201</v>
      </c>
      <c r="K535" s="14">
        <v>1</v>
      </c>
      <c r="L535" s="14" t="s">
        <v>213</v>
      </c>
      <c r="N535" s="14">
        <v>0</v>
      </c>
      <c r="O535" s="14" t="b">
        <v>1</v>
      </c>
      <c r="Q535" s="14" t="b">
        <v>0</v>
      </c>
      <c r="R535" s="14">
        <v>1</v>
      </c>
      <c r="S535" s="14" t="s">
        <v>77</v>
      </c>
      <c r="T535" s="14">
        <v>999</v>
      </c>
      <c r="U535" s="14" t="s">
        <v>214</v>
      </c>
      <c r="V535" s="14">
        <v>31654000</v>
      </c>
      <c r="X535" s="14" t="s">
        <v>204</v>
      </c>
      <c r="Y535" s="14" t="s">
        <v>215</v>
      </c>
      <c r="Z535" s="14">
        <v>20001</v>
      </c>
      <c r="AA535" s="14" t="s">
        <v>205</v>
      </c>
      <c r="AB535" s="14">
        <v>40001</v>
      </c>
      <c r="AE535" s="29" t="s">
        <v>121</v>
      </c>
      <c r="AF535" s="14" t="s">
        <v>213</v>
      </c>
      <c r="AG535" s="14" t="s">
        <v>92</v>
      </c>
    </row>
    <row r="536" spans="2:33">
      <c r="B536" s="14">
        <f>10000000+INDEX(编号表!$B:$B,MATCH(H536,编号表!$A:$A,0))*100000+INDEX(编号表!$F:$F,MATCH(D536,编号表!$E:$E,0))*10000+INDEX(编号表!$D:$D,MATCH(AG536,编号表!$C:$C,0))*1000+F536</f>
        <v>11654001</v>
      </c>
      <c r="C536" s="14" t="s">
        <v>696</v>
      </c>
      <c r="D536" s="14" t="s">
        <v>333</v>
      </c>
      <c r="E536" s="14" t="s">
        <v>92</v>
      </c>
      <c r="F536" s="14">
        <v>1</v>
      </c>
      <c r="G536" s="14">
        <v>60</v>
      </c>
      <c r="H536" s="31" t="s">
        <v>244</v>
      </c>
      <c r="I536" s="14" t="s">
        <v>75</v>
      </c>
      <c r="J536" s="14" t="s">
        <v>201</v>
      </c>
      <c r="K536" s="14">
        <v>1</v>
      </c>
      <c r="L536" s="14" t="s">
        <v>213</v>
      </c>
      <c r="N536" s="14">
        <v>0</v>
      </c>
      <c r="O536" s="14" t="b">
        <v>1</v>
      </c>
      <c r="Q536" s="14" t="b">
        <v>0</v>
      </c>
      <c r="R536" s="14">
        <v>1</v>
      </c>
      <c r="S536" s="14" t="s">
        <v>77</v>
      </c>
      <c r="T536" s="14">
        <v>999</v>
      </c>
      <c r="U536" s="14" t="s">
        <v>214</v>
      </c>
      <c r="V536" s="14">
        <v>31654001</v>
      </c>
      <c r="X536" s="14" t="s">
        <v>204</v>
      </c>
      <c r="Y536" s="14" t="s">
        <v>215</v>
      </c>
      <c r="Z536" s="14">
        <v>20001</v>
      </c>
      <c r="AA536" s="14" t="s">
        <v>205</v>
      </c>
      <c r="AB536" s="14">
        <v>40001</v>
      </c>
      <c r="AE536" s="29" t="s">
        <v>121</v>
      </c>
      <c r="AF536" s="14" t="s">
        <v>213</v>
      </c>
      <c r="AG536" s="14" t="s">
        <v>92</v>
      </c>
    </row>
    <row r="537" spans="2:33">
      <c r="B537" s="14">
        <f>10000000+INDEX(编号表!$B:$B,MATCH(H537,编号表!$A:$A,0))*100000+INDEX(编号表!$F:$F,MATCH(D537,编号表!$E:$E,0))*10000+INDEX(编号表!$D:$D,MATCH(AG537,编号表!$C:$C,0))*1000+F537</f>
        <v>11654002</v>
      </c>
      <c r="C537" s="14" t="s">
        <v>697</v>
      </c>
      <c r="D537" s="14" t="s">
        <v>333</v>
      </c>
      <c r="E537" s="14" t="s">
        <v>92</v>
      </c>
      <c r="F537" s="14">
        <v>2</v>
      </c>
      <c r="G537" s="14">
        <v>60</v>
      </c>
      <c r="H537" s="31" t="s">
        <v>244</v>
      </c>
      <c r="I537" s="14" t="s">
        <v>75</v>
      </c>
      <c r="J537" s="14" t="s">
        <v>201</v>
      </c>
      <c r="K537" s="14">
        <v>1</v>
      </c>
      <c r="L537" s="14" t="s">
        <v>213</v>
      </c>
      <c r="N537" s="14">
        <v>0</v>
      </c>
      <c r="O537" s="14" t="b">
        <v>1</v>
      </c>
      <c r="Q537" s="14" t="b">
        <v>0</v>
      </c>
      <c r="R537" s="14">
        <v>1</v>
      </c>
      <c r="S537" s="14" t="s">
        <v>77</v>
      </c>
      <c r="T537" s="14">
        <v>999</v>
      </c>
      <c r="U537" s="14" t="s">
        <v>214</v>
      </c>
      <c r="V537" s="14">
        <v>31654002</v>
      </c>
      <c r="X537" s="14" t="s">
        <v>204</v>
      </c>
      <c r="Y537" s="14" t="s">
        <v>215</v>
      </c>
      <c r="Z537" s="14">
        <v>20001</v>
      </c>
      <c r="AA537" s="14" t="s">
        <v>205</v>
      </c>
      <c r="AB537" s="14">
        <v>40001</v>
      </c>
      <c r="AE537" s="29" t="s">
        <v>121</v>
      </c>
      <c r="AF537" s="14" t="s">
        <v>213</v>
      </c>
      <c r="AG537" s="14" t="s">
        <v>92</v>
      </c>
    </row>
    <row r="538" spans="2:33">
      <c r="B538" s="14">
        <f>10000000+INDEX(编号表!$B:$B,MATCH(H538,编号表!$A:$A,0))*100000+INDEX(编号表!$F:$F,MATCH(D538,编号表!$E:$E,0))*10000+INDEX(编号表!$D:$D,MATCH(AG538,编号表!$C:$C,0))*1000+F538</f>
        <v>11264000</v>
      </c>
      <c r="C538" s="14" t="s">
        <v>698</v>
      </c>
      <c r="D538" s="14" t="s">
        <v>362</v>
      </c>
      <c r="E538" s="14" t="s">
        <v>92</v>
      </c>
      <c r="F538" s="14">
        <v>0</v>
      </c>
      <c r="G538" s="14">
        <v>60</v>
      </c>
      <c r="H538" s="31" t="s">
        <v>212</v>
      </c>
      <c r="I538" s="14" t="s">
        <v>75</v>
      </c>
      <c r="J538" s="14" t="s">
        <v>201</v>
      </c>
      <c r="K538" s="14">
        <v>1</v>
      </c>
      <c r="L538" s="14" t="s">
        <v>213</v>
      </c>
      <c r="N538" s="14">
        <v>0</v>
      </c>
      <c r="O538" s="14" t="b">
        <v>1</v>
      </c>
      <c r="Q538" s="14" t="b">
        <v>0</v>
      </c>
      <c r="R538" s="14">
        <v>1</v>
      </c>
      <c r="S538" s="14" t="s">
        <v>77</v>
      </c>
      <c r="T538" s="14">
        <v>999</v>
      </c>
      <c r="U538" s="14" t="s">
        <v>214</v>
      </c>
      <c r="V538" s="14">
        <v>31264000</v>
      </c>
      <c r="X538" s="14" t="s">
        <v>204</v>
      </c>
      <c r="Y538" s="14" t="s">
        <v>215</v>
      </c>
      <c r="Z538" s="14">
        <v>20001</v>
      </c>
      <c r="AA538" s="14" t="s">
        <v>205</v>
      </c>
      <c r="AB538" s="14">
        <v>40001</v>
      </c>
      <c r="AE538" s="29" t="s">
        <v>121</v>
      </c>
      <c r="AF538" s="14" t="s">
        <v>213</v>
      </c>
      <c r="AG538" s="14" t="s">
        <v>92</v>
      </c>
    </row>
    <row r="539" spans="2:33">
      <c r="B539" s="14">
        <f>10000000+INDEX(编号表!$B:$B,MATCH(H539,编号表!$A:$A,0))*100000+INDEX(编号表!$F:$F,MATCH(D539,编号表!$E:$E,0))*10000+INDEX(编号表!$D:$D,MATCH(AG539,编号表!$C:$C,0))*1000+F539</f>
        <v>11364000</v>
      </c>
      <c r="C539" s="14" t="s">
        <v>699</v>
      </c>
      <c r="D539" s="14" t="s">
        <v>362</v>
      </c>
      <c r="E539" s="14" t="s">
        <v>92</v>
      </c>
      <c r="F539" s="14">
        <v>0</v>
      </c>
      <c r="G539" s="14">
        <v>60</v>
      </c>
      <c r="H539" s="31" t="s">
        <v>217</v>
      </c>
      <c r="I539" s="14" t="s">
        <v>75</v>
      </c>
      <c r="J539" s="14" t="s">
        <v>201</v>
      </c>
      <c r="K539" s="14">
        <v>1</v>
      </c>
      <c r="L539" s="14" t="s">
        <v>213</v>
      </c>
      <c r="N539" s="14">
        <v>0</v>
      </c>
      <c r="O539" s="14" t="b">
        <v>1</v>
      </c>
      <c r="Q539" s="14" t="b">
        <v>0</v>
      </c>
      <c r="R539" s="14">
        <v>1</v>
      </c>
      <c r="S539" s="14" t="s">
        <v>77</v>
      </c>
      <c r="T539" s="14">
        <v>999</v>
      </c>
      <c r="U539" s="14" t="s">
        <v>214</v>
      </c>
      <c r="V539" s="14">
        <v>31364000</v>
      </c>
      <c r="X539" s="14" t="s">
        <v>204</v>
      </c>
      <c r="Y539" s="14" t="s">
        <v>215</v>
      </c>
      <c r="Z539" s="14">
        <v>20001</v>
      </c>
      <c r="AA539" s="14" t="s">
        <v>205</v>
      </c>
      <c r="AB539" s="14">
        <v>40001</v>
      </c>
      <c r="AE539" s="29" t="s">
        <v>121</v>
      </c>
      <c r="AF539" s="14" t="s">
        <v>213</v>
      </c>
      <c r="AG539" s="14" t="s">
        <v>92</v>
      </c>
    </row>
    <row r="540" spans="2:33">
      <c r="B540" s="14">
        <f>10000000+INDEX(编号表!$B:$B,MATCH(H540,编号表!$A:$A,0))*100000+INDEX(编号表!$F:$F,MATCH(D540,编号表!$E:$E,0))*10000+INDEX(编号表!$D:$D,MATCH(AG540,编号表!$C:$C,0))*1000+F540</f>
        <v>11364001</v>
      </c>
      <c r="C540" s="14" t="s">
        <v>700</v>
      </c>
      <c r="D540" s="14" t="s">
        <v>362</v>
      </c>
      <c r="E540" s="14" t="s">
        <v>92</v>
      </c>
      <c r="F540" s="14">
        <v>1</v>
      </c>
      <c r="G540" s="14">
        <v>60</v>
      </c>
      <c r="H540" s="31" t="s">
        <v>217</v>
      </c>
      <c r="I540" s="14" t="s">
        <v>75</v>
      </c>
      <c r="J540" s="14" t="s">
        <v>201</v>
      </c>
      <c r="K540" s="14">
        <v>1</v>
      </c>
      <c r="L540" s="14" t="s">
        <v>213</v>
      </c>
      <c r="N540" s="14">
        <v>0</v>
      </c>
      <c r="O540" s="14" t="b">
        <v>1</v>
      </c>
      <c r="Q540" s="14" t="b">
        <v>0</v>
      </c>
      <c r="R540" s="14">
        <v>1</v>
      </c>
      <c r="S540" s="14" t="s">
        <v>77</v>
      </c>
      <c r="T540" s="14">
        <v>999</v>
      </c>
      <c r="U540" s="14" t="s">
        <v>214</v>
      </c>
      <c r="V540" s="14">
        <v>31364001</v>
      </c>
      <c r="X540" s="14" t="s">
        <v>204</v>
      </c>
      <c r="Y540" s="14" t="s">
        <v>215</v>
      </c>
      <c r="Z540" s="14">
        <v>20001</v>
      </c>
      <c r="AA540" s="14" t="s">
        <v>205</v>
      </c>
      <c r="AB540" s="14">
        <v>40001</v>
      </c>
      <c r="AE540" s="29" t="s">
        <v>121</v>
      </c>
      <c r="AF540" s="14" t="s">
        <v>213</v>
      </c>
      <c r="AG540" s="14" t="s">
        <v>92</v>
      </c>
    </row>
    <row r="541" spans="2:33">
      <c r="B541" s="14">
        <f>10000000+INDEX(编号表!$B:$B,MATCH(H541,编号表!$A:$A,0))*100000+INDEX(编号表!$F:$F,MATCH(D541,编号表!$E:$E,0))*10000+INDEX(编号表!$D:$D,MATCH(AG541,编号表!$C:$C,0))*1000+F541</f>
        <v>11364002</v>
      </c>
      <c r="C541" s="14" t="s">
        <v>701</v>
      </c>
      <c r="D541" s="14" t="s">
        <v>362</v>
      </c>
      <c r="E541" s="14" t="s">
        <v>92</v>
      </c>
      <c r="F541" s="14">
        <v>2</v>
      </c>
      <c r="G541" s="14">
        <v>60</v>
      </c>
      <c r="H541" s="31" t="s">
        <v>217</v>
      </c>
      <c r="I541" s="14" t="s">
        <v>75</v>
      </c>
      <c r="J541" s="14" t="s">
        <v>201</v>
      </c>
      <c r="K541" s="14">
        <v>1</v>
      </c>
      <c r="L541" s="14" t="s">
        <v>213</v>
      </c>
      <c r="N541" s="14">
        <v>0</v>
      </c>
      <c r="O541" s="14" t="b">
        <v>1</v>
      </c>
      <c r="Q541" s="14" t="b">
        <v>0</v>
      </c>
      <c r="R541" s="14">
        <v>1</v>
      </c>
      <c r="S541" s="14" t="s">
        <v>77</v>
      </c>
      <c r="T541" s="14">
        <v>999</v>
      </c>
      <c r="U541" s="14" t="s">
        <v>214</v>
      </c>
      <c r="V541" s="14">
        <v>31364002</v>
      </c>
      <c r="X541" s="14" t="s">
        <v>204</v>
      </c>
      <c r="Y541" s="14" t="s">
        <v>215</v>
      </c>
      <c r="Z541" s="14">
        <v>20001</v>
      </c>
      <c r="AA541" s="14" t="s">
        <v>205</v>
      </c>
      <c r="AB541" s="14">
        <v>40001</v>
      </c>
      <c r="AE541" s="29" t="s">
        <v>121</v>
      </c>
      <c r="AF541" s="14" t="s">
        <v>213</v>
      </c>
      <c r="AG541" s="14" t="s">
        <v>92</v>
      </c>
    </row>
    <row r="542" spans="2:33">
      <c r="B542" s="14">
        <f>10000000+INDEX(编号表!$B:$B,MATCH(H542,编号表!$A:$A,0))*100000+INDEX(编号表!$F:$F,MATCH(D542,编号表!$E:$E,0))*10000+INDEX(编号表!$D:$D,MATCH(AG542,编号表!$C:$C,0))*1000+F542</f>
        <v>11364003</v>
      </c>
      <c r="C542" s="14" t="s">
        <v>702</v>
      </c>
      <c r="D542" s="14" t="s">
        <v>362</v>
      </c>
      <c r="E542" s="14" t="s">
        <v>92</v>
      </c>
      <c r="F542" s="14">
        <v>3</v>
      </c>
      <c r="G542" s="14">
        <v>60</v>
      </c>
      <c r="H542" s="31" t="s">
        <v>217</v>
      </c>
      <c r="I542" s="14" t="s">
        <v>75</v>
      </c>
      <c r="J542" s="14" t="s">
        <v>201</v>
      </c>
      <c r="K542" s="14">
        <v>1</v>
      </c>
      <c r="L542" s="14" t="s">
        <v>213</v>
      </c>
      <c r="N542" s="14">
        <v>0</v>
      </c>
      <c r="O542" s="14" t="b">
        <v>1</v>
      </c>
      <c r="Q542" s="14" t="b">
        <v>0</v>
      </c>
      <c r="R542" s="14">
        <v>1</v>
      </c>
      <c r="S542" s="14" t="s">
        <v>77</v>
      </c>
      <c r="T542" s="14">
        <v>999</v>
      </c>
      <c r="U542" s="14" t="s">
        <v>214</v>
      </c>
      <c r="V542" s="14">
        <v>31364003</v>
      </c>
      <c r="X542" s="14" t="s">
        <v>204</v>
      </c>
      <c r="Y542" s="14" t="s">
        <v>215</v>
      </c>
      <c r="Z542" s="14">
        <v>20001</v>
      </c>
      <c r="AA542" s="14" t="s">
        <v>205</v>
      </c>
      <c r="AB542" s="14">
        <v>40001</v>
      </c>
      <c r="AE542" s="29" t="s">
        <v>121</v>
      </c>
      <c r="AF542" s="14" t="s">
        <v>213</v>
      </c>
      <c r="AG542" s="14" t="s">
        <v>92</v>
      </c>
    </row>
    <row r="543" spans="2:33">
      <c r="B543" s="14">
        <f>10000000+INDEX(编号表!$B:$B,MATCH(H543,编号表!$A:$A,0))*100000+INDEX(编号表!$F:$F,MATCH(D543,编号表!$E:$E,0))*10000+INDEX(编号表!$D:$D,MATCH(AG543,编号表!$C:$C,0))*1000+F543</f>
        <v>11364004</v>
      </c>
      <c r="C543" s="14" t="s">
        <v>703</v>
      </c>
      <c r="D543" s="14" t="s">
        <v>362</v>
      </c>
      <c r="E543" s="14" t="s">
        <v>92</v>
      </c>
      <c r="F543" s="14">
        <v>4</v>
      </c>
      <c r="G543" s="14">
        <v>60</v>
      </c>
      <c r="H543" s="31" t="s">
        <v>217</v>
      </c>
      <c r="I543" s="14" t="s">
        <v>75</v>
      </c>
      <c r="J543" s="14" t="s">
        <v>201</v>
      </c>
      <c r="K543" s="14">
        <v>1</v>
      </c>
      <c r="L543" s="14" t="s">
        <v>213</v>
      </c>
      <c r="N543" s="14">
        <v>0</v>
      </c>
      <c r="O543" s="14" t="b">
        <v>1</v>
      </c>
      <c r="Q543" s="14" t="b">
        <v>0</v>
      </c>
      <c r="R543" s="14">
        <v>1</v>
      </c>
      <c r="S543" s="14" t="s">
        <v>77</v>
      </c>
      <c r="T543" s="14">
        <v>999</v>
      </c>
      <c r="U543" s="14" t="s">
        <v>214</v>
      </c>
      <c r="V543" s="14">
        <v>31364004</v>
      </c>
      <c r="X543" s="14" t="s">
        <v>204</v>
      </c>
      <c r="Y543" s="14" t="s">
        <v>215</v>
      </c>
      <c r="Z543" s="14">
        <v>20001</v>
      </c>
      <c r="AA543" s="14" t="s">
        <v>205</v>
      </c>
      <c r="AB543" s="14">
        <v>40001</v>
      </c>
      <c r="AE543" s="29" t="s">
        <v>121</v>
      </c>
      <c r="AF543" s="14" t="s">
        <v>213</v>
      </c>
      <c r="AG543" s="14" t="s">
        <v>92</v>
      </c>
    </row>
    <row r="544" spans="2:33">
      <c r="B544" s="14">
        <f>10000000+INDEX(编号表!$B:$B,MATCH(H544,编号表!$A:$A,0))*100000+INDEX(编号表!$F:$F,MATCH(D544,编号表!$E:$E,0))*10000+INDEX(编号表!$D:$D,MATCH(AG544,编号表!$C:$C,0))*1000+F544</f>
        <v>11364005</v>
      </c>
      <c r="C544" s="14" t="s">
        <v>704</v>
      </c>
      <c r="D544" s="14" t="s">
        <v>362</v>
      </c>
      <c r="E544" s="14" t="s">
        <v>92</v>
      </c>
      <c r="F544" s="14">
        <v>5</v>
      </c>
      <c r="G544" s="14">
        <v>60</v>
      </c>
      <c r="H544" s="31" t="s">
        <v>217</v>
      </c>
      <c r="I544" s="14" t="s">
        <v>75</v>
      </c>
      <c r="J544" s="14" t="s">
        <v>201</v>
      </c>
      <c r="K544" s="14">
        <v>1</v>
      </c>
      <c r="L544" s="14" t="s">
        <v>213</v>
      </c>
      <c r="N544" s="14">
        <v>0</v>
      </c>
      <c r="O544" s="14" t="b">
        <v>1</v>
      </c>
      <c r="Q544" s="14" t="b">
        <v>0</v>
      </c>
      <c r="R544" s="14">
        <v>1</v>
      </c>
      <c r="S544" s="14" t="s">
        <v>77</v>
      </c>
      <c r="T544" s="14">
        <v>999</v>
      </c>
      <c r="U544" s="14" t="s">
        <v>214</v>
      </c>
      <c r="V544" s="14">
        <v>31364005</v>
      </c>
      <c r="X544" s="14" t="s">
        <v>204</v>
      </c>
      <c r="Y544" s="14" t="s">
        <v>215</v>
      </c>
      <c r="Z544" s="14">
        <v>20001</v>
      </c>
      <c r="AA544" s="14" t="s">
        <v>205</v>
      </c>
      <c r="AB544" s="14">
        <v>40001</v>
      </c>
      <c r="AE544" s="29" t="s">
        <v>121</v>
      </c>
      <c r="AF544" s="14" t="s">
        <v>213</v>
      </c>
      <c r="AG544" s="14" t="s">
        <v>92</v>
      </c>
    </row>
    <row r="545" spans="2:33">
      <c r="B545" s="14">
        <f>10000000+INDEX(编号表!$B:$B,MATCH(H545,编号表!$A:$A,0))*100000+INDEX(编号表!$F:$F,MATCH(D545,编号表!$E:$E,0))*10000+INDEX(编号表!$D:$D,MATCH(AG545,编号表!$C:$C,0))*1000+F545</f>
        <v>11364006</v>
      </c>
      <c r="C545" s="14" t="s">
        <v>705</v>
      </c>
      <c r="D545" s="14" t="s">
        <v>362</v>
      </c>
      <c r="E545" s="14" t="s">
        <v>92</v>
      </c>
      <c r="F545" s="14">
        <v>6</v>
      </c>
      <c r="G545" s="14">
        <v>60</v>
      </c>
      <c r="H545" s="31" t="s">
        <v>217</v>
      </c>
      <c r="I545" s="14" t="s">
        <v>75</v>
      </c>
      <c r="J545" s="14" t="s">
        <v>201</v>
      </c>
      <c r="K545" s="14">
        <v>1</v>
      </c>
      <c r="L545" s="14" t="s">
        <v>213</v>
      </c>
      <c r="N545" s="14">
        <v>0</v>
      </c>
      <c r="O545" s="14" t="b">
        <v>1</v>
      </c>
      <c r="Q545" s="14" t="b">
        <v>0</v>
      </c>
      <c r="R545" s="14">
        <v>1</v>
      </c>
      <c r="S545" s="14" t="s">
        <v>77</v>
      </c>
      <c r="T545" s="14">
        <v>999</v>
      </c>
      <c r="U545" s="14" t="s">
        <v>214</v>
      </c>
      <c r="V545" s="14">
        <v>31364006</v>
      </c>
      <c r="X545" s="14" t="s">
        <v>204</v>
      </c>
      <c r="Y545" s="14" t="s">
        <v>215</v>
      </c>
      <c r="Z545" s="14">
        <v>20001</v>
      </c>
      <c r="AA545" s="14" t="s">
        <v>205</v>
      </c>
      <c r="AB545" s="14">
        <v>40001</v>
      </c>
      <c r="AE545" s="29" t="s">
        <v>121</v>
      </c>
      <c r="AF545" s="14" t="s">
        <v>213</v>
      </c>
      <c r="AG545" s="14" t="s">
        <v>92</v>
      </c>
    </row>
    <row r="546" spans="2:33">
      <c r="B546" s="14">
        <f>10000000+INDEX(编号表!$B:$B,MATCH(H546,编号表!$A:$A,0))*100000+INDEX(编号表!$F:$F,MATCH(D546,编号表!$E:$E,0))*10000+INDEX(编号表!$D:$D,MATCH(AG546,编号表!$C:$C,0))*1000+F546</f>
        <v>11364007</v>
      </c>
      <c r="C546" s="14" t="s">
        <v>706</v>
      </c>
      <c r="D546" s="14" t="s">
        <v>362</v>
      </c>
      <c r="E546" s="14" t="s">
        <v>92</v>
      </c>
      <c r="F546" s="14">
        <v>7</v>
      </c>
      <c r="G546" s="14">
        <v>60</v>
      </c>
      <c r="H546" s="31" t="s">
        <v>217</v>
      </c>
      <c r="I546" s="14" t="s">
        <v>75</v>
      </c>
      <c r="J546" s="14" t="s">
        <v>201</v>
      </c>
      <c r="K546" s="14">
        <v>1</v>
      </c>
      <c r="L546" s="14" t="s">
        <v>213</v>
      </c>
      <c r="N546" s="14">
        <v>0</v>
      </c>
      <c r="O546" s="14" t="b">
        <v>1</v>
      </c>
      <c r="Q546" s="14" t="b">
        <v>0</v>
      </c>
      <c r="R546" s="14">
        <v>1</v>
      </c>
      <c r="S546" s="14" t="s">
        <v>77</v>
      </c>
      <c r="T546" s="14">
        <v>999</v>
      </c>
      <c r="U546" s="14" t="s">
        <v>214</v>
      </c>
      <c r="V546" s="14">
        <v>31364007</v>
      </c>
      <c r="X546" s="14" t="s">
        <v>204</v>
      </c>
      <c r="Y546" s="14" t="s">
        <v>215</v>
      </c>
      <c r="Z546" s="14">
        <v>20001</v>
      </c>
      <c r="AA546" s="14" t="s">
        <v>205</v>
      </c>
      <c r="AB546" s="14">
        <v>40001</v>
      </c>
      <c r="AE546" s="29" t="s">
        <v>121</v>
      </c>
      <c r="AF546" s="14" t="s">
        <v>213</v>
      </c>
      <c r="AG546" s="14" t="s">
        <v>92</v>
      </c>
    </row>
    <row r="547" spans="2:33">
      <c r="B547" s="14">
        <f>10000000+INDEX(编号表!$B:$B,MATCH(H547,编号表!$A:$A,0))*100000+INDEX(编号表!$F:$F,MATCH(D547,编号表!$E:$E,0))*10000+INDEX(编号表!$D:$D,MATCH(AG547,编号表!$C:$C,0))*1000+F547</f>
        <v>11364008</v>
      </c>
      <c r="C547" s="14" t="s">
        <v>707</v>
      </c>
      <c r="D547" s="14" t="s">
        <v>362</v>
      </c>
      <c r="E547" s="14" t="s">
        <v>92</v>
      </c>
      <c r="F547" s="14">
        <v>8</v>
      </c>
      <c r="G547" s="14">
        <v>60</v>
      </c>
      <c r="H547" s="31" t="s">
        <v>217</v>
      </c>
      <c r="I547" s="14" t="s">
        <v>75</v>
      </c>
      <c r="J547" s="14" t="s">
        <v>201</v>
      </c>
      <c r="K547" s="14">
        <v>1</v>
      </c>
      <c r="L547" s="14" t="s">
        <v>213</v>
      </c>
      <c r="N547" s="14">
        <v>0</v>
      </c>
      <c r="O547" s="14" t="b">
        <v>1</v>
      </c>
      <c r="Q547" s="14" t="b">
        <v>0</v>
      </c>
      <c r="R547" s="14">
        <v>1</v>
      </c>
      <c r="S547" s="14" t="s">
        <v>77</v>
      </c>
      <c r="T547" s="14">
        <v>999</v>
      </c>
      <c r="U547" s="14" t="s">
        <v>214</v>
      </c>
      <c r="V547" s="14">
        <v>31364008</v>
      </c>
      <c r="X547" s="14" t="s">
        <v>204</v>
      </c>
      <c r="Y547" s="14" t="s">
        <v>215</v>
      </c>
      <c r="Z547" s="14">
        <v>20001</v>
      </c>
      <c r="AA547" s="14" t="s">
        <v>205</v>
      </c>
      <c r="AB547" s="14">
        <v>40001</v>
      </c>
      <c r="AE547" s="29" t="s">
        <v>121</v>
      </c>
      <c r="AF547" s="14" t="s">
        <v>213</v>
      </c>
      <c r="AG547" s="14" t="s">
        <v>92</v>
      </c>
    </row>
    <row r="548" spans="2:33">
      <c r="B548" s="14">
        <f>10000000+INDEX(编号表!$B:$B,MATCH(H548,编号表!$A:$A,0))*100000+INDEX(编号表!$F:$F,MATCH(D548,编号表!$E:$E,0))*10000+INDEX(编号表!$D:$D,MATCH(AG548,编号表!$C:$C,0))*1000+F548</f>
        <v>11364009</v>
      </c>
      <c r="C548" s="14" t="s">
        <v>708</v>
      </c>
      <c r="D548" s="14" t="s">
        <v>362</v>
      </c>
      <c r="E548" s="14" t="s">
        <v>92</v>
      </c>
      <c r="F548" s="14">
        <v>9</v>
      </c>
      <c r="G548" s="14">
        <v>60</v>
      </c>
      <c r="H548" s="31" t="s">
        <v>217</v>
      </c>
      <c r="I548" s="14" t="s">
        <v>75</v>
      </c>
      <c r="J548" s="14" t="s">
        <v>201</v>
      </c>
      <c r="K548" s="14">
        <v>1</v>
      </c>
      <c r="L548" s="14" t="s">
        <v>213</v>
      </c>
      <c r="N548" s="14">
        <v>0</v>
      </c>
      <c r="O548" s="14" t="b">
        <v>1</v>
      </c>
      <c r="Q548" s="14" t="b">
        <v>0</v>
      </c>
      <c r="R548" s="14">
        <v>1</v>
      </c>
      <c r="S548" s="14" t="s">
        <v>77</v>
      </c>
      <c r="T548" s="14">
        <v>999</v>
      </c>
      <c r="U548" s="14" t="s">
        <v>214</v>
      </c>
      <c r="V548" s="14">
        <v>31364009</v>
      </c>
      <c r="X548" s="14" t="s">
        <v>204</v>
      </c>
      <c r="Y548" s="14" t="s">
        <v>215</v>
      </c>
      <c r="Z548" s="14">
        <v>20001</v>
      </c>
      <c r="AA548" s="14" t="s">
        <v>205</v>
      </c>
      <c r="AB548" s="14">
        <v>40001</v>
      </c>
      <c r="AE548" s="29" t="s">
        <v>121</v>
      </c>
      <c r="AF548" s="14" t="s">
        <v>213</v>
      </c>
      <c r="AG548" s="14" t="s">
        <v>92</v>
      </c>
    </row>
    <row r="549" spans="2:33">
      <c r="B549" s="14">
        <f>10000000+INDEX(编号表!$B:$B,MATCH(H549,编号表!$A:$A,0))*100000+INDEX(编号表!$F:$F,MATCH(D549,编号表!$E:$E,0))*10000+INDEX(编号表!$D:$D,MATCH(AG549,编号表!$C:$C,0))*1000+F549</f>
        <v>11564000</v>
      </c>
      <c r="C549" s="14" t="s">
        <v>709</v>
      </c>
      <c r="D549" s="14" t="s">
        <v>362</v>
      </c>
      <c r="E549" s="14" t="s">
        <v>92</v>
      </c>
      <c r="F549" s="14">
        <v>0</v>
      </c>
      <c r="G549" s="14">
        <v>60</v>
      </c>
      <c r="H549" s="31" t="s">
        <v>228</v>
      </c>
      <c r="I549" s="14" t="s">
        <v>75</v>
      </c>
      <c r="J549" s="14" t="s">
        <v>201</v>
      </c>
      <c r="K549" s="14">
        <v>1</v>
      </c>
      <c r="L549" s="14" t="s">
        <v>213</v>
      </c>
      <c r="N549" s="14">
        <v>0</v>
      </c>
      <c r="O549" s="14" t="b">
        <v>1</v>
      </c>
      <c r="Q549" s="14" t="b">
        <v>0</v>
      </c>
      <c r="R549" s="14">
        <v>1</v>
      </c>
      <c r="S549" s="14" t="s">
        <v>77</v>
      </c>
      <c r="T549" s="14">
        <v>999</v>
      </c>
      <c r="U549" s="14" t="s">
        <v>214</v>
      </c>
      <c r="V549" s="14">
        <v>31564000</v>
      </c>
      <c r="X549" s="14" t="s">
        <v>204</v>
      </c>
      <c r="Y549" s="14" t="s">
        <v>215</v>
      </c>
      <c r="Z549" s="14">
        <v>20001</v>
      </c>
      <c r="AA549" s="14" t="s">
        <v>205</v>
      </c>
      <c r="AB549" s="14">
        <v>40001</v>
      </c>
      <c r="AE549" s="29" t="s">
        <v>121</v>
      </c>
      <c r="AF549" s="14" t="s">
        <v>213</v>
      </c>
      <c r="AG549" s="14" t="s">
        <v>92</v>
      </c>
    </row>
    <row r="550" spans="2:33">
      <c r="B550" s="14">
        <f>10000000+INDEX(编号表!$B:$B,MATCH(H550,编号表!$A:$A,0))*100000+INDEX(编号表!$F:$F,MATCH(D550,编号表!$E:$E,0))*10000+INDEX(编号表!$D:$D,MATCH(AG550,编号表!$C:$C,0))*1000+F550</f>
        <v>11564001</v>
      </c>
      <c r="C550" s="14" t="s">
        <v>710</v>
      </c>
      <c r="D550" s="14" t="s">
        <v>362</v>
      </c>
      <c r="E550" s="14" t="s">
        <v>92</v>
      </c>
      <c r="F550" s="14">
        <v>1</v>
      </c>
      <c r="G550" s="14">
        <v>60</v>
      </c>
      <c r="H550" s="31" t="s">
        <v>228</v>
      </c>
      <c r="I550" s="14" t="s">
        <v>75</v>
      </c>
      <c r="J550" s="14" t="s">
        <v>201</v>
      </c>
      <c r="K550" s="14">
        <v>1</v>
      </c>
      <c r="L550" s="14" t="s">
        <v>213</v>
      </c>
      <c r="N550" s="14">
        <v>0</v>
      </c>
      <c r="O550" s="14" t="b">
        <v>1</v>
      </c>
      <c r="Q550" s="14" t="b">
        <v>0</v>
      </c>
      <c r="R550" s="14">
        <v>1</v>
      </c>
      <c r="S550" s="14" t="s">
        <v>77</v>
      </c>
      <c r="T550" s="14">
        <v>999</v>
      </c>
      <c r="U550" s="14" t="s">
        <v>214</v>
      </c>
      <c r="V550" s="14">
        <v>31564001</v>
      </c>
      <c r="X550" s="14" t="s">
        <v>204</v>
      </c>
      <c r="Y550" s="14" t="s">
        <v>215</v>
      </c>
      <c r="Z550" s="14">
        <v>20001</v>
      </c>
      <c r="AA550" s="14" t="s">
        <v>205</v>
      </c>
      <c r="AB550" s="14">
        <v>40001</v>
      </c>
      <c r="AE550" s="29" t="s">
        <v>121</v>
      </c>
      <c r="AF550" s="14" t="s">
        <v>213</v>
      </c>
      <c r="AG550" s="14" t="s">
        <v>92</v>
      </c>
    </row>
    <row r="551" spans="2:33">
      <c r="B551" s="14">
        <f>10000000+INDEX(编号表!$B:$B,MATCH(H551,编号表!$A:$A,0))*100000+INDEX(编号表!$F:$F,MATCH(D551,编号表!$E:$E,0))*10000+INDEX(编号表!$D:$D,MATCH(AG551,编号表!$C:$C,0))*1000+F551</f>
        <v>11564002</v>
      </c>
      <c r="C551" s="14" t="s">
        <v>711</v>
      </c>
      <c r="D551" s="14" t="s">
        <v>362</v>
      </c>
      <c r="E551" s="14" t="s">
        <v>92</v>
      </c>
      <c r="F551" s="14">
        <v>2</v>
      </c>
      <c r="G551" s="14">
        <v>60</v>
      </c>
      <c r="H551" s="31" t="s">
        <v>228</v>
      </c>
      <c r="I551" s="14" t="s">
        <v>75</v>
      </c>
      <c r="J551" s="14" t="s">
        <v>201</v>
      </c>
      <c r="K551" s="14">
        <v>1</v>
      </c>
      <c r="L551" s="14" t="s">
        <v>213</v>
      </c>
      <c r="N551" s="14">
        <v>0</v>
      </c>
      <c r="O551" s="14" t="b">
        <v>1</v>
      </c>
      <c r="Q551" s="14" t="b">
        <v>0</v>
      </c>
      <c r="R551" s="14">
        <v>1</v>
      </c>
      <c r="S551" s="14" t="s">
        <v>77</v>
      </c>
      <c r="T551" s="14">
        <v>999</v>
      </c>
      <c r="U551" s="14" t="s">
        <v>214</v>
      </c>
      <c r="V551" s="14">
        <v>31564002</v>
      </c>
      <c r="X551" s="14" t="s">
        <v>204</v>
      </c>
      <c r="Y551" s="14" t="s">
        <v>215</v>
      </c>
      <c r="Z551" s="14">
        <v>20001</v>
      </c>
      <c r="AA551" s="14" t="s">
        <v>205</v>
      </c>
      <c r="AB551" s="14">
        <v>40001</v>
      </c>
      <c r="AE551" s="29" t="s">
        <v>121</v>
      </c>
      <c r="AF551" s="14" t="s">
        <v>213</v>
      </c>
      <c r="AG551" s="14" t="s">
        <v>92</v>
      </c>
    </row>
    <row r="552" spans="2:33">
      <c r="B552" s="14">
        <f>10000000+INDEX(编号表!$B:$B,MATCH(H552,编号表!$A:$A,0))*100000+INDEX(编号表!$F:$F,MATCH(D552,编号表!$E:$E,0))*10000+INDEX(编号表!$D:$D,MATCH(AG552,编号表!$C:$C,0))*1000+F552</f>
        <v>11564003</v>
      </c>
      <c r="C552" s="14" t="s">
        <v>712</v>
      </c>
      <c r="D552" s="14" t="s">
        <v>362</v>
      </c>
      <c r="E552" s="14" t="s">
        <v>92</v>
      </c>
      <c r="F552" s="14">
        <v>3</v>
      </c>
      <c r="G552" s="14">
        <v>60</v>
      </c>
      <c r="H552" s="31" t="s">
        <v>228</v>
      </c>
      <c r="I552" s="14" t="s">
        <v>75</v>
      </c>
      <c r="J552" s="14" t="s">
        <v>201</v>
      </c>
      <c r="K552" s="14">
        <v>1</v>
      </c>
      <c r="L552" s="14" t="s">
        <v>213</v>
      </c>
      <c r="N552" s="14">
        <v>0</v>
      </c>
      <c r="O552" s="14" t="b">
        <v>1</v>
      </c>
      <c r="Q552" s="14" t="b">
        <v>0</v>
      </c>
      <c r="R552" s="14">
        <v>1</v>
      </c>
      <c r="S552" s="14" t="s">
        <v>77</v>
      </c>
      <c r="T552" s="14">
        <v>999</v>
      </c>
      <c r="U552" s="14" t="s">
        <v>214</v>
      </c>
      <c r="V552" s="14">
        <v>31564003</v>
      </c>
      <c r="X552" s="14" t="s">
        <v>204</v>
      </c>
      <c r="Y552" s="14" t="s">
        <v>215</v>
      </c>
      <c r="Z552" s="14">
        <v>20001</v>
      </c>
      <c r="AA552" s="14" t="s">
        <v>205</v>
      </c>
      <c r="AB552" s="14">
        <v>40001</v>
      </c>
      <c r="AE552" s="29" t="s">
        <v>121</v>
      </c>
      <c r="AF552" s="14" t="s">
        <v>213</v>
      </c>
      <c r="AG552" s="14" t="s">
        <v>92</v>
      </c>
    </row>
    <row r="553" spans="2:33">
      <c r="B553" s="14">
        <f>10000000+INDEX(编号表!$B:$B,MATCH(H553,编号表!$A:$A,0))*100000+INDEX(编号表!$F:$F,MATCH(D553,编号表!$E:$E,0))*10000+INDEX(编号表!$D:$D,MATCH(AG553,编号表!$C:$C,0))*1000+F553</f>
        <v>11564004</v>
      </c>
      <c r="C553" s="14" t="s">
        <v>713</v>
      </c>
      <c r="D553" s="14" t="s">
        <v>362</v>
      </c>
      <c r="E553" s="14" t="s">
        <v>92</v>
      </c>
      <c r="F553" s="14">
        <v>4</v>
      </c>
      <c r="G553" s="14">
        <v>60</v>
      </c>
      <c r="H553" s="31" t="s">
        <v>228</v>
      </c>
      <c r="I553" s="14" t="s">
        <v>75</v>
      </c>
      <c r="J553" s="14" t="s">
        <v>201</v>
      </c>
      <c r="K553" s="14">
        <v>1</v>
      </c>
      <c r="L553" s="14" t="s">
        <v>213</v>
      </c>
      <c r="N553" s="14">
        <v>0</v>
      </c>
      <c r="O553" s="14" t="b">
        <v>1</v>
      </c>
      <c r="Q553" s="14" t="b">
        <v>0</v>
      </c>
      <c r="R553" s="14">
        <v>1</v>
      </c>
      <c r="S553" s="14" t="s">
        <v>77</v>
      </c>
      <c r="T553" s="14">
        <v>999</v>
      </c>
      <c r="U553" s="14" t="s">
        <v>214</v>
      </c>
      <c r="V553" s="14">
        <v>31564004</v>
      </c>
      <c r="X553" s="14" t="s">
        <v>204</v>
      </c>
      <c r="Y553" s="14" t="s">
        <v>215</v>
      </c>
      <c r="Z553" s="14">
        <v>20001</v>
      </c>
      <c r="AA553" s="14" t="s">
        <v>205</v>
      </c>
      <c r="AB553" s="14">
        <v>40001</v>
      </c>
      <c r="AE553" s="29" t="s">
        <v>121</v>
      </c>
      <c r="AF553" s="14" t="s">
        <v>213</v>
      </c>
      <c r="AG553" s="14" t="s">
        <v>92</v>
      </c>
    </row>
    <row r="554" spans="2:33">
      <c r="B554" s="14">
        <f>10000000+INDEX(编号表!$B:$B,MATCH(H554,编号表!$A:$A,0))*100000+INDEX(编号表!$F:$F,MATCH(D554,编号表!$E:$E,0))*10000+INDEX(编号表!$D:$D,MATCH(AG554,编号表!$C:$C,0))*1000+F554</f>
        <v>11564005</v>
      </c>
      <c r="C554" s="14" t="s">
        <v>714</v>
      </c>
      <c r="D554" s="14" t="s">
        <v>362</v>
      </c>
      <c r="E554" s="14" t="s">
        <v>92</v>
      </c>
      <c r="F554" s="14">
        <v>5</v>
      </c>
      <c r="G554" s="14">
        <v>60</v>
      </c>
      <c r="H554" s="31" t="s">
        <v>228</v>
      </c>
      <c r="I554" s="14" t="s">
        <v>75</v>
      </c>
      <c r="J554" s="14" t="s">
        <v>201</v>
      </c>
      <c r="K554" s="14">
        <v>1</v>
      </c>
      <c r="L554" s="14" t="s">
        <v>213</v>
      </c>
      <c r="N554" s="14">
        <v>0</v>
      </c>
      <c r="O554" s="14" t="b">
        <v>1</v>
      </c>
      <c r="Q554" s="14" t="b">
        <v>0</v>
      </c>
      <c r="R554" s="14">
        <v>1</v>
      </c>
      <c r="S554" s="14" t="s">
        <v>77</v>
      </c>
      <c r="T554" s="14">
        <v>999</v>
      </c>
      <c r="U554" s="14" t="s">
        <v>214</v>
      </c>
      <c r="V554" s="14">
        <v>31564005</v>
      </c>
      <c r="X554" s="14" t="s">
        <v>204</v>
      </c>
      <c r="Y554" s="14" t="s">
        <v>215</v>
      </c>
      <c r="Z554" s="14">
        <v>20001</v>
      </c>
      <c r="AA554" s="14" t="s">
        <v>205</v>
      </c>
      <c r="AB554" s="14">
        <v>40001</v>
      </c>
      <c r="AE554" s="29" t="s">
        <v>121</v>
      </c>
      <c r="AF554" s="14" t="s">
        <v>213</v>
      </c>
      <c r="AG554" s="14" t="s">
        <v>92</v>
      </c>
    </row>
    <row r="555" spans="2:33">
      <c r="B555" s="14">
        <f>10000000+INDEX(编号表!$B:$B,MATCH(H555,编号表!$A:$A,0))*100000+INDEX(编号表!$F:$F,MATCH(D555,编号表!$E:$E,0))*10000+INDEX(编号表!$D:$D,MATCH(AG555,编号表!$C:$C,0))*1000+F555</f>
        <v>11564006</v>
      </c>
      <c r="C555" s="14" t="s">
        <v>715</v>
      </c>
      <c r="D555" s="14" t="s">
        <v>362</v>
      </c>
      <c r="E555" s="14" t="s">
        <v>92</v>
      </c>
      <c r="F555" s="14">
        <v>6</v>
      </c>
      <c r="G555" s="14">
        <v>60</v>
      </c>
      <c r="H555" s="31" t="s">
        <v>228</v>
      </c>
      <c r="I555" s="14" t="s">
        <v>75</v>
      </c>
      <c r="J555" s="14" t="s">
        <v>201</v>
      </c>
      <c r="K555" s="14">
        <v>1</v>
      </c>
      <c r="L555" s="14" t="s">
        <v>213</v>
      </c>
      <c r="N555" s="14">
        <v>0</v>
      </c>
      <c r="O555" s="14" t="b">
        <v>1</v>
      </c>
      <c r="Q555" s="14" t="b">
        <v>0</v>
      </c>
      <c r="R555" s="14">
        <v>1</v>
      </c>
      <c r="S555" s="14" t="s">
        <v>77</v>
      </c>
      <c r="T555" s="14">
        <v>999</v>
      </c>
      <c r="U555" s="14" t="s">
        <v>214</v>
      </c>
      <c r="V555" s="14">
        <v>31564006</v>
      </c>
      <c r="X555" s="14" t="s">
        <v>204</v>
      </c>
      <c r="Y555" s="14" t="s">
        <v>215</v>
      </c>
      <c r="Z555" s="14">
        <v>20001</v>
      </c>
      <c r="AA555" s="14" t="s">
        <v>205</v>
      </c>
      <c r="AB555" s="14">
        <v>40001</v>
      </c>
      <c r="AE555" s="29" t="s">
        <v>121</v>
      </c>
      <c r="AF555" s="14" t="s">
        <v>213</v>
      </c>
      <c r="AG555" s="14" t="s">
        <v>92</v>
      </c>
    </row>
    <row r="556" spans="2:33">
      <c r="B556" s="14">
        <f>10000000+INDEX(编号表!$B:$B,MATCH(H556,编号表!$A:$A,0))*100000+INDEX(编号表!$F:$F,MATCH(D556,编号表!$E:$E,0))*10000+INDEX(编号表!$D:$D,MATCH(AG556,编号表!$C:$C,0))*1000+F556</f>
        <v>11564007</v>
      </c>
      <c r="C556" s="14" t="s">
        <v>716</v>
      </c>
      <c r="D556" s="14" t="s">
        <v>362</v>
      </c>
      <c r="E556" s="14" t="s">
        <v>92</v>
      </c>
      <c r="F556" s="14">
        <v>7</v>
      </c>
      <c r="G556" s="14">
        <v>60</v>
      </c>
      <c r="H556" s="31" t="s">
        <v>228</v>
      </c>
      <c r="I556" s="14" t="s">
        <v>75</v>
      </c>
      <c r="J556" s="14" t="s">
        <v>201</v>
      </c>
      <c r="K556" s="14">
        <v>1</v>
      </c>
      <c r="L556" s="14" t="s">
        <v>213</v>
      </c>
      <c r="N556" s="14">
        <v>0</v>
      </c>
      <c r="O556" s="14" t="b">
        <v>1</v>
      </c>
      <c r="Q556" s="14" t="b">
        <v>0</v>
      </c>
      <c r="R556" s="14">
        <v>1</v>
      </c>
      <c r="S556" s="14" t="s">
        <v>77</v>
      </c>
      <c r="T556" s="14">
        <v>999</v>
      </c>
      <c r="U556" s="14" t="s">
        <v>214</v>
      </c>
      <c r="V556" s="14">
        <v>31564007</v>
      </c>
      <c r="X556" s="14" t="s">
        <v>204</v>
      </c>
      <c r="Y556" s="14" t="s">
        <v>215</v>
      </c>
      <c r="Z556" s="14">
        <v>20001</v>
      </c>
      <c r="AA556" s="14" t="s">
        <v>205</v>
      </c>
      <c r="AB556" s="14">
        <v>40001</v>
      </c>
      <c r="AE556" s="29" t="s">
        <v>121</v>
      </c>
      <c r="AF556" s="14" t="s">
        <v>213</v>
      </c>
      <c r="AG556" s="14" t="s">
        <v>92</v>
      </c>
    </row>
    <row r="557" spans="2:33">
      <c r="B557" s="14">
        <f>10000000+INDEX(编号表!$B:$B,MATCH(H557,编号表!$A:$A,0))*100000+INDEX(编号表!$F:$F,MATCH(D557,编号表!$E:$E,0))*10000+INDEX(编号表!$D:$D,MATCH(AG557,编号表!$C:$C,0))*1000+F557</f>
        <v>11564008</v>
      </c>
      <c r="C557" s="14" t="s">
        <v>717</v>
      </c>
      <c r="D557" s="14" t="s">
        <v>362</v>
      </c>
      <c r="E557" s="14" t="s">
        <v>92</v>
      </c>
      <c r="F557" s="14">
        <v>8</v>
      </c>
      <c r="G557" s="14">
        <v>60</v>
      </c>
      <c r="H557" s="31" t="s">
        <v>228</v>
      </c>
      <c r="I557" s="14" t="s">
        <v>75</v>
      </c>
      <c r="J557" s="14" t="s">
        <v>201</v>
      </c>
      <c r="K557" s="14">
        <v>1</v>
      </c>
      <c r="L557" s="14" t="s">
        <v>213</v>
      </c>
      <c r="N557" s="14">
        <v>0</v>
      </c>
      <c r="O557" s="14" t="b">
        <v>1</v>
      </c>
      <c r="Q557" s="14" t="b">
        <v>0</v>
      </c>
      <c r="R557" s="14">
        <v>1</v>
      </c>
      <c r="S557" s="14" t="s">
        <v>77</v>
      </c>
      <c r="T557" s="14">
        <v>999</v>
      </c>
      <c r="U557" s="14" t="s">
        <v>214</v>
      </c>
      <c r="V557" s="14">
        <v>31564008</v>
      </c>
      <c r="X557" s="14" t="s">
        <v>204</v>
      </c>
      <c r="Y557" s="14" t="s">
        <v>215</v>
      </c>
      <c r="Z557" s="14">
        <v>20001</v>
      </c>
      <c r="AA557" s="14" t="s">
        <v>205</v>
      </c>
      <c r="AB557" s="14">
        <v>40001</v>
      </c>
      <c r="AE557" s="29" t="s">
        <v>121</v>
      </c>
      <c r="AF557" s="14" t="s">
        <v>213</v>
      </c>
      <c r="AG557" s="14" t="s">
        <v>92</v>
      </c>
    </row>
    <row r="558" spans="2:33">
      <c r="B558" s="14">
        <f>10000000+INDEX(编号表!$B:$B,MATCH(H558,编号表!$A:$A,0))*100000+INDEX(编号表!$F:$F,MATCH(D558,编号表!$E:$E,0))*10000+INDEX(编号表!$D:$D,MATCH(AG558,编号表!$C:$C,0))*1000+F558</f>
        <v>11564009</v>
      </c>
      <c r="C558" s="14" t="s">
        <v>718</v>
      </c>
      <c r="D558" s="14" t="s">
        <v>362</v>
      </c>
      <c r="E558" s="14" t="s">
        <v>92</v>
      </c>
      <c r="F558" s="14">
        <v>9</v>
      </c>
      <c r="G558" s="14">
        <v>60</v>
      </c>
      <c r="H558" s="31" t="s">
        <v>228</v>
      </c>
      <c r="I558" s="14" t="s">
        <v>75</v>
      </c>
      <c r="J558" s="14" t="s">
        <v>201</v>
      </c>
      <c r="K558" s="14">
        <v>1</v>
      </c>
      <c r="L558" s="14" t="s">
        <v>213</v>
      </c>
      <c r="N558" s="14">
        <v>0</v>
      </c>
      <c r="O558" s="14" t="b">
        <v>1</v>
      </c>
      <c r="Q558" s="14" t="b">
        <v>0</v>
      </c>
      <c r="R558" s="14">
        <v>1</v>
      </c>
      <c r="S558" s="14" t="s">
        <v>77</v>
      </c>
      <c r="T558" s="14">
        <v>999</v>
      </c>
      <c r="U558" s="14" t="s">
        <v>214</v>
      </c>
      <c r="V558" s="14">
        <v>31564009</v>
      </c>
      <c r="X558" s="14" t="s">
        <v>204</v>
      </c>
      <c r="Y558" s="14" t="s">
        <v>215</v>
      </c>
      <c r="Z558" s="14">
        <v>20001</v>
      </c>
      <c r="AA558" s="14" t="s">
        <v>205</v>
      </c>
      <c r="AB558" s="14">
        <v>40001</v>
      </c>
      <c r="AE558" s="29" t="s">
        <v>121</v>
      </c>
      <c r="AF558" s="14" t="s">
        <v>213</v>
      </c>
      <c r="AG558" s="14" t="s">
        <v>92</v>
      </c>
    </row>
    <row r="559" spans="2:33">
      <c r="B559" s="14">
        <f>10000000+INDEX(编号表!$B:$B,MATCH(H559,编号表!$A:$A,0))*100000+INDEX(编号表!$F:$F,MATCH(D559,编号表!$E:$E,0))*10000+INDEX(编号表!$D:$D,MATCH(AG559,编号表!$C:$C,0))*1000+F559</f>
        <v>11464000</v>
      </c>
      <c r="C559" s="14" t="s">
        <v>719</v>
      </c>
      <c r="D559" s="14" t="s">
        <v>362</v>
      </c>
      <c r="E559" s="14" t="s">
        <v>92</v>
      </c>
      <c r="F559" s="14">
        <v>0</v>
      </c>
      <c r="G559" s="14">
        <v>60</v>
      </c>
      <c r="H559" s="31" t="s">
        <v>239</v>
      </c>
      <c r="I559" s="14" t="s">
        <v>75</v>
      </c>
      <c r="J559" s="14" t="s">
        <v>201</v>
      </c>
      <c r="K559" s="14">
        <v>1</v>
      </c>
      <c r="L559" s="14" t="s">
        <v>213</v>
      </c>
      <c r="N559" s="14">
        <v>0</v>
      </c>
      <c r="O559" s="14" t="b">
        <v>1</v>
      </c>
      <c r="Q559" s="14" t="b">
        <v>0</v>
      </c>
      <c r="R559" s="14">
        <v>1</v>
      </c>
      <c r="S559" s="14" t="s">
        <v>77</v>
      </c>
      <c r="T559" s="14">
        <v>999</v>
      </c>
      <c r="U559" s="14" t="s">
        <v>214</v>
      </c>
      <c r="V559" s="14">
        <v>31464000</v>
      </c>
      <c r="X559" s="14" t="s">
        <v>204</v>
      </c>
      <c r="Y559" s="14" t="s">
        <v>215</v>
      </c>
      <c r="Z559" s="14">
        <v>20001</v>
      </c>
      <c r="AA559" s="14" t="s">
        <v>205</v>
      </c>
      <c r="AB559" s="14">
        <v>40001</v>
      </c>
      <c r="AE559" s="29" t="s">
        <v>121</v>
      </c>
      <c r="AF559" s="14" t="s">
        <v>213</v>
      </c>
      <c r="AG559" s="14" t="s">
        <v>92</v>
      </c>
    </row>
    <row r="560" spans="2:33">
      <c r="B560" s="14">
        <f>10000000+INDEX(编号表!$B:$B,MATCH(H560,编号表!$A:$A,0))*100000+INDEX(编号表!$F:$F,MATCH(D560,编号表!$E:$E,0))*10000+INDEX(编号表!$D:$D,MATCH(AG560,编号表!$C:$C,0))*1000+F560</f>
        <v>11464001</v>
      </c>
      <c r="C560" s="14" t="s">
        <v>720</v>
      </c>
      <c r="D560" s="14" t="s">
        <v>362</v>
      </c>
      <c r="E560" s="14" t="s">
        <v>92</v>
      </c>
      <c r="F560" s="14">
        <v>1</v>
      </c>
      <c r="G560" s="14">
        <v>60</v>
      </c>
      <c r="H560" s="31" t="s">
        <v>239</v>
      </c>
      <c r="I560" s="14" t="s">
        <v>75</v>
      </c>
      <c r="J560" s="14" t="s">
        <v>201</v>
      </c>
      <c r="K560" s="14">
        <v>1</v>
      </c>
      <c r="L560" s="14" t="s">
        <v>213</v>
      </c>
      <c r="N560" s="14">
        <v>0</v>
      </c>
      <c r="O560" s="14" t="b">
        <v>1</v>
      </c>
      <c r="Q560" s="14" t="b">
        <v>0</v>
      </c>
      <c r="R560" s="14">
        <v>1</v>
      </c>
      <c r="S560" s="14" t="s">
        <v>77</v>
      </c>
      <c r="T560" s="14">
        <v>999</v>
      </c>
      <c r="U560" s="14" t="s">
        <v>214</v>
      </c>
      <c r="V560" s="14">
        <v>31464001</v>
      </c>
      <c r="X560" s="14" t="s">
        <v>204</v>
      </c>
      <c r="Y560" s="14" t="s">
        <v>215</v>
      </c>
      <c r="Z560" s="14">
        <v>20001</v>
      </c>
      <c r="AA560" s="14" t="s">
        <v>205</v>
      </c>
      <c r="AB560" s="14">
        <v>40001</v>
      </c>
      <c r="AE560" s="29" t="s">
        <v>121</v>
      </c>
      <c r="AF560" s="14" t="s">
        <v>213</v>
      </c>
      <c r="AG560" s="14" t="s">
        <v>92</v>
      </c>
    </row>
    <row r="561" spans="2:33">
      <c r="B561" s="14">
        <f>10000000+INDEX(编号表!$B:$B,MATCH(H561,编号表!$A:$A,0))*100000+INDEX(编号表!$F:$F,MATCH(D561,编号表!$E:$E,0))*10000+INDEX(编号表!$D:$D,MATCH(AG561,编号表!$C:$C,0))*1000+F561</f>
        <v>11464002</v>
      </c>
      <c r="C561" s="14" t="s">
        <v>721</v>
      </c>
      <c r="D561" s="14" t="s">
        <v>362</v>
      </c>
      <c r="E561" s="14" t="s">
        <v>92</v>
      </c>
      <c r="F561" s="14">
        <v>2</v>
      </c>
      <c r="G561" s="14">
        <v>60</v>
      </c>
      <c r="H561" s="31" t="s">
        <v>239</v>
      </c>
      <c r="I561" s="14" t="s">
        <v>75</v>
      </c>
      <c r="J561" s="14" t="s">
        <v>201</v>
      </c>
      <c r="K561" s="14">
        <v>1</v>
      </c>
      <c r="L561" s="14" t="s">
        <v>213</v>
      </c>
      <c r="N561" s="14">
        <v>0</v>
      </c>
      <c r="O561" s="14" t="b">
        <v>1</v>
      </c>
      <c r="Q561" s="14" t="b">
        <v>0</v>
      </c>
      <c r="R561" s="14">
        <v>1</v>
      </c>
      <c r="S561" s="14" t="s">
        <v>77</v>
      </c>
      <c r="T561" s="14">
        <v>999</v>
      </c>
      <c r="U561" s="14" t="s">
        <v>214</v>
      </c>
      <c r="V561" s="14">
        <v>31464002</v>
      </c>
      <c r="X561" s="14" t="s">
        <v>204</v>
      </c>
      <c r="Y561" s="14" t="s">
        <v>215</v>
      </c>
      <c r="Z561" s="14">
        <v>20001</v>
      </c>
      <c r="AA561" s="14" t="s">
        <v>205</v>
      </c>
      <c r="AB561" s="14">
        <v>40001</v>
      </c>
      <c r="AE561" s="29" t="s">
        <v>121</v>
      </c>
      <c r="AF561" s="14" t="s">
        <v>213</v>
      </c>
      <c r="AG561" s="14" t="s">
        <v>92</v>
      </c>
    </row>
    <row r="562" spans="2:33">
      <c r="B562" s="14">
        <f>10000000+INDEX(编号表!$B:$B,MATCH(H562,编号表!$A:$A,0))*100000+INDEX(编号表!$F:$F,MATCH(D562,编号表!$E:$E,0))*10000+INDEX(编号表!$D:$D,MATCH(AG562,编号表!$C:$C,0))*1000+F562</f>
        <v>11464003</v>
      </c>
      <c r="C562" s="14" t="s">
        <v>722</v>
      </c>
      <c r="D562" s="14" t="s">
        <v>362</v>
      </c>
      <c r="E562" s="14" t="s">
        <v>92</v>
      </c>
      <c r="F562" s="14">
        <v>3</v>
      </c>
      <c r="G562" s="14">
        <v>60</v>
      </c>
      <c r="H562" s="31" t="s">
        <v>239</v>
      </c>
      <c r="I562" s="14" t="s">
        <v>75</v>
      </c>
      <c r="J562" s="14" t="s">
        <v>201</v>
      </c>
      <c r="K562" s="14">
        <v>1</v>
      </c>
      <c r="L562" s="14" t="s">
        <v>213</v>
      </c>
      <c r="N562" s="14">
        <v>0</v>
      </c>
      <c r="O562" s="14" t="b">
        <v>1</v>
      </c>
      <c r="Q562" s="14" t="b">
        <v>0</v>
      </c>
      <c r="R562" s="14">
        <v>1</v>
      </c>
      <c r="S562" s="14" t="s">
        <v>77</v>
      </c>
      <c r="T562" s="14">
        <v>999</v>
      </c>
      <c r="U562" s="14" t="s">
        <v>214</v>
      </c>
      <c r="V562" s="14">
        <v>31464003</v>
      </c>
      <c r="X562" s="14" t="s">
        <v>204</v>
      </c>
      <c r="Y562" s="14" t="s">
        <v>215</v>
      </c>
      <c r="Z562" s="14">
        <v>20001</v>
      </c>
      <c r="AA562" s="14" t="s">
        <v>205</v>
      </c>
      <c r="AB562" s="14">
        <v>40001</v>
      </c>
      <c r="AE562" s="29" t="s">
        <v>121</v>
      </c>
      <c r="AF562" s="14" t="s">
        <v>213</v>
      </c>
      <c r="AG562" s="14" t="s">
        <v>92</v>
      </c>
    </row>
    <row r="563" spans="2:33">
      <c r="B563" s="14">
        <f>10000000+INDEX(编号表!$B:$B,MATCH(H563,编号表!$A:$A,0))*100000+INDEX(编号表!$F:$F,MATCH(D563,编号表!$E:$E,0))*10000+INDEX(编号表!$D:$D,MATCH(AG563,编号表!$C:$C,0))*1000+F563</f>
        <v>11664000</v>
      </c>
      <c r="C563" s="14" t="s">
        <v>723</v>
      </c>
      <c r="D563" s="14" t="s">
        <v>362</v>
      </c>
      <c r="E563" s="14" t="s">
        <v>92</v>
      </c>
      <c r="F563" s="14">
        <v>0</v>
      </c>
      <c r="G563" s="14">
        <v>60</v>
      </c>
      <c r="H563" s="31" t="s">
        <v>244</v>
      </c>
      <c r="I563" s="14" t="s">
        <v>75</v>
      </c>
      <c r="J563" s="14" t="s">
        <v>201</v>
      </c>
      <c r="K563" s="14">
        <v>1</v>
      </c>
      <c r="L563" s="14" t="s">
        <v>213</v>
      </c>
      <c r="N563" s="14">
        <v>0</v>
      </c>
      <c r="O563" s="14" t="b">
        <v>1</v>
      </c>
      <c r="Q563" s="14" t="b">
        <v>0</v>
      </c>
      <c r="R563" s="14">
        <v>1</v>
      </c>
      <c r="S563" s="14" t="s">
        <v>77</v>
      </c>
      <c r="T563" s="14">
        <v>999</v>
      </c>
      <c r="U563" s="14" t="s">
        <v>214</v>
      </c>
      <c r="V563" s="14">
        <v>31664000</v>
      </c>
      <c r="X563" s="14" t="s">
        <v>204</v>
      </c>
      <c r="Y563" s="14" t="s">
        <v>215</v>
      </c>
      <c r="Z563" s="14">
        <v>20001</v>
      </c>
      <c r="AA563" s="14" t="s">
        <v>205</v>
      </c>
      <c r="AB563" s="14">
        <v>40001</v>
      </c>
      <c r="AE563" s="29" t="s">
        <v>121</v>
      </c>
      <c r="AF563" s="14" t="s">
        <v>213</v>
      </c>
      <c r="AG563" s="14" t="s">
        <v>92</v>
      </c>
    </row>
    <row r="564" spans="2:33">
      <c r="B564" s="14">
        <f>10000000+INDEX(编号表!$B:$B,MATCH(H564,编号表!$A:$A,0))*100000+INDEX(编号表!$F:$F,MATCH(D564,编号表!$E:$E,0))*10000+INDEX(编号表!$D:$D,MATCH(AG564,编号表!$C:$C,0))*1000+F564</f>
        <v>11664001</v>
      </c>
      <c r="C564" s="14" t="s">
        <v>724</v>
      </c>
      <c r="D564" s="14" t="s">
        <v>362</v>
      </c>
      <c r="E564" s="14" t="s">
        <v>92</v>
      </c>
      <c r="F564" s="14">
        <v>1</v>
      </c>
      <c r="G564" s="14">
        <v>60</v>
      </c>
      <c r="H564" s="31" t="s">
        <v>244</v>
      </c>
      <c r="I564" s="14" t="s">
        <v>75</v>
      </c>
      <c r="J564" s="14" t="s">
        <v>201</v>
      </c>
      <c r="K564" s="14">
        <v>1</v>
      </c>
      <c r="L564" s="14" t="s">
        <v>213</v>
      </c>
      <c r="N564" s="14">
        <v>0</v>
      </c>
      <c r="O564" s="14" t="b">
        <v>1</v>
      </c>
      <c r="Q564" s="14" t="b">
        <v>0</v>
      </c>
      <c r="R564" s="14">
        <v>1</v>
      </c>
      <c r="S564" s="14" t="s">
        <v>77</v>
      </c>
      <c r="T564" s="14">
        <v>999</v>
      </c>
      <c r="U564" s="14" t="s">
        <v>214</v>
      </c>
      <c r="V564" s="14">
        <v>31664001</v>
      </c>
      <c r="X564" s="14" t="s">
        <v>204</v>
      </c>
      <c r="Y564" s="14" t="s">
        <v>215</v>
      </c>
      <c r="Z564" s="14">
        <v>20001</v>
      </c>
      <c r="AA564" s="14" t="s">
        <v>205</v>
      </c>
      <c r="AB564" s="14">
        <v>40001</v>
      </c>
      <c r="AE564" s="29" t="s">
        <v>121</v>
      </c>
      <c r="AF564" s="14" t="s">
        <v>213</v>
      </c>
      <c r="AG564" s="14" t="s">
        <v>92</v>
      </c>
    </row>
    <row r="565" spans="2:33">
      <c r="B565" s="14">
        <f>10000000+INDEX(编号表!$B:$B,MATCH(H565,编号表!$A:$A,0))*100000+INDEX(编号表!$F:$F,MATCH(D565,编号表!$E:$E,0))*10000+INDEX(编号表!$D:$D,MATCH(AG565,编号表!$C:$C,0))*1000+F565</f>
        <v>11664002</v>
      </c>
      <c r="C565" s="14" t="s">
        <v>725</v>
      </c>
      <c r="D565" s="14" t="s">
        <v>362</v>
      </c>
      <c r="E565" s="14" t="s">
        <v>92</v>
      </c>
      <c r="F565" s="14">
        <v>2</v>
      </c>
      <c r="G565" s="14">
        <v>60</v>
      </c>
      <c r="H565" s="31" t="s">
        <v>244</v>
      </c>
      <c r="I565" s="14" t="s">
        <v>75</v>
      </c>
      <c r="J565" s="14" t="s">
        <v>201</v>
      </c>
      <c r="K565" s="14">
        <v>1</v>
      </c>
      <c r="L565" s="14" t="s">
        <v>213</v>
      </c>
      <c r="N565" s="14">
        <v>0</v>
      </c>
      <c r="O565" s="14" t="b">
        <v>1</v>
      </c>
      <c r="Q565" s="14" t="b">
        <v>0</v>
      </c>
      <c r="R565" s="14">
        <v>1</v>
      </c>
      <c r="S565" s="14" t="s">
        <v>77</v>
      </c>
      <c r="T565" s="14">
        <v>999</v>
      </c>
      <c r="U565" s="14" t="s">
        <v>214</v>
      </c>
      <c r="V565" s="14">
        <v>31664002</v>
      </c>
      <c r="X565" s="14" t="s">
        <v>204</v>
      </c>
      <c r="Y565" s="14" t="s">
        <v>215</v>
      </c>
      <c r="Z565" s="14">
        <v>20001</v>
      </c>
      <c r="AA565" s="14" t="s">
        <v>205</v>
      </c>
      <c r="AB565" s="14">
        <v>40001</v>
      </c>
      <c r="AE565" s="29" t="s">
        <v>121</v>
      </c>
      <c r="AF565" s="14" t="s">
        <v>213</v>
      </c>
      <c r="AG565" s="14" t="s">
        <v>92</v>
      </c>
    </row>
    <row r="566" spans="2:33">
      <c r="B566" s="14">
        <f>10000000+INDEX(编号表!$B:$B,MATCH(H566,编号表!$A:$A,0))*100000+INDEX(编号表!$F:$F,MATCH(D566,编号表!$E:$E,0))*10000+INDEX(编号表!$D:$D,MATCH(AG566,编号表!$C:$C,0))*1000+F566</f>
        <v>11215000</v>
      </c>
      <c r="C566" s="14" t="s">
        <v>726</v>
      </c>
      <c r="D566" s="14" t="s">
        <v>72</v>
      </c>
      <c r="E566" s="14" t="s">
        <v>95</v>
      </c>
      <c r="F566" s="14">
        <v>0</v>
      </c>
      <c r="G566" s="14">
        <v>60</v>
      </c>
      <c r="H566" s="31" t="s">
        <v>212</v>
      </c>
      <c r="I566" s="14" t="s">
        <v>75</v>
      </c>
      <c r="J566" s="14" t="s">
        <v>201</v>
      </c>
      <c r="K566" s="14">
        <v>1</v>
      </c>
      <c r="L566" s="14" t="s">
        <v>213</v>
      </c>
      <c r="N566" s="14">
        <v>0</v>
      </c>
      <c r="O566" s="14" t="b">
        <v>1</v>
      </c>
      <c r="Q566" s="14" t="b">
        <v>0</v>
      </c>
      <c r="R566" s="14">
        <v>1</v>
      </c>
      <c r="S566" s="14" t="s">
        <v>77</v>
      </c>
      <c r="T566" s="14">
        <v>999</v>
      </c>
      <c r="U566" s="14" t="s">
        <v>214</v>
      </c>
      <c r="V566" s="14">
        <v>31215000</v>
      </c>
      <c r="X566" s="14" t="s">
        <v>204</v>
      </c>
      <c r="Y566" s="14" t="s">
        <v>215</v>
      </c>
      <c r="Z566" s="14">
        <v>20001</v>
      </c>
      <c r="AA566" s="14" t="s">
        <v>205</v>
      </c>
      <c r="AB566" s="14">
        <v>40001</v>
      </c>
      <c r="AE566" s="29" t="s">
        <v>121</v>
      </c>
      <c r="AF566" s="14" t="s">
        <v>213</v>
      </c>
      <c r="AG566" s="14" t="s">
        <v>95</v>
      </c>
    </row>
    <row r="567" spans="2:33">
      <c r="B567" s="14">
        <f>10000000+INDEX(编号表!$B:$B,MATCH(H567,编号表!$A:$A,0))*100000+INDEX(编号表!$F:$F,MATCH(D567,编号表!$E:$E,0))*10000+INDEX(编号表!$D:$D,MATCH(AG567,编号表!$C:$C,0))*1000+F567</f>
        <v>11315000</v>
      </c>
      <c r="C567" s="14" t="s">
        <v>727</v>
      </c>
      <c r="D567" s="14" t="s">
        <v>72</v>
      </c>
      <c r="E567" s="14" t="s">
        <v>95</v>
      </c>
      <c r="F567" s="14">
        <v>0</v>
      </c>
      <c r="G567" s="14">
        <v>60</v>
      </c>
      <c r="H567" s="31" t="s">
        <v>217</v>
      </c>
      <c r="I567" s="14" t="s">
        <v>75</v>
      </c>
      <c r="J567" s="14" t="s">
        <v>201</v>
      </c>
      <c r="K567" s="14">
        <v>1</v>
      </c>
      <c r="L567" s="14" t="s">
        <v>213</v>
      </c>
      <c r="N567" s="14">
        <v>0</v>
      </c>
      <c r="O567" s="14" t="b">
        <v>1</v>
      </c>
      <c r="Q567" s="14" t="b">
        <v>0</v>
      </c>
      <c r="R567" s="14">
        <v>1</v>
      </c>
      <c r="S567" s="14" t="s">
        <v>77</v>
      </c>
      <c r="T567" s="14">
        <v>999</v>
      </c>
      <c r="U567" s="14" t="s">
        <v>214</v>
      </c>
      <c r="V567" s="14">
        <v>31315000</v>
      </c>
      <c r="X567" s="14" t="s">
        <v>204</v>
      </c>
      <c r="Y567" s="14" t="s">
        <v>215</v>
      </c>
      <c r="Z567" s="14">
        <v>20001</v>
      </c>
      <c r="AA567" s="14" t="s">
        <v>205</v>
      </c>
      <c r="AB567" s="14">
        <v>40001</v>
      </c>
      <c r="AE567" s="29" t="s">
        <v>121</v>
      </c>
      <c r="AF567" s="14" t="s">
        <v>213</v>
      </c>
      <c r="AG567" s="14" t="s">
        <v>95</v>
      </c>
    </row>
    <row r="568" spans="2:33">
      <c r="B568" s="14">
        <f>10000000+INDEX(编号表!$B:$B,MATCH(H568,编号表!$A:$A,0))*100000+INDEX(编号表!$F:$F,MATCH(D568,编号表!$E:$E,0))*10000+INDEX(编号表!$D:$D,MATCH(AG568,编号表!$C:$C,0))*1000+F568</f>
        <v>11315001</v>
      </c>
      <c r="C568" s="14" t="s">
        <v>728</v>
      </c>
      <c r="D568" s="14" t="s">
        <v>72</v>
      </c>
      <c r="E568" s="14" t="s">
        <v>95</v>
      </c>
      <c r="F568" s="14">
        <v>1</v>
      </c>
      <c r="G568" s="14">
        <v>60</v>
      </c>
      <c r="H568" s="31" t="s">
        <v>217</v>
      </c>
      <c r="I568" s="14" t="s">
        <v>75</v>
      </c>
      <c r="J568" s="14" t="s">
        <v>201</v>
      </c>
      <c r="K568" s="14">
        <v>1</v>
      </c>
      <c r="L568" s="14" t="s">
        <v>213</v>
      </c>
      <c r="N568" s="14">
        <v>0</v>
      </c>
      <c r="O568" s="14" t="b">
        <v>1</v>
      </c>
      <c r="Q568" s="14" t="b">
        <v>0</v>
      </c>
      <c r="R568" s="14">
        <v>1</v>
      </c>
      <c r="S568" s="14" t="s">
        <v>77</v>
      </c>
      <c r="T568" s="14">
        <v>999</v>
      </c>
      <c r="U568" s="14" t="s">
        <v>214</v>
      </c>
      <c r="V568" s="14">
        <v>31315001</v>
      </c>
      <c r="X568" s="14" t="s">
        <v>204</v>
      </c>
      <c r="Y568" s="14" t="s">
        <v>215</v>
      </c>
      <c r="Z568" s="14">
        <v>20001</v>
      </c>
      <c r="AA568" s="14" t="s">
        <v>205</v>
      </c>
      <c r="AB568" s="14">
        <v>40001</v>
      </c>
      <c r="AE568" s="29" t="s">
        <v>121</v>
      </c>
      <c r="AF568" s="14" t="s">
        <v>213</v>
      </c>
      <c r="AG568" s="14" t="s">
        <v>95</v>
      </c>
    </row>
    <row r="569" spans="2:33">
      <c r="B569" s="14">
        <f>10000000+INDEX(编号表!$B:$B,MATCH(H569,编号表!$A:$A,0))*100000+INDEX(编号表!$F:$F,MATCH(D569,编号表!$E:$E,0))*10000+INDEX(编号表!$D:$D,MATCH(AG569,编号表!$C:$C,0))*1000+F569</f>
        <v>11315002</v>
      </c>
      <c r="C569" s="14" t="s">
        <v>729</v>
      </c>
      <c r="D569" s="14" t="s">
        <v>72</v>
      </c>
      <c r="E569" s="14" t="s">
        <v>95</v>
      </c>
      <c r="F569" s="14">
        <v>2</v>
      </c>
      <c r="G569" s="14">
        <v>60</v>
      </c>
      <c r="H569" s="31" t="s">
        <v>217</v>
      </c>
      <c r="I569" s="14" t="s">
        <v>75</v>
      </c>
      <c r="J569" s="14" t="s">
        <v>201</v>
      </c>
      <c r="K569" s="14">
        <v>1</v>
      </c>
      <c r="L569" s="14" t="s">
        <v>213</v>
      </c>
      <c r="N569" s="14">
        <v>0</v>
      </c>
      <c r="O569" s="14" t="b">
        <v>1</v>
      </c>
      <c r="Q569" s="14" t="b">
        <v>0</v>
      </c>
      <c r="R569" s="14">
        <v>1</v>
      </c>
      <c r="S569" s="14" t="s">
        <v>77</v>
      </c>
      <c r="T569" s="14">
        <v>999</v>
      </c>
      <c r="U569" s="14" t="s">
        <v>214</v>
      </c>
      <c r="V569" s="14">
        <v>31315002</v>
      </c>
      <c r="X569" s="14" t="s">
        <v>204</v>
      </c>
      <c r="Y569" s="14" t="s">
        <v>215</v>
      </c>
      <c r="Z569" s="14">
        <v>20001</v>
      </c>
      <c r="AA569" s="14" t="s">
        <v>205</v>
      </c>
      <c r="AB569" s="14">
        <v>40001</v>
      </c>
      <c r="AE569" s="29" t="s">
        <v>121</v>
      </c>
      <c r="AF569" s="14" t="s">
        <v>213</v>
      </c>
      <c r="AG569" s="14" t="s">
        <v>95</v>
      </c>
    </row>
    <row r="570" spans="2:33">
      <c r="B570" s="14">
        <f>10000000+INDEX(编号表!$B:$B,MATCH(H570,编号表!$A:$A,0))*100000+INDEX(编号表!$F:$F,MATCH(D570,编号表!$E:$E,0))*10000+INDEX(编号表!$D:$D,MATCH(AG570,编号表!$C:$C,0))*1000+F570</f>
        <v>11315003</v>
      </c>
      <c r="C570" s="14" t="s">
        <v>730</v>
      </c>
      <c r="D570" s="14" t="s">
        <v>72</v>
      </c>
      <c r="E570" s="14" t="s">
        <v>95</v>
      </c>
      <c r="F570" s="14">
        <v>3</v>
      </c>
      <c r="G570" s="14">
        <v>60</v>
      </c>
      <c r="H570" s="31" t="s">
        <v>217</v>
      </c>
      <c r="I570" s="14" t="s">
        <v>75</v>
      </c>
      <c r="J570" s="14" t="s">
        <v>201</v>
      </c>
      <c r="K570" s="14">
        <v>1</v>
      </c>
      <c r="L570" s="14" t="s">
        <v>213</v>
      </c>
      <c r="N570" s="14">
        <v>0</v>
      </c>
      <c r="O570" s="14" t="b">
        <v>1</v>
      </c>
      <c r="Q570" s="14" t="b">
        <v>0</v>
      </c>
      <c r="R570" s="14">
        <v>1</v>
      </c>
      <c r="S570" s="14" t="s">
        <v>77</v>
      </c>
      <c r="T570" s="14">
        <v>999</v>
      </c>
      <c r="U570" s="14" t="s">
        <v>214</v>
      </c>
      <c r="V570" s="14">
        <v>31315003</v>
      </c>
      <c r="X570" s="14" t="s">
        <v>204</v>
      </c>
      <c r="Y570" s="14" t="s">
        <v>215</v>
      </c>
      <c r="Z570" s="14">
        <v>20001</v>
      </c>
      <c r="AA570" s="14" t="s">
        <v>205</v>
      </c>
      <c r="AB570" s="14">
        <v>40001</v>
      </c>
      <c r="AE570" s="29" t="s">
        <v>121</v>
      </c>
      <c r="AF570" s="14" t="s">
        <v>213</v>
      </c>
      <c r="AG570" s="14" t="s">
        <v>95</v>
      </c>
    </row>
    <row r="571" spans="2:33">
      <c r="B571" s="14">
        <f>10000000+INDEX(编号表!$B:$B,MATCH(H571,编号表!$A:$A,0))*100000+INDEX(编号表!$F:$F,MATCH(D571,编号表!$E:$E,0))*10000+INDEX(编号表!$D:$D,MATCH(AG571,编号表!$C:$C,0))*1000+F571</f>
        <v>11315004</v>
      </c>
      <c r="C571" s="14" t="s">
        <v>731</v>
      </c>
      <c r="D571" s="14" t="s">
        <v>72</v>
      </c>
      <c r="E571" s="14" t="s">
        <v>95</v>
      </c>
      <c r="F571" s="14">
        <v>4</v>
      </c>
      <c r="G571" s="14">
        <v>60</v>
      </c>
      <c r="H571" s="31" t="s">
        <v>217</v>
      </c>
      <c r="I571" s="14" t="s">
        <v>75</v>
      </c>
      <c r="J571" s="14" t="s">
        <v>201</v>
      </c>
      <c r="K571" s="14">
        <v>1</v>
      </c>
      <c r="L571" s="14" t="s">
        <v>213</v>
      </c>
      <c r="N571" s="14">
        <v>0</v>
      </c>
      <c r="O571" s="14" t="b">
        <v>1</v>
      </c>
      <c r="Q571" s="14" t="b">
        <v>0</v>
      </c>
      <c r="R571" s="14">
        <v>1</v>
      </c>
      <c r="S571" s="14" t="s">
        <v>77</v>
      </c>
      <c r="T571" s="14">
        <v>999</v>
      </c>
      <c r="U571" s="14" t="s">
        <v>214</v>
      </c>
      <c r="V571" s="14">
        <v>31315004</v>
      </c>
      <c r="X571" s="14" t="s">
        <v>204</v>
      </c>
      <c r="Y571" s="14" t="s">
        <v>215</v>
      </c>
      <c r="Z571" s="14">
        <v>20001</v>
      </c>
      <c r="AA571" s="14" t="s">
        <v>205</v>
      </c>
      <c r="AB571" s="14">
        <v>40001</v>
      </c>
      <c r="AE571" s="29" t="s">
        <v>121</v>
      </c>
      <c r="AF571" s="14" t="s">
        <v>213</v>
      </c>
      <c r="AG571" s="14" t="s">
        <v>95</v>
      </c>
    </row>
    <row r="572" spans="2:33">
      <c r="B572" s="14">
        <f>10000000+INDEX(编号表!$B:$B,MATCH(H572,编号表!$A:$A,0))*100000+INDEX(编号表!$F:$F,MATCH(D572,编号表!$E:$E,0))*10000+INDEX(编号表!$D:$D,MATCH(AG572,编号表!$C:$C,0))*1000+F572</f>
        <v>11315005</v>
      </c>
      <c r="C572" s="14" t="s">
        <v>732</v>
      </c>
      <c r="D572" s="14" t="s">
        <v>72</v>
      </c>
      <c r="E572" s="14" t="s">
        <v>95</v>
      </c>
      <c r="F572" s="14">
        <v>5</v>
      </c>
      <c r="G572" s="14">
        <v>60</v>
      </c>
      <c r="H572" s="31" t="s">
        <v>217</v>
      </c>
      <c r="I572" s="14" t="s">
        <v>75</v>
      </c>
      <c r="J572" s="14" t="s">
        <v>201</v>
      </c>
      <c r="K572" s="14">
        <v>1</v>
      </c>
      <c r="L572" s="14" t="s">
        <v>213</v>
      </c>
      <c r="N572" s="14">
        <v>0</v>
      </c>
      <c r="O572" s="14" t="b">
        <v>1</v>
      </c>
      <c r="Q572" s="14" t="b">
        <v>0</v>
      </c>
      <c r="R572" s="14">
        <v>1</v>
      </c>
      <c r="S572" s="14" t="s">
        <v>77</v>
      </c>
      <c r="T572" s="14">
        <v>999</v>
      </c>
      <c r="U572" s="14" t="s">
        <v>214</v>
      </c>
      <c r="V572" s="14">
        <v>31315005</v>
      </c>
      <c r="X572" s="14" t="s">
        <v>204</v>
      </c>
      <c r="Y572" s="14" t="s">
        <v>215</v>
      </c>
      <c r="Z572" s="14">
        <v>20001</v>
      </c>
      <c r="AA572" s="14" t="s">
        <v>205</v>
      </c>
      <c r="AB572" s="14">
        <v>40001</v>
      </c>
      <c r="AE572" s="29" t="s">
        <v>121</v>
      </c>
      <c r="AF572" s="14" t="s">
        <v>213</v>
      </c>
      <c r="AG572" s="14" t="s">
        <v>95</v>
      </c>
    </row>
    <row r="573" spans="2:33">
      <c r="B573" s="14">
        <f>10000000+INDEX(编号表!$B:$B,MATCH(H573,编号表!$A:$A,0))*100000+INDEX(编号表!$F:$F,MATCH(D573,编号表!$E:$E,0))*10000+INDEX(编号表!$D:$D,MATCH(AG573,编号表!$C:$C,0))*1000+F573</f>
        <v>11315006</v>
      </c>
      <c r="C573" s="14" t="s">
        <v>733</v>
      </c>
      <c r="D573" s="14" t="s">
        <v>72</v>
      </c>
      <c r="E573" s="14" t="s">
        <v>95</v>
      </c>
      <c r="F573" s="14">
        <v>6</v>
      </c>
      <c r="G573" s="14">
        <v>60</v>
      </c>
      <c r="H573" s="31" t="s">
        <v>217</v>
      </c>
      <c r="I573" s="14" t="s">
        <v>75</v>
      </c>
      <c r="J573" s="14" t="s">
        <v>201</v>
      </c>
      <c r="K573" s="14">
        <v>1</v>
      </c>
      <c r="L573" s="14" t="s">
        <v>213</v>
      </c>
      <c r="N573" s="14">
        <v>0</v>
      </c>
      <c r="O573" s="14" t="b">
        <v>1</v>
      </c>
      <c r="Q573" s="14" t="b">
        <v>0</v>
      </c>
      <c r="R573" s="14">
        <v>1</v>
      </c>
      <c r="S573" s="14" t="s">
        <v>77</v>
      </c>
      <c r="T573" s="14">
        <v>999</v>
      </c>
      <c r="U573" s="14" t="s">
        <v>214</v>
      </c>
      <c r="V573" s="14">
        <v>31315006</v>
      </c>
      <c r="X573" s="14" t="s">
        <v>204</v>
      </c>
      <c r="Y573" s="14" t="s">
        <v>215</v>
      </c>
      <c r="Z573" s="14">
        <v>20001</v>
      </c>
      <c r="AA573" s="14" t="s">
        <v>205</v>
      </c>
      <c r="AB573" s="14">
        <v>40001</v>
      </c>
      <c r="AE573" s="29" t="s">
        <v>121</v>
      </c>
      <c r="AF573" s="14" t="s">
        <v>213</v>
      </c>
      <c r="AG573" s="14" t="s">
        <v>95</v>
      </c>
    </row>
    <row r="574" spans="2:33">
      <c r="B574" s="14">
        <f>10000000+INDEX(编号表!$B:$B,MATCH(H574,编号表!$A:$A,0))*100000+INDEX(编号表!$F:$F,MATCH(D574,编号表!$E:$E,0))*10000+INDEX(编号表!$D:$D,MATCH(AG574,编号表!$C:$C,0))*1000+F574</f>
        <v>11315007</v>
      </c>
      <c r="C574" s="14" t="s">
        <v>734</v>
      </c>
      <c r="D574" s="14" t="s">
        <v>72</v>
      </c>
      <c r="E574" s="14" t="s">
        <v>95</v>
      </c>
      <c r="F574" s="14">
        <v>7</v>
      </c>
      <c r="G574" s="14">
        <v>60</v>
      </c>
      <c r="H574" s="31" t="s">
        <v>217</v>
      </c>
      <c r="I574" s="14" t="s">
        <v>75</v>
      </c>
      <c r="J574" s="14" t="s">
        <v>201</v>
      </c>
      <c r="K574" s="14">
        <v>1</v>
      </c>
      <c r="L574" s="14" t="s">
        <v>213</v>
      </c>
      <c r="N574" s="14">
        <v>0</v>
      </c>
      <c r="O574" s="14" t="b">
        <v>1</v>
      </c>
      <c r="Q574" s="14" t="b">
        <v>0</v>
      </c>
      <c r="R574" s="14">
        <v>1</v>
      </c>
      <c r="S574" s="14" t="s">
        <v>77</v>
      </c>
      <c r="T574" s="14">
        <v>999</v>
      </c>
      <c r="U574" s="14" t="s">
        <v>214</v>
      </c>
      <c r="V574" s="14">
        <v>31315007</v>
      </c>
      <c r="X574" s="14" t="s">
        <v>204</v>
      </c>
      <c r="Y574" s="14" t="s">
        <v>215</v>
      </c>
      <c r="Z574" s="14">
        <v>20001</v>
      </c>
      <c r="AA574" s="14" t="s">
        <v>205</v>
      </c>
      <c r="AB574" s="14">
        <v>40001</v>
      </c>
      <c r="AE574" s="29" t="s">
        <v>121</v>
      </c>
      <c r="AF574" s="14" t="s">
        <v>213</v>
      </c>
      <c r="AG574" s="14" t="s">
        <v>95</v>
      </c>
    </row>
    <row r="575" spans="2:33">
      <c r="B575" s="14">
        <f>10000000+INDEX(编号表!$B:$B,MATCH(H575,编号表!$A:$A,0))*100000+INDEX(编号表!$F:$F,MATCH(D575,编号表!$E:$E,0))*10000+INDEX(编号表!$D:$D,MATCH(AG575,编号表!$C:$C,0))*1000+F575</f>
        <v>11315008</v>
      </c>
      <c r="C575" s="14" t="s">
        <v>735</v>
      </c>
      <c r="D575" s="14" t="s">
        <v>72</v>
      </c>
      <c r="E575" s="14" t="s">
        <v>95</v>
      </c>
      <c r="F575" s="14">
        <v>8</v>
      </c>
      <c r="G575" s="14">
        <v>60</v>
      </c>
      <c r="H575" s="31" t="s">
        <v>217</v>
      </c>
      <c r="I575" s="14" t="s">
        <v>75</v>
      </c>
      <c r="J575" s="14" t="s">
        <v>201</v>
      </c>
      <c r="K575" s="14">
        <v>1</v>
      </c>
      <c r="L575" s="14" t="s">
        <v>213</v>
      </c>
      <c r="N575" s="14">
        <v>0</v>
      </c>
      <c r="O575" s="14" t="b">
        <v>1</v>
      </c>
      <c r="Q575" s="14" t="b">
        <v>0</v>
      </c>
      <c r="R575" s="14">
        <v>1</v>
      </c>
      <c r="S575" s="14" t="s">
        <v>77</v>
      </c>
      <c r="T575" s="14">
        <v>999</v>
      </c>
      <c r="U575" s="14" t="s">
        <v>214</v>
      </c>
      <c r="V575" s="14">
        <v>31315008</v>
      </c>
      <c r="X575" s="14" t="s">
        <v>204</v>
      </c>
      <c r="Y575" s="14" t="s">
        <v>215</v>
      </c>
      <c r="Z575" s="14">
        <v>20001</v>
      </c>
      <c r="AA575" s="14" t="s">
        <v>205</v>
      </c>
      <c r="AB575" s="14">
        <v>40001</v>
      </c>
      <c r="AE575" s="29" t="s">
        <v>121</v>
      </c>
      <c r="AF575" s="14" t="s">
        <v>213</v>
      </c>
      <c r="AG575" s="14" t="s">
        <v>95</v>
      </c>
    </row>
    <row r="576" spans="2:33">
      <c r="B576" s="14">
        <f>10000000+INDEX(编号表!$B:$B,MATCH(H576,编号表!$A:$A,0))*100000+INDEX(编号表!$F:$F,MATCH(D576,编号表!$E:$E,0))*10000+INDEX(编号表!$D:$D,MATCH(AG576,编号表!$C:$C,0))*1000+F576</f>
        <v>11315009</v>
      </c>
      <c r="C576" s="14" t="s">
        <v>736</v>
      </c>
      <c r="D576" s="14" t="s">
        <v>72</v>
      </c>
      <c r="E576" s="14" t="s">
        <v>95</v>
      </c>
      <c r="F576" s="14">
        <v>9</v>
      </c>
      <c r="G576" s="14">
        <v>60</v>
      </c>
      <c r="H576" s="31" t="s">
        <v>217</v>
      </c>
      <c r="I576" s="14" t="s">
        <v>75</v>
      </c>
      <c r="J576" s="14" t="s">
        <v>201</v>
      </c>
      <c r="K576" s="14">
        <v>1</v>
      </c>
      <c r="L576" s="14" t="s">
        <v>213</v>
      </c>
      <c r="N576" s="14">
        <v>0</v>
      </c>
      <c r="O576" s="14" t="b">
        <v>1</v>
      </c>
      <c r="Q576" s="14" t="b">
        <v>0</v>
      </c>
      <c r="R576" s="14">
        <v>1</v>
      </c>
      <c r="S576" s="14" t="s">
        <v>77</v>
      </c>
      <c r="T576" s="14">
        <v>999</v>
      </c>
      <c r="U576" s="14" t="s">
        <v>214</v>
      </c>
      <c r="V576" s="14">
        <v>31315009</v>
      </c>
      <c r="X576" s="14" t="s">
        <v>204</v>
      </c>
      <c r="Y576" s="14" t="s">
        <v>215</v>
      </c>
      <c r="Z576" s="14">
        <v>20001</v>
      </c>
      <c r="AA576" s="14" t="s">
        <v>205</v>
      </c>
      <c r="AB576" s="14">
        <v>40001</v>
      </c>
      <c r="AE576" s="29" t="s">
        <v>121</v>
      </c>
      <c r="AF576" s="14" t="s">
        <v>213</v>
      </c>
      <c r="AG576" s="14" t="s">
        <v>95</v>
      </c>
    </row>
    <row r="577" spans="2:33">
      <c r="B577" s="14">
        <f>10000000+INDEX(编号表!$B:$B,MATCH(H577,编号表!$A:$A,0))*100000+INDEX(编号表!$F:$F,MATCH(D577,编号表!$E:$E,0))*10000+INDEX(编号表!$D:$D,MATCH(AG577,编号表!$C:$C,0))*1000+F577</f>
        <v>11515000</v>
      </c>
      <c r="C577" s="14" t="s">
        <v>737</v>
      </c>
      <c r="D577" s="14" t="s">
        <v>72</v>
      </c>
      <c r="E577" s="14" t="s">
        <v>95</v>
      </c>
      <c r="F577" s="14">
        <v>0</v>
      </c>
      <c r="G577" s="14">
        <v>60</v>
      </c>
      <c r="H577" s="31" t="s">
        <v>228</v>
      </c>
      <c r="I577" s="14" t="s">
        <v>75</v>
      </c>
      <c r="J577" s="14" t="s">
        <v>201</v>
      </c>
      <c r="K577" s="14">
        <v>1</v>
      </c>
      <c r="L577" s="14" t="s">
        <v>213</v>
      </c>
      <c r="N577" s="14">
        <v>0</v>
      </c>
      <c r="O577" s="14" t="b">
        <v>1</v>
      </c>
      <c r="Q577" s="14" t="b">
        <v>0</v>
      </c>
      <c r="R577" s="14">
        <v>1</v>
      </c>
      <c r="S577" s="14" t="s">
        <v>77</v>
      </c>
      <c r="T577" s="14">
        <v>999</v>
      </c>
      <c r="U577" s="14" t="s">
        <v>214</v>
      </c>
      <c r="V577" s="14">
        <v>31515000</v>
      </c>
      <c r="X577" s="14" t="s">
        <v>204</v>
      </c>
      <c r="Y577" s="14" t="s">
        <v>215</v>
      </c>
      <c r="Z577" s="14">
        <v>20001</v>
      </c>
      <c r="AA577" s="14" t="s">
        <v>205</v>
      </c>
      <c r="AB577" s="14">
        <v>40001</v>
      </c>
      <c r="AE577" s="29" t="s">
        <v>121</v>
      </c>
      <c r="AF577" s="14" t="s">
        <v>213</v>
      </c>
      <c r="AG577" s="14" t="s">
        <v>95</v>
      </c>
    </row>
    <row r="578" spans="2:33">
      <c r="B578" s="14">
        <f>10000000+INDEX(编号表!$B:$B,MATCH(H578,编号表!$A:$A,0))*100000+INDEX(编号表!$F:$F,MATCH(D578,编号表!$E:$E,0))*10000+INDEX(编号表!$D:$D,MATCH(AG578,编号表!$C:$C,0))*1000+F578</f>
        <v>11515001</v>
      </c>
      <c r="C578" s="14" t="s">
        <v>738</v>
      </c>
      <c r="D578" s="14" t="s">
        <v>72</v>
      </c>
      <c r="E578" s="14" t="s">
        <v>95</v>
      </c>
      <c r="F578" s="14">
        <v>1</v>
      </c>
      <c r="G578" s="14">
        <v>60</v>
      </c>
      <c r="H578" s="31" t="s">
        <v>228</v>
      </c>
      <c r="I578" s="14" t="s">
        <v>75</v>
      </c>
      <c r="J578" s="14" t="s">
        <v>201</v>
      </c>
      <c r="K578" s="14">
        <v>1</v>
      </c>
      <c r="L578" s="14" t="s">
        <v>213</v>
      </c>
      <c r="N578" s="14">
        <v>0</v>
      </c>
      <c r="O578" s="14" t="b">
        <v>1</v>
      </c>
      <c r="Q578" s="14" t="b">
        <v>0</v>
      </c>
      <c r="R578" s="14">
        <v>1</v>
      </c>
      <c r="S578" s="14" t="s">
        <v>77</v>
      </c>
      <c r="T578" s="14">
        <v>999</v>
      </c>
      <c r="U578" s="14" t="s">
        <v>214</v>
      </c>
      <c r="V578" s="14">
        <v>31515001</v>
      </c>
      <c r="X578" s="14" t="s">
        <v>204</v>
      </c>
      <c r="Y578" s="14" t="s">
        <v>215</v>
      </c>
      <c r="Z578" s="14">
        <v>20001</v>
      </c>
      <c r="AA578" s="14" t="s">
        <v>205</v>
      </c>
      <c r="AB578" s="14">
        <v>40001</v>
      </c>
      <c r="AE578" s="29" t="s">
        <v>121</v>
      </c>
      <c r="AF578" s="14" t="s">
        <v>213</v>
      </c>
      <c r="AG578" s="14" t="s">
        <v>95</v>
      </c>
    </row>
    <row r="579" spans="2:33">
      <c r="B579" s="14">
        <f>10000000+INDEX(编号表!$B:$B,MATCH(H579,编号表!$A:$A,0))*100000+INDEX(编号表!$F:$F,MATCH(D579,编号表!$E:$E,0))*10000+INDEX(编号表!$D:$D,MATCH(AG579,编号表!$C:$C,0))*1000+F579</f>
        <v>11515002</v>
      </c>
      <c r="C579" s="14" t="s">
        <v>739</v>
      </c>
      <c r="D579" s="14" t="s">
        <v>72</v>
      </c>
      <c r="E579" s="14" t="s">
        <v>95</v>
      </c>
      <c r="F579" s="14">
        <v>2</v>
      </c>
      <c r="G579" s="14">
        <v>60</v>
      </c>
      <c r="H579" s="31" t="s">
        <v>228</v>
      </c>
      <c r="I579" s="14" t="s">
        <v>75</v>
      </c>
      <c r="J579" s="14" t="s">
        <v>201</v>
      </c>
      <c r="K579" s="14">
        <v>1</v>
      </c>
      <c r="L579" s="14" t="s">
        <v>213</v>
      </c>
      <c r="N579" s="14">
        <v>0</v>
      </c>
      <c r="O579" s="14" t="b">
        <v>1</v>
      </c>
      <c r="Q579" s="14" t="b">
        <v>0</v>
      </c>
      <c r="R579" s="14">
        <v>1</v>
      </c>
      <c r="S579" s="14" t="s">
        <v>77</v>
      </c>
      <c r="T579" s="14">
        <v>999</v>
      </c>
      <c r="U579" s="14" t="s">
        <v>214</v>
      </c>
      <c r="V579" s="14">
        <v>31515002</v>
      </c>
      <c r="X579" s="14" t="s">
        <v>204</v>
      </c>
      <c r="Y579" s="14" t="s">
        <v>215</v>
      </c>
      <c r="Z579" s="14">
        <v>20001</v>
      </c>
      <c r="AA579" s="14" t="s">
        <v>205</v>
      </c>
      <c r="AB579" s="14">
        <v>40001</v>
      </c>
      <c r="AE579" s="29" t="s">
        <v>121</v>
      </c>
      <c r="AF579" s="14" t="s">
        <v>213</v>
      </c>
      <c r="AG579" s="14" t="s">
        <v>95</v>
      </c>
    </row>
    <row r="580" spans="2:33">
      <c r="B580" s="14">
        <f>10000000+INDEX(编号表!$B:$B,MATCH(H580,编号表!$A:$A,0))*100000+INDEX(编号表!$F:$F,MATCH(D580,编号表!$E:$E,0))*10000+INDEX(编号表!$D:$D,MATCH(AG580,编号表!$C:$C,0))*1000+F580</f>
        <v>11515003</v>
      </c>
      <c r="C580" s="14" t="s">
        <v>740</v>
      </c>
      <c r="D580" s="14" t="s">
        <v>72</v>
      </c>
      <c r="E580" s="14" t="s">
        <v>95</v>
      </c>
      <c r="F580" s="14">
        <v>3</v>
      </c>
      <c r="G580" s="14">
        <v>60</v>
      </c>
      <c r="H580" s="31" t="s">
        <v>228</v>
      </c>
      <c r="I580" s="14" t="s">
        <v>75</v>
      </c>
      <c r="J580" s="14" t="s">
        <v>201</v>
      </c>
      <c r="K580" s="14">
        <v>1</v>
      </c>
      <c r="L580" s="14" t="s">
        <v>213</v>
      </c>
      <c r="N580" s="14">
        <v>0</v>
      </c>
      <c r="O580" s="14" t="b">
        <v>1</v>
      </c>
      <c r="Q580" s="14" t="b">
        <v>0</v>
      </c>
      <c r="R580" s="14">
        <v>1</v>
      </c>
      <c r="S580" s="14" t="s">
        <v>77</v>
      </c>
      <c r="T580" s="14">
        <v>999</v>
      </c>
      <c r="U580" s="14" t="s">
        <v>214</v>
      </c>
      <c r="V580" s="14">
        <v>31515003</v>
      </c>
      <c r="X580" s="14" t="s">
        <v>204</v>
      </c>
      <c r="Y580" s="14" t="s">
        <v>215</v>
      </c>
      <c r="Z580" s="14">
        <v>20001</v>
      </c>
      <c r="AA580" s="14" t="s">
        <v>205</v>
      </c>
      <c r="AB580" s="14">
        <v>40001</v>
      </c>
      <c r="AE580" s="29" t="s">
        <v>121</v>
      </c>
      <c r="AF580" s="14" t="s">
        <v>213</v>
      </c>
      <c r="AG580" s="14" t="s">
        <v>95</v>
      </c>
    </row>
    <row r="581" spans="2:33">
      <c r="B581" s="14">
        <f>10000000+INDEX(编号表!$B:$B,MATCH(H581,编号表!$A:$A,0))*100000+INDEX(编号表!$F:$F,MATCH(D581,编号表!$E:$E,0))*10000+INDEX(编号表!$D:$D,MATCH(AG581,编号表!$C:$C,0))*1000+F581</f>
        <v>11515004</v>
      </c>
      <c r="C581" s="14" t="s">
        <v>741</v>
      </c>
      <c r="D581" s="14" t="s">
        <v>72</v>
      </c>
      <c r="E581" s="14" t="s">
        <v>95</v>
      </c>
      <c r="F581" s="14">
        <v>4</v>
      </c>
      <c r="G581" s="14">
        <v>60</v>
      </c>
      <c r="H581" s="31" t="s">
        <v>228</v>
      </c>
      <c r="I581" s="14" t="s">
        <v>75</v>
      </c>
      <c r="J581" s="14" t="s">
        <v>201</v>
      </c>
      <c r="K581" s="14">
        <v>1</v>
      </c>
      <c r="L581" s="14" t="s">
        <v>213</v>
      </c>
      <c r="N581" s="14">
        <v>0</v>
      </c>
      <c r="O581" s="14" t="b">
        <v>1</v>
      </c>
      <c r="Q581" s="14" t="b">
        <v>0</v>
      </c>
      <c r="R581" s="14">
        <v>1</v>
      </c>
      <c r="S581" s="14" t="s">
        <v>77</v>
      </c>
      <c r="T581" s="14">
        <v>999</v>
      </c>
      <c r="U581" s="14" t="s">
        <v>214</v>
      </c>
      <c r="V581" s="14">
        <v>31515004</v>
      </c>
      <c r="X581" s="14" t="s">
        <v>204</v>
      </c>
      <c r="Y581" s="14" t="s">
        <v>215</v>
      </c>
      <c r="Z581" s="14">
        <v>20001</v>
      </c>
      <c r="AA581" s="14" t="s">
        <v>205</v>
      </c>
      <c r="AB581" s="14">
        <v>40001</v>
      </c>
      <c r="AE581" s="29" t="s">
        <v>121</v>
      </c>
      <c r="AF581" s="14" t="s">
        <v>213</v>
      </c>
      <c r="AG581" s="14" t="s">
        <v>95</v>
      </c>
    </row>
    <row r="582" spans="2:33">
      <c r="B582" s="14">
        <f>10000000+INDEX(编号表!$B:$B,MATCH(H582,编号表!$A:$A,0))*100000+INDEX(编号表!$F:$F,MATCH(D582,编号表!$E:$E,0))*10000+INDEX(编号表!$D:$D,MATCH(AG582,编号表!$C:$C,0))*1000+F582</f>
        <v>11515005</v>
      </c>
      <c r="C582" s="14" t="s">
        <v>742</v>
      </c>
      <c r="D582" s="14" t="s">
        <v>72</v>
      </c>
      <c r="E582" s="14" t="s">
        <v>95</v>
      </c>
      <c r="F582" s="14">
        <v>5</v>
      </c>
      <c r="G582" s="14">
        <v>60</v>
      </c>
      <c r="H582" s="31" t="s">
        <v>228</v>
      </c>
      <c r="I582" s="14" t="s">
        <v>75</v>
      </c>
      <c r="J582" s="14" t="s">
        <v>201</v>
      </c>
      <c r="K582" s="14">
        <v>1</v>
      </c>
      <c r="L582" s="14" t="s">
        <v>213</v>
      </c>
      <c r="N582" s="14">
        <v>0</v>
      </c>
      <c r="O582" s="14" t="b">
        <v>1</v>
      </c>
      <c r="Q582" s="14" t="b">
        <v>0</v>
      </c>
      <c r="R582" s="14">
        <v>1</v>
      </c>
      <c r="S582" s="14" t="s">
        <v>77</v>
      </c>
      <c r="T582" s="14">
        <v>999</v>
      </c>
      <c r="U582" s="14" t="s">
        <v>214</v>
      </c>
      <c r="V582" s="14">
        <v>31515005</v>
      </c>
      <c r="X582" s="14" t="s">
        <v>204</v>
      </c>
      <c r="Y582" s="14" t="s">
        <v>215</v>
      </c>
      <c r="Z582" s="14">
        <v>20001</v>
      </c>
      <c r="AA582" s="14" t="s">
        <v>205</v>
      </c>
      <c r="AB582" s="14">
        <v>40001</v>
      </c>
      <c r="AE582" s="29" t="s">
        <v>121</v>
      </c>
      <c r="AF582" s="14" t="s">
        <v>213</v>
      </c>
      <c r="AG582" s="14" t="s">
        <v>95</v>
      </c>
    </row>
    <row r="583" spans="2:33">
      <c r="B583" s="14">
        <f>10000000+INDEX(编号表!$B:$B,MATCH(H583,编号表!$A:$A,0))*100000+INDEX(编号表!$F:$F,MATCH(D583,编号表!$E:$E,0))*10000+INDEX(编号表!$D:$D,MATCH(AG583,编号表!$C:$C,0))*1000+F583</f>
        <v>11515006</v>
      </c>
      <c r="C583" s="14" t="s">
        <v>743</v>
      </c>
      <c r="D583" s="14" t="s">
        <v>72</v>
      </c>
      <c r="E583" s="14" t="s">
        <v>95</v>
      </c>
      <c r="F583" s="14">
        <v>6</v>
      </c>
      <c r="G583" s="14">
        <v>60</v>
      </c>
      <c r="H583" s="31" t="s">
        <v>228</v>
      </c>
      <c r="I583" s="14" t="s">
        <v>75</v>
      </c>
      <c r="J583" s="14" t="s">
        <v>201</v>
      </c>
      <c r="K583" s="14">
        <v>1</v>
      </c>
      <c r="L583" s="14" t="s">
        <v>213</v>
      </c>
      <c r="N583" s="14">
        <v>0</v>
      </c>
      <c r="O583" s="14" t="b">
        <v>1</v>
      </c>
      <c r="Q583" s="14" t="b">
        <v>0</v>
      </c>
      <c r="R583" s="14">
        <v>1</v>
      </c>
      <c r="S583" s="14" t="s">
        <v>77</v>
      </c>
      <c r="T583" s="14">
        <v>999</v>
      </c>
      <c r="U583" s="14" t="s">
        <v>214</v>
      </c>
      <c r="V583" s="14">
        <v>31515006</v>
      </c>
      <c r="X583" s="14" t="s">
        <v>204</v>
      </c>
      <c r="Y583" s="14" t="s">
        <v>215</v>
      </c>
      <c r="Z583" s="14">
        <v>20001</v>
      </c>
      <c r="AA583" s="14" t="s">
        <v>205</v>
      </c>
      <c r="AB583" s="14">
        <v>40001</v>
      </c>
      <c r="AE583" s="29" t="s">
        <v>121</v>
      </c>
      <c r="AF583" s="14" t="s">
        <v>213</v>
      </c>
      <c r="AG583" s="14" t="s">
        <v>95</v>
      </c>
    </row>
    <row r="584" spans="2:33">
      <c r="B584" s="14">
        <f>10000000+INDEX(编号表!$B:$B,MATCH(H584,编号表!$A:$A,0))*100000+INDEX(编号表!$F:$F,MATCH(D584,编号表!$E:$E,0))*10000+INDEX(编号表!$D:$D,MATCH(AG584,编号表!$C:$C,0))*1000+F584</f>
        <v>11515007</v>
      </c>
      <c r="C584" s="14" t="s">
        <v>744</v>
      </c>
      <c r="D584" s="14" t="s">
        <v>72</v>
      </c>
      <c r="E584" s="14" t="s">
        <v>95</v>
      </c>
      <c r="F584" s="14">
        <v>7</v>
      </c>
      <c r="G584" s="14">
        <v>60</v>
      </c>
      <c r="H584" s="31" t="s">
        <v>228</v>
      </c>
      <c r="I584" s="14" t="s">
        <v>75</v>
      </c>
      <c r="J584" s="14" t="s">
        <v>201</v>
      </c>
      <c r="K584" s="14">
        <v>1</v>
      </c>
      <c r="L584" s="14" t="s">
        <v>213</v>
      </c>
      <c r="N584" s="14">
        <v>0</v>
      </c>
      <c r="O584" s="14" t="b">
        <v>1</v>
      </c>
      <c r="Q584" s="14" t="b">
        <v>0</v>
      </c>
      <c r="R584" s="14">
        <v>1</v>
      </c>
      <c r="S584" s="14" t="s">
        <v>77</v>
      </c>
      <c r="T584" s="14">
        <v>999</v>
      </c>
      <c r="U584" s="14" t="s">
        <v>214</v>
      </c>
      <c r="V584" s="14">
        <v>31515007</v>
      </c>
      <c r="X584" s="14" t="s">
        <v>204</v>
      </c>
      <c r="Y584" s="14" t="s">
        <v>215</v>
      </c>
      <c r="Z584" s="14">
        <v>20001</v>
      </c>
      <c r="AA584" s="14" t="s">
        <v>205</v>
      </c>
      <c r="AB584" s="14">
        <v>40001</v>
      </c>
      <c r="AE584" s="29" t="s">
        <v>121</v>
      </c>
      <c r="AF584" s="14" t="s">
        <v>213</v>
      </c>
      <c r="AG584" s="14" t="s">
        <v>95</v>
      </c>
    </row>
    <row r="585" spans="2:33">
      <c r="B585" s="14">
        <f>10000000+INDEX(编号表!$B:$B,MATCH(H585,编号表!$A:$A,0))*100000+INDEX(编号表!$F:$F,MATCH(D585,编号表!$E:$E,0))*10000+INDEX(编号表!$D:$D,MATCH(AG585,编号表!$C:$C,0))*1000+F585</f>
        <v>11515008</v>
      </c>
      <c r="C585" s="14" t="s">
        <v>745</v>
      </c>
      <c r="D585" s="14" t="s">
        <v>72</v>
      </c>
      <c r="E585" s="14" t="s">
        <v>95</v>
      </c>
      <c r="F585" s="14">
        <v>8</v>
      </c>
      <c r="G585" s="14">
        <v>60</v>
      </c>
      <c r="H585" s="31" t="s">
        <v>228</v>
      </c>
      <c r="I585" s="14" t="s">
        <v>75</v>
      </c>
      <c r="J585" s="14" t="s">
        <v>201</v>
      </c>
      <c r="K585" s="14">
        <v>1</v>
      </c>
      <c r="L585" s="14" t="s">
        <v>213</v>
      </c>
      <c r="N585" s="14">
        <v>0</v>
      </c>
      <c r="O585" s="14" t="b">
        <v>1</v>
      </c>
      <c r="Q585" s="14" t="b">
        <v>0</v>
      </c>
      <c r="R585" s="14">
        <v>1</v>
      </c>
      <c r="S585" s="14" t="s">
        <v>77</v>
      </c>
      <c r="T585" s="14">
        <v>999</v>
      </c>
      <c r="U585" s="14" t="s">
        <v>214</v>
      </c>
      <c r="V585" s="14">
        <v>31515008</v>
      </c>
      <c r="X585" s="14" t="s">
        <v>204</v>
      </c>
      <c r="Y585" s="14" t="s">
        <v>215</v>
      </c>
      <c r="Z585" s="14">
        <v>20001</v>
      </c>
      <c r="AA585" s="14" t="s">
        <v>205</v>
      </c>
      <c r="AB585" s="14">
        <v>40001</v>
      </c>
      <c r="AE585" s="29" t="s">
        <v>121</v>
      </c>
      <c r="AF585" s="14" t="s">
        <v>213</v>
      </c>
      <c r="AG585" s="14" t="s">
        <v>95</v>
      </c>
    </row>
    <row r="586" spans="2:33">
      <c r="B586" s="14">
        <f>10000000+INDEX(编号表!$B:$B,MATCH(H586,编号表!$A:$A,0))*100000+INDEX(编号表!$F:$F,MATCH(D586,编号表!$E:$E,0))*10000+INDEX(编号表!$D:$D,MATCH(AG586,编号表!$C:$C,0))*1000+F586</f>
        <v>11515009</v>
      </c>
      <c r="C586" s="14" t="s">
        <v>746</v>
      </c>
      <c r="D586" s="14" t="s">
        <v>72</v>
      </c>
      <c r="E586" s="14" t="s">
        <v>95</v>
      </c>
      <c r="F586" s="14">
        <v>9</v>
      </c>
      <c r="G586" s="14">
        <v>60</v>
      </c>
      <c r="H586" s="31" t="s">
        <v>228</v>
      </c>
      <c r="I586" s="14" t="s">
        <v>75</v>
      </c>
      <c r="J586" s="14" t="s">
        <v>201</v>
      </c>
      <c r="K586" s="14">
        <v>1</v>
      </c>
      <c r="L586" s="14" t="s">
        <v>213</v>
      </c>
      <c r="N586" s="14">
        <v>0</v>
      </c>
      <c r="O586" s="14" t="b">
        <v>1</v>
      </c>
      <c r="Q586" s="14" t="b">
        <v>0</v>
      </c>
      <c r="R586" s="14">
        <v>1</v>
      </c>
      <c r="S586" s="14" t="s">
        <v>77</v>
      </c>
      <c r="T586" s="14">
        <v>999</v>
      </c>
      <c r="U586" s="14" t="s">
        <v>214</v>
      </c>
      <c r="V586" s="14">
        <v>31515009</v>
      </c>
      <c r="X586" s="14" t="s">
        <v>204</v>
      </c>
      <c r="Y586" s="14" t="s">
        <v>215</v>
      </c>
      <c r="Z586" s="14">
        <v>20001</v>
      </c>
      <c r="AA586" s="14" t="s">
        <v>205</v>
      </c>
      <c r="AB586" s="14">
        <v>40001</v>
      </c>
      <c r="AE586" s="29" t="s">
        <v>121</v>
      </c>
      <c r="AF586" s="14" t="s">
        <v>213</v>
      </c>
      <c r="AG586" s="14" t="s">
        <v>95</v>
      </c>
    </row>
    <row r="587" spans="2:33">
      <c r="B587" s="14">
        <f>10000000+INDEX(编号表!$B:$B,MATCH(H587,编号表!$A:$A,0))*100000+INDEX(编号表!$F:$F,MATCH(D587,编号表!$E:$E,0))*10000+INDEX(编号表!$D:$D,MATCH(AG587,编号表!$C:$C,0))*1000+F587</f>
        <v>11415000</v>
      </c>
      <c r="C587" s="14" t="s">
        <v>747</v>
      </c>
      <c r="D587" s="14" t="s">
        <v>72</v>
      </c>
      <c r="E587" s="14" t="s">
        <v>95</v>
      </c>
      <c r="F587" s="14">
        <v>0</v>
      </c>
      <c r="G587" s="14">
        <v>60</v>
      </c>
      <c r="H587" s="31" t="s">
        <v>239</v>
      </c>
      <c r="I587" s="14" t="s">
        <v>75</v>
      </c>
      <c r="J587" s="14" t="s">
        <v>201</v>
      </c>
      <c r="K587" s="14">
        <v>1</v>
      </c>
      <c r="L587" s="14" t="s">
        <v>213</v>
      </c>
      <c r="N587" s="14">
        <v>0</v>
      </c>
      <c r="O587" s="14" t="b">
        <v>1</v>
      </c>
      <c r="Q587" s="14" t="b">
        <v>0</v>
      </c>
      <c r="R587" s="14">
        <v>1</v>
      </c>
      <c r="S587" s="14" t="s">
        <v>77</v>
      </c>
      <c r="T587" s="14">
        <v>999</v>
      </c>
      <c r="U587" s="14" t="s">
        <v>214</v>
      </c>
      <c r="V587" s="14">
        <v>31415000</v>
      </c>
      <c r="X587" s="14" t="s">
        <v>204</v>
      </c>
      <c r="Y587" s="14" t="s">
        <v>215</v>
      </c>
      <c r="Z587" s="14">
        <v>20001</v>
      </c>
      <c r="AA587" s="14" t="s">
        <v>205</v>
      </c>
      <c r="AB587" s="14">
        <v>40001</v>
      </c>
      <c r="AE587" s="29" t="s">
        <v>121</v>
      </c>
      <c r="AF587" s="14" t="s">
        <v>213</v>
      </c>
      <c r="AG587" s="14" t="s">
        <v>95</v>
      </c>
    </row>
    <row r="588" spans="2:33">
      <c r="B588" s="14">
        <f>10000000+INDEX(编号表!$B:$B,MATCH(H588,编号表!$A:$A,0))*100000+INDEX(编号表!$F:$F,MATCH(D588,编号表!$E:$E,0))*10000+INDEX(编号表!$D:$D,MATCH(AG588,编号表!$C:$C,0))*1000+F588</f>
        <v>11415001</v>
      </c>
      <c r="C588" s="14" t="s">
        <v>748</v>
      </c>
      <c r="D588" s="14" t="s">
        <v>72</v>
      </c>
      <c r="E588" s="14" t="s">
        <v>95</v>
      </c>
      <c r="F588" s="14">
        <v>1</v>
      </c>
      <c r="G588" s="14">
        <v>60</v>
      </c>
      <c r="H588" s="31" t="s">
        <v>239</v>
      </c>
      <c r="I588" s="14" t="s">
        <v>75</v>
      </c>
      <c r="J588" s="14" t="s">
        <v>201</v>
      </c>
      <c r="K588" s="14">
        <v>1</v>
      </c>
      <c r="L588" s="14" t="s">
        <v>213</v>
      </c>
      <c r="N588" s="14">
        <v>0</v>
      </c>
      <c r="O588" s="14" t="b">
        <v>1</v>
      </c>
      <c r="Q588" s="14" t="b">
        <v>0</v>
      </c>
      <c r="R588" s="14">
        <v>1</v>
      </c>
      <c r="S588" s="14" t="s">
        <v>77</v>
      </c>
      <c r="T588" s="14">
        <v>999</v>
      </c>
      <c r="U588" s="14" t="s">
        <v>214</v>
      </c>
      <c r="V588" s="14">
        <v>31415001</v>
      </c>
      <c r="X588" s="14" t="s">
        <v>204</v>
      </c>
      <c r="Y588" s="14" t="s">
        <v>215</v>
      </c>
      <c r="Z588" s="14">
        <v>20001</v>
      </c>
      <c r="AA588" s="14" t="s">
        <v>205</v>
      </c>
      <c r="AB588" s="14">
        <v>40001</v>
      </c>
      <c r="AE588" s="29" t="s">
        <v>121</v>
      </c>
      <c r="AF588" s="14" t="s">
        <v>213</v>
      </c>
      <c r="AG588" s="14" t="s">
        <v>95</v>
      </c>
    </row>
    <row r="589" spans="2:33">
      <c r="B589" s="14">
        <f>10000000+INDEX(编号表!$B:$B,MATCH(H589,编号表!$A:$A,0))*100000+INDEX(编号表!$F:$F,MATCH(D589,编号表!$E:$E,0))*10000+INDEX(编号表!$D:$D,MATCH(AG589,编号表!$C:$C,0))*1000+F589</f>
        <v>11415002</v>
      </c>
      <c r="C589" s="14" t="s">
        <v>749</v>
      </c>
      <c r="D589" s="14" t="s">
        <v>72</v>
      </c>
      <c r="E589" s="14" t="s">
        <v>95</v>
      </c>
      <c r="F589" s="14">
        <v>2</v>
      </c>
      <c r="G589" s="14">
        <v>60</v>
      </c>
      <c r="H589" s="31" t="s">
        <v>239</v>
      </c>
      <c r="I589" s="14" t="s">
        <v>75</v>
      </c>
      <c r="J589" s="14" t="s">
        <v>201</v>
      </c>
      <c r="K589" s="14">
        <v>1</v>
      </c>
      <c r="L589" s="14" t="s">
        <v>213</v>
      </c>
      <c r="N589" s="14">
        <v>0</v>
      </c>
      <c r="O589" s="14" t="b">
        <v>1</v>
      </c>
      <c r="Q589" s="14" t="b">
        <v>0</v>
      </c>
      <c r="R589" s="14">
        <v>1</v>
      </c>
      <c r="S589" s="14" t="s">
        <v>77</v>
      </c>
      <c r="T589" s="14">
        <v>999</v>
      </c>
      <c r="U589" s="14" t="s">
        <v>214</v>
      </c>
      <c r="V589" s="14">
        <v>31415002</v>
      </c>
      <c r="X589" s="14" t="s">
        <v>204</v>
      </c>
      <c r="Y589" s="14" t="s">
        <v>215</v>
      </c>
      <c r="Z589" s="14">
        <v>20001</v>
      </c>
      <c r="AA589" s="14" t="s">
        <v>205</v>
      </c>
      <c r="AB589" s="14">
        <v>40001</v>
      </c>
      <c r="AE589" s="29" t="s">
        <v>121</v>
      </c>
      <c r="AF589" s="14" t="s">
        <v>213</v>
      </c>
      <c r="AG589" s="14" t="s">
        <v>95</v>
      </c>
    </row>
    <row r="590" spans="2:33">
      <c r="B590" s="14">
        <f>10000000+INDEX(编号表!$B:$B,MATCH(H590,编号表!$A:$A,0))*100000+INDEX(编号表!$F:$F,MATCH(D590,编号表!$E:$E,0))*10000+INDEX(编号表!$D:$D,MATCH(AG590,编号表!$C:$C,0))*1000+F590</f>
        <v>11415003</v>
      </c>
      <c r="C590" s="14" t="s">
        <v>750</v>
      </c>
      <c r="D590" s="14" t="s">
        <v>72</v>
      </c>
      <c r="E590" s="14" t="s">
        <v>95</v>
      </c>
      <c r="F590" s="14">
        <v>3</v>
      </c>
      <c r="G590" s="14">
        <v>60</v>
      </c>
      <c r="H590" s="31" t="s">
        <v>239</v>
      </c>
      <c r="I590" s="14" t="s">
        <v>75</v>
      </c>
      <c r="J590" s="14" t="s">
        <v>201</v>
      </c>
      <c r="K590" s="14">
        <v>1</v>
      </c>
      <c r="L590" s="14" t="s">
        <v>213</v>
      </c>
      <c r="N590" s="14">
        <v>0</v>
      </c>
      <c r="O590" s="14" t="b">
        <v>1</v>
      </c>
      <c r="Q590" s="14" t="b">
        <v>0</v>
      </c>
      <c r="R590" s="14">
        <v>1</v>
      </c>
      <c r="S590" s="14" t="s">
        <v>77</v>
      </c>
      <c r="T590" s="14">
        <v>999</v>
      </c>
      <c r="U590" s="14" t="s">
        <v>214</v>
      </c>
      <c r="V590" s="14">
        <v>31415003</v>
      </c>
      <c r="X590" s="14" t="s">
        <v>204</v>
      </c>
      <c r="Y590" s="14" t="s">
        <v>215</v>
      </c>
      <c r="Z590" s="14">
        <v>20001</v>
      </c>
      <c r="AA590" s="14" t="s">
        <v>205</v>
      </c>
      <c r="AB590" s="14">
        <v>40001</v>
      </c>
      <c r="AE590" s="29" t="s">
        <v>121</v>
      </c>
      <c r="AF590" s="14" t="s">
        <v>213</v>
      </c>
      <c r="AG590" s="14" t="s">
        <v>95</v>
      </c>
    </row>
    <row r="591" spans="2:33">
      <c r="B591" s="14">
        <f>10000000+INDEX(编号表!$B:$B,MATCH(H591,编号表!$A:$A,0))*100000+INDEX(编号表!$F:$F,MATCH(D591,编号表!$E:$E,0))*10000+INDEX(编号表!$D:$D,MATCH(AG591,编号表!$C:$C,0))*1000+F591</f>
        <v>11615000</v>
      </c>
      <c r="C591" s="14" t="s">
        <v>751</v>
      </c>
      <c r="D591" s="14" t="s">
        <v>72</v>
      </c>
      <c r="E591" s="14" t="s">
        <v>95</v>
      </c>
      <c r="F591" s="14">
        <v>0</v>
      </c>
      <c r="G591" s="14">
        <v>60</v>
      </c>
      <c r="H591" s="31" t="s">
        <v>244</v>
      </c>
      <c r="I591" s="14" t="s">
        <v>75</v>
      </c>
      <c r="J591" s="14" t="s">
        <v>201</v>
      </c>
      <c r="K591" s="14">
        <v>1</v>
      </c>
      <c r="L591" s="14" t="s">
        <v>213</v>
      </c>
      <c r="N591" s="14">
        <v>0</v>
      </c>
      <c r="O591" s="14" t="b">
        <v>1</v>
      </c>
      <c r="Q591" s="14" t="b">
        <v>0</v>
      </c>
      <c r="R591" s="14">
        <v>1</v>
      </c>
      <c r="S591" s="14" t="s">
        <v>77</v>
      </c>
      <c r="T591" s="14">
        <v>999</v>
      </c>
      <c r="U591" s="14" t="s">
        <v>214</v>
      </c>
      <c r="V591" s="14">
        <v>31615000</v>
      </c>
      <c r="X591" s="14" t="s">
        <v>204</v>
      </c>
      <c r="Y591" s="14" t="s">
        <v>215</v>
      </c>
      <c r="Z591" s="14">
        <v>20001</v>
      </c>
      <c r="AA591" s="14" t="s">
        <v>205</v>
      </c>
      <c r="AB591" s="14">
        <v>40001</v>
      </c>
      <c r="AE591" s="29" t="s">
        <v>121</v>
      </c>
      <c r="AF591" s="14" t="s">
        <v>213</v>
      </c>
      <c r="AG591" s="14" t="s">
        <v>95</v>
      </c>
    </row>
    <row r="592" spans="2:33">
      <c r="B592" s="14">
        <f>10000000+INDEX(编号表!$B:$B,MATCH(H592,编号表!$A:$A,0))*100000+INDEX(编号表!$F:$F,MATCH(D592,编号表!$E:$E,0))*10000+INDEX(编号表!$D:$D,MATCH(AG592,编号表!$C:$C,0))*1000+F592</f>
        <v>11615001</v>
      </c>
      <c r="C592" s="14" t="s">
        <v>752</v>
      </c>
      <c r="D592" s="14" t="s">
        <v>72</v>
      </c>
      <c r="E592" s="14" t="s">
        <v>95</v>
      </c>
      <c r="F592" s="14">
        <v>1</v>
      </c>
      <c r="G592" s="14">
        <v>60</v>
      </c>
      <c r="H592" s="31" t="s">
        <v>244</v>
      </c>
      <c r="I592" s="14" t="s">
        <v>75</v>
      </c>
      <c r="J592" s="14" t="s">
        <v>201</v>
      </c>
      <c r="K592" s="14">
        <v>1</v>
      </c>
      <c r="L592" s="14" t="s">
        <v>213</v>
      </c>
      <c r="N592" s="14">
        <v>0</v>
      </c>
      <c r="O592" s="14" t="b">
        <v>1</v>
      </c>
      <c r="Q592" s="14" t="b">
        <v>0</v>
      </c>
      <c r="R592" s="14">
        <v>1</v>
      </c>
      <c r="S592" s="14" t="s">
        <v>77</v>
      </c>
      <c r="T592" s="14">
        <v>999</v>
      </c>
      <c r="U592" s="14" t="s">
        <v>214</v>
      </c>
      <c r="V592" s="14">
        <v>31615001</v>
      </c>
      <c r="X592" s="14" t="s">
        <v>204</v>
      </c>
      <c r="Y592" s="14" t="s">
        <v>215</v>
      </c>
      <c r="Z592" s="14">
        <v>20001</v>
      </c>
      <c r="AA592" s="14" t="s">
        <v>205</v>
      </c>
      <c r="AB592" s="14">
        <v>40001</v>
      </c>
      <c r="AE592" s="29" t="s">
        <v>121</v>
      </c>
      <c r="AF592" s="14" t="s">
        <v>213</v>
      </c>
      <c r="AG592" s="14" t="s">
        <v>95</v>
      </c>
    </row>
    <row r="593" spans="2:33">
      <c r="B593" s="14">
        <f>10000000+INDEX(编号表!$B:$B,MATCH(H593,编号表!$A:$A,0))*100000+INDEX(编号表!$F:$F,MATCH(D593,编号表!$E:$E,0))*10000+INDEX(编号表!$D:$D,MATCH(AG593,编号表!$C:$C,0))*1000+F593</f>
        <v>11615002</v>
      </c>
      <c r="C593" s="14" t="s">
        <v>753</v>
      </c>
      <c r="D593" s="14" t="s">
        <v>72</v>
      </c>
      <c r="E593" s="14" t="s">
        <v>95</v>
      </c>
      <c r="F593" s="14">
        <v>2</v>
      </c>
      <c r="G593" s="14">
        <v>60</v>
      </c>
      <c r="H593" s="31" t="s">
        <v>244</v>
      </c>
      <c r="I593" s="14" t="s">
        <v>75</v>
      </c>
      <c r="J593" s="14" t="s">
        <v>201</v>
      </c>
      <c r="K593" s="14">
        <v>1</v>
      </c>
      <c r="L593" s="14" t="s">
        <v>213</v>
      </c>
      <c r="N593" s="14">
        <v>0</v>
      </c>
      <c r="O593" s="14" t="b">
        <v>1</v>
      </c>
      <c r="Q593" s="14" t="b">
        <v>0</v>
      </c>
      <c r="R593" s="14">
        <v>1</v>
      </c>
      <c r="S593" s="14" t="s">
        <v>77</v>
      </c>
      <c r="T593" s="14">
        <v>999</v>
      </c>
      <c r="U593" s="14" t="s">
        <v>214</v>
      </c>
      <c r="V593" s="14">
        <v>31615002</v>
      </c>
      <c r="X593" s="14" t="s">
        <v>204</v>
      </c>
      <c r="Y593" s="14" t="s">
        <v>215</v>
      </c>
      <c r="Z593" s="14">
        <v>20001</v>
      </c>
      <c r="AA593" s="14" t="s">
        <v>205</v>
      </c>
      <c r="AB593" s="14">
        <v>40001</v>
      </c>
      <c r="AE593" s="29" t="s">
        <v>121</v>
      </c>
      <c r="AF593" s="14" t="s">
        <v>213</v>
      </c>
      <c r="AG593" s="14" t="s">
        <v>95</v>
      </c>
    </row>
    <row r="594" spans="2:33">
      <c r="B594" s="14">
        <f>10000000+INDEX(编号表!$B:$B,MATCH(H594,编号表!$A:$A,0))*100000+INDEX(编号表!$F:$F,MATCH(D594,编号表!$E:$E,0))*10000+INDEX(编号表!$D:$D,MATCH(AG594,编号表!$C:$C,0))*1000+F594</f>
        <v>11225000</v>
      </c>
      <c r="C594" s="14" t="s">
        <v>754</v>
      </c>
      <c r="D594" s="14" t="s">
        <v>112</v>
      </c>
      <c r="E594" s="14" t="s">
        <v>95</v>
      </c>
      <c r="F594" s="14">
        <v>0</v>
      </c>
      <c r="G594" s="14">
        <v>60</v>
      </c>
      <c r="H594" s="31" t="s">
        <v>212</v>
      </c>
      <c r="I594" s="14" t="s">
        <v>75</v>
      </c>
      <c r="J594" s="14" t="s">
        <v>201</v>
      </c>
      <c r="K594" s="14">
        <v>1</v>
      </c>
      <c r="L594" s="14" t="s">
        <v>213</v>
      </c>
      <c r="N594" s="14">
        <v>0</v>
      </c>
      <c r="O594" s="14" t="b">
        <v>1</v>
      </c>
      <c r="Q594" s="14" t="b">
        <v>0</v>
      </c>
      <c r="R594" s="14">
        <v>1</v>
      </c>
      <c r="S594" s="14" t="s">
        <v>77</v>
      </c>
      <c r="T594" s="14">
        <v>999</v>
      </c>
      <c r="U594" s="14" t="s">
        <v>214</v>
      </c>
      <c r="V594" s="14">
        <v>31225000</v>
      </c>
      <c r="X594" s="14" t="s">
        <v>204</v>
      </c>
      <c r="Y594" s="14" t="s">
        <v>215</v>
      </c>
      <c r="Z594" s="14">
        <v>20001</v>
      </c>
      <c r="AA594" s="14" t="s">
        <v>205</v>
      </c>
      <c r="AB594" s="14">
        <v>40001</v>
      </c>
      <c r="AE594" s="29" t="s">
        <v>121</v>
      </c>
      <c r="AF594" s="14" t="s">
        <v>213</v>
      </c>
      <c r="AG594" s="14" t="s">
        <v>95</v>
      </c>
    </row>
    <row r="595" spans="2:33">
      <c r="B595" s="14">
        <f>10000000+INDEX(编号表!$B:$B,MATCH(H595,编号表!$A:$A,0))*100000+INDEX(编号表!$F:$F,MATCH(D595,编号表!$E:$E,0))*10000+INDEX(编号表!$D:$D,MATCH(AG595,编号表!$C:$C,0))*1000+F595</f>
        <v>11325000</v>
      </c>
      <c r="C595" s="14" t="s">
        <v>755</v>
      </c>
      <c r="D595" s="14" t="s">
        <v>112</v>
      </c>
      <c r="E595" s="14" t="s">
        <v>95</v>
      </c>
      <c r="F595" s="14">
        <v>0</v>
      </c>
      <c r="G595" s="14">
        <v>60</v>
      </c>
      <c r="H595" s="31" t="s">
        <v>217</v>
      </c>
      <c r="I595" s="14" t="s">
        <v>75</v>
      </c>
      <c r="J595" s="14" t="s">
        <v>201</v>
      </c>
      <c r="K595" s="14">
        <v>1</v>
      </c>
      <c r="L595" s="14" t="s">
        <v>213</v>
      </c>
      <c r="N595" s="14">
        <v>0</v>
      </c>
      <c r="O595" s="14" t="b">
        <v>1</v>
      </c>
      <c r="Q595" s="14" t="b">
        <v>0</v>
      </c>
      <c r="R595" s="14">
        <v>1</v>
      </c>
      <c r="S595" s="14" t="s">
        <v>77</v>
      </c>
      <c r="T595" s="14">
        <v>999</v>
      </c>
      <c r="U595" s="14" t="s">
        <v>214</v>
      </c>
      <c r="V595" s="14">
        <v>31325000</v>
      </c>
      <c r="X595" s="14" t="s">
        <v>204</v>
      </c>
      <c r="Y595" s="14" t="s">
        <v>215</v>
      </c>
      <c r="Z595" s="14">
        <v>20001</v>
      </c>
      <c r="AA595" s="14" t="s">
        <v>205</v>
      </c>
      <c r="AB595" s="14">
        <v>40001</v>
      </c>
      <c r="AE595" s="29" t="s">
        <v>121</v>
      </c>
      <c r="AF595" s="14" t="s">
        <v>213</v>
      </c>
      <c r="AG595" s="14" t="s">
        <v>95</v>
      </c>
    </row>
    <row r="596" spans="2:33">
      <c r="B596" s="14">
        <f>10000000+INDEX(编号表!$B:$B,MATCH(H596,编号表!$A:$A,0))*100000+INDEX(编号表!$F:$F,MATCH(D596,编号表!$E:$E,0))*10000+INDEX(编号表!$D:$D,MATCH(AG596,编号表!$C:$C,0))*1000+F596</f>
        <v>11325001</v>
      </c>
      <c r="C596" s="14" t="s">
        <v>756</v>
      </c>
      <c r="D596" s="14" t="s">
        <v>112</v>
      </c>
      <c r="E596" s="14" t="s">
        <v>95</v>
      </c>
      <c r="F596" s="14">
        <v>1</v>
      </c>
      <c r="G596" s="14">
        <v>60</v>
      </c>
      <c r="H596" s="31" t="s">
        <v>217</v>
      </c>
      <c r="I596" s="14" t="s">
        <v>75</v>
      </c>
      <c r="J596" s="14" t="s">
        <v>201</v>
      </c>
      <c r="K596" s="14">
        <v>1</v>
      </c>
      <c r="L596" s="14" t="s">
        <v>213</v>
      </c>
      <c r="N596" s="14">
        <v>0</v>
      </c>
      <c r="O596" s="14" t="b">
        <v>1</v>
      </c>
      <c r="Q596" s="14" t="b">
        <v>0</v>
      </c>
      <c r="R596" s="14">
        <v>1</v>
      </c>
      <c r="S596" s="14" t="s">
        <v>77</v>
      </c>
      <c r="T596" s="14">
        <v>999</v>
      </c>
      <c r="U596" s="14" t="s">
        <v>214</v>
      </c>
      <c r="V596" s="14">
        <v>31325001</v>
      </c>
      <c r="X596" s="14" t="s">
        <v>204</v>
      </c>
      <c r="Y596" s="14" t="s">
        <v>215</v>
      </c>
      <c r="Z596" s="14">
        <v>20001</v>
      </c>
      <c r="AA596" s="14" t="s">
        <v>205</v>
      </c>
      <c r="AB596" s="14">
        <v>40001</v>
      </c>
      <c r="AE596" s="29" t="s">
        <v>121</v>
      </c>
      <c r="AF596" s="14" t="s">
        <v>213</v>
      </c>
      <c r="AG596" s="14" t="s">
        <v>95</v>
      </c>
    </row>
    <row r="597" spans="2:33">
      <c r="B597" s="14">
        <f>10000000+INDEX(编号表!$B:$B,MATCH(H597,编号表!$A:$A,0))*100000+INDEX(编号表!$F:$F,MATCH(D597,编号表!$E:$E,0))*10000+INDEX(编号表!$D:$D,MATCH(AG597,编号表!$C:$C,0))*1000+F597</f>
        <v>11325002</v>
      </c>
      <c r="C597" s="14" t="s">
        <v>757</v>
      </c>
      <c r="D597" s="14" t="s">
        <v>112</v>
      </c>
      <c r="E597" s="14" t="s">
        <v>95</v>
      </c>
      <c r="F597" s="14">
        <v>2</v>
      </c>
      <c r="G597" s="14">
        <v>60</v>
      </c>
      <c r="H597" s="31" t="s">
        <v>217</v>
      </c>
      <c r="I597" s="14" t="s">
        <v>75</v>
      </c>
      <c r="J597" s="14" t="s">
        <v>201</v>
      </c>
      <c r="K597" s="14">
        <v>1</v>
      </c>
      <c r="L597" s="14" t="s">
        <v>213</v>
      </c>
      <c r="N597" s="14">
        <v>0</v>
      </c>
      <c r="O597" s="14" t="b">
        <v>1</v>
      </c>
      <c r="Q597" s="14" t="b">
        <v>0</v>
      </c>
      <c r="R597" s="14">
        <v>1</v>
      </c>
      <c r="S597" s="14" t="s">
        <v>77</v>
      </c>
      <c r="T597" s="14">
        <v>999</v>
      </c>
      <c r="U597" s="14" t="s">
        <v>214</v>
      </c>
      <c r="V597" s="14">
        <v>31325002</v>
      </c>
      <c r="X597" s="14" t="s">
        <v>204</v>
      </c>
      <c r="Y597" s="14" t="s">
        <v>215</v>
      </c>
      <c r="Z597" s="14">
        <v>20001</v>
      </c>
      <c r="AA597" s="14" t="s">
        <v>205</v>
      </c>
      <c r="AB597" s="14">
        <v>40001</v>
      </c>
      <c r="AE597" s="29" t="s">
        <v>121</v>
      </c>
      <c r="AF597" s="14" t="s">
        <v>213</v>
      </c>
      <c r="AG597" s="14" t="s">
        <v>95</v>
      </c>
    </row>
    <row r="598" spans="2:33">
      <c r="B598" s="14">
        <f>10000000+INDEX(编号表!$B:$B,MATCH(H598,编号表!$A:$A,0))*100000+INDEX(编号表!$F:$F,MATCH(D598,编号表!$E:$E,0))*10000+INDEX(编号表!$D:$D,MATCH(AG598,编号表!$C:$C,0))*1000+F598</f>
        <v>11325003</v>
      </c>
      <c r="C598" s="14" t="s">
        <v>758</v>
      </c>
      <c r="D598" s="14" t="s">
        <v>112</v>
      </c>
      <c r="E598" s="14" t="s">
        <v>95</v>
      </c>
      <c r="F598" s="14">
        <v>3</v>
      </c>
      <c r="G598" s="14">
        <v>60</v>
      </c>
      <c r="H598" s="31" t="s">
        <v>217</v>
      </c>
      <c r="I598" s="14" t="s">
        <v>75</v>
      </c>
      <c r="J598" s="14" t="s">
        <v>201</v>
      </c>
      <c r="K598" s="14">
        <v>1</v>
      </c>
      <c r="L598" s="14" t="s">
        <v>213</v>
      </c>
      <c r="N598" s="14">
        <v>0</v>
      </c>
      <c r="O598" s="14" t="b">
        <v>1</v>
      </c>
      <c r="Q598" s="14" t="b">
        <v>0</v>
      </c>
      <c r="R598" s="14">
        <v>1</v>
      </c>
      <c r="S598" s="14" t="s">
        <v>77</v>
      </c>
      <c r="T598" s="14">
        <v>999</v>
      </c>
      <c r="U598" s="14" t="s">
        <v>214</v>
      </c>
      <c r="V598" s="14">
        <v>31325003</v>
      </c>
      <c r="X598" s="14" t="s">
        <v>204</v>
      </c>
      <c r="Y598" s="14" t="s">
        <v>215</v>
      </c>
      <c r="Z598" s="14">
        <v>20001</v>
      </c>
      <c r="AA598" s="14" t="s">
        <v>205</v>
      </c>
      <c r="AB598" s="14">
        <v>40001</v>
      </c>
      <c r="AE598" s="29" t="s">
        <v>121</v>
      </c>
      <c r="AF598" s="14" t="s">
        <v>213</v>
      </c>
      <c r="AG598" s="14" t="s">
        <v>95</v>
      </c>
    </row>
    <row r="599" spans="2:33">
      <c r="B599" s="14">
        <f>10000000+INDEX(编号表!$B:$B,MATCH(H599,编号表!$A:$A,0))*100000+INDEX(编号表!$F:$F,MATCH(D599,编号表!$E:$E,0))*10000+INDEX(编号表!$D:$D,MATCH(AG599,编号表!$C:$C,0))*1000+F599</f>
        <v>11325004</v>
      </c>
      <c r="C599" s="14" t="s">
        <v>759</v>
      </c>
      <c r="D599" s="14" t="s">
        <v>112</v>
      </c>
      <c r="E599" s="14" t="s">
        <v>95</v>
      </c>
      <c r="F599" s="14">
        <v>4</v>
      </c>
      <c r="G599" s="14">
        <v>60</v>
      </c>
      <c r="H599" s="31" t="s">
        <v>217</v>
      </c>
      <c r="I599" s="14" t="s">
        <v>75</v>
      </c>
      <c r="J599" s="14" t="s">
        <v>201</v>
      </c>
      <c r="K599" s="14">
        <v>1</v>
      </c>
      <c r="L599" s="14" t="s">
        <v>213</v>
      </c>
      <c r="N599" s="14">
        <v>0</v>
      </c>
      <c r="O599" s="14" t="b">
        <v>1</v>
      </c>
      <c r="Q599" s="14" t="b">
        <v>0</v>
      </c>
      <c r="R599" s="14">
        <v>1</v>
      </c>
      <c r="S599" s="14" t="s">
        <v>77</v>
      </c>
      <c r="T599" s="14">
        <v>999</v>
      </c>
      <c r="U599" s="14" t="s">
        <v>214</v>
      </c>
      <c r="V599" s="14">
        <v>31325004</v>
      </c>
      <c r="X599" s="14" t="s">
        <v>204</v>
      </c>
      <c r="Y599" s="14" t="s">
        <v>215</v>
      </c>
      <c r="Z599" s="14">
        <v>20001</v>
      </c>
      <c r="AA599" s="14" t="s">
        <v>205</v>
      </c>
      <c r="AB599" s="14">
        <v>40001</v>
      </c>
      <c r="AE599" s="29" t="s">
        <v>121</v>
      </c>
      <c r="AF599" s="14" t="s">
        <v>213</v>
      </c>
      <c r="AG599" s="14" t="s">
        <v>95</v>
      </c>
    </row>
    <row r="600" spans="2:33">
      <c r="B600" s="14">
        <f>10000000+INDEX(编号表!$B:$B,MATCH(H600,编号表!$A:$A,0))*100000+INDEX(编号表!$F:$F,MATCH(D600,编号表!$E:$E,0))*10000+INDEX(编号表!$D:$D,MATCH(AG600,编号表!$C:$C,0))*1000+F600</f>
        <v>11325005</v>
      </c>
      <c r="C600" s="14" t="s">
        <v>760</v>
      </c>
      <c r="D600" s="14" t="s">
        <v>112</v>
      </c>
      <c r="E600" s="14" t="s">
        <v>95</v>
      </c>
      <c r="F600" s="14">
        <v>5</v>
      </c>
      <c r="G600" s="14">
        <v>60</v>
      </c>
      <c r="H600" s="31" t="s">
        <v>217</v>
      </c>
      <c r="I600" s="14" t="s">
        <v>75</v>
      </c>
      <c r="J600" s="14" t="s">
        <v>201</v>
      </c>
      <c r="K600" s="14">
        <v>1</v>
      </c>
      <c r="L600" s="14" t="s">
        <v>213</v>
      </c>
      <c r="N600" s="14">
        <v>0</v>
      </c>
      <c r="O600" s="14" t="b">
        <v>1</v>
      </c>
      <c r="Q600" s="14" t="b">
        <v>0</v>
      </c>
      <c r="R600" s="14">
        <v>1</v>
      </c>
      <c r="S600" s="14" t="s">
        <v>77</v>
      </c>
      <c r="T600" s="14">
        <v>999</v>
      </c>
      <c r="U600" s="14" t="s">
        <v>214</v>
      </c>
      <c r="V600" s="14">
        <v>31325005</v>
      </c>
      <c r="X600" s="14" t="s">
        <v>204</v>
      </c>
      <c r="Y600" s="14" t="s">
        <v>215</v>
      </c>
      <c r="Z600" s="14">
        <v>20001</v>
      </c>
      <c r="AA600" s="14" t="s">
        <v>205</v>
      </c>
      <c r="AB600" s="14">
        <v>40001</v>
      </c>
      <c r="AE600" s="29" t="s">
        <v>121</v>
      </c>
      <c r="AF600" s="14" t="s">
        <v>213</v>
      </c>
      <c r="AG600" s="14" t="s">
        <v>95</v>
      </c>
    </row>
    <row r="601" spans="2:33">
      <c r="B601" s="14">
        <f>10000000+INDEX(编号表!$B:$B,MATCH(H601,编号表!$A:$A,0))*100000+INDEX(编号表!$F:$F,MATCH(D601,编号表!$E:$E,0))*10000+INDEX(编号表!$D:$D,MATCH(AG601,编号表!$C:$C,0))*1000+F601</f>
        <v>11325006</v>
      </c>
      <c r="C601" s="14" t="s">
        <v>761</v>
      </c>
      <c r="D601" s="14" t="s">
        <v>112</v>
      </c>
      <c r="E601" s="14" t="s">
        <v>95</v>
      </c>
      <c r="F601" s="14">
        <v>6</v>
      </c>
      <c r="G601" s="14">
        <v>60</v>
      </c>
      <c r="H601" s="31" t="s">
        <v>217</v>
      </c>
      <c r="I601" s="14" t="s">
        <v>75</v>
      </c>
      <c r="J601" s="14" t="s">
        <v>201</v>
      </c>
      <c r="K601" s="14">
        <v>1</v>
      </c>
      <c r="L601" s="14" t="s">
        <v>213</v>
      </c>
      <c r="N601" s="14">
        <v>0</v>
      </c>
      <c r="O601" s="14" t="b">
        <v>1</v>
      </c>
      <c r="Q601" s="14" t="b">
        <v>0</v>
      </c>
      <c r="R601" s="14">
        <v>1</v>
      </c>
      <c r="S601" s="14" t="s">
        <v>77</v>
      </c>
      <c r="T601" s="14">
        <v>999</v>
      </c>
      <c r="U601" s="14" t="s">
        <v>214</v>
      </c>
      <c r="V601" s="14">
        <v>31325006</v>
      </c>
      <c r="X601" s="14" t="s">
        <v>204</v>
      </c>
      <c r="Y601" s="14" t="s">
        <v>215</v>
      </c>
      <c r="Z601" s="14">
        <v>20001</v>
      </c>
      <c r="AA601" s="14" t="s">
        <v>205</v>
      </c>
      <c r="AB601" s="14">
        <v>40001</v>
      </c>
      <c r="AE601" s="29" t="s">
        <v>121</v>
      </c>
      <c r="AF601" s="14" t="s">
        <v>213</v>
      </c>
      <c r="AG601" s="14" t="s">
        <v>95</v>
      </c>
    </row>
    <row r="602" spans="2:33">
      <c r="B602" s="14">
        <f>10000000+INDEX(编号表!$B:$B,MATCH(H602,编号表!$A:$A,0))*100000+INDEX(编号表!$F:$F,MATCH(D602,编号表!$E:$E,0))*10000+INDEX(编号表!$D:$D,MATCH(AG602,编号表!$C:$C,0))*1000+F602</f>
        <v>11325007</v>
      </c>
      <c r="C602" s="14" t="s">
        <v>762</v>
      </c>
      <c r="D602" s="14" t="s">
        <v>112</v>
      </c>
      <c r="E602" s="14" t="s">
        <v>95</v>
      </c>
      <c r="F602" s="14">
        <v>7</v>
      </c>
      <c r="G602" s="14">
        <v>60</v>
      </c>
      <c r="H602" s="31" t="s">
        <v>217</v>
      </c>
      <c r="I602" s="14" t="s">
        <v>75</v>
      </c>
      <c r="J602" s="14" t="s">
        <v>201</v>
      </c>
      <c r="K602" s="14">
        <v>1</v>
      </c>
      <c r="L602" s="14" t="s">
        <v>213</v>
      </c>
      <c r="N602" s="14">
        <v>0</v>
      </c>
      <c r="O602" s="14" t="b">
        <v>1</v>
      </c>
      <c r="Q602" s="14" t="b">
        <v>0</v>
      </c>
      <c r="R602" s="14">
        <v>1</v>
      </c>
      <c r="S602" s="14" t="s">
        <v>77</v>
      </c>
      <c r="T602" s="14">
        <v>999</v>
      </c>
      <c r="U602" s="14" t="s">
        <v>214</v>
      </c>
      <c r="V602" s="14">
        <v>31325007</v>
      </c>
      <c r="X602" s="14" t="s">
        <v>204</v>
      </c>
      <c r="Y602" s="14" t="s">
        <v>215</v>
      </c>
      <c r="Z602" s="14">
        <v>20001</v>
      </c>
      <c r="AA602" s="14" t="s">
        <v>205</v>
      </c>
      <c r="AB602" s="14">
        <v>40001</v>
      </c>
      <c r="AE602" s="29" t="s">
        <v>121</v>
      </c>
      <c r="AF602" s="14" t="s">
        <v>213</v>
      </c>
      <c r="AG602" s="14" t="s">
        <v>95</v>
      </c>
    </row>
    <row r="603" spans="2:33">
      <c r="B603" s="14">
        <f>10000000+INDEX(编号表!$B:$B,MATCH(H603,编号表!$A:$A,0))*100000+INDEX(编号表!$F:$F,MATCH(D603,编号表!$E:$E,0))*10000+INDEX(编号表!$D:$D,MATCH(AG603,编号表!$C:$C,0))*1000+F603</f>
        <v>11325008</v>
      </c>
      <c r="C603" s="14" t="s">
        <v>763</v>
      </c>
      <c r="D603" s="14" t="s">
        <v>112</v>
      </c>
      <c r="E603" s="14" t="s">
        <v>95</v>
      </c>
      <c r="F603" s="14">
        <v>8</v>
      </c>
      <c r="G603" s="14">
        <v>60</v>
      </c>
      <c r="H603" s="31" t="s">
        <v>217</v>
      </c>
      <c r="I603" s="14" t="s">
        <v>75</v>
      </c>
      <c r="J603" s="14" t="s">
        <v>201</v>
      </c>
      <c r="K603" s="14">
        <v>1</v>
      </c>
      <c r="L603" s="14" t="s">
        <v>213</v>
      </c>
      <c r="N603" s="14">
        <v>0</v>
      </c>
      <c r="O603" s="14" t="b">
        <v>1</v>
      </c>
      <c r="Q603" s="14" t="b">
        <v>0</v>
      </c>
      <c r="R603" s="14">
        <v>1</v>
      </c>
      <c r="S603" s="14" t="s">
        <v>77</v>
      </c>
      <c r="T603" s="14">
        <v>999</v>
      </c>
      <c r="U603" s="14" t="s">
        <v>214</v>
      </c>
      <c r="V603" s="14">
        <v>31325008</v>
      </c>
      <c r="X603" s="14" t="s">
        <v>204</v>
      </c>
      <c r="Y603" s="14" t="s">
        <v>215</v>
      </c>
      <c r="Z603" s="14">
        <v>20001</v>
      </c>
      <c r="AA603" s="14" t="s">
        <v>205</v>
      </c>
      <c r="AB603" s="14">
        <v>40001</v>
      </c>
      <c r="AE603" s="29" t="s">
        <v>121</v>
      </c>
      <c r="AF603" s="14" t="s">
        <v>213</v>
      </c>
      <c r="AG603" s="14" t="s">
        <v>95</v>
      </c>
    </row>
    <row r="604" spans="2:33">
      <c r="B604" s="14">
        <f>10000000+INDEX(编号表!$B:$B,MATCH(H604,编号表!$A:$A,0))*100000+INDEX(编号表!$F:$F,MATCH(D604,编号表!$E:$E,0))*10000+INDEX(编号表!$D:$D,MATCH(AG604,编号表!$C:$C,0))*1000+F604</f>
        <v>11325009</v>
      </c>
      <c r="C604" s="14" t="s">
        <v>764</v>
      </c>
      <c r="D604" s="14" t="s">
        <v>112</v>
      </c>
      <c r="E604" s="14" t="s">
        <v>95</v>
      </c>
      <c r="F604" s="14">
        <v>9</v>
      </c>
      <c r="G604" s="14">
        <v>60</v>
      </c>
      <c r="H604" s="31" t="s">
        <v>217</v>
      </c>
      <c r="I604" s="14" t="s">
        <v>75</v>
      </c>
      <c r="J604" s="14" t="s">
        <v>201</v>
      </c>
      <c r="K604" s="14">
        <v>1</v>
      </c>
      <c r="L604" s="14" t="s">
        <v>213</v>
      </c>
      <c r="N604" s="14">
        <v>0</v>
      </c>
      <c r="O604" s="14" t="b">
        <v>1</v>
      </c>
      <c r="Q604" s="14" t="b">
        <v>0</v>
      </c>
      <c r="R604" s="14">
        <v>1</v>
      </c>
      <c r="S604" s="14" t="s">
        <v>77</v>
      </c>
      <c r="T604" s="14">
        <v>999</v>
      </c>
      <c r="U604" s="14" t="s">
        <v>214</v>
      </c>
      <c r="V604" s="14">
        <v>31325009</v>
      </c>
      <c r="X604" s="14" t="s">
        <v>204</v>
      </c>
      <c r="Y604" s="14" t="s">
        <v>215</v>
      </c>
      <c r="Z604" s="14">
        <v>20001</v>
      </c>
      <c r="AA604" s="14" t="s">
        <v>205</v>
      </c>
      <c r="AB604" s="14">
        <v>40001</v>
      </c>
      <c r="AE604" s="29" t="s">
        <v>121</v>
      </c>
      <c r="AF604" s="14" t="s">
        <v>213</v>
      </c>
      <c r="AG604" s="14" t="s">
        <v>95</v>
      </c>
    </row>
    <row r="605" spans="2:33">
      <c r="B605" s="14">
        <f>10000000+INDEX(编号表!$B:$B,MATCH(H605,编号表!$A:$A,0))*100000+INDEX(编号表!$F:$F,MATCH(D605,编号表!$E:$E,0))*10000+INDEX(编号表!$D:$D,MATCH(AG605,编号表!$C:$C,0))*1000+F605</f>
        <v>11525000</v>
      </c>
      <c r="C605" s="14" t="s">
        <v>765</v>
      </c>
      <c r="D605" s="14" t="s">
        <v>112</v>
      </c>
      <c r="E605" s="14" t="s">
        <v>95</v>
      </c>
      <c r="F605" s="14">
        <v>0</v>
      </c>
      <c r="G605" s="14">
        <v>60</v>
      </c>
      <c r="H605" s="31" t="s">
        <v>228</v>
      </c>
      <c r="I605" s="14" t="s">
        <v>75</v>
      </c>
      <c r="J605" s="14" t="s">
        <v>201</v>
      </c>
      <c r="K605" s="14">
        <v>1</v>
      </c>
      <c r="L605" s="14" t="s">
        <v>213</v>
      </c>
      <c r="N605" s="14">
        <v>0</v>
      </c>
      <c r="O605" s="14" t="b">
        <v>1</v>
      </c>
      <c r="Q605" s="14" t="b">
        <v>0</v>
      </c>
      <c r="R605" s="14">
        <v>1</v>
      </c>
      <c r="S605" s="14" t="s">
        <v>77</v>
      </c>
      <c r="T605" s="14">
        <v>999</v>
      </c>
      <c r="U605" s="14" t="s">
        <v>214</v>
      </c>
      <c r="V605" s="14">
        <v>31525000</v>
      </c>
      <c r="X605" s="14" t="s">
        <v>204</v>
      </c>
      <c r="Y605" s="14" t="s">
        <v>215</v>
      </c>
      <c r="Z605" s="14">
        <v>20001</v>
      </c>
      <c r="AA605" s="14" t="s">
        <v>205</v>
      </c>
      <c r="AB605" s="14">
        <v>40001</v>
      </c>
      <c r="AE605" s="29" t="s">
        <v>121</v>
      </c>
      <c r="AF605" s="14" t="s">
        <v>213</v>
      </c>
      <c r="AG605" s="14" t="s">
        <v>95</v>
      </c>
    </row>
    <row r="606" spans="2:33">
      <c r="B606" s="14">
        <f>10000000+INDEX(编号表!$B:$B,MATCH(H606,编号表!$A:$A,0))*100000+INDEX(编号表!$F:$F,MATCH(D606,编号表!$E:$E,0))*10000+INDEX(编号表!$D:$D,MATCH(AG606,编号表!$C:$C,0))*1000+F606</f>
        <v>11525001</v>
      </c>
      <c r="C606" s="14" t="s">
        <v>766</v>
      </c>
      <c r="D606" s="14" t="s">
        <v>112</v>
      </c>
      <c r="E606" s="14" t="s">
        <v>95</v>
      </c>
      <c r="F606" s="14">
        <v>1</v>
      </c>
      <c r="G606" s="14">
        <v>60</v>
      </c>
      <c r="H606" s="31" t="s">
        <v>228</v>
      </c>
      <c r="I606" s="14" t="s">
        <v>75</v>
      </c>
      <c r="J606" s="14" t="s">
        <v>201</v>
      </c>
      <c r="K606" s="14">
        <v>1</v>
      </c>
      <c r="L606" s="14" t="s">
        <v>213</v>
      </c>
      <c r="N606" s="14">
        <v>0</v>
      </c>
      <c r="O606" s="14" t="b">
        <v>1</v>
      </c>
      <c r="Q606" s="14" t="b">
        <v>0</v>
      </c>
      <c r="R606" s="14">
        <v>1</v>
      </c>
      <c r="S606" s="14" t="s">
        <v>77</v>
      </c>
      <c r="T606" s="14">
        <v>999</v>
      </c>
      <c r="U606" s="14" t="s">
        <v>214</v>
      </c>
      <c r="V606" s="14">
        <v>31525001</v>
      </c>
      <c r="X606" s="14" t="s">
        <v>204</v>
      </c>
      <c r="Y606" s="14" t="s">
        <v>215</v>
      </c>
      <c r="Z606" s="14">
        <v>20001</v>
      </c>
      <c r="AA606" s="14" t="s">
        <v>205</v>
      </c>
      <c r="AB606" s="14">
        <v>40001</v>
      </c>
      <c r="AE606" s="29" t="s">
        <v>121</v>
      </c>
      <c r="AF606" s="14" t="s">
        <v>213</v>
      </c>
      <c r="AG606" s="14" t="s">
        <v>95</v>
      </c>
    </row>
    <row r="607" spans="2:33">
      <c r="B607" s="14">
        <f>10000000+INDEX(编号表!$B:$B,MATCH(H607,编号表!$A:$A,0))*100000+INDEX(编号表!$F:$F,MATCH(D607,编号表!$E:$E,0))*10000+INDEX(编号表!$D:$D,MATCH(AG607,编号表!$C:$C,0))*1000+F607</f>
        <v>11525002</v>
      </c>
      <c r="C607" s="14" t="s">
        <v>767</v>
      </c>
      <c r="D607" s="14" t="s">
        <v>112</v>
      </c>
      <c r="E607" s="14" t="s">
        <v>95</v>
      </c>
      <c r="F607" s="14">
        <v>2</v>
      </c>
      <c r="G607" s="14">
        <v>60</v>
      </c>
      <c r="H607" s="31" t="s">
        <v>228</v>
      </c>
      <c r="I607" s="14" t="s">
        <v>75</v>
      </c>
      <c r="J607" s="14" t="s">
        <v>201</v>
      </c>
      <c r="K607" s="14">
        <v>1</v>
      </c>
      <c r="L607" s="14" t="s">
        <v>213</v>
      </c>
      <c r="N607" s="14">
        <v>0</v>
      </c>
      <c r="O607" s="14" t="b">
        <v>1</v>
      </c>
      <c r="Q607" s="14" t="b">
        <v>0</v>
      </c>
      <c r="R607" s="14">
        <v>1</v>
      </c>
      <c r="S607" s="14" t="s">
        <v>77</v>
      </c>
      <c r="T607" s="14">
        <v>999</v>
      </c>
      <c r="U607" s="14" t="s">
        <v>214</v>
      </c>
      <c r="V607" s="14">
        <v>31525002</v>
      </c>
      <c r="X607" s="14" t="s">
        <v>204</v>
      </c>
      <c r="Y607" s="14" t="s">
        <v>215</v>
      </c>
      <c r="Z607" s="14">
        <v>20001</v>
      </c>
      <c r="AA607" s="14" t="s">
        <v>205</v>
      </c>
      <c r="AB607" s="14">
        <v>40001</v>
      </c>
      <c r="AE607" s="29" t="s">
        <v>121</v>
      </c>
      <c r="AF607" s="14" t="s">
        <v>213</v>
      </c>
      <c r="AG607" s="14" t="s">
        <v>95</v>
      </c>
    </row>
    <row r="608" spans="2:33">
      <c r="B608" s="14">
        <f>10000000+INDEX(编号表!$B:$B,MATCH(H608,编号表!$A:$A,0))*100000+INDEX(编号表!$F:$F,MATCH(D608,编号表!$E:$E,0))*10000+INDEX(编号表!$D:$D,MATCH(AG608,编号表!$C:$C,0))*1000+F608</f>
        <v>11525003</v>
      </c>
      <c r="C608" s="14" t="s">
        <v>768</v>
      </c>
      <c r="D608" s="14" t="s">
        <v>112</v>
      </c>
      <c r="E608" s="14" t="s">
        <v>95</v>
      </c>
      <c r="F608" s="14">
        <v>3</v>
      </c>
      <c r="G608" s="14">
        <v>60</v>
      </c>
      <c r="H608" s="31" t="s">
        <v>228</v>
      </c>
      <c r="I608" s="14" t="s">
        <v>75</v>
      </c>
      <c r="J608" s="14" t="s">
        <v>201</v>
      </c>
      <c r="K608" s="14">
        <v>1</v>
      </c>
      <c r="L608" s="14" t="s">
        <v>213</v>
      </c>
      <c r="N608" s="14">
        <v>0</v>
      </c>
      <c r="O608" s="14" t="b">
        <v>1</v>
      </c>
      <c r="Q608" s="14" t="b">
        <v>0</v>
      </c>
      <c r="R608" s="14">
        <v>1</v>
      </c>
      <c r="S608" s="14" t="s">
        <v>77</v>
      </c>
      <c r="T608" s="14">
        <v>999</v>
      </c>
      <c r="U608" s="14" t="s">
        <v>214</v>
      </c>
      <c r="V608" s="14">
        <v>31525003</v>
      </c>
      <c r="X608" s="14" t="s">
        <v>204</v>
      </c>
      <c r="Y608" s="14" t="s">
        <v>215</v>
      </c>
      <c r="Z608" s="14">
        <v>20001</v>
      </c>
      <c r="AA608" s="14" t="s">
        <v>205</v>
      </c>
      <c r="AB608" s="14">
        <v>40001</v>
      </c>
      <c r="AE608" s="29" t="s">
        <v>121</v>
      </c>
      <c r="AF608" s="14" t="s">
        <v>213</v>
      </c>
      <c r="AG608" s="14" t="s">
        <v>95</v>
      </c>
    </row>
    <row r="609" spans="2:33">
      <c r="B609" s="14">
        <f>10000000+INDEX(编号表!$B:$B,MATCH(H609,编号表!$A:$A,0))*100000+INDEX(编号表!$F:$F,MATCH(D609,编号表!$E:$E,0))*10000+INDEX(编号表!$D:$D,MATCH(AG609,编号表!$C:$C,0))*1000+F609</f>
        <v>11525004</v>
      </c>
      <c r="C609" s="14" t="s">
        <v>769</v>
      </c>
      <c r="D609" s="14" t="s">
        <v>112</v>
      </c>
      <c r="E609" s="14" t="s">
        <v>95</v>
      </c>
      <c r="F609" s="14">
        <v>4</v>
      </c>
      <c r="G609" s="14">
        <v>60</v>
      </c>
      <c r="H609" s="31" t="s">
        <v>228</v>
      </c>
      <c r="I609" s="14" t="s">
        <v>75</v>
      </c>
      <c r="J609" s="14" t="s">
        <v>201</v>
      </c>
      <c r="K609" s="14">
        <v>1</v>
      </c>
      <c r="L609" s="14" t="s">
        <v>213</v>
      </c>
      <c r="N609" s="14">
        <v>0</v>
      </c>
      <c r="O609" s="14" t="b">
        <v>1</v>
      </c>
      <c r="Q609" s="14" t="b">
        <v>0</v>
      </c>
      <c r="R609" s="14">
        <v>1</v>
      </c>
      <c r="S609" s="14" t="s">
        <v>77</v>
      </c>
      <c r="T609" s="14">
        <v>999</v>
      </c>
      <c r="U609" s="14" t="s">
        <v>214</v>
      </c>
      <c r="V609" s="14">
        <v>31525004</v>
      </c>
      <c r="X609" s="14" t="s">
        <v>204</v>
      </c>
      <c r="Y609" s="14" t="s">
        <v>215</v>
      </c>
      <c r="Z609" s="14">
        <v>20001</v>
      </c>
      <c r="AA609" s="14" t="s">
        <v>205</v>
      </c>
      <c r="AB609" s="14">
        <v>40001</v>
      </c>
      <c r="AE609" s="29" t="s">
        <v>121</v>
      </c>
      <c r="AF609" s="14" t="s">
        <v>213</v>
      </c>
      <c r="AG609" s="14" t="s">
        <v>95</v>
      </c>
    </row>
    <row r="610" spans="2:33">
      <c r="B610" s="14">
        <f>10000000+INDEX(编号表!$B:$B,MATCH(H610,编号表!$A:$A,0))*100000+INDEX(编号表!$F:$F,MATCH(D610,编号表!$E:$E,0))*10000+INDEX(编号表!$D:$D,MATCH(AG610,编号表!$C:$C,0))*1000+F610</f>
        <v>11525005</v>
      </c>
      <c r="C610" s="14" t="s">
        <v>770</v>
      </c>
      <c r="D610" s="14" t="s">
        <v>112</v>
      </c>
      <c r="E610" s="14" t="s">
        <v>95</v>
      </c>
      <c r="F610" s="14">
        <v>5</v>
      </c>
      <c r="G610" s="14">
        <v>60</v>
      </c>
      <c r="H610" s="31" t="s">
        <v>228</v>
      </c>
      <c r="I610" s="14" t="s">
        <v>75</v>
      </c>
      <c r="J610" s="14" t="s">
        <v>201</v>
      </c>
      <c r="K610" s="14">
        <v>1</v>
      </c>
      <c r="L610" s="14" t="s">
        <v>213</v>
      </c>
      <c r="N610" s="14">
        <v>0</v>
      </c>
      <c r="O610" s="14" t="b">
        <v>1</v>
      </c>
      <c r="Q610" s="14" t="b">
        <v>0</v>
      </c>
      <c r="R610" s="14">
        <v>1</v>
      </c>
      <c r="S610" s="14" t="s">
        <v>77</v>
      </c>
      <c r="T610" s="14">
        <v>999</v>
      </c>
      <c r="U610" s="14" t="s">
        <v>214</v>
      </c>
      <c r="V610" s="14">
        <v>31525005</v>
      </c>
      <c r="X610" s="14" t="s">
        <v>204</v>
      </c>
      <c r="Y610" s="14" t="s">
        <v>215</v>
      </c>
      <c r="Z610" s="14">
        <v>20001</v>
      </c>
      <c r="AA610" s="14" t="s">
        <v>205</v>
      </c>
      <c r="AB610" s="14">
        <v>40001</v>
      </c>
      <c r="AE610" s="29" t="s">
        <v>121</v>
      </c>
      <c r="AF610" s="14" t="s">
        <v>213</v>
      </c>
      <c r="AG610" s="14" t="s">
        <v>95</v>
      </c>
    </row>
    <row r="611" spans="2:33">
      <c r="B611" s="14">
        <f>10000000+INDEX(编号表!$B:$B,MATCH(H611,编号表!$A:$A,0))*100000+INDEX(编号表!$F:$F,MATCH(D611,编号表!$E:$E,0))*10000+INDEX(编号表!$D:$D,MATCH(AG611,编号表!$C:$C,0))*1000+F611</f>
        <v>11525006</v>
      </c>
      <c r="C611" s="14" t="s">
        <v>771</v>
      </c>
      <c r="D611" s="14" t="s">
        <v>112</v>
      </c>
      <c r="E611" s="14" t="s">
        <v>95</v>
      </c>
      <c r="F611" s="14">
        <v>6</v>
      </c>
      <c r="G611" s="14">
        <v>60</v>
      </c>
      <c r="H611" s="31" t="s">
        <v>228</v>
      </c>
      <c r="I611" s="14" t="s">
        <v>75</v>
      </c>
      <c r="J611" s="14" t="s">
        <v>201</v>
      </c>
      <c r="K611" s="14">
        <v>1</v>
      </c>
      <c r="L611" s="14" t="s">
        <v>213</v>
      </c>
      <c r="N611" s="14">
        <v>0</v>
      </c>
      <c r="O611" s="14" t="b">
        <v>1</v>
      </c>
      <c r="Q611" s="14" t="b">
        <v>0</v>
      </c>
      <c r="R611" s="14">
        <v>1</v>
      </c>
      <c r="S611" s="14" t="s">
        <v>77</v>
      </c>
      <c r="T611" s="14">
        <v>999</v>
      </c>
      <c r="U611" s="14" t="s">
        <v>214</v>
      </c>
      <c r="V611" s="14">
        <v>31525006</v>
      </c>
      <c r="X611" s="14" t="s">
        <v>204</v>
      </c>
      <c r="Y611" s="14" t="s">
        <v>215</v>
      </c>
      <c r="Z611" s="14">
        <v>20001</v>
      </c>
      <c r="AA611" s="14" t="s">
        <v>205</v>
      </c>
      <c r="AB611" s="14">
        <v>40001</v>
      </c>
      <c r="AE611" s="29" t="s">
        <v>121</v>
      </c>
      <c r="AF611" s="14" t="s">
        <v>213</v>
      </c>
      <c r="AG611" s="14" t="s">
        <v>95</v>
      </c>
    </row>
    <row r="612" spans="2:33">
      <c r="B612" s="14">
        <f>10000000+INDEX(编号表!$B:$B,MATCH(H612,编号表!$A:$A,0))*100000+INDEX(编号表!$F:$F,MATCH(D612,编号表!$E:$E,0))*10000+INDEX(编号表!$D:$D,MATCH(AG612,编号表!$C:$C,0))*1000+F612</f>
        <v>11525007</v>
      </c>
      <c r="C612" s="14" t="s">
        <v>772</v>
      </c>
      <c r="D612" s="14" t="s">
        <v>112</v>
      </c>
      <c r="E612" s="14" t="s">
        <v>95</v>
      </c>
      <c r="F612" s="14">
        <v>7</v>
      </c>
      <c r="G612" s="14">
        <v>60</v>
      </c>
      <c r="H612" s="31" t="s">
        <v>228</v>
      </c>
      <c r="I612" s="14" t="s">
        <v>75</v>
      </c>
      <c r="J612" s="14" t="s">
        <v>201</v>
      </c>
      <c r="K612" s="14">
        <v>1</v>
      </c>
      <c r="L612" s="14" t="s">
        <v>213</v>
      </c>
      <c r="N612" s="14">
        <v>0</v>
      </c>
      <c r="O612" s="14" t="b">
        <v>1</v>
      </c>
      <c r="Q612" s="14" t="b">
        <v>0</v>
      </c>
      <c r="R612" s="14">
        <v>1</v>
      </c>
      <c r="S612" s="14" t="s">
        <v>77</v>
      </c>
      <c r="T612" s="14">
        <v>999</v>
      </c>
      <c r="U612" s="14" t="s">
        <v>214</v>
      </c>
      <c r="V612" s="14">
        <v>31525007</v>
      </c>
      <c r="X612" s="14" t="s">
        <v>204</v>
      </c>
      <c r="Y612" s="14" t="s">
        <v>215</v>
      </c>
      <c r="Z612" s="14">
        <v>20001</v>
      </c>
      <c r="AA612" s="14" t="s">
        <v>205</v>
      </c>
      <c r="AB612" s="14">
        <v>40001</v>
      </c>
      <c r="AE612" s="29" t="s">
        <v>121</v>
      </c>
      <c r="AF612" s="14" t="s">
        <v>213</v>
      </c>
      <c r="AG612" s="14" t="s">
        <v>95</v>
      </c>
    </row>
    <row r="613" spans="2:33">
      <c r="B613" s="14">
        <f>10000000+INDEX(编号表!$B:$B,MATCH(H613,编号表!$A:$A,0))*100000+INDEX(编号表!$F:$F,MATCH(D613,编号表!$E:$E,0))*10000+INDEX(编号表!$D:$D,MATCH(AG613,编号表!$C:$C,0))*1000+F613</f>
        <v>11525008</v>
      </c>
      <c r="C613" s="14" t="s">
        <v>773</v>
      </c>
      <c r="D613" s="14" t="s">
        <v>112</v>
      </c>
      <c r="E613" s="14" t="s">
        <v>95</v>
      </c>
      <c r="F613" s="14">
        <v>8</v>
      </c>
      <c r="G613" s="14">
        <v>60</v>
      </c>
      <c r="H613" s="31" t="s">
        <v>228</v>
      </c>
      <c r="I613" s="14" t="s">
        <v>75</v>
      </c>
      <c r="J613" s="14" t="s">
        <v>201</v>
      </c>
      <c r="K613" s="14">
        <v>1</v>
      </c>
      <c r="L613" s="14" t="s">
        <v>213</v>
      </c>
      <c r="N613" s="14">
        <v>0</v>
      </c>
      <c r="O613" s="14" t="b">
        <v>1</v>
      </c>
      <c r="Q613" s="14" t="b">
        <v>0</v>
      </c>
      <c r="R613" s="14">
        <v>1</v>
      </c>
      <c r="S613" s="14" t="s">
        <v>77</v>
      </c>
      <c r="T613" s="14">
        <v>999</v>
      </c>
      <c r="U613" s="14" t="s">
        <v>214</v>
      </c>
      <c r="V613" s="14">
        <v>31525008</v>
      </c>
      <c r="X613" s="14" t="s">
        <v>204</v>
      </c>
      <c r="Y613" s="14" t="s">
        <v>215</v>
      </c>
      <c r="Z613" s="14">
        <v>20001</v>
      </c>
      <c r="AA613" s="14" t="s">
        <v>205</v>
      </c>
      <c r="AB613" s="14">
        <v>40001</v>
      </c>
      <c r="AE613" s="29" t="s">
        <v>121</v>
      </c>
      <c r="AF613" s="14" t="s">
        <v>213</v>
      </c>
      <c r="AG613" s="14" t="s">
        <v>95</v>
      </c>
    </row>
    <row r="614" spans="2:33">
      <c r="B614" s="14">
        <f>10000000+INDEX(编号表!$B:$B,MATCH(H614,编号表!$A:$A,0))*100000+INDEX(编号表!$F:$F,MATCH(D614,编号表!$E:$E,0))*10000+INDEX(编号表!$D:$D,MATCH(AG614,编号表!$C:$C,0))*1000+F614</f>
        <v>11525009</v>
      </c>
      <c r="C614" s="14" t="s">
        <v>774</v>
      </c>
      <c r="D614" s="14" t="s">
        <v>112</v>
      </c>
      <c r="E614" s="14" t="s">
        <v>95</v>
      </c>
      <c r="F614" s="14">
        <v>9</v>
      </c>
      <c r="G614" s="14">
        <v>60</v>
      </c>
      <c r="H614" s="31" t="s">
        <v>228</v>
      </c>
      <c r="I614" s="14" t="s">
        <v>75</v>
      </c>
      <c r="J614" s="14" t="s">
        <v>201</v>
      </c>
      <c r="K614" s="14">
        <v>1</v>
      </c>
      <c r="L614" s="14" t="s">
        <v>213</v>
      </c>
      <c r="N614" s="14">
        <v>0</v>
      </c>
      <c r="O614" s="14" t="b">
        <v>1</v>
      </c>
      <c r="Q614" s="14" t="b">
        <v>0</v>
      </c>
      <c r="R614" s="14">
        <v>1</v>
      </c>
      <c r="S614" s="14" t="s">
        <v>77</v>
      </c>
      <c r="T614" s="14">
        <v>999</v>
      </c>
      <c r="U614" s="14" t="s">
        <v>214</v>
      </c>
      <c r="V614" s="14">
        <v>31525009</v>
      </c>
      <c r="X614" s="14" t="s">
        <v>204</v>
      </c>
      <c r="Y614" s="14" t="s">
        <v>215</v>
      </c>
      <c r="Z614" s="14">
        <v>20001</v>
      </c>
      <c r="AA614" s="14" t="s">
        <v>205</v>
      </c>
      <c r="AB614" s="14">
        <v>40001</v>
      </c>
      <c r="AE614" s="29" t="s">
        <v>121</v>
      </c>
      <c r="AF614" s="14" t="s">
        <v>213</v>
      </c>
      <c r="AG614" s="14" t="s">
        <v>95</v>
      </c>
    </row>
    <row r="615" spans="2:33">
      <c r="B615" s="14">
        <f>10000000+INDEX(编号表!$B:$B,MATCH(H615,编号表!$A:$A,0))*100000+INDEX(编号表!$F:$F,MATCH(D615,编号表!$E:$E,0))*10000+INDEX(编号表!$D:$D,MATCH(AG615,编号表!$C:$C,0))*1000+F615</f>
        <v>11425000</v>
      </c>
      <c r="C615" s="14" t="s">
        <v>775</v>
      </c>
      <c r="D615" s="14" t="s">
        <v>112</v>
      </c>
      <c r="E615" s="14" t="s">
        <v>95</v>
      </c>
      <c r="F615" s="14">
        <v>0</v>
      </c>
      <c r="G615" s="14">
        <v>60</v>
      </c>
      <c r="H615" s="31" t="s">
        <v>239</v>
      </c>
      <c r="I615" s="14" t="s">
        <v>75</v>
      </c>
      <c r="J615" s="14" t="s">
        <v>201</v>
      </c>
      <c r="K615" s="14">
        <v>1</v>
      </c>
      <c r="L615" s="14" t="s">
        <v>213</v>
      </c>
      <c r="N615" s="14">
        <v>0</v>
      </c>
      <c r="O615" s="14" t="b">
        <v>1</v>
      </c>
      <c r="Q615" s="14" t="b">
        <v>0</v>
      </c>
      <c r="R615" s="14">
        <v>1</v>
      </c>
      <c r="S615" s="14" t="s">
        <v>77</v>
      </c>
      <c r="T615" s="14">
        <v>999</v>
      </c>
      <c r="U615" s="14" t="s">
        <v>214</v>
      </c>
      <c r="V615" s="14">
        <v>31425000</v>
      </c>
      <c r="X615" s="14" t="s">
        <v>204</v>
      </c>
      <c r="Y615" s="14" t="s">
        <v>215</v>
      </c>
      <c r="Z615" s="14">
        <v>20001</v>
      </c>
      <c r="AA615" s="14" t="s">
        <v>205</v>
      </c>
      <c r="AB615" s="14">
        <v>40001</v>
      </c>
      <c r="AE615" s="29" t="s">
        <v>121</v>
      </c>
      <c r="AF615" s="14" t="s">
        <v>213</v>
      </c>
      <c r="AG615" s="14" t="s">
        <v>95</v>
      </c>
    </row>
    <row r="616" spans="2:33">
      <c r="B616" s="14">
        <f>10000000+INDEX(编号表!$B:$B,MATCH(H616,编号表!$A:$A,0))*100000+INDEX(编号表!$F:$F,MATCH(D616,编号表!$E:$E,0))*10000+INDEX(编号表!$D:$D,MATCH(AG616,编号表!$C:$C,0))*1000+F616</f>
        <v>11425001</v>
      </c>
      <c r="C616" s="14" t="s">
        <v>776</v>
      </c>
      <c r="D616" s="14" t="s">
        <v>112</v>
      </c>
      <c r="E616" s="14" t="s">
        <v>95</v>
      </c>
      <c r="F616" s="14">
        <v>1</v>
      </c>
      <c r="G616" s="14">
        <v>60</v>
      </c>
      <c r="H616" s="31" t="s">
        <v>239</v>
      </c>
      <c r="I616" s="14" t="s">
        <v>75</v>
      </c>
      <c r="J616" s="14" t="s">
        <v>201</v>
      </c>
      <c r="K616" s="14">
        <v>1</v>
      </c>
      <c r="L616" s="14" t="s">
        <v>213</v>
      </c>
      <c r="N616" s="14">
        <v>0</v>
      </c>
      <c r="O616" s="14" t="b">
        <v>1</v>
      </c>
      <c r="Q616" s="14" t="b">
        <v>0</v>
      </c>
      <c r="R616" s="14">
        <v>1</v>
      </c>
      <c r="S616" s="14" t="s">
        <v>77</v>
      </c>
      <c r="T616" s="14">
        <v>999</v>
      </c>
      <c r="U616" s="14" t="s">
        <v>214</v>
      </c>
      <c r="V616" s="14">
        <v>31425001</v>
      </c>
      <c r="X616" s="14" t="s">
        <v>204</v>
      </c>
      <c r="Y616" s="14" t="s">
        <v>215</v>
      </c>
      <c r="Z616" s="14">
        <v>20001</v>
      </c>
      <c r="AA616" s="14" t="s">
        <v>205</v>
      </c>
      <c r="AB616" s="14">
        <v>40001</v>
      </c>
      <c r="AE616" s="29" t="s">
        <v>121</v>
      </c>
      <c r="AF616" s="14" t="s">
        <v>213</v>
      </c>
      <c r="AG616" s="14" t="s">
        <v>95</v>
      </c>
    </row>
    <row r="617" spans="2:33">
      <c r="B617" s="14">
        <f>10000000+INDEX(编号表!$B:$B,MATCH(H617,编号表!$A:$A,0))*100000+INDEX(编号表!$F:$F,MATCH(D617,编号表!$E:$E,0))*10000+INDEX(编号表!$D:$D,MATCH(AG617,编号表!$C:$C,0))*1000+F617</f>
        <v>11425002</v>
      </c>
      <c r="C617" s="14" t="s">
        <v>777</v>
      </c>
      <c r="D617" s="14" t="s">
        <v>112</v>
      </c>
      <c r="E617" s="14" t="s">
        <v>95</v>
      </c>
      <c r="F617" s="14">
        <v>2</v>
      </c>
      <c r="G617" s="14">
        <v>60</v>
      </c>
      <c r="H617" s="31" t="s">
        <v>239</v>
      </c>
      <c r="I617" s="14" t="s">
        <v>75</v>
      </c>
      <c r="J617" s="14" t="s">
        <v>201</v>
      </c>
      <c r="K617" s="14">
        <v>1</v>
      </c>
      <c r="L617" s="14" t="s">
        <v>213</v>
      </c>
      <c r="N617" s="14">
        <v>0</v>
      </c>
      <c r="O617" s="14" t="b">
        <v>1</v>
      </c>
      <c r="Q617" s="14" t="b">
        <v>0</v>
      </c>
      <c r="R617" s="14">
        <v>1</v>
      </c>
      <c r="S617" s="14" t="s">
        <v>77</v>
      </c>
      <c r="T617" s="14">
        <v>999</v>
      </c>
      <c r="U617" s="14" t="s">
        <v>214</v>
      </c>
      <c r="V617" s="14">
        <v>31425002</v>
      </c>
      <c r="X617" s="14" t="s">
        <v>204</v>
      </c>
      <c r="Y617" s="14" t="s">
        <v>215</v>
      </c>
      <c r="Z617" s="14">
        <v>20001</v>
      </c>
      <c r="AA617" s="14" t="s">
        <v>205</v>
      </c>
      <c r="AB617" s="14">
        <v>40001</v>
      </c>
      <c r="AE617" s="29" t="s">
        <v>121</v>
      </c>
      <c r="AF617" s="14" t="s">
        <v>213</v>
      </c>
      <c r="AG617" s="14" t="s">
        <v>95</v>
      </c>
    </row>
    <row r="618" spans="2:33">
      <c r="B618" s="14">
        <f>10000000+INDEX(编号表!$B:$B,MATCH(H618,编号表!$A:$A,0))*100000+INDEX(编号表!$F:$F,MATCH(D618,编号表!$E:$E,0))*10000+INDEX(编号表!$D:$D,MATCH(AG618,编号表!$C:$C,0))*1000+F618</f>
        <v>11425003</v>
      </c>
      <c r="C618" s="14" t="s">
        <v>778</v>
      </c>
      <c r="D618" s="14" t="s">
        <v>112</v>
      </c>
      <c r="E618" s="14" t="s">
        <v>95</v>
      </c>
      <c r="F618" s="14">
        <v>3</v>
      </c>
      <c r="G618" s="14">
        <v>60</v>
      </c>
      <c r="H618" s="31" t="s">
        <v>239</v>
      </c>
      <c r="I618" s="14" t="s">
        <v>75</v>
      </c>
      <c r="J618" s="14" t="s">
        <v>201</v>
      </c>
      <c r="K618" s="14">
        <v>1</v>
      </c>
      <c r="L618" s="14" t="s">
        <v>213</v>
      </c>
      <c r="N618" s="14">
        <v>0</v>
      </c>
      <c r="O618" s="14" t="b">
        <v>1</v>
      </c>
      <c r="Q618" s="14" t="b">
        <v>0</v>
      </c>
      <c r="R618" s="14">
        <v>1</v>
      </c>
      <c r="S618" s="14" t="s">
        <v>77</v>
      </c>
      <c r="T618" s="14">
        <v>999</v>
      </c>
      <c r="U618" s="14" t="s">
        <v>214</v>
      </c>
      <c r="V618" s="14">
        <v>31425003</v>
      </c>
      <c r="X618" s="14" t="s">
        <v>204</v>
      </c>
      <c r="Y618" s="14" t="s">
        <v>215</v>
      </c>
      <c r="Z618" s="14">
        <v>20001</v>
      </c>
      <c r="AA618" s="14" t="s">
        <v>205</v>
      </c>
      <c r="AB618" s="14">
        <v>40001</v>
      </c>
      <c r="AE618" s="29" t="s">
        <v>121</v>
      </c>
      <c r="AF618" s="14" t="s">
        <v>213</v>
      </c>
      <c r="AG618" s="14" t="s">
        <v>95</v>
      </c>
    </row>
    <row r="619" spans="2:33">
      <c r="B619" s="14">
        <f>10000000+INDEX(编号表!$B:$B,MATCH(H619,编号表!$A:$A,0))*100000+INDEX(编号表!$F:$F,MATCH(D619,编号表!$E:$E,0))*10000+INDEX(编号表!$D:$D,MATCH(AG619,编号表!$C:$C,0))*1000+F619</f>
        <v>11625000</v>
      </c>
      <c r="C619" s="14" t="s">
        <v>779</v>
      </c>
      <c r="D619" s="14" t="s">
        <v>112</v>
      </c>
      <c r="E619" s="14" t="s">
        <v>95</v>
      </c>
      <c r="F619" s="14">
        <v>0</v>
      </c>
      <c r="G619" s="14">
        <v>60</v>
      </c>
      <c r="H619" s="31" t="s">
        <v>244</v>
      </c>
      <c r="I619" s="14" t="s">
        <v>75</v>
      </c>
      <c r="J619" s="14" t="s">
        <v>201</v>
      </c>
      <c r="K619" s="14">
        <v>1</v>
      </c>
      <c r="L619" s="14" t="s">
        <v>213</v>
      </c>
      <c r="N619" s="14">
        <v>0</v>
      </c>
      <c r="O619" s="14" t="b">
        <v>1</v>
      </c>
      <c r="Q619" s="14" t="b">
        <v>0</v>
      </c>
      <c r="R619" s="14">
        <v>1</v>
      </c>
      <c r="S619" s="14" t="s">
        <v>77</v>
      </c>
      <c r="T619" s="14">
        <v>999</v>
      </c>
      <c r="U619" s="14" t="s">
        <v>214</v>
      </c>
      <c r="V619" s="14">
        <v>31625000</v>
      </c>
      <c r="X619" s="14" t="s">
        <v>204</v>
      </c>
      <c r="Y619" s="14" t="s">
        <v>215</v>
      </c>
      <c r="Z619" s="14">
        <v>20001</v>
      </c>
      <c r="AA619" s="14" t="s">
        <v>205</v>
      </c>
      <c r="AB619" s="14">
        <v>40001</v>
      </c>
      <c r="AE619" s="29" t="s">
        <v>121</v>
      </c>
      <c r="AF619" s="14" t="s">
        <v>213</v>
      </c>
      <c r="AG619" s="14" t="s">
        <v>95</v>
      </c>
    </row>
    <row r="620" spans="2:33">
      <c r="B620" s="14">
        <f>10000000+INDEX(编号表!$B:$B,MATCH(H620,编号表!$A:$A,0))*100000+INDEX(编号表!$F:$F,MATCH(D620,编号表!$E:$E,0))*10000+INDEX(编号表!$D:$D,MATCH(AG620,编号表!$C:$C,0))*1000+F620</f>
        <v>11625001</v>
      </c>
      <c r="C620" s="14" t="s">
        <v>780</v>
      </c>
      <c r="D620" s="14" t="s">
        <v>112</v>
      </c>
      <c r="E620" s="14" t="s">
        <v>95</v>
      </c>
      <c r="F620" s="14">
        <v>1</v>
      </c>
      <c r="G620" s="14">
        <v>60</v>
      </c>
      <c r="H620" s="31" t="s">
        <v>244</v>
      </c>
      <c r="I620" s="14" t="s">
        <v>75</v>
      </c>
      <c r="J620" s="14" t="s">
        <v>201</v>
      </c>
      <c r="K620" s="14">
        <v>1</v>
      </c>
      <c r="L620" s="14" t="s">
        <v>213</v>
      </c>
      <c r="N620" s="14">
        <v>0</v>
      </c>
      <c r="O620" s="14" t="b">
        <v>1</v>
      </c>
      <c r="Q620" s="14" t="b">
        <v>0</v>
      </c>
      <c r="R620" s="14">
        <v>1</v>
      </c>
      <c r="S620" s="14" t="s">
        <v>77</v>
      </c>
      <c r="T620" s="14">
        <v>999</v>
      </c>
      <c r="U620" s="14" t="s">
        <v>214</v>
      </c>
      <c r="V620" s="14">
        <v>31625001</v>
      </c>
      <c r="X620" s="14" t="s">
        <v>204</v>
      </c>
      <c r="Y620" s="14" t="s">
        <v>215</v>
      </c>
      <c r="Z620" s="14">
        <v>20001</v>
      </c>
      <c r="AA620" s="14" t="s">
        <v>205</v>
      </c>
      <c r="AB620" s="14">
        <v>40001</v>
      </c>
      <c r="AE620" s="29" t="s">
        <v>121</v>
      </c>
      <c r="AF620" s="14" t="s">
        <v>213</v>
      </c>
      <c r="AG620" s="14" t="s">
        <v>95</v>
      </c>
    </row>
    <row r="621" spans="2:33">
      <c r="B621" s="14">
        <f>10000000+INDEX(编号表!$B:$B,MATCH(H621,编号表!$A:$A,0))*100000+INDEX(编号表!$F:$F,MATCH(D621,编号表!$E:$E,0))*10000+INDEX(编号表!$D:$D,MATCH(AG621,编号表!$C:$C,0))*1000+F621</f>
        <v>11625002</v>
      </c>
      <c r="C621" s="14" t="s">
        <v>781</v>
      </c>
      <c r="D621" s="14" t="s">
        <v>112</v>
      </c>
      <c r="E621" s="14" t="s">
        <v>95</v>
      </c>
      <c r="F621" s="14">
        <v>2</v>
      </c>
      <c r="G621" s="14">
        <v>60</v>
      </c>
      <c r="H621" s="31" t="s">
        <v>244</v>
      </c>
      <c r="I621" s="14" t="s">
        <v>75</v>
      </c>
      <c r="J621" s="14" t="s">
        <v>201</v>
      </c>
      <c r="K621" s="14">
        <v>1</v>
      </c>
      <c r="L621" s="14" t="s">
        <v>213</v>
      </c>
      <c r="N621" s="14">
        <v>0</v>
      </c>
      <c r="O621" s="14" t="b">
        <v>1</v>
      </c>
      <c r="Q621" s="14" t="b">
        <v>0</v>
      </c>
      <c r="R621" s="14">
        <v>1</v>
      </c>
      <c r="S621" s="14" t="s">
        <v>77</v>
      </c>
      <c r="T621" s="14">
        <v>999</v>
      </c>
      <c r="U621" s="14" t="s">
        <v>214</v>
      </c>
      <c r="V621" s="14">
        <v>31625002</v>
      </c>
      <c r="X621" s="14" t="s">
        <v>204</v>
      </c>
      <c r="Y621" s="14" t="s">
        <v>215</v>
      </c>
      <c r="Z621" s="14">
        <v>20001</v>
      </c>
      <c r="AA621" s="14" t="s">
        <v>205</v>
      </c>
      <c r="AB621" s="14">
        <v>40001</v>
      </c>
      <c r="AE621" s="29" t="s">
        <v>121</v>
      </c>
      <c r="AF621" s="14" t="s">
        <v>213</v>
      </c>
      <c r="AG621" s="14" t="s">
        <v>95</v>
      </c>
    </row>
    <row r="622" spans="2:33">
      <c r="B622" s="14">
        <f>10000000+INDEX(编号表!$B:$B,MATCH(H622,编号表!$A:$A,0))*100000+INDEX(编号表!$F:$F,MATCH(D622,编号表!$E:$E,0))*10000+INDEX(编号表!$D:$D,MATCH(AG622,编号表!$C:$C,0))*1000+F622</f>
        <v>11235000</v>
      </c>
      <c r="C622" s="14" t="s">
        <v>782</v>
      </c>
      <c r="D622" s="14" t="s">
        <v>276</v>
      </c>
      <c r="E622" s="14" t="s">
        <v>95</v>
      </c>
      <c r="F622" s="14">
        <v>0</v>
      </c>
      <c r="G622" s="14">
        <v>60</v>
      </c>
      <c r="H622" s="31" t="s">
        <v>212</v>
      </c>
      <c r="I622" s="14" t="s">
        <v>75</v>
      </c>
      <c r="J622" s="14" t="s">
        <v>201</v>
      </c>
      <c r="K622" s="14">
        <v>1</v>
      </c>
      <c r="L622" s="14" t="s">
        <v>213</v>
      </c>
      <c r="N622" s="14">
        <v>0</v>
      </c>
      <c r="O622" s="14" t="b">
        <v>1</v>
      </c>
      <c r="Q622" s="14" t="b">
        <v>0</v>
      </c>
      <c r="R622" s="14">
        <v>1</v>
      </c>
      <c r="S622" s="14" t="s">
        <v>77</v>
      </c>
      <c r="T622" s="14">
        <v>999</v>
      </c>
      <c r="U622" s="14" t="s">
        <v>214</v>
      </c>
      <c r="V622" s="14">
        <v>31235000</v>
      </c>
      <c r="X622" s="14" t="s">
        <v>204</v>
      </c>
      <c r="Y622" s="14" t="s">
        <v>215</v>
      </c>
      <c r="Z622" s="14">
        <v>20001</v>
      </c>
      <c r="AA622" s="14" t="s">
        <v>205</v>
      </c>
      <c r="AB622" s="14">
        <v>40001</v>
      </c>
      <c r="AE622" s="29" t="s">
        <v>121</v>
      </c>
      <c r="AF622" s="14" t="s">
        <v>213</v>
      </c>
      <c r="AG622" s="14" t="s">
        <v>95</v>
      </c>
    </row>
    <row r="623" spans="2:33">
      <c r="B623" s="14">
        <f>10000000+INDEX(编号表!$B:$B,MATCH(H623,编号表!$A:$A,0))*100000+INDEX(编号表!$F:$F,MATCH(D623,编号表!$E:$E,0))*10000+INDEX(编号表!$D:$D,MATCH(AG623,编号表!$C:$C,0))*1000+F623</f>
        <v>11335000</v>
      </c>
      <c r="C623" s="14" t="s">
        <v>783</v>
      </c>
      <c r="D623" s="14" t="s">
        <v>276</v>
      </c>
      <c r="E623" s="14" t="s">
        <v>95</v>
      </c>
      <c r="F623" s="14">
        <v>0</v>
      </c>
      <c r="G623" s="14">
        <v>60</v>
      </c>
      <c r="H623" s="31" t="s">
        <v>217</v>
      </c>
      <c r="I623" s="14" t="s">
        <v>75</v>
      </c>
      <c r="J623" s="14" t="s">
        <v>201</v>
      </c>
      <c r="K623" s="14">
        <v>1</v>
      </c>
      <c r="L623" s="14" t="s">
        <v>213</v>
      </c>
      <c r="N623" s="14">
        <v>0</v>
      </c>
      <c r="O623" s="14" t="b">
        <v>1</v>
      </c>
      <c r="Q623" s="14" t="b">
        <v>0</v>
      </c>
      <c r="R623" s="14">
        <v>1</v>
      </c>
      <c r="S623" s="14" t="s">
        <v>77</v>
      </c>
      <c r="T623" s="14">
        <v>999</v>
      </c>
      <c r="U623" s="14" t="s">
        <v>214</v>
      </c>
      <c r="V623" s="14">
        <v>31335000</v>
      </c>
      <c r="X623" s="14" t="s">
        <v>204</v>
      </c>
      <c r="Y623" s="14" t="s">
        <v>215</v>
      </c>
      <c r="Z623" s="14">
        <v>20001</v>
      </c>
      <c r="AA623" s="14" t="s">
        <v>205</v>
      </c>
      <c r="AB623" s="14">
        <v>40001</v>
      </c>
      <c r="AE623" s="29" t="s">
        <v>121</v>
      </c>
      <c r="AF623" s="14" t="s">
        <v>213</v>
      </c>
      <c r="AG623" s="14" t="s">
        <v>95</v>
      </c>
    </row>
    <row r="624" spans="2:33">
      <c r="B624" s="14">
        <f>10000000+INDEX(编号表!$B:$B,MATCH(H624,编号表!$A:$A,0))*100000+INDEX(编号表!$F:$F,MATCH(D624,编号表!$E:$E,0))*10000+INDEX(编号表!$D:$D,MATCH(AG624,编号表!$C:$C,0))*1000+F624</f>
        <v>11335001</v>
      </c>
      <c r="C624" s="14" t="s">
        <v>784</v>
      </c>
      <c r="D624" s="14" t="s">
        <v>276</v>
      </c>
      <c r="E624" s="14" t="s">
        <v>95</v>
      </c>
      <c r="F624" s="14">
        <v>1</v>
      </c>
      <c r="G624" s="14">
        <v>60</v>
      </c>
      <c r="H624" s="31" t="s">
        <v>217</v>
      </c>
      <c r="I624" s="14" t="s">
        <v>75</v>
      </c>
      <c r="J624" s="14" t="s">
        <v>201</v>
      </c>
      <c r="K624" s="14">
        <v>1</v>
      </c>
      <c r="L624" s="14" t="s">
        <v>213</v>
      </c>
      <c r="N624" s="14">
        <v>0</v>
      </c>
      <c r="O624" s="14" t="b">
        <v>1</v>
      </c>
      <c r="Q624" s="14" t="b">
        <v>0</v>
      </c>
      <c r="R624" s="14">
        <v>1</v>
      </c>
      <c r="S624" s="14" t="s">
        <v>77</v>
      </c>
      <c r="T624" s="14">
        <v>999</v>
      </c>
      <c r="U624" s="14" t="s">
        <v>214</v>
      </c>
      <c r="V624" s="14">
        <v>31335001</v>
      </c>
      <c r="X624" s="14" t="s">
        <v>204</v>
      </c>
      <c r="Y624" s="14" t="s">
        <v>215</v>
      </c>
      <c r="Z624" s="14">
        <v>20001</v>
      </c>
      <c r="AA624" s="14" t="s">
        <v>205</v>
      </c>
      <c r="AB624" s="14">
        <v>40001</v>
      </c>
      <c r="AE624" s="29" t="s">
        <v>121</v>
      </c>
      <c r="AF624" s="14" t="s">
        <v>213</v>
      </c>
      <c r="AG624" s="14" t="s">
        <v>95</v>
      </c>
    </row>
    <row r="625" spans="2:33">
      <c r="B625" s="14">
        <f>10000000+INDEX(编号表!$B:$B,MATCH(H625,编号表!$A:$A,0))*100000+INDEX(编号表!$F:$F,MATCH(D625,编号表!$E:$E,0))*10000+INDEX(编号表!$D:$D,MATCH(AG625,编号表!$C:$C,0))*1000+F625</f>
        <v>11335002</v>
      </c>
      <c r="C625" s="14" t="s">
        <v>785</v>
      </c>
      <c r="D625" s="14" t="s">
        <v>276</v>
      </c>
      <c r="E625" s="14" t="s">
        <v>95</v>
      </c>
      <c r="F625" s="14">
        <v>2</v>
      </c>
      <c r="G625" s="14">
        <v>60</v>
      </c>
      <c r="H625" s="31" t="s">
        <v>217</v>
      </c>
      <c r="I625" s="14" t="s">
        <v>75</v>
      </c>
      <c r="J625" s="14" t="s">
        <v>201</v>
      </c>
      <c r="K625" s="14">
        <v>1</v>
      </c>
      <c r="L625" s="14" t="s">
        <v>213</v>
      </c>
      <c r="N625" s="14">
        <v>0</v>
      </c>
      <c r="O625" s="14" t="b">
        <v>1</v>
      </c>
      <c r="Q625" s="14" t="b">
        <v>0</v>
      </c>
      <c r="R625" s="14">
        <v>1</v>
      </c>
      <c r="S625" s="14" t="s">
        <v>77</v>
      </c>
      <c r="T625" s="14">
        <v>999</v>
      </c>
      <c r="U625" s="14" t="s">
        <v>214</v>
      </c>
      <c r="V625" s="14">
        <v>31335002</v>
      </c>
      <c r="X625" s="14" t="s">
        <v>204</v>
      </c>
      <c r="Y625" s="14" t="s">
        <v>215</v>
      </c>
      <c r="Z625" s="14">
        <v>20001</v>
      </c>
      <c r="AA625" s="14" t="s">
        <v>205</v>
      </c>
      <c r="AB625" s="14">
        <v>40001</v>
      </c>
      <c r="AE625" s="29" t="s">
        <v>121</v>
      </c>
      <c r="AF625" s="14" t="s">
        <v>213</v>
      </c>
      <c r="AG625" s="14" t="s">
        <v>95</v>
      </c>
    </row>
    <row r="626" spans="2:33">
      <c r="B626" s="14">
        <f>10000000+INDEX(编号表!$B:$B,MATCH(H626,编号表!$A:$A,0))*100000+INDEX(编号表!$F:$F,MATCH(D626,编号表!$E:$E,0))*10000+INDEX(编号表!$D:$D,MATCH(AG626,编号表!$C:$C,0))*1000+F626</f>
        <v>11335003</v>
      </c>
      <c r="C626" s="14" t="s">
        <v>786</v>
      </c>
      <c r="D626" s="14" t="s">
        <v>276</v>
      </c>
      <c r="E626" s="14" t="s">
        <v>95</v>
      </c>
      <c r="F626" s="14">
        <v>3</v>
      </c>
      <c r="G626" s="14">
        <v>60</v>
      </c>
      <c r="H626" s="31" t="s">
        <v>217</v>
      </c>
      <c r="I626" s="14" t="s">
        <v>75</v>
      </c>
      <c r="J626" s="14" t="s">
        <v>201</v>
      </c>
      <c r="K626" s="14">
        <v>1</v>
      </c>
      <c r="L626" s="14" t="s">
        <v>213</v>
      </c>
      <c r="N626" s="14">
        <v>0</v>
      </c>
      <c r="O626" s="14" t="b">
        <v>1</v>
      </c>
      <c r="Q626" s="14" t="b">
        <v>0</v>
      </c>
      <c r="R626" s="14">
        <v>1</v>
      </c>
      <c r="S626" s="14" t="s">
        <v>77</v>
      </c>
      <c r="T626" s="14">
        <v>999</v>
      </c>
      <c r="U626" s="14" t="s">
        <v>214</v>
      </c>
      <c r="V626" s="14">
        <v>31335003</v>
      </c>
      <c r="X626" s="14" t="s">
        <v>204</v>
      </c>
      <c r="Y626" s="14" t="s">
        <v>215</v>
      </c>
      <c r="Z626" s="14">
        <v>20001</v>
      </c>
      <c r="AA626" s="14" t="s">
        <v>205</v>
      </c>
      <c r="AB626" s="14">
        <v>40001</v>
      </c>
      <c r="AE626" s="29" t="s">
        <v>121</v>
      </c>
      <c r="AF626" s="14" t="s">
        <v>213</v>
      </c>
      <c r="AG626" s="14" t="s">
        <v>95</v>
      </c>
    </row>
    <row r="627" spans="2:33">
      <c r="B627" s="14">
        <f>10000000+INDEX(编号表!$B:$B,MATCH(H627,编号表!$A:$A,0))*100000+INDEX(编号表!$F:$F,MATCH(D627,编号表!$E:$E,0))*10000+INDEX(编号表!$D:$D,MATCH(AG627,编号表!$C:$C,0))*1000+F627</f>
        <v>11335004</v>
      </c>
      <c r="C627" s="14" t="s">
        <v>787</v>
      </c>
      <c r="D627" s="14" t="s">
        <v>276</v>
      </c>
      <c r="E627" s="14" t="s">
        <v>95</v>
      </c>
      <c r="F627" s="14">
        <v>4</v>
      </c>
      <c r="G627" s="14">
        <v>60</v>
      </c>
      <c r="H627" s="31" t="s">
        <v>217</v>
      </c>
      <c r="I627" s="14" t="s">
        <v>75</v>
      </c>
      <c r="J627" s="14" t="s">
        <v>201</v>
      </c>
      <c r="K627" s="14">
        <v>1</v>
      </c>
      <c r="L627" s="14" t="s">
        <v>213</v>
      </c>
      <c r="N627" s="14">
        <v>0</v>
      </c>
      <c r="O627" s="14" t="b">
        <v>1</v>
      </c>
      <c r="Q627" s="14" t="b">
        <v>0</v>
      </c>
      <c r="R627" s="14">
        <v>1</v>
      </c>
      <c r="S627" s="14" t="s">
        <v>77</v>
      </c>
      <c r="T627" s="14">
        <v>999</v>
      </c>
      <c r="U627" s="14" t="s">
        <v>214</v>
      </c>
      <c r="V627" s="14">
        <v>31335004</v>
      </c>
      <c r="X627" s="14" t="s">
        <v>204</v>
      </c>
      <c r="Y627" s="14" t="s">
        <v>215</v>
      </c>
      <c r="Z627" s="14">
        <v>20001</v>
      </c>
      <c r="AA627" s="14" t="s">
        <v>205</v>
      </c>
      <c r="AB627" s="14">
        <v>40001</v>
      </c>
      <c r="AE627" s="29" t="s">
        <v>121</v>
      </c>
      <c r="AF627" s="14" t="s">
        <v>213</v>
      </c>
      <c r="AG627" s="14" t="s">
        <v>95</v>
      </c>
    </row>
    <row r="628" spans="2:33">
      <c r="B628" s="14">
        <f>10000000+INDEX(编号表!$B:$B,MATCH(H628,编号表!$A:$A,0))*100000+INDEX(编号表!$F:$F,MATCH(D628,编号表!$E:$E,0))*10000+INDEX(编号表!$D:$D,MATCH(AG628,编号表!$C:$C,0))*1000+F628</f>
        <v>11335005</v>
      </c>
      <c r="C628" s="14" t="s">
        <v>788</v>
      </c>
      <c r="D628" s="14" t="s">
        <v>276</v>
      </c>
      <c r="E628" s="14" t="s">
        <v>95</v>
      </c>
      <c r="F628" s="14">
        <v>5</v>
      </c>
      <c r="G628" s="14">
        <v>60</v>
      </c>
      <c r="H628" s="31" t="s">
        <v>217</v>
      </c>
      <c r="I628" s="14" t="s">
        <v>75</v>
      </c>
      <c r="J628" s="14" t="s">
        <v>201</v>
      </c>
      <c r="K628" s="14">
        <v>1</v>
      </c>
      <c r="L628" s="14" t="s">
        <v>213</v>
      </c>
      <c r="N628" s="14">
        <v>0</v>
      </c>
      <c r="O628" s="14" t="b">
        <v>1</v>
      </c>
      <c r="Q628" s="14" t="b">
        <v>0</v>
      </c>
      <c r="R628" s="14">
        <v>1</v>
      </c>
      <c r="S628" s="14" t="s">
        <v>77</v>
      </c>
      <c r="T628" s="14">
        <v>999</v>
      </c>
      <c r="U628" s="14" t="s">
        <v>214</v>
      </c>
      <c r="V628" s="14">
        <v>31335005</v>
      </c>
      <c r="X628" s="14" t="s">
        <v>204</v>
      </c>
      <c r="Y628" s="14" t="s">
        <v>215</v>
      </c>
      <c r="Z628" s="14">
        <v>20001</v>
      </c>
      <c r="AA628" s="14" t="s">
        <v>205</v>
      </c>
      <c r="AB628" s="14">
        <v>40001</v>
      </c>
      <c r="AE628" s="29" t="s">
        <v>121</v>
      </c>
      <c r="AF628" s="14" t="s">
        <v>213</v>
      </c>
      <c r="AG628" s="14" t="s">
        <v>95</v>
      </c>
    </row>
    <row r="629" spans="2:33">
      <c r="B629" s="14">
        <f>10000000+INDEX(编号表!$B:$B,MATCH(H629,编号表!$A:$A,0))*100000+INDEX(编号表!$F:$F,MATCH(D629,编号表!$E:$E,0))*10000+INDEX(编号表!$D:$D,MATCH(AG629,编号表!$C:$C,0))*1000+F629</f>
        <v>11335006</v>
      </c>
      <c r="C629" s="14" t="s">
        <v>789</v>
      </c>
      <c r="D629" s="14" t="s">
        <v>276</v>
      </c>
      <c r="E629" s="14" t="s">
        <v>95</v>
      </c>
      <c r="F629" s="14">
        <v>6</v>
      </c>
      <c r="G629" s="14">
        <v>60</v>
      </c>
      <c r="H629" s="31" t="s">
        <v>217</v>
      </c>
      <c r="I629" s="14" t="s">
        <v>75</v>
      </c>
      <c r="J629" s="14" t="s">
        <v>201</v>
      </c>
      <c r="K629" s="14">
        <v>1</v>
      </c>
      <c r="L629" s="14" t="s">
        <v>213</v>
      </c>
      <c r="N629" s="14">
        <v>0</v>
      </c>
      <c r="O629" s="14" t="b">
        <v>1</v>
      </c>
      <c r="Q629" s="14" t="b">
        <v>0</v>
      </c>
      <c r="R629" s="14">
        <v>1</v>
      </c>
      <c r="S629" s="14" t="s">
        <v>77</v>
      </c>
      <c r="T629" s="14">
        <v>999</v>
      </c>
      <c r="U629" s="14" t="s">
        <v>214</v>
      </c>
      <c r="V629" s="14">
        <v>31335006</v>
      </c>
      <c r="X629" s="14" t="s">
        <v>204</v>
      </c>
      <c r="Y629" s="14" t="s">
        <v>215</v>
      </c>
      <c r="Z629" s="14">
        <v>20001</v>
      </c>
      <c r="AA629" s="14" t="s">
        <v>205</v>
      </c>
      <c r="AB629" s="14">
        <v>40001</v>
      </c>
      <c r="AE629" s="29" t="s">
        <v>121</v>
      </c>
      <c r="AF629" s="14" t="s">
        <v>213</v>
      </c>
      <c r="AG629" s="14" t="s">
        <v>95</v>
      </c>
    </row>
    <row r="630" spans="2:33">
      <c r="B630" s="14">
        <f>10000000+INDEX(编号表!$B:$B,MATCH(H630,编号表!$A:$A,0))*100000+INDEX(编号表!$F:$F,MATCH(D630,编号表!$E:$E,0))*10000+INDEX(编号表!$D:$D,MATCH(AG630,编号表!$C:$C,0))*1000+F630</f>
        <v>11335007</v>
      </c>
      <c r="C630" s="14" t="s">
        <v>790</v>
      </c>
      <c r="D630" s="14" t="s">
        <v>276</v>
      </c>
      <c r="E630" s="14" t="s">
        <v>95</v>
      </c>
      <c r="F630" s="14">
        <v>7</v>
      </c>
      <c r="G630" s="14">
        <v>60</v>
      </c>
      <c r="H630" s="31" t="s">
        <v>217</v>
      </c>
      <c r="I630" s="14" t="s">
        <v>75</v>
      </c>
      <c r="J630" s="14" t="s">
        <v>201</v>
      </c>
      <c r="K630" s="14">
        <v>1</v>
      </c>
      <c r="L630" s="14" t="s">
        <v>213</v>
      </c>
      <c r="N630" s="14">
        <v>0</v>
      </c>
      <c r="O630" s="14" t="b">
        <v>1</v>
      </c>
      <c r="Q630" s="14" t="b">
        <v>0</v>
      </c>
      <c r="R630" s="14">
        <v>1</v>
      </c>
      <c r="S630" s="14" t="s">
        <v>77</v>
      </c>
      <c r="T630" s="14">
        <v>999</v>
      </c>
      <c r="U630" s="14" t="s">
        <v>214</v>
      </c>
      <c r="V630" s="14">
        <v>31335007</v>
      </c>
      <c r="X630" s="14" t="s">
        <v>204</v>
      </c>
      <c r="Y630" s="14" t="s">
        <v>215</v>
      </c>
      <c r="Z630" s="14">
        <v>20001</v>
      </c>
      <c r="AA630" s="14" t="s">
        <v>205</v>
      </c>
      <c r="AB630" s="14">
        <v>40001</v>
      </c>
      <c r="AE630" s="29" t="s">
        <v>121</v>
      </c>
      <c r="AF630" s="14" t="s">
        <v>213</v>
      </c>
      <c r="AG630" s="14" t="s">
        <v>95</v>
      </c>
    </row>
    <row r="631" spans="2:33">
      <c r="B631" s="14">
        <f>10000000+INDEX(编号表!$B:$B,MATCH(H631,编号表!$A:$A,0))*100000+INDEX(编号表!$F:$F,MATCH(D631,编号表!$E:$E,0))*10000+INDEX(编号表!$D:$D,MATCH(AG631,编号表!$C:$C,0))*1000+F631</f>
        <v>11335008</v>
      </c>
      <c r="C631" s="14" t="s">
        <v>791</v>
      </c>
      <c r="D631" s="14" t="s">
        <v>276</v>
      </c>
      <c r="E631" s="14" t="s">
        <v>95</v>
      </c>
      <c r="F631" s="14">
        <v>8</v>
      </c>
      <c r="G631" s="14">
        <v>60</v>
      </c>
      <c r="H631" s="31" t="s">
        <v>217</v>
      </c>
      <c r="I631" s="14" t="s">
        <v>75</v>
      </c>
      <c r="J631" s="14" t="s">
        <v>201</v>
      </c>
      <c r="K631" s="14">
        <v>1</v>
      </c>
      <c r="L631" s="14" t="s">
        <v>213</v>
      </c>
      <c r="N631" s="14">
        <v>0</v>
      </c>
      <c r="O631" s="14" t="b">
        <v>1</v>
      </c>
      <c r="Q631" s="14" t="b">
        <v>0</v>
      </c>
      <c r="R631" s="14">
        <v>1</v>
      </c>
      <c r="S631" s="14" t="s">
        <v>77</v>
      </c>
      <c r="T631" s="14">
        <v>999</v>
      </c>
      <c r="U631" s="14" t="s">
        <v>214</v>
      </c>
      <c r="V631" s="14">
        <v>31335008</v>
      </c>
      <c r="X631" s="14" t="s">
        <v>204</v>
      </c>
      <c r="Y631" s="14" t="s">
        <v>215</v>
      </c>
      <c r="Z631" s="14">
        <v>20001</v>
      </c>
      <c r="AA631" s="14" t="s">
        <v>205</v>
      </c>
      <c r="AB631" s="14">
        <v>40001</v>
      </c>
      <c r="AE631" s="29" t="s">
        <v>121</v>
      </c>
      <c r="AF631" s="14" t="s">
        <v>213</v>
      </c>
      <c r="AG631" s="14" t="s">
        <v>95</v>
      </c>
    </row>
    <row r="632" spans="2:33">
      <c r="B632" s="14">
        <f>10000000+INDEX(编号表!$B:$B,MATCH(H632,编号表!$A:$A,0))*100000+INDEX(编号表!$F:$F,MATCH(D632,编号表!$E:$E,0))*10000+INDEX(编号表!$D:$D,MATCH(AG632,编号表!$C:$C,0))*1000+F632</f>
        <v>11335009</v>
      </c>
      <c r="C632" s="14" t="s">
        <v>792</v>
      </c>
      <c r="D632" s="14" t="s">
        <v>276</v>
      </c>
      <c r="E632" s="14" t="s">
        <v>95</v>
      </c>
      <c r="F632" s="14">
        <v>9</v>
      </c>
      <c r="G632" s="14">
        <v>60</v>
      </c>
      <c r="H632" s="31" t="s">
        <v>217</v>
      </c>
      <c r="I632" s="14" t="s">
        <v>75</v>
      </c>
      <c r="J632" s="14" t="s">
        <v>201</v>
      </c>
      <c r="K632" s="14">
        <v>1</v>
      </c>
      <c r="L632" s="14" t="s">
        <v>213</v>
      </c>
      <c r="N632" s="14">
        <v>0</v>
      </c>
      <c r="O632" s="14" t="b">
        <v>1</v>
      </c>
      <c r="Q632" s="14" t="b">
        <v>0</v>
      </c>
      <c r="R632" s="14">
        <v>1</v>
      </c>
      <c r="S632" s="14" t="s">
        <v>77</v>
      </c>
      <c r="T632" s="14">
        <v>999</v>
      </c>
      <c r="U632" s="14" t="s">
        <v>214</v>
      </c>
      <c r="V632" s="14">
        <v>31335009</v>
      </c>
      <c r="X632" s="14" t="s">
        <v>204</v>
      </c>
      <c r="Y632" s="14" t="s">
        <v>215</v>
      </c>
      <c r="Z632" s="14">
        <v>20001</v>
      </c>
      <c r="AA632" s="14" t="s">
        <v>205</v>
      </c>
      <c r="AB632" s="14">
        <v>40001</v>
      </c>
      <c r="AE632" s="29" t="s">
        <v>121</v>
      </c>
      <c r="AF632" s="14" t="s">
        <v>213</v>
      </c>
      <c r="AG632" s="14" t="s">
        <v>95</v>
      </c>
    </row>
    <row r="633" spans="2:33">
      <c r="B633" s="14">
        <f>10000000+INDEX(编号表!$B:$B,MATCH(H633,编号表!$A:$A,0))*100000+INDEX(编号表!$F:$F,MATCH(D633,编号表!$E:$E,0))*10000+INDEX(编号表!$D:$D,MATCH(AG633,编号表!$C:$C,0))*1000+F633</f>
        <v>11535000</v>
      </c>
      <c r="C633" s="14" t="s">
        <v>793</v>
      </c>
      <c r="D633" s="14" t="s">
        <v>276</v>
      </c>
      <c r="E633" s="14" t="s">
        <v>95</v>
      </c>
      <c r="F633" s="14">
        <v>0</v>
      </c>
      <c r="G633" s="14">
        <v>60</v>
      </c>
      <c r="H633" s="31" t="s">
        <v>228</v>
      </c>
      <c r="I633" s="14" t="s">
        <v>75</v>
      </c>
      <c r="J633" s="14" t="s">
        <v>201</v>
      </c>
      <c r="K633" s="14">
        <v>1</v>
      </c>
      <c r="L633" s="14" t="s">
        <v>213</v>
      </c>
      <c r="N633" s="14">
        <v>0</v>
      </c>
      <c r="O633" s="14" t="b">
        <v>1</v>
      </c>
      <c r="Q633" s="14" t="b">
        <v>0</v>
      </c>
      <c r="R633" s="14">
        <v>1</v>
      </c>
      <c r="S633" s="14" t="s">
        <v>77</v>
      </c>
      <c r="T633" s="14">
        <v>999</v>
      </c>
      <c r="U633" s="14" t="s">
        <v>214</v>
      </c>
      <c r="V633" s="14">
        <v>31535000</v>
      </c>
      <c r="X633" s="14" t="s">
        <v>204</v>
      </c>
      <c r="Y633" s="14" t="s">
        <v>215</v>
      </c>
      <c r="Z633" s="14">
        <v>20001</v>
      </c>
      <c r="AA633" s="14" t="s">
        <v>205</v>
      </c>
      <c r="AB633" s="14">
        <v>40001</v>
      </c>
      <c r="AE633" s="29" t="s">
        <v>121</v>
      </c>
      <c r="AF633" s="14" t="s">
        <v>213</v>
      </c>
      <c r="AG633" s="14" t="s">
        <v>95</v>
      </c>
    </row>
    <row r="634" spans="2:33">
      <c r="B634" s="14">
        <f>10000000+INDEX(编号表!$B:$B,MATCH(H634,编号表!$A:$A,0))*100000+INDEX(编号表!$F:$F,MATCH(D634,编号表!$E:$E,0))*10000+INDEX(编号表!$D:$D,MATCH(AG634,编号表!$C:$C,0))*1000+F634</f>
        <v>11535001</v>
      </c>
      <c r="C634" s="14" t="s">
        <v>794</v>
      </c>
      <c r="D634" s="14" t="s">
        <v>276</v>
      </c>
      <c r="E634" s="14" t="s">
        <v>95</v>
      </c>
      <c r="F634" s="14">
        <v>1</v>
      </c>
      <c r="G634" s="14">
        <v>60</v>
      </c>
      <c r="H634" s="31" t="s">
        <v>228</v>
      </c>
      <c r="I634" s="14" t="s">
        <v>75</v>
      </c>
      <c r="J634" s="14" t="s">
        <v>201</v>
      </c>
      <c r="K634" s="14">
        <v>1</v>
      </c>
      <c r="L634" s="14" t="s">
        <v>213</v>
      </c>
      <c r="N634" s="14">
        <v>0</v>
      </c>
      <c r="O634" s="14" t="b">
        <v>1</v>
      </c>
      <c r="Q634" s="14" t="b">
        <v>0</v>
      </c>
      <c r="R634" s="14">
        <v>1</v>
      </c>
      <c r="S634" s="14" t="s">
        <v>77</v>
      </c>
      <c r="T634" s="14">
        <v>999</v>
      </c>
      <c r="U634" s="14" t="s">
        <v>214</v>
      </c>
      <c r="V634" s="14">
        <v>31535001</v>
      </c>
      <c r="X634" s="14" t="s">
        <v>204</v>
      </c>
      <c r="Y634" s="14" t="s">
        <v>215</v>
      </c>
      <c r="Z634" s="14">
        <v>20001</v>
      </c>
      <c r="AA634" s="14" t="s">
        <v>205</v>
      </c>
      <c r="AB634" s="14">
        <v>40001</v>
      </c>
      <c r="AE634" s="29" t="s">
        <v>121</v>
      </c>
      <c r="AF634" s="14" t="s">
        <v>213</v>
      </c>
      <c r="AG634" s="14" t="s">
        <v>95</v>
      </c>
    </row>
    <row r="635" spans="2:33">
      <c r="B635" s="14">
        <f>10000000+INDEX(编号表!$B:$B,MATCH(H635,编号表!$A:$A,0))*100000+INDEX(编号表!$F:$F,MATCH(D635,编号表!$E:$E,0))*10000+INDEX(编号表!$D:$D,MATCH(AG635,编号表!$C:$C,0))*1000+F635</f>
        <v>11535002</v>
      </c>
      <c r="C635" s="14" t="s">
        <v>795</v>
      </c>
      <c r="D635" s="14" t="s">
        <v>276</v>
      </c>
      <c r="E635" s="14" t="s">
        <v>95</v>
      </c>
      <c r="F635" s="14">
        <v>2</v>
      </c>
      <c r="G635" s="14">
        <v>60</v>
      </c>
      <c r="H635" s="31" t="s">
        <v>228</v>
      </c>
      <c r="I635" s="14" t="s">
        <v>75</v>
      </c>
      <c r="J635" s="14" t="s">
        <v>201</v>
      </c>
      <c r="K635" s="14">
        <v>1</v>
      </c>
      <c r="L635" s="14" t="s">
        <v>213</v>
      </c>
      <c r="N635" s="14">
        <v>0</v>
      </c>
      <c r="O635" s="14" t="b">
        <v>1</v>
      </c>
      <c r="Q635" s="14" t="b">
        <v>0</v>
      </c>
      <c r="R635" s="14">
        <v>1</v>
      </c>
      <c r="S635" s="14" t="s">
        <v>77</v>
      </c>
      <c r="T635" s="14">
        <v>999</v>
      </c>
      <c r="U635" s="14" t="s">
        <v>214</v>
      </c>
      <c r="V635" s="14">
        <v>31535002</v>
      </c>
      <c r="X635" s="14" t="s">
        <v>204</v>
      </c>
      <c r="Y635" s="14" t="s">
        <v>215</v>
      </c>
      <c r="Z635" s="14">
        <v>20001</v>
      </c>
      <c r="AA635" s="14" t="s">
        <v>205</v>
      </c>
      <c r="AB635" s="14">
        <v>40001</v>
      </c>
      <c r="AE635" s="29" t="s">
        <v>121</v>
      </c>
      <c r="AF635" s="14" t="s">
        <v>213</v>
      </c>
      <c r="AG635" s="14" t="s">
        <v>95</v>
      </c>
    </row>
    <row r="636" spans="2:33">
      <c r="B636" s="14">
        <f>10000000+INDEX(编号表!$B:$B,MATCH(H636,编号表!$A:$A,0))*100000+INDEX(编号表!$F:$F,MATCH(D636,编号表!$E:$E,0))*10000+INDEX(编号表!$D:$D,MATCH(AG636,编号表!$C:$C,0))*1000+F636</f>
        <v>11535003</v>
      </c>
      <c r="C636" s="14" t="s">
        <v>796</v>
      </c>
      <c r="D636" s="14" t="s">
        <v>276</v>
      </c>
      <c r="E636" s="14" t="s">
        <v>95</v>
      </c>
      <c r="F636" s="14">
        <v>3</v>
      </c>
      <c r="G636" s="14">
        <v>60</v>
      </c>
      <c r="H636" s="31" t="s">
        <v>228</v>
      </c>
      <c r="I636" s="14" t="s">
        <v>75</v>
      </c>
      <c r="J636" s="14" t="s">
        <v>201</v>
      </c>
      <c r="K636" s="14">
        <v>1</v>
      </c>
      <c r="L636" s="14" t="s">
        <v>213</v>
      </c>
      <c r="N636" s="14">
        <v>0</v>
      </c>
      <c r="O636" s="14" t="b">
        <v>1</v>
      </c>
      <c r="Q636" s="14" t="b">
        <v>0</v>
      </c>
      <c r="R636" s="14">
        <v>1</v>
      </c>
      <c r="S636" s="14" t="s">
        <v>77</v>
      </c>
      <c r="T636" s="14">
        <v>999</v>
      </c>
      <c r="U636" s="14" t="s">
        <v>214</v>
      </c>
      <c r="V636" s="14">
        <v>31535003</v>
      </c>
      <c r="X636" s="14" t="s">
        <v>204</v>
      </c>
      <c r="Y636" s="14" t="s">
        <v>215</v>
      </c>
      <c r="Z636" s="14">
        <v>20001</v>
      </c>
      <c r="AA636" s="14" t="s">
        <v>205</v>
      </c>
      <c r="AB636" s="14">
        <v>40001</v>
      </c>
      <c r="AE636" s="29" t="s">
        <v>121</v>
      </c>
      <c r="AF636" s="14" t="s">
        <v>213</v>
      </c>
      <c r="AG636" s="14" t="s">
        <v>95</v>
      </c>
    </row>
    <row r="637" spans="2:33">
      <c r="B637" s="14">
        <f>10000000+INDEX(编号表!$B:$B,MATCH(H637,编号表!$A:$A,0))*100000+INDEX(编号表!$F:$F,MATCH(D637,编号表!$E:$E,0))*10000+INDEX(编号表!$D:$D,MATCH(AG637,编号表!$C:$C,0))*1000+F637</f>
        <v>11535004</v>
      </c>
      <c r="C637" s="14" t="s">
        <v>797</v>
      </c>
      <c r="D637" s="14" t="s">
        <v>276</v>
      </c>
      <c r="E637" s="14" t="s">
        <v>95</v>
      </c>
      <c r="F637" s="14">
        <v>4</v>
      </c>
      <c r="G637" s="14">
        <v>60</v>
      </c>
      <c r="H637" s="31" t="s">
        <v>228</v>
      </c>
      <c r="I637" s="14" t="s">
        <v>75</v>
      </c>
      <c r="J637" s="14" t="s">
        <v>201</v>
      </c>
      <c r="K637" s="14">
        <v>1</v>
      </c>
      <c r="L637" s="14" t="s">
        <v>213</v>
      </c>
      <c r="N637" s="14">
        <v>0</v>
      </c>
      <c r="O637" s="14" t="b">
        <v>1</v>
      </c>
      <c r="Q637" s="14" t="b">
        <v>0</v>
      </c>
      <c r="R637" s="14">
        <v>1</v>
      </c>
      <c r="S637" s="14" t="s">
        <v>77</v>
      </c>
      <c r="T637" s="14">
        <v>999</v>
      </c>
      <c r="U637" s="14" t="s">
        <v>214</v>
      </c>
      <c r="V637" s="14">
        <v>31535004</v>
      </c>
      <c r="X637" s="14" t="s">
        <v>204</v>
      </c>
      <c r="Y637" s="14" t="s">
        <v>215</v>
      </c>
      <c r="Z637" s="14">
        <v>20001</v>
      </c>
      <c r="AA637" s="14" t="s">
        <v>205</v>
      </c>
      <c r="AB637" s="14">
        <v>40001</v>
      </c>
      <c r="AE637" s="29" t="s">
        <v>121</v>
      </c>
      <c r="AF637" s="14" t="s">
        <v>213</v>
      </c>
      <c r="AG637" s="14" t="s">
        <v>95</v>
      </c>
    </row>
    <row r="638" spans="2:33">
      <c r="B638" s="14">
        <f>10000000+INDEX(编号表!$B:$B,MATCH(H638,编号表!$A:$A,0))*100000+INDEX(编号表!$F:$F,MATCH(D638,编号表!$E:$E,0))*10000+INDEX(编号表!$D:$D,MATCH(AG638,编号表!$C:$C,0))*1000+F638</f>
        <v>11535005</v>
      </c>
      <c r="C638" s="14" t="s">
        <v>798</v>
      </c>
      <c r="D638" s="14" t="s">
        <v>276</v>
      </c>
      <c r="E638" s="14" t="s">
        <v>95</v>
      </c>
      <c r="F638" s="14">
        <v>5</v>
      </c>
      <c r="G638" s="14">
        <v>60</v>
      </c>
      <c r="H638" s="31" t="s">
        <v>228</v>
      </c>
      <c r="I638" s="14" t="s">
        <v>75</v>
      </c>
      <c r="J638" s="14" t="s">
        <v>201</v>
      </c>
      <c r="K638" s="14">
        <v>1</v>
      </c>
      <c r="L638" s="14" t="s">
        <v>213</v>
      </c>
      <c r="N638" s="14">
        <v>0</v>
      </c>
      <c r="O638" s="14" t="b">
        <v>1</v>
      </c>
      <c r="Q638" s="14" t="b">
        <v>0</v>
      </c>
      <c r="R638" s="14">
        <v>1</v>
      </c>
      <c r="S638" s="14" t="s">
        <v>77</v>
      </c>
      <c r="T638" s="14">
        <v>999</v>
      </c>
      <c r="U638" s="14" t="s">
        <v>214</v>
      </c>
      <c r="V638" s="14">
        <v>31535005</v>
      </c>
      <c r="X638" s="14" t="s">
        <v>204</v>
      </c>
      <c r="Y638" s="14" t="s">
        <v>215</v>
      </c>
      <c r="Z638" s="14">
        <v>20001</v>
      </c>
      <c r="AA638" s="14" t="s">
        <v>205</v>
      </c>
      <c r="AB638" s="14">
        <v>40001</v>
      </c>
      <c r="AE638" s="29" t="s">
        <v>121</v>
      </c>
      <c r="AF638" s="14" t="s">
        <v>213</v>
      </c>
      <c r="AG638" s="14" t="s">
        <v>95</v>
      </c>
    </row>
    <row r="639" spans="2:33">
      <c r="B639" s="14">
        <f>10000000+INDEX(编号表!$B:$B,MATCH(H639,编号表!$A:$A,0))*100000+INDEX(编号表!$F:$F,MATCH(D639,编号表!$E:$E,0))*10000+INDEX(编号表!$D:$D,MATCH(AG639,编号表!$C:$C,0))*1000+F639</f>
        <v>11535006</v>
      </c>
      <c r="C639" s="14" t="s">
        <v>799</v>
      </c>
      <c r="D639" s="14" t="s">
        <v>276</v>
      </c>
      <c r="E639" s="14" t="s">
        <v>95</v>
      </c>
      <c r="F639" s="14">
        <v>6</v>
      </c>
      <c r="G639" s="14">
        <v>60</v>
      </c>
      <c r="H639" s="31" t="s">
        <v>228</v>
      </c>
      <c r="I639" s="14" t="s">
        <v>75</v>
      </c>
      <c r="J639" s="14" t="s">
        <v>201</v>
      </c>
      <c r="K639" s="14">
        <v>1</v>
      </c>
      <c r="L639" s="14" t="s">
        <v>213</v>
      </c>
      <c r="N639" s="14">
        <v>0</v>
      </c>
      <c r="O639" s="14" t="b">
        <v>1</v>
      </c>
      <c r="Q639" s="14" t="b">
        <v>0</v>
      </c>
      <c r="R639" s="14">
        <v>1</v>
      </c>
      <c r="S639" s="14" t="s">
        <v>77</v>
      </c>
      <c r="T639" s="14">
        <v>999</v>
      </c>
      <c r="U639" s="14" t="s">
        <v>214</v>
      </c>
      <c r="V639" s="14">
        <v>31535006</v>
      </c>
      <c r="X639" s="14" t="s">
        <v>204</v>
      </c>
      <c r="Y639" s="14" t="s">
        <v>215</v>
      </c>
      <c r="Z639" s="14">
        <v>20001</v>
      </c>
      <c r="AA639" s="14" t="s">
        <v>205</v>
      </c>
      <c r="AB639" s="14">
        <v>40001</v>
      </c>
      <c r="AE639" s="29" t="s">
        <v>121</v>
      </c>
      <c r="AF639" s="14" t="s">
        <v>213</v>
      </c>
      <c r="AG639" s="14" t="s">
        <v>95</v>
      </c>
    </row>
    <row r="640" spans="2:33">
      <c r="B640" s="14">
        <f>10000000+INDEX(编号表!$B:$B,MATCH(H640,编号表!$A:$A,0))*100000+INDEX(编号表!$F:$F,MATCH(D640,编号表!$E:$E,0))*10000+INDEX(编号表!$D:$D,MATCH(AG640,编号表!$C:$C,0))*1000+F640</f>
        <v>11535007</v>
      </c>
      <c r="C640" s="14" t="s">
        <v>800</v>
      </c>
      <c r="D640" s="14" t="s">
        <v>276</v>
      </c>
      <c r="E640" s="14" t="s">
        <v>95</v>
      </c>
      <c r="F640" s="14">
        <v>7</v>
      </c>
      <c r="G640" s="14">
        <v>60</v>
      </c>
      <c r="H640" s="31" t="s">
        <v>228</v>
      </c>
      <c r="I640" s="14" t="s">
        <v>75</v>
      </c>
      <c r="J640" s="14" t="s">
        <v>201</v>
      </c>
      <c r="K640" s="14">
        <v>1</v>
      </c>
      <c r="L640" s="14" t="s">
        <v>213</v>
      </c>
      <c r="N640" s="14">
        <v>0</v>
      </c>
      <c r="O640" s="14" t="b">
        <v>1</v>
      </c>
      <c r="Q640" s="14" t="b">
        <v>0</v>
      </c>
      <c r="R640" s="14">
        <v>1</v>
      </c>
      <c r="S640" s="14" t="s">
        <v>77</v>
      </c>
      <c r="T640" s="14">
        <v>999</v>
      </c>
      <c r="U640" s="14" t="s">
        <v>214</v>
      </c>
      <c r="V640" s="14">
        <v>31535007</v>
      </c>
      <c r="X640" s="14" t="s">
        <v>204</v>
      </c>
      <c r="Y640" s="14" t="s">
        <v>215</v>
      </c>
      <c r="Z640" s="14">
        <v>20001</v>
      </c>
      <c r="AA640" s="14" t="s">
        <v>205</v>
      </c>
      <c r="AB640" s="14">
        <v>40001</v>
      </c>
      <c r="AE640" s="29" t="s">
        <v>121</v>
      </c>
      <c r="AF640" s="14" t="s">
        <v>213</v>
      </c>
      <c r="AG640" s="14" t="s">
        <v>95</v>
      </c>
    </row>
    <row r="641" spans="2:33">
      <c r="B641" s="14">
        <f>10000000+INDEX(编号表!$B:$B,MATCH(H641,编号表!$A:$A,0))*100000+INDEX(编号表!$F:$F,MATCH(D641,编号表!$E:$E,0))*10000+INDEX(编号表!$D:$D,MATCH(AG641,编号表!$C:$C,0))*1000+F641</f>
        <v>11535008</v>
      </c>
      <c r="C641" s="14" t="s">
        <v>801</v>
      </c>
      <c r="D641" s="14" t="s">
        <v>276</v>
      </c>
      <c r="E641" s="14" t="s">
        <v>95</v>
      </c>
      <c r="F641" s="14">
        <v>8</v>
      </c>
      <c r="G641" s="14">
        <v>60</v>
      </c>
      <c r="H641" s="31" t="s">
        <v>228</v>
      </c>
      <c r="I641" s="14" t="s">
        <v>75</v>
      </c>
      <c r="J641" s="14" t="s">
        <v>201</v>
      </c>
      <c r="K641" s="14">
        <v>1</v>
      </c>
      <c r="L641" s="14" t="s">
        <v>213</v>
      </c>
      <c r="N641" s="14">
        <v>0</v>
      </c>
      <c r="O641" s="14" t="b">
        <v>1</v>
      </c>
      <c r="Q641" s="14" t="b">
        <v>0</v>
      </c>
      <c r="R641" s="14">
        <v>1</v>
      </c>
      <c r="S641" s="14" t="s">
        <v>77</v>
      </c>
      <c r="T641" s="14">
        <v>999</v>
      </c>
      <c r="U641" s="14" t="s">
        <v>214</v>
      </c>
      <c r="V641" s="14">
        <v>31535008</v>
      </c>
      <c r="X641" s="14" t="s">
        <v>204</v>
      </c>
      <c r="Y641" s="14" t="s">
        <v>215</v>
      </c>
      <c r="Z641" s="14">
        <v>20001</v>
      </c>
      <c r="AA641" s="14" t="s">
        <v>205</v>
      </c>
      <c r="AB641" s="14">
        <v>40001</v>
      </c>
      <c r="AE641" s="29" t="s">
        <v>121</v>
      </c>
      <c r="AF641" s="14" t="s">
        <v>213</v>
      </c>
      <c r="AG641" s="14" t="s">
        <v>95</v>
      </c>
    </row>
    <row r="642" spans="2:33">
      <c r="B642" s="14">
        <f>10000000+INDEX(编号表!$B:$B,MATCH(H642,编号表!$A:$A,0))*100000+INDEX(编号表!$F:$F,MATCH(D642,编号表!$E:$E,0))*10000+INDEX(编号表!$D:$D,MATCH(AG642,编号表!$C:$C,0))*1000+F642</f>
        <v>11535009</v>
      </c>
      <c r="C642" s="14" t="s">
        <v>802</v>
      </c>
      <c r="D642" s="14" t="s">
        <v>276</v>
      </c>
      <c r="E642" s="14" t="s">
        <v>95</v>
      </c>
      <c r="F642" s="14">
        <v>9</v>
      </c>
      <c r="G642" s="14">
        <v>60</v>
      </c>
      <c r="H642" s="31" t="s">
        <v>228</v>
      </c>
      <c r="I642" s="14" t="s">
        <v>75</v>
      </c>
      <c r="J642" s="14" t="s">
        <v>201</v>
      </c>
      <c r="K642" s="14">
        <v>1</v>
      </c>
      <c r="L642" s="14" t="s">
        <v>213</v>
      </c>
      <c r="N642" s="14">
        <v>0</v>
      </c>
      <c r="O642" s="14" t="b">
        <v>1</v>
      </c>
      <c r="Q642" s="14" t="b">
        <v>0</v>
      </c>
      <c r="R642" s="14">
        <v>1</v>
      </c>
      <c r="S642" s="14" t="s">
        <v>77</v>
      </c>
      <c r="T642" s="14">
        <v>999</v>
      </c>
      <c r="U642" s="14" t="s">
        <v>214</v>
      </c>
      <c r="V642" s="14">
        <v>31535009</v>
      </c>
      <c r="X642" s="14" t="s">
        <v>204</v>
      </c>
      <c r="Y642" s="14" t="s">
        <v>215</v>
      </c>
      <c r="Z642" s="14">
        <v>20001</v>
      </c>
      <c r="AA642" s="14" t="s">
        <v>205</v>
      </c>
      <c r="AB642" s="14">
        <v>40001</v>
      </c>
      <c r="AE642" s="29" t="s">
        <v>121</v>
      </c>
      <c r="AF642" s="14" t="s">
        <v>213</v>
      </c>
      <c r="AG642" s="14" t="s">
        <v>95</v>
      </c>
    </row>
    <row r="643" spans="2:33">
      <c r="B643" s="14">
        <f>10000000+INDEX(编号表!$B:$B,MATCH(H643,编号表!$A:$A,0))*100000+INDEX(编号表!$F:$F,MATCH(D643,编号表!$E:$E,0))*10000+INDEX(编号表!$D:$D,MATCH(AG643,编号表!$C:$C,0))*1000+F643</f>
        <v>11435000</v>
      </c>
      <c r="C643" s="14" t="s">
        <v>803</v>
      </c>
      <c r="D643" s="14" t="s">
        <v>276</v>
      </c>
      <c r="E643" s="14" t="s">
        <v>95</v>
      </c>
      <c r="F643" s="14">
        <v>0</v>
      </c>
      <c r="G643" s="14">
        <v>60</v>
      </c>
      <c r="H643" s="31" t="s">
        <v>239</v>
      </c>
      <c r="I643" s="14" t="s">
        <v>75</v>
      </c>
      <c r="J643" s="14" t="s">
        <v>201</v>
      </c>
      <c r="K643" s="14">
        <v>1</v>
      </c>
      <c r="L643" s="14" t="s">
        <v>213</v>
      </c>
      <c r="N643" s="14">
        <v>0</v>
      </c>
      <c r="O643" s="14" t="b">
        <v>1</v>
      </c>
      <c r="Q643" s="14" t="b">
        <v>0</v>
      </c>
      <c r="R643" s="14">
        <v>1</v>
      </c>
      <c r="S643" s="14" t="s">
        <v>77</v>
      </c>
      <c r="T643" s="14">
        <v>999</v>
      </c>
      <c r="U643" s="14" t="s">
        <v>214</v>
      </c>
      <c r="V643" s="14">
        <v>31435000</v>
      </c>
      <c r="X643" s="14" t="s">
        <v>204</v>
      </c>
      <c r="Y643" s="14" t="s">
        <v>215</v>
      </c>
      <c r="Z643" s="14">
        <v>20001</v>
      </c>
      <c r="AA643" s="14" t="s">
        <v>205</v>
      </c>
      <c r="AB643" s="14">
        <v>40001</v>
      </c>
      <c r="AE643" s="29" t="s">
        <v>121</v>
      </c>
      <c r="AF643" s="14" t="s">
        <v>213</v>
      </c>
      <c r="AG643" s="14" t="s">
        <v>95</v>
      </c>
    </row>
    <row r="644" spans="2:33">
      <c r="B644" s="14">
        <f>10000000+INDEX(编号表!$B:$B,MATCH(H644,编号表!$A:$A,0))*100000+INDEX(编号表!$F:$F,MATCH(D644,编号表!$E:$E,0))*10000+INDEX(编号表!$D:$D,MATCH(AG644,编号表!$C:$C,0))*1000+F644</f>
        <v>11435001</v>
      </c>
      <c r="C644" s="14" t="s">
        <v>804</v>
      </c>
      <c r="D644" s="14" t="s">
        <v>276</v>
      </c>
      <c r="E644" s="14" t="s">
        <v>95</v>
      </c>
      <c r="F644" s="14">
        <v>1</v>
      </c>
      <c r="G644" s="14">
        <v>60</v>
      </c>
      <c r="H644" s="31" t="s">
        <v>239</v>
      </c>
      <c r="I644" s="14" t="s">
        <v>75</v>
      </c>
      <c r="J644" s="14" t="s">
        <v>201</v>
      </c>
      <c r="K644" s="14">
        <v>1</v>
      </c>
      <c r="L644" s="14" t="s">
        <v>213</v>
      </c>
      <c r="N644" s="14">
        <v>0</v>
      </c>
      <c r="O644" s="14" t="b">
        <v>1</v>
      </c>
      <c r="Q644" s="14" t="b">
        <v>0</v>
      </c>
      <c r="R644" s="14">
        <v>1</v>
      </c>
      <c r="S644" s="14" t="s">
        <v>77</v>
      </c>
      <c r="T644" s="14">
        <v>999</v>
      </c>
      <c r="U644" s="14" t="s">
        <v>214</v>
      </c>
      <c r="V644" s="14">
        <v>31435001</v>
      </c>
      <c r="X644" s="14" t="s">
        <v>204</v>
      </c>
      <c r="Y644" s="14" t="s">
        <v>215</v>
      </c>
      <c r="Z644" s="14">
        <v>20001</v>
      </c>
      <c r="AA644" s="14" t="s">
        <v>205</v>
      </c>
      <c r="AB644" s="14">
        <v>40001</v>
      </c>
      <c r="AE644" s="29" t="s">
        <v>121</v>
      </c>
      <c r="AF644" s="14" t="s">
        <v>213</v>
      </c>
      <c r="AG644" s="14" t="s">
        <v>95</v>
      </c>
    </row>
    <row r="645" spans="2:33">
      <c r="B645" s="14">
        <f>10000000+INDEX(编号表!$B:$B,MATCH(H645,编号表!$A:$A,0))*100000+INDEX(编号表!$F:$F,MATCH(D645,编号表!$E:$E,0))*10000+INDEX(编号表!$D:$D,MATCH(AG645,编号表!$C:$C,0))*1000+F645</f>
        <v>11435002</v>
      </c>
      <c r="C645" s="14" t="s">
        <v>805</v>
      </c>
      <c r="D645" s="14" t="s">
        <v>276</v>
      </c>
      <c r="E645" s="14" t="s">
        <v>95</v>
      </c>
      <c r="F645" s="14">
        <v>2</v>
      </c>
      <c r="G645" s="14">
        <v>60</v>
      </c>
      <c r="H645" s="31" t="s">
        <v>239</v>
      </c>
      <c r="I645" s="14" t="s">
        <v>75</v>
      </c>
      <c r="J645" s="14" t="s">
        <v>201</v>
      </c>
      <c r="K645" s="14">
        <v>1</v>
      </c>
      <c r="L645" s="14" t="s">
        <v>213</v>
      </c>
      <c r="N645" s="14">
        <v>0</v>
      </c>
      <c r="O645" s="14" t="b">
        <v>1</v>
      </c>
      <c r="Q645" s="14" t="b">
        <v>0</v>
      </c>
      <c r="R645" s="14">
        <v>1</v>
      </c>
      <c r="S645" s="14" t="s">
        <v>77</v>
      </c>
      <c r="T645" s="14">
        <v>999</v>
      </c>
      <c r="U645" s="14" t="s">
        <v>214</v>
      </c>
      <c r="V645" s="14">
        <v>31435002</v>
      </c>
      <c r="X645" s="14" t="s">
        <v>204</v>
      </c>
      <c r="Y645" s="14" t="s">
        <v>215</v>
      </c>
      <c r="Z645" s="14">
        <v>20001</v>
      </c>
      <c r="AA645" s="14" t="s">
        <v>205</v>
      </c>
      <c r="AB645" s="14">
        <v>40001</v>
      </c>
      <c r="AE645" s="29" t="s">
        <v>121</v>
      </c>
      <c r="AF645" s="14" t="s">
        <v>213</v>
      </c>
      <c r="AG645" s="14" t="s">
        <v>95</v>
      </c>
    </row>
    <row r="646" spans="2:33">
      <c r="B646" s="14">
        <f>10000000+INDEX(编号表!$B:$B,MATCH(H646,编号表!$A:$A,0))*100000+INDEX(编号表!$F:$F,MATCH(D646,编号表!$E:$E,0))*10000+INDEX(编号表!$D:$D,MATCH(AG646,编号表!$C:$C,0))*1000+F646</f>
        <v>11435003</v>
      </c>
      <c r="C646" s="14" t="s">
        <v>806</v>
      </c>
      <c r="D646" s="14" t="s">
        <v>276</v>
      </c>
      <c r="E646" s="14" t="s">
        <v>95</v>
      </c>
      <c r="F646" s="14">
        <v>3</v>
      </c>
      <c r="G646" s="14">
        <v>60</v>
      </c>
      <c r="H646" s="31" t="s">
        <v>239</v>
      </c>
      <c r="I646" s="14" t="s">
        <v>75</v>
      </c>
      <c r="J646" s="14" t="s">
        <v>201</v>
      </c>
      <c r="K646" s="14">
        <v>1</v>
      </c>
      <c r="L646" s="14" t="s">
        <v>213</v>
      </c>
      <c r="N646" s="14">
        <v>0</v>
      </c>
      <c r="O646" s="14" t="b">
        <v>1</v>
      </c>
      <c r="Q646" s="14" t="b">
        <v>0</v>
      </c>
      <c r="R646" s="14">
        <v>1</v>
      </c>
      <c r="S646" s="14" t="s">
        <v>77</v>
      </c>
      <c r="T646" s="14">
        <v>999</v>
      </c>
      <c r="U646" s="14" t="s">
        <v>214</v>
      </c>
      <c r="V646" s="14">
        <v>31435003</v>
      </c>
      <c r="X646" s="14" t="s">
        <v>204</v>
      </c>
      <c r="Y646" s="14" t="s">
        <v>215</v>
      </c>
      <c r="Z646" s="14">
        <v>20001</v>
      </c>
      <c r="AA646" s="14" t="s">
        <v>205</v>
      </c>
      <c r="AB646" s="14">
        <v>40001</v>
      </c>
      <c r="AE646" s="29" t="s">
        <v>121</v>
      </c>
      <c r="AF646" s="14" t="s">
        <v>213</v>
      </c>
      <c r="AG646" s="14" t="s">
        <v>95</v>
      </c>
    </row>
    <row r="647" spans="2:33">
      <c r="B647" s="14">
        <f>10000000+INDEX(编号表!$B:$B,MATCH(H647,编号表!$A:$A,0))*100000+INDEX(编号表!$F:$F,MATCH(D647,编号表!$E:$E,0))*10000+INDEX(编号表!$D:$D,MATCH(AG647,编号表!$C:$C,0))*1000+F647</f>
        <v>11635000</v>
      </c>
      <c r="C647" s="14" t="s">
        <v>807</v>
      </c>
      <c r="D647" s="14" t="s">
        <v>276</v>
      </c>
      <c r="E647" s="14" t="s">
        <v>95</v>
      </c>
      <c r="F647" s="14">
        <v>0</v>
      </c>
      <c r="G647" s="14">
        <v>60</v>
      </c>
      <c r="H647" s="31" t="s">
        <v>244</v>
      </c>
      <c r="I647" s="14" t="s">
        <v>75</v>
      </c>
      <c r="J647" s="14" t="s">
        <v>201</v>
      </c>
      <c r="K647" s="14">
        <v>1</v>
      </c>
      <c r="L647" s="14" t="s">
        <v>213</v>
      </c>
      <c r="N647" s="14">
        <v>0</v>
      </c>
      <c r="O647" s="14" t="b">
        <v>1</v>
      </c>
      <c r="Q647" s="14" t="b">
        <v>0</v>
      </c>
      <c r="R647" s="14">
        <v>1</v>
      </c>
      <c r="S647" s="14" t="s">
        <v>77</v>
      </c>
      <c r="T647" s="14">
        <v>999</v>
      </c>
      <c r="U647" s="14" t="s">
        <v>214</v>
      </c>
      <c r="V647" s="14">
        <v>31635000</v>
      </c>
      <c r="X647" s="14" t="s">
        <v>204</v>
      </c>
      <c r="Y647" s="14" t="s">
        <v>215</v>
      </c>
      <c r="Z647" s="14">
        <v>20001</v>
      </c>
      <c r="AA647" s="14" t="s">
        <v>205</v>
      </c>
      <c r="AB647" s="14">
        <v>40001</v>
      </c>
      <c r="AE647" s="29" t="s">
        <v>121</v>
      </c>
      <c r="AF647" s="14" t="s">
        <v>213</v>
      </c>
      <c r="AG647" s="14" t="s">
        <v>95</v>
      </c>
    </row>
    <row r="648" spans="2:33">
      <c r="B648" s="14">
        <f>10000000+INDEX(编号表!$B:$B,MATCH(H648,编号表!$A:$A,0))*100000+INDEX(编号表!$F:$F,MATCH(D648,编号表!$E:$E,0))*10000+INDEX(编号表!$D:$D,MATCH(AG648,编号表!$C:$C,0))*1000+F648</f>
        <v>11635001</v>
      </c>
      <c r="C648" s="14" t="s">
        <v>808</v>
      </c>
      <c r="D648" s="14" t="s">
        <v>276</v>
      </c>
      <c r="E648" s="14" t="s">
        <v>95</v>
      </c>
      <c r="F648" s="14">
        <v>1</v>
      </c>
      <c r="G648" s="14">
        <v>60</v>
      </c>
      <c r="H648" s="31" t="s">
        <v>244</v>
      </c>
      <c r="I648" s="14" t="s">
        <v>75</v>
      </c>
      <c r="J648" s="14" t="s">
        <v>201</v>
      </c>
      <c r="K648" s="14">
        <v>1</v>
      </c>
      <c r="L648" s="14" t="s">
        <v>213</v>
      </c>
      <c r="N648" s="14">
        <v>0</v>
      </c>
      <c r="O648" s="14" t="b">
        <v>1</v>
      </c>
      <c r="Q648" s="14" t="b">
        <v>0</v>
      </c>
      <c r="R648" s="14">
        <v>1</v>
      </c>
      <c r="S648" s="14" t="s">
        <v>77</v>
      </c>
      <c r="T648" s="14">
        <v>999</v>
      </c>
      <c r="U648" s="14" t="s">
        <v>214</v>
      </c>
      <c r="V648" s="14">
        <v>31635001</v>
      </c>
      <c r="X648" s="14" t="s">
        <v>204</v>
      </c>
      <c r="Y648" s="14" t="s">
        <v>215</v>
      </c>
      <c r="Z648" s="14">
        <v>20001</v>
      </c>
      <c r="AA648" s="14" t="s">
        <v>205</v>
      </c>
      <c r="AB648" s="14">
        <v>40001</v>
      </c>
      <c r="AE648" s="29" t="s">
        <v>121</v>
      </c>
      <c r="AF648" s="14" t="s">
        <v>213</v>
      </c>
      <c r="AG648" s="14" t="s">
        <v>95</v>
      </c>
    </row>
    <row r="649" spans="2:33">
      <c r="B649" s="14">
        <f>10000000+INDEX(编号表!$B:$B,MATCH(H649,编号表!$A:$A,0))*100000+INDEX(编号表!$F:$F,MATCH(D649,编号表!$E:$E,0))*10000+INDEX(编号表!$D:$D,MATCH(AG649,编号表!$C:$C,0))*1000+F649</f>
        <v>11635002</v>
      </c>
      <c r="C649" s="14" t="s">
        <v>809</v>
      </c>
      <c r="D649" s="14" t="s">
        <v>276</v>
      </c>
      <c r="E649" s="14" t="s">
        <v>95</v>
      </c>
      <c r="F649" s="14">
        <v>2</v>
      </c>
      <c r="G649" s="14">
        <v>60</v>
      </c>
      <c r="H649" s="31" t="s">
        <v>244</v>
      </c>
      <c r="I649" s="14" t="s">
        <v>75</v>
      </c>
      <c r="J649" s="14" t="s">
        <v>201</v>
      </c>
      <c r="K649" s="14">
        <v>1</v>
      </c>
      <c r="L649" s="14" t="s">
        <v>213</v>
      </c>
      <c r="N649" s="14">
        <v>0</v>
      </c>
      <c r="O649" s="14" t="b">
        <v>1</v>
      </c>
      <c r="Q649" s="14" t="b">
        <v>0</v>
      </c>
      <c r="R649" s="14">
        <v>1</v>
      </c>
      <c r="S649" s="14" t="s">
        <v>77</v>
      </c>
      <c r="T649" s="14">
        <v>999</v>
      </c>
      <c r="U649" s="14" t="s">
        <v>214</v>
      </c>
      <c r="V649" s="14">
        <v>31635002</v>
      </c>
      <c r="X649" s="14" t="s">
        <v>204</v>
      </c>
      <c r="Y649" s="14" t="s">
        <v>215</v>
      </c>
      <c r="Z649" s="14">
        <v>20001</v>
      </c>
      <c r="AA649" s="14" t="s">
        <v>205</v>
      </c>
      <c r="AB649" s="14">
        <v>40001</v>
      </c>
      <c r="AE649" s="29" t="s">
        <v>121</v>
      </c>
      <c r="AF649" s="14" t="s">
        <v>213</v>
      </c>
      <c r="AG649" s="14" t="s">
        <v>95</v>
      </c>
    </row>
    <row r="650" spans="2:33">
      <c r="B650" s="14">
        <f>10000000+INDEX(编号表!$B:$B,MATCH(H650,编号表!$A:$A,0))*100000+INDEX(编号表!$F:$F,MATCH(D650,编号表!$E:$E,0))*10000+INDEX(编号表!$D:$D,MATCH(AG650,编号表!$C:$C,0))*1000+F650</f>
        <v>11245000</v>
      </c>
      <c r="C650" s="14" t="s">
        <v>810</v>
      </c>
      <c r="D650" s="14" t="s">
        <v>104</v>
      </c>
      <c r="E650" s="14" t="s">
        <v>95</v>
      </c>
      <c r="F650" s="14">
        <v>0</v>
      </c>
      <c r="G650" s="14">
        <v>60</v>
      </c>
      <c r="H650" s="31" t="s">
        <v>212</v>
      </c>
      <c r="I650" s="14" t="s">
        <v>75</v>
      </c>
      <c r="J650" s="14" t="s">
        <v>201</v>
      </c>
      <c r="K650" s="14">
        <v>1</v>
      </c>
      <c r="L650" s="14" t="s">
        <v>213</v>
      </c>
      <c r="N650" s="14">
        <v>0</v>
      </c>
      <c r="O650" s="14" t="b">
        <v>1</v>
      </c>
      <c r="Q650" s="14" t="b">
        <v>0</v>
      </c>
      <c r="R650" s="14">
        <v>1</v>
      </c>
      <c r="S650" s="14" t="s">
        <v>77</v>
      </c>
      <c r="T650" s="14">
        <v>999</v>
      </c>
      <c r="U650" s="14" t="s">
        <v>214</v>
      </c>
      <c r="V650" s="14">
        <v>31245000</v>
      </c>
      <c r="X650" s="14" t="s">
        <v>204</v>
      </c>
      <c r="Y650" s="14" t="s">
        <v>215</v>
      </c>
      <c r="Z650" s="14">
        <v>20001</v>
      </c>
      <c r="AA650" s="14" t="s">
        <v>205</v>
      </c>
      <c r="AB650" s="14">
        <v>40001</v>
      </c>
      <c r="AE650" s="29" t="s">
        <v>121</v>
      </c>
      <c r="AF650" s="14" t="s">
        <v>213</v>
      </c>
      <c r="AG650" s="14" t="s">
        <v>95</v>
      </c>
    </row>
    <row r="651" spans="2:33">
      <c r="B651" s="14">
        <f>10000000+INDEX(编号表!$B:$B,MATCH(H651,编号表!$A:$A,0))*100000+INDEX(编号表!$F:$F,MATCH(D651,编号表!$E:$E,0))*10000+INDEX(编号表!$D:$D,MATCH(AG651,编号表!$C:$C,0))*1000+F651</f>
        <v>11345000</v>
      </c>
      <c r="C651" s="14" t="s">
        <v>811</v>
      </c>
      <c r="D651" s="14" t="s">
        <v>104</v>
      </c>
      <c r="E651" s="14" t="s">
        <v>95</v>
      </c>
      <c r="F651" s="14">
        <v>0</v>
      </c>
      <c r="G651" s="14">
        <v>60</v>
      </c>
      <c r="H651" s="31" t="s">
        <v>217</v>
      </c>
      <c r="I651" s="14" t="s">
        <v>75</v>
      </c>
      <c r="J651" s="14" t="s">
        <v>201</v>
      </c>
      <c r="K651" s="14">
        <v>1</v>
      </c>
      <c r="L651" s="14" t="s">
        <v>213</v>
      </c>
      <c r="N651" s="14">
        <v>0</v>
      </c>
      <c r="O651" s="14" t="b">
        <v>1</v>
      </c>
      <c r="Q651" s="14" t="b">
        <v>0</v>
      </c>
      <c r="R651" s="14">
        <v>1</v>
      </c>
      <c r="S651" s="14" t="s">
        <v>77</v>
      </c>
      <c r="T651" s="14">
        <v>999</v>
      </c>
      <c r="U651" s="14" t="s">
        <v>214</v>
      </c>
      <c r="V651" s="14">
        <v>31345000</v>
      </c>
      <c r="X651" s="14" t="s">
        <v>204</v>
      </c>
      <c r="Y651" s="14" t="s">
        <v>215</v>
      </c>
      <c r="Z651" s="14">
        <v>20001</v>
      </c>
      <c r="AA651" s="14" t="s">
        <v>205</v>
      </c>
      <c r="AB651" s="14">
        <v>40001</v>
      </c>
      <c r="AE651" s="29" t="s">
        <v>121</v>
      </c>
      <c r="AF651" s="14" t="s">
        <v>213</v>
      </c>
      <c r="AG651" s="14" t="s">
        <v>95</v>
      </c>
    </row>
    <row r="652" spans="2:33">
      <c r="B652" s="14">
        <f>10000000+INDEX(编号表!$B:$B,MATCH(H652,编号表!$A:$A,0))*100000+INDEX(编号表!$F:$F,MATCH(D652,编号表!$E:$E,0))*10000+INDEX(编号表!$D:$D,MATCH(AG652,编号表!$C:$C,0))*1000+F652</f>
        <v>11345001</v>
      </c>
      <c r="C652" s="14" t="s">
        <v>812</v>
      </c>
      <c r="D652" s="14" t="s">
        <v>104</v>
      </c>
      <c r="E652" s="14" t="s">
        <v>95</v>
      </c>
      <c r="F652" s="14">
        <v>1</v>
      </c>
      <c r="G652" s="14">
        <v>60</v>
      </c>
      <c r="H652" s="31" t="s">
        <v>217</v>
      </c>
      <c r="I652" s="14" t="s">
        <v>75</v>
      </c>
      <c r="J652" s="14" t="s">
        <v>201</v>
      </c>
      <c r="K652" s="14">
        <v>1</v>
      </c>
      <c r="L652" s="14" t="s">
        <v>213</v>
      </c>
      <c r="N652" s="14">
        <v>0</v>
      </c>
      <c r="O652" s="14" t="b">
        <v>1</v>
      </c>
      <c r="Q652" s="14" t="b">
        <v>0</v>
      </c>
      <c r="R652" s="14">
        <v>1</v>
      </c>
      <c r="S652" s="14" t="s">
        <v>77</v>
      </c>
      <c r="T652" s="14">
        <v>999</v>
      </c>
      <c r="U652" s="14" t="s">
        <v>214</v>
      </c>
      <c r="V652" s="14">
        <v>31345001</v>
      </c>
      <c r="X652" s="14" t="s">
        <v>204</v>
      </c>
      <c r="Y652" s="14" t="s">
        <v>215</v>
      </c>
      <c r="Z652" s="14">
        <v>20001</v>
      </c>
      <c r="AA652" s="14" t="s">
        <v>205</v>
      </c>
      <c r="AB652" s="14">
        <v>40001</v>
      </c>
      <c r="AE652" s="29" t="s">
        <v>121</v>
      </c>
      <c r="AF652" s="14" t="s">
        <v>213</v>
      </c>
      <c r="AG652" s="14" t="s">
        <v>95</v>
      </c>
    </row>
    <row r="653" spans="2:33">
      <c r="B653" s="14">
        <f>10000000+INDEX(编号表!$B:$B,MATCH(H653,编号表!$A:$A,0))*100000+INDEX(编号表!$F:$F,MATCH(D653,编号表!$E:$E,0))*10000+INDEX(编号表!$D:$D,MATCH(AG653,编号表!$C:$C,0))*1000+F653</f>
        <v>11345002</v>
      </c>
      <c r="C653" s="14" t="s">
        <v>813</v>
      </c>
      <c r="D653" s="14" t="s">
        <v>104</v>
      </c>
      <c r="E653" s="14" t="s">
        <v>95</v>
      </c>
      <c r="F653" s="14">
        <v>2</v>
      </c>
      <c r="G653" s="14">
        <v>60</v>
      </c>
      <c r="H653" s="31" t="s">
        <v>217</v>
      </c>
      <c r="I653" s="14" t="s">
        <v>75</v>
      </c>
      <c r="J653" s="14" t="s">
        <v>201</v>
      </c>
      <c r="K653" s="14">
        <v>1</v>
      </c>
      <c r="L653" s="14" t="s">
        <v>213</v>
      </c>
      <c r="N653" s="14">
        <v>0</v>
      </c>
      <c r="O653" s="14" t="b">
        <v>1</v>
      </c>
      <c r="Q653" s="14" t="b">
        <v>0</v>
      </c>
      <c r="R653" s="14">
        <v>1</v>
      </c>
      <c r="S653" s="14" t="s">
        <v>77</v>
      </c>
      <c r="T653" s="14">
        <v>999</v>
      </c>
      <c r="U653" s="14" t="s">
        <v>214</v>
      </c>
      <c r="V653" s="14">
        <v>31345002</v>
      </c>
      <c r="X653" s="14" t="s">
        <v>204</v>
      </c>
      <c r="Y653" s="14" t="s">
        <v>215</v>
      </c>
      <c r="Z653" s="14">
        <v>20001</v>
      </c>
      <c r="AA653" s="14" t="s">
        <v>205</v>
      </c>
      <c r="AB653" s="14">
        <v>40001</v>
      </c>
      <c r="AE653" s="29" t="s">
        <v>121</v>
      </c>
      <c r="AF653" s="14" t="s">
        <v>213</v>
      </c>
      <c r="AG653" s="14" t="s">
        <v>95</v>
      </c>
    </row>
    <row r="654" spans="2:33">
      <c r="B654" s="14">
        <f>10000000+INDEX(编号表!$B:$B,MATCH(H654,编号表!$A:$A,0))*100000+INDEX(编号表!$F:$F,MATCH(D654,编号表!$E:$E,0))*10000+INDEX(编号表!$D:$D,MATCH(AG654,编号表!$C:$C,0))*1000+F654</f>
        <v>11345003</v>
      </c>
      <c r="C654" s="14" t="s">
        <v>814</v>
      </c>
      <c r="D654" s="14" t="s">
        <v>104</v>
      </c>
      <c r="E654" s="14" t="s">
        <v>95</v>
      </c>
      <c r="F654" s="14">
        <v>3</v>
      </c>
      <c r="G654" s="14">
        <v>60</v>
      </c>
      <c r="H654" s="31" t="s">
        <v>217</v>
      </c>
      <c r="I654" s="14" t="s">
        <v>75</v>
      </c>
      <c r="J654" s="14" t="s">
        <v>201</v>
      </c>
      <c r="K654" s="14">
        <v>1</v>
      </c>
      <c r="L654" s="14" t="s">
        <v>213</v>
      </c>
      <c r="N654" s="14">
        <v>0</v>
      </c>
      <c r="O654" s="14" t="b">
        <v>1</v>
      </c>
      <c r="Q654" s="14" t="b">
        <v>0</v>
      </c>
      <c r="R654" s="14">
        <v>1</v>
      </c>
      <c r="S654" s="14" t="s">
        <v>77</v>
      </c>
      <c r="T654" s="14">
        <v>999</v>
      </c>
      <c r="U654" s="14" t="s">
        <v>214</v>
      </c>
      <c r="V654" s="14">
        <v>31345003</v>
      </c>
      <c r="X654" s="14" t="s">
        <v>204</v>
      </c>
      <c r="Y654" s="14" t="s">
        <v>215</v>
      </c>
      <c r="Z654" s="14">
        <v>20001</v>
      </c>
      <c r="AA654" s="14" t="s">
        <v>205</v>
      </c>
      <c r="AB654" s="14">
        <v>40001</v>
      </c>
      <c r="AE654" s="29" t="s">
        <v>121</v>
      </c>
      <c r="AF654" s="14" t="s">
        <v>213</v>
      </c>
      <c r="AG654" s="14" t="s">
        <v>95</v>
      </c>
    </row>
    <row r="655" spans="2:33">
      <c r="B655" s="14">
        <f>10000000+INDEX(编号表!$B:$B,MATCH(H655,编号表!$A:$A,0))*100000+INDEX(编号表!$F:$F,MATCH(D655,编号表!$E:$E,0))*10000+INDEX(编号表!$D:$D,MATCH(AG655,编号表!$C:$C,0))*1000+F655</f>
        <v>11345004</v>
      </c>
      <c r="C655" s="14" t="s">
        <v>815</v>
      </c>
      <c r="D655" s="14" t="s">
        <v>104</v>
      </c>
      <c r="E655" s="14" t="s">
        <v>95</v>
      </c>
      <c r="F655" s="14">
        <v>4</v>
      </c>
      <c r="G655" s="14">
        <v>60</v>
      </c>
      <c r="H655" s="31" t="s">
        <v>217</v>
      </c>
      <c r="I655" s="14" t="s">
        <v>75</v>
      </c>
      <c r="J655" s="14" t="s">
        <v>201</v>
      </c>
      <c r="K655" s="14">
        <v>1</v>
      </c>
      <c r="L655" s="14" t="s">
        <v>213</v>
      </c>
      <c r="N655" s="14">
        <v>0</v>
      </c>
      <c r="O655" s="14" t="b">
        <v>1</v>
      </c>
      <c r="Q655" s="14" t="b">
        <v>0</v>
      </c>
      <c r="R655" s="14">
        <v>1</v>
      </c>
      <c r="S655" s="14" t="s">
        <v>77</v>
      </c>
      <c r="T655" s="14">
        <v>999</v>
      </c>
      <c r="U655" s="14" t="s">
        <v>214</v>
      </c>
      <c r="V655" s="14">
        <v>31345004</v>
      </c>
      <c r="X655" s="14" t="s">
        <v>204</v>
      </c>
      <c r="Y655" s="14" t="s">
        <v>215</v>
      </c>
      <c r="Z655" s="14">
        <v>20001</v>
      </c>
      <c r="AA655" s="14" t="s">
        <v>205</v>
      </c>
      <c r="AB655" s="14">
        <v>40001</v>
      </c>
      <c r="AE655" s="29" t="s">
        <v>121</v>
      </c>
      <c r="AF655" s="14" t="s">
        <v>213</v>
      </c>
      <c r="AG655" s="14" t="s">
        <v>95</v>
      </c>
    </row>
    <row r="656" spans="2:33">
      <c r="B656" s="14">
        <f>10000000+INDEX(编号表!$B:$B,MATCH(H656,编号表!$A:$A,0))*100000+INDEX(编号表!$F:$F,MATCH(D656,编号表!$E:$E,0))*10000+INDEX(编号表!$D:$D,MATCH(AG656,编号表!$C:$C,0))*1000+F656</f>
        <v>11345005</v>
      </c>
      <c r="C656" s="14" t="s">
        <v>816</v>
      </c>
      <c r="D656" s="14" t="s">
        <v>104</v>
      </c>
      <c r="E656" s="14" t="s">
        <v>95</v>
      </c>
      <c r="F656" s="14">
        <v>5</v>
      </c>
      <c r="G656" s="14">
        <v>60</v>
      </c>
      <c r="H656" s="31" t="s">
        <v>217</v>
      </c>
      <c r="I656" s="14" t="s">
        <v>75</v>
      </c>
      <c r="J656" s="14" t="s">
        <v>201</v>
      </c>
      <c r="K656" s="14">
        <v>1</v>
      </c>
      <c r="L656" s="14" t="s">
        <v>213</v>
      </c>
      <c r="N656" s="14">
        <v>0</v>
      </c>
      <c r="O656" s="14" t="b">
        <v>1</v>
      </c>
      <c r="Q656" s="14" t="b">
        <v>0</v>
      </c>
      <c r="R656" s="14">
        <v>1</v>
      </c>
      <c r="S656" s="14" t="s">
        <v>77</v>
      </c>
      <c r="T656" s="14">
        <v>999</v>
      </c>
      <c r="U656" s="14" t="s">
        <v>214</v>
      </c>
      <c r="V656" s="14">
        <v>31345005</v>
      </c>
      <c r="X656" s="14" t="s">
        <v>204</v>
      </c>
      <c r="Y656" s="14" t="s">
        <v>215</v>
      </c>
      <c r="Z656" s="14">
        <v>20001</v>
      </c>
      <c r="AA656" s="14" t="s">
        <v>205</v>
      </c>
      <c r="AB656" s="14">
        <v>40001</v>
      </c>
      <c r="AE656" s="29" t="s">
        <v>121</v>
      </c>
      <c r="AF656" s="14" t="s">
        <v>213</v>
      </c>
      <c r="AG656" s="14" t="s">
        <v>95</v>
      </c>
    </row>
    <row r="657" spans="2:33">
      <c r="B657" s="14">
        <f>10000000+INDEX(编号表!$B:$B,MATCH(H657,编号表!$A:$A,0))*100000+INDEX(编号表!$F:$F,MATCH(D657,编号表!$E:$E,0))*10000+INDEX(编号表!$D:$D,MATCH(AG657,编号表!$C:$C,0))*1000+F657</f>
        <v>11345006</v>
      </c>
      <c r="C657" s="14" t="s">
        <v>817</v>
      </c>
      <c r="D657" s="14" t="s">
        <v>104</v>
      </c>
      <c r="E657" s="14" t="s">
        <v>95</v>
      </c>
      <c r="F657" s="14">
        <v>6</v>
      </c>
      <c r="G657" s="14">
        <v>60</v>
      </c>
      <c r="H657" s="31" t="s">
        <v>217</v>
      </c>
      <c r="I657" s="14" t="s">
        <v>75</v>
      </c>
      <c r="J657" s="14" t="s">
        <v>201</v>
      </c>
      <c r="K657" s="14">
        <v>1</v>
      </c>
      <c r="L657" s="14" t="s">
        <v>213</v>
      </c>
      <c r="N657" s="14">
        <v>0</v>
      </c>
      <c r="O657" s="14" t="b">
        <v>1</v>
      </c>
      <c r="Q657" s="14" t="b">
        <v>0</v>
      </c>
      <c r="R657" s="14">
        <v>1</v>
      </c>
      <c r="S657" s="14" t="s">
        <v>77</v>
      </c>
      <c r="T657" s="14">
        <v>999</v>
      </c>
      <c r="U657" s="14" t="s">
        <v>214</v>
      </c>
      <c r="V657" s="14">
        <v>31345006</v>
      </c>
      <c r="X657" s="14" t="s">
        <v>204</v>
      </c>
      <c r="Y657" s="14" t="s">
        <v>215</v>
      </c>
      <c r="Z657" s="14">
        <v>20001</v>
      </c>
      <c r="AA657" s="14" t="s">
        <v>205</v>
      </c>
      <c r="AB657" s="14">
        <v>40001</v>
      </c>
      <c r="AE657" s="29" t="s">
        <v>121</v>
      </c>
      <c r="AF657" s="14" t="s">
        <v>213</v>
      </c>
      <c r="AG657" s="14" t="s">
        <v>95</v>
      </c>
    </row>
    <row r="658" spans="2:33">
      <c r="B658" s="14">
        <f>10000000+INDEX(编号表!$B:$B,MATCH(H658,编号表!$A:$A,0))*100000+INDEX(编号表!$F:$F,MATCH(D658,编号表!$E:$E,0))*10000+INDEX(编号表!$D:$D,MATCH(AG658,编号表!$C:$C,0))*1000+F658</f>
        <v>11345007</v>
      </c>
      <c r="C658" s="14" t="s">
        <v>818</v>
      </c>
      <c r="D658" s="14" t="s">
        <v>104</v>
      </c>
      <c r="E658" s="14" t="s">
        <v>95</v>
      </c>
      <c r="F658" s="14">
        <v>7</v>
      </c>
      <c r="G658" s="14">
        <v>60</v>
      </c>
      <c r="H658" s="31" t="s">
        <v>217</v>
      </c>
      <c r="I658" s="14" t="s">
        <v>75</v>
      </c>
      <c r="J658" s="14" t="s">
        <v>201</v>
      </c>
      <c r="K658" s="14">
        <v>1</v>
      </c>
      <c r="L658" s="14" t="s">
        <v>213</v>
      </c>
      <c r="N658" s="14">
        <v>0</v>
      </c>
      <c r="O658" s="14" t="b">
        <v>1</v>
      </c>
      <c r="Q658" s="14" t="b">
        <v>0</v>
      </c>
      <c r="R658" s="14">
        <v>1</v>
      </c>
      <c r="S658" s="14" t="s">
        <v>77</v>
      </c>
      <c r="T658" s="14">
        <v>999</v>
      </c>
      <c r="U658" s="14" t="s">
        <v>214</v>
      </c>
      <c r="V658" s="14">
        <v>31345007</v>
      </c>
      <c r="X658" s="14" t="s">
        <v>204</v>
      </c>
      <c r="Y658" s="14" t="s">
        <v>215</v>
      </c>
      <c r="Z658" s="14">
        <v>20001</v>
      </c>
      <c r="AA658" s="14" t="s">
        <v>205</v>
      </c>
      <c r="AB658" s="14">
        <v>40001</v>
      </c>
      <c r="AE658" s="29" t="s">
        <v>121</v>
      </c>
      <c r="AF658" s="14" t="s">
        <v>213</v>
      </c>
      <c r="AG658" s="14" t="s">
        <v>95</v>
      </c>
    </row>
    <row r="659" spans="2:33">
      <c r="B659" s="14">
        <f>10000000+INDEX(编号表!$B:$B,MATCH(H659,编号表!$A:$A,0))*100000+INDEX(编号表!$F:$F,MATCH(D659,编号表!$E:$E,0))*10000+INDEX(编号表!$D:$D,MATCH(AG659,编号表!$C:$C,0))*1000+F659</f>
        <v>11345008</v>
      </c>
      <c r="C659" s="14" t="s">
        <v>819</v>
      </c>
      <c r="D659" s="14" t="s">
        <v>104</v>
      </c>
      <c r="E659" s="14" t="s">
        <v>95</v>
      </c>
      <c r="F659" s="14">
        <v>8</v>
      </c>
      <c r="G659" s="14">
        <v>60</v>
      </c>
      <c r="H659" s="31" t="s">
        <v>217</v>
      </c>
      <c r="I659" s="14" t="s">
        <v>75</v>
      </c>
      <c r="J659" s="14" t="s">
        <v>201</v>
      </c>
      <c r="K659" s="14">
        <v>1</v>
      </c>
      <c r="L659" s="14" t="s">
        <v>213</v>
      </c>
      <c r="N659" s="14">
        <v>0</v>
      </c>
      <c r="O659" s="14" t="b">
        <v>1</v>
      </c>
      <c r="Q659" s="14" t="b">
        <v>0</v>
      </c>
      <c r="R659" s="14">
        <v>1</v>
      </c>
      <c r="S659" s="14" t="s">
        <v>77</v>
      </c>
      <c r="T659" s="14">
        <v>999</v>
      </c>
      <c r="U659" s="14" t="s">
        <v>214</v>
      </c>
      <c r="V659" s="14">
        <v>31345008</v>
      </c>
      <c r="X659" s="14" t="s">
        <v>204</v>
      </c>
      <c r="Y659" s="14" t="s">
        <v>215</v>
      </c>
      <c r="Z659" s="14">
        <v>20001</v>
      </c>
      <c r="AA659" s="14" t="s">
        <v>205</v>
      </c>
      <c r="AB659" s="14">
        <v>40001</v>
      </c>
      <c r="AE659" s="29" t="s">
        <v>121</v>
      </c>
      <c r="AF659" s="14" t="s">
        <v>213</v>
      </c>
      <c r="AG659" s="14" t="s">
        <v>95</v>
      </c>
    </row>
    <row r="660" spans="2:33">
      <c r="B660" s="14">
        <f>10000000+INDEX(编号表!$B:$B,MATCH(H660,编号表!$A:$A,0))*100000+INDEX(编号表!$F:$F,MATCH(D660,编号表!$E:$E,0))*10000+INDEX(编号表!$D:$D,MATCH(AG660,编号表!$C:$C,0))*1000+F660</f>
        <v>11345009</v>
      </c>
      <c r="C660" s="14" t="s">
        <v>820</v>
      </c>
      <c r="D660" s="14" t="s">
        <v>104</v>
      </c>
      <c r="E660" s="14" t="s">
        <v>95</v>
      </c>
      <c r="F660" s="14">
        <v>9</v>
      </c>
      <c r="G660" s="14">
        <v>60</v>
      </c>
      <c r="H660" s="31" t="s">
        <v>217</v>
      </c>
      <c r="I660" s="14" t="s">
        <v>75</v>
      </c>
      <c r="J660" s="14" t="s">
        <v>201</v>
      </c>
      <c r="K660" s="14">
        <v>1</v>
      </c>
      <c r="L660" s="14" t="s">
        <v>213</v>
      </c>
      <c r="N660" s="14">
        <v>0</v>
      </c>
      <c r="O660" s="14" t="b">
        <v>1</v>
      </c>
      <c r="Q660" s="14" t="b">
        <v>0</v>
      </c>
      <c r="R660" s="14">
        <v>1</v>
      </c>
      <c r="S660" s="14" t="s">
        <v>77</v>
      </c>
      <c r="T660" s="14">
        <v>999</v>
      </c>
      <c r="U660" s="14" t="s">
        <v>214</v>
      </c>
      <c r="V660" s="14">
        <v>31345009</v>
      </c>
      <c r="X660" s="14" t="s">
        <v>204</v>
      </c>
      <c r="Y660" s="14" t="s">
        <v>215</v>
      </c>
      <c r="Z660" s="14">
        <v>20001</v>
      </c>
      <c r="AA660" s="14" t="s">
        <v>205</v>
      </c>
      <c r="AB660" s="14">
        <v>40001</v>
      </c>
      <c r="AE660" s="29" t="s">
        <v>121</v>
      </c>
      <c r="AF660" s="14" t="s">
        <v>213</v>
      </c>
      <c r="AG660" s="14" t="s">
        <v>95</v>
      </c>
    </row>
    <row r="661" spans="2:33">
      <c r="B661" s="14">
        <f>10000000+INDEX(编号表!$B:$B,MATCH(H661,编号表!$A:$A,0))*100000+INDEX(编号表!$F:$F,MATCH(D661,编号表!$E:$E,0))*10000+INDEX(编号表!$D:$D,MATCH(AG661,编号表!$C:$C,0))*1000+F661</f>
        <v>11545000</v>
      </c>
      <c r="C661" s="14" t="s">
        <v>821</v>
      </c>
      <c r="D661" s="14" t="s">
        <v>104</v>
      </c>
      <c r="E661" s="14" t="s">
        <v>95</v>
      </c>
      <c r="F661" s="14">
        <v>0</v>
      </c>
      <c r="G661" s="14">
        <v>60</v>
      </c>
      <c r="H661" s="31" t="s">
        <v>228</v>
      </c>
      <c r="I661" s="14" t="s">
        <v>75</v>
      </c>
      <c r="J661" s="14" t="s">
        <v>201</v>
      </c>
      <c r="K661" s="14">
        <v>1</v>
      </c>
      <c r="L661" s="14" t="s">
        <v>213</v>
      </c>
      <c r="N661" s="14">
        <v>0</v>
      </c>
      <c r="O661" s="14" t="b">
        <v>1</v>
      </c>
      <c r="Q661" s="14" t="b">
        <v>0</v>
      </c>
      <c r="R661" s="14">
        <v>1</v>
      </c>
      <c r="S661" s="14" t="s">
        <v>77</v>
      </c>
      <c r="T661" s="14">
        <v>999</v>
      </c>
      <c r="U661" s="14" t="s">
        <v>214</v>
      </c>
      <c r="V661" s="14">
        <v>31545000</v>
      </c>
      <c r="X661" s="14" t="s">
        <v>204</v>
      </c>
      <c r="Y661" s="14" t="s">
        <v>215</v>
      </c>
      <c r="Z661" s="14">
        <v>20001</v>
      </c>
      <c r="AA661" s="14" t="s">
        <v>205</v>
      </c>
      <c r="AB661" s="14">
        <v>40001</v>
      </c>
      <c r="AE661" s="29" t="s">
        <v>121</v>
      </c>
      <c r="AF661" s="14" t="s">
        <v>213</v>
      </c>
      <c r="AG661" s="14" t="s">
        <v>95</v>
      </c>
    </row>
    <row r="662" spans="2:33">
      <c r="B662" s="14">
        <f>10000000+INDEX(编号表!$B:$B,MATCH(H662,编号表!$A:$A,0))*100000+INDEX(编号表!$F:$F,MATCH(D662,编号表!$E:$E,0))*10000+INDEX(编号表!$D:$D,MATCH(AG662,编号表!$C:$C,0))*1000+F662</f>
        <v>11545001</v>
      </c>
      <c r="C662" s="14" t="s">
        <v>822</v>
      </c>
      <c r="D662" s="14" t="s">
        <v>104</v>
      </c>
      <c r="E662" s="14" t="s">
        <v>95</v>
      </c>
      <c r="F662" s="14">
        <v>1</v>
      </c>
      <c r="G662" s="14">
        <v>60</v>
      </c>
      <c r="H662" s="31" t="s">
        <v>228</v>
      </c>
      <c r="I662" s="14" t="s">
        <v>75</v>
      </c>
      <c r="J662" s="14" t="s">
        <v>201</v>
      </c>
      <c r="K662" s="14">
        <v>1</v>
      </c>
      <c r="L662" s="14" t="s">
        <v>213</v>
      </c>
      <c r="N662" s="14">
        <v>0</v>
      </c>
      <c r="O662" s="14" t="b">
        <v>1</v>
      </c>
      <c r="Q662" s="14" t="b">
        <v>0</v>
      </c>
      <c r="R662" s="14">
        <v>1</v>
      </c>
      <c r="S662" s="14" t="s">
        <v>77</v>
      </c>
      <c r="T662" s="14">
        <v>999</v>
      </c>
      <c r="U662" s="14" t="s">
        <v>214</v>
      </c>
      <c r="V662" s="14">
        <v>31545001</v>
      </c>
      <c r="X662" s="14" t="s">
        <v>204</v>
      </c>
      <c r="Y662" s="14" t="s">
        <v>215</v>
      </c>
      <c r="Z662" s="14">
        <v>20001</v>
      </c>
      <c r="AA662" s="14" t="s">
        <v>205</v>
      </c>
      <c r="AB662" s="14">
        <v>40001</v>
      </c>
      <c r="AE662" s="29" t="s">
        <v>121</v>
      </c>
      <c r="AF662" s="14" t="s">
        <v>213</v>
      </c>
      <c r="AG662" s="14" t="s">
        <v>95</v>
      </c>
    </row>
    <row r="663" spans="2:33">
      <c r="B663" s="14">
        <f>10000000+INDEX(编号表!$B:$B,MATCH(H663,编号表!$A:$A,0))*100000+INDEX(编号表!$F:$F,MATCH(D663,编号表!$E:$E,0))*10000+INDEX(编号表!$D:$D,MATCH(AG663,编号表!$C:$C,0))*1000+F663</f>
        <v>11545002</v>
      </c>
      <c r="C663" s="14" t="s">
        <v>823</v>
      </c>
      <c r="D663" s="14" t="s">
        <v>104</v>
      </c>
      <c r="E663" s="14" t="s">
        <v>95</v>
      </c>
      <c r="F663" s="14">
        <v>2</v>
      </c>
      <c r="G663" s="14">
        <v>60</v>
      </c>
      <c r="H663" s="31" t="s">
        <v>228</v>
      </c>
      <c r="I663" s="14" t="s">
        <v>75</v>
      </c>
      <c r="J663" s="14" t="s">
        <v>201</v>
      </c>
      <c r="K663" s="14">
        <v>1</v>
      </c>
      <c r="L663" s="14" t="s">
        <v>213</v>
      </c>
      <c r="N663" s="14">
        <v>0</v>
      </c>
      <c r="O663" s="14" t="b">
        <v>1</v>
      </c>
      <c r="Q663" s="14" t="b">
        <v>0</v>
      </c>
      <c r="R663" s="14">
        <v>1</v>
      </c>
      <c r="S663" s="14" t="s">
        <v>77</v>
      </c>
      <c r="T663" s="14">
        <v>999</v>
      </c>
      <c r="U663" s="14" t="s">
        <v>214</v>
      </c>
      <c r="V663" s="14">
        <v>31545002</v>
      </c>
      <c r="X663" s="14" t="s">
        <v>204</v>
      </c>
      <c r="Y663" s="14" t="s">
        <v>215</v>
      </c>
      <c r="Z663" s="14">
        <v>20001</v>
      </c>
      <c r="AA663" s="14" t="s">
        <v>205</v>
      </c>
      <c r="AB663" s="14">
        <v>40001</v>
      </c>
      <c r="AE663" s="29" t="s">
        <v>121</v>
      </c>
      <c r="AF663" s="14" t="s">
        <v>213</v>
      </c>
      <c r="AG663" s="14" t="s">
        <v>95</v>
      </c>
    </row>
    <row r="664" spans="2:33">
      <c r="B664" s="14">
        <f>10000000+INDEX(编号表!$B:$B,MATCH(H664,编号表!$A:$A,0))*100000+INDEX(编号表!$F:$F,MATCH(D664,编号表!$E:$E,0))*10000+INDEX(编号表!$D:$D,MATCH(AG664,编号表!$C:$C,0))*1000+F664</f>
        <v>11545003</v>
      </c>
      <c r="C664" s="14" t="s">
        <v>824</v>
      </c>
      <c r="D664" s="14" t="s">
        <v>104</v>
      </c>
      <c r="E664" s="14" t="s">
        <v>95</v>
      </c>
      <c r="F664" s="14">
        <v>3</v>
      </c>
      <c r="G664" s="14">
        <v>60</v>
      </c>
      <c r="H664" s="31" t="s">
        <v>228</v>
      </c>
      <c r="I664" s="14" t="s">
        <v>75</v>
      </c>
      <c r="J664" s="14" t="s">
        <v>201</v>
      </c>
      <c r="K664" s="14">
        <v>1</v>
      </c>
      <c r="L664" s="14" t="s">
        <v>213</v>
      </c>
      <c r="N664" s="14">
        <v>0</v>
      </c>
      <c r="O664" s="14" t="b">
        <v>1</v>
      </c>
      <c r="Q664" s="14" t="b">
        <v>0</v>
      </c>
      <c r="R664" s="14">
        <v>1</v>
      </c>
      <c r="S664" s="14" t="s">
        <v>77</v>
      </c>
      <c r="T664" s="14">
        <v>999</v>
      </c>
      <c r="U664" s="14" t="s">
        <v>214</v>
      </c>
      <c r="V664" s="14">
        <v>31545003</v>
      </c>
      <c r="X664" s="14" t="s">
        <v>204</v>
      </c>
      <c r="Y664" s="14" t="s">
        <v>215</v>
      </c>
      <c r="Z664" s="14">
        <v>20001</v>
      </c>
      <c r="AA664" s="14" t="s">
        <v>205</v>
      </c>
      <c r="AB664" s="14">
        <v>40001</v>
      </c>
      <c r="AE664" s="29" t="s">
        <v>121</v>
      </c>
      <c r="AF664" s="14" t="s">
        <v>213</v>
      </c>
      <c r="AG664" s="14" t="s">
        <v>95</v>
      </c>
    </row>
    <row r="665" spans="2:33">
      <c r="B665" s="14">
        <f>10000000+INDEX(编号表!$B:$B,MATCH(H665,编号表!$A:$A,0))*100000+INDEX(编号表!$F:$F,MATCH(D665,编号表!$E:$E,0))*10000+INDEX(编号表!$D:$D,MATCH(AG665,编号表!$C:$C,0))*1000+F665</f>
        <v>11545004</v>
      </c>
      <c r="C665" s="14" t="s">
        <v>825</v>
      </c>
      <c r="D665" s="14" t="s">
        <v>104</v>
      </c>
      <c r="E665" s="14" t="s">
        <v>95</v>
      </c>
      <c r="F665" s="14">
        <v>4</v>
      </c>
      <c r="G665" s="14">
        <v>60</v>
      </c>
      <c r="H665" s="31" t="s">
        <v>228</v>
      </c>
      <c r="I665" s="14" t="s">
        <v>75</v>
      </c>
      <c r="J665" s="14" t="s">
        <v>201</v>
      </c>
      <c r="K665" s="14">
        <v>1</v>
      </c>
      <c r="L665" s="14" t="s">
        <v>213</v>
      </c>
      <c r="N665" s="14">
        <v>0</v>
      </c>
      <c r="O665" s="14" t="b">
        <v>1</v>
      </c>
      <c r="Q665" s="14" t="b">
        <v>0</v>
      </c>
      <c r="R665" s="14">
        <v>1</v>
      </c>
      <c r="S665" s="14" t="s">
        <v>77</v>
      </c>
      <c r="T665" s="14">
        <v>999</v>
      </c>
      <c r="U665" s="14" t="s">
        <v>214</v>
      </c>
      <c r="V665" s="14">
        <v>31545004</v>
      </c>
      <c r="X665" s="14" t="s">
        <v>204</v>
      </c>
      <c r="Y665" s="14" t="s">
        <v>215</v>
      </c>
      <c r="Z665" s="14">
        <v>20001</v>
      </c>
      <c r="AA665" s="14" t="s">
        <v>205</v>
      </c>
      <c r="AB665" s="14">
        <v>40001</v>
      </c>
      <c r="AE665" s="29" t="s">
        <v>121</v>
      </c>
      <c r="AF665" s="14" t="s">
        <v>213</v>
      </c>
      <c r="AG665" s="14" t="s">
        <v>95</v>
      </c>
    </row>
    <row r="666" spans="2:33">
      <c r="B666" s="14">
        <f>10000000+INDEX(编号表!$B:$B,MATCH(H666,编号表!$A:$A,0))*100000+INDEX(编号表!$F:$F,MATCH(D666,编号表!$E:$E,0))*10000+INDEX(编号表!$D:$D,MATCH(AG666,编号表!$C:$C,0))*1000+F666</f>
        <v>11545005</v>
      </c>
      <c r="C666" s="14" t="s">
        <v>826</v>
      </c>
      <c r="D666" s="14" t="s">
        <v>104</v>
      </c>
      <c r="E666" s="14" t="s">
        <v>95</v>
      </c>
      <c r="F666" s="14">
        <v>5</v>
      </c>
      <c r="G666" s="14">
        <v>60</v>
      </c>
      <c r="H666" s="31" t="s">
        <v>228</v>
      </c>
      <c r="I666" s="14" t="s">
        <v>75</v>
      </c>
      <c r="J666" s="14" t="s">
        <v>201</v>
      </c>
      <c r="K666" s="14">
        <v>1</v>
      </c>
      <c r="L666" s="14" t="s">
        <v>213</v>
      </c>
      <c r="N666" s="14">
        <v>0</v>
      </c>
      <c r="O666" s="14" t="b">
        <v>1</v>
      </c>
      <c r="Q666" s="14" t="b">
        <v>0</v>
      </c>
      <c r="R666" s="14">
        <v>1</v>
      </c>
      <c r="S666" s="14" t="s">
        <v>77</v>
      </c>
      <c r="T666" s="14">
        <v>999</v>
      </c>
      <c r="U666" s="14" t="s">
        <v>214</v>
      </c>
      <c r="V666" s="14">
        <v>31545005</v>
      </c>
      <c r="X666" s="14" t="s">
        <v>204</v>
      </c>
      <c r="Y666" s="14" t="s">
        <v>215</v>
      </c>
      <c r="Z666" s="14">
        <v>20001</v>
      </c>
      <c r="AA666" s="14" t="s">
        <v>205</v>
      </c>
      <c r="AB666" s="14">
        <v>40001</v>
      </c>
      <c r="AE666" s="29" t="s">
        <v>121</v>
      </c>
      <c r="AF666" s="14" t="s">
        <v>213</v>
      </c>
      <c r="AG666" s="14" t="s">
        <v>95</v>
      </c>
    </row>
    <row r="667" spans="2:33">
      <c r="B667" s="14">
        <f>10000000+INDEX(编号表!$B:$B,MATCH(H667,编号表!$A:$A,0))*100000+INDEX(编号表!$F:$F,MATCH(D667,编号表!$E:$E,0))*10000+INDEX(编号表!$D:$D,MATCH(AG667,编号表!$C:$C,0))*1000+F667</f>
        <v>11545006</v>
      </c>
      <c r="C667" s="14" t="s">
        <v>827</v>
      </c>
      <c r="D667" s="14" t="s">
        <v>104</v>
      </c>
      <c r="E667" s="14" t="s">
        <v>95</v>
      </c>
      <c r="F667" s="14">
        <v>6</v>
      </c>
      <c r="G667" s="14">
        <v>60</v>
      </c>
      <c r="H667" s="31" t="s">
        <v>228</v>
      </c>
      <c r="I667" s="14" t="s">
        <v>75</v>
      </c>
      <c r="J667" s="14" t="s">
        <v>201</v>
      </c>
      <c r="K667" s="14">
        <v>1</v>
      </c>
      <c r="L667" s="14" t="s">
        <v>213</v>
      </c>
      <c r="N667" s="14">
        <v>0</v>
      </c>
      <c r="O667" s="14" t="b">
        <v>1</v>
      </c>
      <c r="Q667" s="14" t="b">
        <v>0</v>
      </c>
      <c r="R667" s="14">
        <v>1</v>
      </c>
      <c r="S667" s="14" t="s">
        <v>77</v>
      </c>
      <c r="T667" s="14">
        <v>999</v>
      </c>
      <c r="U667" s="14" t="s">
        <v>214</v>
      </c>
      <c r="V667" s="14">
        <v>31545006</v>
      </c>
      <c r="X667" s="14" t="s">
        <v>204</v>
      </c>
      <c r="Y667" s="14" t="s">
        <v>215</v>
      </c>
      <c r="Z667" s="14">
        <v>20001</v>
      </c>
      <c r="AA667" s="14" t="s">
        <v>205</v>
      </c>
      <c r="AB667" s="14">
        <v>40001</v>
      </c>
      <c r="AE667" s="29" t="s">
        <v>121</v>
      </c>
      <c r="AF667" s="14" t="s">
        <v>213</v>
      </c>
      <c r="AG667" s="14" t="s">
        <v>95</v>
      </c>
    </row>
    <row r="668" spans="2:33">
      <c r="B668" s="14">
        <f>10000000+INDEX(编号表!$B:$B,MATCH(H668,编号表!$A:$A,0))*100000+INDEX(编号表!$F:$F,MATCH(D668,编号表!$E:$E,0))*10000+INDEX(编号表!$D:$D,MATCH(AG668,编号表!$C:$C,0))*1000+F668</f>
        <v>11545007</v>
      </c>
      <c r="C668" s="14" t="s">
        <v>828</v>
      </c>
      <c r="D668" s="14" t="s">
        <v>104</v>
      </c>
      <c r="E668" s="14" t="s">
        <v>95</v>
      </c>
      <c r="F668" s="14">
        <v>7</v>
      </c>
      <c r="G668" s="14">
        <v>60</v>
      </c>
      <c r="H668" s="31" t="s">
        <v>228</v>
      </c>
      <c r="I668" s="14" t="s">
        <v>75</v>
      </c>
      <c r="J668" s="14" t="s">
        <v>201</v>
      </c>
      <c r="K668" s="14">
        <v>1</v>
      </c>
      <c r="L668" s="14" t="s">
        <v>213</v>
      </c>
      <c r="N668" s="14">
        <v>0</v>
      </c>
      <c r="O668" s="14" t="b">
        <v>1</v>
      </c>
      <c r="Q668" s="14" t="b">
        <v>0</v>
      </c>
      <c r="R668" s="14">
        <v>1</v>
      </c>
      <c r="S668" s="14" t="s">
        <v>77</v>
      </c>
      <c r="T668" s="14">
        <v>999</v>
      </c>
      <c r="U668" s="14" t="s">
        <v>214</v>
      </c>
      <c r="V668" s="14">
        <v>31545007</v>
      </c>
      <c r="X668" s="14" t="s">
        <v>204</v>
      </c>
      <c r="Y668" s="14" t="s">
        <v>215</v>
      </c>
      <c r="Z668" s="14">
        <v>20001</v>
      </c>
      <c r="AA668" s="14" t="s">
        <v>205</v>
      </c>
      <c r="AB668" s="14">
        <v>40001</v>
      </c>
      <c r="AE668" s="29" t="s">
        <v>121</v>
      </c>
      <c r="AF668" s="14" t="s">
        <v>213</v>
      </c>
      <c r="AG668" s="14" t="s">
        <v>95</v>
      </c>
    </row>
    <row r="669" spans="2:33">
      <c r="B669" s="14">
        <f>10000000+INDEX(编号表!$B:$B,MATCH(H669,编号表!$A:$A,0))*100000+INDEX(编号表!$F:$F,MATCH(D669,编号表!$E:$E,0))*10000+INDEX(编号表!$D:$D,MATCH(AG669,编号表!$C:$C,0))*1000+F669</f>
        <v>11545008</v>
      </c>
      <c r="C669" s="14" t="s">
        <v>829</v>
      </c>
      <c r="D669" s="14" t="s">
        <v>104</v>
      </c>
      <c r="E669" s="14" t="s">
        <v>95</v>
      </c>
      <c r="F669" s="14">
        <v>8</v>
      </c>
      <c r="G669" s="14">
        <v>60</v>
      </c>
      <c r="H669" s="31" t="s">
        <v>228</v>
      </c>
      <c r="I669" s="14" t="s">
        <v>75</v>
      </c>
      <c r="J669" s="14" t="s">
        <v>201</v>
      </c>
      <c r="K669" s="14">
        <v>1</v>
      </c>
      <c r="L669" s="14" t="s">
        <v>213</v>
      </c>
      <c r="N669" s="14">
        <v>0</v>
      </c>
      <c r="O669" s="14" t="b">
        <v>1</v>
      </c>
      <c r="Q669" s="14" t="b">
        <v>0</v>
      </c>
      <c r="R669" s="14">
        <v>1</v>
      </c>
      <c r="S669" s="14" t="s">
        <v>77</v>
      </c>
      <c r="T669" s="14">
        <v>999</v>
      </c>
      <c r="U669" s="14" t="s">
        <v>214</v>
      </c>
      <c r="V669" s="14">
        <v>31545008</v>
      </c>
      <c r="X669" s="14" t="s">
        <v>204</v>
      </c>
      <c r="Y669" s="14" t="s">
        <v>215</v>
      </c>
      <c r="Z669" s="14">
        <v>20001</v>
      </c>
      <c r="AA669" s="14" t="s">
        <v>205</v>
      </c>
      <c r="AB669" s="14">
        <v>40001</v>
      </c>
      <c r="AE669" s="29" t="s">
        <v>121</v>
      </c>
      <c r="AF669" s="14" t="s">
        <v>213</v>
      </c>
      <c r="AG669" s="14" t="s">
        <v>95</v>
      </c>
    </row>
    <row r="670" spans="2:33">
      <c r="B670" s="14">
        <f>10000000+INDEX(编号表!$B:$B,MATCH(H670,编号表!$A:$A,0))*100000+INDEX(编号表!$F:$F,MATCH(D670,编号表!$E:$E,0))*10000+INDEX(编号表!$D:$D,MATCH(AG670,编号表!$C:$C,0))*1000+F670</f>
        <v>11545009</v>
      </c>
      <c r="C670" s="14" t="s">
        <v>830</v>
      </c>
      <c r="D670" s="14" t="s">
        <v>104</v>
      </c>
      <c r="E670" s="14" t="s">
        <v>95</v>
      </c>
      <c r="F670" s="14">
        <v>9</v>
      </c>
      <c r="G670" s="14">
        <v>60</v>
      </c>
      <c r="H670" s="31" t="s">
        <v>228</v>
      </c>
      <c r="I670" s="14" t="s">
        <v>75</v>
      </c>
      <c r="J670" s="14" t="s">
        <v>201</v>
      </c>
      <c r="K670" s="14">
        <v>1</v>
      </c>
      <c r="L670" s="14" t="s">
        <v>213</v>
      </c>
      <c r="N670" s="14">
        <v>0</v>
      </c>
      <c r="O670" s="14" t="b">
        <v>1</v>
      </c>
      <c r="Q670" s="14" t="b">
        <v>0</v>
      </c>
      <c r="R670" s="14">
        <v>1</v>
      </c>
      <c r="S670" s="14" t="s">
        <v>77</v>
      </c>
      <c r="T670" s="14">
        <v>999</v>
      </c>
      <c r="U670" s="14" t="s">
        <v>214</v>
      </c>
      <c r="V670" s="14">
        <v>31545009</v>
      </c>
      <c r="X670" s="14" t="s">
        <v>204</v>
      </c>
      <c r="Y670" s="14" t="s">
        <v>215</v>
      </c>
      <c r="Z670" s="14">
        <v>20001</v>
      </c>
      <c r="AA670" s="14" t="s">
        <v>205</v>
      </c>
      <c r="AB670" s="14">
        <v>40001</v>
      </c>
      <c r="AE670" s="29" t="s">
        <v>121</v>
      </c>
      <c r="AF670" s="14" t="s">
        <v>213</v>
      </c>
      <c r="AG670" s="14" t="s">
        <v>95</v>
      </c>
    </row>
    <row r="671" spans="2:33">
      <c r="B671" s="14">
        <f>10000000+INDEX(编号表!$B:$B,MATCH(H671,编号表!$A:$A,0))*100000+INDEX(编号表!$F:$F,MATCH(D671,编号表!$E:$E,0))*10000+INDEX(编号表!$D:$D,MATCH(AG671,编号表!$C:$C,0))*1000+F671</f>
        <v>11445000</v>
      </c>
      <c r="C671" s="14" t="s">
        <v>831</v>
      </c>
      <c r="D671" s="14" t="s">
        <v>104</v>
      </c>
      <c r="E671" s="14" t="s">
        <v>95</v>
      </c>
      <c r="F671" s="14">
        <v>0</v>
      </c>
      <c r="G671" s="14">
        <v>60</v>
      </c>
      <c r="H671" s="31" t="s">
        <v>239</v>
      </c>
      <c r="I671" s="14" t="s">
        <v>75</v>
      </c>
      <c r="J671" s="14" t="s">
        <v>201</v>
      </c>
      <c r="K671" s="14">
        <v>1</v>
      </c>
      <c r="L671" s="14" t="s">
        <v>213</v>
      </c>
      <c r="N671" s="14">
        <v>0</v>
      </c>
      <c r="O671" s="14" t="b">
        <v>1</v>
      </c>
      <c r="Q671" s="14" t="b">
        <v>0</v>
      </c>
      <c r="R671" s="14">
        <v>1</v>
      </c>
      <c r="S671" s="14" t="s">
        <v>77</v>
      </c>
      <c r="T671" s="14">
        <v>999</v>
      </c>
      <c r="U671" s="14" t="s">
        <v>214</v>
      </c>
      <c r="V671" s="14">
        <v>31445000</v>
      </c>
      <c r="X671" s="14" t="s">
        <v>204</v>
      </c>
      <c r="Y671" s="14" t="s">
        <v>215</v>
      </c>
      <c r="Z671" s="14">
        <v>20001</v>
      </c>
      <c r="AA671" s="14" t="s">
        <v>205</v>
      </c>
      <c r="AB671" s="14">
        <v>40001</v>
      </c>
      <c r="AE671" s="29" t="s">
        <v>121</v>
      </c>
      <c r="AF671" s="14" t="s">
        <v>213</v>
      </c>
      <c r="AG671" s="14" t="s">
        <v>95</v>
      </c>
    </row>
    <row r="672" spans="2:33">
      <c r="B672" s="14">
        <f>10000000+INDEX(编号表!$B:$B,MATCH(H672,编号表!$A:$A,0))*100000+INDEX(编号表!$F:$F,MATCH(D672,编号表!$E:$E,0))*10000+INDEX(编号表!$D:$D,MATCH(AG672,编号表!$C:$C,0))*1000+F672</f>
        <v>11445001</v>
      </c>
      <c r="C672" s="14" t="s">
        <v>832</v>
      </c>
      <c r="D672" s="14" t="s">
        <v>104</v>
      </c>
      <c r="E672" s="14" t="s">
        <v>95</v>
      </c>
      <c r="F672" s="14">
        <v>1</v>
      </c>
      <c r="G672" s="14">
        <v>60</v>
      </c>
      <c r="H672" s="31" t="s">
        <v>239</v>
      </c>
      <c r="I672" s="14" t="s">
        <v>75</v>
      </c>
      <c r="J672" s="14" t="s">
        <v>201</v>
      </c>
      <c r="K672" s="14">
        <v>1</v>
      </c>
      <c r="L672" s="14" t="s">
        <v>213</v>
      </c>
      <c r="N672" s="14">
        <v>0</v>
      </c>
      <c r="O672" s="14" t="b">
        <v>1</v>
      </c>
      <c r="Q672" s="14" t="b">
        <v>0</v>
      </c>
      <c r="R672" s="14">
        <v>1</v>
      </c>
      <c r="S672" s="14" t="s">
        <v>77</v>
      </c>
      <c r="T672" s="14">
        <v>999</v>
      </c>
      <c r="U672" s="14" t="s">
        <v>214</v>
      </c>
      <c r="V672" s="14">
        <v>31445001</v>
      </c>
      <c r="X672" s="14" t="s">
        <v>204</v>
      </c>
      <c r="Y672" s="14" t="s">
        <v>215</v>
      </c>
      <c r="Z672" s="14">
        <v>20001</v>
      </c>
      <c r="AA672" s="14" t="s">
        <v>205</v>
      </c>
      <c r="AB672" s="14">
        <v>40001</v>
      </c>
      <c r="AE672" s="29" t="s">
        <v>121</v>
      </c>
      <c r="AF672" s="14" t="s">
        <v>213</v>
      </c>
      <c r="AG672" s="14" t="s">
        <v>95</v>
      </c>
    </row>
    <row r="673" spans="2:33">
      <c r="B673" s="14">
        <f>10000000+INDEX(编号表!$B:$B,MATCH(H673,编号表!$A:$A,0))*100000+INDEX(编号表!$F:$F,MATCH(D673,编号表!$E:$E,0))*10000+INDEX(编号表!$D:$D,MATCH(AG673,编号表!$C:$C,0))*1000+F673</f>
        <v>11445002</v>
      </c>
      <c r="C673" s="14" t="s">
        <v>833</v>
      </c>
      <c r="D673" s="14" t="s">
        <v>104</v>
      </c>
      <c r="E673" s="14" t="s">
        <v>95</v>
      </c>
      <c r="F673" s="14">
        <v>2</v>
      </c>
      <c r="G673" s="14">
        <v>60</v>
      </c>
      <c r="H673" s="31" t="s">
        <v>239</v>
      </c>
      <c r="I673" s="14" t="s">
        <v>75</v>
      </c>
      <c r="J673" s="14" t="s">
        <v>201</v>
      </c>
      <c r="K673" s="14">
        <v>1</v>
      </c>
      <c r="L673" s="14" t="s">
        <v>213</v>
      </c>
      <c r="N673" s="14">
        <v>0</v>
      </c>
      <c r="O673" s="14" t="b">
        <v>1</v>
      </c>
      <c r="Q673" s="14" t="b">
        <v>0</v>
      </c>
      <c r="R673" s="14">
        <v>1</v>
      </c>
      <c r="S673" s="14" t="s">
        <v>77</v>
      </c>
      <c r="T673" s="14">
        <v>999</v>
      </c>
      <c r="U673" s="14" t="s">
        <v>214</v>
      </c>
      <c r="V673" s="14">
        <v>31445002</v>
      </c>
      <c r="X673" s="14" t="s">
        <v>204</v>
      </c>
      <c r="Y673" s="14" t="s">
        <v>215</v>
      </c>
      <c r="Z673" s="14">
        <v>20001</v>
      </c>
      <c r="AA673" s="14" t="s">
        <v>205</v>
      </c>
      <c r="AB673" s="14">
        <v>40001</v>
      </c>
      <c r="AE673" s="29" t="s">
        <v>121</v>
      </c>
      <c r="AF673" s="14" t="s">
        <v>213</v>
      </c>
      <c r="AG673" s="14" t="s">
        <v>95</v>
      </c>
    </row>
    <row r="674" spans="2:33">
      <c r="B674" s="14">
        <f>10000000+INDEX(编号表!$B:$B,MATCH(H674,编号表!$A:$A,0))*100000+INDEX(编号表!$F:$F,MATCH(D674,编号表!$E:$E,0))*10000+INDEX(编号表!$D:$D,MATCH(AG674,编号表!$C:$C,0))*1000+F674</f>
        <v>11445003</v>
      </c>
      <c r="C674" s="14" t="s">
        <v>834</v>
      </c>
      <c r="D674" s="14" t="s">
        <v>104</v>
      </c>
      <c r="E674" s="14" t="s">
        <v>95</v>
      </c>
      <c r="F674" s="14">
        <v>3</v>
      </c>
      <c r="G674" s="14">
        <v>60</v>
      </c>
      <c r="H674" s="31" t="s">
        <v>239</v>
      </c>
      <c r="I674" s="14" t="s">
        <v>75</v>
      </c>
      <c r="J674" s="14" t="s">
        <v>201</v>
      </c>
      <c r="K674" s="14">
        <v>1</v>
      </c>
      <c r="L674" s="14" t="s">
        <v>213</v>
      </c>
      <c r="N674" s="14">
        <v>0</v>
      </c>
      <c r="O674" s="14" t="b">
        <v>1</v>
      </c>
      <c r="Q674" s="14" t="b">
        <v>0</v>
      </c>
      <c r="R674" s="14">
        <v>1</v>
      </c>
      <c r="S674" s="14" t="s">
        <v>77</v>
      </c>
      <c r="T674" s="14">
        <v>999</v>
      </c>
      <c r="U674" s="14" t="s">
        <v>214</v>
      </c>
      <c r="V674" s="14">
        <v>31445003</v>
      </c>
      <c r="X674" s="14" t="s">
        <v>204</v>
      </c>
      <c r="Y674" s="14" t="s">
        <v>215</v>
      </c>
      <c r="Z674" s="14">
        <v>20001</v>
      </c>
      <c r="AA674" s="14" t="s">
        <v>205</v>
      </c>
      <c r="AB674" s="14">
        <v>40001</v>
      </c>
      <c r="AE674" s="29" t="s">
        <v>121</v>
      </c>
      <c r="AF674" s="14" t="s">
        <v>213</v>
      </c>
      <c r="AG674" s="14" t="s">
        <v>95</v>
      </c>
    </row>
    <row r="675" spans="2:33">
      <c r="B675" s="14">
        <f>10000000+INDEX(编号表!$B:$B,MATCH(H675,编号表!$A:$A,0))*100000+INDEX(编号表!$F:$F,MATCH(D675,编号表!$E:$E,0))*10000+INDEX(编号表!$D:$D,MATCH(AG675,编号表!$C:$C,0))*1000+F675</f>
        <v>11645000</v>
      </c>
      <c r="C675" s="14" t="s">
        <v>835</v>
      </c>
      <c r="D675" s="14" t="s">
        <v>104</v>
      </c>
      <c r="E675" s="14" t="s">
        <v>95</v>
      </c>
      <c r="F675" s="14">
        <v>0</v>
      </c>
      <c r="G675" s="14">
        <v>60</v>
      </c>
      <c r="H675" s="31" t="s">
        <v>244</v>
      </c>
      <c r="I675" s="14" t="s">
        <v>75</v>
      </c>
      <c r="J675" s="14" t="s">
        <v>201</v>
      </c>
      <c r="K675" s="14">
        <v>1</v>
      </c>
      <c r="L675" s="14" t="s">
        <v>213</v>
      </c>
      <c r="N675" s="14">
        <v>0</v>
      </c>
      <c r="O675" s="14" t="b">
        <v>1</v>
      </c>
      <c r="Q675" s="14" t="b">
        <v>0</v>
      </c>
      <c r="R675" s="14">
        <v>1</v>
      </c>
      <c r="S675" s="14" t="s">
        <v>77</v>
      </c>
      <c r="T675" s="14">
        <v>999</v>
      </c>
      <c r="U675" s="14" t="s">
        <v>214</v>
      </c>
      <c r="V675" s="14">
        <v>31645000</v>
      </c>
      <c r="X675" s="14" t="s">
        <v>204</v>
      </c>
      <c r="Y675" s="14" t="s">
        <v>215</v>
      </c>
      <c r="Z675" s="14">
        <v>20001</v>
      </c>
      <c r="AA675" s="14" t="s">
        <v>205</v>
      </c>
      <c r="AB675" s="14">
        <v>40001</v>
      </c>
      <c r="AE675" s="29" t="s">
        <v>121</v>
      </c>
      <c r="AF675" s="14" t="s">
        <v>213</v>
      </c>
      <c r="AG675" s="14" t="s">
        <v>95</v>
      </c>
    </row>
    <row r="676" spans="2:33">
      <c r="B676" s="14">
        <f>10000000+INDEX(编号表!$B:$B,MATCH(H676,编号表!$A:$A,0))*100000+INDEX(编号表!$F:$F,MATCH(D676,编号表!$E:$E,0))*10000+INDEX(编号表!$D:$D,MATCH(AG676,编号表!$C:$C,0))*1000+F676</f>
        <v>11645001</v>
      </c>
      <c r="C676" s="14" t="s">
        <v>836</v>
      </c>
      <c r="D676" s="14" t="s">
        <v>104</v>
      </c>
      <c r="E676" s="14" t="s">
        <v>95</v>
      </c>
      <c r="F676" s="14">
        <v>1</v>
      </c>
      <c r="G676" s="14">
        <v>60</v>
      </c>
      <c r="H676" s="31" t="s">
        <v>244</v>
      </c>
      <c r="I676" s="14" t="s">
        <v>75</v>
      </c>
      <c r="J676" s="14" t="s">
        <v>201</v>
      </c>
      <c r="K676" s="14">
        <v>1</v>
      </c>
      <c r="L676" s="14" t="s">
        <v>213</v>
      </c>
      <c r="N676" s="14">
        <v>0</v>
      </c>
      <c r="O676" s="14" t="b">
        <v>1</v>
      </c>
      <c r="Q676" s="14" t="b">
        <v>0</v>
      </c>
      <c r="R676" s="14">
        <v>1</v>
      </c>
      <c r="S676" s="14" t="s">
        <v>77</v>
      </c>
      <c r="T676" s="14">
        <v>999</v>
      </c>
      <c r="U676" s="14" t="s">
        <v>214</v>
      </c>
      <c r="V676" s="14">
        <v>31645001</v>
      </c>
      <c r="X676" s="14" t="s">
        <v>204</v>
      </c>
      <c r="Y676" s="14" t="s">
        <v>215</v>
      </c>
      <c r="Z676" s="14">
        <v>20001</v>
      </c>
      <c r="AA676" s="14" t="s">
        <v>205</v>
      </c>
      <c r="AB676" s="14">
        <v>40001</v>
      </c>
      <c r="AE676" s="29" t="s">
        <v>121</v>
      </c>
      <c r="AF676" s="14" t="s">
        <v>213</v>
      </c>
      <c r="AG676" s="14" t="s">
        <v>95</v>
      </c>
    </row>
    <row r="677" spans="2:33">
      <c r="B677" s="14">
        <f>10000000+INDEX(编号表!$B:$B,MATCH(H677,编号表!$A:$A,0))*100000+INDEX(编号表!$F:$F,MATCH(D677,编号表!$E:$E,0))*10000+INDEX(编号表!$D:$D,MATCH(AG677,编号表!$C:$C,0))*1000+F677</f>
        <v>11645002</v>
      </c>
      <c r="C677" s="14" t="s">
        <v>837</v>
      </c>
      <c r="D677" s="14" t="s">
        <v>104</v>
      </c>
      <c r="E677" s="14" t="s">
        <v>95</v>
      </c>
      <c r="F677" s="14">
        <v>2</v>
      </c>
      <c r="G677" s="14">
        <v>60</v>
      </c>
      <c r="H677" s="31" t="s">
        <v>244</v>
      </c>
      <c r="I677" s="14" t="s">
        <v>75</v>
      </c>
      <c r="J677" s="14" t="s">
        <v>201</v>
      </c>
      <c r="K677" s="14">
        <v>1</v>
      </c>
      <c r="L677" s="14" t="s">
        <v>213</v>
      </c>
      <c r="N677" s="14">
        <v>0</v>
      </c>
      <c r="O677" s="14" t="b">
        <v>1</v>
      </c>
      <c r="Q677" s="14" t="b">
        <v>0</v>
      </c>
      <c r="R677" s="14">
        <v>1</v>
      </c>
      <c r="S677" s="14" t="s">
        <v>77</v>
      </c>
      <c r="T677" s="14">
        <v>999</v>
      </c>
      <c r="U677" s="14" t="s">
        <v>214</v>
      </c>
      <c r="V677" s="14">
        <v>31645002</v>
      </c>
      <c r="X677" s="14" t="s">
        <v>204</v>
      </c>
      <c r="Y677" s="14" t="s">
        <v>215</v>
      </c>
      <c r="Z677" s="14">
        <v>20001</v>
      </c>
      <c r="AA677" s="14" t="s">
        <v>205</v>
      </c>
      <c r="AB677" s="14">
        <v>40001</v>
      </c>
      <c r="AE677" s="29" t="s">
        <v>121</v>
      </c>
      <c r="AF677" s="14" t="s">
        <v>213</v>
      </c>
      <c r="AG677" s="14" t="s">
        <v>95</v>
      </c>
    </row>
    <row r="678" spans="2:33">
      <c r="B678" s="14">
        <f>10000000+INDEX(编号表!$B:$B,MATCH(H678,编号表!$A:$A,0))*100000+INDEX(编号表!$F:$F,MATCH(D678,编号表!$E:$E,0))*10000+INDEX(编号表!$D:$D,MATCH(AG678,编号表!$C:$C,0))*1000+F678</f>
        <v>11255000</v>
      </c>
      <c r="C678" s="14" t="s">
        <v>838</v>
      </c>
      <c r="D678" s="14" t="s">
        <v>333</v>
      </c>
      <c r="E678" s="14" t="s">
        <v>95</v>
      </c>
      <c r="F678" s="14">
        <v>0</v>
      </c>
      <c r="G678" s="14">
        <v>60</v>
      </c>
      <c r="H678" s="31" t="s">
        <v>212</v>
      </c>
      <c r="I678" s="14" t="s">
        <v>75</v>
      </c>
      <c r="J678" s="14" t="s">
        <v>201</v>
      </c>
      <c r="K678" s="14">
        <v>1</v>
      </c>
      <c r="L678" s="14" t="s">
        <v>213</v>
      </c>
      <c r="N678" s="14">
        <v>0</v>
      </c>
      <c r="O678" s="14" t="b">
        <v>1</v>
      </c>
      <c r="Q678" s="14" t="b">
        <v>0</v>
      </c>
      <c r="R678" s="14">
        <v>1</v>
      </c>
      <c r="S678" s="14" t="s">
        <v>77</v>
      </c>
      <c r="T678" s="14">
        <v>999</v>
      </c>
      <c r="U678" s="14" t="s">
        <v>214</v>
      </c>
      <c r="V678" s="14">
        <v>31255000</v>
      </c>
      <c r="X678" s="14" t="s">
        <v>204</v>
      </c>
      <c r="Y678" s="14" t="s">
        <v>215</v>
      </c>
      <c r="Z678" s="14">
        <v>20001</v>
      </c>
      <c r="AA678" s="14" t="s">
        <v>205</v>
      </c>
      <c r="AB678" s="14">
        <v>40001</v>
      </c>
      <c r="AE678" s="29" t="s">
        <v>121</v>
      </c>
      <c r="AF678" s="14" t="s">
        <v>213</v>
      </c>
      <c r="AG678" s="14" t="s">
        <v>95</v>
      </c>
    </row>
    <row r="679" spans="2:33">
      <c r="B679" s="14">
        <f>10000000+INDEX(编号表!$B:$B,MATCH(H679,编号表!$A:$A,0))*100000+INDEX(编号表!$F:$F,MATCH(D679,编号表!$E:$E,0))*10000+INDEX(编号表!$D:$D,MATCH(AG679,编号表!$C:$C,0))*1000+F679</f>
        <v>11355000</v>
      </c>
      <c r="C679" s="14" t="s">
        <v>839</v>
      </c>
      <c r="D679" s="14" t="s">
        <v>333</v>
      </c>
      <c r="E679" s="14" t="s">
        <v>95</v>
      </c>
      <c r="F679" s="14">
        <v>0</v>
      </c>
      <c r="G679" s="14">
        <v>60</v>
      </c>
      <c r="H679" s="31" t="s">
        <v>217</v>
      </c>
      <c r="I679" s="14" t="s">
        <v>75</v>
      </c>
      <c r="J679" s="14" t="s">
        <v>201</v>
      </c>
      <c r="K679" s="14">
        <v>1</v>
      </c>
      <c r="L679" s="14" t="s">
        <v>213</v>
      </c>
      <c r="N679" s="14">
        <v>0</v>
      </c>
      <c r="O679" s="14" t="b">
        <v>1</v>
      </c>
      <c r="Q679" s="14" t="b">
        <v>0</v>
      </c>
      <c r="R679" s="14">
        <v>1</v>
      </c>
      <c r="S679" s="14" t="s">
        <v>77</v>
      </c>
      <c r="T679" s="14">
        <v>999</v>
      </c>
      <c r="U679" s="14" t="s">
        <v>214</v>
      </c>
      <c r="V679" s="14">
        <v>31355000</v>
      </c>
      <c r="X679" s="14" t="s">
        <v>204</v>
      </c>
      <c r="Y679" s="14" t="s">
        <v>215</v>
      </c>
      <c r="Z679" s="14">
        <v>20001</v>
      </c>
      <c r="AA679" s="14" t="s">
        <v>205</v>
      </c>
      <c r="AB679" s="14">
        <v>40001</v>
      </c>
      <c r="AE679" s="29" t="s">
        <v>121</v>
      </c>
      <c r="AF679" s="14" t="s">
        <v>213</v>
      </c>
      <c r="AG679" s="14" t="s">
        <v>95</v>
      </c>
    </row>
    <row r="680" spans="2:33">
      <c r="B680" s="14">
        <f>10000000+INDEX(编号表!$B:$B,MATCH(H680,编号表!$A:$A,0))*100000+INDEX(编号表!$F:$F,MATCH(D680,编号表!$E:$E,0))*10000+INDEX(编号表!$D:$D,MATCH(AG680,编号表!$C:$C,0))*1000+F680</f>
        <v>11355001</v>
      </c>
      <c r="C680" s="14" t="s">
        <v>840</v>
      </c>
      <c r="D680" s="14" t="s">
        <v>333</v>
      </c>
      <c r="E680" s="14" t="s">
        <v>95</v>
      </c>
      <c r="F680" s="14">
        <v>1</v>
      </c>
      <c r="G680" s="14">
        <v>60</v>
      </c>
      <c r="H680" s="31" t="s">
        <v>217</v>
      </c>
      <c r="I680" s="14" t="s">
        <v>75</v>
      </c>
      <c r="J680" s="14" t="s">
        <v>201</v>
      </c>
      <c r="K680" s="14">
        <v>1</v>
      </c>
      <c r="L680" s="14" t="s">
        <v>213</v>
      </c>
      <c r="N680" s="14">
        <v>0</v>
      </c>
      <c r="O680" s="14" t="b">
        <v>1</v>
      </c>
      <c r="Q680" s="14" t="b">
        <v>0</v>
      </c>
      <c r="R680" s="14">
        <v>1</v>
      </c>
      <c r="S680" s="14" t="s">
        <v>77</v>
      </c>
      <c r="T680" s="14">
        <v>999</v>
      </c>
      <c r="U680" s="14" t="s">
        <v>214</v>
      </c>
      <c r="V680" s="14">
        <v>31355001</v>
      </c>
      <c r="X680" s="14" t="s">
        <v>204</v>
      </c>
      <c r="Y680" s="14" t="s">
        <v>215</v>
      </c>
      <c r="Z680" s="14">
        <v>20001</v>
      </c>
      <c r="AA680" s="14" t="s">
        <v>205</v>
      </c>
      <c r="AB680" s="14">
        <v>40001</v>
      </c>
      <c r="AE680" s="29" t="s">
        <v>121</v>
      </c>
      <c r="AF680" s="14" t="s">
        <v>213</v>
      </c>
      <c r="AG680" s="14" t="s">
        <v>95</v>
      </c>
    </row>
    <row r="681" spans="2:33">
      <c r="B681" s="14">
        <f>10000000+INDEX(编号表!$B:$B,MATCH(H681,编号表!$A:$A,0))*100000+INDEX(编号表!$F:$F,MATCH(D681,编号表!$E:$E,0))*10000+INDEX(编号表!$D:$D,MATCH(AG681,编号表!$C:$C,0))*1000+F681</f>
        <v>11355002</v>
      </c>
      <c r="C681" s="14" t="s">
        <v>841</v>
      </c>
      <c r="D681" s="14" t="s">
        <v>333</v>
      </c>
      <c r="E681" s="14" t="s">
        <v>95</v>
      </c>
      <c r="F681" s="14">
        <v>2</v>
      </c>
      <c r="G681" s="14">
        <v>60</v>
      </c>
      <c r="H681" s="31" t="s">
        <v>217</v>
      </c>
      <c r="I681" s="14" t="s">
        <v>75</v>
      </c>
      <c r="J681" s="14" t="s">
        <v>201</v>
      </c>
      <c r="K681" s="14">
        <v>1</v>
      </c>
      <c r="L681" s="14" t="s">
        <v>213</v>
      </c>
      <c r="N681" s="14">
        <v>0</v>
      </c>
      <c r="O681" s="14" t="b">
        <v>1</v>
      </c>
      <c r="Q681" s="14" t="b">
        <v>0</v>
      </c>
      <c r="R681" s="14">
        <v>1</v>
      </c>
      <c r="S681" s="14" t="s">
        <v>77</v>
      </c>
      <c r="T681" s="14">
        <v>999</v>
      </c>
      <c r="U681" s="14" t="s">
        <v>214</v>
      </c>
      <c r="V681" s="14">
        <v>31355002</v>
      </c>
      <c r="X681" s="14" t="s">
        <v>204</v>
      </c>
      <c r="Y681" s="14" t="s">
        <v>215</v>
      </c>
      <c r="Z681" s="14">
        <v>20001</v>
      </c>
      <c r="AA681" s="14" t="s">
        <v>205</v>
      </c>
      <c r="AB681" s="14">
        <v>40001</v>
      </c>
      <c r="AE681" s="29" t="s">
        <v>121</v>
      </c>
      <c r="AF681" s="14" t="s">
        <v>213</v>
      </c>
      <c r="AG681" s="14" t="s">
        <v>95</v>
      </c>
    </row>
    <row r="682" spans="2:33">
      <c r="B682" s="14">
        <f>10000000+INDEX(编号表!$B:$B,MATCH(H682,编号表!$A:$A,0))*100000+INDEX(编号表!$F:$F,MATCH(D682,编号表!$E:$E,0))*10000+INDEX(编号表!$D:$D,MATCH(AG682,编号表!$C:$C,0))*1000+F682</f>
        <v>11355003</v>
      </c>
      <c r="C682" s="14" t="s">
        <v>842</v>
      </c>
      <c r="D682" s="14" t="s">
        <v>333</v>
      </c>
      <c r="E682" s="14" t="s">
        <v>95</v>
      </c>
      <c r="F682" s="14">
        <v>3</v>
      </c>
      <c r="G682" s="14">
        <v>60</v>
      </c>
      <c r="H682" s="31" t="s">
        <v>217</v>
      </c>
      <c r="I682" s="14" t="s">
        <v>75</v>
      </c>
      <c r="J682" s="14" t="s">
        <v>201</v>
      </c>
      <c r="K682" s="14">
        <v>1</v>
      </c>
      <c r="L682" s="14" t="s">
        <v>213</v>
      </c>
      <c r="N682" s="14">
        <v>0</v>
      </c>
      <c r="O682" s="14" t="b">
        <v>1</v>
      </c>
      <c r="Q682" s="14" t="b">
        <v>0</v>
      </c>
      <c r="R682" s="14">
        <v>1</v>
      </c>
      <c r="S682" s="14" t="s">
        <v>77</v>
      </c>
      <c r="T682" s="14">
        <v>999</v>
      </c>
      <c r="U682" s="14" t="s">
        <v>214</v>
      </c>
      <c r="V682" s="14">
        <v>31355003</v>
      </c>
      <c r="X682" s="14" t="s">
        <v>204</v>
      </c>
      <c r="Y682" s="14" t="s">
        <v>215</v>
      </c>
      <c r="Z682" s="14">
        <v>20001</v>
      </c>
      <c r="AA682" s="14" t="s">
        <v>205</v>
      </c>
      <c r="AB682" s="14">
        <v>40001</v>
      </c>
      <c r="AE682" s="29" t="s">
        <v>121</v>
      </c>
      <c r="AF682" s="14" t="s">
        <v>213</v>
      </c>
      <c r="AG682" s="14" t="s">
        <v>95</v>
      </c>
    </row>
    <row r="683" spans="2:33">
      <c r="B683" s="14">
        <f>10000000+INDEX(编号表!$B:$B,MATCH(H683,编号表!$A:$A,0))*100000+INDEX(编号表!$F:$F,MATCH(D683,编号表!$E:$E,0))*10000+INDEX(编号表!$D:$D,MATCH(AG683,编号表!$C:$C,0))*1000+F683</f>
        <v>11355004</v>
      </c>
      <c r="C683" s="14" t="s">
        <v>843</v>
      </c>
      <c r="D683" s="14" t="s">
        <v>333</v>
      </c>
      <c r="E683" s="14" t="s">
        <v>95</v>
      </c>
      <c r="F683" s="14">
        <v>4</v>
      </c>
      <c r="G683" s="14">
        <v>60</v>
      </c>
      <c r="H683" s="31" t="s">
        <v>217</v>
      </c>
      <c r="I683" s="14" t="s">
        <v>75</v>
      </c>
      <c r="J683" s="14" t="s">
        <v>201</v>
      </c>
      <c r="K683" s="14">
        <v>1</v>
      </c>
      <c r="L683" s="14" t="s">
        <v>213</v>
      </c>
      <c r="N683" s="14">
        <v>0</v>
      </c>
      <c r="O683" s="14" t="b">
        <v>1</v>
      </c>
      <c r="Q683" s="14" t="b">
        <v>0</v>
      </c>
      <c r="R683" s="14">
        <v>1</v>
      </c>
      <c r="S683" s="14" t="s">
        <v>77</v>
      </c>
      <c r="T683" s="14">
        <v>999</v>
      </c>
      <c r="U683" s="14" t="s">
        <v>214</v>
      </c>
      <c r="V683" s="14">
        <v>31355004</v>
      </c>
      <c r="X683" s="14" t="s">
        <v>204</v>
      </c>
      <c r="Y683" s="14" t="s">
        <v>215</v>
      </c>
      <c r="Z683" s="14">
        <v>20001</v>
      </c>
      <c r="AA683" s="14" t="s">
        <v>205</v>
      </c>
      <c r="AB683" s="14">
        <v>40001</v>
      </c>
      <c r="AE683" s="29" t="s">
        <v>121</v>
      </c>
      <c r="AF683" s="14" t="s">
        <v>213</v>
      </c>
      <c r="AG683" s="14" t="s">
        <v>95</v>
      </c>
    </row>
    <row r="684" spans="2:33">
      <c r="B684" s="14">
        <f>10000000+INDEX(编号表!$B:$B,MATCH(H684,编号表!$A:$A,0))*100000+INDEX(编号表!$F:$F,MATCH(D684,编号表!$E:$E,0))*10000+INDEX(编号表!$D:$D,MATCH(AG684,编号表!$C:$C,0))*1000+F684</f>
        <v>11355005</v>
      </c>
      <c r="C684" s="14" t="s">
        <v>844</v>
      </c>
      <c r="D684" s="14" t="s">
        <v>333</v>
      </c>
      <c r="E684" s="14" t="s">
        <v>95</v>
      </c>
      <c r="F684" s="14">
        <v>5</v>
      </c>
      <c r="G684" s="14">
        <v>60</v>
      </c>
      <c r="H684" s="31" t="s">
        <v>217</v>
      </c>
      <c r="I684" s="14" t="s">
        <v>75</v>
      </c>
      <c r="J684" s="14" t="s">
        <v>201</v>
      </c>
      <c r="K684" s="14">
        <v>1</v>
      </c>
      <c r="L684" s="14" t="s">
        <v>213</v>
      </c>
      <c r="N684" s="14">
        <v>0</v>
      </c>
      <c r="O684" s="14" t="b">
        <v>1</v>
      </c>
      <c r="Q684" s="14" t="b">
        <v>0</v>
      </c>
      <c r="R684" s="14">
        <v>1</v>
      </c>
      <c r="S684" s="14" t="s">
        <v>77</v>
      </c>
      <c r="T684" s="14">
        <v>999</v>
      </c>
      <c r="U684" s="14" t="s">
        <v>214</v>
      </c>
      <c r="V684" s="14">
        <v>31355005</v>
      </c>
      <c r="X684" s="14" t="s">
        <v>204</v>
      </c>
      <c r="Y684" s="14" t="s">
        <v>215</v>
      </c>
      <c r="Z684" s="14">
        <v>20001</v>
      </c>
      <c r="AA684" s="14" t="s">
        <v>205</v>
      </c>
      <c r="AB684" s="14">
        <v>40001</v>
      </c>
      <c r="AE684" s="29" t="s">
        <v>121</v>
      </c>
      <c r="AF684" s="14" t="s">
        <v>213</v>
      </c>
      <c r="AG684" s="14" t="s">
        <v>95</v>
      </c>
    </row>
    <row r="685" spans="2:33">
      <c r="B685" s="14">
        <f>10000000+INDEX(编号表!$B:$B,MATCH(H685,编号表!$A:$A,0))*100000+INDEX(编号表!$F:$F,MATCH(D685,编号表!$E:$E,0))*10000+INDEX(编号表!$D:$D,MATCH(AG685,编号表!$C:$C,0))*1000+F685</f>
        <v>11355006</v>
      </c>
      <c r="C685" s="14" t="s">
        <v>845</v>
      </c>
      <c r="D685" s="14" t="s">
        <v>333</v>
      </c>
      <c r="E685" s="14" t="s">
        <v>95</v>
      </c>
      <c r="F685" s="14">
        <v>6</v>
      </c>
      <c r="G685" s="14">
        <v>60</v>
      </c>
      <c r="H685" s="31" t="s">
        <v>217</v>
      </c>
      <c r="I685" s="14" t="s">
        <v>75</v>
      </c>
      <c r="J685" s="14" t="s">
        <v>201</v>
      </c>
      <c r="K685" s="14">
        <v>1</v>
      </c>
      <c r="L685" s="14" t="s">
        <v>213</v>
      </c>
      <c r="N685" s="14">
        <v>0</v>
      </c>
      <c r="O685" s="14" t="b">
        <v>1</v>
      </c>
      <c r="Q685" s="14" t="b">
        <v>0</v>
      </c>
      <c r="R685" s="14">
        <v>1</v>
      </c>
      <c r="S685" s="14" t="s">
        <v>77</v>
      </c>
      <c r="T685" s="14">
        <v>999</v>
      </c>
      <c r="U685" s="14" t="s">
        <v>214</v>
      </c>
      <c r="V685" s="14">
        <v>31355006</v>
      </c>
      <c r="X685" s="14" t="s">
        <v>204</v>
      </c>
      <c r="Y685" s="14" t="s">
        <v>215</v>
      </c>
      <c r="Z685" s="14">
        <v>20001</v>
      </c>
      <c r="AA685" s="14" t="s">
        <v>205</v>
      </c>
      <c r="AB685" s="14">
        <v>40001</v>
      </c>
      <c r="AE685" s="29" t="s">
        <v>121</v>
      </c>
      <c r="AF685" s="14" t="s">
        <v>213</v>
      </c>
      <c r="AG685" s="14" t="s">
        <v>95</v>
      </c>
    </row>
    <row r="686" spans="2:33">
      <c r="B686" s="14">
        <f>10000000+INDEX(编号表!$B:$B,MATCH(H686,编号表!$A:$A,0))*100000+INDEX(编号表!$F:$F,MATCH(D686,编号表!$E:$E,0))*10000+INDEX(编号表!$D:$D,MATCH(AG686,编号表!$C:$C,0))*1000+F686</f>
        <v>11355007</v>
      </c>
      <c r="C686" s="14" t="s">
        <v>846</v>
      </c>
      <c r="D686" s="14" t="s">
        <v>333</v>
      </c>
      <c r="E686" s="14" t="s">
        <v>95</v>
      </c>
      <c r="F686" s="14">
        <v>7</v>
      </c>
      <c r="G686" s="14">
        <v>60</v>
      </c>
      <c r="H686" s="31" t="s">
        <v>217</v>
      </c>
      <c r="I686" s="14" t="s">
        <v>75</v>
      </c>
      <c r="J686" s="14" t="s">
        <v>201</v>
      </c>
      <c r="K686" s="14">
        <v>1</v>
      </c>
      <c r="L686" s="14" t="s">
        <v>213</v>
      </c>
      <c r="N686" s="14">
        <v>0</v>
      </c>
      <c r="O686" s="14" t="b">
        <v>1</v>
      </c>
      <c r="Q686" s="14" t="b">
        <v>0</v>
      </c>
      <c r="R686" s="14">
        <v>1</v>
      </c>
      <c r="S686" s="14" t="s">
        <v>77</v>
      </c>
      <c r="T686" s="14">
        <v>999</v>
      </c>
      <c r="U686" s="14" t="s">
        <v>214</v>
      </c>
      <c r="V686" s="14">
        <v>31355007</v>
      </c>
      <c r="X686" s="14" t="s">
        <v>204</v>
      </c>
      <c r="Y686" s="14" t="s">
        <v>215</v>
      </c>
      <c r="Z686" s="14">
        <v>20001</v>
      </c>
      <c r="AA686" s="14" t="s">
        <v>205</v>
      </c>
      <c r="AB686" s="14">
        <v>40001</v>
      </c>
      <c r="AE686" s="29" t="s">
        <v>121</v>
      </c>
      <c r="AF686" s="14" t="s">
        <v>213</v>
      </c>
      <c r="AG686" s="14" t="s">
        <v>95</v>
      </c>
    </row>
    <row r="687" spans="2:33">
      <c r="B687" s="14">
        <f>10000000+INDEX(编号表!$B:$B,MATCH(H687,编号表!$A:$A,0))*100000+INDEX(编号表!$F:$F,MATCH(D687,编号表!$E:$E,0))*10000+INDEX(编号表!$D:$D,MATCH(AG687,编号表!$C:$C,0))*1000+F687</f>
        <v>11355008</v>
      </c>
      <c r="C687" s="14" t="s">
        <v>847</v>
      </c>
      <c r="D687" s="14" t="s">
        <v>333</v>
      </c>
      <c r="E687" s="14" t="s">
        <v>95</v>
      </c>
      <c r="F687" s="14">
        <v>8</v>
      </c>
      <c r="G687" s="14">
        <v>60</v>
      </c>
      <c r="H687" s="31" t="s">
        <v>217</v>
      </c>
      <c r="I687" s="14" t="s">
        <v>75</v>
      </c>
      <c r="J687" s="14" t="s">
        <v>201</v>
      </c>
      <c r="K687" s="14">
        <v>1</v>
      </c>
      <c r="L687" s="14" t="s">
        <v>213</v>
      </c>
      <c r="N687" s="14">
        <v>0</v>
      </c>
      <c r="O687" s="14" t="b">
        <v>1</v>
      </c>
      <c r="Q687" s="14" t="b">
        <v>0</v>
      </c>
      <c r="R687" s="14">
        <v>1</v>
      </c>
      <c r="S687" s="14" t="s">
        <v>77</v>
      </c>
      <c r="T687" s="14">
        <v>999</v>
      </c>
      <c r="U687" s="14" t="s">
        <v>214</v>
      </c>
      <c r="V687" s="14">
        <v>31355008</v>
      </c>
      <c r="X687" s="14" t="s">
        <v>204</v>
      </c>
      <c r="Y687" s="14" t="s">
        <v>215</v>
      </c>
      <c r="Z687" s="14">
        <v>20001</v>
      </c>
      <c r="AA687" s="14" t="s">
        <v>205</v>
      </c>
      <c r="AB687" s="14">
        <v>40001</v>
      </c>
      <c r="AE687" s="29" t="s">
        <v>121</v>
      </c>
      <c r="AF687" s="14" t="s">
        <v>213</v>
      </c>
      <c r="AG687" s="14" t="s">
        <v>95</v>
      </c>
    </row>
    <row r="688" spans="2:33">
      <c r="B688" s="14">
        <f>10000000+INDEX(编号表!$B:$B,MATCH(H688,编号表!$A:$A,0))*100000+INDEX(编号表!$F:$F,MATCH(D688,编号表!$E:$E,0))*10000+INDEX(编号表!$D:$D,MATCH(AG688,编号表!$C:$C,0))*1000+F688</f>
        <v>11355009</v>
      </c>
      <c r="C688" s="14" t="s">
        <v>848</v>
      </c>
      <c r="D688" s="14" t="s">
        <v>333</v>
      </c>
      <c r="E688" s="14" t="s">
        <v>95</v>
      </c>
      <c r="F688" s="14">
        <v>9</v>
      </c>
      <c r="G688" s="14">
        <v>60</v>
      </c>
      <c r="H688" s="31" t="s">
        <v>217</v>
      </c>
      <c r="I688" s="14" t="s">
        <v>75</v>
      </c>
      <c r="J688" s="14" t="s">
        <v>201</v>
      </c>
      <c r="K688" s="14">
        <v>1</v>
      </c>
      <c r="L688" s="14" t="s">
        <v>213</v>
      </c>
      <c r="N688" s="14">
        <v>0</v>
      </c>
      <c r="O688" s="14" t="b">
        <v>1</v>
      </c>
      <c r="Q688" s="14" t="b">
        <v>0</v>
      </c>
      <c r="R688" s="14">
        <v>1</v>
      </c>
      <c r="S688" s="14" t="s">
        <v>77</v>
      </c>
      <c r="T688" s="14">
        <v>999</v>
      </c>
      <c r="U688" s="14" t="s">
        <v>214</v>
      </c>
      <c r="V688" s="14">
        <v>31355009</v>
      </c>
      <c r="X688" s="14" t="s">
        <v>204</v>
      </c>
      <c r="Y688" s="14" t="s">
        <v>215</v>
      </c>
      <c r="Z688" s="14">
        <v>20001</v>
      </c>
      <c r="AA688" s="14" t="s">
        <v>205</v>
      </c>
      <c r="AB688" s="14">
        <v>40001</v>
      </c>
      <c r="AE688" s="29" t="s">
        <v>121</v>
      </c>
      <c r="AF688" s="14" t="s">
        <v>213</v>
      </c>
      <c r="AG688" s="14" t="s">
        <v>95</v>
      </c>
    </row>
    <row r="689" spans="2:33">
      <c r="B689" s="14">
        <f>10000000+INDEX(编号表!$B:$B,MATCH(H689,编号表!$A:$A,0))*100000+INDEX(编号表!$F:$F,MATCH(D689,编号表!$E:$E,0))*10000+INDEX(编号表!$D:$D,MATCH(AG689,编号表!$C:$C,0))*1000+F689</f>
        <v>11555000</v>
      </c>
      <c r="C689" s="14" t="s">
        <v>849</v>
      </c>
      <c r="D689" s="14" t="s">
        <v>333</v>
      </c>
      <c r="E689" s="14" t="s">
        <v>95</v>
      </c>
      <c r="F689" s="14">
        <v>0</v>
      </c>
      <c r="G689" s="14">
        <v>60</v>
      </c>
      <c r="H689" s="31" t="s">
        <v>228</v>
      </c>
      <c r="I689" s="14" t="s">
        <v>75</v>
      </c>
      <c r="J689" s="14" t="s">
        <v>201</v>
      </c>
      <c r="K689" s="14">
        <v>1</v>
      </c>
      <c r="L689" s="14" t="s">
        <v>213</v>
      </c>
      <c r="N689" s="14">
        <v>0</v>
      </c>
      <c r="O689" s="14" t="b">
        <v>1</v>
      </c>
      <c r="Q689" s="14" t="b">
        <v>0</v>
      </c>
      <c r="R689" s="14">
        <v>1</v>
      </c>
      <c r="S689" s="14" t="s">
        <v>77</v>
      </c>
      <c r="T689" s="14">
        <v>999</v>
      </c>
      <c r="U689" s="14" t="s">
        <v>214</v>
      </c>
      <c r="V689" s="14">
        <v>31555000</v>
      </c>
      <c r="X689" s="14" t="s">
        <v>204</v>
      </c>
      <c r="Y689" s="14" t="s">
        <v>215</v>
      </c>
      <c r="Z689" s="14">
        <v>20001</v>
      </c>
      <c r="AA689" s="14" t="s">
        <v>205</v>
      </c>
      <c r="AB689" s="14">
        <v>40001</v>
      </c>
      <c r="AE689" s="29" t="s">
        <v>121</v>
      </c>
      <c r="AF689" s="14" t="s">
        <v>213</v>
      </c>
      <c r="AG689" s="14" t="s">
        <v>95</v>
      </c>
    </row>
    <row r="690" spans="2:33">
      <c r="B690" s="14">
        <f>10000000+INDEX(编号表!$B:$B,MATCH(H690,编号表!$A:$A,0))*100000+INDEX(编号表!$F:$F,MATCH(D690,编号表!$E:$E,0))*10000+INDEX(编号表!$D:$D,MATCH(AG690,编号表!$C:$C,0))*1000+F690</f>
        <v>11555001</v>
      </c>
      <c r="C690" s="14" t="s">
        <v>850</v>
      </c>
      <c r="D690" s="14" t="s">
        <v>333</v>
      </c>
      <c r="E690" s="14" t="s">
        <v>95</v>
      </c>
      <c r="F690" s="14">
        <v>1</v>
      </c>
      <c r="G690" s="14">
        <v>60</v>
      </c>
      <c r="H690" s="31" t="s">
        <v>228</v>
      </c>
      <c r="I690" s="14" t="s">
        <v>75</v>
      </c>
      <c r="J690" s="14" t="s">
        <v>201</v>
      </c>
      <c r="K690" s="14">
        <v>1</v>
      </c>
      <c r="L690" s="14" t="s">
        <v>213</v>
      </c>
      <c r="N690" s="14">
        <v>0</v>
      </c>
      <c r="O690" s="14" t="b">
        <v>1</v>
      </c>
      <c r="Q690" s="14" t="b">
        <v>0</v>
      </c>
      <c r="R690" s="14">
        <v>1</v>
      </c>
      <c r="S690" s="14" t="s">
        <v>77</v>
      </c>
      <c r="T690" s="14">
        <v>999</v>
      </c>
      <c r="U690" s="14" t="s">
        <v>214</v>
      </c>
      <c r="V690" s="14">
        <v>31555001</v>
      </c>
      <c r="X690" s="14" t="s">
        <v>204</v>
      </c>
      <c r="Y690" s="14" t="s">
        <v>215</v>
      </c>
      <c r="Z690" s="14">
        <v>20001</v>
      </c>
      <c r="AA690" s="14" t="s">
        <v>205</v>
      </c>
      <c r="AB690" s="14">
        <v>40001</v>
      </c>
      <c r="AE690" s="29" t="s">
        <v>121</v>
      </c>
      <c r="AF690" s="14" t="s">
        <v>213</v>
      </c>
      <c r="AG690" s="14" t="s">
        <v>95</v>
      </c>
    </row>
    <row r="691" spans="2:33">
      <c r="B691" s="14">
        <f>10000000+INDEX(编号表!$B:$B,MATCH(H691,编号表!$A:$A,0))*100000+INDEX(编号表!$F:$F,MATCH(D691,编号表!$E:$E,0))*10000+INDEX(编号表!$D:$D,MATCH(AG691,编号表!$C:$C,0))*1000+F691</f>
        <v>11555002</v>
      </c>
      <c r="C691" s="14" t="s">
        <v>851</v>
      </c>
      <c r="D691" s="14" t="s">
        <v>333</v>
      </c>
      <c r="E691" s="14" t="s">
        <v>95</v>
      </c>
      <c r="F691" s="14">
        <v>2</v>
      </c>
      <c r="G691" s="14">
        <v>60</v>
      </c>
      <c r="H691" s="31" t="s">
        <v>228</v>
      </c>
      <c r="I691" s="14" t="s">
        <v>75</v>
      </c>
      <c r="J691" s="14" t="s">
        <v>201</v>
      </c>
      <c r="K691" s="14">
        <v>1</v>
      </c>
      <c r="L691" s="14" t="s">
        <v>213</v>
      </c>
      <c r="N691" s="14">
        <v>0</v>
      </c>
      <c r="O691" s="14" t="b">
        <v>1</v>
      </c>
      <c r="Q691" s="14" t="b">
        <v>0</v>
      </c>
      <c r="R691" s="14">
        <v>1</v>
      </c>
      <c r="S691" s="14" t="s">
        <v>77</v>
      </c>
      <c r="T691" s="14">
        <v>999</v>
      </c>
      <c r="U691" s="14" t="s">
        <v>214</v>
      </c>
      <c r="V691" s="14">
        <v>31555002</v>
      </c>
      <c r="X691" s="14" t="s">
        <v>204</v>
      </c>
      <c r="Y691" s="14" t="s">
        <v>215</v>
      </c>
      <c r="Z691" s="14">
        <v>20001</v>
      </c>
      <c r="AA691" s="14" t="s">
        <v>205</v>
      </c>
      <c r="AB691" s="14">
        <v>40001</v>
      </c>
      <c r="AE691" s="29" t="s">
        <v>121</v>
      </c>
      <c r="AF691" s="14" t="s">
        <v>213</v>
      </c>
      <c r="AG691" s="14" t="s">
        <v>95</v>
      </c>
    </row>
    <row r="692" spans="2:33">
      <c r="B692" s="14">
        <f>10000000+INDEX(编号表!$B:$B,MATCH(H692,编号表!$A:$A,0))*100000+INDEX(编号表!$F:$F,MATCH(D692,编号表!$E:$E,0))*10000+INDEX(编号表!$D:$D,MATCH(AG692,编号表!$C:$C,0))*1000+F692</f>
        <v>11555003</v>
      </c>
      <c r="C692" s="14" t="s">
        <v>852</v>
      </c>
      <c r="D692" s="14" t="s">
        <v>333</v>
      </c>
      <c r="E692" s="14" t="s">
        <v>95</v>
      </c>
      <c r="F692" s="14">
        <v>3</v>
      </c>
      <c r="G692" s="14">
        <v>60</v>
      </c>
      <c r="H692" s="31" t="s">
        <v>228</v>
      </c>
      <c r="I692" s="14" t="s">
        <v>75</v>
      </c>
      <c r="J692" s="14" t="s">
        <v>201</v>
      </c>
      <c r="K692" s="14">
        <v>1</v>
      </c>
      <c r="L692" s="14" t="s">
        <v>213</v>
      </c>
      <c r="N692" s="14">
        <v>0</v>
      </c>
      <c r="O692" s="14" t="b">
        <v>1</v>
      </c>
      <c r="Q692" s="14" t="b">
        <v>0</v>
      </c>
      <c r="R692" s="14">
        <v>1</v>
      </c>
      <c r="S692" s="14" t="s">
        <v>77</v>
      </c>
      <c r="T692" s="14">
        <v>999</v>
      </c>
      <c r="U692" s="14" t="s">
        <v>214</v>
      </c>
      <c r="V692" s="14">
        <v>31555003</v>
      </c>
      <c r="X692" s="14" t="s">
        <v>204</v>
      </c>
      <c r="Y692" s="14" t="s">
        <v>215</v>
      </c>
      <c r="Z692" s="14">
        <v>20001</v>
      </c>
      <c r="AA692" s="14" t="s">
        <v>205</v>
      </c>
      <c r="AB692" s="14">
        <v>40001</v>
      </c>
      <c r="AE692" s="29" t="s">
        <v>121</v>
      </c>
      <c r="AF692" s="14" t="s">
        <v>213</v>
      </c>
      <c r="AG692" s="14" t="s">
        <v>95</v>
      </c>
    </row>
    <row r="693" spans="2:33">
      <c r="B693" s="14">
        <f>10000000+INDEX(编号表!$B:$B,MATCH(H693,编号表!$A:$A,0))*100000+INDEX(编号表!$F:$F,MATCH(D693,编号表!$E:$E,0))*10000+INDEX(编号表!$D:$D,MATCH(AG693,编号表!$C:$C,0))*1000+F693</f>
        <v>11555004</v>
      </c>
      <c r="C693" s="14" t="s">
        <v>853</v>
      </c>
      <c r="D693" s="14" t="s">
        <v>333</v>
      </c>
      <c r="E693" s="14" t="s">
        <v>95</v>
      </c>
      <c r="F693" s="14">
        <v>4</v>
      </c>
      <c r="G693" s="14">
        <v>60</v>
      </c>
      <c r="H693" s="31" t="s">
        <v>228</v>
      </c>
      <c r="I693" s="14" t="s">
        <v>75</v>
      </c>
      <c r="J693" s="14" t="s">
        <v>201</v>
      </c>
      <c r="K693" s="14">
        <v>1</v>
      </c>
      <c r="L693" s="14" t="s">
        <v>213</v>
      </c>
      <c r="N693" s="14">
        <v>0</v>
      </c>
      <c r="O693" s="14" t="b">
        <v>1</v>
      </c>
      <c r="Q693" s="14" t="b">
        <v>0</v>
      </c>
      <c r="R693" s="14">
        <v>1</v>
      </c>
      <c r="S693" s="14" t="s">
        <v>77</v>
      </c>
      <c r="T693" s="14">
        <v>999</v>
      </c>
      <c r="U693" s="14" t="s">
        <v>214</v>
      </c>
      <c r="V693" s="14">
        <v>31555004</v>
      </c>
      <c r="X693" s="14" t="s">
        <v>204</v>
      </c>
      <c r="Y693" s="14" t="s">
        <v>215</v>
      </c>
      <c r="Z693" s="14">
        <v>20001</v>
      </c>
      <c r="AA693" s="14" t="s">
        <v>205</v>
      </c>
      <c r="AB693" s="14">
        <v>40001</v>
      </c>
      <c r="AE693" s="29" t="s">
        <v>121</v>
      </c>
      <c r="AF693" s="14" t="s">
        <v>213</v>
      </c>
      <c r="AG693" s="14" t="s">
        <v>95</v>
      </c>
    </row>
    <row r="694" spans="2:33">
      <c r="B694" s="14">
        <f>10000000+INDEX(编号表!$B:$B,MATCH(H694,编号表!$A:$A,0))*100000+INDEX(编号表!$F:$F,MATCH(D694,编号表!$E:$E,0))*10000+INDEX(编号表!$D:$D,MATCH(AG694,编号表!$C:$C,0))*1000+F694</f>
        <v>11555005</v>
      </c>
      <c r="C694" s="14" t="s">
        <v>854</v>
      </c>
      <c r="D694" s="14" t="s">
        <v>333</v>
      </c>
      <c r="E694" s="14" t="s">
        <v>95</v>
      </c>
      <c r="F694" s="14">
        <v>5</v>
      </c>
      <c r="G694" s="14">
        <v>60</v>
      </c>
      <c r="H694" s="31" t="s">
        <v>228</v>
      </c>
      <c r="I694" s="14" t="s">
        <v>75</v>
      </c>
      <c r="J694" s="14" t="s">
        <v>201</v>
      </c>
      <c r="K694" s="14">
        <v>1</v>
      </c>
      <c r="L694" s="14" t="s">
        <v>213</v>
      </c>
      <c r="N694" s="14">
        <v>0</v>
      </c>
      <c r="O694" s="14" t="b">
        <v>1</v>
      </c>
      <c r="Q694" s="14" t="b">
        <v>0</v>
      </c>
      <c r="R694" s="14">
        <v>1</v>
      </c>
      <c r="S694" s="14" t="s">
        <v>77</v>
      </c>
      <c r="T694" s="14">
        <v>999</v>
      </c>
      <c r="U694" s="14" t="s">
        <v>214</v>
      </c>
      <c r="V694" s="14">
        <v>31555005</v>
      </c>
      <c r="X694" s="14" t="s">
        <v>204</v>
      </c>
      <c r="Y694" s="14" t="s">
        <v>215</v>
      </c>
      <c r="Z694" s="14">
        <v>20001</v>
      </c>
      <c r="AA694" s="14" t="s">
        <v>205</v>
      </c>
      <c r="AB694" s="14">
        <v>40001</v>
      </c>
      <c r="AE694" s="29" t="s">
        <v>121</v>
      </c>
      <c r="AF694" s="14" t="s">
        <v>213</v>
      </c>
      <c r="AG694" s="14" t="s">
        <v>95</v>
      </c>
    </row>
    <row r="695" spans="2:33">
      <c r="B695" s="14">
        <f>10000000+INDEX(编号表!$B:$B,MATCH(H695,编号表!$A:$A,0))*100000+INDEX(编号表!$F:$F,MATCH(D695,编号表!$E:$E,0))*10000+INDEX(编号表!$D:$D,MATCH(AG695,编号表!$C:$C,0))*1000+F695</f>
        <v>11555006</v>
      </c>
      <c r="C695" s="14" t="s">
        <v>855</v>
      </c>
      <c r="D695" s="14" t="s">
        <v>333</v>
      </c>
      <c r="E695" s="14" t="s">
        <v>95</v>
      </c>
      <c r="F695" s="14">
        <v>6</v>
      </c>
      <c r="G695" s="14">
        <v>60</v>
      </c>
      <c r="H695" s="31" t="s">
        <v>228</v>
      </c>
      <c r="I695" s="14" t="s">
        <v>75</v>
      </c>
      <c r="J695" s="14" t="s">
        <v>201</v>
      </c>
      <c r="K695" s="14">
        <v>1</v>
      </c>
      <c r="L695" s="14" t="s">
        <v>213</v>
      </c>
      <c r="N695" s="14">
        <v>0</v>
      </c>
      <c r="O695" s="14" t="b">
        <v>1</v>
      </c>
      <c r="Q695" s="14" t="b">
        <v>0</v>
      </c>
      <c r="R695" s="14">
        <v>1</v>
      </c>
      <c r="S695" s="14" t="s">
        <v>77</v>
      </c>
      <c r="T695" s="14">
        <v>999</v>
      </c>
      <c r="U695" s="14" t="s">
        <v>214</v>
      </c>
      <c r="V695" s="14">
        <v>31555006</v>
      </c>
      <c r="X695" s="14" t="s">
        <v>204</v>
      </c>
      <c r="Y695" s="14" t="s">
        <v>215</v>
      </c>
      <c r="Z695" s="14">
        <v>20001</v>
      </c>
      <c r="AA695" s="14" t="s">
        <v>205</v>
      </c>
      <c r="AB695" s="14">
        <v>40001</v>
      </c>
      <c r="AE695" s="29" t="s">
        <v>121</v>
      </c>
      <c r="AF695" s="14" t="s">
        <v>213</v>
      </c>
      <c r="AG695" s="14" t="s">
        <v>95</v>
      </c>
    </row>
    <row r="696" spans="2:33">
      <c r="B696" s="14">
        <f>10000000+INDEX(编号表!$B:$B,MATCH(H696,编号表!$A:$A,0))*100000+INDEX(编号表!$F:$F,MATCH(D696,编号表!$E:$E,0))*10000+INDEX(编号表!$D:$D,MATCH(AG696,编号表!$C:$C,0))*1000+F696</f>
        <v>11555007</v>
      </c>
      <c r="C696" s="14" t="s">
        <v>856</v>
      </c>
      <c r="D696" s="14" t="s">
        <v>333</v>
      </c>
      <c r="E696" s="14" t="s">
        <v>95</v>
      </c>
      <c r="F696" s="14">
        <v>7</v>
      </c>
      <c r="G696" s="14">
        <v>60</v>
      </c>
      <c r="H696" s="31" t="s">
        <v>228</v>
      </c>
      <c r="I696" s="14" t="s">
        <v>75</v>
      </c>
      <c r="J696" s="14" t="s">
        <v>201</v>
      </c>
      <c r="K696" s="14">
        <v>1</v>
      </c>
      <c r="L696" s="14" t="s">
        <v>213</v>
      </c>
      <c r="N696" s="14">
        <v>0</v>
      </c>
      <c r="O696" s="14" t="b">
        <v>1</v>
      </c>
      <c r="Q696" s="14" t="b">
        <v>0</v>
      </c>
      <c r="R696" s="14">
        <v>1</v>
      </c>
      <c r="S696" s="14" t="s">
        <v>77</v>
      </c>
      <c r="T696" s="14">
        <v>999</v>
      </c>
      <c r="U696" s="14" t="s">
        <v>214</v>
      </c>
      <c r="V696" s="14">
        <v>31555007</v>
      </c>
      <c r="X696" s="14" t="s">
        <v>204</v>
      </c>
      <c r="Y696" s="14" t="s">
        <v>215</v>
      </c>
      <c r="Z696" s="14">
        <v>20001</v>
      </c>
      <c r="AA696" s="14" t="s">
        <v>205</v>
      </c>
      <c r="AB696" s="14">
        <v>40001</v>
      </c>
      <c r="AE696" s="29" t="s">
        <v>121</v>
      </c>
      <c r="AF696" s="14" t="s">
        <v>213</v>
      </c>
      <c r="AG696" s="14" t="s">
        <v>95</v>
      </c>
    </row>
    <row r="697" spans="2:33">
      <c r="B697" s="14">
        <f>10000000+INDEX(编号表!$B:$B,MATCH(H697,编号表!$A:$A,0))*100000+INDEX(编号表!$F:$F,MATCH(D697,编号表!$E:$E,0))*10000+INDEX(编号表!$D:$D,MATCH(AG697,编号表!$C:$C,0))*1000+F697</f>
        <v>11555008</v>
      </c>
      <c r="C697" s="14" t="s">
        <v>857</v>
      </c>
      <c r="D697" s="14" t="s">
        <v>333</v>
      </c>
      <c r="E697" s="14" t="s">
        <v>95</v>
      </c>
      <c r="F697" s="14">
        <v>8</v>
      </c>
      <c r="G697" s="14">
        <v>60</v>
      </c>
      <c r="H697" s="31" t="s">
        <v>228</v>
      </c>
      <c r="I697" s="14" t="s">
        <v>75</v>
      </c>
      <c r="J697" s="14" t="s">
        <v>201</v>
      </c>
      <c r="K697" s="14">
        <v>1</v>
      </c>
      <c r="L697" s="14" t="s">
        <v>213</v>
      </c>
      <c r="N697" s="14">
        <v>0</v>
      </c>
      <c r="O697" s="14" t="b">
        <v>1</v>
      </c>
      <c r="Q697" s="14" t="b">
        <v>0</v>
      </c>
      <c r="R697" s="14">
        <v>1</v>
      </c>
      <c r="S697" s="14" t="s">
        <v>77</v>
      </c>
      <c r="T697" s="14">
        <v>999</v>
      </c>
      <c r="U697" s="14" t="s">
        <v>214</v>
      </c>
      <c r="V697" s="14">
        <v>31555008</v>
      </c>
      <c r="X697" s="14" t="s">
        <v>204</v>
      </c>
      <c r="Y697" s="14" t="s">
        <v>215</v>
      </c>
      <c r="Z697" s="14">
        <v>20001</v>
      </c>
      <c r="AA697" s="14" t="s">
        <v>205</v>
      </c>
      <c r="AB697" s="14">
        <v>40001</v>
      </c>
      <c r="AE697" s="29" t="s">
        <v>121</v>
      </c>
      <c r="AF697" s="14" t="s">
        <v>213</v>
      </c>
      <c r="AG697" s="14" t="s">
        <v>95</v>
      </c>
    </row>
    <row r="698" spans="2:33">
      <c r="B698" s="14">
        <f>10000000+INDEX(编号表!$B:$B,MATCH(H698,编号表!$A:$A,0))*100000+INDEX(编号表!$F:$F,MATCH(D698,编号表!$E:$E,0))*10000+INDEX(编号表!$D:$D,MATCH(AG698,编号表!$C:$C,0))*1000+F698</f>
        <v>11555009</v>
      </c>
      <c r="C698" s="14" t="s">
        <v>858</v>
      </c>
      <c r="D698" s="14" t="s">
        <v>333</v>
      </c>
      <c r="E698" s="14" t="s">
        <v>95</v>
      </c>
      <c r="F698" s="14">
        <v>9</v>
      </c>
      <c r="G698" s="14">
        <v>60</v>
      </c>
      <c r="H698" s="31" t="s">
        <v>228</v>
      </c>
      <c r="I698" s="14" t="s">
        <v>75</v>
      </c>
      <c r="J698" s="14" t="s">
        <v>201</v>
      </c>
      <c r="K698" s="14">
        <v>1</v>
      </c>
      <c r="L698" s="14" t="s">
        <v>213</v>
      </c>
      <c r="N698" s="14">
        <v>0</v>
      </c>
      <c r="O698" s="14" t="b">
        <v>1</v>
      </c>
      <c r="Q698" s="14" t="b">
        <v>0</v>
      </c>
      <c r="R698" s="14">
        <v>1</v>
      </c>
      <c r="S698" s="14" t="s">
        <v>77</v>
      </c>
      <c r="T698" s="14">
        <v>999</v>
      </c>
      <c r="U698" s="14" t="s">
        <v>214</v>
      </c>
      <c r="V698" s="14">
        <v>31555009</v>
      </c>
      <c r="X698" s="14" t="s">
        <v>204</v>
      </c>
      <c r="Y698" s="14" t="s">
        <v>215</v>
      </c>
      <c r="Z698" s="14">
        <v>20001</v>
      </c>
      <c r="AA698" s="14" t="s">
        <v>205</v>
      </c>
      <c r="AB698" s="14">
        <v>40001</v>
      </c>
      <c r="AE698" s="29" t="s">
        <v>121</v>
      </c>
      <c r="AF698" s="14" t="s">
        <v>213</v>
      </c>
      <c r="AG698" s="14" t="s">
        <v>95</v>
      </c>
    </row>
    <row r="699" spans="2:33">
      <c r="B699" s="14">
        <f>10000000+INDEX(编号表!$B:$B,MATCH(H699,编号表!$A:$A,0))*100000+INDEX(编号表!$F:$F,MATCH(D699,编号表!$E:$E,0))*10000+INDEX(编号表!$D:$D,MATCH(AG699,编号表!$C:$C,0))*1000+F699</f>
        <v>11455000</v>
      </c>
      <c r="C699" s="14" t="s">
        <v>859</v>
      </c>
      <c r="D699" s="14" t="s">
        <v>333</v>
      </c>
      <c r="E699" s="14" t="s">
        <v>95</v>
      </c>
      <c r="F699" s="14">
        <v>0</v>
      </c>
      <c r="G699" s="14">
        <v>60</v>
      </c>
      <c r="H699" s="31" t="s">
        <v>239</v>
      </c>
      <c r="I699" s="14" t="s">
        <v>75</v>
      </c>
      <c r="J699" s="14" t="s">
        <v>201</v>
      </c>
      <c r="K699" s="14">
        <v>1</v>
      </c>
      <c r="L699" s="14" t="s">
        <v>213</v>
      </c>
      <c r="N699" s="14">
        <v>0</v>
      </c>
      <c r="O699" s="14" t="b">
        <v>1</v>
      </c>
      <c r="Q699" s="14" t="b">
        <v>0</v>
      </c>
      <c r="R699" s="14">
        <v>1</v>
      </c>
      <c r="S699" s="14" t="s">
        <v>77</v>
      </c>
      <c r="T699" s="14">
        <v>999</v>
      </c>
      <c r="U699" s="14" t="s">
        <v>214</v>
      </c>
      <c r="V699" s="14">
        <v>31455000</v>
      </c>
      <c r="X699" s="14" t="s">
        <v>204</v>
      </c>
      <c r="Y699" s="14" t="s">
        <v>215</v>
      </c>
      <c r="Z699" s="14">
        <v>20001</v>
      </c>
      <c r="AA699" s="14" t="s">
        <v>205</v>
      </c>
      <c r="AB699" s="14">
        <v>40001</v>
      </c>
      <c r="AE699" s="29" t="s">
        <v>121</v>
      </c>
      <c r="AF699" s="14" t="s">
        <v>213</v>
      </c>
      <c r="AG699" s="14" t="s">
        <v>95</v>
      </c>
    </row>
    <row r="700" spans="2:33">
      <c r="B700" s="14">
        <f>10000000+INDEX(编号表!$B:$B,MATCH(H700,编号表!$A:$A,0))*100000+INDEX(编号表!$F:$F,MATCH(D700,编号表!$E:$E,0))*10000+INDEX(编号表!$D:$D,MATCH(AG700,编号表!$C:$C,0))*1000+F700</f>
        <v>11455001</v>
      </c>
      <c r="C700" s="14" t="s">
        <v>860</v>
      </c>
      <c r="D700" s="14" t="s">
        <v>333</v>
      </c>
      <c r="E700" s="14" t="s">
        <v>95</v>
      </c>
      <c r="F700" s="14">
        <v>1</v>
      </c>
      <c r="G700" s="14">
        <v>60</v>
      </c>
      <c r="H700" s="31" t="s">
        <v>239</v>
      </c>
      <c r="I700" s="14" t="s">
        <v>75</v>
      </c>
      <c r="J700" s="14" t="s">
        <v>201</v>
      </c>
      <c r="K700" s="14">
        <v>1</v>
      </c>
      <c r="L700" s="14" t="s">
        <v>213</v>
      </c>
      <c r="N700" s="14">
        <v>0</v>
      </c>
      <c r="O700" s="14" t="b">
        <v>1</v>
      </c>
      <c r="Q700" s="14" t="b">
        <v>0</v>
      </c>
      <c r="R700" s="14">
        <v>1</v>
      </c>
      <c r="S700" s="14" t="s">
        <v>77</v>
      </c>
      <c r="T700" s="14">
        <v>999</v>
      </c>
      <c r="U700" s="14" t="s">
        <v>214</v>
      </c>
      <c r="V700" s="14">
        <v>31455001</v>
      </c>
      <c r="X700" s="14" t="s">
        <v>204</v>
      </c>
      <c r="Y700" s="14" t="s">
        <v>215</v>
      </c>
      <c r="Z700" s="14">
        <v>20001</v>
      </c>
      <c r="AA700" s="14" t="s">
        <v>205</v>
      </c>
      <c r="AB700" s="14">
        <v>40001</v>
      </c>
      <c r="AE700" s="29" t="s">
        <v>121</v>
      </c>
      <c r="AF700" s="14" t="s">
        <v>213</v>
      </c>
      <c r="AG700" s="14" t="s">
        <v>95</v>
      </c>
    </row>
    <row r="701" spans="2:33">
      <c r="B701" s="14">
        <f>10000000+INDEX(编号表!$B:$B,MATCH(H701,编号表!$A:$A,0))*100000+INDEX(编号表!$F:$F,MATCH(D701,编号表!$E:$E,0))*10000+INDEX(编号表!$D:$D,MATCH(AG701,编号表!$C:$C,0))*1000+F701</f>
        <v>11455002</v>
      </c>
      <c r="C701" s="14" t="s">
        <v>861</v>
      </c>
      <c r="D701" s="14" t="s">
        <v>333</v>
      </c>
      <c r="E701" s="14" t="s">
        <v>95</v>
      </c>
      <c r="F701" s="14">
        <v>2</v>
      </c>
      <c r="G701" s="14">
        <v>60</v>
      </c>
      <c r="H701" s="31" t="s">
        <v>239</v>
      </c>
      <c r="I701" s="14" t="s">
        <v>75</v>
      </c>
      <c r="J701" s="14" t="s">
        <v>201</v>
      </c>
      <c r="K701" s="14">
        <v>1</v>
      </c>
      <c r="L701" s="14" t="s">
        <v>213</v>
      </c>
      <c r="N701" s="14">
        <v>0</v>
      </c>
      <c r="O701" s="14" t="b">
        <v>1</v>
      </c>
      <c r="Q701" s="14" t="b">
        <v>0</v>
      </c>
      <c r="R701" s="14">
        <v>1</v>
      </c>
      <c r="S701" s="14" t="s">
        <v>77</v>
      </c>
      <c r="T701" s="14">
        <v>999</v>
      </c>
      <c r="U701" s="14" t="s">
        <v>214</v>
      </c>
      <c r="V701" s="14">
        <v>31455002</v>
      </c>
      <c r="X701" s="14" t="s">
        <v>204</v>
      </c>
      <c r="Y701" s="14" t="s">
        <v>215</v>
      </c>
      <c r="Z701" s="14">
        <v>20001</v>
      </c>
      <c r="AA701" s="14" t="s">
        <v>205</v>
      </c>
      <c r="AB701" s="14">
        <v>40001</v>
      </c>
      <c r="AE701" s="29" t="s">
        <v>121</v>
      </c>
      <c r="AF701" s="14" t="s">
        <v>213</v>
      </c>
      <c r="AG701" s="14" t="s">
        <v>95</v>
      </c>
    </row>
    <row r="702" spans="2:33">
      <c r="B702" s="14">
        <f>10000000+INDEX(编号表!$B:$B,MATCH(H702,编号表!$A:$A,0))*100000+INDEX(编号表!$F:$F,MATCH(D702,编号表!$E:$E,0))*10000+INDEX(编号表!$D:$D,MATCH(AG702,编号表!$C:$C,0))*1000+F702</f>
        <v>11455003</v>
      </c>
      <c r="C702" s="14" t="s">
        <v>862</v>
      </c>
      <c r="D702" s="14" t="s">
        <v>333</v>
      </c>
      <c r="E702" s="14" t="s">
        <v>95</v>
      </c>
      <c r="F702" s="14">
        <v>3</v>
      </c>
      <c r="G702" s="14">
        <v>60</v>
      </c>
      <c r="H702" s="31" t="s">
        <v>239</v>
      </c>
      <c r="I702" s="14" t="s">
        <v>75</v>
      </c>
      <c r="J702" s="14" t="s">
        <v>201</v>
      </c>
      <c r="K702" s="14">
        <v>1</v>
      </c>
      <c r="L702" s="14" t="s">
        <v>213</v>
      </c>
      <c r="N702" s="14">
        <v>0</v>
      </c>
      <c r="O702" s="14" t="b">
        <v>1</v>
      </c>
      <c r="Q702" s="14" t="b">
        <v>0</v>
      </c>
      <c r="R702" s="14">
        <v>1</v>
      </c>
      <c r="S702" s="14" t="s">
        <v>77</v>
      </c>
      <c r="T702" s="14">
        <v>999</v>
      </c>
      <c r="U702" s="14" t="s">
        <v>214</v>
      </c>
      <c r="V702" s="14">
        <v>31455003</v>
      </c>
      <c r="X702" s="14" t="s">
        <v>204</v>
      </c>
      <c r="Y702" s="14" t="s">
        <v>215</v>
      </c>
      <c r="Z702" s="14">
        <v>20001</v>
      </c>
      <c r="AA702" s="14" t="s">
        <v>205</v>
      </c>
      <c r="AB702" s="14">
        <v>40001</v>
      </c>
      <c r="AE702" s="29" t="s">
        <v>121</v>
      </c>
      <c r="AF702" s="14" t="s">
        <v>213</v>
      </c>
      <c r="AG702" s="14" t="s">
        <v>95</v>
      </c>
    </row>
    <row r="703" spans="2:33">
      <c r="B703" s="14">
        <f>10000000+INDEX(编号表!$B:$B,MATCH(H703,编号表!$A:$A,0))*100000+INDEX(编号表!$F:$F,MATCH(D703,编号表!$E:$E,0))*10000+INDEX(编号表!$D:$D,MATCH(AG703,编号表!$C:$C,0))*1000+F703</f>
        <v>11655000</v>
      </c>
      <c r="C703" s="14" t="s">
        <v>863</v>
      </c>
      <c r="D703" s="14" t="s">
        <v>333</v>
      </c>
      <c r="E703" s="14" t="s">
        <v>95</v>
      </c>
      <c r="F703" s="14">
        <v>0</v>
      </c>
      <c r="G703" s="14">
        <v>60</v>
      </c>
      <c r="H703" s="31" t="s">
        <v>244</v>
      </c>
      <c r="I703" s="14" t="s">
        <v>75</v>
      </c>
      <c r="J703" s="14" t="s">
        <v>201</v>
      </c>
      <c r="K703" s="14">
        <v>1</v>
      </c>
      <c r="L703" s="14" t="s">
        <v>213</v>
      </c>
      <c r="N703" s="14">
        <v>0</v>
      </c>
      <c r="O703" s="14" t="b">
        <v>1</v>
      </c>
      <c r="Q703" s="14" t="b">
        <v>0</v>
      </c>
      <c r="R703" s="14">
        <v>1</v>
      </c>
      <c r="S703" s="14" t="s">
        <v>77</v>
      </c>
      <c r="T703" s="14">
        <v>999</v>
      </c>
      <c r="U703" s="14" t="s">
        <v>214</v>
      </c>
      <c r="V703" s="14">
        <v>31655000</v>
      </c>
      <c r="X703" s="14" t="s">
        <v>204</v>
      </c>
      <c r="Y703" s="14" t="s">
        <v>215</v>
      </c>
      <c r="Z703" s="14">
        <v>20001</v>
      </c>
      <c r="AA703" s="14" t="s">
        <v>205</v>
      </c>
      <c r="AB703" s="14">
        <v>40001</v>
      </c>
      <c r="AE703" s="29" t="s">
        <v>121</v>
      </c>
      <c r="AF703" s="14" t="s">
        <v>213</v>
      </c>
      <c r="AG703" s="14" t="s">
        <v>95</v>
      </c>
    </row>
    <row r="704" spans="2:33">
      <c r="B704" s="14">
        <f>10000000+INDEX(编号表!$B:$B,MATCH(H704,编号表!$A:$A,0))*100000+INDEX(编号表!$F:$F,MATCH(D704,编号表!$E:$E,0))*10000+INDEX(编号表!$D:$D,MATCH(AG704,编号表!$C:$C,0))*1000+F704</f>
        <v>11655001</v>
      </c>
      <c r="C704" s="14" t="s">
        <v>864</v>
      </c>
      <c r="D704" s="14" t="s">
        <v>333</v>
      </c>
      <c r="E704" s="14" t="s">
        <v>95</v>
      </c>
      <c r="F704" s="14">
        <v>1</v>
      </c>
      <c r="G704" s="14">
        <v>60</v>
      </c>
      <c r="H704" s="31" t="s">
        <v>244</v>
      </c>
      <c r="I704" s="14" t="s">
        <v>75</v>
      </c>
      <c r="J704" s="14" t="s">
        <v>201</v>
      </c>
      <c r="K704" s="14">
        <v>1</v>
      </c>
      <c r="L704" s="14" t="s">
        <v>213</v>
      </c>
      <c r="N704" s="14">
        <v>0</v>
      </c>
      <c r="O704" s="14" t="b">
        <v>1</v>
      </c>
      <c r="Q704" s="14" t="b">
        <v>0</v>
      </c>
      <c r="R704" s="14">
        <v>1</v>
      </c>
      <c r="S704" s="14" t="s">
        <v>77</v>
      </c>
      <c r="T704" s="14">
        <v>999</v>
      </c>
      <c r="U704" s="14" t="s">
        <v>214</v>
      </c>
      <c r="V704" s="14">
        <v>31655001</v>
      </c>
      <c r="X704" s="14" t="s">
        <v>204</v>
      </c>
      <c r="Y704" s="14" t="s">
        <v>215</v>
      </c>
      <c r="Z704" s="14">
        <v>20001</v>
      </c>
      <c r="AA704" s="14" t="s">
        <v>205</v>
      </c>
      <c r="AB704" s="14">
        <v>40001</v>
      </c>
      <c r="AE704" s="29" t="s">
        <v>121</v>
      </c>
      <c r="AF704" s="14" t="s">
        <v>213</v>
      </c>
      <c r="AG704" s="14" t="s">
        <v>95</v>
      </c>
    </row>
    <row r="705" spans="2:33">
      <c r="B705" s="14">
        <f>10000000+INDEX(编号表!$B:$B,MATCH(H705,编号表!$A:$A,0))*100000+INDEX(编号表!$F:$F,MATCH(D705,编号表!$E:$E,0))*10000+INDEX(编号表!$D:$D,MATCH(AG705,编号表!$C:$C,0))*1000+F705</f>
        <v>11655002</v>
      </c>
      <c r="C705" s="14" t="s">
        <v>865</v>
      </c>
      <c r="D705" s="14" t="s">
        <v>333</v>
      </c>
      <c r="E705" s="14" t="s">
        <v>95</v>
      </c>
      <c r="F705" s="14">
        <v>2</v>
      </c>
      <c r="G705" s="14">
        <v>60</v>
      </c>
      <c r="H705" s="31" t="s">
        <v>244</v>
      </c>
      <c r="I705" s="14" t="s">
        <v>75</v>
      </c>
      <c r="J705" s="14" t="s">
        <v>201</v>
      </c>
      <c r="K705" s="14">
        <v>1</v>
      </c>
      <c r="L705" s="14" t="s">
        <v>213</v>
      </c>
      <c r="N705" s="14">
        <v>0</v>
      </c>
      <c r="O705" s="14" t="b">
        <v>1</v>
      </c>
      <c r="Q705" s="14" t="b">
        <v>0</v>
      </c>
      <c r="R705" s="14">
        <v>1</v>
      </c>
      <c r="S705" s="14" t="s">
        <v>77</v>
      </c>
      <c r="T705" s="14">
        <v>999</v>
      </c>
      <c r="U705" s="14" t="s">
        <v>214</v>
      </c>
      <c r="V705" s="14">
        <v>31655002</v>
      </c>
      <c r="X705" s="14" t="s">
        <v>204</v>
      </c>
      <c r="Y705" s="14" t="s">
        <v>215</v>
      </c>
      <c r="Z705" s="14">
        <v>20001</v>
      </c>
      <c r="AA705" s="14" t="s">
        <v>205</v>
      </c>
      <c r="AB705" s="14">
        <v>40001</v>
      </c>
      <c r="AE705" s="29" t="s">
        <v>121</v>
      </c>
      <c r="AF705" s="14" t="s">
        <v>213</v>
      </c>
      <c r="AG705" s="14" t="s">
        <v>95</v>
      </c>
    </row>
    <row r="706" spans="2:33">
      <c r="B706" s="14">
        <f>10000000+INDEX(编号表!$B:$B,MATCH(H706,编号表!$A:$A,0))*100000+INDEX(编号表!$F:$F,MATCH(D706,编号表!$E:$E,0))*10000+INDEX(编号表!$D:$D,MATCH(AG706,编号表!$C:$C,0))*1000+F706</f>
        <v>11265000</v>
      </c>
      <c r="C706" s="14" t="s">
        <v>866</v>
      </c>
      <c r="D706" s="14" t="s">
        <v>362</v>
      </c>
      <c r="E706" s="14" t="s">
        <v>95</v>
      </c>
      <c r="F706" s="14">
        <v>0</v>
      </c>
      <c r="G706" s="14">
        <v>60</v>
      </c>
      <c r="H706" s="31" t="s">
        <v>212</v>
      </c>
      <c r="I706" s="14" t="s">
        <v>75</v>
      </c>
      <c r="J706" s="14" t="s">
        <v>201</v>
      </c>
      <c r="K706" s="14">
        <v>1</v>
      </c>
      <c r="L706" s="14" t="s">
        <v>213</v>
      </c>
      <c r="N706" s="14">
        <v>0</v>
      </c>
      <c r="O706" s="14" t="b">
        <v>1</v>
      </c>
      <c r="Q706" s="14" t="b">
        <v>0</v>
      </c>
      <c r="R706" s="14">
        <v>1</v>
      </c>
      <c r="S706" s="14" t="s">
        <v>77</v>
      </c>
      <c r="T706" s="14">
        <v>999</v>
      </c>
      <c r="U706" s="14" t="s">
        <v>214</v>
      </c>
      <c r="V706" s="14">
        <v>31265000</v>
      </c>
      <c r="X706" s="14" t="s">
        <v>204</v>
      </c>
      <c r="Y706" s="14" t="s">
        <v>215</v>
      </c>
      <c r="Z706" s="14">
        <v>20001</v>
      </c>
      <c r="AA706" s="14" t="s">
        <v>205</v>
      </c>
      <c r="AB706" s="14">
        <v>40001</v>
      </c>
      <c r="AE706" s="29" t="s">
        <v>121</v>
      </c>
      <c r="AF706" s="14" t="s">
        <v>213</v>
      </c>
      <c r="AG706" s="14" t="s">
        <v>95</v>
      </c>
    </row>
    <row r="707" spans="2:33">
      <c r="B707" s="14">
        <f>10000000+INDEX(编号表!$B:$B,MATCH(H707,编号表!$A:$A,0))*100000+INDEX(编号表!$F:$F,MATCH(D707,编号表!$E:$E,0))*10000+INDEX(编号表!$D:$D,MATCH(AG707,编号表!$C:$C,0))*1000+F707</f>
        <v>11365000</v>
      </c>
      <c r="C707" s="14" t="s">
        <v>867</v>
      </c>
      <c r="D707" s="14" t="s">
        <v>362</v>
      </c>
      <c r="E707" s="14" t="s">
        <v>95</v>
      </c>
      <c r="F707" s="14">
        <v>0</v>
      </c>
      <c r="G707" s="14">
        <v>60</v>
      </c>
      <c r="H707" s="31" t="s">
        <v>217</v>
      </c>
      <c r="I707" s="14" t="s">
        <v>75</v>
      </c>
      <c r="J707" s="14" t="s">
        <v>201</v>
      </c>
      <c r="K707" s="14">
        <v>1</v>
      </c>
      <c r="L707" s="14" t="s">
        <v>213</v>
      </c>
      <c r="N707" s="14">
        <v>0</v>
      </c>
      <c r="O707" s="14" t="b">
        <v>1</v>
      </c>
      <c r="Q707" s="14" t="b">
        <v>0</v>
      </c>
      <c r="R707" s="14">
        <v>1</v>
      </c>
      <c r="S707" s="14" t="s">
        <v>77</v>
      </c>
      <c r="T707" s="14">
        <v>999</v>
      </c>
      <c r="U707" s="14" t="s">
        <v>214</v>
      </c>
      <c r="V707" s="14">
        <v>31365000</v>
      </c>
      <c r="X707" s="14" t="s">
        <v>204</v>
      </c>
      <c r="Y707" s="14" t="s">
        <v>215</v>
      </c>
      <c r="Z707" s="14">
        <v>20001</v>
      </c>
      <c r="AA707" s="14" t="s">
        <v>205</v>
      </c>
      <c r="AB707" s="14">
        <v>40001</v>
      </c>
      <c r="AE707" s="29" t="s">
        <v>121</v>
      </c>
      <c r="AF707" s="14" t="s">
        <v>213</v>
      </c>
      <c r="AG707" s="14" t="s">
        <v>95</v>
      </c>
    </row>
    <row r="708" spans="2:33">
      <c r="B708" s="14">
        <f>10000000+INDEX(编号表!$B:$B,MATCH(H708,编号表!$A:$A,0))*100000+INDEX(编号表!$F:$F,MATCH(D708,编号表!$E:$E,0))*10000+INDEX(编号表!$D:$D,MATCH(AG708,编号表!$C:$C,0))*1000+F708</f>
        <v>11365001</v>
      </c>
      <c r="C708" s="14" t="s">
        <v>868</v>
      </c>
      <c r="D708" s="14" t="s">
        <v>362</v>
      </c>
      <c r="E708" s="14" t="s">
        <v>95</v>
      </c>
      <c r="F708" s="14">
        <v>1</v>
      </c>
      <c r="G708" s="14">
        <v>60</v>
      </c>
      <c r="H708" s="31" t="s">
        <v>217</v>
      </c>
      <c r="I708" s="14" t="s">
        <v>75</v>
      </c>
      <c r="J708" s="14" t="s">
        <v>201</v>
      </c>
      <c r="K708" s="14">
        <v>1</v>
      </c>
      <c r="L708" s="14" t="s">
        <v>213</v>
      </c>
      <c r="N708" s="14">
        <v>0</v>
      </c>
      <c r="O708" s="14" t="b">
        <v>1</v>
      </c>
      <c r="Q708" s="14" t="b">
        <v>0</v>
      </c>
      <c r="R708" s="14">
        <v>1</v>
      </c>
      <c r="S708" s="14" t="s">
        <v>77</v>
      </c>
      <c r="T708" s="14">
        <v>999</v>
      </c>
      <c r="U708" s="14" t="s">
        <v>214</v>
      </c>
      <c r="V708" s="14">
        <v>31365001</v>
      </c>
      <c r="X708" s="14" t="s">
        <v>204</v>
      </c>
      <c r="Y708" s="14" t="s">
        <v>215</v>
      </c>
      <c r="Z708" s="14">
        <v>20001</v>
      </c>
      <c r="AA708" s="14" t="s">
        <v>205</v>
      </c>
      <c r="AB708" s="14">
        <v>40001</v>
      </c>
      <c r="AE708" s="29" t="s">
        <v>121</v>
      </c>
      <c r="AF708" s="14" t="s">
        <v>213</v>
      </c>
      <c r="AG708" s="14" t="s">
        <v>95</v>
      </c>
    </row>
    <row r="709" spans="2:33">
      <c r="B709" s="14">
        <f>10000000+INDEX(编号表!$B:$B,MATCH(H709,编号表!$A:$A,0))*100000+INDEX(编号表!$F:$F,MATCH(D709,编号表!$E:$E,0))*10000+INDEX(编号表!$D:$D,MATCH(AG709,编号表!$C:$C,0))*1000+F709</f>
        <v>11365002</v>
      </c>
      <c r="C709" s="14" t="s">
        <v>869</v>
      </c>
      <c r="D709" s="14" t="s">
        <v>362</v>
      </c>
      <c r="E709" s="14" t="s">
        <v>95</v>
      </c>
      <c r="F709" s="14">
        <v>2</v>
      </c>
      <c r="G709" s="14">
        <v>60</v>
      </c>
      <c r="H709" s="31" t="s">
        <v>217</v>
      </c>
      <c r="I709" s="14" t="s">
        <v>75</v>
      </c>
      <c r="J709" s="14" t="s">
        <v>201</v>
      </c>
      <c r="K709" s="14">
        <v>1</v>
      </c>
      <c r="L709" s="14" t="s">
        <v>213</v>
      </c>
      <c r="N709" s="14">
        <v>0</v>
      </c>
      <c r="O709" s="14" t="b">
        <v>1</v>
      </c>
      <c r="Q709" s="14" t="b">
        <v>0</v>
      </c>
      <c r="R709" s="14">
        <v>1</v>
      </c>
      <c r="S709" s="14" t="s">
        <v>77</v>
      </c>
      <c r="T709" s="14">
        <v>999</v>
      </c>
      <c r="U709" s="14" t="s">
        <v>214</v>
      </c>
      <c r="V709" s="14">
        <v>31365002</v>
      </c>
      <c r="X709" s="14" t="s">
        <v>204</v>
      </c>
      <c r="Y709" s="14" t="s">
        <v>215</v>
      </c>
      <c r="Z709" s="14">
        <v>20001</v>
      </c>
      <c r="AA709" s="14" t="s">
        <v>205</v>
      </c>
      <c r="AB709" s="14">
        <v>40001</v>
      </c>
      <c r="AE709" s="29" t="s">
        <v>121</v>
      </c>
      <c r="AF709" s="14" t="s">
        <v>213</v>
      </c>
      <c r="AG709" s="14" t="s">
        <v>95</v>
      </c>
    </row>
    <row r="710" spans="2:33">
      <c r="B710" s="14">
        <f>10000000+INDEX(编号表!$B:$B,MATCH(H710,编号表!$A:$A,0))*100000+INDEX(编号表!$F:$F,MATCH(D710,编号表!$E:$E,0))*10000+INDEX(编号表!$D:$D,MATCH(AG710,编号表!$C:$C,0))*1000+F710</f>
        <v>11365003</v>
      </c>
      <c r="C710" s="14" t="s">
        <v>870</v>
      </c>
      <c r="D710" s="14" t="s">
        <v>362</v>
      </c>
      <c r="E710" s="14" t="s">
        <v>95</v>
      </c>
      <c r="F710" s="14">
        <v>3</v>
      </c>
      <c r="G710" s="14">
        <v>60</v>
      </c>
      <c r="H710" s="31" t="s">
        <v>217</v>
      </c>
      <c r="I710" s="14" t="s">
        <v>75</v>
      </c>
      <c r="J710" s="14" t="s">
        <v>201</v>
      </c>
      <c r="K710" s="14">
        <v>1</v>
      </c>
      <c r="L710" s="14" t="s">
        <v>213</v>
      </c>
      <c r="N710" s="14">
        <v>0</v>
      </c>
      <c r="O710" s="14" t="b">
        <v>1</v>
      </c>
      <c r="Q710" s="14" t="b">
        <v>0</v>
      </c>
      <c r="R710" s="14">
        <v>1</v>
      </c>
      <c r="S710" s="14" t="s">
        <v>77</v>
      </c>
      <c r="T710" s="14">
        <v>999</v>
      </c>
      <c r="U710" s="14" t="s">
        <v>214</v>
      </c>
      <c r="V710" s="14">
        <v>31365003</v>
      </c>
      <c r="X710" s="14" t="s">
        <v>204</v>
      </c>
      <c r="Y710" s="14" t="s">
        <v>215</v>
      </c>
      <c r="Z710" s="14">
        <v>20001</v>
      </c>
      <c r="AA710" s="14" t="s">
        <v>205</v>
      </c>
      <c r="AB710" s="14">
        <v>40001</v>
      </c>
      <c r="AE710" s="29" t="s">
        <v>121</v>
      </c>
      <c r="AF710" s="14" t="s">
        <v>213</v>
      </c>
      <c r="AG710" s="14" t="s">
        <v>95</v>
      </c>
    </row>
    <row r="711" spans="2:33">
      <c r="B711" s="14">
        <f>10000000+INDEX(编号表!$B:$B,MATCH(H711,编号表!$A:$A,0))*100000+INDEX(编号表!$F:$F,MATCH(D711,编号表!$E:$E,0))*10000+INDEX(编号表!$D:$D,MATCH(AG711,编号表!$C:$C,0))*1000+F711</f>
        <v>11365004</v>
      </c>
      <c r="C711" s="14" t="s">
        <v>871</v>
      </c>
      <c r="D711" s="14" t="s">
        <v>362</v>
      </c>
      <c r="E711" s="14" t="s">
        <v>95</v>
      </c>
      <c r="F711" s="14">
        <v>4</v>
      </c>
      <c r="G711" s="14">
        <v>60</v>
      </c>
      <c r="H711" s="31" t="s">
        <v>217</v>
      </c>
      <c r="I711" s="14" t="s">
        <v>75</v>
      </c>
      <c r="J711" s="14" t="s">
        <v>201</v>
      </c>
      <c r="K711" s="14">
        <v>1</v>
      </c>
      <c r="L711" s="14" t="s">
        <v>213</v>
      </c>
      <c r="N711" s="14">
        <v>0</v>
      </c>
      <c r="O711" s="14" t="b">
        <v>1</v>
      </c>
      <c r="Q711" s="14" t="b">
        <v>0</v>
      </c>
      <c r="R711" s="14">
        <v>1</v>
      </c>
      <c r="S711" s="14" t="s">
        <v>77</v>
      </c>
      <c r="T711" s="14">
        <v>999</v>
      </c>
      <c r="U711" s="14" t="s">
        <v>214</v>
      </c>
      <c r="V711" s="14">
        <v>31365004</v>
      </c>
      <c r="X711" s="14" t="s">
        <v>204</v>
      </c>
      <c r="Y711" s="14" t="s">
        <v>215</v>
      </c>
      <c r="Z711" s="14">
        <v>20001</v>
      </c>
      <c r="AA711" s="14" t="s">
        <v>205</v>
      </c>
      <c r="AB711" s="14">
        <v>40001</v>
      </c>
      <c r="AE711" s="29" t="s">
        <v>121</v>
      </c>
      <c r="AF711" s="14" t="s">
        <v>213</v>
      </c>
      <c r="AG711" s="14" t="s">
        <v>95</v>
      </c>
    </row>
    <row r="712" spans="2:33">
      <c r="B712" s="14">
        <f>10000000+INDEX(编号表!$B:$B,MATCH(H712,编号表!$A:$A,0))*100000+INDEX(编号表!$F:$F,MATCH(D712,编号表!$E:$E,0))*10000+INDEX(编号表!$D:$D,MATCH(AG712,编号表!$C:$C,0))*1000+F712</f>
        <v>11365005</v>
      </c>
      <c r="C712" s="14" t="s">
        <v>872</v>
      </c>
      <c r="D712" s="14" t="s">
        <v>362</v>
      </c>
      <c r="E712" s="14" t="s">
        <v>95</v>
      </c>
      <c r="F712" s="14">
        <v>5</v>
      </c>
      <c r="G712" s="14">
        <v>60</v>
      </c>
      <c r="H712" s="31" t="s">
        <v>217</v>
      </c>
      <c r="I712" s="14" t="s">
        <v>75</v>
      </c>
      <c r="J712" s="14" t="s">
        <v>201</v>
      </c>
      <c r="K712" s="14">
        <v>1</v>
      </c>
      <c r="L712" s="14" t="s">
        <v>213</v>
      </c>
      <c r="N712" s="14">
        <v>0</v>
      </c>
      <c r="O712" s="14" t="b">
        <v>1</v>
      </c>
      <c r="Q712" s="14" t="b">
        <v>0</v>
      </c>
      <c r="R712" s="14">
        <v>1</v>
      </c>
      <c r="S712" s="14" t="s">
        <v>77</v>
      </c>
      <c r="T712" s="14">
        <v>999</v>
      </c>
      <c r="U712" s="14" t="s">
        <v>214</v>
      </c>
      <c r="V712" s="14">
        <v>31365005</v>
      </c>
      <c r="X712" s="14" t="s">
        <v>204</v>
      </c>
      <c r="Y712" s="14" t="s">
        <v>215</v>
      </c>
      <c r="Z712" s="14">
        <v>20001</v>
      </c>
      <c r="AA712" s="14" t="s">
        <v>205</v>
      </c>
      <c r="AB712" s="14">
        <v>40001</v>
      </c>
      <c r="AE712" s="29" t="s">
        <v>121</v>
      </c>
      <c r="AF712" s="14" t="s">
        <v>213</v>
      </c>
      <c r="AG712" s="14" t="s">
        <v>95</v>
      </c>
    </row>
    <row r="713" spans="2:33">
      <c r="B713" s="14">
        <f>10000000+INDEX(编号表!$B:$B,MATCH(H713,编号表!$A:$A,0))*100000+INDEX(编号表!$F:$F,MATCH(D713,编号表!$E:$E,0))*10000+INDEX(编号表!$D:$D,MATCH(AG713,编号表!$C:$C,0))*1000+F713</f>
        <v>11365006</v>
      </c>
      <c r="C713" s="14" t="s">
        <v>873</v>
      </c>
      <c r="D713" s="14" t="s">
        <v>362</v>
      </c>
      <c r="E713" s="14" t="s">
        <v>95</v>
      </c>
      <c r="F713" s="14">
        <v>6</v>
      </c>
      <c r="G713" s="14">
        <v>60</v>
      </c>
      <c r="H713" s="31" t="s">
        <v>217</v>
      </c>
      <c r="I713" s="14" t="s">
        <v>75</v>
      </c>
      <c r="J713" s="14" t="s">
        <v>201</v>
      </c>
      <c r="K713" s="14">
        <v>1</v>
      </c>
      <c r="L713" s="14" t="s">
        <v>213</v>
      </c>
      <c r="N713" s="14">
        <v>0</v>
      </c>
      <c r="O713" s="14" t="b">
        <v>1</v>
      </c>
      <c r="Q713" s="14" t="b">
        <v>0</v>
      </c>
      <c r="R713" s="14">
        <v>1</v>
      </c>
      <c r="S713" s="14" t="s">
        <v>77</v>
      </c>
      <c r="T713" s="14">
        <v>999</v>
      </c>
      <c r="U713" s="14" t="s">
        <v>214</v>
      </c>
      <c r="V713" s="14">
        <v>31365006</v>
      </c>
      <c r="X713" s="14" t="s">
        <v>204</v>
      </c>
      <c r="Y713" s="14" t="s">
        <v>215</v>
      </c>
      <c r="Z713" s="14">
        <v>20001</v>
      </c>
      <c r="AA713" s="14" t="s">
        <v>205</v>
      </c>
      <c r="AB713" s="14">
        <v>40001</v>
      </c>
      <c r="AE713" s="29" t="s">
        <v>121</v>
      </c>
      <c r="AF713" s="14" t="s">
        <v>213</v>
      </c>
      <c r="AG713" s="14" t="s">
        <v>95</v>
      </c>
    </row>
    <row r="714" spans="2:33">
      <c r="B714" s="14">
        <f>10000000+INDEX(编号表!$B:$B,MATCH(H714,编号表!$A:$A,0))*100000+INDEX(编号表!$F:$F,MATCH(D714,编号表!$E:$E,0))*10000+INDEX(编号表!$D:$D,MATCH(AG714,编号表!$C:$C,0))*1000+F714</f>
        <v>11365007</v>
      </c>
      <c r="C714" s="14" t="s">
        <v>874</v>
      </c>
      <c r="D714" s="14" t="s">
        <v>362</v>
      </c>
      <c r="E714" s="14" t="s">
        <v>95</v>
      </c>
      <c r="F714" s="14">
        <v>7</v>
      </c>
      <c r="G714" s="14">
        <v>60</v>
      </c>
      <c r="H714" s="31" t="s">
        <v>217</v>
      </c>
      <c r="I714" s="14" t="s">
        <v>75</v>
      </c>
      <c r="J714" s="14" t="s">
        <v>201</v>
      </c>
      <c r="K714" s="14">
        <v>1</v>
      </c>
      <c r="L714" s="14" t="s">
        <v>213</v>
      </c>
      <c r="N714" s="14">
        <v>0</v>
      </c>
      <c r="O714" s="14" t="b">
        <v>1</v>
      </c>
      <c r="Q714" s="14" t="b">
        <v>0</v>
      </c>
      <c r="R714" s="14">
        <v>1</v>
      </c>
      <c r="S714" s="14" t="s">
        <v>77</v>
      </c>
      <c r="T714" s="14">
        <v>999</v>
      </c>
      <c r="U714" s="14" t="s">
        <v>214</v>
      </c>
      <c r="V714" s="14">
        <v>31365007</v>
      </c>
      <c r="X714" s="14" t="s">
        <v>204</v>
      </c>
      <c r="Y714" s="14" t="s">
        <v>215</v>
      </c>
      <c r="Z714" s="14">
        <v>20001</v>
      </c>
      <c r="AA714" s="14" t="s">
        <v>205</v>
      </c>
      <c r="AB714" s="14">
        <v>40001</v>
      </c>
      <c r="AE714" s="29" t="s">
        <v>121</v>
      </c>
      <c r="AF714" s="14" t="s">
        <v>213</v>
      </c>
      <c r="AG714" s="14" t="s">
        <v>95</v>
      </c>
    </row>
    <row r="715" spans="2:33">
      <c r="B715" s="14">
        <f>10000000+INDEX(编号表!$B:$B,MATCH(H715,编号表!$A:$A,0))*100000+INDEX(编号表!$F:$F,MATCH(D715,编号表!$E:$E,0))*10000+INDEX(编号表!$D:$D,MATCH(AG715,编号表!$C:$C,0))*1000+F715</f>
        <v>11365008</v>
      </c>
      <c r="C715" s="14" t="s">
        <v>875</v>
      </c>
      <c r="D715" s="14" t="s">
        <v>362</v>
      </c>
      <c r="E715" s="14" t="s">
        <v>95</v>
      </c>
      <c r="F715" s="14">
        <v>8</v>
      </c>
      <c r="G715" s="14">
        <v>60</v>
      </c>
      <c r="H715" s="31" t="s">
        <v>217</v>
      </c>
      <c r="I715" s="14" t="s">
        <v>75</v>
      </c>
      <c r="J715" s="14" t="s">
        <v>201</v>
      </c>
      <c r="K715" s="14">
        <v>1</v>
      </c>
      <c r="L715" s="14" t="s">
        <v>213</v>
      </c>
      <c r="N715" s="14">
        <v>0</v>
      </c>
      <c r="O715" s="14" t="b">
        <v>1</v>
      </c>
      <c r="Q715" s="14" t="b">
        <v>0</v>
      </c>
      <c r="R715" s="14">
        <v>1</v>
      </c>
      <c r="S715" s="14" t="s">
        <v>77</v>
      </c>
      <c r="T715" s="14">
        <v>999</v>
      </c>
      <c r="U715" s="14" t="s">
        <v>214</v>
      </c>
      <c r="V715" s="14">
        <v>31365008</v>
      </c>
      <c r="X715" s="14" t="s">
        <v>204</v>
      </c>
      <c r="Y715" s="14" t="s">
        <v>215</v>
      </c>
      <c r="Z715" s="14">
        <v>20001</v>
      </c>
      <c r="AA715" s="14" t="s">
        <v>205</v>
      </c>
      <c r="AB715" s="14">
        <v>40001</v>
      </c>
      <c r="AE715" s="29" t="s">
        <v>121</v>
      </c>
      <c r="AF715" s="14" t="s">
        <v>213</v>
      </c>
      <c r="AG715" s="14" t="s">
        <v>95</v>
      </c>
    </row>
    <row r="716" spans="2:33">
      <c r="B716" s="14">
        <f>10000000+INDEX(编号表!$B:$B,MATCH(H716,编号表!$A:$A,0))*100000+INDEX(编号表!$F:$F,MATCH(D716,编号表!$E:$E,0))*10000+INDEX(编号表!$D:$D,MATCH(AG716,编号表!$C:$C,0))*1000+F716</f>
        <v>11365009</v>
      </c>
      <c r="C716" s="14" t="s">
        <v>876</v>
      </c>
      <c r="D716" s="14" t="s">
        <v>362</v>
      </c>
      <c r="E716" s="14" t="s">
        <v>95</v>
      </c>
      <c r="F716" s="14">
        <v>9</v>
      </c>
      <c r="G716" s="14">
        <v>60</v>
      </c>
      <c r="H716" s="31" t="s">
        <v>217</v>
      </c>
      <c r="I716" s="14" t="s">
        <v>75</v>
      </c>
      <c r="J716" s="14" t="s">
        <v>201</v>
      </c>
      <c r="K716" s="14">
        <v>1</v>
      </c>
      <c r="L716" s="14" t="s">
        <v>213</v>
      </c>
      <c r="N716" s="14">
        <v>0</v>
      </c>
      <c r="O716" s="14" t="b">
        <v>1</v>
      </c>
      <c r="Q716" s="14" t="b">
        <v>0</v>
      </c>
      <c r="R716" s="14">
        <v>1</v>
      </c>
      <c r="S716" s="14" t="s">
        <v>77</v>
      </c>
      <c r="T716" s="14">
        <v>999</v>
      </c>
      <c r="U716" s="14" t="s">
        <v>214</v>
      </c>
      <c r="V716" s="14">
        <v>31365009</v>
      </c>
      <c r="X716" s="14" t="s">
        <v>204</v>
      </c>
      <c r="Y716" s="14" t="s">
        <v>215</v>
      </c>
      <c r="Z716" s="14">
        <v>20001</v>
      </c>
      <c r="AA716" s="14" t="s">
        <v>205</v>
      </c>
      <c r="AB716" s="14">
        <v>40001</v>
      </c>
      <c r="AE716" s="29" t="s">
        <v>121</v>
      </c>
      <c r="AF716" s="14" t="s">
        <v>213</v>
      </c>
      <c r="AG716" s="14" t="s">
        <v>95</v>
      </c>
    </row>
    <row r="717" spans="2:33">
      <c r="B717" s="14">
        <f>10000000+INDEX(编号表!$B:$B,MATCH(H717,编号表!$A:$A,0))*100000+INDEX(编号表!$F:$F,MATCH(D717,编号表!$E:$E,0))*10000+INDEX(编号表!$D:$D,MATCH(AG717,编号表!$C:$C,0))*1000+F717</f>
        <v>11565000</v>
      </c>
      <c r="C717" s="14" t="s">
        <v>877</v>
      </c>
      <c r="D717" s="14" t="s">
        <v>362</v>
      </c>
      <c r="E717" s="14" t="s">
        <v>95</v>
      </c>
      <c r="F717" s="14">
        <v>0</v>
      </c>
      <c r="G717" s="14">
        <v>60</v>
      </c>
      <c r="H717" s="31" t="s">
        <v>228</v>
      </c>
      <c r="I717" s="14" t="s">
        <v>75</v>
      </c>
      <c r="J717" s="14" t="s">
        <v>201</v>
      </c>
      <c r="K717" s="14">
        <v>1</v>
      </c>
      <c r="L717" s="14" t="s">
        <v>213</v>
      </c>
      <c r="N717" s="14">
        <v>0</v>
      </c>
      <c r="O717" s="14" t="b">
        <v>1</v>
      </c>
      <c r="Q717" s="14" t="b">
        <v>0</v>
      </c>
      <c r="R717" s="14">
        <v>1</v>
      </c>
      <c r="S717" s="14" t="s">
        <v>77</v>
      </c>
      <c r="T717" s="14">
        <v>999</v>
      </c>
      <c r="U717" s="14" t="s">
        <v>214</v>
      </c>
      <c r="V717" s="14">
        <v>31565000</v>
      </c>
      <c r="X717" s="14" t="s">
        <v>204</v>
      </c>
      <c r="Y717" s="14" t="s">
        <v>215</v>
      </c>
      <c r="Z717" s="14">
        <v>20001</v>
      </c>
      <c r="AA717" s="14" t="s">
        <v>205</v>
      </c>
      <c r="AB717" s="14">
        <v>40001</v>
      </c>
      <c r="AE717" s="29" t="s">
        <v>121</v>
      </c>
      <c r="AF717" s="14" t="s">
        <v>213</v>
      </c>
      <c r="AG717" s="14" t="s">
        <v>95</v>
      </c>
    </row>
    <row r="718" spans="2:33">
      <c r="B718" s="14">
        <f>10000000+INDEX(编号表!$B:$B,MATCH(H718,编号表!$A:$A,0))*100000+INDEX(编号表!$F:$F,MATCH(D718,编号表!$E:$E,0))*10000+INDEX(编号表!$D:$D,MATCH(AG718,编号表!$C:$C,0))*1000+F718</f>
        <v>11565001</v>
      </c>
      <c r="C718" s="14" t="s">
        <v>878</v>
      </c>
      <c r="D718" s="14" t="s">
        <v>362</v>
      </c>
      <c r="E718" s="14" t="s">
        <v>95</v>
      </c>
      <c r="F718" s="14">
        <v>1</v>
      </c>
      <c r="G718" s="14">
        <v>60</v>
      </c>
      <c r="H718" s="31" t="s">
        <v>228</v>
      </c>
      <c r="I718" s="14" t="s">
        <v>75</v>
      </c>
      <c r="J718" s="14" t="s">
        <v>201</v>
      </c>
      <c r="K718" s="14">
        <v>1</v>
      </c>
      <c r="L718" s="14" t="s">
        <v>213</v>
      </c>
      <c r="N718" s="14">
        <v>0</v>
      </c>
      <c r="O718" s="14" t="b">
        <v>1</v>
      </c>
      <c r="Q718" s="14" t="b">
        <v>0</v>
      </c>
      <c r="R718" s="14">
        <v>1</v>
      </c>
      <c r="S718" s="14" t="s">
        <v>77</v>
      </c>
      <c r="T718" s="14">
        <v>999</v>
      </c>
      <c r="U718" s="14" t="s">
        <v>214</v>
      </c>
      <c r="V718" s="14">
        <v>31565001</v>
      </c>
      <c r="X718" s="14" t="s">
        <v>204</v>
      </c>
      <c r="Y718" s="14" t="s">
        <v>215</v>
      </c>
      <c r="Z718" s="14">
        <v>20001</v>
      </c>
      <c r="AA718" s="14" t="s">
        <v>205</v>
      </c>
      <c r="AB718" s="14">
        <v>40001</v>
      </c>
      <c r="AE718" s="29" t="s">
        <v>121</v>
      </c>
      <c r="AF718" s="14" t="s">
        <v>213</v>
      </c>
      <c r="AG718" s="14" t="s">
        <v>95</v>
      </c>
    </row>
    <row r="719" spans="2:33">
      <c r="B719" s="14">
        <f>10000000+INDEX(编号表!$B:$B,MATCH(H719,编号表!$A:$A,0))*100000+INDEX(编号表!$F:$F,MATCH(D719,编号表!$E:$E,0))*10000+INDEX(编号表!$D:$D,MATCH(AG719,编号表!$C:$C,0))*1000+F719</f>
        <v>11565002</v>
      </c>
      <c r="C719" s="14" t="s">
        <v>879</v>
      </c>
      <c r="D719" s="14" t="s">
        <v>362</v>
      </c>
      <c r="E719" s="14" t="s">
        <v>95</v>
      </c>
      <c r="F719" s="14">
        <v>2</v>
      </c>
      <c r="G719" s="14">
        <v>60</v>
      </c>
      <c r="H719" s="31" t="s">
        <v>228</v>
      </c>
      <c r="I719" s="14" t="s">
        <v>75</v>
      </c>
      <c r="J719" s="14" t="s">
        <v>201</v>
      </c>
      <c r="K719" s="14">
        <v>1</v>
      </c>
      <c r="L719" s="14" t="s">
        <v>213</v>
      </c>
      <c r="N719" s="14">
        <v>0</v>
      </c>
      <c r="O719" s="14" t="b">
        <v>1</v>
      </c>
      <c r="Q719" s="14" t="b">
        <v>0</v>
      </c>
      <c r="R719" s="14">
        <v>1</v>
      </c>
      <c r="S719" s="14" t="s">
        <v>77</v>
      </c>
      <c r="T719" s="14">
        <v>999</v>
      </c>
      <c r="U719" s="14" t="s">
        <v>214</v>
      </c>
      <c r="V719" s="14">
        <v>31565002</v>
      </c>
      <c r="X719" s="14" t="s">
        <v>204</v>
      </c>
      <c r="Y719" s="14" t="s">
        <v>215</v>
      </c>
      <c r="Z719" s="14">
        <v>20001</v>
      </c>
      <c r="AA719" s="14" t="s">
        <v>205</v>
      </c>
      <c r="AB719" s="14">
        <v>40001</v>
      </c>
      <c r="AE719" s="29" t="s">
        <v>121</v>
      </c>
      <c r="AF719" s="14" t="s">
        <v>213</v>
      </c>
      <c r="AG719" s="14" t="s">
        <v>95</v>
      </c>
    </row>
    <row r="720" spans="2:33">
      <c r="B720" s="14">
        <f>10000000+INDEX(编号表!$B:$B,MATCH(H720,编号表!$A:$A,0))*100000+INDEX(编号表!$F:$F,MATCH(D720,编号表!$E:$E,0))*10000+INDEX(编号表!$D:$D,MATCH(AG720,编号表!$C:$C,0))*1000+F720</f>
        <v>11565003</v>
      </c>
      <c r="C720" s="14" t="s">
        <v>880</v>
      </c>
      <c r="D720" s="14" t="s">
        <v>362</v>
      </c>
      <c r="E720" s="14" t="s">
        <v>95</v>
      </c>
      <c r="F720" s="14">
        <v>3</v>
      </c>
      <c r="G720" s="14">
        <v>60</v>
      </c>
      <c r="H720" s="31" t="s">
        <v>228</v>
      </c>
      <c r="I720" s="14" t="s">
        <v>75</v>
      </c>
      <c r="J720" s="14" t="s">
        <v>201</v>
      </c>
      <c r="K720" s="14">
        <v>1</v>
      </c>
      <c r="L720" s="14" t="s">
        <v>213</v>
      </c>
      <c r="N720" s="14">
        <v>0</v>
      </c>
      <c r="O720" s="14" t="b">
        <v>1</v>
      </c>
      <c r="Q720" s="14" t="b">
        <v>0</v>
      </c>
      <c r="R720" s="14">
        <v>1</v>
      </c>
      <c r="S720" s="14" t="s">
        <v>77</v>
      </c>
      <c r="T720" s="14">
        <v>999</v>
      </c>
      <c r="U720" s="14" t="s">
        <v>214</v>
      </c>
      <c r="V720" s="14">
        <v>31565003</v>
      </c>
      <c r="X720" s="14" t="s">
        <v>204</v>
      </c>
      <c r="Y720" s="14" t="s">
        <v>215</v>
      </c>
      <c r="Z720" s="14">
        <v>20001</v>
      </c>
      <c r="AA720" s="14" t="s">
        <v>205</v>
      </c>
      <c r="AB720" s="14">
        <v>40001</v>
      </c>
      <c r="AE720" s="29" t="s">
        <v>121</v>
      </c>
      <c r="AF720" s="14" t="s">
        <v>213</v>
      </c>
      <c r="AG720" s="14" t="s">
        <v>95</v>
      </c>
    </row>
    <row r="721" spans="2:33">
      <c r="B721" s="14">
        <f>10000000+INDEX(编号表!$B:$B,MATCH(H721,编号表!$A:$A,0))*100000+INDEX(编号表!$F:$F,MATCH(D721,编号表!$E:$E,0))*10000+INDEX(编号表!$D:$D,MATCH(AG721,编号表!$C:$C,0))*1000+F721</f>
        <v>11565004</v>
      </c>
      <c r="C721" s="14" t="s">
        <v>881</v>
      </c>
      <c r="D721" s="14" t="s">
        <v>362</v>
      </c>
      <c r="E721" s="14" t="s">
        <v>95</v>
      </c>
      <c r="F721" s="14">
        <v>4</v>
      </c>
      <c r="G721" s="14">
        <v>60</v>
      </c>
      <c r="H721" s="31" t="s">
        <v>228</v>
      </c>
      <c r="I721" s="14" t="s">
        <v>75</v>
      </c>
      <c r="J721" s="14" t="s">
        <v>201</v>
      </c>
      <c r="K721" s="14">
        <v>1</v>
      </c>
      <c r="L721" s="14" t="s">
        <v>213</v>
      </c>
      <c r="N721" s="14">
        <v>0</v>
      </c>
      <c r="O721" s="14" t="b">
        <v>1</v>
      </c>
      <c r="Q721" s="14" t="b">
        <v>0</v>
      </c>
      <c r="R721" s="14">
        <v>1</v>
      </c>
      <c r="S721" s="14" t="s">
        <v>77</v>
      </c>
      <c r="T721" s="14">
        <v>999</v>
      </c>
      <c r="U721" s="14" t="s">
        <v>214</v>
      </c>
      <c r="V721" s="14">
        <v>31565004</v>
      </c>
      <c r="X721" s="14" t="s">
        <v>204</v>
      </c>
      <c r="Y721" s="14" t="s">
        <v>215</v>
      </c>
      <c r="Z721" s="14">
        <v>20001</v>
      </c>
      <c r="AA721" s="14" t="s">
        <v>205</v>
      </c>
      <c r="AB721" s="14">
        <v>40001</v>
      </c>
      <c r="AE721" s="29" t="s">
        <v>121</v>
      </c>
      <c r="AF721" s="14" t="s">
        <v>213</v>
      </c>
      <c r="AG721" s="14" t="s">
        <v>95</v>
      </c>
    </row>
    <row r="722" spans="2:33">
      <c r="B722" s="14">
        <f>10000000+INDEX(编号表!$B:$B,MATCH(H722,编号表!$A:$A,0))*100000+INDEX(编号表!$F:$F,MATCH(D722,编号表!$E:$E,0))*10000+INDEX(编号表!$D:$D,MATCH(AG722,编号表!$C:$C,0))*1000+F722</f>
        <v>11565005</v>
      </c>
      <c r="C722" s="14" t="s">
        <v>882</v>
      </c>
      <c r="D722" s="14" t="s">
        <v>362</v>
      </c>
      <c r="E722" s="14" t="s">
        <v>95</v>
      </c>
      <c r="F722" s="14">
        <v>5</v>
      </c>
      <c r="G722" s="14">
        <v>60</v>
      </c>
      <c r="H722" s="31" t="s">
        <v>228</v>
      </c>
      <c r="I722" s="14" t="s">
        <v>75</v>
      </c>
      <c r="J722" s="14" t="s">
        <v>201</v>
      </c>
      <c r="K722" s="14">
        <v>1</v>
      </c>
      <c r="L722" s="14" t="s">
        <v>213</v>
      </c>
      <c r="N722" s="14">
        <v>0</v>
      </c>
      <c r="O722" s="14" t="b">
        <v>1</v>
      </c>
      <c r="Q722" s="14" t="b">
        <v>0</v>
      </c>
      <c r="R722" s="14">
        <v>1</v>
      </c>
      <c r="S722" s="14" t="s">
        <v>77</v>
      </c>
      <c r="T722" s="14">
        <v>999</v>
      </c>
      <c r="U722" s="14" t="s">
        <v>214</v>
      </c>
      <c r="V722" s="14">
        <v>31565005</v>
      </c>
      <c r="X722" s="14" t="s">
        <v>204</v>
      </c>
      <c r="Y722" s="14" t="s">
        <v>215</v>
      </c>
      <c r="Z722" s="14">
        <v>20001</v>
      </c>
      <c r="AA722" s="14" t="s">
        <v>205</v>
      </c>
      <c r="AB722" s="14">
        <v>40001</v>
      </c>
      <c r="AE722" s="29" t="s">
        <v>121</v>
      </c>
      <c r="AF722" s="14" t="s">
        <v>213</v>
      </c>
      <c r="AG722" s="14" t="s">
        <v>95</v>
      </c>
    </row>
    <row r="723" spans="2:33">
      <c r="B723" s="14">
        <f>10000000+INDEX(编号表!$B:$B,MATCH(H723,编号表!$A:$A,0))*100000+INDEX(编号表!$F:$F,MATCH(D723,编号表!$E:$E,0))*10000+INDEX(编号表!$D:$D,MATCH(AG723,编号表!$C:$C,0))*1000+F723</f>
        <v>11565006</v>
      </c>
      <c r="C723" s="14" t="s">
        <v>883</v>
      </c>
      <c r="D723" s="14" t="s">
        <v>362</v>
      </c>
      <c r="E723" s="14" t="s">
        <v>95</v>
      </c>
      <c r="F723" s="14">
        <v>6</v>
      </c>
      <c r="G723" s="14">
        <v>60</v>
      </c>
      <c r="H723" s="31" t="s">
        <v>228</v>
      </c>
      <c r="I723" s="14" t="s">
        <v>75</v>
      </c>
      <c r="J723" s="14" t="s">
        <v>201</v>
      </c>
      <c r="K723" s="14">
        <v>1</v>
      </c>
      <c r="L723" s="14" t="s">
        <v>213</v>
      </c>
      <c r="N723" s="14">
        <v>0</v>
      </c>
      <c r="O723" s="14" t="b">
        <v>1</v>
      </c>
      <c r="Q723" s="14" t="b">
        <v>0</v>
      </c>
      <c r="R723" s="14">
        <v>1</v>
      </c>
      <c r="S723" s="14" t="s">
        <v>77</v>
      </c>
      <c r="T723" s="14">
        <v>999</v>
      </c>
      <c r="U723" s="14" t="s">
        <v>214</v>
      </c>
      <c r="V723" s="14">
        <v>31565006</v>
      </c>
      <c r="X723" s="14" t="s">
        <v>204</v>
      </c>
      <c r="Y723" s="14" t="s">
        <v>215</v>
      </c>
      <c r="Z723" s="14">
        <v>20001</v>
      </c>
      <c r="AA723" s="14" t="s">
        <v>205</v>
      </c>
      <c r="AB723" s="14">
        <v>40001</v>
      </c>
      <c r="AE723" s="29" t="s">
        <v>121</v>
      </c>
      <c r="AF723" s="14" t="s">
        <v>213</v>
      </c>
      <c r="AG723" s="14" t="s">
        <v>95</v>
      </c>
    </row>
    <row r="724" spans="2:33">
      <c r="B724" s="14">
        <f>10000000+INDEX(编号表!$B:$B,MATCH(H724,编号表!$A:$A,0))*100000+INDEX(编号表!$F:$F,MATCH(D724,编号表!$E:$E,0))*10000+INDEX(编号表!$D:$D,MATCH(AG724,编号表!$C:$C,0))*1000+F724</f>
        <v>11565007</v>
      </c>
      <c r="C724" s="14" t="s">
        <v>884</v>
      </c>
      <c r="D724" s="14" t="s">
        <v>362</v>
      </c>
      <c r="E724" s="14" t="s">
        <v>95</v>
      </c>
      <c r="F724" s="14">
        <v>7</v>
      </c>
      <c r="G724" s="14">
        <v>60</v>
      </c>
      <c r="H724" s="31" t="s">
        <v>228</v>
      </c>
      <c r="I724" s="14" t="s">
        <v>75</v>
      </c>
      <c r="J724" s="14" t="s">
        <v>201</v>
      </c>
      <c r="K724" s="14">
        <v>1</v>
      </c>
      <c r="L724" s="14" t="s">
        <v>213</v>
      </c>
      <c r="N724" s="14">
        <v>0</v>
      </c>
      <c r="O724" s="14" t="b">
        <v>1</v>
      </c>
      <c r="Q724" s="14" t="b">
        <v>0</v>
      </c>
      <c r="R724" s="14">
        <v>1</v>
      </c>
      <c r="S724" s="14" t="s">
        <v>77</v>
      </c>
      <c r="T724" s="14">
        <v>999</v>
      </c>
      <c r="U724" s="14" t="s">
        <v>214</v>
      </c>
      <c r="V724" s="14">
        <v>31565007</v>
      </c>
      <c r="X724" s="14" t="s">
        <v>204</v>
      </c>
      <c r="Y724" s="14" t="s">
        <v>215</v>
      </c>
      <c r="Z724" s="14">
        <v>20001</v>
      </c>
      <c r="AA724" s="14" t="s">
        <v>205</v>
      </c>
      <c r="AB724" s="14">
        <v>40001</v>
      </c>
      <c r="AE724" s="29" t="s">
        <v>121</v>
      </c>
      <c r="AF724" s="14" t="s">
        <v>213</v>
      </c>
      <c r="AG724" s="14" t="s">
        <v>95</v>
      </c>
    </row>
    <row r="725" spans="2:33">
      <c r="B725" s="14">
        <f>10000000+INDEX(编号表!$B:$B,MATCH(H725,编号表!$A:$A,0))*100000+INDEX(编号表!$F:$F,MATCH(D725,编号表!$E:$E,0))*10000+INDEX(编号表!$D:$D,MATCH(AG725,编号表!$C:$C,0))*1000+F725</f>
        <v>11565008</v>
      </c>
      <c r="C725" s="14" t="s">
        <v>885</v>
      </c>
      <c r="D725" s="14" t="s">
        <v>362</v>
      </c>
      <c r="E725" s="14" t="s">
        <v>95</v>
      </c>
      <c r="F725" s="14">
        <v>8</v>
      </c>
      <c r="G725" s="14">
        <v>60</v>
      </c>
      <c r="H725" s="31" t="s">
        <v>228</v>
      </c>
      <c r="I725" s="14" t="s">
        <v>75</v>
      </c>
      <c r="J725" s="14" t="s">
        <v>201</v>
      </c>
      <c r="K725" s="14">
        <v>1</v>
      </c>
      <c r="L725" s="14" t="s">
        <v>213</v>
      </c>
      <c r="N725" s="14">
        <v>0</v>
      </c>
      <c r="O725" s="14" t="b">
        <v>1</v>
      </c>
      <c r="Q725" s="14" t="b">
        <v>0</v>
      </c>
      <c r="R725" s="14">
        <v>1</v>
      </c>
      <c r="S725" s="14" t="s">
        <v>77</v>
      </c>
      <c r="T725" s="14">
        <v>999</v>
      </c>
      <c r="U725" s="14" t="s">
        <v>214</v>
      </c>
      <c r="V725" s="14">
        <v>31565008</v>
      </c>
      <c r="X725" s="14" t="s">
        <v>204</v>
      </c>
      <c r="Y725" s="14" t="s">
        <v>215</v>
      </c>
      <c r="Z725" s="14">
        <v>20001</v>
      </c>
      <c r="AA725" s="14" t="s">
        <v>205</v>
      </c>
      <c r="AB725" s="14">
        <v>40001</v>
      </c>
      <c r="AE725" s="29" t="s">
        <v>121</v>
      </c>
      <c r="AF725" s="14" t="s">
        <v>213</v>
      </c>
      <c r="AG725" s="14" t="s">
        <v>95</v>
      </c>
    </row>
    <row r="726" spans="2:33">
      <c r="B726" s="14">
        <f>10000000+INDEX(编号表!$B:$B,MATCH(H726,编号表!$A:$A,0))*100000+INDEX(编号表!$F:$F,MATCH(D726,编号表!$E:$E,0))*10000+INDEX(编号表!$D:$D,MATCH(AG726,编号表!$C:$C,0))*1000+F726</f>
        <v>11565009</v>
      </c>
      <c r="C726" s="14" t="s">
        <v>886</v>
      </c>
      <c r="D726" s="14" t="s">
        <v>362</v>
      </c>
      <c r="E726" s="14" t="s">
        <v>95</v>
      </c>
      <c r="F726" s="14">
        <v>9</v>
      </c>
      <c r="G726" s="14">
        <v>60</v>
      </c>
      <c r="H726" s="31" t="s">
        <v>228</v>
      </c>
      <c r="I726" s="14" t="s">
        <v>75</v>
      </c>
      <c r="J726" s="14" t="s">
        <v>201</v>
      </c>
      <c r="K726" s="14">
        <v>1</v>
      </c>
      <c r="L726" s="14" t="s">
        <v>213</v>
      </c>
      <c r="N726" s="14">
        <v>0</v>
      </c>
      <c r="O726" s="14" t="b">
        <v>1</v>
      </c>
      <c r="Q726" s="14" t="b">
        <v>0</v>
      </c>
      <c r="R726" s="14">
        <v>1</v>
      </c>
      <c r="S726" s="14" t="s">
        <v>77</v>
      </c>
      <c r="T726" s="14">
        <v>999</v>
      </c>
      <c r="U726" s="14" t="s">
        <v>214</v>
      </c>
      <c r="V726" s="14">
        <v>31565009</v>
      </c>
      <c r="X726" s="14" t="s">
        <v>204</v>
      </c>
      <c r="Y726" s="14" t="s">
        <v>215</v>
      </c>
      <c r="Z726" s="14">
        <v>20001</v>
      </c>
      <c r="AA726" s="14" t="s">
        <v>205</v>
      </c>
      <c r="AB726" s="14">
        <v>40001</v>
      </c>
      <c r="AE726" s="29" t="s">
        <v>121</v>
      </c>
      <c r="AF726" s="14" t="s">
        <v>213</v>
      </c>
      <c r="AG726" s="14" t="s">
        <v>95</v>
      </c>
    </row>
    <row r="727" spans="2:33">
      <c r="B727" s="14">
        <f>10000000+INDEX(编号表!$B:$B,MATCH(H727,编号表!$A:$A,0))*100000+INDEX(编号表!$F:$F,MATCH(D727,编号表!$E:$E,0))*10000+INDEX(编号表!$D:$D,MATCH(AG727,编号表!$C:$C,0))*1000+F727</f>
        <v>11465000</v>
      </c>
      <c r="C727" s="14" t="s">
        <v>887</v>
      </c>
      <c r="D727" s="14" t="s">
        <v>362</v>
      </c>
      <c r="E727" s="14" t="s">
        <v>95</v>
      </c>
      <c r="F727" s="14">
        <v>0</v>
      </c>
      <c r="G727" s="14">
        <v>60</v>
      </c>
      <c r="H727" s="31" t="s">
        <v>239</v>
      </c>
      <c r="I727" s="14" t="s">
        <v>75</v>
      </c>
      <c r="J727" s="14" t="s">
        <v>201</v>
      </c>
      <c r="K727" s="14">
        <v>1</v>
      </c>
      <c r="L727" s="14" t="s">
        <v>213</v>
      </c>
      <c r="N727" s="14">
        <v>0</v>
      </c>
      <c r="O727" s="14" t="b">
        <v>1</v>
      </c>
      <c r="Q727" s="14" t="b">
        <v>0</v>
      </c>
      <c r="R727" s="14">
        <v>1</v>
      </c>
      <c r="S727" s="14" t="s">
        <v>77</v>
      </c>
      <c r="T727" s="14">
        <v>999</v>
      </c>
      <c r="U727" s="14" t="s">
        <v>214</v>
      </c>
      <c r="V727" s="14">
        <v>31465000</v>
      </c>
      <c r="X727" s="14" t="s">
        <v>204</v>
      </c>
      <c r="Y727" s="14" t="s">
        <v>215</v>
      </c>
      <c r="Z727" s="14">
        <v>20001</v>
      </c>
      <c r="AA727" s="14" t="s">
        <v>205</v>
      </c>
      <c r="AB727" s="14">
        <v>40001</v>
      </c>
      <c r="AE727" s="29" t="s">
        <v>121</v>
      </c>
      <c r="AF727" s="14" t="s">
        <v>213</v>
      </c>
      <c r="AG727" s="14" t="s">
        <v>95</v>
      </c>
    </row>
    <row r="728" spans="2:33">
      <c r="B728" s="14">
        <f>10000000+INDEX(编号表!$B:$B,MATCH(H728,编号表!$A:$A,0))*100000+INDEX(编号表!$F:$F,MATCH(D728,编号表!$E:$E,0))*10000+INDEX(编号表!$D:$D,MATCH(AG728,编号表!$C:$C,0))*1000+F728</f>
        <v>11465001</v>
      </c>
      <c r="C728" s="14" t="s">
        <v>888</v>
      </c>
      <c r="D728" s="14" t="s">
        <v>362</v>
      </c>
      <c r="E728" s="14" t="s">
        <v>95</v>
      </c>
      <c r="F728" s="14">
        <v>1</v>
      </c>
      <c r="G728" s="14">
        <v>60</v>
      </c>
      <c r="H728" s="31" t="s">
        <v>239</v>
      </c>
      <c r="I728" s="14" t="s">
        <v>75</v>
      </c>
      <c r="J728" s="14" t="s">
        <v>201</v>
      </c>
      <c r="K728" s="14">
        <v>1</v>
      </c>
      <c r="L728" s="14" t="s">
        <v>213</v>
      </c>
      <c r="N728" s="14">
        <v>0</v>
      </c>
      <c r="O728" s="14" t="b">
        <v>1</v>
      </c>
      <c r="Q728" s="14" t="b">
        <v>0</v>
      </c>
      <c r="R728" s="14">
        <v>1</v>
      </c>
      <c r="S728" s="14" t="s">
        <v>77</v>
      </c>
      <c r="T728" s="14">
        <v>999</v>
      </c>
      <c r="U728" s="14" t="s">
        <v>214</v>
      </c>
      <c r="V728" s="14">
        <v>31465001</v>
      </c>
      <c r="X728" s="14" t="s">
        <v>204</v>
      </c>
      <c r="Y728" s="14" t="s">
        <v>215</v>
      </c>
      <c r="Z728" s="14">
        <v>20001</v>
      </c>
      <c r="AA728" s="14" t="s">
        <v>205</v>
      </c>
      <c r="AB728" s="14">
        <v>40001</v>
      </c>
      <c r="AE728" s="29" t="s">
        <v>121</v>
      </c>
      <c r="AF728" s="14" t="s">
        <v>213</v>
      </c>
      <c r="AG728" s="14" t="s">
        <v>95</v>
      </c>
    </row>
    <row r="729" spans="2:33">
      <c r="B729" s="14">
        <f>10000000+INDEX(编号表!$B:$B,MATCH(H729,编号表!$A:$A,0))*100000+INDEX(编号表!$F:$F,MATCH(D729,编号表!$E:$E,0))*10000+INDEX(编号表!$D:$D,MATCH(AG729,编号表!$C:$C,0))*1000+F729</f>
        <v>11465002</v>
      </c>
      <c r="C729" s="14" t="s">
        <v>889</v>
      </c>
      <c r="D729" s="14" t="s">
        <v>362</v>
      </c>
      <c r="E729" s="14" t="s">
        <v>95</v>
      </c>
      <c r="F729" s="14">
        <v>2</v>
      </c>
      <c r="G729" s="14">
        <v>60</v>
      </c>
      <c r="H729" s="31" t="s">
        <v>239</v>
      </c>
      <c r="I729" s="14" t="s">
        <v>75</v>
      </c>
      <c r="J729" s="14" t="s">
        <v>201</v>
      </c>
      <c r="K729" s="14">
        <v>1</v>
      </c>
      <c r="L729" s="14" t="s">
        <v>213</v>
      </c>
      <c r="N729" s="14">
        <v>0</v>
      </c>
      <c r="O729" s="14" t="b">
        <v>1</v>
      </c>
      <c r="Q729" s="14" t="b">
        <v>0</v>
      </c>
      <c r="R729" s="14">
        <v>1</v>
      </c>
      <c r="S729" s="14" t="s">
        <v>77</v>
      </c>
      <c r="T729" s="14">
        <v>999</v>
      </c>
      <c r="U729" s="14" t="s">
        <v>214</v>
      </c>
      <c r="V729" s="14">
        <v>31465002</v>
      </c>
      <c r="X729" s="14" t="s">
        <v>204</v>
      </c>
      <c r="Y729" s="14" t="s">
        <v>215</v>
      </c>
      <c r="Z729" s="14">
        <v>20001</v>
      </c>
      <c r="AA729" s="14" t="s">
        <v>205</v>
      </c>
      <c r="AB729" s="14">
        <v>40001</v>
      </c>
      <c r="AE729" s="29" t="s">
        <v>121</v>
      </c>
      <c r="AF729" s="14" t="s">
        <v>213</v>
      </c>
      <c r="AG729" s="14" t="s">
        <v>95</v>
      </c>
    </row>
    <row r="730" spans="2:33">
      <c r="B730" s="14">
        <f>10000000+INDEX(编号表!$B:$B,MATCH(H730,编号表!$A:$A,0))*100000+INDEX(编号表!$F:$F,MATCH(D730,编号表!$E:$E,0))*10000+INDEX(编号表!$D:$D,MATCH(AG730,编号表!$C:$C,0))*1000+F730</f>
        <v>11465003</v>
      </c>
      <c r="C730" s="14" t="s">
        <v>890</v>
      </c>
      <c r="D730" s="14" t="s">
        <v>362</v>
      </c>
      <c r="E730" s="14" t="s">
        <v>95</v>
      </c>
      <c r="F730" s="14">
        <v>3</v>
      </c>
      <c r="G730" s="14">
        <v>60</v>
      </c>
      <c r="H730" s="31" t="s">
        <v>239</v>
      </c>
      <c r="I730" s="14" t="s">
        <v>75</v>
      </c>
      <c r="J730" s="14" t="s">
        <v>201</v>
      </c>
      <c r="K730" s="14">
        <v>1</v>
      </c>
      <c r="L730" s="14" t="s">
        <v>213</v>
      </c>
      <c r="N730" s="14">
        <v>0</v>
      </c>
      <c r="O730" s="14" t="b">
        <v>1</v>
      </c>
      <c r="Q730" s="14" t="b">
        <v>0</v>
      </c>
      <c r="R730" s="14">
        <v>1</v>
      </c>
      <c r="S730" s="14" t="s">
        <v>77</v>
      </c>
      <c r="T730" s="14">
        <v>999</v>
      </c>
      <c r="U730" s="14" t="s">
        <v>214</v>
      </c>
      <c r="V730" s="14">
        <v>31465003</v>
      </c>
      <c r="X730" s="14" t="s">
        <v>204</v>
      </c>
      <c r="Y730" s="14" t="s">
        <v>215</v>
      </c>
      <c r="Z730" s="14">
        <v>20001</v>
      </c>
      <c r="AA730" s="14" t="s">
        <v>205</v>
      </c>
      <c r="AB730" s="14">
        <v>40001</v>
      </c>
      <c r="AE730" s="29" t="s">
        <v>121</v>
      </c>
      <c r="AF730" s="14" t="s">
        <v>213</v>
      </c>
      <c r="AG730" s="14" t="s">
        <v>95</v>
      </c>
    </row>
    <row r="731" spans="2:33">
      <c r="B731" s="14">
        <f>10000000+INDEX(编号表!$B:$B,MATCH(H731,编号表!$A:$A,0))*100000+INDEX(编号表!$F:$F,MATCH(D731,编号表!$E:$E,0))*10000+INDEX(编号表!$D:$D,MATCH(AG731,编号表!$C:$C,0))*1000+F731</f>
        <v>11665000</v>
      </c>
      <c r="C731" s="14" t="s">
        <v>891</v>
      </c>
      <c r="D731" s="14" t="s">
        <v>362</v>
      </c>
      <c r="E731" s="14" t="s">
        <v>95</v>
      </c>
      <c r="F731" s="14">
        <v>0</v>
      </c>
      <c r="G731" s="14">
        <v>60</v>
      </c>
      <c r="H731" s="31" t="s">
        <v>244</v>
      </c>
      <c r="I731" s="14" t="s">
        <v>75</v>
      </c>
      <c r="J731" s="14" t="s">
        <v>201</v>
      </c>
      <c r="K731" s="14">
        <v>1</v>
      </c>
      <c r="L731" s="14" t="s">
        <v>213</v>
      </c>
      <c r="N731" s="14">
        <v>0</v>
      </c>
      <c r="O731" s="14" t="b">
        <v>1</v>
      </c>
      <c r="Q731" s="14" t="b">
        <v>0</v>
      </c>
      <c r="R731" s="14">
        <v>1</v>
      </c>
      <c r="S731" s="14" t="s">
        <v>77</v>
      </c>
      <c r="T731" s="14">
        <v>999</v>
      </c>
      <c r="U731" s="14" t="s">
        <v>214</v>
      </c>
      <c r="V731" s="14">
        <v>31665000</v>
      </c>
      <c r="X731" s="14" t="s">
        <v>204</v>
      </c>
      <c r="Y731" s="14" t="s">
        <v>215</v>
      </c>
      <c r="Z731" s="14">
        <v>20001</v>
      </c>
      <c r="AA731" s="14" t="s">
        <v>205</v>
      </c>
      <c r="AB731" s="14">
        <v>40001</v>
      </c>
      <c r="AE731" s="29" t="s">
        <v>121</v>
      </c>
      <c r="AF731" s="14" t="s">
        <v>213</v>
      </c>
      <c r="AG731" s="14" t="s">
        <v>95</v>
      </c>
    </row>
    <row r="732" spans="2:33">
      <c r="B732" s="14">
        <f>10000000+INDEX(编号表!$B:$B,MATCH(H732,编号表!$A:$A,0))*100000+INDEX(编号表!$F:$F,MATCH(D732,编号表!$E:$E,0))*10000+INDEX(编号表!$D:$D,MATCH(AG732,编号表!$C:$C,0))*1000+F732</f>
        <v>11665001</v>
      </c>
      <c r="C732" s="14" t="s">
        <v>892</v>
      </c>
      <c r="D732" s="14" t="s">
        <v>362</v>
      </c>
      <c r="E732" s="14" t="s">
        <v>95</v>
      </c>
      <c r="F732" s="14">
        <v>1</v>
      </c>
      <c r="G732" s="14">
        <v>60</v>
      </c>
      <c r="H732" s="31" t="s">
        <v>244</v>
      </c>
      <c r="I732" s="14" t="s">
        <v>75</v>
      </c>
      <c r="J732" s="14" t="s">
        <v>201</v>
      </c>
      <c r="K732" s="14">
        <v>1</v>
      </c>
      <c r="L732" s="14" t="s">
        <v>213</v>
      </c>
      <c r="N732" s="14">
        <v>0</v>
      </c>
      <c r="O732" s="14" t="b">
        <v>1</v>
      </c>
      <c r="Q732" s="14" t="b">
        <v>0</v>
      </c>
      <c r="R732" s="14">
        <v>1</v>
      </c>
      <c r="S732" s="14" t="s">
        <v>77</v>
      </c>
      <c r="T732" s="14">
        <v>999</v>
      </c>
      <c r="U732" s="14" t="s">
        <v>214</v>
      </c>
      <c r="V732" s="14">
        <v>31665001</v>
      </c>
      <c r="X732" s="14" t="s">
        <v>204</v>
      </c>
      <c r="Y732" s="14" t="s">
        <v>215</v>
      </c>
      <c r="Z732" s="14">
        <v>20001</v>
      </c>
      <c r="AA732" s="14" t="s">
        <v>205</v>
      </c>
      <c r="AB732" s="14">
        <v>40001</v>
      </c>
      <c r="AE732" s="29" t="s">
        <v>121</v>
      </c>
      <c r="AF732" s="14" t="s">
        <v>213</v>
      </c>
      <c r="AG732" s="14" t="s">
        <v>95</v>
      </c>
    </row>
    <row r="733" spans="2:33">
      <c r="B733" s="14">
        <f>10000000+INDEX(编号表!$B:$B,MATCH(H733,编号表!$A:$A,0))*100000+INDEX(编号表!$F:$F,MATCH(D733,编号表!$E:$E,0))*10000+INDEX(编号表!$D:$D,MATCH(AG733,编号表!$C:$C,0))*1000+F733</f>
        <v>11665002</v>
      </c>
      <c r="C733" s="14" t="s">
        <v>893</v>
      </c>
      <c r="D733" s="14" t="s">
        <v>362</v>
      </c>
      <c r="E733" s="14" t="s">
        <v>95</v>
      </c>
      <c r="F733" s="14">
        <v>2</v>
      </c>
      <c r="G733" s="14">
        <v>60</v>
      </c>
      <c r="H733" s="31" t="s">
        <v>244</v>
      </c>
      <c r="I733" s="14" t="s">
        <v>75</v>
      </c>
      <c r="J733" s="14" t="s">
        <v>201</v>
      </c>
      <c r="K733" s="14">
        <v>1</v>
      </c>
      <c r="L733" s="14" t="s">
        <v>213</v>
      </c>
      <c r="N733" s="14">
        <v>0</v>
      </c>
      <c r="O733" s="14" t="b">
        <v>1</v>
      </c>
      <c r="Q733" s="14" t="b">
        <v>0</v>
      </c>
      <c r="R733" s="14">
        <v>1</v>
      </c>
      <c r="S733" s="14" t="s">
        <v>77</v>
      </c>
      <c r="T733" s="14">
        <v>999</v>
      </c>
      <c r="U733" s="14" t="s">
        <v>214</v>
      </c>
      <c r="V733" s="14">
        <v>31665002</v>
      </c>
      <c r="X733" s="14" t="s">
        <v>204</v>
      </c>
      <c r="Y733" s="14" t="s">
        <v>215</v>
      </c>
      <c r="Z733" s="14">
        <v>20001</v>
      </c>
      <c r="AA733" s="14" t="s">
        <v>205</v>
      </c>
      <c r="AB733" s="14">
        <v>40001</v>
      </c>
      <c r="AE733" s="29" t="s">
        <v>121</v>
      </c>
      <c r="AF733" s="14" t="s">
        <v>213</v>
      </c>
      <c r="AG733" s="14" t="s">
        <v>95</v>
      </c>
    </row>
    <row r="734" spans="2:33">
      <c r="B734" s="14">
        <f>10000000+INDEX(编号表!$B:$B,MATCH(H734,编号表!$A:$A,0))*100000+INDEX(编号表!$F:$F,MATCH(D734,编号表!$E:$E,0))*10000+INDEX(编号表!$D:$D,MATCH(AG734,编号表!$C:$C,0))*1000+F734</f>
        <v>11216000</v>
      </c>
      <c r="C734" s="14" t="s">
        <v>894</v>
      </c>
      <c r="D734" s="14" t="s">
        <v>72</v>
      </c>
      <c r="E734" s="14" t="s">
        <v>98</v>
      </c>
      <c r="F734" s="14">
        <v>0</v>
      </c>
      <c r="G734" s="14">
        <v>60</v>
      </c>
      <c r="H734" s="31" t="s">
        <v>212</v>
      </c>
      <c r="I734" s="14" t="s">
        <v>75</v>
      </c>
      <c r="J734" s="14" t="s">
        <v>201</v>
      </c>
      <c r="K734" s="14">
        <v>1</v>
      </c>
      <c r="L734" s="14" t="s">
        <v>213</v>
      </c>
      <c r="N734" s="14">
        <v>0</v>
      </c>
      <c r="O734" s="14" t="b">
        <v>1</v>
      </c>
      <c r="Q734" s="14" t="b">
        <v>0</v>
      </c>
      <c r="R734" s="14">
        <v>1</v>
      </c>
      <c r="S734" s="14" t="s">
        <v>77</v>
      </c>
      <c r="T734" s="14">
        <v>999</v>
      </c>
      <c r="U734" s="14" t="s">
        <v>214</v>
      </c>
      <c r="V734" s="14">
        <v>31216000</v>
      </c>
      <c r="X734" s="14" t="s">
        <v>204</v>
      </c>
      <c r="Y734" s="14" t="s">
        <v>215</v>
      </c>
      <c r="Z734" s="14">
        <v>20001</v>
      </c>
      <c r="AA734" s="14" t="s">
        <v>205</v>
      </c>
      <c r="AB734" s="14">
        <v>40001</v>
      </c>
      <c r="AE734" s="29" t="s">
        <v>121</v>
      </c>
      <c r="AF734" s="14" t="s">
        <v>213</v>
      </c>
      <c r="AG734" s="14" t="s">
        <v>98</v>
      </c>
    </row>
    <row r="735" spans="2:33">
      <c r="B735" s="14">
        <f>10000000+INDEX(编号表!$B:$B,MATCH(H735,编号表!$A:$A,0))*100000+INDEX(编号表!$F:$F,MATCH(D735,编号表!$E:$E,0))*10000+INDEX(编号表!$D:$D,MATCH(AG735,编号表!$C:$C,0))*1000+F735</f>
        <v>11316000</v>
      </c>
      <c r="C735" s="14" t="s">
        <v>895</v>
      </c>
      <c r="D735" s="14" t="s">
        <v>72</v>
      </c>
      <c r="E735" s="14" t="s">
        <v>98</v>
      </c>
      <c r="F735" s="14">
        <v>0</v>
      </c>
      <c r="G735" s="14">
        <v>60</v>
      </c>
      <c r="H735" s="31" t="s">
        <v>217</v>
      </c>
      <c r="I735" s="14" t="s">
        <v>75</v>
      </c>
      <c r="J735" s="14" t="s">
        <v>201</v>
      </c>
      <c r="K735" s="14">
        <v>1</v>
      </c>
      <c r="L735" s="14" t="s">
        <v>213</v>
      </c>
      <c r="N735" s="14">
        <v>0</v>
      </c>
      <c r="O735" s="14" t="b">
        <v>1</v>
      </c>
      <c r="Q735" s="14" t="b">
        <v>0</v>
      </c>
      <c r="R735" s="14">
        <v>1</v>
      </c>
      <c r="S735" s="14" t="s">
        <v>77</v>
      </c>
      <c r="T735" s="14">
        <v>999</v>
      </c>
      <c r="U735" s="14" t="s">
        <v>214</v>
      </c>
      <c r="V735" s="14">
        <v>31316000</v>
      </c>
      <c r="X735" s="14" t="s">
        <v>204</v>
      </c>
      <c r="Y735" s="14" t="s">
        <v>215</v>
      </c>
      <c r="Z735" s="14">
        <v>20001</v>
      </c>
      <c r="AA735" s="14" t="s">
        <v>205</v>
      </c>
      <c r="AB735" s="14">
        <v>40001</v>
      </c>
      <c r="AE735" s="29" t="s">
        <v>121</v>
      </c>
      <c r="AF735" s="14" t="s">
        <v>213</v>
      </c>
      <c r="AG735" s="14" t="s">
        <v>98</v>
      </c>
    </row>
    <row r="736" spans="2:33">
      <c r="B736" s="14">
        <f>10000000+INDEX(编号表!$B:$B,MATCH(H736,编号表!$A:$A,0))*100000+INDEX(编号表!$F:$F,MATCH(D736,编号表!$E:$E,0))*10000+INDEX(编号表!$D:$D,MATCH(AG736,编号表!$C:$C,0))*1000+F736</f>
        <v>11316001</v>
      </c>
      <c r="C736" s="14" t="s">
        <v>896</v>
      </c>
      <c r="D736" s="14" t="s">
        <v>72</v>
      </c>
      <c r="E736" s="14" t="s">
        <v>98</v>
      </c>
      <c r="F736" s="14">
        <v>1</v>
      </c>
      <c r="G736" s="14">
        <v>60</v>
      </c>
      <c r="H736" s="31" t="s">
        <v>217</v>
      </c>
      <c r="I736" s="14" t="s">
        <v>75</v>
      </c>
      <c r="J736" s="14" t="s">
        <v>201</v>
      </c>
      <c r="K736" s="14">
        <v>1</v>
      </c>
      <c r="L736" s="14" t="s">
        <v>213</v>
      </c>
      <c r="N736" s="14">
        <v>0</v>
      </c>
      <c r="O736" s="14" t="b">
        <v>1</v>
      </c>
      <c r="Q736" s="14" t="b">
        <v>0</v>
      </c>
      <c r="R736" s="14">
        <v>1</v>
      </c>
      <c r="S736" s="14" t="s">
        <v>77</v>
      </c>
      <c r="T736" s="14">
        <v>999</v>
      </c>
      <c r="U736" s="14" t="s">
        <v>214</v>
      </c>
      <c r="V736" s="14">
        <v>31316001</v>
      </c>
      <c r="X736" s="14" t="s">
        <v>204</v>
      </c>
      <c r="Y736" s="14" t="s">
        <v>215</v>
      </c>
      <c r="Z736" s="14">
        <v>20001</v>
      </c>
      <c r="AA736" s="14" t="s">
        <v>205</v>
      </c>
      <c r="AB736" s="14">
        <v>40001</v>
      </c>
      <c r="AE736" s="29" t="s">
        <v>121</v>
      </c>
      <c r="AF736" s="14" t="s">
        <v>213</v>
      </c>
      <c r="AG736" s="14" t="s">
        <v>98</v>
      </c>
    </row>
    <row r="737" spans="2:33">
      <c r="B737" s="14">
        <f>10000000+INDEX(编号表!$B:$B,MATCH(H737,编号表!$A:$A,0))*100000+INDEX(编号表!$F:$F,MATCH(D737,编号表!$E:$E,0))*10000+INDEX(编号表!$D:$D,MATCH(AG737,编号表!$C:$C,0))*1000+F737</f>
        <v>11316002</v>
      </c>
      <c r="C737" s="14" t="s">
        <v>897</v>
      </c>
      <c r="D737" s="14" t="s">
        <v>72</v>
      </c>
      <c r="E737" s="14" t="s">
        <v>98</v>
      </c>
      <c r="F737" s="14">
        <v>2</v>
      </c>
      <c r="G737" s="14">
        <v>60</v>
      </c>
      <c r="H737" s="31" t="s">
        <v>217</v>
      </c>
      <c r="I737" s="14" t="s">
        <v>75</v>
      </c>
      <c r="J737" s="14" t="s">
        <v>201</v>
      </c>
      <c r="K737" s="14">
        <v>1</v>
      </c>
      <c r="L737" s="14" t="s">
        <v>213</v>
      </c>
      <c r="N737" s="14">
        <v>0</v>
      </c>
      <c r="O737" s="14" t="b">
        <v>1</v>
      </c>
      <c r="Q737" s="14" t="b">
        <v>0</v>
      </c>
      <c r="R737" s="14">
        <v>1</v>
      </c>
      <c r="S737" s="14" t="s">
        <v>77</v>
      </c>
      <c r="T737" s="14">
        <v>999</v>
      </c>
      <c r="U737" s="14" t="s">
        <v>214</v>
      </c>
      <c r="V737" s="14">
        <v>31316002</v>
      </c>
      <c r="X737" s="14" t="s">
        <v>204</v>
      </c>
      <c r="Y737" s="14" t="s">
        <v>215</v>
      </c>
      <c r="Z737" s="14">
        <v>20001</v>
      </c>
      <c r="AA737" s="14" t="s">
        <v>205</v>
      </c>
      <c r="AB737" s="14">
        <v>40001</v>
      </c>
      <c r="AE737" s="29" t="s">
        <v>121</v>
      </c>
      <c r="AF737" s="14" t="s">
        <v>213</v>
      </c>
      <c r="AG737" s="14" t="s">
        <v>98</v>
      </c>
    </row>
    <row r="738" spans="2:33">
      <c r="B738" s="14">
        <f>10000000+INDEX(编号表!$B:$B,MATCH(H738,编号表!$A:$A,0))*100000+INDEX(编号表!$F:$F,MATCH(D738,编号表!$E:$E,0))*10000+INDEX(编号表!$D:$D,MATCH(AG738,编号表!$C:$C,0))*1000+F738</f>
        <v>11316003</v>
      </c>
      <c r="C738" s="14" t="s">
        <v>898</v>
      </c>
      <c r="D738" s="14" t="s">
        <v>72</v>
      </c>
      <c r="E738" s="14" t="s">
        <v>98</v>
      </c>
      <c r="F738" s="14">
        <v>3</v>
      </c>
      <c r="G738" s="14">
        <v>60</v>
      </c>
      <c r="H738" s="31" t="s">
        <v>217</v>
      </c>
      <c r="I738" s="14" t="s">
        <v>75</v>
      </c>
      <c r="J738" s="14" t="s">
        <v>201</v>
      </c>
      <c r="K738" s="14">
        <v>1</v>
      </c>
      <c r="L738" s="14" t="s">
        <v>213</v>
      </c>
      <c r="N738" s="14">
        <v>0</v>
      </c>
      <c r="O738" s="14" t="b">
        <v>1</v>
      </c>
      <c r="Q738" s="14" t="b">
        <v>0</v>
      </c>
      <c r="R738" s="14">
        <v>1</v>
      </c>
      <c r="S738" s="14" t="s">
        <v>77</v>
      </c>
      <c r="T738" s="14">
        <v>999</v>
      </c>
      <c r="U738" s="14" t="s">
        <v>214</v>
      </c>
      <c r="V738" s="14">
        <v>31316003</v>
      </c>
      <c r="X738" s="14" t="s">
        <v>204</v>
      </c>
      <c r="Y738" s="14" t="s">
        <v>215</v>
      </c>
      <c r="Z738" s="14">
        <v>20001</v>
      </c>
      <c r="AA738" s="14" t="s">
        <v>205</v>
      </c>
      <c r="AB738" s="14">
        <v>40001</v>
      </c>
      <c r="AE738" s="29" t="s">
        <v>121</v>
      </c>
      <c r="AF738" s="14" t="s">
        <v>213</v>
      </c>
      <c r="AG738" s="14" t="s">
        <v>98</v>
      </c>
    </row>
    <row r="739" spans="2:33">
      <c r="B739" s="14">
        <f>10000000+INDEX(编号表!$B:$B,MATCH(H739,编号表!$A:$A,0))*100000+INDEX(编号表!$F:$F,MATCH(D739,编号表!$E:$E,0))*10000+INDEX(编号表!$D:$D,MATCH(AG739,编号表!$C:$C,0))*1000+F739</f>
        <v>11316004</v>
      </c>
      <c r="C739" s="14" t="s">
        <v>899</v>
      </c>
      <c r="D739" s="14" t="s">
        <v>72</v>
      </c>
      <c r="E739" s="14" t="s">
        <v>98</v>
      </c>
      <c r="F739" s="14">
        <v>4</v>
      </c>
      <c r="G739" s="14">
        <v>60</v>
      </c>
      <c r="H739" s="31" t="s">
        <v>217</v>
      </c>
      <c r="I739" s="14" t="s">
        <v>75</v>
      </c>
      <c r="J739" s="14" t="s">
        <v>201</v>
      </c>
      <c r="K739" s="14">
        <v>1</v>
      </c>
      <c r="L739" s="14" t="s">
        <v>213</v>
      </c>
      <c r="N739" s="14">
        <v>0</v>
      </c>
      <c r="O739" s="14" t="b">
        <v>1</v>
      </c>
      <c r="Q739" s="14" t="b">
        <v>0</v>
      </c>
      <c r="R739" s="14">
        <v>1</v>
      </c>
      <c r="S739" s="14" t="s">
        <v>77</v>
      </c>
      <c r="T739" s="14">
        <v>999</v>
      </c>
      <c r="U739" s="14" t="s">
        <v>214</v>
      </c>
      <c r="V739" s="14">
        <v>31316004</v>
      </c>
      <c r="X739" s="14" t="s">
        <v>204</v>
      </c>
      <c r="Y739" s="14" t="s">
        <v>215</v>
      </c>
      <c r="Z739" s="14">
        <v>20001</v>
      </c>
      <c r="AA739" s="14" t="s">
        <v>205</v>
      </c>
      <c r="AB739" s="14">
        <v>40001</v>
      </c>
      <c r="AE739" s="29" t="s">
        <v>121</v>
      </c>
      <c r="AF739" s="14" t="s">
        <v>213</v>
      </c>
      <c r="AG739" s="14" t="s">
        <v>98</v>
      </c>
    </row>
    <row r="740" spans="2:33">
      <c r="B740" s="14">
        <f>10000000+INDEX(编号表!$B:$B,MATCH(H740,编号表!$A:$A,0))*100000+INDEX(编号表!$F:$F,MATCH(D740,编号表!$E:$E,0))*10000+INDEX(编号表!$D:$D,MATCH(AG740,编号表!$C:$C,0))*1000+F740</f>
        <v>11316005</v>
      </c>
      <c r="C740" s="14" t="s">
        <v>900</v>
      </c>
      <c r="D740" s="14" t="s">
        <v>72</v>
      </c>
      <c r="E740" s="14" t="s">
        <v>98</v>
      </c>
      <c r="F740" s="14">
        <v>5</v>
      </c>
      <c r="G740" s="14">
        <v>60</v>
      </c>
      <c r="H740" s="31" t="s">
        <v>217</v>
      </c>
      <c r="I740" s="14" t="s">
        <v>75</v>
      </c>
      <c r="J740" s="14" t="s">
        <v>201</v>
      </c>
      <c r="K740" s="14">
        <v>1</v>
      </c>
      <c r="L740" s="14" t="s">
        <v>213</v>
      </c>
      <c r="N740" s="14">
        <v>0</v>
      </c>
      <c r="O740" s="14" t="b">
        <v>1</v>
      </c>
      <c r="Q740" s="14" t="b">
        <v>0</v>
      </c>
      <c r="R740" s="14">
        <v>1</v>
      </c>
      <c r="S740" s="14" t="s">
        <v>77</v>
      </c>
      <c r="T740" s="14">
        <v>999</v>
      </c>
      <c r="U740" s="14" t="s">
        <v>214</v>
      </c>
      <c r="V740" s="14">
        <v>31316005</v>
      </c>
      <c r="X740" s="14" t="s">
        <v>204</v>
      </c>
      <c r="Y740" s="14" t="s">
        <v>215</v>
      </c>
      <c r="Z740" s="14">
        <v>20001</v>
      </c>
      <c r="AA740" s="14" t="s">
        <v>205</v>
      </c>
      <c r="AB740" s="14">
        <v>40001</v>
      </c>
      <c r="AE740" s="29" t="s">
        <v>121</v>
      </c>
      <c r="AF740" s="14" t="s">
        <v>213</v>
      </c>
      <c r="AG740" s="14" t="s">
        <v>98</v>
      </c>
    </row>
    <row r="741" spans="2:33">
      <c r="B741" s="14">
        <f>10000000+INDEX(编号表!$B:$B,MATCH(H741,编号表!$A:$A,0))*100000+INDEX(编号表!$F:$F,MATCH(D741,编号表!$E:$E,0))*10000+INDEX(编号表!$D:$D,MATCH(AG741,编号表!$C:$C,0))*1000+F741</f>
        <v>11316006</v>
      </c>
      <c r="C741" s="14" t="s">
        <v>901</v>
      </c>
      <c r="D741" s="14" t="s">
        <v>72</v>
      </c>
      <c r="E741" s="14" t="s">
        <v>98</v>
      </c>
      <c r="F741" s="14">
        <v>6</v>
      </c>
      <c r="G741" s="14">
        <v>60</v>
      </c>
      <c r="H741" s="31" t="s">
        <v>217</v>
      </c>
      <c r="I741" s="14" t="s">
        <v>75</v>
      </c>
      <c r="J741" s="14" t="s">
        <v>201</v>
      </c>
      <c r="K741" s="14">
        <v>1</v>
      </c>
      <c r="L741" s="14" t="s">
        <v>213</v>
      </c>
      <c r="N741" s="14">
        <v>0</v>
      </c>
      <c r="O741" s="14" t="b">
        <v>1</v>
      </c>
      <c r="Q741" s="14" t="b">
        <v>0</v>
      </c>
      <c r="R741" s="14">
        <v>1</v>
      </c>
      <c r="S741" s="14" t="s">
        <v>77</v>
      </c>
      <c r="T741" s="14">
        <v>999</v>
      </c>
      <c r="U741" s="14" t="s">
        <v>214</v>
      </c>
      <c r="V741" s="14">
        <v>31316006</v>
      </c>
      <c r="X741" s="14" t="s">
        <v>204</v>
      </c>
      <c r="Y741" s="14" t="s">
        <v>215</v>
      </c>
      <c r="Z741" s="14">
        <v>20001</v>
      </c>
      <c r="AA741" s="14" t="s">
        <v>205</v>
      </c>
      <c r="AB741" s="14">
        <v>40001</v>
      </c>
      <c r="AE741" s="29" t="s">
        <v>121</v>
      </c>
      <c r="AF741" s="14" t="s">
        <v>213</v>
      </c>
      <c r="AG741" s="14" t="s">
        <v>98</v>
      </c>
    </row>
    <row r="742" spans="2:33">
      <c r="B742" s="14">
        <f>10000000+INDEX(编号表!$B:$B,MATCH(H742,编号表!$A:$A,0))*100000+INDEX(编号表!$F:$F,MATCH(D742,编号表!$E:$E,0))*10000+INDEX(编号表!$D:$D,MATCH(AG742,编号表!$C:$C,0))*1000+F742</f>
        <v>11316007</v>
      </c>
      <c r="C742" s="14" t="s">
        <v>902</v>
      </c>
      <c r="D742" s="14" t="s">
        <v>72</v>
      </c>
      <c r="E742" s="14" t="s">
        <v>98</v>
      </c>
      <c r="F742" s="14">
        <v>7</v>
      </c>
      <c r="G742" s="14">
        <v>60</v>
      </c>
      <c r="H742" s="31" t="s">
        <v>217</v>
      </c>
      <c r="I742" s="14" t="s">
        <v>75</v>
      </c>
      <c r="J742" s="14" t="s">
        <v>201</v>
      </c>
      <c r="K742" s="14">
        <v>1</v>
      </c>
      <c r="L742" s="14" t="s">
        <v>213</v>
      </c>
      <c r="N742" s="14">
        <v>0</v>
      </c>
      <c r="O742" s="14" t="b">
        <v>1</v>
      </c>
      <c r="Q742" s="14" t="b">
        <v>0</v>
      </c>
      <c r="R742" s="14">
        <v>1</v>
      </c>
      <c r="S742" s="14" t="s">
        <v>77</v>
      </c>
      <c r="T742" s="14">
        <v>999</v>
      </c>
      <c r="U742" s="14" t="s">
        <v>214</v>
      </c>
      <c r="V742" s="14">
        <v>31316007</v>
      </c>
      <c r="X742" s="14" t="s">
        <v>204</v>
      </c>
      <c r="Y742" s="14" t="s">
        <v>215</v>
      </c>
      <c r="Z742" s="14">
        <v>20001</v>
      </c>
      <c r="AA742" s="14" t="s">
        <v>205</v>
      </c>
      <c r="AB742" s="14">
        <v>40001</v>
      </c>
      <c r="AE742" s="29" t="s">
        <v>121</v>
      </c>
      <c r="AF742" s="14" t="s">
        <v>213</v>
      </c>
      <c r="AG742" s="14" t="s">
        <v>98</v>
      </c>
    </row>
    <row r="743" spans="2:33">
      <c r="B743" s="14">
        <f>10000000+INDEX(编号表!$B:$B,MATCH(H743,编号表!$A:$A,0))*100000+INDEX(编号表!$F:$F,MATCH(D743,编号表!$E:$E,0))*10000+INDEX(编号表!$D:$D,MATCH(AG743,编号表!$C:$C,0))*1000+F743</f>
        <v>11316008</v>
      </c>
      <c r="C743" s="14" t="s">
        <v>903</v>
      </c>
      <c r="D743" s="14" t="s">
        <v>72</v>
      </c>
      <c r="E743" s="14" t="s">
        <v>98</v>
      </c>
      <c r="F743" s="14">
        <v>8</v>
      </c>
      <c r="G743" s="14">
        <v>60</v>
      </c>
      <c r="H743" s="31" t="s">
        <v>217</v>
      </c>
      <c r="I743" s="14" t="s">
        <v>75</v>
      </c>
      <c r="J743" s="14" t="s">
        <v>201</v>
      </c>
      <c r="K743" s="14">
        <v>1</v>
      </c>
      <c r="L743" s="14" t="s">
        <v>213</v>
      </c>
      <c r="N743" s="14">
        <v>0</v>
      </c>
      <c r="O743" s="14" t="b">
        <v>1</v>
      </c>
      <c r="Q743" s="14" t="b">
        <v>0</v>
      </c>
      <c r="R743" s="14">
        <v>1</v>
      </c>
      <c r="S743" s="14" t="s">
        <v>77</v>
      </c>
      <c r="T743" s="14">
        <v>999</v>
      </c>
      <c r="U743" s="14" t="s">
        <v>214</v>
      </c>
      <c r="V743" s="14">
        <v>31316008</v>
      </c>
      <c r="X743" s="14" t="s">
        <v>204</v>
      </c>
      <c r="Y743" s="14" t="s">
        <v>215</v>
      </c>
      <c r="Z743" s="14">
        <v>20001</v>
      </c>
      <c r="AA743" s="14" t="s">
        <v>205</v>
      </c>
      <c r="AB743" s="14">
        <v>40001</v>
      </c>
      <c r="AE743" s="29" t="s">
        <v>121</v>
      </c>
      <c r="AF743" s="14" t="s">
        <v>213</v>
      </c>
      <c r="AG743" s="14" t="s">
        <v>98</v>
      </c>
    </row>
    <row r="744" spans="2:33">
      <c r="B744" s="14">
        <f>10000000+INDEX(编号表!$B:$B,MATCH(H744,编号表!$A:$A,0))*100000+INDEX(编号表!$F:$F,MATCH(D744,编号表!$E:$E,0))*10000+INDEX(编号表!$D:$D,MATCH(AG744,编号表!$C:$C,0))*1000+F744</f>
        <v>11316009</v>
      </c>
      <c r="C744" s="14" t="s">
        <v>904</v>
      </c>
      <c r="D744" s="14" t="s">
        <v>72</v>
      </c>
      <c r="E744" s="14" t="s">
        <v>98</v>
      </c>
      <c r="F744" s="14">
        <v>9</v>
      </c>
      <c r="G744" s="14">
        <v>60</v>
      </c>
      <c r="H744" s="31" t="s">
        <v>217</v>
      </c>
      <c r="I744" s="14" t="s">
        <v>75</v>
      </c>
      <c r="J744" s="14" t="s">
        <v>201</v>
      </c>
      <c r="K744" s="14">
        <v>1</v>
      </c>
      <c r="L744" s="14" t="s">
        <v>213</v>
      </c>
      <c r="N744" s="14">
        <v>0</v>
      </c>
      <c r="O744" s="14" t="b">
        <v>1</v>
      </c>
      <c r="Q744" s="14" t="b">
        <v>0</v>
      </c>
      <c r="R744" s="14">
        <v>1</v>
      </c>
      <c r="S744" s="14" t="s">
        <v>77</v>
      </c>
      <c r="T744" s="14">
        <v>999</v>
      </c>
      <c r="U744" s="14" t="s">
        <v>214</v>
      </c>
      <c r="V744" s="14">
        <v>31316009</v>
      </c>
      <c r="X744" s="14" t="s">
        <v>204</v>
      </c>
      <c r="Y744" s="14" t="s">
        <v>215</v>
      </c>
      <c r="Z744" s="14">
        <v>20001</v>
      </c>
      <c r="AA744" s="14" t="s">
        <v>205</v>
      </c>
      <c r="AB744" s="14">
        <v>40001</v>
      </c>
      <c r="AE744" s="29" t="s">
        <v>121</v>
      </c>
      <c r="AF744" s="14" t="s">
        <v>213</v>
      </c>
      <c r="AG744" s="14" t="s">
        <v>98</v>
      </c>
    </row>
    <row r="745" spans="2:33">
      <c r="B745" s="14">
        <f>10000000+INDEX(编号表!$B:$B,MATCH(H745,编号表!$A:$A,0))*100000+INDEX(编号表!$F:$F,MATCH(D745,编号表!$E:$E,0))*10000+INDEX(编号表!$D:$D,MATCH(AG745,编号表!$C:$C,0))*1000+F745</f>
        <v>11516000</v>
      </c>
      <c r="C745" s="14" t="s">
        <v>905</v>
      </c>
      <c r="D745" s="14" t="s">
        <v>72</v>
      </c>
      <c r="E745" s="14" t="s">
        <v>98</v>
      </c>
      <c r="F745" s="14">
        <v>0</v>
      </c>
      <c r="G745" s="14">
        <v>60</v>
      </c>
      <c r="H745" s="31" t="s">
        <v>228</v>
      </c>
      <c r="I745" s="14" t="s">
        <v>75</v>
      </c>
      <c r="J745" s="14" t="s">
        <v>201</v>
      </c>
      <c r="K745" s="14">
        <v>1</v>
      </c>
      <c r="L745" s="14" t="s">
        <v>213</v>
      </c>
      <c r="N745" s="14">
        <v>0</v>
      </c>
      <c r="O745" s="14" t="b">
        <v>1</v>
      </c>
      <c r="Q745" s="14" t="b">
        <v>0</v>
      </c>
      <c r="R745" s="14">
        <v>1</v>
      </c>
      <c r="S745" s="14" t="s">
        <v>77</v>
      </c>
      <c r="T745" s="14">
        <v>999</v>
      </c>
      <c r="U745" s="14" t="s">
        <v>214</v>
      </c>
      <c r="V745" s="14">
        <v>31516000</v>
      </c>
      <c r="X745" s="14" t="s">
        <v>204</v>
      </c>
      <c r="Y745" s="14" t="s">
        <v>215</v>
      </c>
      <c r="Z745" s="14">
        <v>20001</v>
      </c>
      <c r="AA745" s="14" t="s">
        <v>205</v>
      </c>
      <c r="AB745" s="14">
        <v>40001</v>
      </c>
      <c r="AE745" s="29" t="s">
        <v>121</v>
      </c>
      <c r="AF745" s="14" t="s">
        <v>213</v>
      </c>
      <c r="AG745" s="14" t="s">
        <v>98</v>
      </c>
    </row>
    <row r="746" spans="2:33">
      <c r="B746" s="14">
        <f>10000000+INDEX(编号表!$B:$B,MATCH(H746,编号表!$A:$A,0))*100000+INDEX(编号表!$F:$F,MATCH(D746,编号表!$E:$E,0))*10000+INDEX(编号表!$D:$D,MATCH(AG746,编号表!$C:$C,0))*1000+F746</f>
        <v>11516001</v>
      </c>
      <c r="C746" s="14" t="s">
        <v>906</v>
      </c>
      <c r="D746" s="14" t="s">
        <v>72</v>
      </c>
      <c r="E746" s="14" t="s">
        <v>98</v>
      </c>
      <c r="F746" s="14">
        <v>1</v>
      </c>
      <c r="G746" s="14">
        <v>60</v>
      </c>
      <c r="H746" s="31" t="s">
        <v>228</v>
      </c>
      <c r="I746" s="14" t="s">
        <v>75</v>
      </c>
      <c r="J746" s="14" t="s">
        <v>201</v>
      </c>
      <c r="K746" s="14">
        <v>1</v>
      </c>
      <c r="L746" s="14" t="s">
        <v>213</v>
      </c>
      <c r="N746" s="14">
        <v>0</v>
      </c>
      <c r="O746" s="14" t="b">
        <v>1</v>
      </c>
      <c r="Q746" s="14" t="b">
        <v>0</v>
      </c>
      <c r="R746" s="14">
        <v>1</v>
      </c>
      <c r="S746" s="14" t="s">
        <v>77</v>
      </c>
      <c r="T746" s="14">
        <v>999</v>
      </c>
      <c r="U746" s="14" t="s">
        <v>214</v>
      </c>
      <c r="V746" s="14">
        <v>31516001</v>
      </c>
      <c r="X746" s="14" t="s">
        <v>204</v>
      </c>
      <c r="Y746" s="14" t="s">
        <v>215</v>
      </c>
      <c r="Z746" s="14">
        <v>20001</v>
      </c>
      <c r="AA746" s="14" t="s">
        <v>205</v>
      </c>
      <c r="AB746" s="14">
        <v>40001</v>
      </c>
      <c r="AE746" s="29" t="s">
        <v>121</v>
      </c>
      <c r="AF746" s="14" t="s">
        <v>213</v>
      </c>
      <c r="AG746" s="14" t="s">
        <v>98</v>
      </c>
    </row>
    <row r="747" spans="2:33">
      <c r="B747" s="14">
        <f>10000000+INDEX(编号表!$B:$B,MATCH(H747,编号表!$A:$A,0))*100000+INDEX(编号表!$F:$F,MATCH(D747,编号表!$E:$E,0))*10000+INDEX(编号表!$D:$D,MATCH(AG747,编号表!$C:$C,0))*1000+F747</f>
        <v>11516002</v>
      </c>
      <c r="C747" s="14" t="s">
        <v>907</v>
      </c>
      <c r="D747" s="14" t="s">
        <v>72</v>
      </c>
      <c r="E747" s="14" t="s">
        <v>98</v>
      </c>
      <c r="F747" s="14">
        <v>2</v>
      </c>
      <c r="G747" s="14">
        <v>60</v>
      </c>
      <c r="H747" s="31" t="s">
        <v>228</v>
      </c>
      <c r="I747" s="14" t="s">
        <v>75</v>
      </c>
      <c r="J747" s="14" t="s">
        <v>201</v>
      </c>
      <c r="K747" s="14">
        <v>1</v>
      </c>
      <c r="L747" s="14" t="s">
        <v>213</v>
      </c>
      <c r="N747" s="14">
        <v>0</v>
      </c>
      <c r="O747" s="14" t="b">
        <v>1</v>
      </c>
      <c r="Q747" s="14" t="b">
        <v>0</v>
      </c>
      <c r="R747" s="14">
        <v>1</v>
      </c>
      <c r="S747" s="14" t="s">
        <v>77</v>
      </c>
      <c r="T747" s="14">
        <v>999</v>
      </c>
      <c r="U747" s="14" t="s">
        <v>214</v>
      </c>
      <c r="V747" s="14">
        <v>31516002</v>
      </c>
      <c r="X747" s="14" t="s">
        <v>204</v>
      </c>
      <c r="Y747" s="14" t="s">
        <v>215</v>
      </c>
      <c r="Z747" s="14">
        <v>20001</v>
      </c>
      <c r="AA747" s="14" t="s">
        <v>205</v>
      </c>
      <c r="AB747" s="14">
        <v>40001</v>
      </c>
      <c r="AE747" s="29" t="s">
        <v>121</v>
      </c>
      <c r="AF747" s="14" t="s">
        <v>213</v>
      </c>
      <c r="AG747" s="14" t="s">
        <v>98</v>
      </c>
    </row>
    <row r="748" spans="2:33">
      <c r="B748" s="14">
        <f>10000000+INDEX(编号表!$B:$B,MATCH(H748,编号表!$A:$A,0))*100000+INDEX(编号表!$F:$F,MATCH(D748,编号表!$E:$E,0))*10000+INDEX(编号表!$D:$D,MATCH(AG748,编号表!$C:$C,0))*1000+F748</f>
        <v>11516003</v>
      </c>
      <c r="C748" s="14" t="s">
        <v>908</v>
      </c>
      <c r="D748" s="14" t="s">
        <v>72</v>
      </c>
      <c r="E748" s="14" t="s">
        <v>98</v>
      </c>
      <c r="F748" s="14">
        <v>3</v>
      </c>
      <c r="G748" s="14">
        <v>60</v>
      </c>
      <c r="H748" s="31" t="s">
        <v>228</v>
      </c>
      <c r="I748" s="14" t="s">
        <v>75</v>
      </c>
      <c r="J748" s="14" t="s">
        <v>201</v>
      </c>
      <c r="K748" s="14">
        <v>1</v>
      </c>
      <c r="L748" s="14" t="s">
        <v>213</v>
      </c>
      <c r="N748" s="14">
        <v>0</v>
      </c>
      <c r="O748" s="14" t="b">
        <v>1</v>
      </c>
      <c r="Q748" s="14" t="b">
        <v>0</v>
      </c>
      <c r="R748" s="14">
        <v>1</v>
      </c>
      <c r="S748" s="14" t="s">
        <v>77</v>
      </c>
      <c r="T748" s="14">
        <v>999</v>
      </c>
      <c r="U748" s="14" t="s">
        <v>214</v>
      </c>
      <c r="V748" s="14">
        <v>31516003</v>
      </c>
      <c r="X748" s="14" t="s">
        <v>204</v>
      </c>
      <c r="Y748" s="14" t="s">
        <v>215</v>
      </c>
      <c r="Z748" s="14">
        <v>20001</v>
      </c>
      <c r="AA748" s="14" t="s">
        <v>205</v>
      </c>
      <c r="AB748" s="14">
        <v>40001</v>
      </c>
      <c r="AE748" s="29" t="s">
        <v>121</v>
      </c>
      <c r="AF748" s="14" t="s">
        <v>213</v>
      </c>
      <c r="AG748" s="14" t="s">
        <v>98</v>
      </c>
    </row>
    <row r="749" spans="2:33">
      <c r="B749" s="14">
        <f>10000000+INDEX(编号表!$B:$B,MATCH(H749,编号表!$A:$A,0))*100000+INDEX(编号表!$F:$F,MATCH(D749,编号表!$E:$E,0))*10000+INDEX(编号表!$D:$D,MATCH(AG749,编号表!$C:$C,0))*1000+F749</f>
        <v>11516004</v>
      </c>
      <c r="C749" s="14" t="s">
        <v>909</v>
      </c>
      <c r="D749" s="14" t="s">
        <v>72</v>
      </c>
      <c r="E749" s="14" t="s">
        <v>98</v>
      </c>
      <c r="F749" s="14">
        <v>4</v>
      </c>
      <c r="G749" s="14">
        <v>60</v>
      </c>
      <c r="H749" s="31" t="s">
        <v>228</v>
      </c>
      <c r="I749" s="14" t="s">
        <v>75</v>
      </c>
      <c r="J749" s="14" t="s">
        <v>201</v>
      </c>
      <c r="K749" s="14">
        <v>1</v>
      </c>
      <c r="L749" s="14" t="s">
        <v>213</v>
      </c>
      <c r="N749" s="14">
        <v>0</v>
      </c>
      <c r="O749" s="14" t="b">
        <v>1</v>
      </c>
      <c r="Q749" s="14" t="b">
        <v>0</v>
      </c>
      <c r="R749" s="14">
        <v>1</v>
      </c>
      <c r="S749" s="14" t="s">
        <v>77</v>
      </c>
      <c r="T749" s="14">
        <v>999</v>
      </c>
      <c r="U749" s="14" t="s">
        <v>214</v>
      </c>
      <c r="V749" s="14">
        <v>31516004</v>
      </c>
      <c r="X749" s="14" t="s">
        <v>204</v>
      </c>
      <c r="Y749" s="14" t="s">
        <v>215</v>
      </c>
      <c r="Z749" s="14">
        <v>20001</v>
      </c>
      <c r="AA749" s="14" t="s">
        <v>205</v>
      </c>
      <c r="AB749" s="14">
        <v>40001</v>
      </c>
      <c r="AE749" s="29" t="s">
        <v>121</v>
      </c>
      <c r="AF749" s="14" t="s">
        <v>213</v>
      </c>
      <c r="AG749" s="14" t="s">
        <v>98</v>
      </c>
    </row>
    <row r="750" spans="2:33">
      <c r="B750" s="14">
        <f>10000000+INDEX(编号表!$B:$B,MATCH(H750,编号表!$A:$A,0))*100000+INDEX(编号表!$F:$F,MATCH(D750,编号表!$E:$E,0))*10000+INDEX(编号表!$D:$D,MATCH(AG750,编号表!$C:$C,0))*1000+F750</f>
        <v>11516005</v>
      </c>
      <c r="C750" s="14" t="s">
        <v>910</v>
      </c>
      <c r="D750" s="14" t="s">
        <v>72</v>
      </c>
      <c r="E750" s="14" t="s">
        <v>98</v>
      </c>
      <c r="F750" s="14">
        <v>5</v>
      </c>
      <c r="G750" s="14">
        <v>60</v>
      </c>
      <c r="H750" s="31" t="s">
        <v>228</v>
      </c>
      <c r="I750" s="14" t="s">
        <v>75</v>
      </c>
      <c r="J750" s="14" t="s">
        <v>201</v>
      </c>
      <c r="K750" s="14">
        <v>1</v>
      </c>
      <c r="L750" s="14" t="s">
        <v>213</v>
      </c>
      <c r="N750" s="14">
        <v>0</v>
      </c>
      <c r="O750" s="14" t="b">
        <v>1</v>
      </c>
      <c r="Q750" s="14" t="b">
        <v>0</v>
      </c>
      <c r="R750" s="14">
        <v>1</v>
      </c>
      <c r="S750" s="14" t="s">
        <v>77</v>
      </c>
      <c r="T750" s="14">
        <v>999</v>
      </c>
      <c r="U750" s="14" t="s">
        <v>214</v>
      </c>
      <c r="V750" s="14">
        <v>31516005</v>
      </c>
      <c r="X750" s="14" t="s">
        <v>204</v>
      </c>
      <c r="Y750" s="14" t="s">
        <v>215</v>
      </c>
      <c r="Z750" s="14">
        <v>20001</v>
      </c>
      <c r="AA750" s="14" t="s">
        <v>205</v>
      </c>
      <c r="AB750" s="14">
        <v>40001</v>
      </c>
      <c r="AE750" s="29" t="s">
        <v>121</v>
      </c>
      <c r="AF750" s="14" t="s">
        <v>213</v>
      </c>
      <c r="AG750" s="14" t="s">
        <v>98</v>
      </c>
    </row>
    <row r="751" spans="2:33">
      <c r="B751" s="14">
        <f>10000000+INDEX(编号表!$B:$B,MATCH(H751,编号表!$A:$A,0))*100000+INDEX(编号表!$F:$F,MATCH(D751,编号表!$E:$E,0))*10000+INDEX(编号表!$D:$D,MATCH(AG751,编号表!$C:$C,0))*1000+F751</f>
        <v>11516006</v>
      </c>
      <c r="C751" s="14" t="s">
        <v>911</v>
      </c>
      <c r="D751" s="14" t="s">
        <v>72</v>
      </c>
      <c r="E751" s="14" t="s">
        <v>98</v>
      </c>
      <c r="F751" s="14">
        <v>6</v>
      </c>
      <c r="G751" s="14">
        <v>60</v>
      </c>
      <c r="H751" s="31" t="s">
        <v>228</v>
      </c>
      <c r="I751" s="14" t="s">
        <v>75</v>
      </c>
      <c r="J751" s="14" t="s">
        <v>201</v>
      </c>
      <c r="K751" s="14">
        <v>1</v>
      </c>
      <c r="L751" s="14" t="s">
        <v>213</v>
      </c>
      <c r="N751" s="14">
        <v>0</v>
      </c>
      <c r="O751" s="14" t="b">
        <v>1</v>
      </c>
      <c r="Q751" s="14" t="b">
        <v>0</v>
      </c>
      <c r="R751" s="14">
        <v>1</v>
      </c>
      <c r="S751" s="14" t="s">
        <v>77</v>
      </c>
      <c r="T751" s="14">
        <v>999</v>
      </c>
      <c r="U751" s="14" t="s">
        <v>214</v>
      </c>
      <c r="V751" s="14">
        <v>31516006</v>
      </c>
      <c r="X751" s="14" t="s">
        <v>204</v>
      </c>
      <c r="Y751" s="14" t="s">
        <v>215</v>
      </c>
      <c r="Z751" s="14">
        <v>20001</v>
      </c>
      <c r="AA751" s="14" t="s">
        <v>205</v>
      </c>
      <c r="AB751" s="14">
        <v>40001</v>
      </c>
      <c r="AE751" s="29" t="s">
        <v>121</v>
      </c>
      <c r="AF751" s="14" t="s">
        <v>213</v>
      </c>
      <c r="AG751" s="14" t="s">
        <v>98</v>
      </c>
    </row>
    <row r="752" spans="2:33">
      <c r="B752" s="14">
        <f>10000000+INDEX(编号表!$B:$B,MATCH(H752,编号表!$A:$A,0))*100000+INDEX(编号表!$F:$F,MATCH(D752,编号表!$E:$E,0))*10000+INDEX(编号表!$D:$D,MATCH(AG752,编号表!$C:$C,0))*1000+F752</f>
        <v>11516007</v>
      </c>
      <c r="C752" s="14" t="s">
        <v>912</v>
      </c>
      <c r="D752" s="14" t="s">
        <v>72</v>
      </c>
      <c r="E752" s="14" t="s">
        <v>98</v>
      </c>
      <c r="F752" s="14">
        <v>7</v>
      </c>
      <c r="G752" s="14">
        <v>60</v>
      </c>
      <c r="H752" s="31" t="s">
        <v>228</v>
      </c>
      <c r="I752" s="14" t="s">
        <v>75</v>
      </c>
      <c r="J752" s="14" t="s">
        <v>201</v>
      </c>
      <c r="K752" s="14">
        <v>1</v>
      </c>
      <c r="L752" s="14" t="s">
        <v>213</v>
      </c>
      <c r="N752" s="14">
        <v>0</v>
      </c>
      <c r="O752" s="14" t="b">
        <v>1</v>
      </c>
      <c r="Q752" s="14" t="b">
        <v>0</v>
      </c>
      <c r="R752" s="14">
        <v>1</v>
      </c>
      <c r="S752" s="14" t="s">
        <v>77</v>
      </c>
      <c r="T752" s="14">
        <v>999</v>
      </c>
      <c r="U752" s="14" t="s">
        <v>214</v>
      </c>
      <c r="V752" s="14">
        <v>31516007</v>
      </c>
      <c r="X752" s="14" t="s">
        <v>204</v>
      </c>
      <c r="Y752" s="14" t="s">
        <v>215</v>
      </c>
      <c r="Z752" s="14">
        <v>20001</v>
      </c>
      <c r="AA752" s="14" t="s">
        <v>205</v>
      </c>
      <c r="AB752" s="14">
        <v>40001</v>
      </c>
      <c r="AE752" s="29" t="s">
        <v>121</v>
      </c>
      <c r="AF752" s="14" t="s">
        <v>213</v>
      </c>
      <c r="AG752" s="14" t="s">
        <v>98</v>
      </c>
    </row>
    <row r="753" spans="2:33">
      <c r="B753" s="14">
        <f>10000000+INDEX(编号表!$B:$B,MATCH(H753,编号表!$A:$A,0))*100000+INDEX(编号表!$F:$F,MATCH(D753,编号表!$E:$E,0))*10000+INDEX(编号表!$D:$D,MATCH(AG753,编号表!$C:$C,0))*1000+F753</f>
        <v>11516008</v>
      </c>
      <c r="C753" s="14" t="s">
        <v>913</v>
      </c>
      <c r="D753" s="14" t="s">
        <v>72</v>
      </c>
      <c r="E753" s="14" t="s">
        <v>98</v>
      </c>
      <c r="F753" s="14">
        <v>8</v>
      </c>
      <c r="G753" s="14">
        <v>60</v>
      </c>
      <c r="H753" s="31" t="s">
        <v>228</v>
      </c>
      <c r="I753" s="14" t="s">
        <v>75</v>
      </c>
      <c r="J753" s="14" t="s">
        <v>201</v>
      </c>
      <c r="K753" s="14">
        <v>1</v>
      </c>
      <c r="L753" s="14" t="s">
        <v>213</v>
      </c>
      <c r="N753" s="14">
        <v>0</v>
      </c>
      <c r="O753" s="14" t="b">
        <v>1</v>
      </c>
      <c r="Q753" s="14" t="b">
        <v>0</v>
      </c>
      <c r="R753" s="14">
        <v>1</v>
      </c>
      <c r="S753" s="14" t="s">
        <v>77</v>
      </c>
      <c r="T753" s="14">
        <v>999</v>
      </c>
      <c r="U753" s="14" t="s">
        <v>214</v>
      </c>
      <c r="V753" s="14">
        <v>31516008</v>
      </c>
      <c r="X753" s="14" t="s">
        <v>204</v>
      </c>
      <c r="Y753" s="14" t="s">
        <v>215</v>
      </c>
      <c r="Z753" s="14">
        <v>20001</v>
      </c>
      <c r="AA753" s="14" t="s">
        <v>205</v>
      </c>
      <c r="AB753" s="14">
        <v>40001</v>
      </c>
      <c r="AE753" s="29" t="s">
        <v>121</v>
      </c>
      <c r="AF753" s="14" t="s">
        <v>213</v>
      </c>
      <c r="AG753" s="14" t="s">
        <v>98</v>
      </c>
    </row>
    <row r="754" spans="2:33">
      <c r="B754" s="14">
        <f>10000000+INDEX(编号表!$B:$B,MATCH(H754,编号表!$A:$A,0))*100000+INDEX(编号表!$F:$F,MATCH(D754,编号表!$E:$E,0))*10000+INDEX(编号表!$D:$D,MATCH(AG754,编号表!$C:$C,0))*1000+F754</f>
        <v>11516009</v>
      </c>
      <c r="C754" s="14" t="s">
        <v>914</v>
      </c>
      <c r="D754" s="14" t="s">
        <v>72</v>
      </c>
      <c r="E754" s="14" t="s">
        <v>98</v>
      </c>
      <c r="F754" s="14">
        <v>9</v>
      </c>
      <c r="G754" s="14">
        <v>60</v>
      </c>
      <c r="H754" s="31" t="s">
        <v>228</v>
      </c>
      <c r="I754" s="14" t="s">
        <v>75</v>
      </c>
      <c r="J754" s="14" t="s">
        <v>201</v>
      </c>
      <c r="K754" s="14">
        <v>1</v>
      </c>
      <c r="L754" s="14" t="s">
        <v>213</v>
      </c>
      <c r="N754" s="14">
        <v>0</v>
      </c>
      <c r="O754" s="14" t="b">
        <v>1</v>
      </c>
      <c r="Q754" s="14" t="b">
        <v>0</v>
      </c>
      <c r="R754" s="14">
        <v>1</v>
      </c>
      <c r="S754" s="14" t="s">
        <v>77</v>
      </c>
      <c r="T754" s="14">
        <v>999</v>
      </c>
      <c r="U754" s="14" t="s">
        <v>214</v>
      </c>
      <c r="V754" s="14">
        <v>31516009</v>
      </c>
      <c r="X754" s="14" t="s">
        <v>204</v>
      </c>
      <c r="Y754" s="14" t="s">
        <v>215</v>
      </c>
      <c r="Z754" s="14">
        <v>20001</v>
      </c>
      <c r="AA754" s="14" t="s">
        <v>205</v>
      </c>
      <c r="AB754" s="14">
        <v>40001</v>
      </c>
      <c r="AE754" s="29" t="s">
        <v>121</v>
      </c>
      <c r="AF754" s="14" t="s">
        <v>213</v>
      </c>
      <c r="AG754" s="14" t="s">
        <v>98</v>
      </c>
    </row>
    <row r="755" spans="2:33">
      <c r="B755" s="14">
        <f>10000000+INDEX(编号表!$B:$B,MATCH(H755,编号表!$A:$A,0))*100000+INDEX(编号表!$F:$F,MATCH(D755,编号表!$E:$E,0))*10000+INDEX(编号表!$D:$D,MATCH(AG755,编号表!$C:$C,0))*1000+F755</f>
        <v>11416000</v>
      </c>
      <c r="C755" s="14" t="s">
        <v>915</v>
      </c>
      <c r="D755" s="14" t="s">
        <v>72</v>
      </c>
      <c r="E755" s="14" t="s">
        <v>98</v>
      </c>
      <c r="F755" s="14">
        <v>0</v>
      </c>
      <c r="G755" s="14">
        <v>60</v>
      </c>
      <c r="H755" s="31" t="s">
        <v>239</v>
      </c>
      <c r="I755" s="14" t="s">
        <v>75</v>
      </c>
      <c r="J755" s="14" t="s">
        <v>201</v>
      </c>
      <c r="K755" s="14">
        <v>1</v>
      </c>
      <c r="L755" s="14" t="s">
        <v>213</v>
      </c>
      <c r="N755" s="14">
        <v>0</v>
      </c>
      <c r="O755" s="14" t="b">
        <v>1</v>
      </c>
      <c r="Q755" s="14" t="b">
        <v>0</v>
      </c>
      <c r="R755" s="14">
        <v>1</v>
      </c>
      <c r="S755" s="14" t="s">
        <v>77</v>
      </c>
      <c r="T755" s="14">
        <v>999</v>
      </c>
      <c r="U755" s="14" t="s">
        <v>214</v>
      </c>
      <c r="V755" s="14">
        <v>31416000</v>
      </c>
      <c r="X755" s="14" t="s">
        <v>204</v>
      </c>
      <c r="Y755" s="14" t="s">
        <v>215</v>
      </c>
      <c r="Z755" s="14">
        <v>20001</v>
      </c>
      <c r="AA755" s="14" t="s">
        <v>205</v>
      </c>
      <c r="AB755" s="14">
        <v>40001</v>
      </c>
      <c r="AE755" s="29" t="s">
        <v>121</v>
      </c>
      <c r="AF755" s="14" t="s">
        <v>213</v>
      </c>
      <c r="AG755" s="14" t="s">
        <v>98</v>
      </c>
    </row>
    <row r="756" spans="2:33">
      <c r="B756" s="14">
        <f>10000000+INDEX(编号表!$B:$B,MATCH(H756,编号表!$A:$A,0))*100000+INDEX(编号表!$F:$F,MATCH(D756,编号表!$E:$E,0))*10000+INDEX(编号表!$D:$D,MATCH(AG756,编号表!$C:$C,0))*1000+F756</f>
        <v>11416001</v>
      </c>
      <c r="C756" s="14" t="s">
        <v>916</v>
      </c>
      <c r="D756" s="14" t="s">
        <v>72</v>
      </c>
      <c r="E756" s="14" t="s">
        <v>98</v>
      </c>
      <c r="F756" s="14">
        <v>1</v>
      </c>
      <c r="G756" s="14">
        <v>60</v>
      </c>
      <c r="H756" s="31" t="s">
        <v>239</v>
      </c>
      <c r="I756" s="14" t="s">
        <v>75</v>
      </c>
      <c r="J756" s="14" t="s">
        <v>201</v>
      </c>
      <c r="K756" s="14">
        <v>1</v>
      </c>
      <c r="L756" s="14" t="s">
        <v>213</v>
      </c>
      <c r="N756" s="14">
        <v>0</v>
      </c>
      <c r="O756" s="14" t="b">
        <v>1</v>
      </c>
      <c r="Q756" s="14" t="b">
        <v>0</v>
      </c>
      <c r="R756" s="14">
        <v>1</v>
      </c>
      <c r="S756" s="14" t="s">
        <v>77</v>
      </c>
      <c r="T756" s="14">
        <v>999</v>
      </c>
      <c r="U756" s="14" t="s">
        <v>214</v>
      </c>
      <c r="V756" s="14">
        <v>31416001</v>
      </c>
      <c r="X756" s="14" t="s">
        <v>204</v>
      </c>
      <c r="Y756" s="14" t="s">
        <v>215</v>
      </c>
      <c r="Z756" s="14">
        <v>20001</v>
      </c>
      <c r="AA756" s="14" t="s">
        <v>205</v>
      </c>
      <c r="AB756" s="14">
        <v>40001</v>
      </c>
      <c r="AE756" s="29" t="s">
        <v>121</v>
      </c>
      <c r="AF756" s="14" t="s">
        <v>213</v>
      </c>
      <c r="AG756" s="14" t="s">
        <v>98</v>
      </c>
    </row>
    <row r="757" spans="2:33">
      <c r="B757" s="14">
        <f>10000000+INDEX(编号表!$B:$B,MATCH(H757,编号表!$A:$A,0))*100000+INDEX(编号表!$F:$F,MATCH(D757,编号表!$E:$E,0))*10000+INDEX(编号表!$D:$D,MATCH(AG757,编号表!$C:$C,0))*1000+F757</f>
        <v>11416002</v>
      </c>
      <c r="C757" s="14" t="s">
        <v>917</v>
      </c>
      <c r="D757" s="14" t="s">
        <v>72</v>
      </c>
      <c r="E757" s="14" t="s">
        <v>98</v>
      </c>
      <c r="F757" s="14">
        <v>2</v>
      </c>
      <c r="G757" s="14">
        <v>60</v>
      </c>
      <c r="H757" s="31" t="s">
        <v>239</v>
      </c>
      <c r="I757" s="14" t="s">
        <v>75</v>
      </c>
      <c r="J757" s="14" t="s">
        <v>201</v>
      </c>
      <c r="K757" s="14">
        <v>1</v>
      </c>
      <c r="L757" s="14" t="s">
        <v>213</v>
      </c>
      <c r="N757" s="14">
        <v>0</v>
      </c>
      <c r="O757" s="14" t="b">
        <v>1</v>
      </c>
      <c r="Q757" s="14" t="b">
        <v>0</v>
      </c>
      <c r="R757" s="14">
        <v>1</v>
      </c>
      <c r="S757" s="14" t="s">
        <v>77</v>
      </c>
      <c r="T757" s="14">
        <v>999</v>
      </c>
      <c r="U757" s="14" t="s">
        <v>214</v>
      </c>
      <c r="V757" s="14">
        <v>31416002</v>
      </c>
      <c r="X757" s="14" t="s">
        <v>204</v>
      </c>
      <c r="Y757" s="14" t="s">
        <v>215</v>
      </c>
      <c r="Z757" s="14">
        <v>20001</v>
      </c>
      <c r="AA757" s="14" t="s">
        <v>205</v>
      </c>
      <c r="AB757" s="14">
        <v>40001</v>
      </c>
      <c r="AE757" s="29" t="s">
        <v>121</v>
      </c>
      <c r="AF757" s="14" t="s">
        <v>213</v>
      </c>
      <c r="AG757" s="14" t="s">
        <v>98</v>
      </c>
    </row>
    <row r="758" spans="2:33">
      <c r="B758" s="14">
        <f>10000000+INDEX(编号表!$B:$B,MATCH(H758,编号表!$A:$A,0))*100000+INDEX(编号表!$F:$F,MATCH(D758,编号表!$E:$E,0))*10000+INDEX(编号表!$D:$D,MATCH(AG758,编号表!$C:$C,0))*1000+F758</f>
        <v>11416003</v>
      </c>
      <c r="C758" s="14" t="s">
        <v>918</v>
      </c>
      <c r="D758" s="14" t="s">
        <v>72</v>
      </c>
      <c r="E758" s="14" t="s">
        <v>98</v>
      </c>
      <c r="F758" s="14">
        <v>3</v>
      </c>
      <c r="G758" s="14">
        <v>60</v>
      </c>
      <c r="H758" s="31" t="s">
        <v>239</v>
      </c>
      <c r="I758" s="14" t="s">
        <v>75</v>
      </c>
      <c r="J758" s="14" t="s">
        <v>201</v>
      </c>
      <c r="K758" s="14">
        <v>1</v>
      </c>
      <c r="L758" s="14" t="s">
        <v>213</v>
      </c>
      <c r="N758" s="14">
        <v>0</v>
      </c>
      <c r="O758" s="14" t="b">
        <v>1</v>
      </c>
      <c r="Q758" s="14" t="b">
        <v>0</v>
      </c>
      <c r="R758" s="14">
        <v>1</v>
      </c>
      <c r="S758" s="14" t="s">
        <v>77</v>
      </c>
      <c r="T758" s="14">
        <v>999</v>
      </c>
      <c r="U758" s="14" t="s">
        <v>214</v>
      </c>
      <c r="V758" s="14">
        <v>31416003</v>
      </c>
      <c r="X758" s="14" t="s">
        <v>204</v>
      </c>
      <c r="Y758" s="14" t="s">
        <v>215</v>
      </c>
      <c r="Z758" s="14">
        <v>20001</v>
      </c>
      <c r="AA758" s="14" t="s">
        <v>205</v>
      </c>
      <c r="AB758" s="14">
        <v>40001</v>
      </c>
      <c r="AE758" s="29" t="s">
        <v>121</v>
      </c>
      <c r="AF758" s="14" t="s">
        <v>213</v>
      </c>
      <c r="AG758" s="14" t="s">
        <v>98</v>
      </c>
    </row>
    <row r="759" spans="2:33">
      <c r="B759" s="14">
        <f>10000000+INDEX(编号表!$B:$B,MATCH(H759,编号表!$A:$A,0))*100000+INDEX(编号表!$F:$F,MATCH(D759,编号表!$E:$E,0))*10000+INDEX(编号表!$D:$D,MATCH(AG759,编号表!$C:$C,0))*1000+F759</f>
        <v>11616000</v>
      </c>
      <c r="C759" s="14" t="s">
        <v>919</v>
      </c>
      <c r="D759" s="14" t="s">
        <v>72</v>
      </c>
      <c r="E759" s="14" t="s">
        <v>98</v>
      </c>
      <c r="F759" s="14">
        <v>0</v>
      </c>
      <c r="G759" s="14">
        <v>60</v>
      </c>
      <c r="H759" s="31" t="s">
        <v>244</v>
      </c>
      <c r="I759" s="14" t="s">
        <v>75</v>
      </c>
      <c r="J759" s="14" t="s">
        <v>201</v>
      </c>
      <c r="K759" s="14">
        <v>1</v>
      </c>
      <c r="L759" s="14" t="s">
        <v>213</v>
      </c>
      <c r="N759" s="14">
        <v>0</v>
      </c>
      <c r="O759" s="14" t="b">
        <v>1</v>
      </c>
      <c r="Q759" s="14" t="b">
        <v>0</v>
      </c>
      <c r="R759" s="14">
        <v>1</v>
      </c>
      <c r="S759" s="14" t="s">
        <v>77</v>
      </c>
      <c r="T759" s="14">
        <v>999</v>
      </c>
      <c r="U759" s="14" t="s">
        <v>214</v>
      </c>
      <c r="V759" s="14">
        <v>31616000</v>
      </c>
      <c r="X759" s="14" t="s">
        <v>204</v>
      </c>
      <c r="Y759" s="14" t="s">
        <v>215</v>
      </c>
      <c r="Z759" s="14">
        <v>20001</v>
      </c>
      <c r="AA759" s="14" t="s">
        <v>205</v>
      </c>
      <c r="AB759" s="14">
        <v>40001</v>
      </c>
      <c r="AE759" s="29" t="s">
        <v>121</v>
      </c>
      <c r="AF759" s="14" t="s">
        <v>213</v>
      </c>
      <c r="AG759" s="14" t="s">
        <v>98</v>
      </c>
    </row>
    <row r="760" spans="2:33">
      <c r="B760" s="14">
        <f>10000000+INDEX(编号表!$B:$B,MATCH(H760,编号表!$A:$A,0))*100000+INDEX(编号表!$F:$F,MATCH(D760,编号表!$E:$E,0))*10000+INDEX(编号表!$D:$D,MATCH(AG760,编号表!$C:$C,0))*1000+F760</f>
        <v>11616001</v>
      </c>
      <c r="C760" s="14" t="s">
        <v>920</v>
      </c>
      <c r="D760" s="14" t="s">
        <v>72</v>
      </c>
      <c r="E760" s="14" t="s">
        <v>98</v>
      </c>
      <c r="F760" s="14">
        <v>1</v>
      </c>
      <c r="G760" s="14">
        <v>60</v>
      </c>
      <c r="H760" s="31" t="s">
        <v>244</v>
      </c>
      <c r="I760" s="14" t="s">
        <v>75</v>
      </c>
      <c r="J760" s="14" t="s">
        <v>201</v>
      </c>
      <c r="K760" s="14">
        <v>1</v>
      </c>
      <c r="L760" s="14" t="s">
        <v>213</v>
      </c>
      <c r="N760" s="14">
        <v>0</v>
      </c>
      <c r="O760" s="14" t="b">
        <v>1</v>
      </c>
      <c r="Q760" s="14" t="b">
        <v>0</v>
      </c>
      <c r="R760" s="14">
        <v>1</v>
      </c>
      <c r="S760" s="14" t="s">
        <v>77</v>
      </c>
      <c r="T760" s="14">
        <v>999</v>
      </c>
      <c r="U760" s="14" t="s">
        <v>214</v>
      </c>
      <c r="V760" s="14">
        <v>31616001</v>
      </c>
      <c r="X760" s="14" t="s">
        <v>204</v>
      </c>
      <c r="Y760" s="14" t="s">
        <v>215</v>
      </c>
      <c r="Z760" s="14">
        <v>20001</v>
      </c>
      <c r="AA760" s="14" t="s">
        <v>205</v>
      </c>
      <c r="AB760" s="14">
        <v>40001</v>
      </c>
      <c r="AE760" s="29" t="s">
        <v>121</v>
      </c>
      <c r="AF760" s="14" t="s">
        <v>213</v>
      </c>
      <c r="AG760" s="14" t="s">
        <v>98</v>
      </c>
    </row>
    <row r="761" spans="2:33">
      <c r="B761" s="14">
        <f>10000000+INDEX(编号表!$B:$B,MATCH(H761,编号表!$A:$A,0))*100000+INDEX(编号表!$F:$F,MATCH(D761,编号表!$E:$E,0))*10000+INDEX(编号表!$D:$D,MATCH(AG761,编号表!$C:$C,0))*1000+F761</f>
        <v>11616002</v>
      </c>
      <c r="C761" s="14" t="s">
        <v>921</v>
      </c>
      <c r="D761" s="14" t="s">
        <v>72</v>
      </c>
      <c r="E761" s="14" t="s">
        <v>98</v>
      </c>
      <c r="F761" s="14">
        <v>2</v>
      </c>
      <c r="G761" s="14">
        <v>60</v>
      </c>
      <c r="H761" s="31" t="s">
        <v>244</v>
      </c>
      <c r="I761" s="14" t="s">
        <v>75</v>
      </c>
      <c r="J761" s="14" t="s">
        <v>201</v>
      </c>
      <c r="K761" s="14">
        <v>1</v>
      </c>
      <c r="L761" s="14" t="s">
        <v>213</v>
      </c>
      <c r="N761" s="14">
        <v>0</v>
      </c>
      <c r="O761" s="14" t="b">
        <v>1</v>
      </c>
      <c r="Q761" s="14" t="b">
        <v>0</v>
      </c>
      <c r="R761" s="14">
        <v>1</v>
      </c>
      <c r="S761" s="14" t="s">
        <v>77</v>
      </c>
      <c r="T761" s="14">
        <v>999</v>
      </c>
      <c r="U761" s="14" t="s">
        <v>214</v>
      </c>
      <c r="V761" s="14">
        <v>31616002</v>
      </c>
      <c r="X761" s="14" t="s">
        <v>204</v>
      </c>
      <c r="Y761" s="14" t="s">
        <v>215</v>
      </c>
      <c r="Z761" s="14">
        <v>20001</v>
      </c>
      <c r="AA761" s="14" t="s">
        <v>205</v>
      </c>
      <c r="AB761" s="14">
        <v>40001</v>
      </c>
      <c r="AE761" s="29" t="s">
        <v>121</v>
      </c>
      <c r="AF761" s="14" t="s">
        <v>213</v>
      </c>
      <c r="AG761" s="14" t="s">
        <v>98</v>
      </c>
    </row>
    <row r="762" spans="2:33">
      <c r="B762" s="14">
        <f>10000000+INDEX(编号表!$B:$B,MATCH(H762,编号表!$A:$A,0))*100000+INDEX(编号表!$F:$F,MATCH(D762,编号表!$E:$E,0))*10000+INDEX(编号表!$D:$D,MATCH(AG762,编号表!$C:$C,0))*1000+F762</f>
        <v>11226000</v>
      </c>
      <c r="C762" s="14" t="s">
        <v>922</v>
      </c>
      <c r="D762" s="14" t="s">
        <v>112</v>
      </c>
      <c r="E762" s="14" t="s">
        <v>98</v>
      </c>
      <c r="F762" s="14">
        <v>0</v>
      </c>
      <c r="G762" s="14">
        <v>60</v>
      </c>
      <c r="H762" s="31" t="s">
        <v>212</v>
      </c>
      <c r="I762" s="14" t="s">
        <v>75</v>
      </c>
      <c r="J762" s="14" t="s">
        <v>201</v>
      </c>
      <c r="K762" s="14">
        <v>1</v>
      </c>
      <c r="L762" s="14" t="s">
        <v>213</v>
      </c>
      <c r="N762" s="14">
        <v>0</v>
      </c>
      <c r="O762" s="14" t="b">
        <v>1</v>
      </c>
      <c r="Q762" s="14" t="b">
        <v>0</v>
      </c>
      <c r="R762" s="14">
        <v>1</v>
      </c>
      <c r="S762" s="14" t="s">
        <v>77</v>
      </c>
      <c r="T762" s="14">
        <v>999</v>
      </c>
      <c r="U762" s="14" t="s">
        <v>214</v>
      </c>
      <c r="V762" s="14">
        <v>31226000</v>
      </c>
      <c r="X762" s="14" t="s">
        <v>204</v>
      </c>
      <c r="Y762" s="14" t="s">
        <v>215</v>
      </c>
      <c r="Z762" s="14">
        <v>20001</v>
      </c>
      <c r="AA762" s="14" t="s">
        <v>205</v>
      </c>
      <c r="AB762" s="14">
        <v>40001</v>
      </c>
      <c r="AE762" s="29" t="s">
        <v>121</v>
      </c>
      <c r="AF762" s="14" t="s">
        <v>213</v>
      </c>
      <c r="AG762" s="14" t="s">
        <v>98</v>
      </c>
    </row>
    <row r="763" spans="2:33">
      <c r="B763" s="14">
        <f>10000000+INDEX(编号表!$B:$B,MATCH(H763,编号表!$A:$A,0))*100000+INDEX(编号表!$F:$F,MATCH(D763,编号表!$E:$E,0))*10000+INDEX(编号表!$D:$D,MATCH(AG763,编号表!$C:$C,0))*1000+F763</f>
        <v>11326000</v>
      </c>
      <c r="C763" s="14" t="s">
        <v>923</v>
      </c>
      <c r="D763" s="14" t="s">
        <v>112</v>
      </c>
      <c r="E763" s="14" t="s">
        <v>98</v>
      </c>
      <c r="F763" s="14">
        <v>0</v>
      </c>
      <c r="G763" s="14">
        <v>60</v>
      </c>
      <c r="H763" s="31" t="s">
        <v>217</v>
      </c>
      <c r="I763" s="14" t="s">
        <v>75</v>
      </c>
      <c r="J763" s="14" t="s">
        <v>201</v>
      </c>
      <c r="K763" s="14">
        <v>1</v>
      </c>
      <c r="L763" s="14" t="s">
        <v>213</v>
      </c>
      <c r="N763" s="14">
        <v>0</v>
      </c>
      <c r="O763" s="14" t="b">
        <v>1</v>
      </c>
      <c r="Q763" s="14" t="b">
        <v>0</v>
      </c>
      <c r="R763" s="14">
        <v>1</v>
      </c>
      <c r="S763" s="14" t="s">
        <v>77</v>
      </c>
      <c r="T763" s="14">
        <v>999</v>
      </c>
      <c r="U763" s="14" t="s">
        <v>214</v>
      </c>
      <c r="V763" s="14">
        <v>31326000</v>
      </c>
      <c r="X763" s="14" t="s">
        <v>204</v>
      </c>
      <c r="Y763" s="14" t="s">
        <v>215</v>
      </c>
      <c r="Z763" s="14">
        <v>20001</v>
      </c>
      <c r="AA763" s="14" t="s">
        <v>205</v>
      </c>
      <c r="AB763" s="14">
        <v>40001</v>
      </c>
      <c r="AE763" s="29" t="s">
        <v>121</v>
      </c>
      <c r="AF763" s="14" t="s">
        <v>213</v>
      </c>
      <c r="AG763" s="14" t="s">
        <v>98</v>
      </c>
    </row>
    <row r="764" spans="2:33">
      <c r="B764" s="14">
        <f>10000000+INDEX(编号表!$B:$B,MATCH(H764,编号表!$A:$A,0))*100000+INDEX(编号表!$F:$F,MATCH(D764,编号表!$E:$E,0))*10000+INDEX(编号表!$D:$D,MATCH(AG764,编号表!$C:$C,0))*1000+F764</f>
        <v>11326001</v>
      </c>
      <c r="C764" s="14" t="s">
        <v>924</v>
      </c>
      <c r="D764" s="14" t="s">
        <v>112</v>
      </c>
      <c r="E764" s="14" t="s">
        <v>98</v>
      </c>
      <c r="F764" s="14">
        <v>1</v>
      </c>
      <c r="G764" s="14">
        <v>60</v>
      </c>
      <c r="H764" s="31" t="s">
        <v>217</v>
      </c>
      <c r="I764" s="14" t="s">
        <v>75</v>
      </c>
      <c r="J764" s="14" t="s">
        <v>201</v>
      </c>
      <c r="K764" s="14">
        <v>1</v>
      </c>
      <c r="L764" s="14" t="s">
        <v>213</v>
      </c>
      <c r="N764" s="14">
        <v>0</v>
      </c>
      <c r="O764" s="14" t="b">
        <v>1</v>
      </c>
      <c r="Q764" s="14" t="b">
        <v>0</v>
      </c>
      <c r="R764" s="14">
        <v>1</v>
      </c>
      <c r="S764" s="14" t="s">
        <v>77</v>
      </c>
      <c r="T764" s="14">
        <v>999</v>
      </c>
      <c r="U764" s="14" t="s">
        <v>214</v>
      </c>
      <c r="V764" s="14">
        <v>31326001</v>
      </c>
      <c r="X764" s="14" t="s">
        <v>204</v>
      </c>
      <c r="Y764" s="14" t="s">
        <v>215</v>
      </c>
      <c r="Z764" s="14">
        <v>20001</v>
      </c>
      <c r="AA764" s="14" t="s">
        <v>205</v>
      </c>
      <c r="AB764" s="14">
        <v>40001</v>
      </c>
      <c r="AE764" s="29" t="s">
        <v>121</v>
      </c>
      <c r="AF764" s="14" t="s">
        <v>213</v>
      </c>
      <c r="AG764" s="14" t="s">
        <v>98</v>
      </c>
    </row>
    <row r="765" spans="2:33">
      <c r="B765" s="14">
        <f>10000000+INDEX(编号表!$B:$B,MATCH(H765,编号表!$A:$A,0))*100000+INDEX(编号表!$F:$F,MATCH(D765,编号表!$E:$E,0))*10000+INDEX(编号表!$D:$D,MATCH(AG765,编号表!$C:$C,0))*1000+F765</f>
        <v>11326002</v>
      </c>
      <c r="C765" s="14" t="s">
        <v>925</v>
      </c>
      <c r="D765" s="14" t="s">
        <v>112</v>
      </c>
      <c r="E765" s="14" t="s">
        <v>98</v>
      </c>
      <c r="F765" s="14">
        <v>2</v>
      </c>
      <c r="G765" s="14">
        <v>60</v>
      </c>
      <c r="H765" s="31" t="s">
        <v>217</v>
      </c>
      <c r="I765" s="14" t="s">
        <v>75</v>
      </c>
      <c r="J765" s="14" t="s">
        <v>201</v>
      </c>
      <c r="K765" s="14">
        <v>1</v>
      </c>
      <c r="L765" s="14" t="s">
        <v>213</v>
      </c>
      <c r="N765" s="14">
        <v>0</v>
      </c>
      <c r="O765" s="14" t="b">
        <v>1</v>
      </c>
      <c r="Q765" s="14" t="b">
        <v>0</v>
      </c>
      <c r="R765" s="14">
        <v>1</v>
      </c>
      <c r="S765" s="14" t="s">
        <v>77</v>
      </c>
      <c r="T765" s="14">
        <v>999</v>
      </c>
      <c r="U765" s="14" t="s">
        <v>214</v>
      </c>
      <c r="V765" s="14">
        <v>31326002</v>
      </c>
      <c r="X765" s="14" t="s">
        <v>204</v>
      </c>
      <c r="Y765" s="14" t="s">
        <v>215</v>
      </c>
      <c r="Z765" s="14">
        <v>20001</v>
      </c>
      <c r="AA765" s="14" t="s">
        <v>205</v>
      </c>
      <c r="AB765" s="14">
        <v>40001</v>
      </c>
      <c r="AE765" s="29" t="s">
        <v>121</v>
      </c>
      <c r="AF765" s="14" t="s">
        <v>213</v>
      </c>
      <c r="AG765" s="14" t="s">
        <v>98</v>
      </c>
    </row>
    <row r="766" spans="2:33">
      <c r="B766" s="14">
        <f>10000000+INDEX(编号表!$B:$B,MATCH(H766,编号表!$A:$A,0))*100000+INDEX(编号表!$F:$F,MATCH(D766,编号表!$E:$E,0))*10000+INDEX(编号表!$D:$D,MATCH(AG766,编号表!$C:$C,0))*1000+F766</f>
        <v>11326003</v>
      </c>
      <c r="C766" s="14" t="s">
        <v>926</v>
      </c>
      <c r="D766" s="14" t="s">
        <v>112</v>
      </c>
      <c r="E766" s="14" t="s">
        <v>98</v>
      </c>
      <c r="F766" s="14">
        <v>3</v>
      </c>
      <c r="G766" s="14">
        <v>60</v>
      </c>
      <c r="H766" s="31" t="s">
        <v>217</v>
      </c>
      <c r="I766" s="14" t="s">
        <v>75</v>
      </c>
      <c r="J766" s="14" t="s">
        <v>201</v>
      </c>
      <c r="K766" s="14">
        <v>1</v>
      </c>
      <c r="L766" s="14" t="s">
        <v>213</v>
      </c>
      <c r="N766" s="14">
        <v>0</v>
      </c>
      <c r="O766" s="14" t="b">
        <v>1</v>
      </c>
      <c r="Q766" s="14" t="b">
        <v>0</v>
      </c>
      <c r="R766" s="14">
        <v>1</v>
      </c>
      <c r="S766" s="14" t="s">
        <v>77</v>
      </c>
      <c r="T766" s="14">
        <v>999</v>
      </c>
      <c r="U766" s="14" t="s">
        <v>214</v>
      </c>
      <c r="V766" s="14">
        <v>31326003</v>
      </c>
      <c r="X766" s="14" t="s">
        <v>204</v>
      </c>
      <c r="Y766" s="14" t="s">
        <v>215</v>
      </c>
      <c r="Z766" s="14">
        <v>20001</v>
      </c>
      <c r="AA766" s="14" t="s">
        <v>205</v>
      </c>
      <c r="AB766" s="14">
        <v>40001</v>
      </c>
      <c r="AE766" s="29" t="s">
        <v>121</v>
      </c>
      <c r="AF766" s="14" t="s">
        <v>213</v>
      </c>
      <c r="AG766" s="14" t="s">
        <v>98</v>
      </c>
    </row>
    <row r="767" spans="2:33">
      <c r="B767" s="14">
        <f>10000000+INDEX(编号表!$B:$B,MATCH(H767,编号表!$A:$A,0))*100000+INDEX(编号表!$F:$F,MATCH(D767,编号表!$E:$E,0))*10000+INDEX(编号表!$D:$D,MATCH(AG767,编号表!$C:$C,0))*1000+F767</f>
        <v>11326004</v>
      </c>
      <c r="C767" s="14" t="s">
        <v>927</v>
      </c>
      <c r="D767" s="14" t="s">
        <v>112</v>
      </c>
      <c r="E767" s="14" t="s">
        <v>98</v>
      </c>
      <c r="F767" s="14">
        <v>4</v>
      </c>
      <c r="G767" s="14">
        <v>60</v>
      </c>
      <c r="H767" s="31" t="s">
        <v>217</v>
      </c>
      <c r="I767" s="14" t="s">
        <v>75</v>
      </c>
      <c r="J767" s="14" t="s">
        <v>201</v>
      </c>
      <c r="K767" s="14">
        <v>1</v>
      </c>
      <c r="L767" s="14" t="s">
        <v>213</v>
      </c>
      <c r="N767" s="14">
        <v>0</v>
      </c>
      <c r="O767" s="14" t="b">
        <v>1</v>
      </c>
      <c r="Q767" s="14" t="b">
        <v>0</v>
      </c>
      <c r="R767" s="14">
        <v>1</v>
      </c>
      <c r="S767" s="14" t="s">
        <v>77</v>
      </c>
      <c r="T767" s="14">
        <v>999</v>
      </c>
      <c r="U767" s="14" t="s">
        <v>214</v>
      </c>
      <c r="V767" s="14">
        <v>31326004</v>
      </c>
      <c r="X767" s="14" t="s">
        <v>204</v>
      </c>
      <c r="Y767" s="14" t="s">
        <v>215</v>
      </c>
      <c r="Z767" s="14">
        <v>20001</v>
      </c>
      <c r="AA767" s="14" t="s">
        <v>205</v>
      </c>
      <c r="AB767" s="14">
        <v>40001</v>
      </c>
      <c r="AE767" s="29" t="s">
        <v>121</v>
      </c>
      <c r="AF767" s="14" t="s">
        <v>213</v>
      </c>
      <c r="AG767" s="14" t="s">
        <v>98</v>
      </c>
    </row>
    <row r="768" spans="2:33">
      <c r="B768" s="14">
        <f>10000000+INDEX(编号表!$B:$B,MATCH(H768,编号表!$A:$A,0))*100000+INDEX(编号表!$F:$F,MATCH(D768,编号表!$E:$E,0))*10000+INDEX(编号表!$D:$D,MATCH(AG768,编号表!$C:$C,0))*1000+F768</f>
        <v>11326005</v>
      </c>
      <c r="C768" s="14" t="s">
        <v>928</v>
      </c>
      <c r="D768" s="14" t="s">
        <v>112</v>
      </c>
      <c r="E768" s="14" t="s">
        <v>98</v>
      </c>
      <c r="F768" s="14">
        <v>5</v>
      </c>
      <c r="G768" s="14">
        <v>60</v>
      </c>
      <c r="H768" s="31" t="s">
        <v>217</v>
      </c>
      <c r="I768" s="14" t="s">
        <v>75</v>
      </c>
      <c r="J768" s="14" t="s">
        <v>201</v>
      </c>
      <c r="K768" s="14">
        <v>1</v>
      </c>
      <c r="L768" s="14" t="s">
        <v>213</v>
      </c>
      <c r="N768" s="14">
        <v>0</v>
      </c>
      <c r="O768" s="14" t="b">
        <v>1</v>
      </c>
      <c r="Q768" s="14" t="b">
        <v>0</v>
      </c>
      <c r="R768" s="14">
        <v>1</v>
      </c>
      <c r="S768" s="14" t="s">
        <v>77</v>
      </c>
      <c r="T768" s="14">
        <v>999</v>
      </c>
      <c r="U768" s="14" t="s">
        <v>214</v>
      </c>
      <c r="V768" s="14">
        <v>31326005</v>
      </c>
      <c r="X768" s="14" t="s">
        <v>204</v>
      </c>
      <c r="Y768" s="14" t="s">
        <v>215</v>
      </c>
      <c r="Z768" s="14">
        <v>20001</v>
      </c>
      <c r="AA768" s="14" t="s">
        <v>205</v>
      </c>
      <c r="AB768" s="14">
        <v>40001</v>
      </c>
      <c r="AE768" s="29" t="s">
        <v>121</v>
      </c>
      <c r="AF768" s="14" t="s">
        <v>213</v>
      </c>
      <c r="AG768" s="14" t="s">
        <v>98</v>
      </c>
    </row>
    <row r="769" spans="2:33">
      <c r="B769" s="14">
        <f>10000000+INDEX(编号表!$B:$B,MATCH(H769,编号表!$A:$A,0))*100000+INDEX(编号表!$F:$F,MATCH(D769,编号表!$E:$E,0))*10000+INDEX(编号表!$D:$D,MATCH(AG769,编号表!$C:$C,0))*1000+F769</f>
        <v>11326006</v>
      </c>
      <c r="C769" s="14" t="s">
        <v>929</v>
      </c>
      <c r="D769" s="14" t="s">
        <v>112</v>
      </c>
      <c r="E769" s="14" t="s">
        <v>98</v>
      </c>
      <c r="F769" s="14">
        <v>6</v>
      </c>
      <c r="G769" s="14">
        <v>60</v>
      </c>
      <c r="H769" s="31" t="s">
        <v>217</v>
      </c>
      <c r="I769" s="14" t="s">
        <v>75</v>
      </c>
      <c r="J769" s="14" t="s">
        <v>201</v>
      </c>
      <c r="K769" s="14">
        <v>1</v>
      </c>
      <c r="L769" s="14" t="s">
        <v>213</v>
      </c>
      <c r="N769" s="14">
        <v>0</v>
      </c>
      <c r="O769" s="14" t="b">
        <v>1</v>
      </c>
      <c r="Q769" s="14" t="b">
        <v>0</v>
      </c>
      <c r="R769" s="14">
        <v>1</v>
      </c>
      <c r="S769" s="14" t="s">
        <v>77</v>
      </c>
      <c r="T769" s="14">
        <v>999</v>
      </c>
      <c r="U769" s="14" t="s">
        <v>214</v>
      </c>
      <c r="V769" s="14">
        <v>31326006</v>
      </c>
      <c r="X769" s="14" t="s">
        <v>204</v>
      </c>
      <c r="Y769" s="14" t="s">
        <v>215</v>
      </c>
      <c r="Z769" s="14">
        <v>20001</v>
      </c>
      <c r="AA769" s="14" t="s">
        <v>205</v>
      </c>
      <c r="AB769" s="14">
        <v>40001</v>
      </c>
      <c r="AE769" s="29" t="s">
        <v>121</v>
      </c>
      <c r="AF769" s="14" t="s">
        <v>213</v>
      </c>
      <c r="AG769" s="14" t="s">
        <v>98</v>
      </c>
    </row>
    <row r="770" spans="2:33">
      <c r="B770" s="14">
        <f>10000000+INDEX(编号表!$B:$B,MATCH(H770,编号表!$A:$A,0))*100000+INDEX(编号表!$F:$F,MATCH(D770,编号表!$E:$E,0))*10000+INDEX(编号表!$D:$D,MATCH(AG770,编号表!$C:$C,0))*1000+F770</f>
        <v>11326007</v>
      </c>
      <c r="C770" s="14" t="s">
        <v>930</v>
      </c>
      <c r="D770" s="14" t="s">
        <v>112</v>
      </c>
      <c r="E770" s="14" t="s">
        <v>98</v>
      </c>
      <c r="F770" s="14">
        <v>7</v>
      </c>
      <c r="G770" s="14">
        <v>60</v>
      </c>
      <c r="H770" s="31" t="s">
        <v>217</v>
      </c>
      <c r="I770" s="14" t="s">
        <v>75</v>
      </c>
      <c r="J770" s="14" t="s">
        <v>201</v>
      </c>
      <c r="K770" s="14">
        <v>1</v>
      </c>
      <c r="L770" s="14" t="s">
        <v>213</v>
      </c>
      <c r="N770" s="14">
        <v>0</v>
      </c>
      <c r="O770" s="14" t="b">
        <v>1</v>
      </c>
      <c r="Q770" s="14" t="b">
        <v>0</v>
      </c>
      <c r="R770" s="14">
        <v>1</v>
      </c>
      <c r="S770" s="14" t="s">
        <v>77</v>
      </c>
      <c r="T770" s="14">
        <v>999</v>
      </c>
      <c r="U770" s="14" t="s">
        <v>214</v>
      </c>
      <c r="V770" s="14">
        <v>31326007</v>
      </c>
      <c r="X770" s="14" t="s">
        <v>204</v>
      </c>
      <c r="Y770" s="14" t="s">
        <v>215</v>
      </c>
      <c r="Z770" s="14">
        <v>20001</v>
      </c>
      <c r="AA770" s="14" t="s">
        <v>205</v>
      </c>
      <c r="AB770" s="14">
        <v>40001</v>
      </c>
      <c r="AE770" s="29" t="s">
        <v>121</v>
      </c>
      <c r="AF770" s="14" t="s">
        <v>213</v>
      </c>
      <c r="AG770" s="14" t="s">
        <v>98</v>
      </c>
    </row>
    <row r="771" spans="2:33">
      <c r="B771" s="14">
        <f>10000000+INDEX(编号表!$B:$B,MATCH(H771,编号表!$A:$A,0))*100000+INDEX(编号表!$F:$F,MATCH(D771,编号表!$E:$E,0))*10000+INDEX(编号表!$D:$D,MATCH(AG771,编号表!$C:$C,0))*1000+F771</f>
        <v>11326008</v>
      </c>
      <c r="C771" s="14" t="s">
        <v>931</v>
      </c>
      <c r="D771" s="14" t="s">
        <v>112</v>
      </c>
      <c r="E771" s="14" t="s">
        <v>98</v>
      </c>
      <c r="F771" s="14">
        <v>8</v>
      </c>
      <c r="G771" s="14">
        <v>60</v>
      </c>
      <c r="H771" s="31" t="s">
        <v>217</v>
      </c>
      <c r="I771" s="14" t="s">
        <v>75</v>
      </c>
      <c r="J771" s="14" t="s">
        <v>201</v>
      </c>
      <c r="K771" s="14">
        <v>1</v>
      </c>
      <c r="L771" s="14" t="s">
        <v>213</v>
      </c>
      <c r="N771" s="14">
        <v>0</v>
      </c>
      <c r="O771" s="14" t="b">
        <v>1</v>
      </c>
      <c r="Q771" s="14" t="b">
        <v>0</v>
      </c>
      <c r="R771" s="14">
        <v>1</v>
      </c>
      <c r="S771" s="14" t="s">
        <v>77</v>
      </c>
      <c r="T771" s="14">
        <v>999</v>
      </c>
      <c r="U771" s="14" t="s">
        <v>214</v>
      </c>
      <c r="V771" s="14">
        <v>31326008</v>
      </c>
      <c r="X771" s="14" t="s">
        <v>204</v>
      </c>
      <c r="Y771" s="14" t="s">
        <v>215</v>
      </c>
      <c r="Z771" s="14">
        <v>20001</v>
      </c>
      <c r="AA771" s="14" t="s">
        <v>205</v>
      </c>
      <c r="AB771" s="14">
        <v>40001</v>
      </c>
      <c r="AE771" s="29" t="s">
        <v>121</v>
      </c>
      <c r="AF771" s="14" t="s">
        <v>213</v>
      </c>
      <c r="AG771" s="14" t="s">
        <v>98</v>
      </c>
    </row>
    <row r="772" spans="2:33">
      <c r="B772" s="14">
        <f>10000000+INDEX(编号表!$B:$B,MATCH(H772,编号表!$A:$A,0))*100000+INDEX(编号表!$F:$F,MATCH(D772,编号表!$E:$E,0))*10000+INDEX(编号表!$D:$D,MATCH(AG772,编号表!$C:$C,0))*1000+F772</f>
        <v>11326009</v>
      </c>
      <c r="C772" s="14" t="s">
        <v>932</v>
      </c>
      <c r="D772" s="14" t="s">
        <v>112</v>
      </c>
      <c r="E772" s="14" t="s">
        <v>98</v>
      </c>
      <c r="F772" s="14">
        <v>9</v>
      </c>
      <c r="G772" s="14">
        <v>60</v>
      </c>
      <c r="H772" s="31" t="s">
        <v>217</v>
      </c>
      <c r="I772" s="14" t="s">
        <v>75</v>
      </c>
      <c r="J772" s="14" t="s">
        <v>201</v>
      </c>
      <c r="K772" s="14">
        <v>1</v>
      </c>
      <c r="L772" s="14" t="s">
        <v>213</v>
      </c>
      <c r="N772" s="14">
        <v>0</v>
      </c>
      <c r="O772" s="14" t="b">
        <v>1</v>
      </c>
      <c r="Q772" s="14" t="b">
        <v>0</v>
      </c>
      <c r="R772" s="14">
        <v>1</v>
      </c>
      <c r="S772" s="14" t="s">
        <v>77</v>
      </c>
      <c r="T772" s="14">
        <v>999</v>
      </c>
      <c r="U772" s="14" t="s">
        <v>214</v>
      </c>
      <c r="V772" s="14">
        <v>31326009</v>
      </c>
      <c r="X772" s="14" t="s">
        <v>204</v>
      </c>
      <c r="Y772" s="14" t="s">
        <v>215</v>
      </c>
      <c r="Z772" s="14">
        <v>20001</v>
      </c>
      <c r="AA772" s="14" t="s">
        <v>205</v>
      </c>
      <c r="AB772" s="14">
        <v>40001</v>
      </c>
      <c r="AE772" s="29" t="s">
        <v>121</v>
      </c>
      <c r="AF772" s="14" t="s">
        <v>213</v>
      </c>
      <c r="AG772" s="14" t="s">
        <v>98</v>
      </c>
    </row>
    <row r="773" spans="2:33">
      <c r="B773" s="14">
        <f>10000000+INDEX(编号表!$B:$B,MATCH(H773,编号表!$A:$A,0))*100000+INDEX(编号表!$F:$F,MATCH(D773,编号表!$E:$E,0))*10000+INDEX(编号表!$D:$D,MATCH(AG773,编号表!$C:$C,0))*1000+F773</f>
        <v>11526000</v>
      </c>
      <c r="C773" s="14" t="s">
        <v>933</v>
      </c>
      <c r="D773" s="14" t="s">
        <v>112</v>
      </c>
      <c r="E773" s="14" t="s">
        <v>98</v>
      </c>
      <c r="F773" s="14">
        <v>0</v>
      </c>
      <c r="G773" s="14">
        <v>60</v>
      </c>
      <c r="H773" s="31" t="s">
        <v>228</v>
      </c>
      <c r="I773" s="14" t="s">
        <v>75</v>
      </c>
      <c r="J773" s="14" t="s">
        <v>201</v>
      </c>
      <c r="K773" s="14">
        <v>1</v>
      </c>
      <c r="L773" s="14" t="s">
        <v>213</v>
      </c>
      <c r="N773" s="14">
        <v>0</v>
      </c>
      <c r="O773" s="14" t="b">
        <v>1</v>
      </c>
      <c r="Q773" s="14" t="b">
        <v>0</v>
      </c>
      <c r="R773" s="14">
        <v>1</v>
      </c>
      <c r="S773" s="14" t="s">
        <v>77</v>
      </c>
      <c r="T773" s="14">
        <v>999</v>
      </c>
      <c r="U773" s="14" t="s">
        <v>214</v>
      </c>
      <c r="V773" s="14">
        <v>31526000</v>
      </c>
      <c r="X773" s="14" t="s">
        <v>204</v>
      </c>
      <c r="Y773" s="14" t="s">
        <v>215</v>
      </c>
      <c r="Z773" s="14">
        <v>20001</v>
      </c>
      <c r="AA773" s="14" t="s">
        <v>205</v>
      </c>
      <c r="AB773" s="14">
        <v>40001</v>
      </c>
      <c r="AE773" s="29" t="s">
        <v>121</v>
      </c>
      <c r="AF773" s="14" t="s">
        <v>213</v>
      </c>
      <c r="AG773" s="14" t="s">
        <v>98</v>
      </c>
    </row>
    <row r="774" spans="2:33">
      <c r="B774" s="14">
        <f>10000000+INDEX(编号表!$B:$B,MATCH(H774,编号表!$A:$A,0))*100000+INDEX(编号表!$F:$F,MATCH(D774,编号表!$E:$E,0))*10000+INDEX(编号表!$D:$D,MATCH(AG774,编号表!$C:$C,0))*1000+F774</f>
        <v>11526001</v>
      </c>
      <c r="C774" s="14" t="s">
        <v>934</v>
      </c>
      <c r="D774" s="14" t="s">
        <v>112</v>
      </c>
      <c r="E774" s="14" t="s">
        <v>98</v>
      </c>
      <c r="F774" s="14">
        <v>1</v>
      </c>
      <c r="G774" s="14">
        <v>60</v>
      </c>
      <c r="H774" s="31" t="s">
        <v>228</v>
      </c>
      <c r="I774" s="14" t="s">
        <v>75</v>
      </c>
      <c r="J774" s="14" t="s">
        <v>201</v>
      </c>
      <c r="K774" s="14">
        <v>1</v>
      </c>
      <c r="L774" s="14" t="s">
        <v>213</v>
      </c>
      <c r="N774" s="14">
        <v>0</v>
      </c>
      <c r="O774" s="14" t="b">
        <v>1</v>
      </c>
      <c r="Q774" s="14" t="b">
        <v>0</v>
      </c>
      <c r="R774" s="14">
        <v>1</v>
      </c>
      <c r="S774" s="14" t="s">
        <v>77</v>
      </c>
      <c r="T774" s="14">
        <v>999</v>
      </c>
      <c r="U774" s="14" t="s">
        <v>214</v>
      </c>
      <c r="V774" s="14">
        <v>31526001</v>
      </c>
      <c r="X774" s="14" t="s">
        <v>204</v>
      </c>
      <c r="Y774" s="14" t="s">
        <v>215</v>
      </c>
      <c r="Z774" s="14">
        <v>20001</v>
      </c>
      <c r="AA774" s="14" t="s">
        <v>205</v>
      </c>
      <c r="AB774" s="14">
        <v>40001</v>
      </c>
      <c r="AE774" s="29" t="s">
        <v>121</v>
      </c>
      <c r="AF774" s="14" t="s">
        <v>213</v>
      </c>
      <c r="AG774" s="14" t="s">
        <v>98</v>
      </c>
    </row>
    <row r="775" spans="2:33">
      <c r="B775" s="14">
        <f>10000000+INDEX(编号表!$B:$B,MATCH(H775,编号表!$A:$A,0))*100000+INDEX(编号表!$F:$F,MATCH(D775,编号表!$E:$E,0))*10000+INDEX(编号表!$D:$D,MATCH(AG775,编号表!$C:$C,0))*1000+F775</f>
        <v>11526002</v>
      </c>
      <c r="C775" s="14" t="s">
        <v>935</v>
      </c>
      <c r="D775" s="14" t="s">
        <v>112</v>
      </c>
      <c r="E775" s="14" t="s">
        <v>98</v>
      </c>
      <c r="F775" s="14">
        <v>2</v>
      </c>
      <c r="G775" s="14">
        <v>60</v>
      </c>
      <c r="H775" s="31" t="s">
        <v>228</v>
      </c>
      <c r="I775" s="14" t="s">
        <v>75</v>
      </c>
      <c r="J775" s="14" t="s">
        <v>201</v>
      </c>
      <c r="K775" s="14">
        <v>1</v>
      </c>
      <c r="L775" s="14" t="s">
        <v>213</v>
      </c>
      <c r="N775" s="14">
        <v>0</v>
      </c>
      <c r="O775" s="14" t="b">
        <v>1</v>
      </c>
      <c r="Q775" s="14" t="b">
        <v>0</v>
      </c>
      <c r="R775" s="14">
        <v>1</v>
      </c>
      <c r="S775" s="14" t="s">
        <v>77</v>
      </c>
      <c r="T775" s="14">
        <v>999</v>
      </c>
      <c r="U775" s="14" t="s">
        <v>214</v>
      </c>
      <c r="V775" s="14">
        <v>31526002</v>
      </c>
      <c r="X775" s="14" t="s">
        <v>204</v>
      </c>
      <c r="Y775" s="14" t="s">
        <v>215</v>
      </c>
      <c r="Z775" s="14">
        <v>20001</v>
      </c>
      <c r="AA775" s="14" t="s">
        <v>205</v>
      </c>
      <c r="AB775" s="14">
        <v>40001</v>
      </c>
      <c r="AE775" s="29" t="s">
        <v>121</v>
      </c>
      <c r="AF775" s="14" t="s">
        <v>213</v>
      </c>
      <c r="AG775" s="14" t="s">
        <v>98</v>
      </c>
    </row>
    <row r="776" spans="2:33">
      <c r="B776" s="14">
        <f>10000000+INDEX(编号表!$B:$B,MATCH(H776,编号表!$A:$A,0))*100000+INDEX(编号表!$F:$F,MATCH(D776,编号表!$E:$E,0))*10000+INDEX(编号表!$D:$D,MATCH(AG776,编号表!$C:$C,0))*1000+F776</f>
        <v>11526003</v>
      </c>
      <c r="C776" s="14" t="s">
        <v>936</v>
      </c>
      <c r="D776" s="14" t="s">
        <v>112</v>
      </c>
      <c r="E776" s="14" t="s">
        <v>98</v>
      </c>
      <c r="F776" s="14">
        <v>3</v>
      </c>
      <c r="G776" s="14">
        <v>60</v>
      </c>
      <c r="H776" s="31" t="s">
        <v>228</v>
      </c>
      <c r="I776" s="14" t="s">
        <v>75</v>
      </c>
      <c r="J776" s="14" t="s">
        <v>201</v>
      </c>
      <c r="K776" s="14">
        <v>1</v>
      </c>
      <c r="L776" s="14" t="s">
        <v>213</v>
      </c>
      <c r="N776" s="14">
        <v>0</v>
      </c>
      <c r="O776" s="14" t="b">
        <v>1</v>
      </c>
      <c r="Q776" s="14" t="b">
        <v>0</v>
      </c>
      <c r="R776" s="14">
        <v>1</v>
      </c>
      <c r="S776" s="14" t="s">
        <v>77</v>
      </c>
      <c r="T776" s="14">
        <v>999</v>
      </c>
      <c r="U776" s="14" t="s">
        <v>214</v>
      </c>
      <c r="V776" s="14">
        <v>31526003</v>
      </c>
      <c r="X776" s="14" t="s">
        <v>204</v>
      </c>
      <c r="Y776" s="14" t="s">
        <v>215</v>
      </c>
      <c r="Z776" s="14">
        <v>20001</v>
      </c>
      <c r="AA776" s="14" t="s">
        <v>205</v>
      </c>
      <c r="AB776" s="14">
        <v>40001</v>
      </c>
      <c r="AE776" s="29" t="s">
        <v>121</v>
      </c>
      <c r="AF776" s="14" t="s">
        <v>213</v>
      </c>
      <c r="AG776" s="14" t="s">
        <v>98</v>
      </c>
    </row>
    <row r="777" spans="2:33">
      <c r="B777" s="14">
        <f>10000000+INDEX(编号表!$B:$B,MATCH(H777,编号表!$A:$A,0))*100000+INDEX(编号表!$F:$F,MATCH(D777,编号表!$E:$E,0))*10000+INDEX(编号表!$D:$D,MATCH(AG777,编号表!$C:$C,0))*1000+F777</f>
        <v>11526004</v>
      </c>
      <c r="C777" s="14" t="s">
        <v>937</v>
      </c>
      <c r="D777" s="14" t="s">
        <v>112</v>
      </c>
      <c r="E777" s="14" t="s">
        <v>98</v>
      </c>
      <c r="F777" s="14">
        <v>4</v>
      </c>
      <c r="G777" s="14">
        <v>60</v>
      </c>
      <c r="H777" s="31" t="s">
        <v>228</v>
      </c>
      <c r="I777" s="14" t="s">
        <v>75</v>
      </c>
      <c r="J777" s="14" t="s">
        <v>201</v>
      </c>
      <c r="K777" s="14">
        <v>1</v>
      </c>
      <c r="L777" s="14" t="s">
        <v>213</v>
      </c>
      <c r="N777" s="14">
        <v>0</v>
      </c>
      <c r="O777" s="14" t="b">
        <v>1</v>
      </c>
      <c r="Q777" s="14" t="b">
        <v>0</v>
      </c>
      <c r="R777" s="14">
        <v>1</v>
      </c>
      <c r="S777" s="14" t="s">
        <v>77</v>
      </c>
      <c r="T777" s="14">
        <v>999</v>
      </c>
      <c r="U777" s="14" t="s">
        <v>214</v>
      </c>
      <c r="V777" s="14">
        <v>31526004</v>
      </c>
      <c r="X777" s="14" t="s">
        <v>204</v>
      </c>
      <c r="Y777" s="14" t="s">
        <v>215</v>
      </c>
      <c r="Z777" s="14">
        <v>20001</v>
      </c>
      <c r="AA777" s="14" t="s">
        <v>205</v>
      </c>
      <c r="AB777" s="14">
        <v>40001</v>
      </c>
      <c r="AE777" s="29" t="s">
        <v>121</v>
      </c>
      <c r="AF777" s="14" t="s">
        <v>213</v>
      </c>
      <c r="AG777" s="14" t="s">
        <v>98</v>
      </c>
    </row>
    <row r="778" spans="2:33">
      <c r="B778" s="14">
        <f>10000000+INDEX(编号表!$B:$B,MATCH(H778,编号表!$A:$A,0))*100000+INDEX(编号表!$F:$F,MATCH(D778,编号表!$E:$E,0))*10000+INDEX(编号表!$D:$D,MATCH(AG778,编号表!$C:$C,0))*1000+F778</f>
        <v>11526005</v>
      </c>
      <c r="C778" s="14" t="s">
        <v>938</v>
      </c>
      <c r="D778" s="14" t="s">
        <v>112</v>
      </c>
      <c r="E778" s="14" t="s">
        <v>98</v>
      </c>
      <c r="F778" s="14">
        <v>5</v>
      </c>
      <c r="G778" s="14">
        <v>60</v>
      </c>
      <c r="H778" s="31" t="s">
        <v>228</v>
      </c>
      <c r="I778" s="14" t="s">
        <v>75</v>
      </c>
      <c r="J778" s="14" t="s">
        <v>201</v>
      </c>
      <c r="K778" s="14">
        <v>1</v>
      </c>
      <c r="L778" s="14" t="s">
        <v>213</v>
      </c>
      <c r="N778" s="14">
        <v>0</v>
      </c>
      <c r="O778" s="14" t="b">
        <v>1</v>
      </c>
      <c r="Q778" s="14" t="b">
        <v>0</v>
      </c>
      <c r="R778" s="14">
        <v>1</v>
      </c>
      <c r="S778" s="14" t="s">
        <v>77</v>
      </c>
      <c r="T778" s="14">
        <v>999</v>
      </c>
      <c r="U778" s="14" t="s">
        <v>214</v>
      </c>
      <c r="V778" s="14">
        <v>31526005</v>
      </c>
      <c r="X778" s="14" t="s">
        <v>204</v>
      </c>
      <c r="Y778" s="14" t="s">
        <v>215</v>
      </c>
      <c r="Z778" s="14">
        <v>20001</v>
      </c>
      <c r="AA778" s="14" t="s">
        <v>205</v>
      </c>
      <c r="AB778" s="14">
        <v>40001</v>
      </c>
      <c r="AE778" s="29" t="s">
        <v>121</v>
      </c>
      <c r="AF778" s="14" t="s">
        <v>213</v>
      </c>
      <c r="AG778" s="14" t="s">
        <v>98</v>
      </c>
    </row>
    <row r="779" spans="2:33">
      <c r="B779" s="14">
        <f>10000000+INDEX(编号表!$B:$B,MATCH(H779,编号表!$A:$A,0))*100000+INDEX(编号表!$F:$F,MATCH(D779,编号表!$E:$E,0))*10000+INDEX(编号表!$D:$D,MATCH(AG779,编号表!$C:$C,0))*1000+F779</f>
        <v>11526006</v>
      </c>
      <c r="C779" s="14" t="s">
        <v>939</v>
      </c>
      <c r="D779" s="14" t="s">
        <v>112</v>
      </c>
      <c r="E779" s="14" t="s">
        <v>98</v>
      </c>
      <c r="F779" s="14">
        <v>6</v>
      </c>
      <c r="G779" s="14">
        <v>60</v>
      </c>
      <c r="H779" s="31" t="s">
        <v>228</v>
      </c>
      <c r="I779" s="14" t="s">
        <v>75</v>
      </c>
      <c r="J779" s="14" t="s">
        <v>201</v>
      </c>
      <c r="K779" s="14">
        <v>1</v>
      </c>
      <c r="L779" s="14" t="s">
        <v>213</v>
      </c>
      <c r="N779" s="14">
        <v>0</v>
      </c>
      <c r="O779" s="14" t="b">
        <v>1</v>
      </c>
      <c r="Q779" s="14" t="b">
        <v>0</v>
      </c>
      <c r="R779" s="14">
        <v>1</v>
      </c>
      <c r="S779" s="14" t="s">
        <v>77</v>
      </c>
      <c r="T779" s="14">
        <v>999</v>
      </c>
      <c r="U779" s="14" t="s">
        <v>214</v>
      </c>
      <c r="V779" s="14">
        <v>31526006</v>
      </c>
      <c r="X779" s="14" t="s">
        <v>204</v>
      </c>
      <c r="Y779" s="14" t="s">
        <v>215</v>
      </c>
      <c r="Z779" s="14">
        <v>20001</v>
      </c>
      <c r="AA779" s="14" t="s">
        <v>205</v>
      </c>
      <c r="AB779" s="14">
        <v>40001</v>
      </c>
      <c r="AE779" s="29" t="s">
        <v>121</v>
      </c>
      <c r="AF779" s="14" t="s">
        <v>213</v>
      </c>
      <c r="AG779" s="14" t="s">
        <v>98</v>
      </c>
    </row>
    <row r="780" spans="2:33">
      <c r="B780" s="14">
        <f>10000000+INDEX(编号表!$B:$B,MATCH(H780,编号表!$A:$A,0))*100000+INDEX(编号表!$F:$F,MATCH(D780,编号表!$E:$E,0))*10000+INDEX(编号表!$D:$D,MATCH(AG780,编号表!$C:$C,0))*1000+F780</f>
        <v>11526007</v>
      </c>
      <c r="C780" s="14" t="s">
        <v>940</v>
      </c>
      <c r="D780" s="14" t="s">
        <v>112</v>
      </c>
      <c r="E780" s="14" t="s">
        <v>98</v>
      </c>
      <c r="F780" s="14">
        <v>7</v>
      </c>
      <c r="G780" s="14">
        <v>60</v>
      </c>
      <c r="H780" s="31" t="s">
        <v>228</v>
      </c>
      <c r="I780" s="14" t="s">
        <v>75</v>
      </c>
      <c r="J780" s="14" t="s">
        <v>201</v>
      </c>
      <c r="K780" s="14">
        <v>1</v>
      </c>
      <c r="L780" s="14" t="s">
        <v>213</v>
      </c>
      <c r="N780" s="14">
        <v>0</v>
      </c>
      <c r="O780" s="14" t="b">
        <v>1</v>
      </c>
      <c r="Q780" s="14" t="b">
        <v>0</v>
      </c>
      <c r="R780" s="14">
        <v>1</v>
      </c>
      <c r="S780" s="14" t="s">
        <v>77</v>
      </c>
      <c r="T780" s="14">
        <v>999</v>
      </c>
      <c r="U780" s="14" t="s">
        <v>214</v>
      </c>
      <c r="V780" s="14">
        <v>31526007</v>
      </c>
      <c r="X780" s="14" t="s">
        <v>204</v>
      </c>
      <c r="Y780" s="14" t="s">
        <v>215</v>
      </c>
      <c r="Z780" s="14">
        <v>20001</v>
      </c>
      <c r="AA780" s="14" t="s">
        <v>205</v>
      </c>
      <c r="AB780" s="14">
        <v>40001</v>
      </c>
      <c r="AE780" s="29" t="s">
        <v>121</v>
      </c>
      <c r="AF780" s="14" t="s">
        <v>213</v>
      </c>
      <c r="AG780" s="14" t="s">
        <v>98</v>
      </c>
    </row>
    <row r="781" spans="2:33">
      <c r="B781" s="14">
        <f>10000000+INDEX(编号表!$B:$B,MATCH(H781,编号表!$A:$A,0))*100000+INDEX(编号表!$F:$F,MATCH(D781,编号表!$E:$E,0))*10000+INDEX(编号表!$D:$D,MATCH(AG781,编号表!$C:$C,0))*1000+F781</f>
        <v>11526008</v>
      </c>
      <c r="C781" s="14" t="s">
        <v>941</v>
      </c>
      <c r="D781" s="14" t="s">
        <v>112</v>
      </c>
      <c r="E781" s="14" t="s">
        <v>98</v>
      </c>
      <c r="F781" s="14">
        <v>8</v>
      </c>
      <c r="G781" s="14">
        <v>60</v>
      </c>
      <c r="H781" s="31" t="s">
        <v>228</v>
      </c>
      <c r="I781" s="14" t="s">
        <v>75</v>
      </c>
      <c r="J781" s="14" t="s">
        <v>201</v>
      </c>
      <c r="K781" s="14">
        <v>1</v>
      </c>
      <c r="L781" s="14" t="s">
        <v>213</v>
      </c>
      <c r="N781" s="14">
        <v>0</v>
      </c>
      <c r="O781" s="14" t="b">
        <v>1</v>
      </c>
      <c r="Q781" s="14" t="b">
        <v>0</v>
      </c>
      <c r="R781" s="14">
        <v>1</v>
      </c>
      <c r="S781" s="14" t="s">
        <v>77</v>
      </c>
      <c r="T781" s="14">
        <v>999</v>
      </c>
      <c r="U781" s="14" t="s">
        <v>214</v>
      </c>
      <c r="V781" s="14">
        <v>31526008</v>
      </c>
      <c r="X781" s="14" t="s">
        <v>204</v>
      </c>
      <c r="Y781" s="14" t="s">
        <v>215</v>
      </c>
      <c r="Z781" s="14">
        <v>20001</v>
      </c>
      <c r="AA781" s="14" t="s">
        <v>205</v>
      </c>
      <c r="AB781" s="14">
        <v>40001</v>
      </c>
      <c r="AE781" s="29" t="s">
        <v>121</v>
      </c>
      <c r="AF781" s="14" t="s">
        <v>213</v>
      </c>
      <c r="AG781" s="14" t="s">
        <v>98</v>
      </c>
    </row>
    <row r="782" spans="2:33">
      <c r="B782" s="14">
        <f>10000000+INDEX(编号表!$B:$B,MATCH(H782,编号表!$A:$A,0))*100000+INDEX(编号表!$F:$F,MATCH(D782,编号表!$E:$E,0))*10000+INDEX(编号表!$D:$D,MATCH(AG782,编号表!$C:$C,0))*1000+F782</f>
        <v>11526009</v>
      </c>
      <c r="C782" s="14" t="s">
        <v>942</v>
      </c>
      <c r="D782" s="14" t="s">
        <v>112</v>
      </c>
      <c r="E782" s="14" t="s">
        <v>98</v>
      </c>
      <c r="F782" s="14">
        <v>9</v>
      </c>
      <c r="G782" s="14">
        <v>60</v>
      </c>
      <c r="H782" s="31" t="s">
        <v>228</v>
      </c>
      <c r="I782" s="14" t="s">
        <v>75</v>
      </c>
      <c r="J782" s="14" t="s">
        <v>201</v>
      </c>
      <c r="K782" s="14">
        <v>1</v>
      </c>
      <c r="L782" s="14" t="s">
        <v>213</v>
      </c>
      <c r="N782" s="14">
        <v>0</v>
      </c>
      <c r="O782" s="14" t="b">
        <v>1</v>
      </c>
      <c r="Q782" s="14" t="b">
        <v>0</v>
      </c>
      <c r="R782" s="14">
        <v>1</v>
      </c>
      <c r="S782" s="14" t="s">
        <v>77</v>
      </c>
      <c r="T782" s="14">
        <v>999</v>
      </c>
      <c r="U782" s="14" t="s">
        <v>214</v>
      </c>
      <c r="V782" s="14">
        <v>31526009</v>
      </c>
      <c r="X782" s="14" t="s">
        <v>204</v>
      </c>
      <c r="Y782" s="14" t="s">
        <v>215</v>
      </c>
      <c r="Z782" s="14">
        <v>20001</v>
      </c>
      <c r="AA782" s="14" t="s">
        <v>205</v>
      </c>
      <c r="AB782" s="14">
        <v>40001</v>
      </c>
      <c r="AE782" s="29" t="s">
        <v>121</v>
      </c>
      <c r="AF782" s="14" t="s">
        <v>213</v>
      </c>
      <c r="AG782" s="14" t="s">
        <v>98</v>
      </c>
    </row>
    <row r="783" spans="2:33">
      <c r="B783" s="14">
        <f>10000000+INDEX(编号表!$B:$B,MATCH(H783,编号表!$A:$A,0))*100000+INDEX(编号表!$F:$F,MATCH(D783,编号表!$E:$E,0))*10000+INDEX(编号表!$D:$D,MATCH(AG783,编号表!$C:$C,0))*1000+F783</f>
        <v>11426000</v>
      </c>
      <c r="C783" s="14" t="s">
        <v>943</v>
      </c>
      <c r="D783" s="14" t="s">
        <v>112</v>
      </c>
      <c r="E783" s="14" t="s">
        <v>98</v>
      </c>
      <c r="F783" s="14">
        <v>0</v>
      </c>
      <c r="G783" s="14">
        <v>60</v>
      </c>
      <c r="H783" s="31" t="s">
        <v>239</v>
      </c>
      <c r="I783" s="14" t="s">
        <v>75</v>
      </c>
      <c r="J783" s="14" t="s">
        <v>201</v>
      </c>
      <c r="K783" s="14">
        <v>1</v>
      </c>
      <c r="L783" s="14" t="s">
        <v>213</v>
      </c>
      <c r="N783" s="14">
        <v>0</v>
      </c>
      <c r="O783" s="14" t="b">
        <v>1</v>
      </c>
      <c r="Q783" s="14" t="b">
        <v>0</v>
      </c>
      <c r="R783" s="14">
        <v>1</v>
      </c>
      <c r="S783" s="14" t="s">
        <v>77</v>
      </c>
      <c r="T783" s="14">
        <v>999</v>
      </c>
      <c r="U783" s="14" t="s">
        <v>214</v>
      </c>
      <c r="V783" s="14">
        <v>31426000</v>
      </c>
      <c r="X783" s="14" t="s">
        <v>204</v>
      </c>
      <c r="Y783" s="14" t="s">
        <v>215</v>
      </c>
      <c r="Z783" s="14">
        <v>20001</v>
      </c>
      <c r="AA783" s="14" t="s">
        <v>205</v>
      </c>
      <c r="AB783" s="14">
        <v>40001</v>
      </c>
      <c r="AE783" s="29" t="s">
        <v>121</v>
      </c>
      <c r="AF783" s="14" t="s">
        <v>213</v>
      </c>
      <c r="AG783" s="14" t="s">
        <v>98</v>
      </c>
    </row>
    <row r="784" spans="2:33">
      <c r="B784" s="14">
        <f>10000000+INDEX(编号表!$B:$B,MATCH(H784,编号表!$A:$A,0))*100000+INDEX(编号表!$F:$F,MATCH(D784,编号表!$E:$E,0))*10000+INDEX(编号表!$D:$D,MATCH(AG784,编号表!$C:$C,0))*1000+F784</f>
        <v>11426001</v>
      </c>
      <c r="C784" s="14" t="s">
        <v>944</v>
      </c>
      <c r="D784" s="14" t="s">
        <v>112</v>
      </c>
      <c r="E784" s="14" t="s">
        <v>98</v>
      </c>
      <c r="F784" s="14">
        <v>1</v>
      </c>
      <c r="G784" s="14">
        <v>60</v>
      </c>
      <c r="H784" s="31" t="s">
        <v>239</v>
      </c>
      <c r="I784" s="14" t="s">
        <v>75</v>
      </c>
      <c r="J784" s="14" t="s">
        <v>201</v>
      </c>
      <c r="K784" s="14">
        <v>1</v>
      </c>
      <c r="L784" s="14" t="s">
        <v>213</v>
      </c>
      <c r="N784" s="14">
        <v>0</v>
      </c>
      <c r="O784" s="14" t="b">
        <v>1</v>
      </c>
      <c r="Q784" s="14" t="b">
        <v>0</v>
      </c>
      <c r="R784" s="14">
        <v>1</v>
      </c>
      <c r="S784" s="14" t="s">
        <v>77</v>
      </c>
      <c r="T784" s="14">
        <v>999</v>
      </c>
      <c r="U784" s="14" t="s">
        <v>214</v>
      </c>
      <c r="V784" s="14">
        <v>31426001</v>
      </c>
      <c r="X784" s="14" t="s">
        <v>204</v>
      </c>
      <c r="Y784" s="14" t="s">
        <v>215</v>
      </c>
      <c r="Z784" s="14">
        <v>20001</v>
      </c>
      <c r="AA784" s="14" t="s">
        <v>205</v>
      </c>
      <c r="AB784" s="14">
        <v>40001</v>
      </c>
      <c r="AE784" s="29" t="s">
        <v>121</v>
      </c>
      <c r="AF784" s="14" t="s">
        <v>213</v>
      </c>
      <c r="AG784" s="14" t="s">
        <v>98</v>
      </c>
    </row>
    <row r="785" spans="2:33">
      <c r="B785" s="14">
        <f>10000000+INDEX(编号表!$B:$B,MATCH(H785,编号表!$A:$A,0))*100000+INDEX(编号表!$F:$F,MATCH(D785,编号表!$E:$E,0))*10000+INDEX(编号表!$D:$D,MATCH(AG785,编号表!$C:$C,0))*1000+F785</f>
        <v>11426002</v>
      </c>
      <c r="C785" s="14" t="s">
        <v>945</v>
      </c>
      <c r="D785" s="14" t="s">
        <v>112</v>
      </c>
      <c r="E785" s="14" t="s">
        <v>98</v>
      </c>
      <c r="F785" s="14">
        <v>2</v>
      </c>
      <c r="G785" s="14">
        <v>60</v>
      </c>
      <c r="H785" s="31" t="s">
        <v>239</v>
      </c>
      <c r="I785" s="14" t="s">
        <v>75</v>
      </c>
      <c r="J785" s="14" t="s">
        <v>201</v>
      </c>
      <c r="K785" s="14">
        <v>1</v>
      </c>
      <c r="L785" s="14" t="s">
        <v>213</v>
      </c>
      <c r="N785" s="14">
        <v>0</v>
      </c>
      <c r="O785" s="14" t="b">
        <v>1</v>
      </c>
      <c r="Q785" s="14" t="b">
        <v>0</v>
      </c>
      <c r="R785" s="14">
        <v>1</v>
      </c>
      <c r="S785" s="14" t="s">
        <v>77</v>
      </c>
      <c r="T785" s="14">
        <v>999</v>
      </c>
      <c r="U785" s="14" t="s">
        <v>214</v>
      </c>
      <c r="V785" s="14">
        <v>31426002</v>
      </c>
      <c r="X785" s="14" t="s">
        <v>204</v>
      </c>
      <c r="Y785" s="14" t="s">
        <v>215</v>
      </c>
      <c r="Z785" s="14">
        <v>20001</v>
      </c>
      <c r="AA785" s="14" t="s">
        <v>205</v>
      </c>
      <c r="AB785" s="14">
        <v>40001</v>
      </c>
      <c r="AE785" s="29" t="s">
        <v>121</v>
      </c>
      <c r="AF785" s="14" t="s">
        <v>213</v>
      </c>
      <c r="AG785" s="14" t="s">
        <v>98</v>
      </c>
    </row>
    <row r="786" spans="2:33">
      <c r="B786" s="14">
        <f>10000000+INDEX(编号表!$B:$B,MATCH(H786,编号表!$A:$A,0))*100000+INDEX(编号表!$F:$F,MATCH(D786,编号表!$E:$E,0))*10000+INDEX(编号表!$D:$D,MATCH(AG786,编号表!$C:$C,0))*1000+F786</f>
        <v>11426003</v>
      </c>
      <c r="C786" s="14" t="s">
        <v>946</v>
      </c>
      <c r="D786" s="14" t="s">
        <v>112</v>
      </c>
      <c r="E786" s="14" t="s">
        <v>98</v>
      </c>
      <c r="F786" s="14">
        <v>3</v>
      </c>
      <c r="G786" s="14">
        <v>60</v>
      </c>
      <c r="H786" s="31" t="s">
        <v>239</v>
      </c>
      <c r="I786" s="14" t="s">
        <v>75</v>
      </c>
      <c r="J786" s="14" t="s">
        <v>201</v>
      </c>
      <c r="K786" s="14">
        <v>1</v>
      </c>
      <c r="L786" s="14" t="s">
        <v>213</v>
      </c>
      <c r="N786" s="14">
        <v>0</v>
      </c>
      <c r="O786" s="14" t="b">
        <v>1</v>
      </c>
      <c r="Q786" s="14" t="b">
        <v>0</v>
      </c>
      <c r="R786" s="14">
        <v>1</v>
      </c>
      <c r="S786" s="14" t="s">
        <v>77</v>
      </c>
      <c r="T786" s="14">
        <v>999</v>
      </c>
      <c r="U786" s="14" t="s">
        <v>214</v>
      </c>
      <c r="V786" s="14">
        <v>31426003</v>
      </c>
      <c r="X786" s="14" t="s">
        <v>204</v>
      </c>
      <c r="Y786" s="14" t="s">
        <v>215</v>
      </c>
      <c r="Z786" s="14">
        <v>20001</v>
      </c>
      <c r="AA786" s="14" t="s">
        <v>205</v>
      </c>
      <c r="AB786" s="14">
        <v>40001</v>
      </c>
      <c r="AE786" s="29" t="s">
        <v>121</v>
      </c>
      <c r="AF786" s="14" t="s">
        <v>213</v>
      </c>
      <c r="AG786" s="14" t="s">
        <v>98</v>
      </c>
    </row>
    <row r="787" spans="2:33">
      <c r="B787" s="14">
        <f>10000000+INDEX(编号表!$B:$B,MATCH(H787,编号表!$A:$A,0))*100000+INDEX(编号表!$F:$F,MATCH(D787,编号表!$E:$E,0))*10000+INDEX(编号表!$D:$D,MATCH(AG787,编号表!$C:$C,0))*1000+F787</f>
        <v>11626000</v>
      </c>
      <c r="C787" s="14" t="s">
        <v>947</v>
      </c>
      <c r="D787" s="14" t="s">
        <v>112</v>
      </c>
      <c r="E787" s="14" t="s">
        <v>98</v>
      </c>
      <c r="F787" s="14">
        <v>0</v>
      </c>
      <c r="G787" s="14">
        <v>60</v>
      </c>
      <c r="H787" s="31" t="s">
        <v>244</v>
      </c>
      <c r="I787" s="14" t="s">
        <v>75</v>
      </c>
      <c r="J787" s="14" t="s">
        <v>201</v>
      </c>
      <c r="K787" s="14">
        <v>1</v>
      </c>
      <c r="L787" s="14" t="s">
        <v>213</v>
      </c>
      <c r="N787" s="14">
        <v>0</v>
      </c>
      <c r="O787" s="14" t="b">
        <v>1</v>
      </c>
      <c r="Q787" s="14" t="b">
        <v>0</v>
      </c>
      <c r="R787" s="14">
        <v>1</v>
      </c>
      <c r="S787" s="14" t="s">
        <v>77</v>
      </c>
      <c r="T787" s="14">
        <v>999</v>
      </c>
      <c r="U787" s="14" t="s">
        <v>214</v>
      </c>
      <c r="V787" s="14">
        <v>31626000</v>
      </c>
      <c r="X787" s="14" t="s">
        <v>204</v>
      </c>
      <c r="Y787" s="14" t="s">
        <v>215</v>
      </c>
      <c r="Z787" s="14">
        <v>20001</v>
      </c>
      <c r="AA787" s="14" t="s">
        <v>205</v>
      </c>
      <c r="AB787" s="14">
        <v>40001</v>
      </c>
      <c r="AE787" s="29" t="s">
        <v>121</v>
      </c>
      <c r="AF787" s="14" t="s">
        <v>213</v>
      </c>
      <c r="AG787" s="14" t="s">
        <v>98</v>
      </c>
    </row>
    <row r="788" spans="2:33">
      <c r="B788" s="14">
        <f>10000000+INDEX(编号表!$B:$B,MATCH(H788,编号表!$A:$A,0))*100000+INDEX(编号表!$F:$F,MATCH(D788,编号表!$E:$E,0))*10000+INDEX(编号表!$D:$D,MATCH(AG788,编号表!$C:$C,0))*1000+F788</f>
        <v>11626001</v>
      </c>
      <c r="C788" s="14" t="s">
        <v>948</v>
      </c>
      <c r="D788" s="14" t="s">
        <v>112</v>
      </c>
      <c r="E788" s="14" t="s">
        <v>98</v>
      </c>
      <c r="F788" s="14">
        <v>1</v>
      </c>
      <c r="G788" s="14">
        <v>60</v>
      </c>
      <c r="H788" s="31" t="s">
        <v>244</v>
      </c>
      <c r="I788" s="14" t="s">
        <v>75</v>
      </c>
      <c r="J788" s="14" t="s">
        <v>201</v>
      </c>
      <c r="K788" s="14">
        <v>1</v>
      </c>
      <c r="L788" s="14" t="s">
        <v>213</v>
      </c>
      <c r="N788" s="14">
        <v>0</v>
      </c>
      <c r="O788" s="14" t="b">
        <v>1</v>
      </c>
      <c r="Q788" s="14" t="b">
        <v>0</v>
      </c>
      <c r="R788" s="14">
        <v>1</v>
      </c>
      <c r="S788" s="14" t="s">
        <v>77</v>
      </c>
      <c r="T788" s="14">
        <v>999</v>
      </c>
      <c r="U788" s="14" t="s">
        <v>214</v>
      </c>
      <c r="V788" s="14">
        <v>31626001</v>
      </c>
      <c r="X788" s="14" t="s">
        <v>204</v>
      </c>
      <c r="Y788" s="14" t="s">
        <v>215</v>
      </c>
      <c r="Z788" s="14">
        <v>20001</v>
      </c>
      <c r="AA788" s="14" t="s">
        <v>205</v>
      </c>
      <c r="AB788" s="14">
        <v>40001</v>
      </c>
      <c r="AE788" s="29" t="s">
        <v>121</v>
      </c>
      <c r="AF788" s="14" t="s">
        <v>213</v>
      </c>
      <c r="AG788" s="14" t="s">
        <v>98</v>
      </c>
    </row>
    <row r="789" spans="2:33">
      <c r="B789" s="14">
        <f>10000000+INDEX(编号表!$B:$B,MATCH(H789,编号表!$A:$A,0))*100000+INDEX(编号表!$F:$F,MATCH(D789,编号表!$E:$E,0))*10000+INDEX(编号表!$D:$D,MATCH(AG789,编号表!$C:$C,0))*1000+F789</f>
        <v>11626002</v>
      </c>
      <c r="C789" s="14" t="s">
        <v>949</v>
      </c>
      <c r="D789" s="14" t="s">
        <v>112</v>
      </c>
      <c r="E789" s="14" t="s">
        <v>98</v>
      </c>
      <c r="F789" s="14">
        <v>2</v>
      </c>
      <c r="G789" s="14">
        <v>60</v>
      </c>
      <c r="H789" s="31" t="s">
        <v>244</v>
      </c>
      <c r="I789" s="14" t="s">
        <v>75</v>
      </c>
      <c r="J789" s="14" t="s">
        <v>201</v>
      </c>
      <c r="K789" s="14">
        <v>1</v>
      </c>
      <c r="L789" s="14" t="s">
        <v>213</v>
      </c>
      <c r="N789" s="14">
        <v>0</v>
      </c>
      <c r="O789" s="14" t="b">
        <v>1</v>
      </c>
      <c r="Q789" s="14" t="b">
        <v>0</v>
      </c>
      <c r="R789" s="14">
        <v>1</v>
      </c>
      <c r="S789" s="14" t="s">
        <v>77</v>
      </c>
      <c r="T789" s="14">
        <v>999</v>
      </c>
      <c r="U789" s="14" t="s">
        <v>214</v>
      </c>
      <c r="V789" s="14">
        <v>31626002</v>
      </c>
      <c r="X789" s="14" t="s">
        <v>204</v>
      </c>
      <c r="Y789" s="14" t="s">
        <v>215</v>
      </c>
      <c r="Z789" s="14">
        <v>20001</v>
      </c>
      <c r="AA789" s="14" t="s">
        <v>205</v>
      </c>
      <c r="AB789" s="14">
        <v>40001</v>
      </c>
      <c r="AE789" s="29" t="s">
        <v>121</v>
      </c>
      <c r="AF789" s="14" t="s">
        <v>213</v>
      </c>
      <c r="AG789" s="14" t="s">
        <v>98</v>
      </c>
    </row>
    <row r="790" spans="2:33">
      <c r="B790" s="14">
        <f>10000000+INDEX(编号表!$B:$B,MATCH(H790,编号表!$A:$A,0))*100000+INDEX(编号表!$F:$F,MATCH(D790,编号表!$E:$E,0))*10000+INDEX(编号表!$D:$D,MATCH(AG790,编号表!$C:$C,0))*1000+F790</f>
        <v>11236000</v>
      </c>
      <c r="C790" s="14" t="s">
        <v>950</v>
      </c>
      <c r="D790" s="14" t="s">
        <v>276</v>
      </c>
      <c r="E790" s="14" t="s">
        <v>98</v>
      </c>
      <c r="F790" s="14">
        <v>0</v>
      </c>
      <c r="G790" s="14">
        <v>60</v>
      </c>
      <c r="H790" s="31" t="s">
        <v>212</v>
      </c>
      <c r="I790" s="14" t="s">
        <v>75</v>
      </c>
      <c r="J790" s="14" t="s">
        <v>201</v>
      </c>
      <c r="K790" s="14">
        <v>1</v>
      </c>
      <c r="L790" s="14" t="s">
        <v>213</v>
      </c>
      <c r="N790" s="14">
        <v>0</v>
      </c>
      <c r="O790" s="14" t="b">
        <v>1</v>
      </c>
      <c r="Q790" s="14" t="b">
        <v>0</v>
      </c>
      <c r="R790" s="14">
        <v>1</v>
      </c>
      <c r="S790" s="14" t="s">
        <v>77</v>
      </c>
      <c r="T790" s="14">
        <v>999</v>
      </c>
      <c r="U790" s="14" t="s">
        <v>214</v>
      </c>
      <c r="V790" s="14">
        <v>31236000</v>
      </c>
      <c r="X790" s="14" t="s">
        <v>204</v>
      </c>
      <c r="Y790" s="14" t="s">
        <v>215</v>
      </c>
      <c r="Z790" s="14">
        <v>20001</v>
      </c>
      <c r="AA790" s="14" t="s">
        <v>205</v>
      </c>
      <c r="AB790" s="14">
        <v>40001</v>
      </c>
      <c r="AE790" s="29" t="s">
        <v>121</v>
      </c>
      <c r="AF790" s="14" t="s">
        <v>213</v>
      </c>
      <c r="AG790" s="14" t="s">
        <v>98</v>
      </c>
    </row>
    <row r="791" spans="2:33">
      <c r="B791" s="14">
        <f>10000000+INDEX(编号表!$B:$B,MATCH(H791,编号表!$A:$A,0))*100000+INDEX(编号表!$F:$F,MATCH(D791,编号表!$E:$E,0))*10000+INDEX(编号表!$D:$D,MATCH(AG791,编号表!$C:$C,0))*1000+F791</f>
        <v>11336000</v>
      </c>
      <c r="C791" s="14" t="s">
        <v>951</v>
      </c>
      <c r="D791" s="14" t="s">
        <v>276</v>
      </c>
      <c r="E791" s="14" t="s">
        <v>98</v>
      </c>
      <c r="F791" s="14">
        <v>0</v>
      </c>
      <c r="G791" s="14">
        <v>60</v>
      </c>
      <c r="H791" s="31" t="s">
        <v>217</v>
      </c>
      <c r="I791" s="14" t="s">
        <v>75</v>
      </c>
      <c r="J791" s="14" t="s">
        <v>201</v>
      </c>
      <c r="K791" s="14">
        <v>1</v>
      </c>
      <c r="L791" s="14" t="s">
        <v>213</v>
      </c>
      <c r="N791" s="14">
        <v>0</v>
      </c>
      <c r="O791" s="14" t="b">
        <v>1</v>
      </c>
      <c r="Q791" s="14" t="b">
        <v>0</v>
      </c>
      <c r="R791" s="14">
        <v>1</v>
      </c>
      <c r="S791" s="14" t="s">
        <v>77</v>
      </c>
      <c r="T791" s="14">
        <v>999</v>
      </c>
      <c r="U791" s="14" t="s">
        <v>214</v>
      </c>
      <c r="V791" s="14">
        <v>31336000</v>
      </c>
      <c r="X791" s="14" t="s">
        <v>204</v>
      </c>
      <c r="Y791" s="14" t="s">
        <v>215</v>
      </c>
      <c r="Z791" s="14">
        <v>20001</v>
      </c>
      <c r="AA791" s="14" t="s">
        <v>205</v>
      </c>
      <c r="AB791" s="14">
        <v>40001</v>
      </c>
      <c r="AE791" s="29" t="s">
        <v>121</v>
      </c>
      <c r="AF791" s="14" t="s">
        <v>213</v>
      </c>
      <c r="AG791" s="14" t="s">
        <v>98</v>
      </c>
    </row>
    <row r="792" spans="2:33">
      <c r="B792" s="14">
        <f>10000000+INDEX(编号表!$B:$B,MATCH(H792,编号表!$A:$A,0))*100000+INDEX(编号表!$F:$F,MATCH(D792,编号表!$E:$E,0))*10000+INDEX(编号表!$D:$D,MATCH(AG792,编号表!$C:$C,0))*1000+F792</f>
        <v>11336001</v>
      </c>
      <c r="C792" s="14" t="s">
        <v>952</v>
      </c>
      <c r="D792" s="14" t="s">
        <v>276</v>
      </c>
      <c r="E792" s="14" t="s">
        <v>98</v>
      </c>
      <c r="F792" s="14">
        <v>1</v>
      </c>
      <c r="G792" s="14">
        <v>60</v>
      </c>
      <c r="H792" s="31" t="s">
        <v>217</v>
      </c>
      <c r="I792" s="14" t="s">
        <v>75</v>
      </c>
      <c r="J792" s="14" t="s">
        <v>201</v>
      </c>
      <c r="K792" s="14">
        <v>1</v>
      </c>
      <c r="L792" s="14" t="s">
        <v>213</v>
      </c>
      <c r="N792" s="14">
        <v>0</v>
      </c>
      <c r="O792" s="14" t="b">
        <v>1</v>
      </c>
      <c r="Q792" s="14" t="b">
        <v>0</v>
      </c>
      <c r="R792" s="14">
        <v>1</v>
      </c>
      <c r="S792" s="14" t="s">
        <v>77</v>
      </c>
      <c r="T792" s="14">
        <v>999</v>
      </c>
      <c r="U792" s="14" t="s">
        <v>214</v>
      </c>
      <c r="V792" s="14">
        <v>31336001</v>
      </c>
      <c r="X792" s="14" t="s">
        <v>204</v>
      </c>
      <c r="Y792" s="14" t="s">
        <v>215</v>
      </c>
      <c r="Z792" s="14">
        <v>20001</v>
      </c>
      <c r="AA792" s="14" t="s">
        <v>205</v>
      </c>
      <c r="AB792" s="14">
        <v>40001</v>
      </c>
      <c r="AE792" s="29" t="s">
        <v>121</v>
      </c>
      <c r="AF792" s="14" t="s">
        <v>213</v>
      </c>
      <c r="AG792" s="14" t="s">
        <v>98</v>
      </c>
    </row>
    <row r="793" spans="2:33">
      <c r="B793" s="14">
        <f>10000000+INDEX(编号表!$B:$B,MATCH(H793,编号表!$A:$A,0))*100000+INDEX(编号表!$F:$F,MATCH(D793,编号表!$E:$E,0))*10000+INDEX(编号表!$D:$D,MATCH(AG793,编号表!$C:$C,0))*1000+F793</f>
        <v>11336002</v>
      </c>
      <c r="C793" s="14" t="s">
        <v>953</v>
      </c>
      <c r="D793" s="14" t="s">
        <v>276</v>
      </c>
      <c r="E793" s="14" t="s">
        <v>98</v>
      </c>
      <c r="F793" s="14">
        <v>2</v>
      </c>
      <c r="G793" s="14">
        <v>60</v>
      </c>
      <c r="H793" s="31" t="s">
        <v>217</v>
      </c>
      <c r="I793" s="14" t="s">
        <v>75</v>
      </c>
      <c r="J793" s="14" t="s">
        <v>201</v>
      </c>
      <c r="K793" s="14">
        <v>1</v>
      </c>
      <c r="L793" s="14" t="s">
        <v>213</v>
      </c>
      <c r="N793" s="14">
        <v>0</v>
      </c>
      <c r="O793" s="14" t="b">
        <v>1</v>
      </c>
      <c r="Q793" s="14" t="b">
        <v>0</v>
      </c>
      <c r="R793" s="14">
        <v>1</v>
      </c>
      <c r="S793" s="14" t="s">
        <v>77</v>
      </c>
      <c r="T793" s="14">
        <v>999</v>
      </c>
      <c r="U793" s="14" t="s">
        <v>214</v>
      </c>
      <c r="V793" s="14">
        <v>31336002</v>
      </c>
      <c r="X793" s="14" t="s">
        <v>204</v>
      </c>
      <c r="Y793" s="14" t="s">
        <v>215</v>
      </c>
      <c r="Z793" s="14">
        <v>20001</v>
      </c>
      <c r="AA793" s="14" t="s">
        <v>205</v>
      </c>
      <c r="AB793" s="14">
        <v>40001</v>
      </c>
      <c r="AE793" s="29" t="s">
        <v>121</v>
      </c>
      <c r="AF793" s="14" t="s">
        <v>213</v>
      </c>
      <c r="AG793" s="14" t="s">
        <v>98</v>
      </c>
    </row>
    <row r="794" spans="2:33">
      <c r="B794" s="14">
        <f>10000000+INDEX(编号表!$B:$B,MATCH(H794,编号表!$A:$A,0))*100000+INDEX(编号表!$F:$F,MATCH(D794,编号表!$E:$E,0))*10000+INDEX(编号表!$D:$D,MATCH(AG794,编号表!$C:$C,0))*1000+F794</f>
        <v>11336003</v>
      </c>
      <c r="C794" s="14" t="s">
        <v>954</v>
      </c>
      <c r="D794" s="14" t="s">
        <v>276</v>
      </c>
      <c r="E794" s="14" t="s">
        <v>98</v>
      </c>
      <c r="F794" s="14">
        <v>3</v>
      </c>
      <c r="G794" s="14">
        <v>60</v>
      </c>
      <c r="H794" s="31" t="s">
        <v>217</v>
      </c>
      <c r="I794" s="14" t="s">
        <v>75</v>
      </c>
      <c r="J794" s="14" t="s">
        <v>201</v>
      </c>
      <c r="K794" s="14">
        <v>1</v>
      </c>
      <c r="L794" s="14" t="s">
        <v>213</v>
      </c>
      <c r="N794" s="14">
        <v>0</v>
      </c>
      <c r="O794" s="14" t="b">
        <v>1</v>
      </c>
      <c r="Q794" s="14" t="b">
        <v>0</v>
      </c>
      <c r="R794" s="14">
        <v>1</v>
      </c>
      <c r="S794" s="14" t="s">
        <v>77</v>
      </c>
      <c r="T794" s="14">
        <v>999</v>
      </c>
      <c r="U794" s="14" t="s">
        <v>214</v>
      </c>
      <c r="V794" s="14">
        <v>31336003</v>
      </c>
      <c r="X794" s="14" t="s">
        <v>204</v>
      </c>
      <c r="Y794" s="14" t="s">
        <v>215</v>
      </c>
      <c r="Z794" s="14">
        <v>20001</v>
      </c>
      <c r="AA794" s="14" t="s">
        <v>205</v>
      </c>
      <c r="AB794" s="14">
        <v>40001</v>
      </c>
      <c r="AE794" s="29" t="s">
        <v>121</v>
      </c>
      <c r="AF794" s="14" t="s">
        <v>213</v>
      </c>
      <c r="AG794" s="14" t="s">
        <v>98</v>
      </c>
    </row>
    <row r="795" spans="2:33">
      <c r="B795" s="14">
        <f>10000000+INDEX(编号表!$B:$B,MATCH(H795,编号表!$A:$A,0))*100000+INDEX(编号表!$F:$F,MATCH(D795,编号表!$E:$E,0))*10000+INDEX(编号表!$D:$D,MATCH(AG795,编号表!$C:$C,0))*1000+F795</f>
        <v>11336004</v>
      </c>
      <c r="C795" s="14" t="s">
        <v>955</v>
      </c>
      <c r="D795" s="14" t="s">
        <v>276</v>
      </c>
      <c r="E795" s="14" t="s">
        <v>98</v>
      </c>
      <c r="F795" s="14">
        <v>4</v>
      </c>
      <c r="G795" s="14">
        <v>60</v>
      </c>
      <c r="H795" s="31" t="s">
        <v>217</v>
      </c>
      <c r="I795" s="14" t="s">
        <v>75</v>
      </c>
      <c r="J795" s="14" t="s">
        <v>201</v>
      </c>
      <c r="K795" s="14">
        <v>1</v>
      </c>
      <c r="L795" s="14" t="s">
        <v>213</v>
      </c>
      <c r="N795" s="14">
        <v>0</v>
      </c>
      <c r="O795" s="14" t="b">
        <v>1</v>
      </c>
      <c r="Q795" s="14" t="b">
        <v>0</v>
      </c>
      <c r="R795" s="14">
        <v>1</v>
      </c>
      <c r="S795" s="14" t="s">
        <v>77</v>
      </c>
      <c r="T795" s="14">
        <v>999</v>
      </c>
      <c r="U795" s="14" t="s">
        <v>214</v>
      </c>
      <c r="V795" s="14">
        <v>31336004</v>
      </c>
      <c r="X795" s="14" t="s">
        <v>204</v>
      </c>
      <c r="Y795" s="14" t="s">
        <v>215</v>
      </c>
      <c r="Z795" s="14">
        <v>20001</v>
      </c>
      <c r="AA795" s="14" t="s">
        <v>205</v>
      </c>
      <c r="AB795" s="14">
        <v>40001</v>
      </c>
      <c r="AE795" s="29" t="s">
        <v>121</v>
      </c>
      <c r="AF795" s="14" t="s">
        <v>213</v>
      </c>
      <c r="AG795" s="14" t="s">
        <v>98</v>
      </c>
    </row>
    <row r="796" spans="2:33">
      <c r="B796" s="14">
        <f>10000000+INDEX(编号表!$B:$B,MATCH(H796,编号表!$A:$A,0))*100000+INDEX(编号表!$F:$F,MATCH(D796,编号表!$E:$E,0))*10000+INDEX(编号表!$D:$D,MATCH(AG796,编号表!$C:$C,0))*1000+F796</f>
        <v>11336005</v>
      </c>
      <c r="C796" s="14" t="s">
        <v>956</v>
      </c>
      <c r="D796" s="14" t="s">
        <v>276</v>
      </c>
      <c r="E796" s="14" t="s">
        <v>98</v>
      </c>
      <c r="F796" s="14">
        <v>5</v>
      </c>
      <c r="G796" s="14">
        <v>60</v>
      </c>
      <c r="H796" s="31" t="s">
        <v>217</v>
      </c>
      <c r="I796" s="14" t="s">
        <v>75</v>
      </c>
      <c r="J796" s="14" t="s">
        <v>201</v>
      </c>
      <c r="K796" s="14">
        <v>1</v>
      </c>
      <c r="L796" s="14" t="s">
        <v>213</v>
      </c>
      <c r="N796" s="14">
        <v>0</v>
      </c>
      <c r="O796" s="14" t="b">
        <v>1</v>
      </c>
      <c r="Q796" s="14" t="b">
        <v>0</v>
      </c>
      <c r="R796" s="14">
        <v>1</v>
      </c>
      <c r="S796" s="14" t="s">
        <v>77</v>
      </c>
      <c r="T796" s="14">
        <v>999</v>
      </c>
      <c r="U796" s="14" t="s">
        <v>214</v>
      </c>
      <c r="V796" s="14">
        <v>31336005</v>
      </c>
      <c r="X796" s="14" t="s">
        <v>204</v>
      </c>
      <c r="Y796" s="14" t="s">
        <v>215</v>
      </c>
      <c r="Z796" s="14">
        <v>20001</v>
      </c>
      <c r="AA796" s="14" t="s">
        <v>205</v>
      </c>
      <c r="AB796" s="14">
        <v>40001</v>
      </c>
      <c r="AE796" s="29" t="s">
        <v>121</v>
      </c>
      <c r="AF796" s="14" t="s">
        <v>213</v>
      </c>
      <c r="AG796" s="14" t="s">
        <v>98</v>
      </c>
    </row>
    <row r="797" spans="2:33">
      <c r="B797" s="14">
        <f>10000000+INDEX(编号表!$B:$B,MATCH(H797,编号表!$A:$A,0))*100000+INDEX(编号表!$F:$F,MATCH(D797,编号表!$E:$E,0))*10000+INDEX(编号表!$D:$D,MATCH(AG797,编号表!$C:$C,0))*1000+F797</f>
        <v>11336006</v>
      </c>
      <c r="C797" s="14" t="s">
        <v>957</v>
      </c>
      <c r="D797" s="14" t="s">
        <v>276</v>
      </c>
      <c r="E797" s="14" t="s">
        <v>98</v>
      </c>
      <c r="F797" s="14">
        <v>6</v>
      </c>
      <c r="G797" s="14">
        <v>60</v>
      </c>
      <c r="H797" s="31" t="s">
        <v>217</v>
      </c>
      <c r="I797" s="14" t="s">
        <v>75</v>
      </c>
      <c r="J797" s="14" t="s">
        <v>201</v>
      </c>
      <c r="K797" s="14">
        <v>1</v>
      </c>
      <c r="L797" s="14" t="s">
        <v>213</v>
      </c>
      <c r="N797" s="14">
        <v>0</v>
      </c>
      <c r="O797" s="14" t="b">
        <v>1</v>
      </c>
      <c r="Q797" s="14" t="b">
        <v>0</v>
      </c>
      <c r="R797" s="14">
        <v>1</v>
      </c>
      <c r="S797" s="14" t="s">
        <v>77</v>
      </c>
      <c r="T797" s="14">
        <v>999</v>
      </c>
      <c r="U797" s="14" t="s">
        <v>214</v>
      </c>
      <c r="V797" s="14">
        <v>31336006</v>
      </c>
      <c r="X797" s="14" t="s">
        <v>204</v>
      </c>
      <c r="Y797" s="14" t="s">
        <v>215</v>
      </c>
      <c r="Z797" s="14">
        <v>20001</v>
      </c>
      <c r="AA797" s="14" t="s">
        <v>205</v>
      </c>
      <c r="AB797" s="14">
        <v>40001</v>
      </c>
      <c r="AE797" s="29" t="s">
        <v>121</v>
      </c>
      <c r="AF797" s="14" t="s">
        <v>213</v>
      </c>
      <c r="AG797" s="14" t="s">
        <v>98</v>
      </c>
    </row>
    <row r="798" spans="2:33">
      <c r="B798" s="14">
        <f>10000000+INDEX(编号表!$B:$B,MATCH(H798,编号表!$A:$A,0))*100000+INDEX(编号表!$F:$F,MATCH(D798,编号表!$E:$E,0))*10000+INDEX(编号表!$D:$D,MATCH(AG798,编号表!$C:$C,0))*1000+F798</f>
        <v>11336007</v>
      </c>
      <c r="C798" s="14" t="s">
        <v>958</v>
      </c>
      <c r="D798" s="14" t="s">
        <v>276</v>
      </c>
      <c r="E798" s="14" t="s">
        <v>98</v>
      </c>
      <c r="F798" s="14">
        <v>7</v>
      </c>
      <c r="G798" s="14">
        <v>60</v>
      </c>
      <c r="H798" s="31" t="s">
        <v>217</v>
      </c>
      <c r="I798" s="14" t="s">
        <v>75</v>
      </c>
      <c r="J798" s="14" t="s">
        <v>201</v>
      </c>
      <c r="K798" s="14">
        <v>1</v>
      </c>
      <c r="L798" s="14" t="s">
        <v>213</v>
      </c>
      <c r="N798" s="14">
        <v>0</v>
      </c>
      <c r="O798" s="14" t="b">
        <v>1</v>
      </c>
      <c r="Q798" s="14" t="b">
        <v>0</v>
      </c>
      <c r="R798" s="14">
        <v>1</v>
      </c>
      <c r="S798" s="14" t="s">
        <v>77</v>
      </c>
      <c r="T798" s="14">
        <v>999</v>
      </c>
      <c r="U798" s="14" t="s">
        <v>214</v>
      </c>
      <c r="V798" s="14">
        <v>31336007</v>
      </c>
      <c r="X798" s="14" t="s">
        <v>204</v>
      </c>
      <c r="Y798" s="14" t="s">
        <v>215</v>
      </c>
      <c r="Z798" s="14">
        <v>20001</v>
      </c>
      <c r="AA798" s="14" t="s">
        <v>205</v>
      </c>
      <c r="AB798" s="14">
        <v>40001</v>
      </c>
      <c r="AE798" s="29" t="s">
        <v>121</v>
      </c>
      <c r="AF798" s="14" t="s">
        <v>213</v>
      </c>
      <c r="AG798" s="14" t="s">
        <v>98</v>
      </c>
    </row>
    <row r="799" spans="2:33">
      <c r="B799" s="14">
        <f>10000000+INDEX(编号表!$B:$B,MATCH(H799,编号表!$A:$A,0))*100000+INDEX(编号表!$F:$F,MATCH(D799,编号表!$E:$E,0))*10000+INDEX(编号表!$D:$D,MATCH(AG799,编号表!$C:$C,0))*1000+F799</f>
        <v>11336008</v>
      </c>
      <c r="C799" s="14" t="s">
        <v>959</v>
      </c>
      <c r="D799" s="14" t="s">
        <v>276</v>
      </c>
      <c r="E799" s="14" t="s">
        <v>98</v>
      </c>
      <c r="F799" s="14">
        <v>8</v>
      </c>
      <c r="G799" s="14">
        <v>60</v>
      </c>
      <c r="H799" s="31" t="s">
        <v>217</v>
      </c>
      <c r="I799" s="14" t="s">
        <v>75</v>
      </c>
      <c r="J799" s="14" t="s">
        <v>201</v>
      </c>
      <c r="K799" s="14">
        <v>1</v>
      </c>
      <c r="L799" s="14" t="s">
        <v>213</v>
      </c>
      <c r="N799" s="14">
        <v>0</v>
      </c>
      <c r="O799" s="14" t="b">
        <v>1</v>
      </c>
      <c r="Q799" s="14" t="b">
        <v>0</v>
      </c>
      <c r="R799" s="14">
        <v>1</v>
      </c>
      <c r="S799" s="14" t="s">
        <v>77</v>
      </c>
      <c r="T799" s="14">
        <v>999</v>
      </c>
      <c r="U799" s="14" t="s">
        <v>214</v>
      </c>
      <c r="V799" s="14">
        <v>31336008</v>
      </c>
      <c r="X799" s="14" t="s">
        <v>204</v>
      </c>
      <c r="Y799" s="14" t="s">
        <v>215</v>
      </c>
      <c r="Z799" s="14">
        <v>20001</v>
      </c>
      <c r="AA799" s="14" t="s">
        <v>205</v>
      </c>
      <c r="AB799" s="14">
        <v>40001</v>
      </c>
      <c r="AE799" s="29" t="s">
        <v>121</v>
      </c>
      <c r="AF799" s="14" t="s">
        <v>213</v>
      </c>
      <c r="AG799" s="14" t="s">
        <v>98</v>
      </c>
    </row>
    <row r="800" spans="2:33">
      <c r="B800" s="14">
        <f>10000000+INDEX(编号表!$B:$B,MATCH(H800,编号表!$A:$A,0))*100000+INDEX(编号表!$F:$F,MATCH(D800,编号表!$E:$E,0))*10000+INDEX(编号表!$D:$D,MATCH(AG800,编号表!$C:$C,0))*1000+F800</f>
        <v>11336009</v>
      </c>
      <c r="C800" s="14" t="s">
        <v>960</v>
      </c>
      <c r="D800" s="14" t="s">
        <v>276</v>
      </c>
      <c r="E800" s="14" t="s">
        <v>98</v>
      </c>
      <c r="F800" s="14">
        <v>9</v>
      </c>
      <c r="G800" s="14">
        <v>60</v>
      </c>
      <c r="H800" s="31" t="s">
        <v>217</v>
      </c>
      <c r="I800" s="14" t="s">
        <v>75</v>
      </c>
      <c r="J800" s="14" t="s">
        <v>201</v>
      </c>
      <c r="K800" s="14">
        <v>1</v>
      </c>
      <c r="L800" s="14" t="s">
        <v>213</v>
      </c>
      <c r="N800" s="14">
        <v>0</v>
      </c>
      <c r="O800" s="14" t="b">
        <v>1</v>
      </c>
      <c r="Q800" s="14" t="b">
        <v>0</v>
      </c>
      <c r="R800" s="14">
        <v>1</v>
      </c>
      <c r="S800" s="14" t="s">
        <v>77</v>
      </c>
      <c r="T800" s="14">
        <v>999</v>
      </c>
      <c r="U800" s="14" t="s">
        <v>214</v>
      </c>
      <c r="V800" s="14">
        <v>31336009</v>
      </c>
      <c r="X800" s="14" t="s">
        <v>204</v>
      </c>
      <c r="Y800" s="14" t="s">
        <v>215</v>
      </c>
      <c r="Z800" s="14">
        <v>20001</v>
      </c>
      <c r="AA800" s="14" t="s">
        <v>205</v>
      </c>
      <c r="AB800" s="14">
        <v>40001</v>
      </c>
      <c r="AE800" s="29" t="s">
        <v>121</v>
      </c>
      <c r="AF800" s="14" t="s">
        <v>213</v>
      </c>
      <c r="AG800" s="14" t="s">
        <v>98</v>
      </c>
    </row>
    <row r="801" spans="2:33">
      <c r="B801" s="14">
        <f>10000000+INDEX(编号表!$B:$B,MATCH(H801,编号表!$A:$A,0))*100000+INDEX(编号表!$F:$F,MATCH(D801,编号表!$E:$E,0))*10000+INDEX(编号表!$D:$D,MATCH(AG801,编号表!$C:$C,0))*1000+F801</f>
        <v>11536000</v>
      </c>
      <c r="C801" s="14" t="s">
        <v>961</v>
      </c>
      <c r="D801" s="14" t="s">
        <v>276</v>
      </c>
      <c r="E801" s="14" t="s">
        <v>98</v>
      </c>
      <c r="F801" s="14">
        <v>0</v>
      </c>
      <c r="G801" s="14">
        <v>60</v>
      </c>
      <c r="H801" s="31" t="s">
        <v>228</v>
      </c>
      <c r="I801" s="14" t="s">
        <v>75</v>
      </c>
      <c r="J801" s="14" t="s">
        <v>201</v>
      </c>
      <c r="K801" s="14">
        <v>1</v>
      </c>
      <c r="L801" s="14" t="s">
        <v>213</v>
      </c>
      <c r="N801" s="14">
        <v>0</v>
      </c>
      <c r="O801" s="14" t="b">
        <v>1</v>
      </c>
      <c r="Q801" s="14" t="b">
        <v>0</v>
      </c>
      <c r="R801" s="14">
        <v>1</v>
      </c>
      <c r="S801" s="14" t="s">
        <v>77</v>
      </c>
      <c r="T801" s="14">
        <v>999</v>
      </c>
      <c r="U801" s="14" t="s">
        <v>214</v>
      </c>
      <c r="V801" s="14">
        <v>31536000</v>
      </c>
      <c r="X801" s="14" t="s">
        <v>204</v>
      </c>
      <c r="Y801" s="14" t="s">
        <v>215</v>
      </c>
      <c r="Z801" s="14">
        <v>20001</v>
      </c>
      <c r="AA801" s="14" t="s">
        <v>205</v>
      </c>
      <c r="AB801" s="14">
        <v>40001</v>
      </c>
      <c r="AE801" s="29" t="s">
        <v>121</v>
      </c>
      <c r="AF801" s="14" t="s">
        <v>213</v>
      </c>
      <c r="AG801" s="14" t="s">
        <v>98</v>
      </c>
    </row>
    <row r="802" spans="2:33">
      <c r="B802" s="14">
        <f>10000000+INDEX(编号表!$B:$B,MATCH(H802,编号表!$A:$A,0))*100000+INDEX(编号表!$F:$F,MATCH(D802,编号表!$E:$E,0))*10000+INDEX(编号表!$D:$D,MATCH(AG802,编号表!$C:$C,0))*1000+F802</f>
        <v>11536001</v>
      </c>
      <c r="C802" s="14" t="s">
        <v>962</v>
      </c>
      <c r="D802" s="14" t="s">
        <v>276</v>
      </c>
      <c r="E802" s="14" t="s">
        <v>98</v>
      </c>
      <c r="F802" s="14">
        <v>1</v>
      </c>
      <c r="G802" s="14">
        <v>60</v>
      </c>
      <c r="H802" s="31" t="s">
        <v>228</v>
      </c>
      <c r="I802" s="14" t="s">
        <v>75</v>
      </c>
      <c r="J802" s="14" t="s">
        <v>201</v>
      </c>
      <c r="K802" s="14">
        <v>1</v>
      </c>
      <c r="L802" s="14" t="s">
        <v>213</v>
      </c>
      <c r="N802" s="14">
        <v>0</v>
      </c>
      <c r="O802" s="14" t="b">
        <v>1</v>
      </c>
      <c r="Q802" s="14" t="b">
        <v>0</v>
      </c>
      <c r="R802" s="14">
        <v>1</v>
      </c>
      <c r="S802" s="14" t="s">
        <v>77</v>
      </c>
      <c r="T802" s="14">
        <v>999</v>
      </c>
      <c r="U802" s="14" t="s">
        <v>214</v>
      </c>
      <c r="V802" s="14">
        <v>31536001</v>
      </c>
      <c r="X802" s="14" t="s">
        <v>204</v>
      </c>
      <c r="Y802" s="14" t="s">
        <v>215</v>
      </c>
      <c r="Z802" s="14">
        <v>20001</v>
      </c>
      <c r="AA802" s="14" t="s">
        <v>205</v>
      </c>
      <c r="AB802" s="14">
        <v>40001</v>
      </c>
      <c r="AE802" s="29" t="s">
        <v>121</v>
      </c>
      <c r="AF802" s="14" t="s">
        <v>213</v>
      </c>
      <c r="AG802" s="14" t="s">
        <v>98</v>
      </c>
    </row>
    <row r="803" spans="2:33">
      <c r="B803" s="14">
        <f>10000000+INDEX(编号表!$B:$B,MATCH(H803,编号表!$A:$A,0))*100000+INDEX(编号表!$F:$F,MATCH(D803,编号表!$E:$E,0))*10000+INDEX(编号表!$D:$D,MATCH(AG803,编号表!$C:$C,0))*1000+F803</f>
        <v>11536002</v>
      </c>
      <c r="C803" s="14" t="s">
        <v>963</v>
      </c>
      <c r="D803" s="14" t="s">
        <v>276</v>
      </c>
      <c r="E803" s="14" t="s">
        <v>98</v>
      </c>
      <c r="F803" s="14">
        <v>2</v>
      </c>
      <c r="G803" s="14">
        <v>60</v>
      </c>
      <c r="H803" s="31" t="s">
        <v>228</v>
      </c>
      <c r="I803" s="14" t="s">
        <v>75</v>
      </c>
      <c r="J803" s="14" t="s">
        <v>201</v>
      </c>
      <c r="K803" s="14">
        <v>1</v>
      </c>
      <c r="L803" s="14" t="s">
        <v>213</v>
      </c>
      <c r="N803" s="14">
        <v>0</v>
      </c>
      <c r="O803" s="14" t="b">
        <v>1</v>
      </c>
      <c r="Q803" s="14" t="b">
        <v>0</v>
      </c>
      <c r="R803" s="14">
        <v>1</v>
      </c>
      <c r="S803" s="14" t="s">
        <v>77</v>
      </c>
      <c r="T803" s="14">
        <v>999</v>
      </c>
      <c r="U803" s="14" t="s">
        <v>214</v>
      </c>
      <c r="V803" s="14">
        <v>31536002</v>
      </c>
      <c r="X803" s="14" t="s">
        <v>204</v>
      </c>
      <c r="Y803" s="14" t="s">
        <v>215</v>
      </c>
      <c r="Z803" s="14">
        <v>20001</v>
      </c>
      <c r="AA803" s="14" t="s">
        <v>205</v>
      </c>
      <c r="AB803" s="14">
        <v>40001</v>
      </c>
      <c r="AE803" s="29" t="s">
        <v>121</v>
      </c>
      <c r="AF803" s="14" t="s">
        <v>213</v>
      </c>
      <c r="AG803" s="14" t="s">
        <v>98</v>
      </c>
    </row>
    <row r="804" spans="2:33">
      <c r="B804" s="14">
        <f>10000000+INDEX(编号表!$B:$B,MATCH(H804,编号表!$A:$A,0))*100000+INDEX(编号表!$F:$F,MATCH(D804,编号表!$E:$E,0))*10000+INDEX(编号表!$D:$D,MATCH(AG804,编号表!$C:$C,0))*1000+F804</f>
        <v>11536003</v>
      </c>
      <c r="C804" s="14" t="s">
        <v>964</v>
      </c>
      <c r="D804" s="14" t="s">
        <v>276</v>
      </c>
      <c r="E804" s="14" t="s">
        <v>98</v>
      </c>
      <c r="F804" s="14">
        <v>3</v>
      </c>
      <c r="G804" s="14">
        <v>60</v>
      </c>
      <c r="H804" s="31" t="s">
        <v>228</v>
      </c>
      <c r="I804" s="14" t="s">
        <v>75</v>
      </c>
      <c r="J804" s="14" t="s">
        <v>201</v>
      </c>
      <c r="K804" s="14">
        <v>1</v>
      </c>
      <c r="L804" s="14" t="s">
        <v>213</v>
      </c>
      <c r="N804" s="14">
        <v>0</v>
      </c>
      <c r="O804" s="14" t="b">
        <v>1</v>
      </c>
      <c r="Q804" s="14" t="b">
        <v>0</v>
      </c>
      <c r="R804" s="14">
        <v>1</v>
      </c>
      <c r="S804" s="14" t="s">
        <v>77</v>
      </c>
      <c r="T804" s="14">
        <v>999</v>
      </c>
      <c r="U804" s="14" t="s">
        <v>214</v>
      </c>
      <c r="V804" s="14">
        <v>31536003</v>
      </c>
      <c r="X804" s="14" t="s">
        <v>204</v>
      </c>
      <c r="Y804" s="14" t="s">
        <v>215</v>
      </c>
      <c r="Z804" s="14">
        <v>20001</v>
      </c>
      <c r="AA804" s="14" t="s">
        <v>205</v>
      </c>
      <c r="AB804" s="14">
        <v>40001</v>
      </c>
      <c r="AE804" s="29" t="s">
        <v>121</v>
      </c>
      <c r="AF804" s="14" t="s">
        <v>213</v>
      </c>
      <c r="AG804" s="14" t="s">
        <v>98</v>
      </c>
    </row>
    <row r="805" spans="2:33">
      <c r="B805" s="14">
        <f>10000000+INDEX(编号表!$B:$B,MATCH(H805,编号表!$A:$A,0))*100000+INDEX(编号表!$F:$F,MATCH(D805,编号表!$E:$E,0))*10000+INDEX(编号表!$D:$D,MATCH(AG805,编号表!$C:$C,0))*1000+F805</f>
        <v>11536004</v>
      </c>
      <c r="C805" s="14" t="s">
        <v>965</v>
      </c>
      <c r="D805" s="14" t="s">
        <v>276</v>
      </c>
      <c r="E805" s="14" t="s">
        <v>98</v>
      </c>
      <c r="F805" s="14">
        <v>4</v>
      </c>
      <c r="G805" s="14">
        <v>60</v>
      </c>
      <c r="H805" s="31" t="s">
        <v>228</v>
      </c>
      <c r="I805" s="14" t="s">
        <v>75</v>
      </c>
      <c r="J805" s="14" t="s">
        <v>201</v>
      </c>
      <c r="K805" s="14">
        <v>1</v>
      </c>
      <c r="L805" s="14" t="s">
        <v>213</v>
      </c>
      <c r="N805" s="14">
        <v>0</v>
      </c>
      <c r="O805" s="14" t="b">
        <v>1</v>
      </c>
      <c r="Q805" s="14" t="b">
        <v>0</v>
      </c>
      <c r="R805" s="14">
        <v>1</v>
      </c>
      <c r="S805" s="14" t="s">
        <v>77</v>
      </c>
      <c r="T805" s="14">
        <v>999</v>
      </c>
      <c r="U805" s="14" t="s">
        <v>214</v>
      </c>
      <c r="V805" s="14">
        <v>31536004</v>
      </c>
      <c r="X805" s="14" t="s">
        <v>204</v>
      </c>
      <c r="Y805" s="14" t="s">
        <v>215</v>
      </c>
      <c r="Z805" s="14">
        <v>20001</v>
      </c>
      <c r="AA805" s="14" t="s">
        <v>205</v>
      </c>
      <c r="AB805" s="14">
        <v>40001</v>
      </c>
      <c r="AE805" s="29" t="s">
        <v>121</v>
      </c>
      <c r="AF805" s="14" t="s">
        <v>213</v>
      </c>
      <c r="AG805" s="14" t="s">
        <v>98</v>
      </c>
    </row>
    <row r="806" spans="2:33">
      <c r="B806" s="14">
        <f>10000000+INDEX(编号表!$B:$B,MATCH(H806,编号表!$A:$A,0))*100000+INDEX(编号表!$F:$F,MATCH(D806,编号表!$E:$E,0))*10000+INDEX(编号表!$D:$D,MATCH(AG806,编号表!$C:$C,0))*1000+F806</f>
        <v>11536005</v>
      </c>
      <c r="C806" s="14" t="s">
        <v>966</v>
      </c>
      <c r="D806" s="14" t="s">
        <v>276</v>
      </c>
      <c r="E806" s="14" t="s">
        <v>98</v>
      </c>
      <c r="F806" s="14">
        <v>5</v>
      </c>
      <c r="G806" s="14">
        <v>60</v>
      </c>
      <c r="H806" s="31" t="s">
        <v>228</v>
      </c>
      <c r="I806" s="14" t="s">
        <v>75</v>
      </c>
      <c r="J806" s="14" t="s">
        <v>201</v>
      </c>
      <c r="K806" s="14">
        <v>1</v>
      </c>
      <c r="L806" s="14" t="s">
        <v>213</v>
      </c>
      <c r="N806" s="14">
        <v>0</v>
      </c>
      <c r="O806" s="14" t="b">
        <v>1</v>
      </c>
      <c r="Q806" s="14" t="b">
        <v>0</v>
      </c>
      <c r="R806" s="14">
        <v>1</v>
      </c>
      <c r="S806" s="14" t="s">
        <v>77</v>
      </c>
      <c r="T806" s="14">
        <v>999</v>
      </c>
      <c r="U806" s="14" t="s">
        <v>214</v>
      </c>
      <c r="V806" s="14">
        <v>31536005</v>
      </c>
      <c r="X806" s="14" t="s">
        <v>204</v>
      </c>
      <c r="Y806" s="14" t="s">
        <v>215</v>
      </c>
      <c r="Z806" s="14">
        <v>20001</v>
      </c>
      <c r="AA806" s="14" t="s">
        <v>205</v>
      </c>
      <c r="AB806" s="14">
        <v>40001</v>
      </c>
      <c r="AE806" s="29" t="s">
        <v>121</v>
      </c>
      <c r="AF806" s="14" t="s">
        <v>213</v>
      </c>
      <c r="AG806" s="14" t="s">
        <v>98</v>
      </c>
    </row>
    <row r="807" spans="2:33">
      <c r="B807" s="14">
        <f>10000000+INDEX(编号表!$B:$B,MATCH(H807,编号表!$A:$A,0))*100000+INDEX(编号表!$F:$F,MATCH(D807,编号表!$E:$E,0))*10000+INDEX(编号表!$D:$D,MATCH(AG807,编号表!$C:$C,0))*1000+F807</f>
        <v>11536006</v>
      </c>
      <c r="C807" s="14" t="s">
        <v>967</v>
      </c>
      <c r="D807" s="14" t="s">
        <v>276</v>
      </c>
      <c r="E807" s="14" t="s">
        <v>98</v>
      </c>
      <c r="F807" s="14">
        <v>6</v>
      </c>
      <c r="G807" s="14">
        <v>60</v>
      </c>
      <c r="H807" s="31" t="s">
        <v>228</v>
      </c>
      <c r="I807" s="14" t="s">
        <v>75</v>
      </c>
      <c r="J807" s="14" t="s">
        <v>201</v>
      </c>
      <c r="K807" s="14">
        <v>1</v>
      </c>
      <c r="L807" s="14" t="s">
        <v>213</v>
      </c>
      <c r="N807" s="14">
        <v>0</v>
      </c>
      <c r="O807" s="14" t="b">
        <v>1</v>
      </c>
      <c r="Q807" s="14" t="b">
        <v>0</v>
      </c>
      <c r="R807" s="14">
        <v>1</v>
      </c>
      <c r="S807" s="14" t="s">
        <v>77</v>
      </c>
      <c r="T807" s="14">
        <v>999</v>
      </c>
      <c r="U807" s="14" t="s">
        <v>214</v>
      </c>
      <c r="V807" s="14">
        <v>31536006</v>
      </c>
      <c r="X807" s="14" t="s">
        <v>204</v>
      </c>
      <c r="Y807" s="14" t="s">
        <v>215</v>
      </c>
      <c r="Z807" s="14">
        <v>20001</v>
      </c>
      <c r="AA807" s="14" t="s">
        <v>205</v>
      </c>
      <c r="AB807" s="14">
        <v>40001</v>
      </c>
      <c r="AE807" s="29" t="s">
        <v>121</v>
      </c>
      <c r="AF807" s="14" t="s">
        <v>213</v>
      </c>
      <c r="AG807" s="14" t="s">
        <v>98</v>
      </c>
    </row>
    <row r="808" spans="2:33">
      <c r="B808" s="14">
        <f>10000000+INDEX(编号表!$B:$B,MATCH(H808,编号表!$A:$A,0))*100000+INDEX(编号表!$F:$F,MATCH(D808,编号表!$E:$E,0))*10000+INDEX(编号表!$D:$D,MATCH(AG808,编号表!$C:$C,0))*1000+F808</f>
        <v>11536007</v>
      </c>
      <c r="C808" s="14" t="s">
        <v>968</v>
      </c>
      <c r="D808" s="14" t="s">
        <v>276</v>
      </c>
      <c r="E808" s="14" t="s">
        <v>98</v>
      </c>
      <c r="F808" s="14">
        <v>7</v>
      </c>
      <c r="G808" s="14">
        <v>60</v>
      </c>
      <c r="H808" s="31" t="s">
        <v>228</v>
      </c>
      <c r="I808" s="14" t="s">
        <v>75</v>
      </c>
      <c r="J808" s="14" t="s">
        <v>201</v>
      </c>
      <c r="K808" s="14">
        <v>1</v>
      </c>
      <c r="L808" s="14" t="s">
        <v>213</v>
      </c>
      <c r="N808" s="14">
        <v>0</v>
      </c>
      <c r="O808" s="14" t="b">
        <v>1</v>
      </c>
      <c r="Q808" s="14" t="b">
        <v>0</v>
      </c>
      <c r="R808" s="14">
        <v>1</v>
      </c>
      <c r="S808" s="14" t="s">
        <v>77</v>
      </c>
      <c r="T808" s="14">
        <v>999</v>
      </c>
      <c r="U808" s="14" t="s">
        <v>214</v>
      </c>
      <c r="V808" s="14">
        <v>31536007</v>
      </c>
      <c r="X808" s="14" t="s">
        <v>204</v>
      </c>
      <c r="Y808" s="14" t="s">
        <v>215</v>
      </c>
      <c r="Z808" s="14">
        <v>20001</v>
      </c>
      <c r="AA808" s="14" t="s">
        <v>205</v>
      </c>
      <c r="AB808" s="14">
        <v>40001</v>
      </c>
      <c r="AE808" s="29" t="s">
        <v>121</v>
      </c>
      <c r="AF808" s="14" t="s">
        <v>213</v>
      </c>
      <c r="AG808" s="14" t="s">
        <v>98</v>
      </c>
    </row>
    <row r="809" spans="2:33">
      <c r="B809" s="14">
        <f>10000000+INDEX(编号表!$B:$B,MATCH(H809,编号表!$A:$A,0))*100000+INDEX(编号表!$F:$F,MATCH(D809,编号表!$E:$E,0))*10000+INDEX(编号表!$D:$D,MATCH(AG809,编号表!$C:$C,0))*1000+F809</f>
        <v>11536008</v>
      </c>
      <c r="C809" s="14" t="s">
        <v>969</v>
      </c>
      <c r="D809" s="14" t="s">
        <v>276</v>
      </c>
      <c r="E809" s="14" t="s">
        <v>98</v>
      </c>
      <c r="F809" s="14">
        <v>8</v>
      </c>
      <c r="G809" s="14">
        <v>60</v>
      </c>
      <c r="H809" s="31" t="s">
        <v>228</v>
      </c>
      <c r="I809" s="14" t="s">
        <v>75</v>
      </c>
      <c r="J809" s="14" t="s">
        <v>201</v>
      </c>
      <c r="K809" s="14">
        <v>1</v>
      </c>
      <c r="L809" s="14" t="s">
        <v>213</v>
      </c>
      <c r="N809" s="14">
        <v>0</v>
      </c>
      <c r="O809" s="14" t="b">
        <v>1</v>
      </c>
      <c r="Q809" s="14" t="b">
        <v>0</v>
      </c>
      <c r="R809" s="14">
        <v>1</v>
      </c>
      <c r="S809" s="14" t="s">
        <v>77</v>
      </c>
      <c r="T809" s="14">
        <v>999</v>
      </c>
      <c r="U809" s="14" t="s">
        <v>214</v>
      </c>
      <c r="V809" s="14">
        <v>31536008</v>
      </c>
      <c r="X809" s="14" t="s">
        <v>204</v>
      </c>
      <c r="Y809" s="14" t="s">
        <v>215</v>
      </c>
      <c r="Z809" s="14">
        <v>20001</v>
      </c>
      <c r="AA809" s="14" t="s">
        <v>205</v>
      </c>
      <c r="AB809" s="14">
        <v>40001</v>
      </c>
      <c r="AE809" s="29" t="s">
        <v>121</v>
      </c>
      <c r="AF809" s="14" t="s">
        <v>213</v>
      </c>
      <c r="AG809" s="14" t="s">
        <v>98</v>
      </c>
    </row>
    <row r="810" spans="2:33">
      <c r="B810" s="14">
        <f>10000000+INDEX(编号表!$B:$B,MATCH(H810,编号表!$A:$A,0))*100000+INDEX(编号表!$F:$F,MATCH(D810,编号表!$E:$E,0))*10000+INDEX(编号表!$D:$D,MATCH(AG810,编号表!$C:$C,0))*1000+F810</f>
        <v>11536009</v>
      </c>
      <c r="C810" s="14" t="s">
        <v>970</v>
      </c>
      <c r="D810" s="14" t="s">
        <v>276</v>
      </c>
      <c r="E810" s="14" t="s">
        <v>98</v>
      </c>
      <c r="F810" s="14">
        <v>9</v>
      </c>
      <c r="G810" s="14">
        <v>60</v>
      </c>
      <c r="H810" s="31" t="s">
        <v>228</v>
      </c>
      <c r="I810" s="14" t="s">
        <v>75</v>
      </c>
      <c r="J810" s="14" t="s">
        <v>201</v>
      </c>
      <c r="K810" s="14">
        <v>1</v>
      </c>
      <c r="L810" s="14" t="s">
        <v>213</v>
      </c>
      <c r="N810" s="14">
        <v>0</v>
      </c>
      <c r="O810" s="14" t="b">
        <v>1</v>
      </c>
      <c r="Q810" s="14" t="b">
        <v>0</v>
      </c>
      <c r="R810" s="14">
        <v>1</v>
      </c>
      <c r="S810" s="14" t="s">
        <v>77</v>
      </c>
      <c r="T810" s="14">
        <v>999</v>
      </c>
      <c r="U810" s="14" t="s">
        <v>214</v>
      </c>
      <c r="V810" s="14">
        <v>31536009</v>
      </c>
      <c r="X810" s="14" t="s">
        <v>204</v>
      </c>
      <c r="Y810" s="14" t="s">
        <v>215</v>
      </c>
      <c r="Z810" s="14">
        <v>20001</v>
      </c>
      <c r="AA810" s="14" t="s">
        <v>205</v>
      </c>
      <c r="AB810" s="14">
        <v>40001</v>
      </c>
      <c r="AE810" s="29" t="s">
        <v>121</v>
      </c>
      <c r="AF810" s="14" t="s">
        <v>213</v>
      </c>
      <c r="AG810" s="14" t="s">
        <v>98</v>
      </c>
    </row>
    <row r="811" spans="2:33">
      <c r="B811" s="14">
        <f>10000000+INDEX(编号表!$B:$B,MATCH(H811,编号表!$A:$A,0))*100000+INDEX(编号表!$F:$F,MATCH(D811,编号表!$E:$E,0))*10000+INDEX(编号表!$D:$D,MATCH(AG811,编号表!$C:$C,0))*1000+F811</f>
        <v>11436000</v>
      </c>
      <c r="C811" s="14" t="s">
        <v>971</v>
      </c>
      <c r="D811" s="14" t="s">
        <v>276</v>
      </c>
      <c r="E811" s="14" t="s">
        <v>98</v>
      </c>
      <c r="F811" s="14">
        <v>0</v>
      </c>
      <c r="G811" s="14">
        <v>60</v>
      </c>
      <c r="H811" s="31" t="s">
        <v>239</v>
      </c>
      <c r="I811" s="14" t="s">
        <v>75</v>
      </c>
      <c r="J811" s="14" t="s">
        <v>201</v>
      </c>
      <c r="K811" s="14">
        <v>1</v>
      </c>
      <c r="L811" s="14" t="s">
        <v>213</v>
      </c>
      <c r="N811" s="14">
        <v>0</v>
      </c>
      <c r="O811" s="14" t="b">
        <v>1</v>
      </c>
      <c r="Q811" s="14" t="b">
        <v>0</v>
      </c>
      <c r="R811" s="14">
        <v>1</v>
      </c>
      <c r="S811" s="14" t="s">
        <v>77</v>
      </c>
      <c r="T811" s="14">
        <v>999</v>
      </c>
      <c r="U811" s="14" t="s">
        <v>214</v>
      </c>
      <c r="V811" s="14">
        <v>31436000</v>
      </c>
      <c r="X811" s="14" t="s">
        <v>204</v>
      </c>
      <c r="Y811" s="14" t="s">
        <v>215</v>
      </c>
      <c r="Z811" s="14">
        <v>20001</v>
      </c>
      <c r="AA811" s="14" t="s">
        <v>205</v>
      </c>
      <c r="AB811" s="14">
        <v>40001</v>
      </c>
      <c r="AE811" s="29" t="s">
        <v>121</v>
      </c>
      <c r="AF811" s="14" t="s">
        <v>213</v>
      </c>
      <c r="AG811" s="14" t="s">
        <v>98</v>
      </c>
    </row>
    <row r="812" spans="2:33">
      <c r="B812" s="14">
        <f>10000000+INDEX(编号表!$B:$B,MATCH(H812,编号表!$A:$A,0))*100000+INDEX(编号表!$F:$F,MATCH(D812,编号表!$E:$E,0))*10000+INDEX(编号表!$D:$D,MATCH(AG812,编号表!$C:$C,0))*1000+F812</f>
        <v>11436001</v>
      </c>
      <c r="C812" s="14" t="s">
        <v>972</v>
      </c>
      <c r="D812" s="14" t="s">
        <v>276</v>
      </c>
      <c r="E812" s="14" t="s">
        <v>98</v>
      </c>
      <c r="F812" s="14">
        <v>1</v>
      </c>
      <c r="G812" s="14">
        <v>60</v>
      </c>
      <c r="H812" s="31" t="s">
        <v>239</v>
      </c>
      <c r="I812" s="14" t="s">
        <v>75</v>
      </c>
      <c r="J812" s="14" t="s">
        <v>201</v>
      </c>
      <c r="K812" s="14">
        <v>1</v>
      </c>
      <c r="L812" s="14" t="s">
        <v>213</v>
      </c>
      <c r="N812" s="14">
        <v>0</v>
      </c>
      <c r="O812" s="14" t="b">
        <v>1</v>
      </c>
      <c r="Q812" s="14" t="b">
        <v>0</v>
      </c>
      <c r="R812" s="14">
        <v>1</v>
      </c>
      <c r="S812" s="14" t="s">
        <v>77</v>
      </c>
      <c r="T812" s="14">
        <v>999</v>
      </c>
      <c r="U812" s="14" t="s">
        <v>214</v>
      </c>
      <c r="V812" s="14">
        <v>31436001</v>
      </c>
      <c r="X812" s="14" t="s">
        <v>204</v>
      </c>
      <c r="Y812" s="14" t="s">
        <v>215</v>
      </c>
      <c r="Z812" s="14">
        <v>20001</v>
      </c>
      <c r="AA812" s="14" t="s">
        <v>205</v>
      </c>
      <c r="AB812" s="14">
        <v>40001</v>
      </c>
      <c r="AE812" s="29" t="s">
        <v>121</v>
      </c>
      <c r="AF812" s="14" t="s">
        <v>213</v>
      </c>
      <c r="AG812" s="14" t="s">
        <v>98</v>
      </c>
    </row>
    <row r="813" spans="2:33">
      <c r="B813" s="14">
        <f>10000000+INDEX(编号表!$B:$B,MATCH(H813,编号表!$A:$A,0))*100000+INDEX(编号表!$F:$F,MATCH(D813,编号表!$E:$E,0))*10000+INDEX(编号表!$D:$D,MATCH(AG813,编号表!$C:$C,0))*1000+F813</f>
        <v>11436002</v>
      </c>
      <c r="C813" s="14" t="s">
        <v>973</v>
      </c>
      <c r="D813" s="14" t="s">
        <v>276</v>
      </c>
      <c r="E813" s="14" t="s">
        <v>98</v>
      </c>
      <c r="F813" s="14">
        <v>2</v>
      </c>
      <c r="G813" s="14">
        <v>60</v>
      </c>
      <c r="H813" s="31" t="s">
        <v>239</v>
      </c>
      <c r="I813" s="14" t="s">
        <v>75</v>
      </c>
      <c r="J813" s="14" t="s">
        <v>201</v>
      </c>
      <c r="K813" s="14">
        <v>1</v>
      </c>
      <c r="L813" s="14" t="s">
        <v>213</v>
      </c>
      <c r="N813" s="14">
        <v>0</v>
      </c>
      <c r="O813" s="14" t="b">
        <v>1</v>
      </c>
      <c r="Q813" s="14" t="b">
        <v>0</v>
      </c>
      <c r="R813" s="14">
        <v>1</v>
      </c>
      <c r="S813" s="14" t="s">
        <v>77</v>
      </c>
      <c r="T813" s="14">
        <v>999</v>
      </c>
      <c r="U813" s="14" t="s">
        <v>214</v>
      </c>
      <c r="V813" s="14">
        <v>31436002</v>
      </c>
      <c r="X813" s="14" t="s">
        <v>204</v>
      </c>
      <c r="Y813" s="14" t="s">
        <v>215</v>
      </c>
      <c r="Z813" s="14">
        <v>20001</v>
      </c>
      <c r="AA813" s="14" t="s">
        <v>205</v>
      </c>
      <c r="AB813" s="14">
        <v>40001</v>
      </c>
      <c r="AE813" s="29" t="s">
        <v>121</v>
      </c>
      <c r="AF813" s="14" t="s">
        <v>213</v>
      </c>
      <c r="AG813" s="14" t="s">
        <v>98</v>
      </c>
    </row>
    <row r="814" spans="2:33">
      <c r="B814" s="14">
        <f>10000000+INDEX(编号表!$B:$B,MATCH(H814,编号表!$A:$A,0))*100000+INDEX(编号表!$F:$F,MATCH(D814,编号表!$E:$E,0))*10000+INDEX(编号表!$D:$D,MATCH(AG814,编号表!$C:$C,0))*1000+F814</f>
        <v>11436003</v>
      </c>
      <c r="C814" s="14" t="s">
        <v>974</v>
      </c>
      <c r="D814" s="14" t="s">
        <v>276</v>
      </c>
      <c r="E814" s="14" t="s">
        <v>98</v>
      </c>
      <c r="F814" s="14">
        <v>3</v>
      </c>
      <c r="G814" s="14">
        <v>60</v>
      </c>
      <c r="H814" s="31" t="s">
        <v>239</v>
      </c>
      <c r="I814" s="14" t="s">
        <v>75</v>
      </c>
      <c r="J814" s="14" t="s">
        <v>201</v>
      </c>
      <c r="K814" s="14">
        <v>1</v>
      </c>
      <c r="L814" s="14" t="s">
        <v>213</v>
      </c>
      <c r="N814" s="14">
        <v>0</v>
      </c>
      <c r="O814" s="14" t="b">
        <v>1</v>
      </c>
      <c r="Q814" s="14" t="b">
        <v>0</v>
      </c>
      <c r="R814" s="14">
        <v>1</v>
      </c>
      <c r="S814" s="14" t="s">
        <v>77</v>
      </c>
      <c r="T814" s="14">
        <v>999</v>
      </c>
      <c r="U814" s="14" t="s">
        <v>214</v>
      </c>
      <c r="V814" s="14">
        <v>31436003</v>
      </c>
      <c r="X814" s="14" t="s">
        <v>204</v>
      </c>
      <c r="Y814" s="14" t="s">
        <v>215</v>
      </c>
      <c r="Z814" s="14">
        <v>20001</v>
      </c>
      <c r="AA814" s="14" t="s">
        <v>205</v>
      </c>
      <c r="AB814" s="14">
        <v>40001</v>
      </c>
      <c r="AE814" s="29" t="s">
        <v>121</v>
      </c>
      <c r="AF814" s="14" t="s">
        <v>213</v>
      </c>
      <c r="AG814" s="14" t="s">
        <v>98</v>
      </c>
    </row>
    <row r="815" spans="2:33">
      <c r="B815" s="14">
        <f>10000000+INDEX(编号表!$B:$B,MATCH(H815,编号表!$A:$A,0))*100000+INDEX(编号表!$F:$F,MATCH(D815,编号表!$E:$E,0))*10000+INDEX(编号表!$D:$D,MATCH(AG815,编号表!$C:$C,0))*1000+F815</f>
        <v>11636000</v>
      </c>
      <c r="C815" s="14" t="s">
        <v>975</v>
      </c>
      <c r="D815" s="14" t="s">
        <v>276</v>
      </c>
      <c r="E815" s="14" t="s">
        <v>98</v>
      </c>
      <c r="F815" s="14">
        <v>0</v>
      </c>
      <c r="G815" s="14">
        <v>60</v>
      </c>
      <c r="H815" s="31" t="s">
        <v>244</v>
      </c>
      <c r="I815" s="14" t="s">
        <v>75</v>
      </c>
      <c r="J815" s="14" t="s">
        <v>201</v>
      </c>
      <c r="K815" s="14">
        <v>1</v>
      </c>
      <c r="L815" s="14" t="s">
        <v>213</v>
      </c>
      <c r="N815" s="14">
        <v>0</v>
      </c>
      <c r="O815" s="14" t="b">
        <v>1</v>
      </c>
      <c r="Q815" s="14" t="b">
        <v>0</v>
      </c>
      <c r="R815" s="14">
        <v>1</v>
      </c>
      <c r="S815" s="14" t="s">
        <v>77</v>
      </c>
      <c r="T815" s="14">
        <v>999</v>
      </c>
      <c r="U815" s="14" t="s">
        <v>214</v>
      </c>
      <c r="V815" s="14">
        <v>31636000</v>
      </c>
      <c r="X815" s="14" t="s">
        <v>204</v>
      </c>
      <c r="Y815" s="14" t="s">
        <v>215</v>
      </c>
      <c r="Z815" s="14">
        <v>20001</v>
      </c>
      <c r="AA815" s="14" t="s">
        <v>205</v>
      </c>
      <c r="AB815" s="14">
        <v>40001</v>
      </c>
      <c r="AE815" s="29" t="s">
        <v>121</v>
      </c>
      <c r="AF815" s="14" t="s">
        <v>213</v>
      </c>
      <c r="AG815" s="14" t="s">
        <v>98</v>
      </c>
    </row>
    <row r="816" spans="2:33">
      <c r="B816" s="14">
        <f>10000000+INDEX(编号表!$B:$B,MATCH(H816,编号表!$A:$A,0))*100000+INDEX(编号表!$F:$F,MATCH(D816,编号表!$E:$E,0))*10000+INDEX(编号表!$D:$D,MATCH(AG816,编号表!$C:$C,0))*1000+F816</f>
        <v>11636001</v>
      </c>
      <c r="C816" s="14" t="s">
        <v>976</v>
      </c>
      <c r="D816" s="14" t="s">
        <v>276</v>
      </c>
      <c r="E816" s="14" t="s">
        <v>98</v>
      </c>
      <c r="F816" s="14">
        <v>1</v>
      </c>
      <c r="G816" s="14">
        <v>60</v>
      </c>
      <c r="H816" s="31" t="s">
        <v>244</v>
      </c>
      <c r="I816" s="14" t="s">
        <v>75</v>
      </c>
      <c r="J816" s="14" t="s">
        <v>201</v>
      </c>
      <c r="K816" s="14">
        <v>1</v>
      </c>
      <c r="L816" s="14" t="s">
        <v>213</v>
      </c>
      <c r="N816" s="14">
        <v>0</v>
      </c>
      <c r="O816" s="14" t="b">
        <v>1</v>
      </c>
      <c r="Q816" s="14" t="b">
        <v>0</v>
      </c>
      <c r="R816" s="14">
        <v>1</v>
      </c>
      <c r="S816" s="14" t="s">
        <v>77</v>
      </c>
      <c r="T816" s="14">
        <v>999</v>
      </c>
      <c r="U816" s="14" t="s">
        <v>214</v>
      </c>
      <c r="V816" s="14">
        <v>31636001</v>
      </c>
      <c r="X816" s="14" t="s">
        <v>204</v>
      </c>
      <c r="Y816" s="14" t="s">
        <v>215</v>
      </c>
      <c r="Z816" s="14">
        <v>20001</v>
      </c>
      <c r="AA816" s="14" t="s">
        <v>205</v>
      </c>
      <c r="AB816" s="14">
        <v>40001</v>
      </c>
      <c r="AE816" s="29" t="s">
        <v>121</v>
      </c>
      <c r="AF816" s="14" t="s">
        <v>213</v>
      </c>
      <c r="AG816" s="14" t="s">
        <v>98</v>
      </c>
    </row>
    <row r="817" spans="2:33">
      <c r="B817" s="14">
        <f>10000000+INDEX(编号表!$B:$B,MATCH(H817,编号表!$A:$A,0))*100000+INDEX(编号表!$F:$F,MATCH(D817,编号表!$E:$E,0))*10000+INDEX(编号表!$D:$D,MATCH(AG817,编号表!$C:$C,0))*1000+F817</f>
        <v>11636002</v>
      </c>
      <c r="C817" s="14" t="s">
        <v>977</v>
      </c>
      <c r="D817" s="14" t="s">
        <v>276</v>
      </c>
      <c r="E817" s="14" t="s">
        <v>98</v>
      </c>
      <c r="F817" s="14">
        <v>2</v>
      </c>
      <c r="G817" s="14">
        <v>60</v>
      </c>
      <c r="H817" s="31" t="s">
        <v>244</v>
      </c>
      <c r="I817" s="14" t="s">
        <v>75</v>
      </c>
      <c r="J817" s="14" t="s">
        <v>201</v>
      </c>
      <c r="K817" s="14">
        <v>1</v>
      </c>
      <c r="L817" s="14" t="s">
        <v>213</v>
      </c>
      <c r="N817" s="14">
        <v>0</v>
      </c>
      <c r="O817" s="14" t="b">
        <v>1</v>
      </c>
      <c r="Q817" s="14" t="b">
        <v>0</v>
      </c>
      <c r="R817" s="14">
        <v>1</v>
      </c>
      <c r="S817" s="14" t="s">
        <v>77</v>
      </c>
      <c r="T817" s="14">
        <v>999</v>
      </c>
      <c r="U817" s="14" t="s">
        <v>214</v>
      </c>
      <c r="V817" s="14">
        <v>31636002</v>
      </c>
      <c r="X817" s="14" t="s">
        <v>204</v>
      </c>
      <c r="Y817" s="14" t="s">
        <v>215</v>
      </c>
      <c r="Z817" s="14">
        <v>20001</v>
      </c>
      <c r="AA817" s="14" t="s">
        <v>205</v>
      </c>
      <c r="AB817" s="14">
        <v>40001</v>
      </c>
      <c r="AE817" s="29" t="s">
        <v>121</v>
      </c>
      <c r="AF817" s="14" t="s">
        <v>213</v>
      </c>
      <c r="AG817" s="14" t="s">
        <v>98</v>
      </c>
    </row>
    <row r="818" spans="2:33">
      <c r="B818" s="14">
        <f>10000000+INDEX(编号表!$B:$B,MATCH(H818,编号表!$A:$A,0))*100000+INDEX(编号表!$F:$F,MATCH(D818,编号表!$E:$E,0))*10000+INDEX(编号表!$D:$D,MATCH(AG818,编号表!$C:$C,0))*1000+F818</f>
        <v>11246000</v>
      </c>
      <c r="C818" s="14" t="s">
        <v>978</v>
      </c>
      <c r="D818" s="14" t="s">
        <v>104</v>
      </c>
      <c r="E818" s="14" t="s">
        <v>98</v>
      </c>
      <c r="F818" s="14">
        <v>0</v>
      </c>
      <c r="G818" s="14">
        <v>60</v>
      </c>
      <c r="H818" s="31" t="s">
        <v>212</v>
      </c>
      <c r="I818" s="14" t="s">
        <v>75</v>
      </c>
      <c r="J818" s="14" t="s">
        <v>201</v>
      </c>
      <c r="K818" s="14">
        <v>1</v>
      </c>
      <c r="L818" s="14" t="s">
        <v>213</v>
      </c>
      <c r="N818" s="14">
        <v>0</v>
      </c>
      <c r="O818" s="14" t="b">
        <v>1</v>
      </c>
      <c r="Q818" s="14" t="b">
        <v>0</v>
      </c>
      <c r="R818" s="14">
        <v>1</v>
      </c>
      <c r="S818" s="14" t="s">
        <v>77</v>
      </c>
      <c r="T818" s="14">
        <v>999</v>
      </c>
      <c r="U818" s="14" t="s">
        <v>214</v>
      </c>
      <c r="V818" s="14">
        <v>31246000</v>
      </c>
      <c r="X818" s="14" t="s">
        <v>204</v>
      </c>
      <c r="Y818" s="14" t="s">
        <v>215</v>
      </c>
      <c r="Z818" s="14">
        <v>20001</v>
      </c>
      <c r="AA818" s="14" t="s">
        <v>205</v>
      </c>
      <c r="AB818" s="14">
        <v>40001</v>
      </c>
      <c r="AE818" s="29" t="s">
        <v>121</v>
      </c>
      <c r="AF818" s="14" t="s">
        <v>213</v>
      </c>
      <c r="AG818" s="14" t="s">
        <v>98</v>
      </c>
    </row>
    <row r="819" spans="2:33">
      <c r="B819" s="14">
        <f>10000000+INDEX(编号表!$B:$B,MATCH(H819,编号表!$A:$A,0))*100000+INDEX(编号表!$F:$F,MATCH(D819,编号表!$E:$E,0))*10000+INDEX(编号表!$D:$D,MATCH(AG819,编号表!$C:$C,0))*1000+F819</f>
        <v>11346000</v>
      </c>
      <c r="C819" s="14" t="s">
        <v>979</v>
      </c>
      <c r="D819" s="14" t="s">
        <v>104</v>
      </c>
      <c r="E819" s="14" t="s">
        <v>98</v>
      </c>
      <c r="F819" s="14">
        <v>0</v>
      </c>
      <c r="G819" s="14">
        <v>60</v>
      </c>
      <c r="H819" s="31" t="s">
        <v>217</v>
      </c>
      <c r="I819" s="14" t="s">
        <v>75</v>
      </c>
      <c r="J819" s="14" t="s">
        <v>201</v>
      </c>
      <c r="K819" s="14">
        <v>1</v>
      </c>
      <c r="L819" s="14" t="s">
        <v>213</v>
      </c>
      <c r="N819" s="14">
        <v>0</v>
      </c>
      <c r="O819" s="14" t="b">
        <v>1</v>
      </c>
      <c r="Q819" s="14" t="b">
        <v>0</v>
      </c>
      <c r="R819" s="14">
        <v>1</v>
      </c>
      <c r="S819" s="14" t="s">
        <v>77</v>
      </c>
      <c r="T819" s="14">
        <v>999</v>
      </c>
      <c r="U819" s="14" t="s">
        <v>214</v>
      </c>
      <c r="V819" s="14">
        <v>31346000</v>
      </c>
      <c r="X819" s="14" t="s">
        <v>204</v>
      </c>
      <c r="Y819" s="14" t="s">
        <v>215</v>
      </c>
      <c r="Z819" s="14">
        <v>20001</v>
      </c>
      <c r="AA819" s="14" t="s">
        <v>205</v>
      </c>
      <c r="AB819" s="14">
        <v>40001</v>
      </c>
      <c r="AE819" s="29" t="s">
        <v>121</v>
      </c>
      <c r="AF819" s="14" t="s">
        <v>213</v>
      </c>
      <c r="AG819" s="14" t="s">
        <v>98</v>
      </c>
    </row>
    <row r="820" spans="2:33">
      <c r="B820" s="14">
        <f>10000000+INDEX(编号表!$B:$B,MATCH(H820,编号表!$A:$A,0))*100000+INDEX(编号表!$F:$F,MATCH(D820,编号表!$E:$E,0))*10000+INDEX(编号表!$D:$D,MATCH(AG820,编号表!$C:$C,0))*1000+F820</f>
        <v>11346001</v>
      </c>
      <c r="C820" s="14" t="s">
        <v>980</v>
      </c>
      <c r="D820" s="14" t="s">
        <v>104</v>
      </c>
      <c r="E820" s="14" t="s">
        <v>98</v>
      </c>
      <c r="F820" s="14">
        <v>1</v>
      </c>
      <c r="G820" s="14">
        <v>60</v>
      </c>
      <c r="H820" s="31" t="s">
        <v>217</v>
      </c>
      <c r="I820" s="14" t="s">
        <v>75</v>
      </c>
      <c r="J820" s="14" t="s">
        <v>201</v>
      </c>
      <c r="K820" s="14">
        <v>1</v>
      </c>
      <c r="L820" s="14" t="s">
        <v>213</v>
      </c>
      <c r="N820" s="14">
        <v>0</v>
      </c>
      <c r="O820" s="14" t="b">
        <v>1</v>
      </c>
      <c r="Q820" s="14" t="b">
        <v>0</v>
      </c>
      <c r="R820" s="14">
        <v>1</v>
      </c>
      <c r="S820" s="14" t="s">
        <v>77</v>
      </c>
      <c r="T820" s="14">
        <v>999</v>
      </c>
      <c r="U820" s="14" t="s">
        <v>214</v>
      </c>
      <c r="V820" s="14">
        <v>31346001</v>
      </c>
      <c r="X820" s="14" t="s">
        <v>204</v>
      </c>
      <c r="Y820" s="14" t="s">
        <v>215</v>
      </c>
      <c r="Z820" s="14">
        <v>20001</v>
      </c>
      <c r="AA820" s="14" t="s">
        <v>205</v>
      </c>
      <c r="AB820" s="14">
        <v>40001</v>
      </c>
      <c r="AE820" s="29" t="s">
        <v>121</v>
      </c>
      <c r="AF820" s="14" t="s">
        <v>213</v>
      </c>
      <c r="AG820" s="14" t="s">
        <v>98</v>
      </c>
    </row>
    <row r="821" spans="2:33">
      <c r="B821" s="14">
        <f>10000000+INDEX(编号表!$B:$B,MATCH(H821,编号表!$A:$A,0))*100000+INDEX(编号表!$F:$F,MATCH(D821,编号表!$E:$E,0))*10000+INDEX(编号表!$D:$D,MATCH(AG821,编号表!$C:$C,0))*1000+F821</f>
        <v>11346002</v>
      </c>
      <c r="C821" s="14" t="s">
        <v>981</v>
      </c>
      <c r="D821" s="14" t="s">
        <v>104</v>
      </c>
      <c r="E821" s="14" t="s">
        <v>98</v>
      </c>
      <c r="F821" s="14">
        <v>2</v>
      </c>
      <c r="G821" s="14">
        <v>60</v>
      </c>
      <c r="H821" s="31" t="s">
        <v>217</v>
      </c>
      <c r="I821" s="14" t="s">
        <v>75</v>
      </c>
      <c r="J821" s="14" t="s">
        <v>201</v>
      </c>
      <c r="K821" s="14">
        <v>1</v>
      </c>
      <c r="L821" s="14" t="s">
        <v>213</v>
      </c>
      <c r="N821" s="14">
        <v>0</v>
      </c>
      <c r="O821" s="14" t="b">
        <v>1</v>
      </c>
      <c r="Q821" s="14" t="b">
        <v>0</v>
      </c>
      <c r="R821" s="14">
        <v>1</v>
      </c>
      <c r="S821" s="14" t="s">
        <v>77</v>
      </c>
      <c r="T821" s="14">
        <v>999</v>
      </c>
      <c r="U821" s="14" t="s">
        <v>214</v>
      </c>
      <c r="V821" s="14">
        <v>31346002</v>
      </c>
      <c r="X821" s="14" t="s">
        <v>204</v>
      </c>
      <c r="Y821" s="14" t="s">
        <v>215</v>
      </c>
      <c r="Z821" s="14">
        <v>20001</v>
      </c>
      <c r="AA821" s="14" t="s">
        <v>205</v>
      </c>
      <c r="AB821" s="14">
        <v>40001</v>
      </c>
      <c r="AE821" s="29" t="s">
        <v>121</v>
      </c>
      <c r="AF821" s="14" t="s">
        <v>213</v>
      </c>
      <c r="AG821" s="14" t="s">
        <v>98</v>
      </c>
    </row>
    <row r="822" spans="2:33">
      <c r="B822" s="14">
        <f>10000000+INDEX(编号表!$B:$B,MATCH(H822,编号表!$A:$A,0))*100000+INDEX(编号表!$F:$F,MATCH(D822,编号表!$E:$E,0))*10000+INDEX(编号表!$D:$D,MATCH(AG822,编号表!$C:$C,0))*1000+F822</f>
        <v>11346003</v>
      </c>
      <c r="C822" s="14" t="s">
        <v>982</v>
      </c>
      <c r="D822" s="14" t="s">
        <v>104</v>
      </c>
      <c r="E822" s="14" t="s">
        <v>98</v>
      </c>
      <c r="F822" s="14">
        <v>3</v>
      </c>
      <c r="G822" s="14">
        <v>60</v>
      </c>
      <c r="H822" s="31" t="s">
        <v>217</v>
      </c>
      <c r="I822" s="14" t="s">
        <v>75</v>
      </c>
      <c r="J822" s="14" t="s">
        <v>201</v>
      </c>
      <c r="K822" s="14">
        <v>1</v>
      </c>
      <c r="L822" s="14" t="s">
        <v>213</v>
      </c>
      <c r="N822" s="14">
        <v>0</v>
      </c>
      <c r="O822" s="14" t="b">
        <v>1</v>
      </c>
      <c r="Q822" s="14" t="b">
        <v>0</v>
      </c>
      <c r="R822" s="14">
        <v>1</v>
      </c>
      <c r="S822" s="14" t="s">
        <v>77</v>
      </c>
      <c r="T822" s="14">
        <v>999</v>
      </c>
      <c r="U822" s="14" t="s">
        <v>214</v>
      </c>
      <c r="V822" s="14">
        <v>31346003</v>
      </c>
      <c r="X822" s="14" t="s">
        <v>204</v>
      </c>
      <c r="Y822" s="14" t="s">
        <v>215</v>
      </c>
      <c r="Z822" s="14">
        <v>20001</v>
      </c>
      <c r="AA822" s="14" t="s">
        <v>205</v>
      </c>
      <c r="AB822" s="14">
        <v>40001</v>
      </c>
      <c r="AE822" s="29" t="s">
        <v>121</v>
      </c>
      <c r="AF822" s="14" t="s">
        <v>213</v>
      </c>
      <c r="AG822" s="14" t="s">
        <v>98</v>
      </c>
    </row>
    <row r="823" spans="2:33">
      <c r="B823" s="14">
        <f>10000000+INDEX(编号表!$B:$B,MATCH(H823,编号表!$A:$A,0))*100000+INDEX(编号表!$F:$F,MATCH(D823,编号表!$E:$E,0))*10000+INDEX(编号表!$D:$D,MATCH(AG823,编号表!$C:$C,0))*1000+F823</f>
        <v>11346004</v>
      </c>
      <c r="C823" s="14" t="s">
        <v>983</v>
      </c>
      <c r="D823" s="14" t="s">
        <v>104</v>
      </c>
      <c r="E823" s="14" t="s">
        <v>98</v>
      </c>
      <c r="F823" s="14">
        <v>4</v>
      </c>
      <c r="G823" s="14">
        <v>60</v>
      </c>
      <c r="H823" s="31" t="s">
        <v>217</v>
      </c>
      <c r="I823" s="14" t="s">
        <v>75</v>
      </c>
      <c r="J823" s="14" t="s">
        <v>201</v>
      </c>
      <c r="K823" s="14">
        <v>1</v>
      </c>
      <c r="L823" s="14" t="s">
        <v>213</v>
      </c>
      <c r="N823" s="14">
        <v>0</v>
      </c>
      <c r="O823" s="14" t="b">
        <v>1</v>
      </c>
      <c r="Q823" s="14" t="b">
        <v>0</v>
      </c>
      <c r="R823" s="14">
        <v>1</v>
      </c>
      <c r="S823" s="14" t="s">
        <v>77</v>
      </c>
      <c r="T823" s="14">
        <v>999</v>
      </c>
      <c r="U823" s="14" t="s">
        <v>214</v>
      </c>
      <c r="V823" s="14">
        <v>31346004</v>
      </c>
      <c r="X823" s="14" t="s">
        <v>204</v>
      </c>
      <c r="Y823" s="14" t="s">
        <v>215</v>
      </c>
      <c r="Z823" s="14">
        <v>20001</v>
      </c>
      <c r="AA823" s="14" t="s">
        <v>205</v>
      </c>
      <c r="AB823" s="14">
        <v>40001</v>
      </c>
      <c r="AE823" s="29" t="s">
        <v>121</v>
      </c>
      <c r="AF823" s="14" t="s">
        <v>213</v>
      </c>
      <c r="AG823" s="14" t="s">
        <v>98</v>
      </c>
    </row>
    <row r="824" spans="2:33">
      <c r="B824" s="14">
        <f>10000000+INDEX(编号表!$B:$B,MATCH(H824,编号表!$A:$A,0))*100000+INDEX(编号表!$F:$F,MATCH(D824,编号表!$E:$E,0))*10000+INDEX(编号表!$D:$D,MATCH(AG824,编号表!$C:$C,0))*1000+F824</f>
        <v>11346005</v>
      </c>
      <c r="C824" s="14" t="s">
        <v>984</v>
      </c>
      <c r="D824" s="14" t="s">
        <v>104</v>
      </c>
      <c r="E824" s="14" t="s">
        <v>98</v>
      </c>
      <c r="F824" s="14">
        <v>5</v>
      </c>
      <c r="G824" s="14">
        <v>60</v>
      </c>
      <c r="H824" s="31" t="s">
        <v>217</v>
      </c>
      <c r="I824" s="14" t="s">
        <v>75</v>
      </c>
      <c r="J824" s="14" t="s">
        <v>201</v>
      </c>
      <c r="K824" s="14">
        <v>1</v>
      </c>
      <c r="L824" s="14" t="s">
        <v>213</v>
      </c>
      <c r="N824" s="14">
        <v>0</v>
      </c>
      <c r="O824" s="14" t="b">
        <v>1</v>
      </c>
      <c r="Q824" s="14" t="b">
        <v>0</v>
      </c>
      <c r="R824" s="14">
        <v>1</v>
      </c>
      <c r="S824" s="14" t="s">
        <v>77</v>
      </c>
      <c r="T824" s="14">
        <v>999</v>
      </c>
      <c r="U824" s="14" t="s">
        <v>214</v>
      </c>
      <c r="V824" s="14">
        <v>31346005</v>
      </c>
      <c r="X824" s="14" t="s">
        <v>204</v>
      </c>
      <c r="Y824" s="14" t="s">
        <v>215</v>
      </c>
      <c r="Z824" s="14">
        <v>20001</v>
      </c>
      <c r="AA824" s="14" t="s">
        <v>205</v>
      </c>
      <c r="AB824" s="14">
        <v>40001</v>
      </c>
      <c r="AE824" s="29" t="s">
        <v>121</v>
      </c>
      <c r="AF824" s="14" t="s">
        <v>213</v>
      </c>
      <c r="AG824" s="14" t="s">
        <v>98</v>
      </c>
    </row>
    <row r="825" spans="2:33">
      <c r="B825" s="14">
        <f>10000000+INDEX(编号表!$B:$B,MATCH(H825,编号表!$A:$A,0))*100000+INDEX(编号表!$F:$F,MATCH(D825,编号表!$E:$E,0))*10000+INDEX(编号表!$D:$D,MATCH(AG825,编号表!$C:$C,0))*1000+F825</f>
        <v>11346006</v>
      </c>
      <c r="C825" s="14" t="s">
        <v>985</v>
      </c>
      <c r="D825" s="14" t="s">
        <v>104</v>
      </c>
      <c r="E825" s="14" t="s">
        <v>98</v>
      </c>
      <c r="F825" s="14">
        <v>6</v>
      </c>
      <c r="G825" s="14">
        <v>60</v>
      </c>
      <c r="H825" s="31" t="s">
        <v>217</v>
      </c>
      <c r="I825" s="14" t="s">
        <v>75</v>
      </c>
      <c r="J825" s="14" t="s">
        <v>201</v>
      </c>
      <c r="K825" s="14">
        <v>1</v>
      </c>
      <c r="L825" s="14" t="s">
        <v>213</v>
      </c>
      <c r="N825" s="14">
        <v>0</v>
      </c>
      <c r="O825" s="14" t="b">
        <v>1</v>
      </c>
      <c r="Q825" s="14" t="b">
        <v>0</v>
      </c>
      <c r="R825" s="14">
        <v>1</v>
      </c>
      <c r="S825" s="14" t="s">
        <v>77</v>
      </c>
      <c r="T825" s="14">
        <v>999</v>
      </c>
      <c r="U825" s="14" t="s">
        <v>214</v>
      </c>
      <c r="V825" s="14">
        <v>31346006</v>
      </c>
      <c r="X825" s="14" t="s">
        <v>204</v>
      </c>
      <c r="Y825" s="14" t="s">
        <v>215</v>
      </c>
      <c r="Z825" s="14">
        <v>20001</v>
      </c>
      <c r="AA825" s="14" t="s">
        <v>205</v>
      </c>
      <c r="AB825" s="14">
        <v>40001</v>
      </c>
      <c r="AE825" s="29" t="s">
        <v>121</v>
      </c>
      <c r="AF825" s="14" t="s">
        <v>213</v>
      </c>
      <c r="AG825" s="14" t="s">
        <v>98</v>
      </c>
    </row>
    <row r="826" spans="2:33">
      <c r="B826" s="14">
        <f>10000000+INDEX(编号表!$B:$B,MATCH(H826,编号表!$A:$A,0))*100000+INDEX(编号表!$F:$F,MATCH(D826,编号表!$E:$E,0))*10000+INDEX(编号表!$D:$D,MATCH(AG826,编号表!$C:$C,0))*1000+F826</f>
        <v>11346007</v>
      </c>
      <c r="C826" s="14" t="s">
        <v>986</v>
      </c>
      <c r="D826" s="14" t="s">
        <v>104</v>
      </c>
      <c r="E826" s="14" t="s">
        <v>98</v>
      </c>
      <c r="F826" s="14">
        <v>7</v>
      </c>
      <c r="G826" s="14">
        <v>60</v>
      </c>
      <c r="H826" s="31" t="s">
        <v>217</v>
      </c>
      <c r="I826" s="14" t="s">
        <v>75</v>
      </c>
      <c r="J826" s="14" t="s">
        <v>201</v>
      </c>
      <c r="K826" s="14">
        <v>1</v>
      </c>
      <c r="L826" s="14" t="s">
        <v>213</v>
      </c>
      <c r="N826" s="14">
        <v>0</v>
      </c>
      <c r="O826" s="14" t="b">
        <v>1</v>
      </c>
      <c r="Q826" s="14" t="b">
        <v>0</v>
      </c>
      <c r="R826" s="14">
        <v>1</v>
      </c>
      <c r="S826" s="14" t="s">
        <v>77</v>
      </c>
      <c r="T826" s="14">
        <v>999</v>
      </c>
      <c r="U826" s="14" t="s">
        <v>214</v>
      </c>
      <c r="V826" s="14">
        <v>31346007</v>
      </c>
      <c r="X826" s="14" t="s">
        <v>204</v>
      </c>
      <c r="Y826" s="14" t="s">
        <v>215</v>
      </c>
      <c r="Z826" s="14">
        <v>20001</v>
      </c>
      <c r="AA826" s="14" t="s">
        <v>205</v>
      </c>
      <c r="AB826" s="14">
        <v>40001</v>
      </c>
      <c r="AE826" s="29" t="s">
        <v>121</v>
      </c>
      <c r="AF826" s="14" t="s">
        <v>213</v>
      </c>
      <c r="AG826" s="14" t="s">
        <v>98</v>
      </c>
    </row>
    <row r="827" spans="2:33">
      <c r="B827" s="14">
        <f>10000000+INDEX(编号表!$B:$B,MATCH(H827,编号表!$A:$A,0))*100000+INDEX(编号表!$F:$F,MATCH(D827,编号表!$E:$E,0))*10000+INDEX(编号表!$D:$D,MATCH(AG827,编号表!$C:$C,0))*1000+F827</f>
        <v>11346008</v>
      </c>
      <c r="C827" s="14" t="s">
        <v>987</v>
      </c>
      <c r="D827" s="14" t="s">
        <v>104</v>
      </c>
      <c r="E827" s="14" t="s">
        <v>98</v>
      </c>
      <c r="F827" s="14">
        <v>8</v>
      </c>
      <c r="G827" s="14">
        <v>60</v>
      </c>
      <c r="H827" s="31" t="s">
        <v>217</v>
      </c>
      <c r="I827" s="14" t="s">
        <v>75</v>
      </c>
      <c r="J827" s="14" t="s">
        <v>201</v>
      </c>
      <c r="K827" s="14">
        <v>1</v>
      </c>
      <c r="L827" s="14" t="s">
        <v>213</v>
      </c>
      <c r="N827" s="14">
        <v>0</v>
      </c>
      <c r="O827" s="14" t="b">
        <v>1</v>
      </c>
      <c r="Q827" s="14" t="b">
        <v>0</v>
      </c>
      <c r="R827" s="14">
        <v>1</v>
      </c>
      <c r="S827" s="14" t="s">
        <v>77</v>
      </c>
      <c r="T827" s="14">
        <v>999</v>
      </c>
      <c r="U827" s="14" t="s">
        <v>214</v>
      </c>
      <c r="V827" s="14">
        <v>31346008</v>
      </c>
      <c r="X827" s="14" t="s">
        <v>204</v>
      </c>
      <c r="Y827" s="14" t="s">
        <v>215</v>
      </c>
      <c r="Z827" s="14">
        <v>20001</v>
      </c>
      <c r="AA827" s="14" t="s">
        <v>205</v>
      </c>
      <c r="AB827" s="14">
        <v>40001</v>
      </c>
      <c r="AE827" s="29" t="s">
        <v>121</v>
      </c>
      <c r="AF827" s="14" t="s">
        <v>213</v>
      </c>
      <c r="AG827" s="14" t="s">
        <v>98</v>
      </c>
    </row>
    <row r="828" spans="2:33">
      <c r="B828" s="14">
        <f>10000000+INDEX(编号表!$B:$B,MATCH(H828,编号表!$A:$A,0))*100000+INDEX(编号表!$F:$F,MATCH(D828,编号表!$E:$E,0))*10000+INDEX(编号表!$D:$D,MATCH(AG828,编号表!$C:$C,0))*1000+F828</f>
        <v>11346009</v>
      </c>
      <c r="C828" s="14" t="s">
        <v>988</v>
      </c>
      <c r="D828" s="14" t="s">
        <v>104</v>
      </c>
      <c r="E828" s="14" t="s">
        <v>98</v>
      </c>
      <c r="F828" s="14">
        <v>9</v>
      </c>
      <c r="G828" s="14">
        <v>60</v>
      </c>
      <c r="H828" s="31" t="s">
        <v>217</v>
      </c>
      <c r="I828" s="14" t="s">
        <v>75</v>
      </c>
      <c r="J828" s="14" t="s">
        <v>201</v>
      </c>
      <c r="K828" s="14">
        <v>1</v>
      </c>
      <c r="L828" s="14" t="s">
        <v>213</v>
      </c>
      <c r="N828" s="14">
        <v>0</v>
      </c>
      <c r="O828" s="14" t="b">
        <v>1</v>
      </c>
      <c r="Q828" s="14" t="b">
        <v>0</v>
      </c>
      <c r="R828" s="14">
        <v>1</v>
      </c>
      <c r="S828" s="14" t="s">
        <v>77</v>
      </c>
      <c r="T828" s="14">
        <v>999</v>
      </c>
      <c r="U828" s="14" t="s">
        <v>214</v>
      </c>
      <c r="V828" s="14">
        <v>31346009</v>
      </c>
      <c r="X828" s="14" t="s">
        <v>204</v>
      </c>
      <c r="Y828" s="14" t="s">
        <v>215</v>
      </c>
      <c r="Z828" s="14">
        <v>20001</v>
      </c>
      <c r="AA828" s="14" t="s">
        <v>205</v>
      </c>
      <c r="AB828" s="14">
        <v>40001</v>
      </c>
      <c r="AE828" s="29" t="s">
        <v>121</v>
      </c>
      <c r="AF828" s="14" t="s">
        <v>213</v>
      </c>
      <c r="AG828" s="14" t="s">
        <v>98</v>
      </c>
    </row>
    <row r="829" spans="2:33">
      <c r="B829" s="14">
        <f>10000000+INDEX(编号表!$B:$B,MATCH(H829,编号表!$A:$A,0))*100000+INDEX(编号表!$F:$F,MATCH(D829,编号表!$E:$E,0))*10000+INDEX(编号表!$D:$D,MATCH(AG829,编号表!$C:$C,0))*1000+F829</f>
        <v>11546000</v>
      </c>
      <c r="C829" s="14" t="s">
        <v>989</v>
      </c>
      <c r="D829" s="14" t="s">
        <v>104</v>
      </c>
      <c r="E829" s="14" t="s">
        <v>98</v>
      </c>
      <c r="F829" s="14">
        <v>0</v>
      </c>
      <c r="G829" s="14">
        <v>60</v>
      </c>
      <c r="H829" s="31" t="s">
        <v>228</v>
      </c>
      <c r="I829" s="14" t="s">
        <v>75</v>
      </c>
      <c r="J829" s="14" t="s">
        <v>201</v>
      </c>
      <c r="K829" s="14">
        <v>1</v>
      </c>
      <c r="L829" s="14" t="s">
        <v>213</v>
      </c>
      <c r="N829" s="14">
        <v>0</v>
      </c>
      <c r="O829" s="14" t="b">
        <v>1</v>
      </c>
      <c r="Q829" s="14" t="b">
        <v>0</v>
      </c>
      <c r="R829" s="14">
        <v>1</v>
      </c>
      <c r="S829" s="14" t="s">
        <v>77</v>
      </c>
      <c r="T829" s="14">
        <v>999</v>
      </c>
      <c r="U829" s="14" t="s">
        <v>214</v>
      </c>
      <c r="V829" s="14">
        <v>31546000</v>
      </c>
      <c r="X829" s="14" t="s">
        <v>204</v>
      </c>
      <c r="Y829" s="14" t="s">
        <v>215</v>
      </c>
      <c r="Z829" s="14">
        <v>20001</v>
      </c>
      <c r="AA829" s="14" t="s">
        <v>205</v>
      </c>
      <c r="AB829" s="14">
        <v>40001</v>
      </c>
      <c r="AE829" s="29" t="s">
        <v>121</v>
      </c>
      <c r="AF829" s="14" t="s">
        <v>213</v>
      </c>
      <c r="AG829" s="14" t="s">
        <v>98</v>
      </c>
    </row>
    <row r="830" spans="2:33">
      <c r="B830" s="14">
        <f>10000000+INDEX(编号表!$B:$B,MATCH(H830,编号表!$A:$A,0))*100000+INDEX(编号表!$F:$F,MATCH(D830,编号表!$E:$E,0))*10000+INDEX(编号表!$D:$D,MATCH(AG830,编号表!$C:$C,0))*1000+F830</f>
        <v>11546001</v>
      </c>
      <c r="C830" s="14" t="s">
        <v>990</v>
      </c>
      <c r="D830" s="14" t="s">
        <v>104</v>
      </c>
      <c r="E830" s="14" t="s">
        <v>98</v>
      </c>
      <c r="F830" s="14">
        <v>1</v>
      </c>
      <c r="G830" s="14">
        <v>60</v>
      </c>
      <c r="H830" s="31" t="s">
        <v>228</v>
      </c>
      <c r="I830" s="14" t="s">
        <v>75</v>
      </c>
      <c r="J830" s="14" t="s">
        <v>201</v>
      </c>
      <c r="K830" s="14">
        <v>1</v>
      </c>
      <c r="L830" s="14" t="s">
        <v>213</v>
      </c>
      <c r="N830" s="14">
        <v>0</v>
      </c>
      <c r="O830" s="14" t="b">
        <v>1</v>
      </c>
      <c r="Q830" s="14" t="b">
        <v>0</v>
      </c>
      <c r="R830" s="14">
        <v>1</v>
      </c>
      <c r="S830" s="14" t="s">
        <v>77</v>
      </c>
      <c r="T830" s="14">
        <v>999</v>
      </c>
      <c r="U830" s="14" t="s">
        <v>214</v>
      </c>
      <c r="V830" s="14">
        <v>31546001</v>
      </c>
      <c r="X830" s="14" t="s">
        <v>204</v>
      </c>
      <c r="Y830" s="14" t="s">
        <v>215</v>
      </c>
      <c r="Z830" s="14">
        <v>20001</v>
      </c>
      <c r="AA830" s="14" t="s">
        <v>205</v>
      </c>
      <c r="AB830" s="14">
        <v>40001</v>
      </c>
      <c r="AE830" s="29" t="s">
        <v>121</v>
      </c>
      <c r="AF830" s="14" t="s">
        <v>213</v>
      </c>
      <c r="AG830" s="14" t="s">
        <v>98</v>
      </c>
    </row>
    <row r="831" spans="2:33">
      <c r="B831" s="14">
        <f>10000000+INDEX(编号表!$B:$B,MATCH(H831,编号表!$A:$A,0))*100000+INDEX(编号表!$F:$F,MATCH(D831,编号表!$E:$E,0))*10000+INDEX(编号表!$D:$D,MATCH(AG831,编号表!$C:$C,0))*1000+F831</f>
        <v>11546002</v>
      </c>
      <c r="C831" s="14" t="s">
        <v>991</v>
      </c>
      <c r="D831" s="14" t="s">
        <v>104</v>
      </c>
      <c r="E831" s="14" t="s">
        <v>98</v>
      </c>
      <c r="F831" s="14">
        <v>2</v>
      </c>
      <c r="G831" s="14">
        <v>60</v>
      </c>
      <c r="H831" s="31" t="s">
        <v>228</v>
      </c>
      <c r="I831" s="14" t="s">
        <v>75</v>
      </c>
      <c r="J831" s="14" t="s">
        <v>201</v>
      </c>
      <c r="K831" s="14">
        <v>1</v>
      </c>
      <c r="L831" s="14" t="s">
        <v>213</v>
      </c>
      <c r="N831" s="14">
        <v>0</v>
      </c>
      <c r="O831" s="14" t="b">
        <v>1</v>
      </c>
      <c r="Q831" s="14" t="b">
        <v>0</v>
      </c>
      <c r="R831" s="14">
        <v>1</v>
      </c>
      <c r="S831" s="14" t="s">
        <v>77</v>
      </c>
      <c r="T831" s="14">
        <v>999</v>
      </c>
      <c r="U831" s="14" t="s">
        <v>214</v>
      </c>
      <c r="V831" s="14">
        <v>31546002</v>
      </c>
      <c r="X831" s="14" t="s">
        <v>204</v>
      </c>
      <c r="Y831" s="14" t="s">
        <v>215</v>
      </c>
      <c r="Z831" s="14">
        <v>20001</v>
      </c>
      <c r="AA831" s="14" t="s">
        <v>205</v>
      </c>
      <c r="AB831" s="14">
        <v>40001</v>
      </c>
      <c r="AE831" s="29" t="s">
        <v>121</v>
      </c>
      <c r="AF831" s="14" t="s">
        <v>213</v>
      </c>
      <c r="AG831" s="14" t="s">
        <v>98</v>
      </c>
    </row>
    <row r="832" spans="2:33">
      <c r="B832" s="14">
        <f>10000000+INDEX(编号表!$B:$B,MATCH(H832,编号表!$A:$A,0))*100000+INDEX(编号表!$F:$F,MATCH(D832,编号表!$E:$E,0))*10000+INDEX(编号表!$D:$D,MATCH(AG832,编号表!$C:$C,0))*1000+F832</f>
        <v>11546003</v>
      </c>
      <c r="C832" s="14" t="s">
        <v>992</v>
      </c>
      <c r="D832" s="14" t="s">
        <v>104</v>
      </c>
      <c r="E832" s="14" t="s">
        <v>98</v>
      </c>
      <c r="F832" s="14">
        <v>3</v>
      </c>
      <c r="G832" s="14">
        <v>60</v>
      </c>
      <c r="H832" s="31" t="s">
        <v>228</v>
      </c>
      <c r="I832" s="14" t="s">
        <v>75</v>
      </c>
      <c r="J832" s="14" t="s">
        <v>201</v>
      </c>
      <c r="K832" s="14">
        <v>1</v>
      </c>
      <c r="L832" s="14" t="s">
        <v>213</v>
      </c>
      <c r="N832" s="14">
        <v>0</v>
      </c>
      <c r="O832" s="14" t="b">
        <v>1</v>
      </c>
      <c r="Q832" s="14" t="b">
        <v>0</v>
      </c>
      <c r="R832" s="14">
        <v>1</v>
      </c>
      <c r="S832" s="14" t="s">
        <v>77</v>
      </c>
      <c r="T832" s="14">
        <v>999</v>
      </c>
      <c r="U832" s="14" t="s">
        <v>214</v>
      </c>
      <c r="V832" s="14">
        <v>31546003</v>
      </c>
      <c r="X832" s="14" t="s">
        <v>204</v>
      </c>
      <c r="Y832" s="14" t="s">
        <v>215</v>
      </c>
      <c r="Z832" s="14">
        <v>20001</v>
      </c>
      <c r="AA832" s="14" t="s">
        <v>205</v>
      </c>
      <c r="AB832" s="14">
        <v>40001</v>
      </c>
      <c r="AE832" s="29" t="s">
        <v>121</v>
      </c>
      <c r="AF832" s="14" t="s">
        <v>213</v>
      </c>
      <c r="AG832" s="14" t="s">
        <v>98</v>
      </c>
    </row>
    <row r="833" spans="2:33">
      <c r="B833" s="14">
        <f>10000000+INDEX(编号表!$B:$B,MATCH(H833,编号表!$A:$A,0))*100000+INDEX(编号表!$F:$F,MATCH(D833,编号表!$E:$E,0))*10000+INDEX(编号表!$D:$D,MATCH(AG833,编号表!$C:$C,0))*1000+F833</f>
        <v>11546004</v>
      </c>
      <c r="C833" s="14" t="s">
        <v>993</v>
      </c>
      <c r="D833" s="14" t="s">
        <v>104</v>
      </c>
      <c r="E833" s="14" t="s">
        <v>98</v>
      </c>
      <c r="F833" s="14">
        <v>4</v>
      </c>
      <c r="G833" s="14">
        <v>60</v>
      </c>
      <c r="H833" s="31" t="s">
        <v>228</v>
      </c>
      <c r="I833" s="14" t="s">
        <v>75</v>
      </c>
      <c r="J833" s="14" t="s">
        <v>201</v>
      </c>
      <c r="K833" s="14">
        <v>1</v>
      </c>
      <c r="L833" s="14" t="s">
        <v>213</v>
      </c>
      <c r="N833" s="14">
        <v>0</v>
      </c>
      <c r="O833" s="14" t="b">
        <v>1</v>
      </c>
      <c r="Q833" s="14" t="b">
        <v>0</v>
      </c>
      <c r="R833" s="14">
        <v>1</v>
      </c>
      <c r="S833" s="14" t="s">
        <v>77</v>
      </c>
      <c r="T833" s="14">
        <v>999</v>
      </c>
      <c r="U833" s="14" t="s">
        <v>214</v>
      </c>
      <c r="V833" s="14">
        <v>31546004</v>
      </c>
      <c r="X833" s="14" t="s">
        <v>204</v>
      </c>
      <c r="Y833" s="14" t="s">
        <v>215</v>
      </c>
      <c r="Z833" s="14">
        <v>20001</v>
      </c>
      <c r="AA833" s="14" t="s">
        <v>205</v>
      </c>
      <c r="AB833" s="14">
        <v>40001</v>
      </c>
      <c r="AE833" s="29" t="s">
        <v>121</v>
      </c>
      <c r="AF833" s="14" t="s">
        <v>213</v>
      </c>
      <c r="AG833" s="14" t="s">
        <v>98</v>
      </c>
    </row>
    <row r="834" spans="2:33">
      <c r="B834" s="14">
        <f>10000000+INDEX(编号表!$B:$B,MATCH(H834,编号表!$A:$A,0))*100000+INDEX(编号表!$F:$F,MATCH(D834,编号表!$E:$E,0))*10000+INDEX(编号表!$D:$D,MATCH(AG834,编号表!$C:$C,0))*1000+F834</f>
        <v>11546005</v>
      </c>
      <c r="C834" s="14" t="s">
        <v>994</v>
      </c>
      <c r="D834" s="14" t="s">
        <v>104</v>
      </c>
      <c r="E834" s="14" t="s">
        <v>98</v>
      </c>
      <c r="F834" s="14">
        <v>5</v>
      </c>
      <c r="G834" s="14">
        <v>60</v>
      </c>
      <c r="H834" s="31" t="s">
        <v>228</v>
      </c>
      <c r="I834" s="14" t="s">
        <v>75</v>
      </c>
      <c r="J834" s="14" t="s">
        <v>201</v>
      </c>
      <c r="K834" s="14">
        <v>1</v>
      </c>
      <c r="L834" s="14" t="s">
        <v>213</v>
      </c>
      <c r="N834" s="14">
        <v>0</v>
      </c>
      <c r="O834" s="14" t="b">
        <v>1</v>
      </c>
      <c r="Q834" s="14" t="b">
        <v>0</v>
      </c>
      <c r="R834" s="14">
        <v>1</v>
      </c>
      <c r="S834" s="14" t="s">
        <v>77</v>
      </c>
      <c r="T834" s="14">
        <v>999</v>
      </c>
      <c r="U834" s="14" t="s">
        <v>214</v>
      </c>
      <c r="V834" s="14">
        <v>31546005</v>
      </c>
      <c r="X834" s="14" t="s">
        <v>204</v>
      </c>
      <c r="Y834" s="14" t="s">
        <v>215</v>
      </c>
      <c r="Z834" s="14">
        <v>20001</v>
      </c>
      <c r="AA834" s="14" t="s">
        <v>205</v>
      </c>
      <c r="AB834" s="14">
        <v>40001</v>
      </c>
      <c r="AE834" s="29" t="s">
        <v>121</v>
      </c>
      <c r="AF834" s="14" t="s">
        <v>213</v>
      </c>
      <c r="AG834" s="14" t="s">
        <v>98</v>
      </c>
    </row>
    <row r="835" spans="2:33">
      <c r="B835" s="14">
        <f>10000000+INDEX(编号表!$B:$B,MATCH(H835,编号表!$A:$A,0))*100000+INDEX(编号表!$F:$F,MATCH(D835,编号表!$E:$E,0))*10000+INDEX(编号表!$D:$D,MATCH(AG835,编号表!$C:$C,0))*1000+F835</f>
        <v>11546006</v>
      </c>
      <c r="C835" s="14" t="s">
        <v>995</v>
      </c>
      <c r="D835" s="14" t="s">
        <v>104</v>
      </c>
      <c r="E835" s="14" t="s">
        <v>98</v>
      </c>
      <c r="F835" s="14">
        <v>6</v>
      </c>
      <c r="G835" s="14">
        <v>60</v>
      </c>
      <c r="H835" s="31" t="s">
        <v>228</v>
      </c>
      <c r="I835" s="14" t="s">
        <v>75</v>
      </c>
      <c r="J835" s="14" t="s">
        <v>201</v>
      </c>
      <c r="K835" s="14">
        <v>1</v>
      </c>
      <c r="L835" s="14" t="s">
        <v>213</v>
      </c>
      <c r="N835" s="14">
        <v>0</v>
      </c>
      <c r="O835" s="14" t="b">
        <v>1</v>
      </c>
      <c r="Q835" s="14" t="b">
        <v>0</v>
      </c>
      <c r="R835" s="14">
        <v>1</v>
      </c>
      <c r="S835" s="14" t="s">
        <v>77</v>
      </c>
      <c r="T835" s="14">
        <v>999</v>
      </c>
      <c r="U835" s="14" t="s">
        <v>214</v>
      </c>
      <c r="V835" s="14">
        <v>31546006</v>
      </c>
      <c r="X835" s="14" t="s">
        <v>204</v>
      </c>
      <c r="Y835" s="14" t="s">
        <v>215</v>
      </c>
      <c r="Z835" s="14">
        <v>20001</v>
      </c>
      <c r="AA835" s="14" t="s">
        <v>205</v>
      </c>
      <c r="AB835" s="14">
        <v>40001</v>
      </c>
      <c r="AE835" s="29" t="s">
        <v>121</v>
      </c>
      <c r="AF835" s="14" t="s">
        <v>213</v>
      </c>
      <c r="AG835" s="14" t="s">
        <v>98</v>
      </c>
    </row>
    <row r="836" spans="2:33">
      <c r="B836" s="14">
        <f>10000000+INDEX(编号表!$B:$B,MATCH(H836,编号表!$A:$A,0))*100000+INDEX(编号表!$F:$F,MATCH(D836,编号表!$E:$E,0))*10000+INDEX(编号表!$D:$D,MATCH(AG836,编号表!$C:$C,0))*1000+F836</f>
        <v>11546007</v>
      </c>
      <c r="C836" s="14" t="s">
        <v>996</v>
      </c>
      <c r="D836" s="14" t="s">
        <v>104</v>
      </c>
      <c r="E836" s="14" t="s">
        <v>98</v>
      </c>
      <c r="F836" s="14">
        <v>7</v>
      </c>
      <c r="G836" s="14">
        <v>60</v>
      </c>
      <c r="H836" s="31" t="s">
        <v>228</v>
      </c>
      <c r="I836" s="14" t="s">
        <v>75</v>
      </c>
      <c r="J836" s="14" t="s">
        <v>201</v>
      </c>
      <c r="K836" s="14">
        <v>1</v>
      </c>
      <c r="L836" s="14" t="s">
        <v>213</v>
      </c>
      <c r="N836" s="14">
        <v>0</v>
      </c>
      <c r="O836" s="14" t="b">
        <v>1</v>
      </c>
      <c r="Q836" s="14" t="b">
        <v>0</v>
      </c>
      <c r="R836" s="14">
        <v>1</v>
      </c>
      <c r="S836" s="14" t="s">
        <v>77</v>
      </c>
      <c r="T836" s="14">
        <v>999</v>
      </c>
      <c r="U836" s="14" t="s">
        <v>214</v>
      </c>
      <c r="V836" s="14">
        <v>31546007</v>
      </c>
      <c r="X836" s="14" t="s">
        <v>204</v>
      </c>
      <c r="Y836" s="14" t="s">
        <v>215</v>
      </c>
      <c r="Z836" s="14">
        <v>20001</v>
      </c>
      <c r="AA836" s="14" t="s">
        <v>205</v>
      </c>
      <c r="AB836" s="14">
        <v>40001</v>
      </c>
      <c r="AE836" s="29" t="s">
        <v>121</v>
      </c>
      <c r="AF836" s="14" t="s">
        <v>213</v>
      </c>
      <c r="AG836" s="14" t="s">
        <v>98</v>
      </c>
    </row>
    <row r="837" spans="2:33">
      <c r="B837" s="14">
        <f>10000000+INDEX(编号表!$B:$B,MATCH(H837,编号表!$A:$A,0))*100000+INDEX(编号表!$F:$F,MATCH(D837,编号表!$E:$E,0))*10000+INDEX(编号表!$D:$D,MATCH(AG837,编号表!$C:$C,0))*1000+F837</f>
        <v>11546008</v>
      </c>
      <c r="C837" s="14" t="s">
        <v>997</v>
      </c>
      <c r="D837" s="14" t="s">
        <v>104</v>
      </c>
      <c r="E837" s="14" t="s">
        <v>98</v>
      </c>
      <c r="F837" s="14">
        <v>8</v>
      </c>
      <c r="G837" s="14">
        <v>60</v>
      </c>
      <c r="H837" s="31" t="s">
        <v>228</v>
      </c>
      <c r="I837" s="14" t="s">
        <v>75</v>
      </c>
      <c r="J837" s="14" t="s">
        <v>201</v>
      </c>
      <c r="K837" s="14">
        <v>1</v>
      </c>
      <c r="L837" s="14" t="s">
        <v>213</v>
      </c>
      <c r="N837" s="14">
        <v>0</v>
      </c>
      <c r="O837" s="14" t="b">
        <v>1</v>
      </c>
      <c r="Q837" s="14" t="b">
        <v>0</v>
      </c>
      <c r="R837" s="14">
        <v>1</v>
      </c>
      <c r="S837" s="14" t="s">
        <v>77</v>
      </c>
      <c r="T837" s="14">
        <v>999</v>
      </c>
      <c r="U837" s="14" t="s">
        <v>214</v>
      </c>
      <c r="V837" s="14">
        <v>31546008</v>
      </c>
      <c r="X837" s="14" t="s">
        <v>204</v>
      </c>
      <c r="Y837" s="14" t="s">
        <v>215</v>
      </c>
      <c r="Z837" s="14">
        <v>20001</v>
      </c>
      <c r="AA837" s="14" t="s">
        <v>205</v>
      </c>
      <c r="AB837" s="14">
        <v>40001</v>
      </c>
      <c r="AE837" s="29" t="s">
        <v>121</v>
      </c>
      <c r="AF837" s="14" t="s">
        <v>213</v>
      </c>
      <c r="AG837" s="14" t="s">
        <v>98</v>
      </c>
    </row>
    <row r="838" spans="2:33">
      <c r="B838" s="14">
        <f>10000000+INDEX(编号表!$B:$B,MATCH(H838,编号表!$A:$A,0))*100000+INDEX(编号表!$F:$F,MATCH(D838,编号表!$E:$E,0))*10000+INDEX(编号表!$D:$D,MATCH(AG838,编号表!$C:$C,0))*1000+F838</f>
        <v>11546009</v>
      </c>
      <c r="C838" s="14" t="s">
        <v>998</v>
      </c>
      <c r="D838" s="14" t="s">
        <v>104</v>
      </c>
      <c r="E838" s="14" t="s">
        <v>98</v>
      </c>
      <c r="F838" s="14">
        <v>9</v>
      </c>
      <c r="G838" s="14">
        <v>60</v>
      </c>
      <c r="H838" s="31" t="s">
        <v>228</v>
      </c>
      <c r="I838" s="14" t="s">
        <v>75</v>
      </c>
      <c r="J838" s="14" t="s">
        <v>201</v>
      </c>
      <c r="K838" s="14">
        <v>1</v>
      </c>
      <c r="L838" s="14" t="s">
        <v>213</v>
      </c>
      <c r="N838" s="14">
        <v>0</v>
      </c>
      <c r="O838" s="14" t="b">
        <v>1</v>
      </c>
      <c r="Q838" s="14" t="b">
        <v>0</v>
      </c>
      <c r="R838" s="14">
        <v>1</v>
      </c>
      <c r="S838" s="14" t="s">
        <v>77</v>
      </c>
      <c r="T838" s="14">
        <v>999</v>
      </c>
      <c r="U838" s="14" t="s">
        <v>214</v>
      </c>
      <c r="V838" s="14">
        <v>31546009</v>
      </c>
      <c r="X838" s="14" t="s">
        <v>204</v>
      </c>
      <c r="Y838" s="14" t="s">
        <v>215</v>
      </c>
      <c r="Z838" s="14">
        <v>20001</v>
      </c>
      <c r="AA838" s="14" t="s">
        <v>205</v>
      </c>
      <c r="AB838" s="14">
        <v>40001</v>
      </c>
      <c r="AE838" s="29" t="s">
        <v>121</v>
      </c>
      <c r="AF838" s="14" t="s">
        <v>213</v>
      </c>
      <c r="AG838" s="14" t="s">
        <v>98</v>
      </c>
    </row>
    <row r="839" spans="2:33">
      <c r="B839" s="14">
        <f>10000000+INDEX(编号表!$B:$B,MATCH(H839,编号表!$A:$A,0))*100000+INDEX(编号表!$F:$F,MATCH(D839,编号表!$E:$E,0))*10000+INDEX(编号表!$D:$D,MATCH(AG839,编号表!$C:$C,0))*1000+F839</f>
        <v>11446000</v>
      </c>
      <c r="C839" s="14" t="s">
        <v>999</v>
      </c>
      <c r="D839" s="14" t="s">
        <v>104</v>
      </c>
      <c r="E839" s="14" t="s">
        <v>98</v>
      </c>
      <c r="F839" s="14">
        <v>0</v>
      </c>
      <c r="G839" s="14">
        <v>60</v>
      </c>
      <c r="H839" s="31" t="s">
        <v>239</v>
      </c>
      <c r="I839" s="14" t="s">
        <v>75</v>
      </c>
      <c r="J839" s="14" t="s">
        <v>201</v>
      </c>
      <c r="K839" s="14">
        <v>1</v>
      </c>
      <c r="L839" s="14" t="s">
        <v>213</v>
      </c>
      <c r="N839" s="14">
        <v>0</v>
      </c>
      <c r="O839" s="14" t="b">
        <v>1</v>
      </c>
      <c r="Q839" s="14" t="b">
        <v>0</v>
      </c>
      <c r="R839" s="14">
        <v>1</v>
      </c>
      <c r="S839" s="14" t="s">
        <v>77</v>
      </c>
      <c r="T839" s="14">
        <v>999</v>
      </c>
      <c r="U839" s="14" t="s">
        <v>214</v>
      </c>
      <c r="V839" s="14">
        <v>31446000</v>
      </c>
      <c r="X839" s="14" t="s">
        <v>204</v>
      </c>
      <c r="Y839" s="14" t="s">
        <v>215</v>
      </c>
      <c r="Z839" s="14">
        <v>20001</v>
      </c>
      <c r="AA839" s="14" t="s">
        <v>205</v>
      </c>
      <c r="AB839" s="14">
        <v>40001</v>
      </c>
      <c r="AE839" s="29" t="s">
        <v>121</v>
      </c>
      <c r="AF839" s="14" t="s">
        <v>213</v>
      </c>
      <c r="AG839" s="14" t="s">
        <v>98</v>
      </c>
    </row>
    <row r="840" spans="2:33">
      <c r="B840" s="14">
        <f>10000000+INDEX(编号表!$B:$B,MATCH(H840,编号表!$A:$A,0))*100000+INDEX(编号表!$F:$F,MATCH(D840,编号表!$E:$E,0))*10000+INDEX(编号表!$D:$D,MATCH(AG840,编号表!$C:$C,0))*1000+F840</f>
        <v>11446001</v>
      </c>
      <c r="C840" s="14" t="s">
        <v>1000</v>
      </c>
      <c r="D840" s="14" t="s">
        <v>104</v>
      </c>
      <c r="E840" s="14" t="s">
        <v>98</v>
      </c>
      <c r="F840" s="14">
        <v>1</v>
      </c>
      <c r="G840" s="14">
        <v>60</v>
      </c>
      <c r="H840" s="31" t="s">
        <v>239</v>
      </c>
      <c r="I840" s="14" t="s">
        <v>75</v>
      </c>
      <c r="J840" s="14" t="s">
        <v>201</v>
      </c>
      <c r="K840" s="14">
        <v>1</v>
      </c>
      <c r="L840" s="14" t="s">
        <v>213</v>
      </c>
      <c r="N840" s="14">
        <v>0</v>
      </c>
      <c r="O840" s="14" t="b">
        <v>1</v>
      </c>
      <c r="Q840" s="14" t="b">
        <v>0</v>
      </c>
      <c r="R840" s="14">
        <v>1</v>
      </c>
      <c r="S840" s="14" t="s">
        <v>77</v>
      </c>
      <c r="T840" s="14">
        <v>999</v>
      </c>
      <c r="U840" s="14" t="s">
        <v>214</v>
      </c>
      <c r="V840" s="14">
        <v>31446001</v>
      </c>
      <c r="X840" s="14" t="s">
        <v>204</v>
      </c>
      <c r="Y840" s="14" t="s">
        <v>215</v>
      </c>
      <c r="Z840" s="14">
        <v>20001</v>
      </c>
      <c r="AA840" s="14" t="s">
        <v>205</v>
      </c>
      <c r="AB840" s="14">
        <v>40001</v>
      </c>
      <c r="AE840" s="29" t="s">
        <v>121</v>
      </c>
      <c r="AF840" s="14" t="s">
        <v>213</v>
      </c>
      <c r="AG840" s="14" t="s">
        <v>98</v>
      </c>
    </row>
    <row r="841" spans="2:33">
      <c r="B841" s="14">
        <f>10000000+INDEX(编号表!$B:$B,MATCH(H841,编号表!$A:$A,0))*100000+INDEX(编号表!$F:$F,MATCH(D841,编号表!$E:$E,0))*10000+INDEX(编号表!$D:$D,MATCH(AG841,编号表!$C:$C,0))*1000+F841</f>
        <v>11446002</v>
      </c>
      <c r="C841" s="14" t="s">
        <v>1001</v>
      </c>
      <c r="D841" s="14" t="s">
        <v>104</v>
      </c>
      <c r="E841" s="14" t="s">
        <v>98</v>
      </c>
      <c r="F841" s="14">
        <v>2</v>
      </c>
      <c r="G841" s="14">
        <v>60</v>
      </c>
      <c r="H841" s="31" t="s">
        <v>239</v>
      </c>
      <c r="I841" s="14" t="s">
        <v>75</v>
      </c>
      <c r="J841" s="14" t="s">
        <v>201</v>
      </c>
      <c r="K841" s="14">
        <v>1</v>
      </c>
      <c r="L841" s="14" t="s">
        <v>213</v>
      </c>
      <c r="N841" s="14">
        <v>0</v>
      </c>
      <c r="O841" s="14" t="b">
        <v>1</v>
      </c>
      <c r="Q841" s="14" t="b">
        <v>0</v>
      </c>
      <c r="R841" s="14">
        <v>1</v>
      </c>
      <c r="S841" s="14" t="s">
        <v>77</v>
      </c>
      <c r="T841" s="14">
        <v>999</v>
      </c>
      <c r="U841" s="14" t="s">
        <v>214</v>
      </c>
      <c r="V841" s="14">
        <v>31446002</v>
      </c>
      <c r="X841" s="14" t="s">
        <v>204</v>
      </c>
      <c r="Y841" s="14" t="s">
        <v>215</v>
      </c>
      <c r="Z841" s="14">
        <v>20001</v>
      </c>
      <c r="AA841" s="14" t="s">
        <v>205</v>
      </c>
      <c r="AB841" s="14">
        <v>40001</v>
      </c>
      <c r="AE841" s="29" t="s">
        <v>121</v>
      </c>
      <c r="AF841" s="14" t="s">
        <v>213</v>
      </c>
      <c r="AG841" s="14" t="s">
        <v>98</v>
      </c>
    </row>
    <row r="842" spans="2:33">
      <c r="B842" s="14">
        <f>10000000+INDEX(编号表!$B:$B,MATCH(H842,编号表!$A:$A,0))*100000+INDEX(编号表!$F:$F,MATCH(D842,编号表!$E:$E,0))*10000+INDEX(编号表!$D:$D,MATCH(AG842,编号表!$C:$C,0))*1000+F842</f>
        <v>11446003</v>
      </c>
      <c r="C842" s="14" t="s">
        <v>1002</v>
      </c>
      <c r="D842" s="14" t="s">
        <v>104</v>
      </c>
      <c r="E842" s="14" t="s">
        <v>98</v>
      </c>
      <c r="F842" s="14">
        <v>3</v>
      </c>
      <c r="G842" s="14">
        <v>60</v>
      </c>
      <c r="H842" s="31" t="s">
        <v>239</v>
      </c>
      <c r="I842" s="14" t="s">
        <v>75</v>
      </c>
      <c r="J842" s="14" t="s">
        <v>201</v>
      </c>
      <c r="K842" s="14">
        <v>1</v>
      </c>
      <c r="L842" s="14" t="s">
        <v>213</v>
      </c>
      <c r="N842" s="14">
        <v>0</v>
      </c>
      <c r="O842" s="14" t="b">
        <v>1</v>
      </c>
      <c r="Q842" s="14" t="b">
        <v>0</v>
      </c>
      <c r="R842" s="14">
        <v>1</v>
      </c>
      <c r="S842" s="14" t="s">
        <v>77</v>
      </c>
      <c r="T842" s="14">
        <v>999</v>
      </c>
      <c r="U842" s="14" t="s">
        <v>214</v>
      </c>
      <c r="V842" s="14">
        <v>31446003</v>
      </c>
      <c r="X842" s="14" t="s">
        <v>204</v>
      </c>
      <c r="Y842" s="14" t="s">
        <v>215</v>
      </c>
      <c r="Z842" s="14">
        <v>20001</v>
      </c>
      <c r="AA842" s="14" t="s">
        <v>205</v>
      </c>
      <c r="AB842" s="14">
        <v>40001</v>
      </c>
      <c r="AE842" s="29" t="s">
        <v>121</v>
      </c>
      <c r="AF842" s="14" t="s">
        <v>213</v>
      </c>
      <c r="AG842" s="14" t="s">
        <v>98</v>
      </c>
    </row>
    <row r="843" spans="2:33">
      <c r="B843" s="14">
        <f>10000000+INDEX(编号表!$B:$B,MATCH(H843,编号表!$A:$A,0))*100000+INDEX(编号表!$F:$F,MATCH(D843,编号表!$E:$E,0))*10000+INDEX(编号表!$D:$D,MATCH(AG843,编号表!$C:$C,0))*1000+F843</f>
        <v>11646000</v>
      </c>
      <c r="C843" s="14" t="s">
        <v>1003</v>
      </c>
      <c r="D843" s="14" t="s">
        <v>104</v>
      </c>
      <c r="E843" s="14" t="s">
        <v>98</v>
      </c>
      <c r="F843" s="14">
        <v>0</v>
      </c>
      <c r="G843" s="14">
        <v>60</v>
      </c>
      <c r="H843" s="31" t="s">
        <v>244</v>
      </c>
      <c r="I843" s="14" t="s">
        <v>75</v>
      </c>
      <c r="J843" s="14" t="s">
        <v>201</v>
      </c>
      <c r="K843" s="14">
        <v>1</v>
      </c>
      <c r="L843" s="14" t="s">
        <v>213</v>
      </c>
      <c r="N843" s="14">
        <v>0</v>
      </c>
      <c r="O843" s="14" t="b">
        <v>1</v>
      </c>
      <c r="Q843" s="14" t="b">
        <v>0</v>
      </c>
      <c r="R843" s="14">
        <v>1</v>
      </c>
      <c r="S843" s="14" t="s">
        <v>77</v>
      </c>
      <c r="T843" s="14">
        <v>999</v>
      </c>
      <c r="U843" s="14" t="s">
        <v>214</v>
      </c>
      <c r="V843" s="14">
        <v>31646000</v>
      </c>
      <c r="X843" s="14" t="s">
        <v>204</v>
      </c>
      <c r="Y843" s="14" t="s">
        <v>215</v>
      </c>
      <c r="Z843" s="14">
        <v>20001</v>
      </c>
      <c r="AA843" s="14" t="s">
        <v>205</v>
      </c>
      <c r="AB843" s="14">
        <v>40001</v>
      </c>
      <c r="AE843" s="29" t="s">
        <v>121</v>
      </c>
      <c r="AF843" s="14" t="s">
        <v>213</v>
      </c>
      <c r="AG843" s="14" t="s">
        <v>98</v>
      </c>
    </row>
    <row r="844" spans="2:33">
      <c r="B844" s="14">
        <f>10000000+INDEX(编号表!$B:$B,MATCH(H844,编号表!$A:$A,0))*100000+INDEX(编号表!$F:$F,MATCH(D844,编号表!$E:$E,0))*10000+INDEX(编号表!$D:$D,MATCH(AG844,编号表!$C:$C,0))*1000+F844</f>
        <v>11646001</v>
      </c>
      <c r="C844" s="14" t="s">
        <v>1004</v>
      </c>
      <c r="D844" s="14" t="s">
        <v>104</v>
      </c>
      <c r="E844" s="14" t="s">
        <v>98</v>
      </c>
      <c r="F844" s="14">
        <v>1</v>
      </c>
      <c r="G844" s="14">
        <v>60</v>
      </c>
      <c r="H844" s="31" t="s">
        <v>244</v>
      </c>
      <c r="I844" s="14" t="s">
        <v>75</v>
      </c>
      <c r="J844" s="14" t="s">
        <v>201</v>
      </c>
      <c r="K844" s="14">
        <v>1</v>
      </c>
      <c r="L844" s="14" t="s">
        <v>213</v>
      </c>
      <c r="N844" s="14">
        <v>0</v>
      </c>
      <c r="O844" s="14" t="b">
        <v>1</v>
      </c>
      <c r="Q844" s="14" t="b">
        <v>0</v>
      </c>
      <c r="R844" s="14">
        <v>1</v>
      </c>
      <c r="S844" s="14" t="s">
        <v>77</v>
      </c>
      <c r="T844" s="14">
        <v>999</v>
      </c>
      <c r="U844" s="14" t="s">
        <v>214</v>
      </c>
      <c r="V844" s="14">
        <v>31646001</v>
      </c>
      <c r="X844" s="14" t="s">
        <v>204</v>
      </c>
      <c r="Y844" s="14" t="s">
        <v>215</v>
      </c>
      <c r="Z844" s="14">
        <v>20001</v>
      </c>
      <c r="AA844" s="14" t="s">
        <v>205</v>
      </c>
      <c r="AB844" s="14">
        <v>40001</v>
      </c>
      <c r="AE844" s="29" t="s">
        <v>121</v>
      </c>
      <c r="AF844" s="14" t="s">
        <v>213</v>
      </c>
      <c r="AG844" s="14" t="s">
        <v>98</v>
      </c>
    </row>
    <row r="845" spans="2:33">
      <c r="B845" s="14">
        <f>10000000+INDEX(编号表!$B:$B,MATCH(H845,编号表!$A:$A,0))*100000+INDEX(编号表!$F:$F,MATCH(D845,编号表!$E:$E,0))*10000+INDEX(编号表!$D:$D,MATCH(AG845,编号表!$C:$C,0))*1000+F845</f>
        <v>11646002</v>
      </c>
      <c r="C845" s="14" t="s">
        <v>1005</v>
      </c>
      <c r="D845" s="14" t="s">
        <v>104</v>
      </c>
      <c r="E845" s="14" t="s">
        <v>98</v>
      </c>
      <c r="F845" s="14">
        <v>2</v>
      </c>
      <c r="G845" s="14">
        <v>60</v>
      </c>
      <c r="H845" s="31" t="s">
        <v>244</v>
      </c>
      <c r="I845" s="14" t="s">
        <v>75</v>
      </c>
      <c r="J845" s="14" t="s">
        <v>201</v>
      </c>
      <c r="K845" s="14">
        <v>1</v>
      </c>
      <c r="L845" s="14" t="s">
        <v>213</v>
      </c>
      <c r="N845" s="14">
        <v>0</v>
      </c>
      <c r="O845" s="14" t="b">
        <v>1</v>
      </c>
      <c r="Q845" s="14" t="b">
        <v>0</v>
      </c>
      <c r="R845" s="14">
        <v>1</v>
      </c>
      <c r="S845" s="14" t="s">
        <v>77</v>
      </c>
      <c r="T845" s="14">
        <v>999</v>
      </c>
      <c r="U845" s="14" t="s">
        <v>214</v>
      </c>
      <c r="V845" s="14">
        <v>31646002</v>
      </c>
      <c r="X845" s="14" t="s">
        <v>204</v>
      </c>
      <c r="Y845" s="14" t="s">
        <v>215</v>
      </c>
      <c r="Z845" s="14">
        <v>20001</v>
      </c>
      <c r="AA845" s="14" t="s">
        <v>205</v>
      </c>
      <c r="AB845" s="14">
        <v>40001</v>
      </c>
      <c r="AE845" s="29" t="s">
        <v>121</v>
      </c>
      <c r="AF845" s="14" t="s">
        <v>213</v>
      </c>
      <c r="AG845" s="14" t="s">
        <v>98</v>
      </c>
    </row>
    <row r="846" spans="2:33">
      <c r="B846" s="14">
        <f>10000000+INDEX(编号表!$B:$B,MATCH(H846,编号表!$A:$A,0))*100000+INDEX(编号表!$F:$F,MATCH(D846,编号表!$E:$E,0))*10000+INDEX(编号表!$D:$D,MATCH(AG846,编号表!$C:$C,0))*1000+F846</f>
        <v>11256000</v>
      </c>
      <c r="C846" s="14" t="s">
        <v>1006</v>
      </c>
      <c r="D846" s="14" t="s">
        <v>333</v>
      </c>
      <c r="E846" s="14" t="s">
        <v>98</v>
      </c>
      <c r="F846" s="14">
        <v>0</v>
      </c>
      <c r="G846" s="14">
        <v>60</v>
      </c>
      <c r="H846" s="31" t="s">
        <v>212</v>
      </c>
      <c r="I846" s="14" t="s">
        <v>75</v>
      </c>
      <c r="J846" s="14" t="s">
        <v>201</v>
      </c>
      <c r="K846" s="14">
        <v>1</v>
      </c>
      <c r="L846" s="14" t="s">
        <v>213</v>
      </c>
      <c r="N846" s="14">
        <v>0</v>
      </c>
      <c r="O846" s="14" t="b">
        <v>1</v>
      </c>
      <c r="Q846" s="14" t="b">
        <v>0</v>
      </c>
      <c r="R846" s="14">
        <v>1</v>
      </c>
      <c r="S846" s="14" t="s">
        <v>77</v>
      </c>
      <c r="T846" s="14">
        <v>999</v>
      </c>
      <c r="U846" s="14" t="s">
        <v>214</v>
      </c>
      <c r="V846" s="14">
        <v>31256000</v>
      </c>
      <c r="X846" s="14" t="s">
        <v>204</v>
      </c>
      <c r="Y846" s="14" t="s">
        <v>215</v>
      </c>
      <c r="Z846" s="14">
        <v>20001</v>
      </c>
      <c r="AA846" s="14" t="s">
        <v>205</v>
      </c>
      <c r="AB846" s="14">
        <v>40001</v>
      </c>
      <c r="AE846" s="29" t="s">
        <v>121</v>
      </c>
      <c r="AF846" s="14" t="s">
        <v>213</v>
      </c>
      <c r="AG846" s="14" t="s">
        <v>98</v>
      </c>
    </row>
    <row r="847" spans="2:33">
      <c r="B847" s="14">
        <f>10000000+INDEX(编号表!$B:$B,MATCH(H847,编号表!$A:$A,0))*100000+INDEX(编号表!$F:$F,MATCH(D847,编号表!$E:$E,0))*10000+INDEX(编号表!$D:$D,MATCH(AG847,编号表!$C:$C,0))*1000+F847</f>
        <v>11356000</v>
      </c>
      <c r="C847" s="14" t="s">
        <v>1007</v>
      </c>
      <c r="D847" s="14" t="s">
        <v>333</v>
      </c>
      <c r="E847" s="14" t="s">
        <v>98</v>
      </c>
      <c r="F847" s="14">
        <v>0</v>
      </c>
      <c r="G847" s="14">
        <v>60</v>
      </c>
      <c r="H847" s="31" t="s">
        <v>217</v>
      </c>
      <c r="I847" s="14" t="s">
        <v>75</v>
      </c>
      <c r="J847" s="14" t="s">
        <v>201</v>
      </c>
      <c r="K847" s="14">
        <v>1</v>
      </c>
      <c r="L847" s="14" t="s">
        <v>213</v>
      </c>
      <c r="N847" s="14">
        <v>0</v>
      </c>
      <c r="O847" s="14" t="b">
        <v>1</v>
      </c>
      <c r="Q847" s="14" t="b">
        <v>0</v>
      </c>
      <c r="R847" s="14">
        <v>1</v>
      </c>
      <c r="S847" s="14" t="s">
        <v>77</v>
      </c>
      <c r="T847" s="14">
        <v>999</v>
      </c>
      <c r="U847" s="14" t="s">
        <v>214</v>
      </c>
      <c r="V847" s="14">
        <v>31356000</v>
      </c>
      <c r="X847" s="14" t="s">
        <v>204</v>
      </c>
      <c r="Y847" s="14" t="s">
        <v>215</v>
      </c>
      <c r="Z847" s="14">
        <v>20001</v>
      </c>
      <c r="AA847" s="14" t="s">
        <v>205</v>
      </c>
      <c r="AB847" s="14">
        <v>40001</v>
      </c>
      <c r="AE847" s="29" t="s">
        <v>121</v>
      </c>
      <c r="AF847" s="14" t="s">
        <v>213</v>
      </c>
      <c r="AG847" s="14" t="s">
        <v>98</v>
      </c>
    </row>
    <row r="848" spans="2:33">
      <c r="B848" s="14">
        <f>10000000+INDEX(编号表!$B:$B,MATCH(H848,编号表!$A:$A,0))*100000+INDEX(编号表!$F:$F,MATCH(D848,编号表!$E:$E,0))*10000+INDEX(编号表!$D:$D,MATCH(AG848,编号表!$C:$C,0))*1000+F848</f>
        <v>11356001</v>
      </c>
      <c r="C848" s="14" t="s">
        <v>1008</v>
      </c>
      <c r="D848" s="14" t="s">
        <v>333</v>
      </c>
      <c r="E848" s="14" t="s">
        <v>98</v>
      </c>
      <c r="F848" s="14">
        <v>1</v>
      </c>
      <c r="G848" s="14">
        <v>60</v>
      </c>
      <c r="H848" s="31" t="s">
        <v>217</v>
      </c>
      <c r="I848" s="14" t="s">
        <v>75</v>
      </c>
      <c r="J848" s="14" t="s">
        <v>201</v>
      </c>
      <c r="K848" s="14">
        <v>1</v>
      </c>
      <c r="L848" s="14" t="s">
        <v>213</v>
      </c>
      <c r="N848" s="14">
        <v>0</v>
      </c>
      <c r="O848" s="14" t="b">
        <v>1</v>
      </c>
      <c r="Q848" s="14" t="b">
        <v>0</v>
      </c>
      <c r="R848" s="14">
        <v>1</v>
      </c>
      <c r="S848" s="14" t="s">
        <v>77</v>
      </c>
      <c r="T848" s="14">
        <v>999</v>
      </c>
      <c r="U848" s="14" t="s">
        <v>214</v>
      </c>
      <c r="V848" s="14">
        <v>31356001</v>
      </c>
      <c r="X848" s="14" t="s">
        <v>204</v>
      </c>
      <c r="Y848" s="14" t="s">
        <v>215</v>
      </c>
      <c r="Z848" s="14">
        <v>20001</v>
      </c>
      <c r="AA848" s="14" t="s">
        <v>205</v>
      </c>
      <c r="AB848" s="14">
        <v>40001</v>
      </c>
      <c r="AE848" s="29" t="s">
        <v>121</v>
      </c>
      <c r="AF848" s="14" t="s">
        <v>213</v>
      </c>
      <c r="AG848" s="14" t="s">
        <v>98</v>
      </c>
    </row>
    <row r="849" spans="2:33">
      <c r="B849" s="14">
        <f>10000000+INDEX(编号表!$B:$B,MATCH(H849,编号表!$A:$A,0))*100000+INDEX(编号表!$F:$F,MATCH(D849,编号表!$E:$E,0))*10000+INDEX(编号表!$D:$D,MATCH(AG849,编号表!$C:$C,0))*1000+F849</f>
        <v>11356002</v>
      </c>
      <c r="C849" s="14" t="s">
        <v>1009</v>
      </c>
      <c r="D849" s="14" t="s">
        <v>333</v>
      </c>
      <c r="E849" s="14" t="s">
        <v>98</v>
      </c>
      <c r="F849" s="14">
        <v>2</v>
      </c>
      <c r="G849" s="14">
        <v>60</v>
      </c>
      <c r="H849" s="31" t="s">
        <v>217</v>
      </c>
      <c r="I849" s="14" t="s">
        <v>75</v>
      </c>
      <c r="J849" s="14" t="s">
        <v>201</v>
      </c>
      <c r="K849" s="14">
        <v>1</v>
      </c>
      <c r="L849" s="14" t="s">
        <v>213</v>
      </c>
      <c r="N849" s="14">
        <v>0</v>
      </c>
      <c r="O849" s="14" t="b">
        <v>1</v>
      </c>
      <c r="Q849" s="14" t="b">
        <v>0</v>
      </c>
      <c r="R849" s="14">
        <v>1</v>
      </c>
      <c r="S849" s="14" t="s">
        <v>77</v>
      </c>
      <c r="T849" s="14">
        <v>999</v>
      </c>
      <c r="U849" s="14" t="s">
        <v>214</v>
      </c>
      <c r="V849" s="14">
        <v>31356002</v>
      </c>
      <c r="X849" s="14" t="s">
        <v>204</v>
      </c>
      <c r="Y849" s="14" t="s">
        <v>215</v>
      </c>
      <c r="Z849" s="14">
        <v>20001</v>
      </c>
      <c r="AA849" s="14" t="s">
        <v>205</v>
      </c>
      <c r="AB849" s="14">
        <v>40001</v>
      </c>
      <c r="AE849" s="29" t="s">
        <v>121</v>
      </c>
      <c r="AF849" s="14" t="s">
        <v>213</v>
      </c>
      <c r="AG849" s="14" t="s">
        <v>98</v>
      </c>
    </row>
    <row r="850" spans="2:33">
      <c r="B850" s="14">
        <f>10000000+INDEX(编号表!$B:$B,MATCH(H850,编号表!$A:$A,0))*100000+INDEX(编号表!$F:$F,MATCH(D850,编号表!$E:$E,0))*10000+INDEX(编号表!$D:$D,MATCH(AG850,编号表!$C:$C,0))*1000+F850</f>
        <v>11356003</v>
      </c>
      <c r="C850" s="14" t="s">
        <v>1010</v>
      </c>
      <c r="D850" s="14" t="s">
        <v>333</v>
      </c>
      <c r="E850" s="14" t="s">
        <v>98</v>
      </c>
      <c r="F850" s="14">
        <v>3</v>
      </c>
      <c r="G850" s="14">
        <v>60</v>
      </c>
      <c r="H850" s="31" t="s">
        <v>217</v>
      </c>
      <c r="I850" s="14" t="s">
        <v>75</v>
      </c>
      <c r="J850" s="14" t="s">
        <v>201</v>
      </c>
      <c r="K850" s="14">
        <v>1</v>
      </c>
      <c r="L850" s="14" t="s">
        <v>213</v>
      </c>
      <c r="N850" s="14">
        <v>0</v>
      </c>
      <c r="O850" s="14" t="b">
        <v>1</v>
      </c>
      <c r="Q850" s="14" t="b">
        <v>0</v>
      </c>
      <c r="R850" s="14">
        <v>1</v>
      </c>
      <c r="S850" s="14" t="s">
        <v>77</v>
      </c>
      <c r="T850" s="14">
        <v>999</v>
      </c>
      <c r="U850" s="14" t="s">
        <v>214</v>
      </c>
      <c r="V850" s="14">
        <v>31356003</v>
      </c>
      <c r="X850" s="14" t="s">
        <v>204</v>
      </c>
      <c r="Y850" s="14" t="s">
        <v>215</v>
      </c>
      <c r="Z850" s="14">
        <v>20001</v>
      </c>
      <c r="AA850" s="14" t="s">
        <v>205</v>
      </c>
      <c r="AB850" s="14">
        <v>40001</v>
      </c>
      <c r="AE850" s="29" t="s">
        <v>121</v>
      </c>
      <c r="AF850" s="14" t="s">
        <v>213</v>
      </c>
      <c r="AG850" s="14" t="s">
        <v>98</v>
      </c>
    </row>
    <row r="851" spans="2:33">
      <c r="B851" s="14">
        <f>10000000+INDEX(编号表!$B:$B,MATCH(H851,编号表!$A:$A,0))*100000+INDEX(编号表!$F:$F,MATCH(D851,编号表!$E:$E,0))*10000+INDEX(编号表!$D:$D,MATCH(AG851,编号表!$C:$C,0))*1000+F851</f>
        <v>11356004</v>
      </c>
      <c r="C851" s="14" t="s">
        <v>1011</v>
      </c>
      <c r="D851" s="14" t="s">
        <v>333</v>
      </c>
      <c r="E851" s="14" t="s">
        <v>98</v>
      </c>
      <c r="F851" s="14">
        <v>4</v>
      </c>
      <c r="G851" s="14">
        <v>60</v>
      </c>
      <c r="H851" s="31" t="s">
        <v>217</v>
      </c>
      <c r="I851" s="14" t="s">
        <v>75</v>
      </c>
      <c r="J851" s="14" t="s">
        <v>201</v>
      </c>
      <c r="K851" s="14">
        <v>1</v>
      </c>
      <c r="L851" s="14" t="s">
        <v>213</v>
      </c>
      <c r="N851" s="14">
        <v>0</v>
      </c>
      <c r="O851" s="14" t="b">
        <v>1</v>
      </c>
      <c r="Q851" s="14" t="b">
        <v>0</v>
      </c>
      <c r="R851" s="14">
        <v>1</v>
      </c>
      <c r="S851" s="14" t="s">
        <v>77</v>
      </c>
      <c r="T851" s="14">
        <v>999</v>
      </c>
      <c r="U851" s="14" t="s">
        <v>214</v>
      </c>
      <c r="V851" s="14">
        <v>31356004</v>
      </c>
      <c r="X851" s="14" t="s">
        <v>204</v>
      </c>
      <c r="Y851" s="14" t="s">
        <v>215</v>
      </c>
      <c r="Z851" s="14">
        <v>20001</v>
      </c>
      <c r="AA851" s="14" t="s">
        <v>205</v>
      </c>
      <c r="AB851" s="14">
        <v>40001</v>
      </c>
      <c r="AE851" s="29" t="s">
        <v>121</v>
      </c>
      <c r="AF851" s="14" t="s">
        <v>213</v>
      </c>
      <c r="AG851" s="14" t="s">
        <v>98</v>
      </c>
    </row>
    <row r="852" spans="2:33">
      <c r="B852" s="14">
        <f>10000000+INDEX(编号表!$B:$B,MATCH(H852,编号表!$A:$A,0))*100000+INDEX(编号表!$F:$F,MATCH(D852,编号表!$E:$E,0))*10000+INDEX(编号表!$D:$D,MATCH(AG852,编号表!$C:$C,0))*1000+F852</f>
        <v>11356005</v>
      </c>
      <c r="C852" s="14" t="s">
        <v>1012</v>
      </c>
      <c r="D852" s="14" t="s">
        <v>333</v>
      </c>
      <c r="E852" s="14" t="s">
        <v>98</v>
      </c>
      <c r="F852" s="14">
        <v>5</v>
      </c>
      <c r="G852" s="14">
        <v>60</v>
      </c>
      <c r="H852" s="31" t="s">
        <v>217</v>
      </c>
      <c r="I852" s="14" t="s">
        <v>75</v>
      </c>
      <c r="J852" s="14" t="s">
        <v>201</v>
      </c>
      <c r="K852" s="14">
        <v>1</v>
      </c>
      <c r="L852" s="14" t="s">
        <v>213</v>
      </c>
      <c r="N852" s="14">
        <v>0</v>
      </c>
      <c r="O852" s="14" t="b">
        <v>1</v>
      </c>
      <c r="Q852" s="14" t="b">
        <v>0</v>
      </c>
      <c r="R852" s="14">
        <v>1</v>
      </c>
      <c r="S852" s="14" t="s">
        <v>77</v>
      </c>
      <c r="T852" s="14">
        <v>999</v>
      </c>
      <c r="U852" s="14" t="s">
        <v>214</v>
      </c>
      <c r="V852" s="14">
        <v>31356005</v>
      </c>
      <c r="X852" s="14" t="s">
        <v>204</v>
      </c>
      <c r="Y852" s="14" t="s">
        <v>215</v>
      </c>
      <c r="Z852" s="14">
        <v>20001</v>
      </c>
      <c r="AA852" s="14" t="s">
        <v>205</v>
      </c>
      <c r="AB852" s="14">
        <v>40001</v>
      </c>
      <c r="AE852" s="29" t="s">
        <v>121</v>
      </c>
      <c r="AF852" s="14" t="s">
        <v>213</v>
      </c>
      <c r="AG852" s="14" t="s">
        <v>98</v>
      </c>
    </row>
    <row r="853" spans="2:33">
      <c r="B853" s="14">
        <f>10000000+INDEX(编号表!$B:$B,MATCH(H853,编号表!$A:$A,0))*100000+INDEX(编号表!$F:$F,MATCH(D853,编号表!$E:$E,0))*10000+INDEX(编号表!$D:$D,MATCH(AG853,编号表!$C:$C,0))*1000+F853</f>
        <v>11356006</v>
      </c>
      <c r="C853" s="14" t="s">
        <v>1013</v>
      </c>
      <c r="D853" s="14" t="s">
        <v>333</v>
      </c>
      <c r="E853" s="14" t="s">
        <v>98</v>
      </c>
      <c r="F853" s="14">
        <v>6</v>
      </c>
      <c r="G853" s="14">
        <v>60</v>
      </c>
      <c r="H853" s="31" t="s">
        <v>217</v>
      </c>
      <c r="I853" s="14" t="s">
        <v>75</v>
      </c>
      <c r="J853" s="14" t="s">
        <v>201</v>
      </c>
      <c r="K853" s="14">
        <v>1</v>
      </c>
      <c r="L853" s="14" t="s">
        <v>213</v>
      </c>
      <c r="N853" s="14">
        <v>0</v>
      </c>
      <c r="O853" s="14" t="b">
        <v>1</v>
      </c>
      <c r="Q853" s="14" t="b">
        <v>0</v>
      </c>
      <c r="R853" s="14">
        <v>1</v>
      </c>
      <c r="S853" s="14" t="s">
        <v>77</v>
      </c>
      <c r="T853" s="14">
        <v>999</v>
      </c>
      <c r="U853" s="14" t="s">
        <v>214</v>
      </c>
      <c r="V853" s="14">
        <v>31356006</v>
      </c>
      <c r="X853" s="14" t="s">
        <v>204</v>
      </c>
      <c r="Y853" s="14" t="s">
        <v>215</v>
      </c>
      <c r="Z853" s="14">
        <v>20001</v>
      </c>
      <c r="AA853" s="14" t="s">
        <v>205</v>
      </c>
      <c r="AB853" s="14">
        <v>40001</v>
      </c>
      <c r="AE853" s="29" t="s">
        <v>121</v>
      </c>
      <c r="AF853" s="14" t="s">
        <v>213</v>
      </c>
      <c r="AG853" s="14" t="s">
        <v>98</v>
      </c>
    </row>
    <row r="854" spans="2:33">
      <c r="B854" s="14">
        <f>10000000+INDEX(编号表!$B:$B,MATCH(H854,编号表!$A:$A,0))*100000+INDEX(编号表!$F:$F,MATCH(D854,编号表!$E:$E,0))*10000+INDEX(编号表!$D:$D,MATCH(AG854,编号表!$C:$C,0))*1000+F854</f>
        <v>11356007</v>
      </c>
      <c r="C854" s="14" t="s">
        <v>1014</v>
      </c>
      <c r="D854" s="14" t="s">
        <v>333</v>
      </c>
      <c r="E854" s="14" t="s">
        <v>98</v>
      </c>
      <c r="F854" s="14">
        <v>7</v>
      </c>
      <c r="G854" s="14">
        <v>60</v>
      </c>
      <c r="H854" s="31" t="s">
        <v>217</v>
      </c>
      <c r="I854" s="14" t="s">
        <v>75</v>
      </c>
      <c r="J854" s="14" t="s">
        <v>201</v>
      </c>
      <c r="K854" s="14">
        <v>1</v>
      </c>
      <c r="L854" s="14" t="s">
        <v>213</v>
      </c>
      <c r="N854" s="14">
        <v>0</v>
      </c>
      <c r="O854" s="14" t="b">
        <v>1</v>
      </c>
      <c r="Q854" s="14" t="b">
        <v>0</v>
      </c>
      <c r="R854" s="14">
        <v>1</v>
      </c>
      <c r="S854" s="14" t="s">
        <v>77</v>
      </c>
      <c r="T854" s="14">
        <v>999</v>
      </c>
      <c r="U854" s="14" t="s">
        <v>214</v>
      </c>
      <c r="V854" s="14">
        <v>31356007</v>
      </c>
      <c r="X854" s="14" t="s">
        <v>204</v>
      </c>
      <c r="Y854" s="14" t="s">
        <v>215</v>
      </c>
      <c r="Z854" s="14">
        <v>20001</v>
      </c>
      <c r="AA854" s="14" t="s">
        <v>205</v>
      </c>
      <c r="AB854" s="14">
        <v>40001</v>
      </c>
      <c r="AE854" s="29" t="s">
        <v>121</v>
      </c>
      <c r="AF854" s="14" t="s">
        <v>213</v>
      </c>
      <c r="AG854" s="14" t="s">
        <v>98</v>
      </c>
    </row>
    <row r="855" spans="2:33">
      <c r="B855" s="14">
        <f>10000000+INDEX(编号表!$B:$B,MATCH(H855,编号表!$A:$A,0))*100000+INDEX(编号表!$F:$F,MATCH(D855,编号表!$E:$E,0))*10000+INDEX(编号表!$D:$D,MATCH(AG855,编号表!$C:$C,0))*1000+F855</f>
        <v>11356008</v>
      </c>
      <c r="C855" s="14" t="s">
        <v>1015</v>
      </c>
      <c r="D855" s="14" t="s">
        <v>333</v>
      </c>
      <c r="E855" s="14" t="s">
        <v>98</v>
      </c>
      <c r="F855" s="14">
        <v>8</v>
      </c>
      <c r="G855" s="14">
        <v>60</v>
      </c>
      <c r="H855" s="31" t="s">
        <v>217</v>
      </c>
      <c r="I855" s="14" t="s">
        <v>75</v>
      </c>
      <c r="J855" s="14" t="s">
        <v>201</v>
      </c>
      <c r="K855" s="14">
        <v>1</v>
      </c>
      <c r="L855" s="14" t="s">
        <v>213</v>
      </c>
      <c r="N855" s="14">
        <v>0</v>
      </c>
      <c r="O855" s="14" t="b">
        <v>1</v>
      </c>
      <c r="Q855" s="14" t="b">
        <v>0</v>
      </c>
      <c r="R855" s="14">
        <v>1</v>
      </c>
      <c r="S855" s="14" t="s">
        <v>77</v>
      </c>
      <c r="T855" s="14">
        <v>999</v>
      </c>
      <c r="U855" s="14" t="s">
        <v>214</v>
      </c>
      <c r="V855" s="14">
        <v>31356008</v>
      </c>
      <c r="X855" s="14" t="s">
        <v>204</v>
      </c>
      <c r="Y855" s="14" t="s">
        <v>215</v>
      </c>
      <c r="Z855" s="14">
        <v>20001</v>
      </c>
      <c r="AA855" s="14" t="s">
        <v>205</v>
      </c>
      <c r="AB855" s="14">
        <v>40001</v>
      </c>
      <c r="AE855" s="29" t="s">
        <v>121</v>
      </c>
      <c r="AF855" s="14" t="s">
        <v>213</v>
      </c>
      <c r="AG855" s="14" t="s">
        <v>98</v>
      </c>
    </row>
    <row r="856" spans="2:33">
      <c r="B856" s="14">
        <f>10000000+INDEX(编号表!$B:$B,MATCH(H856,编号表!$A:$A,0))*100000+INDEX(编号表!$F:$F,MATCH(D856,编号表!$E:$E,0))*10000+INDEX(编号表!$D:$D,MATCH(AG856,编号表!$C:$C,0))*1000+F856</f>
        <v>11356009</v>
      </c>
      <c r="C856" s="14" t="s">
        <v>1016</v>
      </c>
      <c r="D856" s="14" t="s">
        <v>333</v>
      </c>
      <c r="E856" s="14" t="s">
        <v>98</v>
      </c>
      <c r="F856" s="14">
        <v>9</v>
      </c>
      <c r="G856" s="14">
        <v>60</v>
      </c>
      <c r="H856" s="31" t="s">
        <v>217</v>
      </c>
      <c r="I856" s="14" t="s">
        <v>75</v>
      </c>
      <c r="J856" s="14" t="s">
        <v>201</v>
      </c>
      <c r="K856" s="14">
        <v>1</v>
      </c>
      <c r="L856" s="14" t="s">
        <v>213</v>
      </c>
      <c r="N856" s="14">
        <v>0</v>
      </c>
      <c r="O856" s="14" t="b">
        <v>1</v>
      </c>
      <c r="Q856" s="14" t="b">
        <v>0</v>
      </c>
      <c r="R856" s="14">
        <v>1</v>
      </c>
      <c r="S856" s="14" t="s">
        <v>77</v>
      </c>
      <c r="T856" s="14">
        <v>999</v>
      </c>
      <c r="U856" s="14" t="s">
        <v>214</v>
      </c>
      <c r="V856" s="14">
        <v>31356009</v>
      </c>
      <c r="X856" s="14" t="s">
        <v>204</v>
      </c>
      <c r="Y856" s="14" t="s">
        <v>215</v>
      </c>
      <c r="Z856" s="14">
        <v>20001</v>
      </c>
      <c r="AA856" s="14" t="s">
        <v>205</v>
      </c>
      <c r="AB856" s="14">
        <v>40001</v>
      </c>
      <c r="AE856" s="29" t="s">
        <v>121</v>
      </c>
      <c r="AF856" s="14" t="s">
        <v>213</v>
      </c>
      <c r="AG856" s="14" t="s">
        <v>98</v>
      </c>
    </row>
    <row r="857" spans="2:33">
      <c r="B857" s="14">
        <f>10000000+INDEX(编号表!$B:$B,MATCH(H857,编号表!$A:$A,0))*100000+INDEX(编号表!$F:$F,MATCH(D857,编号表!$E:$E,0))*10000+INDEX(编号表!$D:$D,MATCH(AG857,编号表!$C:$C,0))*1000+F857</f>
        <v>11556000</v>
      </c>
      <c r="C857" s="14" t="s">
        <v>1017</v>
      </c>
      <c r="D857" s="14" t="s">
        <v>333</v>
      </c>
      <c r="E857" s="14" t="s">
        <v>98</v>
      </c>
      <c r="F857" s="14">
        <v>0</v>
      </c>
      <c r="G857" s="14">
        <v>60</v>
      </c>
      <c r="H857" s="31" t="s">
        <v>228</v>
      </c>
      <c r="I857" s="14" t="s">
        <v>75</v>
      </c>
      <c r="J857" s="14" t="s">
        <v>201</v>
      </c>
      <c r="K857" s="14">
        <v>1</v>
      </c>
      <c r="L857" s="14" t="s">
        <v>213</v>
      </c>
      <c r="N857" s="14">
        <v>0</v>
      </c>
      <c r="O857" s="14" t="b">
        <v>1</v>
      </c>
      <c r="Q857" s="14" t="b">
        <v>0</v>
      </c>
      <c r="R857" s="14">
        <v>1</v>
      </c>
      <c r="S857" s="14" t="s">
        <v>77</v>
      </c>
      <c r="T857" s="14">
        <v>999</v>
      </c>
      <c r="U857" s="14" t="s">
        <v>214</v>
      </c>
      <c r="V857" s="14">
        <v>31556000</v>
      </c>
      <c r="X857" s="14" t="s">
        <v>204</v>
      </c>
      <c r="Y857" s="14" t="s">
        <v>215</v>
      </c>
      <c r="Z857" s="14">
        <v>20001</v>
      </c>
      <c r="AA857" s="14" t="s">
        <v>205</v>
      </c>
      <c r="AB857" s="14">
        <v>40001</v>
      </c>
      <c r="AE857" s="29" t="s">
        <v>121</v>
      </c>
      <c r="AF857" s="14" t="s">
        <v>213</v>
      </c>
      <c r="AG857" s="14" t="s">
        <v>98</v>
      </c>
    </row>
    <row r="858" spans="2:33">
      <c r="B858" s="14">
        <f>10000000+INDEX(编号表!$B:$B,MATCH(H858,编号表!$A:$A,0))*100000+INDEX(编号表!$F:$F,MATCH(D858,编号表!$E:$E,0))*10000+INDEX(编号表!$D:$D,MATCH(AG858,编号表!$C:$C,0))*1000+F858</f>
        <v>11556001</v>
      </c>
      <c r="C858" s="14" t="s">
        <v>1018</v>
      </c>
      <c r="D858" s="14" t="s">
        <v>333</v>
      </c>
      <c r="E858" s="14" t="s">
        <v>98</v>
      </c>
      <c r="F858" s="14">
        <v>1</v>
      </c>
      <c r="G858" s="14">
        <v>60</v>
      </c>
      <c r="H858" s="31" t="s">
        <v>228</v>
      </c>
      <c r="I858" s="14" t="s">
        <v>75</v>
      </c>
      <c r="J858" s="14" t="s">
        <v>201</v>
      </c>
      <c r="K858" s="14">
        <v>1</v>
      </c>
      <c r="L858" s="14" t="s">
        <v>213</v>
      </c>
      <c r="N858" s="14">
        <v>0</v>
      </c>
      <c r="O858" s="14" t="b">
        <v>1</v>
      </c>
      <c r="Q858" s="14" t="b">
        <v>0</v>
      </c>
      <c r="R858" s="14">
        <v>1</v>
      </c>
      <c r="S858" s="14" t="s">
        <v>77</v>
      </c>
      <c r="T858" s="14">
        <v>999</v>
      </c>
      <c r="U858" s="14" t="s">
        <v>214</v>
      </c>
      <c r="V858" s="14">
        <v>31556001</v>
      </c>
      <c r="X858" s="14" t="s">
        <v>204</v>
      </c>
      <c r="Y858" s="14" t="s">
        <v>215</v>
      </c>
      <c r="Z858" s="14">
        <v>20001</v>
      </c>
      <c r="AA858" s="14" t="s">
        <v>205</v>
      </c>
      <c r="AB858" s="14">
        <v>40001</v>
      </c>
      <c r="AE858" s="29" t="s">
        <v>121</v>
      </c>
      <c r="AF858" s="14" t="s">
        <v>213</v>
      </c>
      <c r="AG858" s="14" t="s">
        <v>98</v>
      </c>
    </row>
    <row r="859" spans="2:33">
      <c r="B859" s="14">
        <f>10000000+INDEX(编号表!$B:$B,MATCH(H859,编号表!$A:$A,0))*100000+INDEX(编号表!$F:$F,MATCH(D859,编号表!$E:$E,0))*10000+INDEX(编号表!$D:$D,MATCH(AG859,编号表!$C:$C,0))*1000+F859</f>
        <v>11556002</v>
      </c>
      <c r="C859" s="14" t="s">
        <v>1019</v>
      </c>
      <c r="D859" s="14" t="s">
        <v>333</v>
      </c>
      <c r="E859" s="14" t="s">
        <v>98</v>
      </c>
      <c r="F859" s="14">
        <v>2</v>
      </c>
      <c r="G859" s="14">
        <v>60</v>
      </c>
      <c r="H859" s="31" t="s">
        <v>228</v>
      </c>
      <c r="I859" s="14" t="s">
        <v>75</v>
      </c>
      <c r="J859" s="14" t="s">
        <v>201</v>
      </c>
      <c r="K859" s="14">
        <v>1</v>
      </c>
      <c r="L859" s="14" t="s">
        <v>213</v>
      </c>
      <c r="N859" s="14">
        <v>0</v>
      </c>
      <c r="O859" s="14" t="b">
        <v>1</v>
      </c>
      <c r="Q859" s="14" t="b">
        <v>0</v>
      </c>
      <c r="R859" s="14">
        <v>1</v>
      </c>
      <c r="S859" s="14" t="s">
        <v>77</v>
      </c>
      <c r="T859" s="14">
        <v>999</v>
      </c>
      <c r="U859" s="14" t="s">
        <v>214</v>
      </c>
      <c r="V859" s="14">
        <v>31556002</v>
      </c>
      <c r="X859" s="14" t="s">
        <v>204</v>
      </c>
      <c r="Y859" s="14" t="s">
        <v>215</v>
      </c>
      <c r="Z859" s="14">
        <v>20001</v>
      </c>
      <c r="AA859" s="14" t="s">
        <v>205</v>
      </c>
      <c r="AB859" s="14">
        <v>40001</v>
      </c>
      <c r="AE859" s="29" t="s">
        <v>121</v>
      </c>
      <c r="AF859" s="14" t="s">
        <v>213</v>
      </c>
      <c r="AG859" s="14" t="s">
        <v>98</v>
      </c>
    </row>
    <row r="860" spans="2:33">
      <c r="B860" s="14">
        <f>10000000+INDEX(编号表!$B:$B,MATCH(H860,编号表!$A:$A,0))*100000+INDEX(编号表!$F:$F,MATCH(D860,编号表!$E:$E,0))*10000+INDEX(编号表!$D:$D,MATCH(AG860,编号表!$C:$C,0))*1000+F860</f>
        <v>11556003</v>
      </c>
      <c r="C860" s="14" t="s">
        <v>1020</v>
      </c>
      <c r="D860" s="14" t="s">
        <v>333</v>
      </c>
      <c r="E860" s="14" t="s">
        <v>98</v>
      </c>
      <c r="F860" s="14">
        <v>3</v>
      </c>
      <c r="G860" s="14">
        <v>60</v>
      </c>
      <c r="H860" s="31" t="s">
        <v>228</v>
      </c>
      <c r="I860" s="14" t="s">
        <v>75</v>
      </c>
      <c r="J860" s="14" t="s">
        <v>201</v>
      </c>
      <c r="K860" s="14">
        <v>1</v>
      </c>
      <c r="L860" s="14" t="s">
        <v>213</v>
      </c>
      <c r="N860" s="14">
        <v>0</v>
      </c>
      <c r="O860" s="14" t="b">
        <v>1</v>
      </c>
      <c r="Q860" s="14" t="b">
        <v>0</v>
      </c>
      <c r="R860" s="14">
        <v>1</v>
      </c>
      <c r="S860" s="14" t="s">
        <v>77</v>
      </c>
      <c r="T860" s="14">
        <v>999</v>
      </c>
      <c r="U860" s="14" t="s">
        <v>214</v>
      </c>
      <c r="V860" s="14">
        <v>31556003</v>
      </c>
      <c r="X860" s="14" t="s">
        <v>204</v>
      </c>
      <c r="Y860" s="14" t="s">
        <v>215</v>
      </c>
      <c r="Z860" s="14">
        <v>20001</v>
      </c>
      <c r="AA860" s="14" t="s">
        <v>205</v>
      </c>
      <c r="AB860" s="14">
        <v>40001</v>
      </c>
      <c r="AE860" s="29" t="s">
        <v>121</v>
      </c>
      <c r="AF860" s="14" t="s">
        <v>213</v>
      </c>
      <c r="AG860" s="14" t="s">
        <v>98</v>
      </c>
    </row>
    <row r="861" spans="2:33">
      <c r="B861" s="14">
        <f>10000000+INDEX(编号表!$B:$B,MATCH(H861,编号表!$A:$A,0))*100000+INDEX(编号表!$F:$F,MATCH(D861,编号表!$E:$E,0))*10000+INDEX(编号表!$D:$D,MATCH(AG861,编号表!$C:$C,0))*1000+F861</f>
        <v>11556004</v>
      </c>
      <c r="C861" s="14" t="s">
        <v>1021</v>
      </c>
      <c r="D861" s="14" t="s">
        <v>333</v>
      </c>
      <c r="E861" s="14" t="s">
        <v>98</v>
      </c>
      <c r="F861" s="14">
        <v>4</v>
      </c>
      <c r="G861" s="14">
        <v>60</v>
      </c>
      <c r="H861" s="31" t="s">
        <v>228</v>
      </c>
      <c r="I861" s="14" t="s">
        <v>75</v>
      </c>
      <c r="J861" s="14" t="s">
        <v>201</v>
      </c>
      <c r="K861" s="14">
        <v>1</v>
      </c>
      <c r="L861" s="14" t="s">
        <v>213</v>
      </c>
      <c r="N861" s="14">
        <v>0</v>
      </c>
      <c r="O861" s="14" t="b">
        <v>1</v>
      </c>
      <c r="Q861" s="14" t="b">
        <v>0</v>
      </c>
      <c r="R861" s="14">
        <v>1</v>
      </c>
      <c r="S861" s="14" t="s">
        <v>77</v>
      </c>
      <c r="T861" s="14">
        <v>999</v>
      </c>
      <c r="U861" s="14" t="s">
        <v>214</v>
      </c>
      <c r="V861" s="14">
        <v>31556004</v>
      </c>
      <c r="X861" s="14" t="s">
        <v>204</v>
      </c>
      <c r="Y861" s="14" t="s">
        <v>215</v>
      </c>
      <c r="Z861" s="14">
        <v>20001</v>
      </c>
      <c r="AA861" s="14" t="s">
        <v>205</v>
      </c>
      <c r="AB861" s="14">
        <v>40001</v>
      </c>
      <c r="AE861" s="29" t="s">
        <v>121</v>
      </c>
      <c r="AF861" s="14" t="s">
        <v>213</v>
      </c>
      <c r="AG861" s="14" t="s">
        <v>98</v>
      </c>
    </row>
    <row r="862" spans="2:33">
      <c r="B862" s="14">
        <f>10000000+INDEX(编号表!$B:$B,MATCH(H862,编号表!$A:$A,0))*100000+INDEX(编号表!$F:$F,MATCH(D862,编号表!$E:$E,0))*10000+INDEX(编号表!$D:$D,MATCH(AG862,编号表!$C:$C,0))*1000+F862</f>
        <v>11556005</v>
      </c>
      <c r="C862" s="14" t="s">
        <v>1022</v>
      </c>
      <c r="D862" s="14" t="s">
        <v>333</v>
      </c>
      <c r="E862" s="14" t="s">
        <v>98</v>
      </c>
      <c r="F862" s="14">
        <v>5</v>
      </c>
      <c r="G862" s="14">
        <v>60</v>
      </c>
      <c r="H862" s="31" t="s">
        <v>228</v>
      </c>
      <c r="I862" s="14" t="s">
        <v>75</v>
      </c>
      <c r="J862" s="14" t="s">
        <v>201</v>
      </c>
      <c r="K862" s="14">
        <v>1</v>
      </c>
      <c r="L862" s="14" t="s">
        <v>213</v>
      </c>
      <c r="N862" s="14">
        <v>0</v>
      </c>
      <c r="O862" s="14" t="b">
        <v>1</v>
      </c>
      <c r="Q862" s="14" t="b">
        <v>0</v>
      </c>
      <c r="R862" s="14">
        <v>1</v>
      </c>
      <c r="S862" s="14" t="s">
        <v>77</v>
      </c>
      <c r="T862" s="14">
        <v>999</v>
      </c>
      <c r="U862" s="14" t="s">
        <v>214</v>
      </c>
      <c r="V862" s="14">
        <v>31556005</v>
      </c>
      <c r="X862" s="14" t="s">
        <v>204</v>
      </c>
      <c r="Y862" s="14" t="s">
        <v>215</v>
      </c>
      <c r="Z862" s="14">
        <v>20001</v>
      </c>
      <c r="AA862" s="14" t="s">
        <v>205</v>
      </c>
      <c r="AB862" s="14">
        <v>40001</v>
      </c>
      <c r="AE862" s="29" t="s">
        <v>121</v>
      </c>
      <c r="AF862" s="14" t="s">
        <v>213</v>
      </c>
      <c r="AG862" s="14" t="s">
        <v>98</v>
      </c>
    </row>
    <row r="863" spans="2:33">
      <c r="B863" s="14">
        <f>10000000+INDEX(编号表!$B:$B,MATCH(H863,编号表!$A:$A,0))*100000+INDEX(编号表!$F:$F,MATCH(D863,编号表!$E:$E,0))*10000+INDEX(编号表!$D:$D,MATCH(AG863,编号表!$C:$C,0))*1000+F863</f>
        <v>11556006</v>
      </c>
      <c r="C863" s="14" t="s">
        <v>1023</v>
      </c>
      <c r="D863" s="14" t="s">
        <v>333</v>
      </c>
      <c r="E863" s="14" t="s">
        <v>98</v>
      </c>
      <c r="F863" s="14">
        <v>6</v>
      </c>
      <c r="G863" s="14">
        <v>60</v>
      </c>
      <c r="H863" s="31" t="s">
        <v>228</v>
      </c>
      <c r="I863" s="14" t="s">
        <v>75</v>
      </c>
      <c r="J863" s="14" t="s">
        <v>201</v>
      </c>
      <c r="K863" s="14">
        <v>1</v>
      </c>
      <c r="L863" s="14" t="s">
        <v>213</v>
      </c>
      <c r="N863" s="14">
        <v>0</v>
      </c>
      <c r="O863" s="14" t="b">
        <v>1</v>
      </c>
      <c r="Q863" s="14" t="b">
        <v>0</v>
      </c>
      <c r="R863" s="14">
        <v>1</v>
      </c>
      <c r="S863" s="14" t="s">
        <v>77</v>
      </c>
      <c r="T863" s="14">
        <v>999</v>
      </c>
      <c r="U863" s="14" t="s">
        <v>214</v>
      </c>
      <c r="V863" s="14">
        <v>31556006</v>
      </c>
      <c r="X863" s="14" t="s">
        <v>204</v>
      </c>
      <c r="Y863" s="14" t="s">
        <v>215</v>
      </c>
      <c r="Z863" s="14">
        <v>20001</v>
      </c>
      <c r="AA863" s="14" t="s">
        <v>205</v>
      </c>
      <c r="AB863" s="14">
        <v>40001</v>
      </c>
      <c r="AE863" s="29" t="s">
        <v>121</v>
      </c>
      <c r="AF863" s="14" t="s">
        <v>213</v>
      </c>
      <c r="AG863" s="14" t="s">
        <v>98</v>
      </c>
    </row>
    <row r="864" spans="2:33">
      <c r="B864" s="14">
        <f>10000000+INDEX(编号表!$B:$B,MATCH(H864,编号表!$A:$A,0))*100000+INDEX(编号表!$F:$F,MATCH(D864,编号表!$E:$E,0))*10000+INDEX(编号表!$D:$D,MATCH(AG864,编号表!$C:$C,0))*1000+F864</f>
        <v>11556007</v>
      </c>
      <c r="C864" s="14" t="s">
        <v>1024</v>
      </c>
      <c r="D864" s="14" t="s">
        <v>333</v>
      </c>
      <c r="E864" s="14" t="s">
        <v>98</v>
      </c>
      <c r="F864" s="14">
        <v>7</v>
      </c>
      <c r="G864" s="14">
        <v>60</v>
      </c>
      <c r="H864" s="31" t="s">
        <v>228</v>
      </c>
      <c r="I864" s="14" t="s">
        <v>75</v>
      </c>
      <c r="J864" s="14" t="s">
        <v>201</v>
      </c>
      <c r="K864" s="14">
        <v>1</v>
      </c>
      <c r="L864" s="14" t="s">
        <v>213</v>
      </c>
      <c r="N864" s="14">
        <v>0</v>
      </c>
      <c r="O864" s="14" t="b">
        <v>1</v>
      </c>
      <c r="Q864" s="14" t="b">
        <v>0</v>
      </c>
      <c r="R864" s="14">
        <v>1</v>
      </c>
      <c r="S864" s="14" t="s">
        <v>77</v>
      </c>
      <c r="T864" s="14">
        <v>999</v>
      </c>
      <c r="U864" s="14" t="s">
        <v>214</v>
      </c>
      <c r="V864" s="14">
        <v>31556007</v>
      </c>
      <c r="X864" s="14" t="s">
        <v>204</v>
      </c>
      <c r="Y864" s="14" t="s">
        <v>215</v>
      </c>
      <c r="Z864" s="14">
        <v>20001</v>
      </c>
      <c r="AA864" s="14" t="s">
        <v>205</v>
      </c>
      <c r="AB864" s="14">
        <v>40001</v>
      </c>
      <c r="AE864" s="29" t="s">
        <v>121</v>
      </c>
      <c r="AF864" s="14" t="s">
        <v>213</v>
      </c>
      <c r="AG864" s="14" t="s">
        <v>98</v>
      </c>
    </row>
    <row r="865" spans="2:33">
      <c r="B865" s="14">
        <f>10000000+INDEX(编号表!$B:$B,MATCH(H865,编号表!$A:$A,0))*100000+INDEX(编号表!$F:$F,MATCH(D865,编号表!$E:$E,0))*10000+INDEX(编号表!$D:$D,MATCH(AG865,编号表!$C:$C,0))*1000+F865</f>
        <v>11556008</v>
      </c>
      <c r="C865" s="14" t="s">
        <v>1025</v>
      </c>
      <c r="D865" s="14" t="s">
        <v>333</v>
      </c>
      <c r="E865" s="14" t="s">
        <v>98</v>
      </c>
      <c r="F865" s="14">
        <v>8</v>
      </c>
      <c r="G865" s="14">
        <v>60</v>
      </c>
      <c r="H865" s="31" t="s">
        <v>228</v>
      </c>
      <c r="I865" s="14" t="s">
        <v>75</v>
      </c>
      <c r="J865" s="14" t="s">
        <v>201</v>
      </c>
      <c r="K865" s="14">
        <v>1</v>
      </c>
      <c r="L865" s="14" t="s">
        <v>213</v>
      </c>
      <c r="N865" s="14">
        <v>0</v>
      </c>
      <c r="O865" s="14" t="b">
        <v>1</v>
      </c>
      <c r="Q865" s="14" t="b">
        <v>0</v>
      </c>
      <c r="R865" s="14">
        <v>1</v>
      </c>
      <c r="S865" s="14" t="s">
        <v>77</v>
      </c>
      <c r="T865" s="14">
        <v>999</v>
      </c>
      <c r="U865" s="14" t="s">
        <v>214</v>
      </c>
      <c r="V865" s="14">
        <v>31556008</v>
      </c>
      <c r="X865" s="14" t="s">
        <v>204</v>
      </c>
      <c r="Y865" s="14" t="s">
        <v>215</v>
      </c>
      <c r="Z865" s="14">
        <v>20001</v>
      </c>
      <c r="AA865" s="14" t="s">
        <v>205</v>
      </c>
      <c r="AB865" s="14">
        <v>40001</v>
      </c>
      <c r="AE865" s="29" t="s">
        <v>121</v>
      </c>
      <c r="AF865" s="14" t="s">
        <v>213</v>
      </c>
      <c r="AG865" s="14" t="s">
        <v>98</v>
      </c>
    </row>
    <row r="866" spans="2:33">
      <c r="B866" s="14">
        <f>10000000+INDEX(编号表!$B:$B,MATCH(H866,编号表!$A:$A,0))*100000+INDEX(编号表!$F:$F,MATCH(D866,编号表!$E:$E,0))*10000+INDEX(编号表!$D:$D,MATCH(AG866,编号表!$C:$C,0))*1000+F866</f>
        <v>11556009</v>
      </c>
      <c r="C866" s="14" t="s">
        <v>1026</v>
      </c>
      <c r="D866" s="14" t="s">
        <v>333</v>
      </c>
      <c r="E866" s="14" t="s">
        <v>98</v>
      </c>
      <c r="F866" s="14">
        <v>9</v>
      </c>
      <c r="G866" s="14">
        <v>60</v>
      </c>
      <c r="H866" s="31" t="s">
        <v>228</v>
      </c>
      <c r="I866" s="14" t="s">
        <v>75</v>
      </c>
      <c r="J866" s="14" t="s">
        <v>201</v>
      </c>
      <c r="K866" s="14">
        <v>1</v>
      </c>
      <c r="L866" s="14" t="s">
        <v>213</v>
      </c>
      <c r="N866" s="14">
        <v>0</v>
      </c>
      <c r="O866" s="14" t="b">
        <v>1</v>
      </c>
      <c r="Q866" s="14" t="b">
        <v>0</v>
      </c>
      <c r="R866" s="14">
        <v>1</v>
      </c>
      <c r="S866" s="14" t="s">
        <v>77</v>
      </c>
      <c r="T866" s="14">
        <v>999</v>
      </c>
      <c r="U866" s="14" t="s">
        <v>214</v>
      </c>
      <c r="V866" s="14">
        <v>31556009</v>
      </c>
      <c r="X866" s="14" t="s">
        <v>204</v>
      </c>
      <c r="Y866" s="14" t="s">
        <v>215</v>
      </c>
      <c r="Z866" s="14">
        <v>20001</v>
      </c>
      <c r="AA866" s="14" t="s">
        <v>205</v>
      </c>
      <c r="AB866" s="14">
        <v>40001</v>
      </c>
      <c r="AE866" s="29" t="s">
        <v>121</v>
      </c>
      <c r="AF866" s="14" t="s">
        <v>213</v>
      </c>
      <c r="AG866" s="14" t="s">
        <v>98</v>
      </c>
    </row>
    <row r="867" spans="2:33">
      <c r="B867" s="14">
        <f>10000000+INDEX(编号表!$B:$B,MATCH(H867,编号表!$A:$A,0))*100000+INDEX(编号表!$F:$F,MATCH(D867,编号表!$E:$E,0))*10000+INDEX(编号表!$D:$D,MATCH(AG867,编号表!$C:$C,0))*1000+F867</f>
        <v>11456000</v>
      </c>
      <c r="C867" s="14" t="s">
        <v>1027</v>
      </c>
      <c r="D867" s="14" t="s">
        <v>333</v>
      </c>
      <c r="E867" s="14" t="s">
        <v>98</v>
      </c>
      <c r="F867" s="14">
        <v>0</v>
      </c>
      <c r="G867" s="14">
        <v>60</v>
      </c>
      <c r="H867" s="31" t="s">
        <v>239</v>
      </c>
      <c r="I867" s="14" t="s">
        <v>75</v>
      </c>
      <c r="J867" s="14" t="s">
        <v>201</v>
      </c>
      <c r="K867" s="14">
        <v>1</v>
      </c>
      <c r="L867" s="14" t="s">
        <v>213</v>
      </c>
      <c r="N867" s="14">
        <v>0</v>
      </c>
      <c r="O867" s="14" t="b">
        <v>1</v>
      </c>
      <c r="Q867" s="14" t="b">
        <v>0</v>
      </c>
      <c r="R867" s="14">
        <v>1</v>
      </c>
      <c r="S867" s="14" t="s">
        <v>77</v>
      </c>
      <c r="T867" s="14">
        <v>999</v>
      </c>
      <c r="U867" s="14" t="s">
        <v>214</v>
      </c>
      <c r="V867" s="14">
        <v>31456000</v>
      </c>
      <c r="X867" s="14" t="s">
        <v>204</v>
      </c>
      <c r="Y867" s="14" t="s">
        <v>215</v>
      </c>
      <c r="Z867" s="14">
        <v>20001</v>
      </c>
      <c r="AA867" s="14" t="s">
        <v>205</v>
      </c>
      <c r="AB867" s="14">
        <v>40001</v>
      </c>
      <c r="AE867" s="29" t="s">
        <v>121</v>
      </c>
      <c r="AF867" s="14" t="s">
        <v>213</v>
      </c>
      <c r="AG867" s="14" t="s">
        <v>98</v>
      </c>
    </row>
    <row r="868" spans="2:33">
      <c r="B868" s="14">
        <f>10000000+INDEX(编号表!$B:$B,MATCH(H868,编号表!$A:$A,0))*100000+INDEX(编号表!$F:$F,MATCH(D868,编号表!$E:$E,0))*10000+INDEX(编号表!$D:$D,MATCH(AG868,编号表!$C:$C,0))*1000+F868</f>
        <v>11456001</v>
      </c>
      <c r="C868" s="14" t="s">
        <v>1028</v>
      </c>
      <c r="D868" s="14" t="s">
        <v>333</v>
      </c>
      <c r="E868" s="14" t="s">
        <v>98</v>
      </c>
      <c r="F868" s="14">
        <v>1</v>
      </c>
      <c r="G868" s="14">
        <v>60</v>
      </c>
      <c r="H868" s="31" t="s">
        <v>239</v>
      </c>
      <c r="I868" s="14" t="s">
        <v>75</v>
      </c>
      <c r="J868" s="14" t="s">
        <v>201</v>
      </c>
      <c r="K868" s="14">
        <v>1</v>
      </c>
      <c r="L868" s="14" t="s">
        <v>213</v>
      </c>
      <c r="N868" s="14">
        <v>0</v>
      </c>
      <c r="O868" s="14" t="b">
        <v>1</v>
      </c>
      <c r="Q868" s="14" t="b">
        <v>0</v>
      </c>
      <c r="R868" s="14">
        <v>1</v>
      </c>
      <c r="S868" s="14" t="s">
        <v>77</v>
      </c>
      <c r="T868" s="14">
        <v>999</v>
      </c>
      <c r="U868" s="14" t="s">
        <v>214</v>
      </c>
      <c r="V868" s="14">
        <v>31456001</v>
      </c>
      <c r="X868" s="14" t="s">
        <v>204</v>
      </c>
      <c r="Y868" s="14" t="s">
        <v>215</v>
      </c>
      <c r="Z868" s="14">
        <v>20001</v>
      </c>
      <c r="AA868" s="14" t="s">
        <v>205</v>
      </c>
      <c r="AB868" s="14">
        <v>40001</v>
      </c>
      <c r="AE868" s="29" t="s">
        <v>121</v>
      </c>
      <c r="AF868" s="14" t="s">
        <v>213</v>
      </c>
      <c r="AG868" s="14" t="s">
        <v>98</v>
      </c>
    </row>
    <row r="869" spans="2:33">
      <c r="B869" s="14">
        <f>10000000+INDEX(编号表!$B:$B,MATCH(H869,编号表!$A:$A,0))*100000+INDEX(编号表!$F:$F,MATCH(D869,编号表!$E:$E,0))*10000+INDEX(编号表!$D:$D,MATCH(AG869,编号表!$C:$C,0))*1000+F869</f>
        <v>11456002</v>
      </c>
      <c r="C869" s="14" t="s">
        <v>1029</v>
      </c>
      <c r="D869" s="14" t="s">
        <v>333</v>
      </c>
      <c r="E869" s="14" t="s">
        <v>98</v>
      </c>
      <c r="F869" s="14">
        <v>2</v>
      </c>
      <c r="G869" s="14">
        <v>60</v>
      </c>
      <c r="H869" s="31" t="s">
        <v>239</v>
      </c>
      <c r="I869" s="14" t="s">
        <v>75</v>
      </c>
      <c r="J869" s="14" t="s">
        <v>201</v>
      </c>
      <c r="K869" s="14">
        <v>1</v>
      </c>
      <c r="L869" s="14" t="s">
        <v>213</v>
      </c>
      <c r="N869" s="14">
        <v>0</v>
      </c>
      <c r="O869" s="14" t="b">
        <v>1</v>
      </c>
      <c r="Q869" s="14" t="b">
        <v>0</v>
      </c>
      <c r="R869" s="14">
        <v>1</v>
      </c>
      <c r="S869" s="14" t="s">
        <v>77</v>
      </c>
      <c r="T869" s="14">
        <v>999</v>
      </c>
      <c r="U869" s="14" t="s">
        <v>214</v>
      </c>
      <c r="V869" s="14">
        <v>31456002</v>
      </c>
      <c r="X869" s="14" t="s">
        <v>204</v>
      </c>
      <c r="Y869" s="14" t="s">
        <v>215</v>
      </c>
      <c r="Z869" s="14">
        <v>20001</v>
      </c>
      <c r="AA869" s="14" t="s">
        <v>205</v>
      </c>
      <c r="AB869" s="14">
        <v>40001</v>
      </c>
      <c r="AE869" s="29" t="s">
        <v>121</v>
      </c>
      <c r="AF869" s="14" t="s">
        <v>213</v>
      </c>
      <c r="AG869" s="14" t="s">
        <v>98</v>
      </c>
    </row>
    <row r="870" spans="2:33">
      <c r="B870" s="14">
        <f>10000000+INDEX(编号表!$B:$B,MATCH(H870,编号表!$A:$A,0))*100000+INDEX(编号表!$F:$F,MATCH(D870,编号表!$E:$E,0))*10000+INDEX(编号表!$D:$D,MATCH(AG870,编号表!$C:$C,0))*1000+F870</f>
        <v>11456003</v>
      </c>
      <c r="C870" s="14" t="s">
        <v>1030</v>
      </c>
      <c r="D870" s="14" t="s">
        <v>333</v>
      </c>
      <c r="E870" s="14" t="s">
        <v>98</v>
      </c>
      <c r="F870" s="14">
        <v>3</v>
      </c>
      <c r="G870" s="14">
        <v>60</v>
      </c>
      <c r="H870" s="31" t="s">
        <v>239</v>
      </c>
      <c r="I870" s="14" t="s">
        <v>75</v>
      </c>
      <c r="J870" s="14" t="s">
        <v>201</v>
      </c>
      <c r="K870" s="14">
        <v>1</v>
      </c>
      <c r="L870" s="14" t="s">
        <v>213</v>
      </c>
      <c r="N870" s="14">
        <v>0</v>
      </c>
      <c r="O870" s="14" t="b">
        <v>1</v>
      </c>
      <c r="Q870" s="14" t="b">
        <v>0</v>
      </c>
      <c r="R870" s="14">
        <v>1</v>
      </c>
      <c r="S870" s="14" t="s">
        <v>77</v>
      </c>
      <c r="T870" s="14">
        <v>999</v>
      </c>
      <c r="U870" s="14" t="s">
        <v>214</v>
      </c>
      <c r="V870" s="14">
        <v>31456003</v>
      </c>
      <c r="X870" s="14" t="s">
        <v>204</v>
      </c>
      <c r="Y870" s="14" t="s">
        <v>215</v>
      </c>
      <c r="Z870" s="14">
        <v>20001</v>
      </c>
      <c r="AA870" s="14" t="s">
        <v>205</v>
      </c>
      <c r="AB870" s="14">
        <v>40001</v>
      </c>
      <c r="AE870" s="29" t="s">
        <v>121</v>
      </c>
      <c r="AF870" s="14" t="s">
        <v>213</v>
      </c>
      <c r="AG870" s="14" t="s">
        <v>98</v>
      </c>
    </row>
    <row r="871" spans="2:33">
      <c r="B871" s="14">
        <f>10000000+INDEX(编号表!$B:$B,MATCH(H871,编号表!$A:$A,0))*100000+INDEX(编号表!$F:$F,MATCH(D871,编号表!$E:$E,0))*10000+INDEX(编号表!$D:$D,MATCH(AG871,编号表!$C:$C,0))*1000+F871</f>
        <v>11656000</v>
      </c>
      <c r="C871" s="14" t="s">
        <v>1031</v>
      </c>
      <c r="D871" s="14" t="s">
        <v>333</v>
      </c>
      <c r="E871" s="14" t="s">
        <v>98</v>
      </c>
      <c r="F871" s="14">
        <v>0</v>
      </c>
      <c r="G871" s="14">
        <v>60</v>
      </c>
      <c r="H871" s="31" t="s">
        <v>244</v>
      </c>
      <c r="I871" s="14" t="s">
        <v>75</v>
      </c>
      <c r="J871" s="14" t="s">
        <v>201</v>
      </c>
      <c r="K871" s="14">
        <v>1</v>
      </c>
      <c r="L871" s="14" t="s">
        <v>213</v>
      </c>
      <c r="N871" s="14">
        <v>0</v>
      </c>
      <c r="O871" s="14" t="b">
        <v>1</v>
      </c>
      <c r="Q871" s="14" t="b">
        <v>0</v>
      </c>
      <c r="R871" s="14">
        <v>1</v>
      </c>
      <c r="S871" s="14" t="s">
        <v>77</v>
      </c>
      <c r="T871" s="14">
        <v>999</v>
      </c>
      <c r="U871" s="14" t="s">
        <v>214</v>
      </c>
      <c r="V871" s="14">
        <v>31656000</v>
      </c>
      <c r="X871" s="14" t="s">
        <v>204</v>
      </c>
      <c r="Y871" s="14" t="s">
        <v>215</v>
      </c>
      <c r="Z871" s="14">
        <v>20001</v>
      </c>
      <c r="AA871" s="14" t="s">
        <v>205</v>
      </c>
      <c r="AB871" s="14">
        <v>40001</v>
      </c>
      <c r="AE871" s="29" t="s">
        <v>121</v>
      </c>
      <c r="AF871" s="14" t="s">
        <v>213</v>
      </c>
      <c r="AG871" s="14" t="s">
        <v>98</v>
      </c>
    </row>
    <row r="872" spans="2:33">
      <c r="B872" s="14">
        <f>10000000+INDEX(编号表!$B:$B,MATCH(H872,编号表!$A:$A,0))*100000+INDEX(编号表!$F:$F,MATCH(D872,编号表!$E:$E,0))*10000+INDEX(编号表!$D:$D,MATCH(AG872,编号表!$C:$C,0))*1000+F872</f>
        <v>11656001</v>
      </c>
      <c r="C872" s="14" t="s">
        <v>1032</v>
      </c>
      <c r="D872" s="14" t="s">
        <v>333</v>
      </c>
      <c r="E872" s="14" t="s">
        <v>98</v>
      </c>
      <c r="F872" s="14">
        <v>1</v>
      </c>
      <c r="G872" s="14">
        <v>60</v>
      </c>
      <c r="H872" s="31" t="s">
        <v>244</v>
      </c>
      <c r="I872" s="14" t="s">
        <v>75</v>
      </c>
      <c r="J872" s="14" t="s">
        <v>201</v>
      </c>
      <c r="K872" s="14">
        <v>1</v>
      </c>
      <c r="L872" s="14" t="s">
        <v>213</v>
      </c>
      <c r="N872" s="14">
        <v>0</v>
      </c>
      <c r="O872" s="14" t="b">
        <v>1</v>
      </c>
      <c r="Q872" s="14" t="b">
        <v>0</v>
      </c>
      <c r="R872" s="14">
        <v>1</v>
      </c>
      <c r="S872" s="14" t="s">
        <v>77</v>
      </c>
      <c r="T872" s="14">
        <v>999</v>
      </c>
      <c r="U872" s="14" t="s">
        <v>214</v>
      </c>
      <c r="V872" s="14">
        <v>31656001</v>
      </c>
      <c r="X872" s="14" t="s">
        <v>204</v>
      </c>
      <c r="Y872" s="14" t="s">
        <v>215</v>
      </c>
      <c r="Z872" s="14">
        <v>20001</v>
      </c>
      <c r="AA872" s="14" t="s">
        <v>205</v>
      </c>
      <c r="AB872" s="14">
        <v>40001</v>
      </c>
      <c r="AE872" s="29" t="s">
        <v>121</v>
      </c>
      <c r="AF872" s="14" t="s">
        <v>213</v>
      </c>
      <c r="AG872" s="14" t="s">
        <v>98</v>
      </c>
    </row>
    <row r="873" spans="2:33">
      <c r="B873" s="14">
        <f>10000000+INDEX(编号表!$B:$B,MATCH(H873,编号表!$A:$A,0))*100000+INDEX(编号表!$F:$F,MATCH(D873,编号表!$E:$E,0))*10000+INDEX(编号表!$D:$D,MATCH(AG873,编号表!$C:$C,0))*1000+F873</f>
        <v>11656002</v>
      </c>
      <c r="C873" s="14" t="s">
        <v>1033</v>
      </c>
      <c r="D873" s="14" t="s">
        <v>333</v>
      </c>
      <c r="E873" s="14" t="s">
        <v>98</v>
      </c>
      <c r="F873" s="14">
        <v>2</v>
      </c>
      <c r="G873" s="14">
        <v>60</v>
      </c>
      <c r="H873" s="31" t="s">
        <v>244</v>
      </c>
      <c r="I873" s="14" t="s">
        <v>75</v>
      </c>
      <c r="J873" s="14" t="s">
        <v>201</v>
      </c>
      <c r="K873" s="14">
        <v>1</v>
      </c>
      <c r="L873" s="14" t="s">
        <v>213</v>
      </c>
      <c r="N873" s="14">
        <v>0</v>
      </c>
      <c r="O873" s="14" t="b">
        <v>1</v>
      </c>
      <c r="Q873" s="14" t="b">
        <v>0</v>
      </c>
      <c r="R873" s="14">
        <v>1</v>
      </c>
      <c r="S873" s="14" t="s">
        <v>77</v>
      </c>
      <c r="T873" s="14">
        <v>999</v>
      </c>
      <c r="U873" s="14" t="s">
        <v>214</v>
      </c>
      <c r="V873" s="14">
        <v>31656002</v>
      </c>
      <c r="X873" s="14" t="s">
        <v>204</v>
      </c>
      <c r="Y873" s="14" t="s">
        <v>215</v>
      </c>
      <c r="Z873" s="14">
        <v>20001</v>
      </c>
      <c r="AA873" s="14" t="s">
        <v>205</v>
      </c>
      <c r="AB873" s="14">
        <v>40001</v>
      </c>
      <c r="AE873" s="29" t="s">
        <v>121</v>
      </c>
      <c r="AF873" s="14" t="s">
        <v>213</v>
      </c>
      <c r="AG873" s="14" t="s">
        <v>98</v>
      </c>
    </row>
    <row r="874" spans="2:33">
      <c r="B874" s="14">
        <f>10000000+INDEX(编号表!$B:$B,MATCH(H874,编号表!$A:$A,0))*100000+INDEX(编号表!$F:$F,MATCH(D874,编号表!$E:$E,0))*10000+INDEX(编号表!$D:$D,MATCH(AG874,编号表!$C:$C,0))*1000+F874</f>
        <v>11266000</v>
      </c>
      <c r="C874" s="14" t="s">
        <v>1034</v>
      </c>
      <c r="D874" s="14" t="s">
        <v>362</v>
      </c>
      <c r="E874" s="14" t="s">
        <v>98</v>
      </c>
      <c r="F874" s="14">
        <v>0</v>
      </c>
      <c r="G874" s="14">
        <v>60</v>
      </c>
      <c r="H874" s="31" t="s">
        <v>212</v>
      </c>
      <c r="I874" s="14" t="s">
        <v>75</v>
      </c>
      <c r="J874" s="14" t="s">
        <v>201</v>
      </c>
      <c r="K874" s="14">
        <v>1</v>
      </c>
      <c r="L874" s="14" t="s">
        <v>213</v>
      </c>
      <c r="N874" s="14">
        <v>0</v>
      </c>
      <c r="O874" s="14" t="b">
        <v>1</v>
      </c>
      <c r="Q874" s="14" t="b">
        <v>0</v>
      </c>
      <c r="R874" s="14">
        <v>1</v>
      </c>
      <c r="S874" s="14" t="s">
        <v>77</v>
      </c>
      <c r="T874" s="14">
        <v>999</v>
      </c>
      <c r="U874" s="14" t="s">
        <v>214</v>
      </c>
      <c r="V874" s="14">
        <v>31266000</v>
      </c>
      <c r="X874" s="14" t="s">
        <v>204</v>
      </c>
      <c r="Y874" s="14" t="s">
        <v>215</v>
      </c>
      <c r="Z874" s="14">
        <v>20001</v>
      </c>
      <c r="AA874" s="14" t="s">
        <v>205</v>
      </c>
      <c r="AB874" s="14">
        <v>40001</v>
      </c>
      <c r="AE874" s="29" t="s">
        <v>121</v>
      </c>
      <c r="AF874" s="14" t="s">
        <v>213</v>
      </c>
      <c r="AG874" s="14" t="s">
        <v>98</v>
      </c>
    </row>
    <row r="875" spans="2:33">
      <c r="B875" s="14">
        <f>10000000+INDEX(编号表!$B:$B,MATCH(H875,编号表!$A:$A,0))*100000+INDEX(编号表!$F:$F,MATCH(D875,编号表!$E:$E,0))*10000+INDEX(编号表!$D:$D,MATCH(AG875,编号表!$C:$C,0))*1000+F875</f>
        <v>11366000</v>
      </c>
      <c r="C875" s="14" t="s">
        <v>1035</v>
      </c>
      <c r="D875" s="14" t="s">
        <v>362</v>
      </c>
      <c r="E875" s="14" t="s">
        <v>98</v>
      </c>
      <c r="F875" s="14">
        <v>0</v>
      </c>
      <c r="G875" s="14">
        <v>60</v>
      </c>
      <c r="H875" s="31" t="s">
        <v>217</v>
      </c>
      <c r="I875" s="14" t="s">
        <v>75</v>
      </c>
      <c r="J875" s="14" t="s">
        <v>201</v>
      </c>
      <c r="K875" s="14">
        <v>1</v>
      </c>
      <c r="L875" s="14" t="s">
        <v>213</v>
      </c>
      <c r="N875" s="14">
        <v>0</v>
      </c>
      <c r="O875" s="14" t="b">
        <v>1</v>
      </c>
      <c r="Q875" s="14" t="b">
        <v>0</v>
      </c>
      <c r="R875" s="14">
        <v>1</v>
      </c>
      <c r="S875" s="14" t="s">
        <v>77</v>
      </c>
      <c r="T875" s="14">
        <v>999</v>
      </c>
      <c r="U875" s="14" t="s">
        <v>214</v>
      </c>
      <c r="V875" s="14">
        <v>31366000</v>
      </c>
      <c r="X875" s="14" t="s">
        <v>204</v>
      </c>
      <c r="Y875" s="14" t="s">
        <v>215</v>
      </c>
      <c r="Z875" s="14">
        <v>20001</v>
      </c>
      <c r="AA875" s="14" t="s">
        <v>205</v>
      </c>
      <c r="AB875" s="14">
        <v>40001</v>
      </c>
      <c r="AE875" s="29" t="s">
        <v>121</v>
      </c>
      <c r="AF875" s="14" t="s">
        <v>213</v>
      </c>
      <c r="AG875" s="14" t="s">
        <v>98</v>
      </c>
    </row>
    <row r="876" spans="2:33">
      <c r="B876" s="14">
        <f>10000000+INDEX(编号表!$B:$B,MATCH(H876,编号表!$A:$A,0))*100000+INDEX(编号表!$F:$F,MATCH(D876,编号表!$E:$E,0))*10000+INDEX(编号表!$D:$D,MATCH(AG876,编号表!$C:$C,0))*1000+F876</f>
        <v>11366001</v>
      </c>
      <c r="C876" s="14" t="s">
        <v>1036</v>
      </c>
      <c r="D876" s="14" t="s">
        <v>362</v>
      </c>
      <c r="E876" s="14" t="s">
        <v>98</v>
      </c>
      <c r="F876" s="14">
        <v>1</v>
      </c>
      <c r="G876" s="14">
        <v>60</v>
      </c>
      <c r="H876" s="31" t="s">
        <v>217</v>
      </c>
      <c r="I876" s="14" t="s">
        <v>75</v>
      </c>
      <c r="J876" s="14" t="s">
        <v>201</v>
      </c>
      <c r="K876" s="14">
        <v>1</v>
      </c>
      <c r="L876" s="14" t="s">
        <v>213</v>
      </c>
      <c r="N876" s="14">
        <v>0</v>
      </c>
      <c r="O876" s="14" t="b">
        <v>1</v>
      </c>
      <c r="Q876" s="14" t="b">
        <v>0</v>
      </c>
      <c r="R876" s="14">
        <v>1</v>
      </c>
      <c r="S876" s="14" t="s">
        <v>77</v>
      </c>
      <c r="T876" s="14">
        <v>999</v>
      </c>
      <c r="U876" s="14" t="s">
        <v>214</v>
      </c>
      <c r="V876" s="14">
        <v>31366001</v>
      </c>
      <c r="X876" s="14" t="s">
        <v>204</v>
      </c>
      <c r="Y876" s="14" t="s">
        <v>215</v>
      </c>
      <c r="Z876" s="14">
        <v>20001</v>
      </c>
      <c r="AA876" s="14" t="s">
        <v>205</v>
      </c>
      <c r="AB876" s="14">
        <v>40001</v>
      </c>
      <c r="AE876" s="29" t="s">
        <v>121</v>
      </c>
      <c r="AF876" s="14" t="s">
        <v>213</v>
      </c>
      <c r="AG876" s="14" t="s">
        <v>98</v>
      </c>
    </row>
    <row r="877" spans="2:33">
      <c r="B877" s="14">
        <f>10000000+INDEX(编号表!$B:$B,MATCH(H877,编号表!$A:$A,0))*100000+INDEX(编号表!$F:$F,MATCH(D877,编号表!$E:$E,0))*10000+INDEX(编号表!$D:$D,MATCH(AG877,编号表!$C:$C,0))*1000+F877</f>
        <v>11366002</v>
      </c>
      <c r="C877" s="14" t="s">
        <v>1037</v>
      </c>
      <c r="D877" s="14" t="s">
        <v>362</v>
      </c>
      <c r="E877" s="14" t="s">
        <v>98</v>
      </c>
      <c r="F877" s="14">
        <v>2</v>
      </c>
      <c r="G877" s="14">
        <v>60</v>
      </c>
      <c r="H877" s="31" t="s">
        <v>217</v>
      </c>
      <c r="I877" s="14" t="s">
        <v>75</v>
      </c>
      <c r="J877" s="14" t="s">
        <v>201</v>
      </c>
      <c r="K877" s="14">
        <v>1</v>
      </c>
      <c r="L877" s="14" t="s">
        <v>213</v>
      </c>
      <c r="N877" s="14">
        <v>0</v>
      </c>
      <c r="O877" s="14" t="b">
        <v>1</v>
      </c>
      <c r="Q877" s="14" t="b">
        <v>0</v>
      </c>
      <c r="R877" s="14">
        <v>1</v>
      </c>
      <c r="S877" s="14" t="s">
        <v>77</v>
      </c>
      <c r="T877" s="14">
        <v>999</v>
      </c>
      <c r="U877" s="14" t="s">
        <v>214</v>
      </c>
      <c r="V877" s="14">
        <v>31366002</v>
      </c>
      <c r="X877" s="14" t="s">
        <v>204</v>
      </c>
      <c r="Y877" s="14" t="s">
        <v>215</v>
      </c>
      <c r="Z877" s="14">
        <v>20001</v>
      </c>
      <c r="AA877" s="14" t="s">
        <v>205</v>
      </c>
      <c r="AB877" s="14">
        <v>40001</v>
      </c>
      <c r="AE877" s="29" t="s">
        <v>121</v>
      </c>
      <c r="AF877" s="14" t="s">
        <v>213</v>
      </c>
      <c r="AG877" s="14" t="s">
        <v>98</v>
      </c>
    </row>
    <row r="878" spans="2:33">
      <c r="B878" s="14">
        <f>10000000+INDEX(编号表!$B:$B,MATCH(H878,编号表!$A:$A,0))*100000+INDEX(编号表!$F:$F,MATCH(D878,编号表!$E:$E,0))*10000+INDEX(编号表!$D:$D,MATCH(AG878,编号表!$C:$C,0))*1000+F878</f>
        <v>11366003</v>
      </c>
      <c r="C878" s="14" t="s">
        <v>1038</v>
      </c>
      <c r="D878" s="14" t="s">
        <v>362</v>
      </c>
      <c r="E878" s="14" t="s">
        <v>98</v>
      </c>
      <c r="F878" s="14">
        <v>3</v>
      </c>
      <c r="G878" s="14">
        <v>60</v>
      </c>
      <c r="H878" s="31" t="s">
        <v>217</v>
      </c>
      <c r="I878" s="14" t="s">
        <v>75</v>
      </c>
      <c r="J878" s="14" t="s">
        <v>201</v>
      </c>
      <c r="K878" s="14">
        <v>1</v>
      </c>
      <c r="L878" s="14" t="s">
        <v>213</v>
      </c>
      <c r="N878" s="14">
        <v>0</v>
      </c>
      <c r="O878" s="14" t="b">
        <v>1</v>
      </c>
      <c r="Q878" s="14" t="b">
        <v>0</v>
      </c>
      <c r="R878" s="14">
        <v>1</v>
      </c>
      <c r="S878" s="14" t="s">
        <v>77</v>
      </c>
      <c r="T878" s="14">
        <v>999</v>
      </c>
      <c r="U878" s="14" t="s">
        <v>214</v>
      </c>
      <c r="V878" s="14">
        <v>31366003</v>
      </c>
      <c r="X878" s="14" t="s">
        <v>204</v>
      </c>
      <c r="Y878" s="14" t="s">
        <v>215</v>
      </c>
      <c r="Z878" s="14">
        <v>20001</v>
      </c>
      <c r="AA878" s="14" t="s">
        <v>205</v>
      </c>
      <c r="AB878" s="14">
        <v>40001</v>
      </c>
      <c r="AE878" s="29" t="s">
        <v>121</v>
      </c>
      <c r="AF878" s="14" t="s">
        <v>213</v>
      </c>
      <c r="AG878" s="14" t="s">
        <v>98</v>
      </c>
    </row>
    <row r="879" spans="2:33">
      <c r="B879" s="14">
        <f>10000000+INDEX(编号表!$B:$B,MATCH(H879,编号表!$A:$A,0))*100000+INDEX(编号表!$F:$F,MATCH(D879,编号表!$E:$E,0))*10000+INDEX(编号表!$D:$D,MATCH(AG879,编号表!$C:$C,0))*1000+F879</f>
        <v>11366004</v>
      </c>
      <c r="C879" s="14" t="s">
        <v>1039</v>
      </c>
      <c r="D879" s="14" t="s">
        <v>362</v>
      </c>
      <c r="E879" s="14" t="s">
        <v>98</v>
      </c>
      <c r="F879" s="14">
        <v>4</v>
      </c>
      <c r="G879" s="14">
        <v>60</v>
      </c>
      <c r="H879" s="31" t="s">
        <v>217</v>
      </c>
      <c r="I879" s="14" t="s">
        <v>75</v>
      </c>
      <c r="J879" s="14" t="s">
        <v>201</v>
      </c>
      <c r="K879" s="14">
        <v>1</v>
      </c>
      <c r="L879" s="14" t="s">
        <v>213</v>
      </c>
      <c r="N879" s="14">
        <v>0</v>
      </c>
      <c r="O879" s="14" t="b">
        <v>1</v>
      </c>
      <c r="Q879" s="14" t="b">
        <v>0</v>
      </c>
      <c r="R879" s="14">
        <v>1</v>
      </c>
      <c r="S879" s="14" t="s">
        <v>77</v>
      </c>
      <c r="T879" s="14">
        <v>999</v>
      </c>
      <c r="U879" s="14" t="s">
        <v>214</v>
      </c>
      <c r="V879" s="14">
        <v>31366004</v>
      </c>
      <c r="X879" s="14" t="s">
        <v>204</v>
      </c>
      <c r="Y879" s="14" t="s">
        <v>215</v>
      </c>
      <c r="Z879" s="14">
        <v>20001</v>
      </c>
      <c r="AA879" s="14" t="s">
        <v>205</v>
      </c>
      <c r="AB879" s="14">
        <v>40001</v>
      </c>
      <c r="AE879" s="29" t="s">
        <v>121</v>
      </c>
      <c r="AF879" s="14" t="s">
        <v>213</v>
      </c>
      <c r="AG879" s="14" t="s">
        <v>98</v>
      </c>
    </row>
    <row r="880" spans="2:33">
      <c r="B880" s="14">
        <f>10000000+INDEX(编号表!$B:$B,MATCH(H880,编号表!$A:$A,0))*100000+INDEX(编号表!$F:$F,MATCH(D880,编号表!$E:$E,0))*10000+INDEX(编号表!$D:$D,MATCH(AG880,编号表!$C:$C,0))*1000+F880</f>
        <v>11366005</v>
      </c>
      <c r="C880" s="14" t="s">
        <v>1040</v>
      </c>
      <c r="D880" s="14" t="s">
        <v>362</v>
      </c>
      <c r="E880" s="14" t="s">
        <v>98</v>
      </c>
      <c r="F880" s="14">
        <v>5</v>
      </c>
      <c r="G880" s="14">
        <v>60</v>
      </c>
      <c r="H880" s="31" t="s">
        <v>217</v>
      </c>
      <c r="I880" s="14" t="s">
        <v>75</v>
      </c>
      <c r="J880" s="14" t="s">
        <v>201</v>
      </c>
      <c r="K880" s="14">
        <v>1</v>
      </c>
      <c r="L880" s="14" t="s">
        <v>213</v>
      </c>
      <c r="N880" s="14">
        <v>0</v>
      </c>
      <c r="O880" s="14" t="b">
        <v>1</v>
      </c>
      <c r="Q880" s="14" t="b">
        <v>0</v>
      </c>
      <c r="R880" s="14">
        <v>1</v>
      </c>
      <c r="S880" s="14" t="s">
        <v>77</v>
      </c>
      <c r="T880" s="14">
        <v>999</v>
      </c>
      <c r="U880" s="14" t="s">
        <v>214</v>
      </c>
      <c r="V880" s="14">
        <v>31366005</v>
      </c>
      <c r="X880" s="14" t="s">
        <v>204</v>
      </c>
      <c r="Y880" s="14" t="s">
        <v>215</v>
      </c>
      <c r="Z880" s="14">
        <v>20001</v>
      </c>
      <c r="AA880" s="14" t="s">
        <v>205</v>
      </c>
      <c r="AB880" s="14">
        <v>40001</v>
      </c>
      <c r="AE880" s="29" t="s">
        <v>121</v>
      </c>
      <c r="AF880" s="14" t="s">
        <v>213</v>
      </c>
      <c r="AG880" s="14" t="s">
        <v>98</v>
      </c>
    </row>
    <row r="881" spans="2:33">
      <c r="B881" s="14">
        <f>10000000+INDEX(编号表!$B:$B,MATCH(H881,编号表!$A:$A,0))*100000+INDEX(编号表!$F:$F,MATCH(D881,编号表!$E:$E,0))*10000+INDEX(编号表!$D:$D,MATCH(AG881,编号表!$C:$C,0))*1000+F881</f>
        <v>11366006</v>
      </c>
      <c r="C881" s="14" t="s">
        <v>1041</v>
      </c>
      <c r="D881" s="14" t="s">
        <v>362</v>
      </c>
      <c r="E881" s="14" t="s">
        <v>98</v>
      </c>
      <c r="F881" s="14">
        <v>6</v>
      </c>
      <c r="G881" s="14">
        <v>60</v>
      </c>
      <c r="H881" s="31" t="s">
        <v>217</v>
      </c>
      <c r="I881" s="14" t="s">
        <v>75</v>
      </c>
      <c r="J881" s="14" t="s">
        <v>201</v>
      </c>
      <c r="K881" s="14">
        <v>1</v>
      </c>
      <c r="L881" s="14" t="s">
        <v>213</v>
      </c>
      <c r="N881" s="14">
        <v>0</v>
      </c>
      <c r="O881" s="14" t="b">
        <v>1</v>
      </c>
      <c r="Q881" s="14" t="b">
        <v>0</v>
      </c>
      <c r="R881" s="14">
        <v>1</v>
      </c>
      <c r="S881" s="14" t="s">
        <v>77</v>
      </c>
      <c r="T881" s="14">
        <v>999</v>
      </c>
      <c r="U881" s="14" t="s">
        <v>214</v>
      </c>
      <c r="V881" s="14">
        <v>31366006</v>
      </c>
      <c r="X881" s="14" t="s">
        <v>204</v>
      </c>
      <c r="Y881" s="14" t="s">
        <v>215</v>
      </c>
      <c r="Z881" s="14">
        <v>20001</v>
      </c>
      <c r="AA881" s="14" t="s">
        <v>205</v>
      </c>
      <c r="AB881" s="14">
        <v>40001</v>
      </c>
      <c r="AE881" s="29" t="s">
        <v>121</v>
      </c>
      <c r="AF881" s="14" t="s">
        <v>213</v>
      </c>
      <c r="AG881" s="14" t="s">
        <v>98</v>
      </c>
    </row>
    <row r="882" spans="2:33">
      <c r="B882" s="14">
        <f>10000000+INDEX(编号表!$B:$B,MATCH(H882,编号表!$A:$A,0))*100000+INDEX(编号表!$F:$F,MATCH(D882,编号表!$E:$E,0))*10000+INDEX(编号表!$D:$D,MATCH(AG882,编号表!$C:$C,0))*1000+F882</f>
        <v>11366007</v>
      </c>
      <c r="C882" s="14" t="s">
        <v>1042</v>
      </c>
      <c r="D882" s="14" t="s">
        <v>362</v>
      </c>
      <c r="E882" s="14" t="s">
        <v>98</v>
      </c>
      <c r="F882" s="14">
        <v>7</v>
      </c>
      <c r="G882" s="14">
        <v>60</v>
      </c>
      <c r="H882" s="31" t="s">
        <v>217</v>
      </c>
      <c r="I882" s="14" t="s">
        <v>75</v>
      </c>
      <c r="J882" s="14" t="s">
        <v>201</v>
      </c>
      <c r="K882" s="14">
        <v>1</v>
      </c>
      <c r="L882" s="14" t="s">
        <v>213</v>
      </c>
      <c r="N882" s="14">
        <v>0</v>
      </c>
      <c r="O882" s="14" t="b">
        <v>1</v>
      </c>
      <c r="Q882" s="14" t="b">
        <v>0</v>
      </c>
      <c r="R882" s="14">
        <v>1</v>
      </c>
      <c r="S882" s="14" t="s">
        <v>77</v>
      </c>
      <c r="T882" s="14">
        <v>999</v>
      </c>
      <c r="U882" s="14" t="s">
        <v>214</v>
      </c>
      <c r="V882" s="14">
        <v>31366007</v>
      </c>
      <c r="X882" s="14" t="s">
        <v>204</v>
      </c>
      <c r="Y882" s="14" t="s">
        <v>215</v>
      </c>
      <c r="Z882" s="14">
        <v>20001</v>
      </c>
      <c r="AA882" s="14" t="s">
        <v>205</v>
      </c>
      <c r="AB882" s="14">
        <v>40001</v>
      </c>
      <c r="AE882" s="29" t="s">
        <v>121</v>
      </c>
      <c r="AF882" s="14" t="s">
        <v>213</v>
      </c>
      <c r="AG882" s="14" t="s">
        <v>98</v>
      </c>
    </row>
    <row r="883" spans="2:33">
      <c r="B883" s="14">
        <f>10000000+INDEX(编号表!$B:$B,MATCH(H883,编号表!$A:$A,0))*100000+INDEX(编号表!$F:$F,MATCH(D883,编号表!$E:$E,0))*10000+INDEX(编号表!$D:$D,MATCH(AG883,编号表!$C:$C,0))*1000+F883</f>
        <v>11366008</v>
      </c>
      <c r="C883" s="14" t="s">
        <v>1043</v>
      </c>
      <c r="D883" s="14" t="s">
        <v>362</v>
      </c>
      <c r="E883" s="14" t="s">
        <v>98</v>
      </c>
      <c r="F883" s="14">
        <v>8</v>
      </c>
      <c r="G883" s="14">
        <v>60</v>
      </c>
      <c r="H883" s="31" t="s">
        <v>217</v>
      </c>
      <c r="I883" s="14" t="s">
        <v>75</v>
      </c>
      <c r="J883" s="14" t="s">
        <v>201</v>
      </c>
      <c r="K883" s="14">
        <v>1</v>
      </c>
      <c r="L883" s="14" t="s">
        <v>213</v>
      </c>
      <c r="N883" s="14">
        <v>0</v>
      </c>
      <c r="O883" s="14" t="b">
        <v>1</v>
      </c>
      <c r="Q883" s="14" t="b">
        <v>0</v>
      </c>
      <c r="R883" s="14">
        <v>1</v>
      </c>
      <c r="S883" s="14" t="s">
        <v>77</v>
      </c>
      <c r="T883" s="14">
        <v>999</v>
      </c>
      <c r="U883" s="14" t="s">
        <v>214</v>
      </c>
      <c r="V883" s="14">
        <v>31366008</v>
      </c>
      <c r="X883" s="14" t="s">
        <v>204</v>
      </c>
      <c r="Y883" s="14" t="s">
        <v>215</v>
      </c>
      <c r="Z883" s="14">
        <v>20001</v>
      </c>
      <c r="AA883" s="14" t="s">
        <v>205</v>
      </c>
      <c r="AB883" s="14">
        <v>40001</v>
      </c>
      <c r="AE883" s="29" t="s">
        <v>121</v>
      </c>
      <c r="AF883" s="14" t="s">
        <v>213</v>
      </c>
      <c r="AG883" s="14" t="s">
        <v>98</v>
      </c>
    </row>
    <row r="884" spans="2:33">
      <c r="B884" s="14">
        <f>10000000+INDEX(编号表!$B:$B,MATCH(H884,编号表!$A:$A,0))*100000+INDEX(编号表!$F:$F,MATCH(D884,编号表!$E:$E,0))*10000+INDEX(编号表!$D:$D,MATCH(AG884,编号表!$C:$C,0))*1000+F884</f>
        <v>11366009</v>
      </c>
      <c r="C884" s="14" t="s">
        <v>1044</v>
      </c>
      <c r="D884" s="14" t="s">
        <v>362</v>
      </c>
      <c r="E884" s="14" t="s">
        <v>98</v>
      </c>
      <c r="F884" s="14">
        <v>9</v>
      </c>
      <c r="G884" s="14">
        <v>60</v>
      </c>
      <c r="H884" s="31" t="s">
        <v>217</v>
      </c>
      <c r="I884" s="14" t="s">
        <v>75</v>
      </c>
      <c r="J884" s="14" t="s">
        <v>201</v>
      </c>
      <c r="K884" s="14">
        <v>1</v>
      </c>
      <c r="L884" s="14" t="s">
        <v>213</v>
      </c>
      <c r="N884" s="14">
        <v>0</v>
      </c>
      <c r="O884" s="14" t="b">
        <v>1</v>
      </c>
      <c r="Q884" s="14" t="b">
        <v>0</v>
      </c>
      <c r="R884" s="14">
        <v>1</v>
      </c>
      <c r="S884" s="14" t="s">
        <v>77</v>
      </c>
      <c r="T884" s="14">
        <v>999</v>
      </c>
      <c r="U884" s="14" t="s">
        <v>214</v>
      </c>
      <c r="V884" s="14">
        <v>31366009</v>
      </c>
      <c r="X884" s="14" t="s">
        <v>204</v>
      </c>
      <c r="Y884" s="14" t="s">
        <v>215</v>
      </c>
      <c r="Z884" s="14">
        <v>20001</v>
      </c>
      <c r="AA884" s="14" t="s">
        <v>205</v>
      </c>
      <c r="AB884" s="14">
        <v>40001</v>
      </c>
      <c r="AE884" s="29" t="s">
        <v>121</v>
      </c>
      <c r="AF884" s="14" t="s">
        <v>213</v>
      </c>
      <c r="AG884" s="14" t="s">
        <v>98</v>
      </c>
    </row>
    <row r="885" spans="2:33">
      <c r="B885" s="14">
        <f>10000000+INDEX(编号表!$B:$B,MATCH(H885,编号表!$A:$A,0))*100000+INDEX(编号表!$F:$F,MATCH(D885,编号表!$E:$E,0))*10000+INDEX(编号表!$D:$D,MATCH(AG885,编号表!$C:$C,0))*1000+F885</f>
        <v>11566000</v>
      </c>
      <c r="C885" s="14" t="s">
        <v>1045</v>
      </c>
      <c r="D885" s="14" t="s">
        <v>362</v>
      </c>
      <c r="E885" s="14" t="s">
        <v>98</v>
      </c>
      <c r="F885" s="14">
        <v>0</v>
      </c>
      <c r="G885" s="14">
        <v>60</v>
      </c>
      <c r="H885" s="31" t="s">
        <v>228</v>
      </c>
      <c r="I885" s="14" t="s">
        <v>75</v>
      </c>
      <c r="J885" s="14" t="s">
        <v>201</v>
      </c>
      <c r="K885" s="14">
        <v>1</v>
      </c>
      <c r="L885" s="14" t="s">
        <v>213</v>
      </c>
      <c r="N885" s="14">
        <v>0</v>
      </c>
      <c r="O885" s="14" t="b">
        <v>1</v>
      </c>
      <c r="Q885" s="14" t="b">
        <v>0</v>
      </c>
      <c r="R885" s="14">
        <v>1</v>
      </c>
      <c r="S885" s="14" t="s">
        <v>77</v>
      </c>
      <c r="T885" s="14">
        <v>999</v>
      </c>
      <c r="U885" s="14" t="s">
        <v>214</v>
      </c>
      <c r="V885" s="14">
        <v>31566000</v>
      </c>
      <c r="X885" s="14" t="s">
        <v>204</v>
      </c>
      <c r="Y885" s="14" t="s">
        <v>215</v>
      </c>
      <c r="Z885" s="14">
        <v>20001</v>
      </c>
      <c r="AA885" s="14" t="s">
        <v>205</v>
      </c>
      <c r="AB885" s="14">
        <v>40001</v>
      </c>
      <c r="AE885" s="29" t="s">
        <v>121</v>
      </c>
      <c r="AF885" s="14" t="s">
        <v>213</v>
      </c>
      <c r="AG885" s="14" t="s">
        <v>98</v>
      </c>
    </row>
    <row r="886" spans="2:33">
      <c r="B886" s="14">
        <f>10000000+INDEX(编号表!$B:$B,MATCH(H886,编号表!$A:$A,0))*100000+INDEX(编号表!$F:$F,MATCH(D886,编号表!$E:$E,0))*10000+INDEX(编号表!$D:$D,MATCH(AG886,编号表!$C:$C,0))*1000+F886</f>
        <v>11566001</v>
      </c>
      <c r="C886" s="14" t="s">
        <v>1046</v>
      </c>
      <c r="D886" s="14" t="s">
        <v>362</v>
      </c>
      <c r="E886" s="14" t="s">
        <v>98</v>
      </c>
      <c r="F886" s="14">
        <v>1</v>
      </c>
      <c r="G886" s="14">
        <v>60</v>
      </c>
      <c r="H886" s="31" t="s">
        <v>228</v>
      </c>
      <c r="I886" s="14" t="s">
        <v>75</v>
      </c>
      <c r="J886" s="14" t="s">
        <v>201</v>
      </c>
      <c r="K886" s="14">
        <v>1</v>
      </c>
      <c r="L886" s="14" t="s">
        <v>213</v>
      </c>
      <c r="N886" s="14">
        <v>0</v>
      </c>
      <c r="O886" s="14" t="b">
        <v>1</v>
      </c>
      <c r="Q886" s="14" t="b">
        <v>0</v>
      </c>
      <c r="R886" s="14">
        <v>1</v>
      </c>
      <c r="S886" s="14" t="s">
        <v>77</v>
      </c>
      <c r="T886" s="14">
        <v>999</v>
      </c>
      <c r="U886" s="14" t="s">
        <v>214</v>
      </c>
      <c r="V886" s="14">
        <v>31566001</v>
      </c>
      <c r="X886" s="14" t="s">
        <v>204</v>
      </c>
      <c r="Y886" s="14" t="s">
        <v>215</v>
      </c>
      <c r="Z886" s="14">
        <v>20001</v>
      </c>
      <c r="AA886" s="14" t="s">
        <v>205</v>
      </c>
      <c r="AB886" s="14">
        <v>40001</v>
      </c>
      <c r="AE886" s="29" t="s">
        <v>121</v>
      </c>
      <c r="AF886" s="14" t="s">
        <v>213</v>
      </c>
      <c r="AG886" s="14" t="s">
        <v>98</v>
      </c>
    </row>
    <row r="887" spans="2:33">
      <c r="B887" s="14">
        <f>10000000+INDEX(编号表!$B:$B,MATCH(H887,编号表!$A:$A,0))*100000+INDEX(编号表!$F:$F,MATCH(D887,编号表!$E:$E,0))*10000+INDEX(编号表!$D:$D,MATCH(AG887,编号表!$C:$C,0))*1000+F887</f>
        <v>11566002</v>
      </c>
      <c r="C887" s="14" t="s">
        <v>1047</v>
      </c>
      <c r="D887" s="14" t="s">
        <v>362</v>
      </c>
      <c r="E887" s="14" t="s">
        <v>98</v>
      </c>
      <c r="F887" s="14">
        <v>2</v>
      </c>
      <c r="G887" s="14">
        <v>60</v>
      </c>
      <c r="H887" s="31" t="s">
        <v>228</v>
      </c>
      <c r="I887" s="14" t="s">
        <v>75</v>
      </c>
      <c r="J887" s="14" t="s">
        <v>201</v>
      </c>
      <c r="K887" s="14">
        <v>1</v>
      </c>
      <c r="L887" s="14" t="s">
        <v>213</v>
      </c>
      <c r="N887" s="14">
        <v>0</v>
      </c>
      <c r="O887" s="14" t="b">
        <v>1</v>
      </c>
      <c r="Q887" s="14" t="b">
        <v>0</v>
      </c>
      <c r="R887" s="14">
        <v>1</v>
      </c>
      <c r="S887" s="14" t="s">
        <v>77</v>
      </c>
      <c r="T887" s="14">
        <v>999</v>
      </c>
      <c r="U887" s="14" t="s">
        <v>214</v>
      </c>
      <c r="V887" s="14">
        <v>31566002</v>
      </c>
      <c r="X887" s="14" t="s">
        <v>204</v>
      </c>
      <c r="Y887" s="14" t="s">
        <v>215</v>
      </c>
      <c r="Z887" s="14">
        <v>20001</v>
      </c>
      <c r="AA887" s="14" t="s">
        <v>205</v>
      </c>
      <c r="AB887" s="14">
        <v>40001</v>
      </c>
      <c r="AE887" s="29" t="s">
        <v>121</v>
      </c>
      <c r="AF887" s="14" t="s">
        <v>213</v>
      </c>
      <c r="AG887" s="14" t="s">
        <v>98</v>
      </c>
    </row>
    <row r="888" spans="2:33">
      <c r="B888" s="14">
        <f>10000000+INDEX(编号表!$B:$B,MATCH(H888,编号表!$A:$A,0))*100000+INDEX(编号表!$F:$F,MATCH(D888,编号表!$E:$E,0))*10000+INDEX(编号表!$D:$D,MATCH(AG888,编号表!$C:$C,0))*1000+F888</f>
        <v>11566003</v>
      </c>
      <c r="C888" s="14" t="s">
        <v>1048</v>
      </c>
      <c r="D888" s="14" t="s">
        <v>362</v>
      </c>
      <c r="E888" s="14" t="s">
        <v>98</v>
      </c>
      <c r="F888" s="14">
        <v>3</v>
      </c>
      <c r="G888" s="14">
        <v>60</v>
      </c>
      <c r="H888" s="31" t="s">
        <v>228</v>
      </c>
      <c r="I888" s="14" t="s">
        <v>75</v>
      </c>
      <c r="J888" s="14" t="s">
        <v>201</v>
      </c>
      <c r="K888" s="14">
        <v>1</v>
      </c>
      <c r="L888" s="14" t="s">
        <v>213</v>
      </c>
      <c r="N888" s="14">
        <v>0</v>
      </c>
      <c r="O888" s="14" t="b">
        <v>1</v>
      </c>
      <c r="Q888" s="14" t="b">
        <v>0</v>
      </c>
      <c r="R888" s="14">
        <v>1</v>
      </c>
      <c r="S888" s="14" t="s">
        <v>77</v>
      </c>
      <c r="T888" s="14">
        <v>999</v>
      </c>
      <c r="U888" s="14" t="s">
        <v>214</v>
      </c>
      <c r="V888" s="14">
        <v>31566003</v>
      </c>
      <c r="X888" s="14" t="s">
        <v>204</v>
      </c>
      <c r="Y888" s="14" t="s">
        <v>215</v>
      </c>
      <c r="Z888" s="14">
        <v>20001</v>
      </c>
      <c r="AA888" s="14" t="s">
        <v>205</v>
      </c>
      <c r="AB888" s="14">
        <v>40001</v>
      </c>
      <c r="AE888" s="29" t="s">
        <v>121</v>
      </c>
      <c r="AF888" s="14" t="s">
        <v>213</v>
      </c>
      <c r="AG888" s="14" t="s">
        <v>98</v>
      </c>
    </row>
    <row r="889" spans="2:33">
      <c r="B889" s="14">
        <f>10000000+INDEX(编号表!$B:$B,MATCH(H889,编号表!$A:$A,0))*100000+INDEX(编号表!$F:$F,MATCH(D889,编号表!$E:$E,0))*10000+INDEX(编号表!$D:$D,MATCH(AG889,编号表!$C:$C,0))*1000+F889</f>
        <v>11566004</v>
      </c>
      <c r="C889" s="14" t="s">
        <v>1049</v>
      </c>
      <c r="D889" s="14" t="s">
        <v>362</v>
      </c>
      <c r="E889" s="14" t="s">
        <v>98</v>
      </c>
      <c r="F889" s="14">
        <v>4</v>
      </c>
      <c r="G889" s="14">
        <v>60</v>
      </c>
      <c r="H889" s="31" t="s">
        <v>228</v>
      </c>
      <c r="I889" s="14" t="s">
        <v>75</v>
      </c>
      <c r="J889" s="14" t="s">
        <v>201</v>
      </c>
      <c r="K889" s="14">
        <v>1</v>
      </c>
      <c r="L889" s="14" t="s">
        <v>213</v>
      </c>
      <c r="N889" s="14">
        <v>0</v>
      </c>
      <c r="O889" s="14" t="b">
        <v>1</v>
      </c>
      <c r="Q889" s="14" t="b">
        <v>0</v>
      </c>
      <c r="R889" s="14">
        <v>1</v>
      </c>
      <c r="S889" s="14" t="s">
        <v>77</v>
      </c>
      <c r="T889" s="14">
        <v>999</v>
      </c>
      <c r="U889" s="14" t="s">
        <v>214</v>
      </c>
      <c r="V889" s="14">
        <v>31566004</v>
      </c>
      <c r="X889" s="14" t="s">
        <v>204</v>
      </c>
      <c r="Y889" s="14" t="s">
        <v>215</v>
      </c>
      <c r="Z889" s="14">
        <v>20001</v>
      </c>
      <c r="AA889" s="14" t="s">
        <v>205</v>
      </c>
      <c r="AB889" s="14">
        <v>40001</v>
      </c>
      <c r="AE889" s="29" t="s">
        <v>121</v>
      </c>
      <c r="AF889" s="14" t="s">
        <v>213</v>
      </c>
      <c r="AG889" s="14" t="s">
        <v>98</v>
      </c>
    </row>
    <row r="890" spans="2:33">
      <c r="B890" s="14">
        <f>10000000+INDEX(编号表!$B:$B,MATCH(H890,编号表!$A:$A,0))*100000+INDEX(编号表!$F:$F,MATCH(D890,编号表!$E:$E,0))*10000+INDEX(编号表!$D:$D,MATCH(AG890,编号表!$C:$C,0))*1000+F890</f>
        <v>11566005</v>
      </c>
      <c r="C890" s="14" t="s">
        <v>1050</v>
      </c>
      <c r="D890" s="14" t="s">
        <v>362</v>
      </c>
      <c r="E890" s="14" t="s">
        <v>98</v>
      </c>
      <c r="F890" s="14">
        <v>5</v>
      </c>
      <c r="G890" s="14">
        <v>60</v>
      </c>
      <c r="H890" s="31" t="s">
        <v>228</v>
      </c>
      <c r="I890" s="14" t="s">
        <v>75</v>
      </c>
      <c r="J890" s="14" t="s">
        <v>201</v>
      </c>
      <c r="K890" s="14">
        <v>1</v>
      </c>
      <c r="L890" s="14" t="s">
        <v>213</v>
      </c>
      <c r="N890" s="14">
        <v>0</v>
      </c>
      <c r="O890" s="14" t="b">
        <v>1</v>
      </c>
      <c r="Q890" s="14" t="b">
        <v>0</v>
      </c>
      <c r="R890" s="14">
        <v>1</v>
      </c>
      <c r="S890" s="14" t="s">
        <v>77</v>
      </c>
      <c r="T890" s="14">
        <v>999</v>
      </c>
      <c r="U890" s="14" t="s">
        <v>214</v>
      </c>
      <c r="V890" s="14">
        <v>31566005</v>
      </c>
      <c r="X890" s="14" t="s">
        <v>204</v>
      </c>
      <c r="Y890" s="14" t="s">
        <v>215</v>
      </c>
      <c r="Z890" s="14">
        <v>20001</v>
      </c>
      <c r="AA890" s="14" t="s">
        <v>205</v>
      </c>
      <c r="AB890" s="14">
        <v>40001</v>
      </c>
      <c r="AE890" s="29" t="s">
        <v>121</v>
      </c>
      <c r="AF890" s="14" t="s">
        <v>213</v>
      </c>
      <c r="AG890" s="14" t="s">
        <v>98</v>
      </c>
    </row>
    <row r="891" spans="2:33">
      <c r="B891" s="14">
        <f>10000000+INDEX(编号表!$B:$B,MATCH(H891,编号表!$A:$A,0))*100000+INDEX(编号表!$F:$F,MATCH(D891,编号表!$E:$E,0))*10000+INDEX(编号表!$D:$D,MATCH(AG891,编号表!$C:$C,0))*1000+F891</f>
        <v>11566006</v>
      </c>
      <c r="C891" s="14" t="s">
        <v>1051</v>
      </c>
      <c r="D891" s="14" t="s">
        <v>362</v>
      </c>
      <c r="E891" s="14" t="s">
        <v>98</v>
      </c>
      <c r="F891" s="14">
        <v>6</v>
      </c>
      <c r="G891" s="14">
        <v>60</v>
      </c>
      <c r="H891" s="31" t="s">
        <v>228</v>
      </c>
      <c r="I891" s="14" t="s">
        <v>75</v>
      </c>
      <c r="J891" s="14" t="s">
        <v>201</v>
      </c>
      <c r="K891" s="14">
        <v>1</v>
      </c>
      <c r="L891" s="14" t="s">
        <v>213</v>
      </c>
      <c r="N891" s="14">
        <v>0</v>
      </c>
      <c r="O891" s="14" t="b">
        <v>1</v>
      </c>
      <c r="Q891" s="14" t="b">
        <v>0</v>
      </c>
      <c r="R891" s="14">
        <v>1</v>
      </c>
      <c r="S891" s="14" t="s">
        <v>77</v>
      </c>
      <c r="T891" s="14">
        <v>999</v>
      </c>
      <c r="U891" s="14" t="s">
        <v>214</v>
      </c>
      <c r="V891" s="14">
        <v>31566006</v>
      </c>
      <c r="X891" s="14" t="s">
        <v>204</v>
      </c>
      <c r="Y891" s="14" t="s">
        <v>215</v>
      </c>
      <c r="Z891" s="14">
        <v>20001</v>
      </c>
      <c r="AA891" s="14" t="s">
        <v>205</v>
      </c>
      <c r="AB891" s="14">
        <v>40001</v>
      </c>
      <c r="AE891" s="29" t="s">
        <v>121</v>
      </c>
      <c r="AF891" s="14" t="s">
        <v>213</v>
      </c>
      <c r="AG891" s="14" t="s">
        <v>98</v>
      </c>
    </row>
    <row r="892" spans="2:33">
      <c r="B892" s="14">
        <f>10000000+INDEX(编号表!$B:$B,MATCH(H892,编号表!$A:$A,0))*100000+INDEX(编号表!$F:$F,MATCH(D892,编号表!$E:$E,0))*10000+INDEX(编号表!$D:$D,MATCH(AG892,编号表!$C:$C,0))*1000+F892</f>
        <v>11566007</v>
      </c>
      <c r="C892" s="14" t="s">
        <v>1052</v>
      </c>
      <c r="D892" s="14" t="s">
        <v>362</v>
      </c>
      <c r="E892" s="14" t="s">
        <v>98</v>
      </c>
      <c r="F892" s="14">
        <v>7</v>
      </c>
      <c r="G892" s="14">
        <v>60</v>
      </c>
      <c r="H892" s="31" t="s">
        <v>228</v>
      </c>
      <c r="I892" s="14" t="s">
        <v>75</v>
      </c>
      <c r="J892" s="14" t="s">
        <v>201</v>
      </c>
      <c r="K892" s="14">
        <v>1</v>
      </c>
      <c r="L892" s="14" t="s">
        <v>213</v>
      </c>
      <c r="N892" s="14">
        <v>0</v>
      </c>
      <c r="O892" s="14" t="b">
        <v>1</v>
      </c>
      <c r="Q892" s="14" t="b">
        <v>0</v>
      </c>
      <c r="R892" s="14">
        <v>1</v>
      </c>
      <c r="S892" s="14" t="s">
        <v>77</v>
      </c>
      <c r="T892" s="14">
        <v>999</v>
      </c>
      <c r="U892" s="14" t="s">
        <v>214</v>
      </c>
      <c r="V892" s="14">
        <v>31566007</v>
      </c>
      <c r="X892" s="14" t="s">
        <v>204</v>
      </c>
      <c r="Y892" s="14" t="s">
        <v>215</v>
      </c>
      <c r="Z892" s="14">
        <v>20001</v>
      </c>
      <c r="AA892" s="14" t="s">
        <v>205</v>
      </c>
      <c r="AB892" s="14">
        <v>40001</v>
      </c>
      <c r="AE892" s="29" t="s">
        <v>121</v>
      </c>
      <c r="AF892" s="14" t="s">
        <v>213</v>
      </c>
      <c r="AG892" s="14" t="s">
        <v>98</v>
      </c>
    </row>
    <row r="893" spans="2:33">
      <c r="B893" s="14">
        <f>10000000+INDEX(编号表!$B:$B,MATCH(H893,编号表!$A:$A,0))*100000+INDEX(编号表!$F:$F,MATCH(D893,编号表!$E:$E,0))*10000+INDEX(编号表!$D:$D,MATCH(AG893,编号表!$C:$C,0))*1000+F893</f>
        <v>11566008</v>
      </c>
      <c r="C893" s="14" t="s">
        <v>1053</v>
      </c>
      <c r="D893" s="14" t="s">
        <v>362</v>
      </c>
      <c r="E893" s="14" t="s">
        <v>98</v>
      </c>
      <c r="F893" s="14">
        <v>8</v>
      </c>
      <c r="G893" s="14">
        <v>60</v>
      </c>
      <c r="H893" s="31" t="s">
        <v>228</v>
      </c>
      <c r="I893" s="14" t="s">
        <v>75</v>
      </c>
      <c r="J893" s="14" t="s">
        <v>201</v>
      </c>
      <c r="K893" s="14">
        <v>1</v>
      </c>
      <c r="L893" s="14" t="s">
        <v>213</v>
      </c>
      <c r="N893" s="14">
        <v>0</v>
      </c>
      <c r="O893" s="14" t="b">
        <v>1</v>
      </c>
      <c r="Q893" s="14" t="b">
        <v>0</v>
      </c>
      <c r="R893" s="14">
        <v>1</v>
      </c>
      <c r="S893" s="14" t="s">
        <v>77</v>
      </c>
      <c r="T893" s="14">
        <v>999</v>
      </c>
      <c r="U893" s="14" t="s">
        <v>214</v>
      </c>
      <c r="V893" s="14">
        <v>31566008</v>
      </c>
      <c r="X893" s="14" t="s">
        <v>204</v>
      </c>
      <c r="Y893" s="14" t="s">
        <v>215</v>
      </c>
      <c r="Z893" s="14">
        <v>20001</v>
      </c>
      <c r="AA893" s="14" t="s">
        <v>205</v>
      </c>
      <c r="AB893" s="14">
        <v>40001</v>
      </c>
      <c r="AE893" s="29" t="s">
        <v>121</v>
      </c>
      <c r="AF893" s="14" t="s">
        <v>213</v>
      </c>
      <c r="AG893" s="14" t="s">
        <v>98</v>
      </c>
    </row>
    <row r="894" spans="2:33">
      <c r="B894" s="14">
        <f>10000000+INDEX(编号表!$B:$B,MATCH(H894,编号表!$A:$A,0))*100000+INDEX(编号表!$F:$F,MATCH(D894,编号表!$E:$E,0))*10000+INDEX(编号表!$D:$D,MATCH(AG894,编号表!$C:$C,0))*1000+F894</f>
        <v>11566009</v>
      </c>
      <c r="C894" s="14" t="s">
        <v>1054</v>
      </c>
      <c r="D894" s="14" t="s">
        <v>362</v>
      </c>
      <c r="E894" s="14" t="s">
        <v>98</v>
      </c>
      <c r="F894" s="14">
        <v>9</v>
      </c>
      <c r="G894" s="14">
        <v>60</v>
      </c>
      <c r="H894" s="31" t="s">
        <v>228</v>
      </c>
      <c r="I894" s="14" t="s">
        <v>75</v>
      </c>
      <c r="J894" s="14" t="s">
        <v>201</v>
      </c>
      <c r="K894" s="14">
        <v>1</v>
      </c>
      <c r="L894" s="14" t="s">
        <v>213</v>
      </c>
      <c r="N894" s="14">
        <v>0</v>
      </c>
      <c r="O894" s="14" t="b">
        <v>1</v>
      </c>
      <c r="Q894" s="14" t="b">
        <v>0</v>
      </c>
      <c r="R894" s="14">
        <v>1</v>
      </c>
      <c r="S894" s="14" t="s">
        <v>77</v>
      </c>
      <c r="T894" s="14">
        <v>999</v>
      </c>
      <c r="U894" s="14" t="s">
        <v>214</v>
      </c>
      <c r="V894" s="14">
        <v>31566009</v>
      </c>
      <c r="X894" s="14" t="s">
        <v>204</v>
      </c>
      <c r="Y894" s="14" t="s">
        <v>215</v>
      </c>
      <c r="Z894" s="14">
        <v>20001</v>
      </c>
      <c r="AA894" s="14" t="s">
        <v>205</v>
      </c>
      <c r="AB894" s="14">
        <v>40001</v>
      </c>
      <c r="AE894" s="29" t="s">
        <v>121</v>
      </c>
      <c r="AF894" s="14" t="s">
        <v>213</v>
      </c>
      <c r="AG894" s="14" t="s">
        <v>98</v>
      </c>
    </row>
    <row r="895" spans="2:33">
      <c r="B895" s="14">
        <f>10000000+INDEX(编号表!$B:$B,MATCH(H895,编号表!$A:$A,0))*100000+INDEX(编号表!$F:$F,MATCH(D895,编号表!$E:$E,0))*10000+INDEX(编号表!$D:$D,MATCH(AG895,编号表!$C:$C,0))*1000+F895</f>
        <v>11466000</v>
      </c>
      <c r="C895" s="14" t="s">
        <v>1055</v>
      </c>
      <c r="D895" s="14" t="s">
        <v>362</v>
      </c>
      <c r="E895" s="14" t="s">
        <v>98</v>
      </c>
      <c r="F895" s="14">
        <v>0</v>
      </c>
      <c r="G895" s="14">
        <v>60</v>
      </c>
      <c r="H895" s="31" t="s">
        <v>239</v>
      </c>
      <c r="I895" s="14" t="s">
        <v>75</v>
      </c>
      <c r="J895" s="14" t="s">
        <v>201</v>
      </c>
      <c r="K895" s="14">
        <v>1</v>
      </c>
      <c r="L895" s="14" t="s">
        <v>213</v>
      </c>
      <c r="N895" s="14">
        <v>0</v>
      </c>
      <c r="O895" s="14" t="b">
        <v>1</v>
      </c>
      <c r="Q895" s="14" t="b">
        <v>0</v>
      </c>
      <c r="R895" s="14">
        <v>1</v>
      </c>
      <c r="S895" s="14" t="s">
        <v>77</v>
      </c>
      <c r="T895" s="14">
        <v>999</v>
      </c>
      <c r="U895" s="14" t="s">
        <v>214</v>
      </c>
      <c r="V895" s="14">
        <v>31466000</v>
      </c>
      <c r="X895" s="14" t="s">
        <v>204</v>
      </c>
      <c r="Y895" s="14" t="s">
        <v>215</v>
      </c>
      <c r="Z895" s="14">
        <v>20001</v>
      </c>
      <c r="AA895" s="14" t="s">
        <v>205</v>
      </c>
      <c r="AB895" s="14">
        <v>40001</v>
      </c>
      <c r="AE895" s="29" t="s">
        <v>121</v>
      </c>
      <c r="AF895" s="14" t="s">
        <v>213</v>
      </c>
      <c r="AG895" s="14" t="s">
        <v>98</v>
      </c>
    </row>
    <row r="896" spans="2:33">
      <c r="B896" s="14">
        <f>10000000+INDEX(编号表!$B:$B,MATCH(H896,编号表!$A:$A,0))*100000+INDEX(编号表!$F:$F,MATCH(D896,编号表!$E:$E,0))*10000+INDEX(编号表!$D:$D,MATCH(AG896,编号表!$C:$C,0))*1000+F896</f>
        <v>11466001</v>
      </c>
      <c r="C896" s="14" t="s">
        <v>1056</v>
      </c>
      <c r="D896" s="14" t="s">
        <v>362</v>
      </c>
      <c r="E896" s="14" t="s">
        <v>98</v>
      </c>
      <c r="F896" s="14">
        <v>1</v>
      </c>
      <c r="G896" s="14">
        <v>60</v>
      </c>
      <c r="H896" s="31" t="s">
        <v>239</v>
      </c>
      <c r="I896" s="14" t="s">
        <v>75</v>
      </c>
      <c r="J896" s="14" t="s">
        <v>201</v>
      </c>
      <c r="K896" s="14">
        <v>1</v>
      </c>
      <c r="L896" s="14" t="s">
        <v>213</v>
      </c>
      <c r="N896" s="14">
        <v>0</v>
      </c>
      <c r="O896" s="14" t="b">
        <v>1</v>
      </c>
      <c r="Q896" s="14" t="b">
        <v>0</v>
      </c>
      <c r="R896" s="14">
        <v>1</v>
      </c>
      <c r="S896" s="14" t="s">
        <v>77</v>
      </c>
      <c r="T896" s="14">
        <v>999</v>
      </c>
      <c r="U896" s="14" t="s">
        <v>214</v>
      </c>
      <c r="V896" s="14">
        <v>31466001</v>
      </c>
      <c r="X896" s="14" t="s">
        <v>204</v>
      </c>
      <c r="Y896" s="14" t="s">
        <v>215</v>
      </c>
      <c r="Z896" s="14">
        <v>20001</v>
      </c>
      <c r="AA896" s="14" t="s">
        <v>205</v>
      </c>
      <c r="AB896" s="14">
        <v>40001</v>
      </c>
      <c r="AE896" s="29" t="s">
        <v>121</v>
      </c>
      <c r="AF896" s="14" t="s">
        <v>213</v>
      </c>
      <c r="AG896" s="14" t="s">
        <v>98</v>
      </c>
    </row>
    <row r="897" spans="2:33">
      <c r="B897" s="14">
        <f>10000000+INDEX(编号表!$B:$B,MATCH(H897,编号表!$A:$A,0))*100000+INDEX(编号表!$F:$F,MATCH(D897,编号表!$E:$E,0))*10000+INDEX(编号表!$D:$D,MATCH(AG897,编号表!$C:$C,0))*1000+F897</f>
        <v>11466002</v>
      </c>
      <c r="C897" s="14" t="s">
        <v>1057</v>
      </c>
      <c r="D897" s="14" t="s">
        <v>362</v>
      </c>
      <c r="E897" s="14" t="s">
        <v>98</v>
      </c>
      <c r="F897" s="14">
        <v>2</v>
      </c>
      <c r="G897" s="14">
        <v>60</v>
      </c>
      <c r="H897" s="31" t="s">
        <v>239</v>
      </c>
      <c r="I897" s="14" t="s">
        <v>75</v>
      </c>
      <c r="J897" s="14" t="s">
        <v>201</v>
      </c>
      <c r="K897" s="14">
        <v>1</v>
      </c>
      <c r="L897" s="14" t="s">
        <v>213</v>
      </c>
      <c r="N897" s="14">
        <v>0</v>
      </c>
      <c r="O897" s="14" t="b">
        <v>1</v>
      </c>
      <c r="Q897" s="14" t="b">
        <v>0</v>
      </c>
      <c r="R897" s="14">
        <v>1</v>
      </c>
      <c r="S897" s="14" t="s">
        <v>77</v>
      </c>
      <c r="T897" s="14">
        <v>999</v>
      </c>
      <c r="U897" s="14" t="s">
        <v>214</v>
      </c>
      <c r="V897" s="14">
        <v>31466002</v>
      </c>
      <c r="X897" s="14" t="s">
        <v>204</v>
      </c>
      <c r="Y897" s="14" t="s">
        <v>215</v>
      </c>
      <c r="Z897" s="14">
        <v>20001</v>
      </c>
      <c r="AA897" s="14" t="s">
        <v>205</v>
      </c>
      <c r="AB897" s="14">
        <v>40001</v>
      </c>
      <c r="AE897" s="29" t="s">
        <v>121</v>
      </c>
      <c r="AF897" s="14" t="s">
        <v>213</v>
      </c>
      <c r="AG897" s="14" t="s">
        <v>98</v>
      </c>
    </row>
    <row r="898" spans="2:33">
      <c r="B898" s="14">
        <f>10000000+INDEX(编号表!$B:$B,MATCH(H898,编号表!$A:$A,0))*100000+INDEX(编号表!$F:$F,MATCH(D898,编号表!$E:$E,0))*10000+INDEX(编号表!$D:$D,MATCH(AG898,编号表!$C:$C,0))*1000+F898</f>
        <v>11466003</v>
      </c>
      <c r="C898" s="14" t="s">
        <v>1058</v>
      </c>
      <c r="D898" s="14" t="s">
        <v>362</v>
      </c>
      <c r="E898" s="14" t="s">
        <v>98</v>
      </c>
      <c r="F898" s="14">
        <v>3</v>
      </c>
      <c r="G898" s="14">
        <v>60</v>
      </c>
      <c r="H898" s="31" t="s">
        <v>239</v>
      </c>
      <c r="I898" s="14" t="s">
        <v>75</v>
      </c>
      <c r="J898" s="14" t="s">
        <v>201</v>
      </c>
      <c r="K898" s="14">
        <v>1</v>
      </c>
      <c r="L898" s="14" t="s">
        <v>213</v>
      </c>
      <c r="N898" s="14">
        <v>0</v>
      </c>
      <c r="O898" s="14" t="b">
        <v>1</v>
      </c>
      <c r="Q898" s="14" t="b">
        <v>0</v>
      </c>
      <c r="R898" s="14">
        <v>1</v>
      </c>
      <c r="S898" s="14" t="s">
        <v>77</v>
      </c>
      <c r="T898" s="14">
        <v>999</v>
      </c>
      <c r="U898" s="14" t="s">
        <v>214</v>
      </c>
      <c r="V898" s="14">
        <v>31466003</v>
      </c>
      <c r="X898" s="14" t="s">
        <v>204</v>
      </c>
      <c r="Y898" s="14" t="s">
        <v>215</v>
      </c>
      <c r="Z898" s="14">
        <v>20001</v>
      </c>
      <c r="AA898" s="14" t="s">
        <v>205</v>
      </c>
      <c r="AB898" s="14">
        <v>40001</v>
      </c>
      <c r="AE898" s="29" t="s">
        <v>121</v>
      </c>
      <c r="AF898" s="14" t="s">
        <v>213</v>
      </c>
      <c r="AG898" s="14" t="s">
        <v>98</v>
      </c>
    </row>
    <row r="899" spans="2:33">
      <c r="B899" s="14">
        <f>10000000+INDEX(编号表!$B:$B,MATCH(H899,编号表!$A:$A,0))*100000+INDEX(编号表!$F:$F,MATCH(D899,编号表!$E:$E,0))*10000+INDEX(编号表!$D:$D,MATCH(AG899,编号表!$C:$C,0))*1000+F899</f>
        <v>11666000</v>
      </c>
      <c r="C899" s="14" t="s">
        <v>1059</v>
      </c>
      <c r="D899" s="14" t="s">
        <v>362</v>
      </c>
      <c r="E899" s="14" t="s">
        <v>98</v>
      </c>
      <c r="F899" s="14">
        <v>0</v>
      </c>
      <c r="G899" s="14">
        <v>60</v>
      </c>
      <c r="H899" s="31" t="s">
        <v>244</v>
      </c>
      <c r="I899" s="14" t="s">
        <v>75</v>
      </c>
      <c r="J899" s="14" t="s">
        <v>201</v>
      </c>
      <c r="K899" s="14">
        <v>1</v>
      </c>
      <c r="L899" s="14" t="s">
        <v>213</v>
      </c>
      <c r="N899" s="14">
        <v>0</v>
      </c>
      <c r="O899" s="14" t="b">
        <v>1</v>
      </c>
      <c r="Q899" s="14" t="b">
        <v>0</v>
      </c>
      <c r="R899" s="14">
        <v>1</v>
      </c>
      <c r="S899" s="14" t="s">
        <v>77</v>
      </c>
      <c r="T899" s="14">
        <v>999</v>
      </c>
      <c r="U899" s="14" t="s">
        <v>214</v>
      </c>
      <c r="V899" s="14">
        <v>31666000</v>
      </c>
      <c r="X899" s="14" t="s">
        <v>204</v>
      </c>
      <c r="Y899" s="14" t="s">
        <v>215</v>
      </c>
      <c r="Z899" s="14">
        <v>20001</v>
      </c>
      <c r="AA899" s="14" t="s">
        <v>205</v>
      </c>
      <c r="AB899" s="14">
        <v>40001</v>
      </c>
      <c r="AE899" s="29" t="s">
        <v>121</v>
      </c>
      <c r="AF899" s="14" t="s">
        <v>213</v>
      </c>
      <c r="AG899" s="14" t="s">
        <v>98</v>
      </c>
    </row>
    <row r="900" spans="2:33">
      <c r="B900" s="14">
        <f>10000000+INDEX(编号表!$B:$B,MATCH(H900,编号表!$A:$A,0))*100000+INDEX(编号表!$F:$F,MATCH(D900,编号表!$E:$E,0))*10000+INDEX(编号表!$D:$D,MATCH(AG900,编号表!$C:$C,0))*1000+F900</f>
        <v>11666001</v>
      </c>
      <c r="C900" s="14" t="s">
        <v>1060</v>
      </c>
      <c r="D900" s="14" t="s">
        <v>362</v>
      </c>
      <c r="E900" s="14" t="s">
        <v>98</v>
      </c>
      <c r="F900" s="14">
        <v>1</v>
      </c>
      <c r="G900" s="14">
        <v>60</v>
      </c>
      <c r="H900" s="31" t="s">
        <v>244</v>
      </c>
      <c r="I900" s="14" t="s">
        <v>75</v>
      </c>
      <c r="J900" s="14" t="s">
        <v>201</v>
      </c>
      <c r="K900" s="14">
        <v>1</v>
      </c>
      <c r="L900" s="14" t="s">
        <v>213</v>
      </c>
      <c r="N900" s="14">
        <v>0</v>
      </c>
      <c r="O900" s="14" t="b">
        <v>1</v>
      </c>
      <c r="Q900" s="14" t="b">
        <v>0</v>
      </c>
      <c r="R900" s="14">
        <v>1</v>
      </c>
      <c r="S900" s="14" t="s">
        <v>77</v>
      </c>
      <c r="T900" s="14">
        <v>999</v>
      </c>
      <c r="U900" s="14" t="s">
        <v>214</v>
      </c>
      <c r="V900" s="14">
        <v>31666001</v>
      </c>
      <c r="X900" s="14" t="s">
        <v>204</v>
      </c>
      <c r="Y900" s="14" t="s">
        <v>215</v>
      </c>
      <c r="Z900" s="14">
        <v>20001</v>
      </c>
      <c r="AA900" s="14" t="s">
        <v>205</v>
      </c>
      <c r="AB900" s="14">
        <v>40001</v>
      </c>
      <c r="AE900" s="29" t="s">
        <v>121</v>
      </c>
      <c r="AF900" s="14" t="s">
        <v>213</v>
      </c>
      <c r="AG900" s="14" t="s">
        <v>98</v>
      </c>
    </row>
    <row r="901" spans="2:33">
      <c r="B901" s="14">
        <f>10000000+INDEX(编号表!$B:$B,MATCH(H901,编号表!$A:$A,0))*100000+INDEX(编号表!$F:$F,MATCH(D901,编号表!$E:$E,0))*10000+INDEX(编号表!$D:$D,MATCH(AG901,编号表!$C:$C,0))*1000+F901</f>
        <v>11666002</v>
      </c>
      <c r="C901" s="14" t="s">
        <v>1061</v>
      </c>
      <c r="D901" s="14" t="s">
        <v>362</v>
      </c>
      <c r="E901" s="14" t="s">
        <v>98</v>
      </c>
      <c r="F901" s="14">
        <v>2</v>
      </c>
      <c r="G901" s="14">
        <v>60</v>
      </c>
      <c r="H901" s="31" t="s">
        <v>244</v>
      </c>
      <c r="I901" s="14" t="s">
        <v>75</v>
      </c>
      <c r="J901" s="14" t="s">
        <v>201</v>
      </c>
      <c r="K901" s="14">
        <v>1</v>
      </c>
      <c r="L901" s="14" t="s">
        <v>213</v>
      </c>
      <c r="N901" s="14">
        <v>0</v>
      </c>
      <c r="O901" s="14" t="b">
        <v>1</v>
      </c>
      <c r="Q901" s="14" t="b">
        <v>0</v>
      </c>
      <c r="R901" s="14">
        <v>1</v>
      </c>
      <c r="S901" s="14" t="s">
        <v>77</v>
      </c>
      <c r="T901" s="14">
        <v>999</v>
      </c>
      <c r="U901" s="14" t="s">
        <v>214</v>
      </c>
      <c r="V901" s="14">
        <v>31666002</v>
      </c>
      <c r="X901" s="14" t="s">
        <v>204</v>
      </c>
      <c r="Y901" s="14" t="s">
        <v>215</v>
      </c>
      <c r="Z901" s="14">
        <v>20001</v>
      </c>
      <c r="AA901" s="14" t="s">
        <v>205</v>
      </c>
      <c r="AB901" s="14">
        <v>40001</v>
      </c>
      <c r="AE901" s="29" t="s">
        <v>121</v>
      </c>
      <c r="AF901" s="14" t="s">
        <v>213</v>
      </c>
      <c r="AG901" s="14" t="s">
        <v>98</v>
      </c>
    </row>
    <row r="902" spans="2:33">
      <c r="B902" s="14">
        <f>10000000+INDEX(编号表!$B:$B,MATCH(H902,编号表!$A:$A,0))*100000+INDEX(编号表!$F:$F,MATCH(D902,编号表!$E:$E,0))*10000+INDEX(编号表!$D:$D,MATCH(AG902,编号表!$C:$C,0))*1000+F902</f>
        <v>11217000</v>
      </c>
      <c r="C902" s="14" t="s">
        <v>1062</v>
      </c>
      <c r="D902" s="14" t="s">
        <v>72</v>
      </c>
      <c r="E902" s="14" t="s">
        <v>101</v>
      </c>
      <c r="F902" s="14">
        <v>0</v>
      </c>
      <c r="G902" s="14">
        <v>60</v>
      </c>
      <c r="H902" s="31" t="s">
        <v>212</v>
      </c>
      <c r="I902" s="14" t="s">
        <v>75</v>
      </c>
      <c r="J902" s="14" t="s">
        <v>201</v>
      </c>
      <c r="K902" s="14">
        <v>1</v>
      </c>
      <c r="L902" s="14" t="s">
        <v>213</v>
      </c>
      <c r="N902" s="14">
        <v>0</v>
      </c>
      <c r="O902" s="14" t="b">
        <v>1</v>
      </c>
      <c r="Q902" s="14" t="b">
        <v>0</v>
      </c>
      <c r="R902" s="14">
        <v>1</v>
      </c>
      <c r="S902" s="14" t="s">
        <v>77</v>
      </c>
      <c r="T902" s="14">
        <v>999</v>
      </c>
      <c r="U902" s="14" t="s">
        <v>214</v>
      </c>
      <c r="V902" s="14">
        <v>31217000</v>
      </c>
      <c r="X902" s="14" t="s">
        <v>204</v>
      </c>
      <c r="Y902" s="14" t="s">
        <v>215</v>
      </c>
      <c r="Z902" s="14">
        <v>20001</v>
      </c>
      <c r="AA902" s="14" t="s">
        <v>205</v>
      </c>
      <c r="AB902" s="14">
        <v>40001</v>
      </c>
      <c r="AE902" s="29" t="s">
        <v>121</v>
      </c>
      <c r="AF902" s="14" t="s">
        <v>213</v>
      </c>
      <c r="AG902" s="14" t="s">
        <v>101</v>
      </c>
    </row>
    <row r="903" spans="2:33">
      <c r="B903" s="14">
        <f>10000000+INDEX(编号表!$B:$B,MATCH(H903,编号表!$A:$A,0))*100000+INDEX(编号表!$F:$F,MATCH(D903,编号表!$E:$E,0))*10000+INDEX(编号表!$D:$D,MATCH(AG903,编号表!$C:$C,0))*1000+F903</f>
        <v>11317000</v>
      </c>
      <c r="C903" s="14" t="s">
        <v>1063</v>
      </c>
      <c r="D903" s="14" t="s">
        <v>72</v>
      </c>
      <c r="E903" s="14" t="s">
        <v>101</v>
      </c>
      <c r="F903" s="14">
        <v>0</v>
      </c>
      <c r="G903" s="14">
        <v>60</v>
      </c>
      <c r="H903" s="31" t="s">
        <v>217</v>
      </c>
      <c r="I903" s="14" t="s">
        <v>75</v>
      </c>
      <c r="J903" s="14" t="s">
        <v>201</v>
      </c>
      <c r="K903" s="14">
        <v>1</v>
      </c>
      <c r="L903" s="14" t="s">
        <v>213</v>
      </c>
      <c r="N903" s="14">
        <v>0</v>
      </c>
      <c r="O903" s="14" t="b">
        <v>1</v>
      </c>
      <c r="Q903" s="14" t="b">
        <v>0</v>
      </c>
      <c r="R903" s="14">
        <v>1</v>
      </c>
      <c r="S903" s="14" t="s">
        <v>77</v>
      </c>
      <c r="T903" s="14">
        <v>999</v>
      </c>
      <c r="U903" s="14" t="s">
        <v>214</v>
      </c>
      <c r="V903" s="14">
        <v>31317000</v>
      </c>
      <c r="X903" s="14" t="s">
        <v>204</v>
      </c>
      <c r="Y903" s="14" t="s">
        <v>215</v>
      </c>
      <c r="Z903" s="14">
        <v>20001</v>
      </c>
      <c r="AA903" s="14" t="s">
        <v>205</v>
      </c>
      <c r="AB903" s="14">
        <v>40001</v>
      </c>
      <c r="AE903" s="29" t="s">
        <v>121</v>
      </c>
      <c r="AF903" s="14" t="s">
        <v>213</v>
      </c>
      <c r="AG903" s="14" t="s">
        <v>101</v>
      </c>
    </row>
    <row r="904" spans="2:33">
      <c r="B904" s="14">
        <f>10000000+INDEX(编号表!$B:$B,MATCH(H904,编号表!$A:$A,0))*100000+INDEX(编号表!$F:$F,MATCH(D904,编号表!$E:$E,0))*10000+INDEX(编号表!$D:$D,MATCH(AG904,编号表!$C:$C,0))*1000+F904</f>
        <v>11317001</v>
      </c>
      <c r="C904" s="14" t="s">
        <v>1064</v>
      </c>
      <c r="D904" s="14" t="s">
        <v>72</v>
      </c>
      <c r="E904" s="14" t="s">
        <v>101</v>
      </c>
      <c r="F904" s="14">
        <v>1</v>
      </c>
      <c r="G904" s="14">
        <v>60</v>
      </c>
      <c r="H904" s="31" t="s">
        <v>217</v>
      </c>
      <c r="I904" s="14" t="s">
        <v>75</v>
      </c>
      <c r="J904" s="14" t="s">
        <v>201</v>
      </c>
      <c r="K904" s="14">
        <v>1</v>
      </c>
      <c r="L904" s="14" t="s">
        <v>213</v>
      </c>
      <c r="N904" s="14">
        <v>0</v>
      </c>
      <c r="O904" s="14" t="b">
        <v>1</v>
      </c>
      <c r="Q904" s="14" t="b">
        <v>0</v>
      </c>
      <c r="R904" s="14">
        <v>1</v>
      </c>
      <c r="S904" s="14" t="s">
        <v>77</v>
      </c>
      <c r="T904" s="14">
        <v>999</v>
      </c>
      <c r="U904" s="14" t="s">
        <v>214</v>
      </c>
      <c r="V904" s="14">
        <v>31317001</v>
      </c>
      <c r="X904" s="14" t="s">
        <v>204</v>
      </c>
      <c r="Y904" s="14" t="s">
        <v>215</v>
      </c>
      <c r="Z904" s="14">
        <v>20001</v>
      </c>
      <c r="AA904" s="14" t="s">
        <v>205</v>
      </c>
      <c r="AB904" s="14">
        <v>40001</v>
      </c>
      <c r="AE904" s="29" t="s">
        <v>121</v>
      </c>
      <c r="AF904" s="14" t="s">
        <v>213</v>
      </c>
      <c r="AG904" s="14" t="s">
        <v>101</v>
      </c>
    </row>
    <row r="905" spans="2:33">
      <c r="B905" s="14">
        <f>10000000+INDEX(编号表!$B:$B,MATCH(H905,编号表!$A:$A,0))*100000+INDEX(编号表!$F:$F,MATCH(D905,编号表!$E:$E,0))*10000+INDEX(编号表!$D:$D,MATCH(AG905,编号表!$C:$C,0))*1000+F905</f>
        <v>11317002</v>
      </c>
      <c r="C905" s="14" t="s">
        <v>1065</v>
      </c>
      <c r="D905" s="14" t="s">
        <v>72</v>
      </c>
      <c r="E905" s="14" t="s">
        <v>101</v>
      </c>
      <c r="F905" s="14">
        <v>2</v>
      </c>
      <c r="G905" s="14">
        <v>60</v>
      </c>
      <c r="H905" s="31" t="s">
        <v>217</v>
      </c>
      <c r="I905" s="14" t="s">
        <v>75</v>
      </c>
      <c r="J905" s="14" t="s">
        <v>201</v>
      </c>
      <c r="K905" s="14">
        <v>1</v>
      </c>
      <c r="L905" s="14" t="s">
        <v>213</v>
      </c>
      <c r="N905" s="14">
        <v>0</v>
      </c>
      <c r="O905" s="14" t="b">
        <v>1</v>
      </c>
      <c r="Q905" s="14" t="b">
        <v>0</v>
      </c>
      <c r="R905" s="14">
        <v>1</v>
      </c>
      <c r="S905" s="14" t="s">
        <v>77</v>
      </c>
      <c r="T905" s="14">
        <v>999</v>
      </c>
      <c r="U905" s="14" t="s">
        <v>214</v>
      </c>
      <c r="V905" s="14">
        <v>31317002</v>
      </c>
      <c r="X905" s="14" t="s">
        <v>204</v>
      </c>
      <c r="Y905" s="14" t="s">
        <v>215</v>
      </c>
      <c r="Z905" s="14">
        <v>20001</v>
      </c>
      <c r="AA905" s="14" t="s">
        <v>205</v>
      </c>
      <c r="AB905" s="14">
        <v>40001</v>
      </c>
      <c r="AE905" s="29" t="s">
        <v>121</v>
      </c>
      <c r="AF905" s="14" t="s">
        <v>213</v>
      </c>
      <c r="AG905" s="14" t="s">
        <v>101</v>
      </c>
    </row>
    <row r="906" spans="2:33">
      <c r="B906" s="14">
        <f>10000000+INDEX(编号表!$B:$B,MATCH(H906,编号表!$A:$A,0))*100000+INDEX(编号表!$F:$F,MATCH(D906,编号表!$E:$E,0))*10000+INDEX(编号表!$D:$D,MATCH(AG906,编号表!$C:$C,0))*1000+F906</f>
        <v>11317003</v>
      </c>
      <c r="C906" s="14" t="s">
        <v>1066</v>
      </c>
      <c r="D906" s="14" t="s">
        <v>72</v>
      </c>
      <c r="E906" s="14" t="s">
        <v>101</v>
      </c>
      <c r="F906" s="14">
        <v>3</v>
      </c>
      <c r="G906" s="14">
        <v>60</v>
      </c>
      <c r="H906" s="31" t="s">
        <v>217</v>
      </c>
      <c r="I906" s="14" t="s">
        <v>75</v>
      </c>
      <c r="J906" s="14" t="s">
        <v>201</v>
      </c>
      <c r="K906" s="14">
        <v>1</v>
      </c>
      <c r="L906" s="14" t="s">
        <v>213</v>
      </c>
      <c r="N906" s="14">
        <v>0</v>
      </c>
      <c r="O906" s="14" t="b">
        <v>1</v>
      </c>
      <c r="Q906" s="14" t="b">
        <v>0</v>
      </c>
      <c r="R906" s="14">
        <v>1</v>
      </c>
      <c r="S906" s="14" t="s">
        <v>77</v>
      </c>
      <c r="T906" s="14">
        <v>999</v>
      </c>
      <c r="U906" s="14" t="s">
        <v>214</v>
      </c>
      <c r="V906" s="14">
        <v>31317003</v>
      </c>
      <c r="X906" s="14" t="s">
        <v>204</v>
      </c>
      <c r="Y906" s="14" t="s">
        <v>215</v>
      </c>
      <c r="Z906" s="14">
        <v>20001</v>
      </c>
      <c r="AA906" s="14" t="s">
        <v>205</v>
      </c>
      <c r="AB906" s="14">
        <v>40001</v>
      </c>
      <c r="AE906" s="29" t="s">
        <v>121</v>
      </c>
      <c r="AF906" s="14" t="s">
        <v>213</v>
      </c>
      <c r="AG906" s="14" t="s">
        <v>101</v>
      </c>
    </row>
    <row r="907" spans="2:33">
      <c r="B907" s="14">
        <f>10000000+INDEX(编号表!$B:$B,MATCH(H907,编号表!$A:$A,0))*100000+INDEX(编号表!$F:$F,MATCH(D907,编号表!$E:$E,0))*10000+INDEX(编号表!$D:$D,MATCH(AG907,编号表!$C:$C,0))*1000+F907</f>
        <v>11317004</v>
      </c>
      <c r="C907" s="14" t="s">
        <v>1067</v>
      </c>
      <c r="D907" s="14" t="s">
        <v>72</v>
      </c>
      <c r="E907" s="14" t="s">
        <v>101</v>
      </c>
      <c r="F907" s="14">
        <v>4</v>
      </c>
      <c r="G907" s="14">
        <v>60</v>
      </c>
      <c r="H907" s="31" t="s">
        <v>217</v>
      </c>
      <c r="I907" s="14" t="s">
        <v>75</v>
      </c>
      <c r="J907" s="14" t="s">
        <v>201</v>
      </c>
      <c r="K907" s="14">
        <v>1</v>
      </c>
      <c r="L907" s="14" t="s">
        <v>213</v>
      </c>
      <c r="N907" s="14">
        <v>0</v>
      </c>
      <c r="O907" s="14" t="b">
        <v>1</v>
      </c>
      <c r="Q907" s="14" t="b">
        <v>0</v>
      </c>
      <c r="R907" s="14">
        <v>1</v>
      </c>
      <c r="S907" s="14" t="s">
        <v>77</v>
      </c>
      <c r="T907" s="14">
        <v>999</v>
      </c>
      <c r="U907" s="14" t="s">
        <v>214</v>
      </c>
      <c r="V907" s="14">
        <v>31317004</v>
      </c>
      <c r="X907" s="14" t="s">
        <v>204</v>
      </c>
      <c r="Y907" s="14" t="s">
        <v>215</v>
      </c>
      <c r="Z907" s="14">
        <v>20001</v>
      </c>
      <c r="AA907" s="14" t="s">
        <v>205</v>
      </c>
      <c r="AB907" s="14">
        <v>40001</v>
      </c>
      <c r="AE907" s="29" t="s">
        <v>121</v>
      </c>
      <c r="AF907" s="14" t="s">
        <v>213</v>
      </c>
      <c r="AG907" s="14" t="s">
        <v>101</v>
      </c>
    </row>
    <row r="908" spans="2:33">
      <c r="B908" s="14">
        <f>10000000+INDEX(编号表!$B:$B,MATCH(H908,编号表!$A:$A,0))*100000+INDEX(编号表!$F:$F,MATCH(D908,编号表!$E:$E,0))*10000+INDEX(编号表!$D:$D,MATCH(AG908,编号表!$C:$C,0))*1000+F908</f>
        <v>11317005</v>
      </c>
      <c r="C908" s="14" t="s">
        <v>1068</v>
      </c>
      <c r="D908" s="14" t="s">
        <v>72</v>
      </c>
      <c r="E908" s="14" t="s">
        <v>101</v>
      </c>
      <c r="F908" s="14">
        <v>5</v>
      </c>
      <c r="G908" s="14">
        <v>60</v>
      </c>
      <c r="H908" s="31" t="s">
        <v>217</v>
      </c>
      <c r="I908" s="14" t="s">
        <v>75</v>
      </c>
      <c r="J908" s="14" t="s">
        <v>201</v>
      </c>
      <c r="K908" s="14">
        <v>1</v>
      </c>
      <c r="L908" s="14" t="s">
        <v>213</v>
      </c>
      <c r="N908" s="14">
        <v>0</v>
      </c>
      <c r="O908" s="14" t="b">
        <v>1</v>
      </c>
      <c r="Q908" s="14" t="b">
        <v>0</v>
      </c>
      <c r="R908" s="14">
        <v>1</v>
      </c>
      <c r="S908" s="14" t="s">
        <v>77</v>
      </c>
      <c r="T908" s="14">
        <v>999</v>
      </c>
      <c r="U908" s="14" t="s">
        <v>214</v>
      </c>
      <c r="V908" s="14">
        <v>31317005</v>
      </c>
      <c r="X908" s="14" t="s">
        <v>204</v>
      </c>
      <c r="Y908" s="14" t="s">
        <v>215</v>
      </c>
      <c r="Z908" s="14">
        <v>20001</v>
      </c>
      <c r="AA908" s="14" t="s">
        <v>205</v>
      </c>
      <c r="AB908" s="14">
        <v>40001</v>
      </c>
      <c r="AE908" s="29" t="s">
        <v>121</v>
      </c>
      <c r="AF908" s="14" t="s">
        <v>213</v>
      </c>
      <c r="AG908" s="14" t="s">
        <v>101</v>
      </c>
    </row>
    <row r="909" spans="2:33">
      <c r="B909" s="14">
        <f>10000000+INDEX(编号表!$B:$B,MATCH(H909,编号表!$A:$A,0))*100000+INDEX(编号表!$F:$F,MATCH(D909,编号表!$E:$E,0))*10000+INDEX(编号表!$D:$D,MATCH(AG909,编号表!$C:$C,0))*1000+F909</f>
        <v>11317006</v>
      </c>
      <c r="C909" s="14" t="s">
        <v>1069</v>
      </c>
      <c r="D909" s="14" t="s">
        <v>72</v>
      </c>
      <c r="E909" s="14" t="s">
        <v>101</v>
      </c>
      <c r="F909" s="14">
        <v>6</v>
      </c>
      <c r="G909" s="14">
        <v>60</v>
      </c>
      <c r="H909" s="31" t="s">
        <v>217</v>
      </c>
      <c r="I909" s="14" t="s">
        <v>75</v>
      </c>
      <c r="J909" s="14" t="s">
        <v>201</v>
      </c>
      <c r="K909" s="14">
        <v>1</v>
      </c>
      <c r="L909" s="14" t="s">
        <v>213</v>
      </c>
      <c r="N909" s="14">
        <v>0</v>
      </c>
      <c r="O909" s="14" t="b">
        <v>1</v>
      </c>
      <c r="Q909" s="14" t="b">
        <v>0</v>
      </c>
      <c r="R909" s="14">
        <v>1</v>
      </c>
      <c r="S909" s="14" t="s">
        <v>77</v>
      </c>
      <c r="T909" s="14">
        <v>999</v>
      </c>
      <c r="U909" s="14" t="s">
        <v>214</v>
      </c>
      <c r="V909" s="14">
        <v>31317006</v>
      </c>
      <c r="X909" s="14" t="s">
        <v>204</v>
      </c>
      <c r="Y909" s="14" t="s">
        <v>215</v>
      </c>
      <c r="Z909" s="14">
        <v>20001</v>
      </c>
      <c r="AA909" s="14" t="s">
        <v>205</v>
      </c>
      <c r="AB909" s="14">
        <v>40001</v>
      </c>
      <c r="AE909" s="29" t="s">
        <v>121</v>
      </c>
      <c r="AF909" s="14" t="s">
        <v>213</v>
      </c>
      <c r="AG909" s="14" t="s">
        <v>101</v>
      </c>
    </row>
    <row r="910" spans="2:33">
      <c r="B910" s="14">
        <f>10000000+INDEX(编号表!$B:$B,MATCH(H910,编号表!$A:$A,0))*100000+INDEX(编号表!$F:$F,MATCH(D910,编号表!$E:$E,0))*10000+INDEX(编号表!$D:$D,MATCH(AG910,编号表!$C:$C,0))*1000+F910</f>
        <v>11317007</v>
      </c>
      <c r="C910" s="14" t="s">
        <v>1070</v>
      </c>
      <c r="D910" s="14" t="s">
        <v>72</v>
      </c>
      <c r="E910" s="14" t="s">
        <v>101</v>
      </c>
      <c r="F910" s="14">
        <v>7</v>
      </c>
      <c r="G910" s="14">
        <v>60</v>
      </c>
      <c r="H910" s="31" t="s">
        <v>217</v>
      </c>
      <c r="I910" s="14" t="s">
        <v>75</v>
      </c>
      <c r="J910" s="14" t="s">
        <v>201</v>
      </c>
      <c r="K910" s="14">
        <v>1</v>
      </c>
      <c r="L910" s="14" t="s">
        <v>213</v>
      </c>
      <c r="N910" s="14">
        <v>0</v>
      </c>
      <c r="O910" s="14" t="b">
        <v>1</v>
      </c>
      <c r="Q910" s="14" t="b">
        <v>0</v>
      </c>
      <c r="R910" s="14">
        <v>1</v>
      </c>
      <c r="S910" s="14" t="s">
        <v>77</v>
      </c>
      <c r="T910" s="14">
        <v>999</v>
      </c>
      <c r="U910" s="14" t="s">
        <v>214</v>
      </c>
      <c r="V910" s="14">
        <v>31317007</v>
      </c>
      <c r="X910" s="14" t="s">
        <v>204</v>
      </c>
      <c r="Y910" s="14" t="s">
        <v>215</v>
      </c>
      <c r="Z910" s="14">
        <v>20001</v>
      </c>
      <c r="AA910" s="14" t="s">
        <v>205</v>
      </c>
      <c r="AB910" s="14">
        <v>40001</v>
      </c>
      <c r="AE910" s="29" t="s">
        <v>121</v>
      </c>
      <c r="AF910" s="14" t="s">
        <v>213</v>
      </c>
      <c r="AG910" s="14" t="s">
        <v>101</v>
      </c>
    </row>
    <row r="911" spans="2:33">
      <c r="B911" s="14">
        <f>10000000+INDEX(编号表!$B:$B,MATCH(H911,编号表!$A:$A,0))*100000+INDEX(编号表!$F:$F,MATCH(D911,编号表!$E:$E,0))*10000+INDEX(编号表!$D:$D,MATCH(AG911,编号表!$C:$C,0))*1000+F911</f>
        <v>11317008</v>
      </c>
      <c r="C911" s="14" t="s">
        <v>1071</v>
      </c>
      <c r="D911" s="14" t="s">
        <v>72</v>
      </c>
      <c r="E911" s="14" t="s">
        <v>101</v>
      </c>
      <c r="F911" s="14">
        <v>8</v>
      </c>
      <c r="G911" s="14">
        <v>60</v>
      </c>
      <c r="H911" s="31" t="s">
        <v>217</v>
      </c>
      <c r="I911" s="14" t="s">
        <v>75</v>
      </c>
      <c r="J911" s="14" t="s">
        <v>201</v>
      </c>
      <c r="K911" s="14">
        <v>1</v>
      </c>
      <c r="L911" s="14" t="s">
        <v>213</v>
      </c>
      <c r="N911" s="14">
        <v>0</v>
      </c>
      <c r="O911" s="14" t="b">
        <v>1</v>
      </c>
      <c r="Q911" s="14" t="b">
        <v>0</v>
      </c>
      <c r="R911" s="14">
        <v>1</v>
      </c>
      <c r="S911" s="14" t="s">
        <v>77</v>
      </c>
      <c r="T911" s="14">
        <v>999</v>
      </c>
      <c r="U911" s="14" t="s">
        <v>214</v>
      </c>
      <c r="V911" s="14">
        <v>31317008</v>
      </c>
      <c r="X911" s="14" t="s">
        <v>204</v>
      </c>
      <c r="Y911" s="14" t="s">
        <v>215</v>
      </c>
      <c r="Z911" s="14">
        <v>20001</v>
      </c>
      <c r="AA911" s="14" t="s">
        <v>205</v>
      </c>
      <c r="AB911" s="14">
        <v>40001</v>
      </c>
      <c r="AE911" s="29" t="s">
        <v>121</v>
      </c>
      <c r="AF911" s="14" t="s">
        <v>213</v>
      </c>
      <c r="AG911" s="14" t="s">
        <v>101</v>
      </c>
    </row>
    <row r="912" spans="2:33">
      <c r="B912" s="14">
        <f>10000000+INDEX(编号表!$B:$B,MATCH(H912,编号表!$A:$A,0))*100000+INDEX(编号表!$F:$F,MATCH(D912,编号表!$E:$E,0))*10000+INDEX(编号表!$D:$D,MATCH(AG912,编号表!$C:$C,0))*1000+F912</f>
        <v>11317009</v>
      </c>
      <c r="C912" s="14" t="s">
        <v>1072</v>
      </c>
      <c r="D912" s="14" t="s">
        <v>72</v>
      </c>
      <c r="E912" s="14" t="s">
        <v>101</v>
      </c>
      <c r="F912" s="14">
        <v>9</v>
      </c>
      <c r="G912" s="14">
        <v>60</v>
      </c>
      <c r="H912" s="31" t="s">
        <v>217</v>
      </c>
      <c r="I912" s="14" t="s">
        <v>75</v>
      </c>
      <c r="J912" s="14" t="s">
        <v>201</v>
      </c>
      <c r="K912" s="14">
        <v>1</v>
      </c>
      <c r="L912" s="14" t="s">
        <v>213</v>
      </c>
      <c r="N912" s="14">
        <v>0</v>
      </c>
      <c r="O912" s="14" t="b">
        <v>1</v>
      </c>
      <c r="Q912" s="14" t="b">
        <v>0</v>
      </c>
      <c r="R912" s="14">
        <v>1</v>
      </c>
      <c r="S912" s="14" t="s">
        <v>77</v>
      </c>
      <c r="T912" s="14">
        <v>999</v>
      </c>
      <c r="U912" s="14" t="s">
        <v>214</v>
      </c>
      <c r="V912" s="14">
        <v>31317009</v>
      </c>
      <c r="X912" s="14" t="s">
        <v>204</v>
      </c>
      <c r="Y912" s="14" t="s">
        <v>215</v>
      </c>
      <c r="Z912" s="14">
        <v>20001</v>
      </c>
      <c r="AA912" s="14" t="s">
        <v>205</v>
      </c>
      <c r="AB912" s="14">
        <v>40001</v>
      </c>
      <c r="AE912" s="29" t="s">
        <v>121</v>
      </c>
      <c r="AF912" s="14" t="s">
        <v>213</v>
      </c>
      <c r="AG912" s="14" t="s">
        <v>101</v>
      </c>
    </row>
    <row r="913" spans="2:33">
      <c r="B913" s="14">
        <f>10000000+INDEX(编号表!$B:$B,MATCH(H913,编号表!$A:$A,0))*100000+INDEX(编号表!$F:$F,MATCH(D913,编号表!$E:$E,0))*10000+INDEX(编号表!$D:$D,MATCH(AG913,编号表!$C:$C,0))*1000+F913</f>
        <v>11517000</v>
      </c>
      <c r="C913" s="14" t="s">
        <v>1073</v>
      </c>
      <c r="D913" s="14" t="s">
        <v>72</v>
      </c>
      <c r="E913" s="14" t="s">
        <v>101</v>
      </c>
      <c r="F913" s="14">
        <v>0</v>
      </c>
      <c r="G913" s="14">
        <v>60</v>
      </c>
      <c r="H913" s="31" t="s">
        <v>228</v>
      </c>
      <c r="I913" s="14" t="s">
        <v>75</v>
      </c>
      <c r="J913" s="14" t="s">
        <v>201</v>
      </c>
      <c r="K913" s="14">
        <v>1</v>
      </c>
      <c r="L913" s="14" t="s">
        <v>213</v>
      </c>
      <c r="N913" s="14">
        <v>0</v>
      </c>
      <c r="O913" s="14" t="b">
        <v>1</v>
      </c>
      <c r="Q913" s="14" t="b">
        <v>0</v>
      </c>
      <c r="R913" s="14">
        <v>1</v>
      </c>
      <c r="S913" s="14" t="s">
        <v>77</v>
      </c>
      <c r="T913" s="14">
        <v>999</v>
      </c>
      <c r="U913" s="14" t="s">
        <v>214</v>
      </c>
      <c r="V913" s="14">
        <v>31517000</v>
      </c>
      <c r="X913" s="14" t="s">
        <v>204</v>
      </c>
      <c r="Y913" s="14" t="s">
        <v>215</v>
      </c>
      <c r="Z913" s="14">
        <v>20001</v>
      </c>
      <c r="AA913" s="14" t="s">
        <v>205</v>
      </c>
      <c r="AB913" s="14">
        <v>40001</v>
      </c>
      <c r="AE913" s="29" t="s">
        <v>121</v>
      </c>
      <c r="AF913" s="14" t="s">
        <v>213</v>
      </c>
      <c r="AG913" s="14" t="s">
        <v>101</v>
      </c>
    </row>
    <row r="914" spans="2:33">
      <c r="B914" s="14">
        <f>10000000+INDEX(编号表!$B:$B,MATCH(H914,编号表!$A:$A,0))*100000+INDEX(编号表!$F:$F,MATCH(D914,编号表!$E:$E,0))*10000+INDEX(编号表!$D:$D,MATCH(AG914,编号表!$C:$C,0))*1000+F914</f>
        <v>11517001</v>
      </c>
      <c r="C914" s="14" t="s">
        <v>1074</v>
      </c>
      <c r="D914" s="14" t="s">
        <v>72</v>
      </c>
      <c r="E914" s="14" t="s">
        <v>101</v>
      </c>
      <c r="F914" s="14">
        <v>1</v>
      </c>
      <c r="G914" s="14">
        <v>60</v>
      </c>
      <c r="H914" s="31" t="s">
        <v>228</v>
      </c>
      <c r="I914" s="14" t="s">
        <v>75</v>
      </c>
      <c r="J914" s="14" t="s">
        <v>201</v>
      </c>
      <c r="K914" s="14">
        <v>1</v>
      </c>
      <c r="L914" s="14" t="s">
        <v>213</v>
      </c>
      <c r="N914" s="14">
        <v>0</v>
      </c>
      <c r="O914" s="14" t="b">
        <v>1</v>
      </c>
      <c r="Q914" s="14" t="b">
        <v>0</v>
      </c>
      <c r="R914" s="14">
        <v>1</v>
      </c>
      <c r="S914" s="14" t="s">
        <v>77</v>
      </c>
      <c r="T914" s="14">
        <v>999</v>
      </c>
      <c r="U914" s="14" t="s">
        <v>214</v>
      </c>
      <c r="V914" s="14">
        <v>31517001</v>
      </c>
      <c r="X914" s="14" t="s">
        <v>204</v>
      </c>
      <c r="Y914" s="14" t="s">
        <v>215</v>
      </c>
      <c r="Z914" s="14">
        <v>20001</v>
      </c>
      <c r="AA914" s="14" t="s">
        <v>205</v>
      </c>
      <c r="AB914" s="14">
        <v>40001</v>
      </c>
      <c r="AE914" s="29" t="s">
        <v>121</v>
      </c>
      <c r="AF914" s="14" t="s">
        <v>213</v>
      </c>
      <c r="AG914" s="14" t="s">
        <v>101</v>
      </c>
    </row>
    <row r="915" spans="2:33">
      <c r="B915" s="14">
        <f>10000000+INDEX(编号表!$B:$B,MATCH(H915,编号表!$A:$A,0))*100000+INDEX(编号表!$F:$F,MATCH(D915,编号表!$E:$E,0))*10000+INDEX(编号表!$D:$D,MATCH(AG915,编号表!$C:$C,0))*1000+F915</f>
        <v>11517002</v>
      </c>
      <c r="C915" s="14" t="s">
        <v>1075</v>
      </c>
      <c r="D915" s="14" t="s">
        <v>72</v>
      </c>
      <c r="E915" s="14" t="s">
        <v>101</v>
      </c>
      <c r="F915" s="14">
        <v>2</v>
      </c>
      <c r="G915" s="14">
        <v>60</v>
      </c>
      <c r="H915" s="31" t="s">
        <v>228</v>
      </c>
      <c r="I915" s="14" t="s">
        <v>75</v>
      </c>
      <c r="J915" s="14" t="s">
        <v>201</v>
      </c>
      <c r="K915" s="14">
        <v>1</v>
      </c>
      <c r="L915" s="14" t="s">
        <v>213</v>
      </c>
      <c r="N915" s="14">
        <v>0</v>
      </c>
      <c r="O915" s="14" t="b">
        <v>1</v>
      </c>
      <c r="Q915" s="14" t="b">
        <v>0</v>
      </c>
      <c r="R915" s="14">
        <v>1</v>
      </c>
      <c r="S915" s="14" t="s">
        <v>77</v>
      </c>
      <c r="T915" s="14">
        <v>999</v>
      </c>
      <c r="U915" s="14" t="s">
        <v>214</v>
      </c>
      <c r="V915" s="14">
        <v>31517002</v>
      </c>
      <c r="X915" s="14" t="s">
        <v>204</v>
      </c>
      <c r="Y915" s="14" t="s">
        <v>215</v>
      </c>
      <c r="Z915" s="14">
        <v>20001</v>
      </c>
      <c r="AA915" s="14" t="s">
        <v>205</v>
      </c>
      <c r="AB915" s="14">
        <v>40001</v>
      </c>
      <c r="AE915" s="29" t="s">
        <v>121</v>
      </c>
      <c r="AF915" s="14" t="s">
        <v>213</v>
      </c>
      <c r="AG915" s="14" t="s">
        <v>101</v>
      </c>
    </row>
    <row r="916" spans="2:33">
      <c r="B916" s="14">
        <f>10000000+INDEX(编号表!$B:$B,MATCH(H916,编号表!$A:$A,0))*100000+INDEX(编号表!$F:$F,MATCH(D916,编号表!$E:$E,0))*10000+INDEX(编号表!$D:$D,MATCH(AG916,编号表!$C:$C,0))*1000+F916</f>
        <v>11517003</v>
      </c>
      <c r="C916" s="14" t="s">
        <v>1076</v>
      </c>
      <c r="D916" s="14" t="s">
        <v>72</v>
      </c>
      <c r="E916" s="14" t="s">
        <v>101</v>
      </c>
      <c r="F916" s="14">
        <v>3</v>
      </c>
      <c r="G916" s="14">
        <v>60</v>
      </c>
      <c r="H916" s="31" t="s">
        <v>228</v>
      </c>
      <c r="I916" s="14" t="s">
        <v>75</v>
      </c>
      <c r="J916" s="14" t="s">
        <v>201</v>
      </c>
      <c r="K916" s="14">
        <v>1</v>
      </c>
      <c r="L916" s="14" t="s">
        <v>213</v>
      </c>
      <c r="N916" s="14">
        <v>0</v>
      </c>
      <c r="O916" s="14" t="b">
        <v>1</v>
      </c>
      <c r="Q916" s="14" t="b">
        <v>0</v>
      </c>
      <c r="R916" s="14">
        <v>1</v>
      </c>
      <c r="S916" s="14" t="s">
        <v>77</v>
      </c>
      <c r="T916" s="14">
        <v>999</v>
      </c>
      <c r="U916" s="14" t="s">
        <v>214</v>
      </c>
      <c r="V916" s="14">
        <v>31517003</v>
      </c>
      <c r="X916" s="14" t="s">
        <v>204</v>
      </c>
      <c r="Y916" s="14" t="s">
        <v>215</v>
      </c>
      <c r="Z916" s="14">
        <v>20001</v>
      </c>
      <c r="AA916" s="14" t="s">
        <v>205</v>
      </c>
      <c r="AB916" s="14">
        <v>40001</v>
      </c>
      <c r="AE916" s="29" t="s">
        <v>121</v>
      </c>
      <c r="AF916" s="14" t="s">
        <v>213</v>
      </c>
      <c r="AG916" s="14" t="s">
        <v>101</v>
      </c>
    </row>
    <row r="917" spans="2:33">
      <c r="B917" s="14">
        <f>10000000+INDEX(编号表!$B:$B,MATCH(H917,编号表!$A:$A,0))*100000+INDEX(编号表!$F:$F,MATCH(D917,编号表!$E:$E,0))*10000+INDEX(编号表!$D:$D,MATCH(AG917,编号表!$C:$C,0))*1000+F917</f>
        <v>11517004</v>
      </c>
      <c r="C917" s="14" t="s">
        <v>1077</v>
      </c>
      <c r="D917" s="14" t="s">
        <v>72</v>
      </c>
      <c r="E917" s="14" t="s">
        <v>101</v>
      </c>
      <c r="F917" s="14">
        <v>4</v>
      </c>
      <c r="G917" s="14">
        <v>60</v>
      </c>
      <c r="H917" s="31" t="s">
        <v>228</v>
      </c>
      <c r="I917" s="14" t="s">
        <v>75</v>
      </c>
      <c r="J917" s="14" t="s">
        <v>201</v>
      </c>
      <c r="K917" s="14">
        <v>1</v>
      </c>
      <c r="L917" s="14" t="s">
        <v>213</v>
      </c>
      <c r="N917" s="14">
        <v>0</v>
      </c>
      <c r="O917" s="14" t="b">
        <v>1</v>
      </c>
      <c r="Q917" s="14" t="b">
        <v>0</v>
      </c>
      <c r="R917" s="14">
        <v>1</v>
      </c>
      <c r="S917" s="14" t="s">
        <v>77</v>
      </c>
      <c r="T917" s="14">
        <v>999</v>
      </c>
      <c r="U917" s="14" t="s">
        <v>214</v>
      </c>
      <c r="V917" s="14">
        <v>31517004</v>
      </c>
      <c r="X917" s="14" t="s">
        <v>204</v>
      </c>
      <c r="Y917" s="14" t="s">
        <v>215</v>
      </c>
      <c r="Z917" s="14">
        <v>20001</v>
      </c>
      <c r="AA917" s="14" t="s">
        <v>205</v>
      </c>
      <c r="AB917" s="14">
        <v>40001</v>
      </c>
      <c r="AE917" s="29" t="s">
        <v>121</v>
      </c>
      <c r="AF917" s="14" t="s">
        <v>213</v>
      </c>
      <c r="AG917" s="14" t="s">
        <v>101</v>
      </c>
    </row>
    <row r="918" spans="2:33">
      <c r="B918" s="14">
        <f>10000000+INDEX(编号表!$B:$B,MATCH(H918,编号表!$A:$A,0))*100000+INDEX(编号表!$F:$F,MATCH(D918,编号表!$E:$E,0))*10000+INDEX(编号表!$D:$D,MATCH(AG918,编号表!$C:$C,0))*1000+F918</f>
        <v>11517005</v>
      </c>
      <c r="C918" s="14" t="s">
        <v>1078</v>
      </c>
      <c r="D918" s="14" t="s">
        <v>72</v>
      </c>
      <c r="E918" s="14" t="s">
        <v>101</v>
      </c>
      <c r="F918" s="14">
        <v>5</v>
      </c>
      <c r="G918" s="14">
        <v>60</v>
      </c>
      <c r="H918" s="31" t="s">
        <v>228</v>
      </c>
      <c r="I918" s="14" t="s">
        <v>75</v>
      </c>
      <c r="J918" s="14" t="s">
        <v>201</v>
      </c>
      <c r="K918" s="14">
        <v>1</v>
      </c>
      <c r="L918" s="14" t="s">
        <v>213</v>
      </c>
      <c r="N918" s="14">
        <v>0</v>
      </c>
      <c r="O918" s="14" t="b">
        <v>1</v>
      </c>
      <c r="Q918" s="14" t="b">
        <v>0</v>
      </c>
      <c r="R918" s="14">
        <v>1</v>
      </c>
      <c r="S918" s="14" t="s">
        <v>77</v>
      </c>
      <c r="T918" s="14">
        <v>999</v>
      </c>
      <c r="U918" s="14" t="s">
        <v>214</v>
      </c>
      <c r="V918" s="14">
        <v>31517005</v>
      </c>
      <c r="X918" s="14" t="s">
        <v>204</v>
      </c>
      <c r="Y918" s="14" t="s">
        <v>215</v>
      </c>
      <c r="Z918" s="14">
        <v>20001</v>
      </c>
      <c r="AA918" s="14" t="s">
        <v>205</v>
      </c>
      <c r="AB918" s="14">
        <v>40001</v>
      </c>
      <c r="AE918" s="29" t="s">
        <v>121</v>
      </c>
      <c r="AF918" s="14" t="s">
        <v>213</v>
      </c>
      <c r="AG918" s="14" t="s">
        <v>101</v>
      </c>
    </row>
    <row r="919" spans="2:33">
      <c r="B919" s="14">
        <f>10000000+INDEX(编号表!$B:$B,MATCH(H919,编号表!$A:$A,0))*100000+INDEX(编号表!$F:$F,MATCH(D919,编号表!$E:$E,0))*10000+INDEX(编号表!$D:$D,MATCH(AG919,编号表!$C:$C,0))*1000+F919</f>
        <v>11517006</v>
      </c>
      <c r="C919" s="14" t="s">
        <v>1079</v>
      </c>
      <c r="D919" s="14" t="s">
        <v>72</v>
      </c>
      <c r="E919" s="14" t="s">
        <v>101</v>
      </c>
      <c r="F919" s="14">
        <v>6</v>
      </c>
      <c r="G919" s="14">
        <v>60</v>
      </c>
      <c r="H919" s="31" t="s">
        <v>228</v>
      </c>
      <c r="I919" s="14" t="s">
        <v>75</v>
      </c>
      <c r="J919" s="14" t="s">
        <v>201</v>
      </c>
      <c r="K919" s="14">
        <v>1</v>
      </c>
      <c r="L919" s="14" t="s">
        <v>213</v>
      </c>
      <c r="N919" s="14">
        <v>0</v>
      </c>
      <c r="O919" s="14" t="b">
        <v>1</v>
      </c>
      <c r="Q919" s="14" t="b">
        <v>0</v>
      </c>
      <c r="R919" s="14">
        <v>1</v>
      </c>
      <c r="S919" s="14" t="s">
        <v>77</v>
      </c>
      <c r="T919" s="14">
        <v>999</v>
      </c>
      <c r="U919" s="14" t="s">
        <v>214</v>
      </c>
      <c r="V919" s="14">
        <v>31517006</v>
      </c>
      <c r="X919" s="14" t="s">
        <v>204</v>
      </c>
      <c r="Y919" s="14" t="s">
        <v>215</v>
      </c>
      <c r="Z919" s="14">
        <v>20001</v>
      </c>
      <c r="AA919" s="14" t="s">
        <v>205</v>
      </c>
      <c r="AB919" s="14">
        <v>40001</v>
      </c>
      <c r="AE919" s="29" t="s">
        <v>121</v>
      </c>
      <c r="AF919" s="14" t="s">
        <v>213</v>
      </c>
      <c r="AG919" s="14" t="s">
        <v>101</v>
      </c>
    </row>
    <row r="920" spans="2:33">
      <c r="B920" s="14">
        <f>10000000+INDEX(编号表!$B:$B,MATCH(H920,编号表!$A:$A,0))*100000+INDEX(编号表!$F:$F,MATCH(D920,编号表!$E:$E,0))*10000+INDEX(编号表!$D:$D,MATCH(AG920,编号表!$C:$C,0))*1000+F920</f>
        <v>11517007</v>
      </c>
      <c r="C920" s="14" t="s">
        <v>1080</v>
      </c>
      <c r="D920" s="14" t="s">
        <v>72</v>
      </c>
      <c r="E920" s="14" t="s">
        <v>101</v>
      </c>
      <c r="F920" s="14">
        <v>7</v>
      </c>
      <c r="G920" s="14">
        <v>60</v>
      </c>
      <c r="H920" s="31" t="s">
        <v>228</v>
      </c>
      <c r="I920" s="14" t="s">
        <v>75</v>
      </c>
      <c r="J920" s="14" t="s">
        <v>201</v>
      </c>
      <c r="K920" s="14">
        <v>1</v>
      </c>
      <c r="L920" s="14" t="s">
        <v>213</v>
      </c>
      <c r="N920" s="14">
        <v>0</v>
      </c>
      <c r="O920" s="14" t="b">
        <v>1</v>
      </c>
      <c r="Q920" s="14" t="b">
        <v>0</v>
      </c>
      <c r="R920" s="14">
        <v>1</v>
      </c>
      <c r="S920" s="14" t="s">
        <v>77</v>
      </c>
      <c r="T920" s="14">
        <v>999</v>
      </c>
      <c r="U920" s="14" t="s">
        <v>214</v>
      </c>
      <c r="V920" s="14">
        <v>31517007</v>
      </c>
      <c r="X920" s="14" t="s">
        <v>204</v>
      </c>
      <c r="Y920" s="14" t="s">
        <v>215</v>
      </c>
      <c r="Z920" s="14">
        <v>20001</v>
      </c>
      <c r="AA920" s="14" t="s">
        <v>205</v>
      </c>
      <c r="AB920" s="14">
        <v>40001</v>
      </c>
      <c r="AE920" s="29" t="s">
        <v>121</v>
      </c>
      <c r="AF920" s="14" t="s">
        <v>213</v>
      </c>
      <c r="AG920" s="14" t="s">
        <v>101</v>
      </c>
    </row>
    <row r="921" spans="2:33">
      <c r="B921" s="14">
        <f>10000000+INDEX(编号表!$B:$B,MATCH(H921,编号表!$A:$A,0))*100000+INDEX(编号表!$F:$F,MATCH(D921,编号表!$E:$E,0))*10000+INDEX(编号表!$D:$D,MATCH(AG921,编号表!$C:$C,0))*1000+F921</f>
        <v>11517008</v>
      </c>
      <c r="C921" s="14" t="s">
        <v>1081</v>
      </c>
      <c r="D921" s="14" t="s">
        <v>72</v>
      </c>
      <c r="E921" s="14" t="s">
        <v>101</v>
      </c>
      <c r="F921" s="14">
        <v>8</v>
      </c>
      <c r="G921" s="14">
        <v>60</v>
      </c>
      <c r="H921" s="31" t="s">
        <v>228</v>
      </c>
      <c r="I921" s="14" t="s">
        <v>75</v>
      </c>
      <c r="J921" s="14" t="s">
        <v>201</v>
      </c>
      <c r="K921" s="14">
        <v>1</v>
      </c>
      <c r="L921" s="14" t="s">
        <v>213</v>
      </c>
      <c r="N921" s="14">
        <v>0</v>
      </c>
      <c r="O921" s="14" t="b">
        <v>1</v>
      </c>
      <c r="Q921" s="14" t="b">
        <v>0</v>
      </c>
      <c r="R921" s="14">
        <v>1</v>
      </c>
      <c r="S921" s="14" t="s">
        <v>77</v>
      </c>
      <c r="T921" s="14">
        <v>999</v>
      </c>
      <c r="U921" s="14" t="s">
        <v>214</v>
      </c>
      <c r="V921" s="14">
        <v>31517008</v>
      </c>
      <c r="X921" s="14" t="s">
        <v>204</v>
      </c>
      <c r="Y921" s="14" t="s">
        <v>215</v>
      </c>
      <c r="Z921" s="14">
        <v>20001</v>
      </c>
      <c r="AA921" s="14" t="s">
        <v>205</v>
      </c>
      <c r="AB921" s="14">
        <v>40001</v>
      </c>
      <c r="AE921" s="29" t="s">
        <v>121</v>
      </c>
      <c r="AF921" s="14" t="s">
        <v>213</v>
      </c>
      <c r="AG921" s="14" t="s">
        <v>101</v>
      </c>
    </row>
    <row r="922" spans="2:33">
      <c r="B922" s="14">
        <f>10000000+INDEX(编号表!$B:$B,MATCH(H922,编号表!$A:$A,0))*100000+INDEX(编号表!$F:$F,MATCH(D922,编号表!$E:$E,0))*10000+INDEX(编号表!$D:$D,MATCH(AG922,编号表!$C:$C,0))*1000+F922</f>
        <v>11517009</v>
      </c>
      <c r="C922" s="14" t="s">
        <v>1082</v>
      </c>
      <c r="D922" s="14" t="s">
        <v>72</v>
      </c>
      <c r="E922" s="14" t="s">
        <v>101</v>
      </c>
      <c r="F922" s="14">
        <v>9</v>
      </c>
      <c r="G922" s="14">
        <v>60</v>
      </c>
      <c r="H922" s="31" t="s">
        <v>228</v>
      </c>
      <c r="I922" s="14" t="s">
        <v>75</v>
      </c>
      <c r="J922" s="14" t="s">
        <v>201</v>
      </c>
      <c r="K922" s="14">
        <v>1</v>
      </c>
      <c r="L922" s="14" t="s">
        <v>213</v>
      </c>
      <c r="N922" s="14">
        <v>0</v>
      </c>
      <c r="O922" s="14" t="b">
        <v>1</v>
      </c>
      <c r="Q922" s="14" t="b">
        <v>0</v>
      </c>
      <c r="R922" s="14">
        <v>1</v>
      </c>
      <c r="S922" s="14" t="s">
        <v>77</v>
      </c>
      <c r="T922" s="14">
        <v>999</v>
      </c>
      <c r="U922" s="14" t="s">
        <v>214</v>
      </c>
      <c r="V922" s="14">
        <v>31517009</v>
      </c>
      <c r="X922" s="14" t="s">
        <v>204</v>
      </c>
      <c r="Y922" s="14" t="s">
        <v>215</v>
      </c>
      <c r="Z922" s="14">
        <v>20001</v>
      </c>
      <c r="AA922" s="14" t="s">
        <v>205</v>
      </c>
      <c r="AB922" s="14">
        <v>40001</v>
      </c>
      <c r="AE922" s="29" t="s">
        <v>121</v>
      </c>
      <c r="AF922" s="14" t="s">
        <v>213</v>
      </c>
      <c r="AG922" s="14" t="s">
        <v>101</v>
      </c>
    </row>
    <row r="923" spans="2:33">
      <c r="B923" s="14">
        <f>10000000+INDEX(编号表!$B:$B,MATCH(H923,编号表!$A:$A,0))*100000+INDEX(编号表!$F:$F,MATCH(D923,编号表!$E:$E,0))*10000+INDEX(编号表!$D:$D,MATCH(AG923,编号表!$C:$C,0))*1000+F923</f>
        <v>11417000</v>
      </c>
      <c r="C923" s="14" t="s">
        <v>1083</v>
      </c>
      <c r="D923" s="14" t="s">
        <v>72</v>
      </c>
      <c r="E923" s="14" t="s">
        <v>101</v>
      </c>
      <c r="F923" s="14">
        <v>0</v>
      </c>
      <c r="G923" s="14">
        <v>60</v>
      </c>
      <c r="H923" s="31" t="s">
        <v>239</v>
      </c>
      <c r="I923" s="14" t="s">
        <v>75</v>
      </c>
      <c r="J923" s="14" t="s">
        <v>201</v>
      </c>
      <c r="K923" s="14">
        <v>1</v>
      </c>
      <c r="L923" s="14" t="s">
        <v>213</v>
      </c>
      <c r="N923" s="14">
        <v>0</v>
      </c>
      <c r="O923" s="14" t="b">
        <v>1</v>
      </c>
      <c r="Q923" s="14" t="b">
        <v>0</v>
      </c>
      <c r="R923" s="14">
        <v>1</v>
      </c>
      <c r="S923" s="14" t="s">
        <v>77</v>
      </c>
      <c r="T923" s="14">
        <v>999</v>
      </c>
      <c r="U923" s="14" t="s">
        <v>214</v>
      </c>
      <c r="V923" s="14">
        <v>31417000</v>
      </c>
      <c r="X923" s="14" t="s">
        <v>204</v>
      </c>
      <c r="Y923" s="14" t="s">
        <v>215</v>
      </c>
      <c r="Z923" s="14">
        <v>20001</v>
      </c>
      <c r="AA923" s="14" t="s">
        <v>205</v>
      </c>
      <c r="AB923" s="14">
        <v>40001</v>
      </c>
      <c r="AE923" s="29" t="s">
        <v>121</v>
      </c>
      <c r="AF923" s="14" t="s">
        <v>213</v>
      </c>
      <c r="AG923" s="14" t="s">
        <v>101</v>
      </c>
    </row>
    <row r="924" spans="2:33">
      <c r="B924" s="14">
        <f>10000000+INDEX(编号表!$B:$B,MATCH(H924,编号表!$A:$A,0))*100000+INDEX(编号表!$F:$F,MATCH(D924,编号表!$E:$E,0))*10000+INDEX(编号表!$D:$D,MATCH(AG924,编号表!$C:$C,0))*1000+F924</f>
        <v>11417001</v>
      </c>
      <c r="C924" s="14" t="s">
        <v>1084</v>
      </c>
      <c r="D924" s="14" t="s">
        <v>72</v>
      </c>
      <c r="E924" s="14" t="s">
        <v>101</v>
      </c>
      <c r="F924" s="14">
        <v>1</v>
      </c>
      <c r="G924" s="14">
        <v>60</v>
      </c>
      <c r="H924" s="31" t="s">
        <v>239</v>
      </c>
      <c r="I924" s="14" t="s">
        <v>75</v>
      </c>
      <c r="J924" s="14" t="s">
        <v>201</v>
      </c>
      <c r="K924" s="14">
        <v>1</v>
      </c>
      <c r="L924" s="14" t="s">
        <v>213</v>
      </c>
      <c r="N924" s="14">
        <v>0</v>
      </c>
      <c r="O924" s="14" t="b">
        <v>1</v>
      </c>
      <c r="Q924" s="14" t="b">
        <v>0</v>
      </c>
      <c r="R924" s="14">
        <v>1</v>
      </c>
      <c r="S924" s="14" t="s">
        <v>77</v>
      </c>
      <c r="T924" s="14">
        <v>999</v>
      </c>
      <c r="U924" s="14" t="s">
        <v>214</v>
      </c>
      <c r="V924" s="14">
        <v>31417001</v>
      </c>
      <c r="X924" s="14" t="s">
        <v>204</v>
      </c>
      <c r="Y924" s="14" t="s">
        <v>215</v>
      </c>
      <c r="Z924" s="14">
        <v>20001</v>
      </c>
      <c r="AA924" s="14" t="s">
        <v>205</v>
      </c>
      <c r="AB924" s="14">
        <v>40001</v>
      </c>
      <c r="AE924" s="29" t="s">
        <v>121</v>
      </c>
      <c r="AF924" s="14" t="s">
        <v>213</v>
      </c>
      <c r="AG924" s="14" t="s">
        <v>101</v>
      </c>
    </row>
    <row r="925" spans="2:33">
      <c r="B925" s="14">
        <f>10000000+INDEX(编号表!$B:$B,MATCH(H925,编号表!$A:$A,0))*100000+INDEX(编号表!$F:$F,MATCH(D925,编号表!$E:$E,0))*10000+INDEX(编号表!$D:$D,MATCH(AG925,编号表!$C:$C,0))*1000+F925</f>
        <v>11417002</v>
      </c>
      <c r="C925" s="14" t="s">
        <v>1085</v>
      </c>
      <c r="D925" s="14" t="s">
        <v>72</v>
      </c>
      <c r="E925" s="14" t="s">
        <v>101</v>
      </c>
      <c r="F925" s="14">
        <v>2</v>
      </c>
      <c r="G925" s="14">
        <v>60</v>
      </c>
      <c r="H925" s="31" t="s">
        <v>239</v>
      </c>
      <c r="I925" s="14" t="s">
        <v>75</v>
      </c>
      <c r="J925" s="14" t="s">
        <v>201</v>
      </c>
      <c r="K925" s="14">
        <v>1</v>
      </c>
      <c r="L925" s="14" t="s">
        <v>213</v>
      </c>
      <c r="N925" s="14">
        <v>0</v>
      </c>
      <c r="O925" s="14" t="b">
        <v>1</v>
      </c>
      <c r="Q925" s="14" t="b">
        <v>0</v>
      </c>
      <c r="R925" s="14">
        <v>1</v>
      </c>
      <c r="S925" s="14" t="s">
        <v>77</v>
      </c>
      <c r="T925" s="14">
        <v>999</v>
      </c>
      <c r="U925" s="14" t="s">
        <v>214</v>
      </c>
      <c r="V925" s="14">
        <v>31417002</v>
      </c>
      <c r="X925" s="14" t="s">
        <v>204</v>
      </c>
      <c r="Y925" s="14" t="s">
        <v>215</v>
      </c>
      <c r="Z925" s="14">
        <v>20001</v>
      </c>
      <c r="AA925" s="14" t="s">
        <v>205</v>
      </c>
      <c r="AB925" s="14">
        <v>40001</v>
      </c>
      <c r="AE925" s="29" t="s">
        <v>121</v>
      </c>
      <c r="AF925" s="14" t="s">
        <v>213</v>
      </c>
      <c r="AG925" s="14" t="s">
        <v>101</v>
      </c>
    </row>
    <row r="926" spans="2:33">
      <c r="B926" s="14">
        <f>10000000+INDEX(编号表!$B:$B,MATCH(H926,编号表!$A:$A,0))*100000+INDEX(编号表!$F:$F,MATCH(D926,编号表!$E:$E,0))*10000+INDEX(编号表!$D:$D,MATCH(AG926,编号表!$C:$C,0))*1000+F926</f>
        <v>11417003</v>
      </c>
      <c r="C926" s="14" t="s">
        <v>1086</v>
      </c>
      <c r="D926" s="14" t="s">
        <v>72</v>
      </c>
      <c r="E926" s="14" t="s">
        <v>101</v>
      </c>
      <c r="F926" s="14">
        <v>3</v>
      </c>
      <c r="G926" s="14">
        <v>60</v>
      </c>
      <c r="H926" s="31" t="s">
        <v>239</v>
      </c>
      <c r="I926" s="14" t="s">
        <v>75</v>
      </c>
      <c r="J926" s="14" t="s">
        <v>201</v>
      </c>
      <c r="K926" s="14">
        <v>1</v>
      </c>
      <c r="L926" s="14" t="s">
        <v>213</v>
      </c>
      <c r="N926" s="14">
        <v>0</v>
      </c>
      <c r="O926" s="14" t="b">
        <v>1</v>
      </c>
      <c r="Q926" s="14" t="b">
        <v>0</v>
      </c>
      <c r="R926" s="14">
        <v>1</v>
      </c>
      <c r="S926" s="14" t="s">
        <v>77</v>
      </c>
      <c r="T926" s="14">
        <v>999</v>
      </c>
      <c r="U926" s="14" t="s">
        <v>214</v>
      </c>
      <c r="V926" s="14">
        <v>31417003</v>
      </c>
      <c r="X926" s="14" t="s">
        <v>204</v>
      </c>
      <c r="Y926" s="14" t="s">
        <v>215</v>
      </c>
      <c r="Z926" s="14">
        <v>20001</v>
      </c>
      <c r="AA926" s="14" t="s">
        <v>205</v>
      </c>
      <c r="AB926" s="14">
        <v>40001</v>
      </c>
      <c r="AE926" s="29" t="s">
        <v>121</v>
      </c>
      <c r="AF926" s="14" t="s">
        <v>213</v>
      </c>
      <c r="AG926" s="14" t="s">
        <v>101</v>
      </c>
    </row>
    <row r="927" spans="2:33">
      <c r="B927" s="14">
        <f>10000000+INDEX(编号表!$B:$B,MATCH(H927,编号表!$A:$A,0))*100000+INDEX(编号表!$F:$F,MATCH(D927,编号表!$E:$E,0))*10000+INDEX(编号表!$D:$D,MATCH(AG927,编号表!$C:$C,0))*1000+F927</f>
        <v>11617000</v>
      </c>
      <c r="C927" s="14" t="s">
        <v>1087</v>
      </c>
      <c r="D927" s="14" t="s">
        <v>72</v>
      </c>
      <c r="E927" s="14" t="s">
        <v>101</v>
      </c>
      <c r="F927" s="14">
        <v>0</v>
      </c>
      <c r="G927" s="14">
        <v>60</v>
      </c>
      <c r="H927" s="31" t="s">
        <v>244</v>
      </c>
      <c r="I927" s="14" t="s">
        <v>75</v>
      </c>
      <c r="J927" s="14" t="s">
        <v>201</v>
      </c>
      <c r="K927" s="14">
        <v>1</v>
      </c>
      <c r="L927" s="14" t="s">
        <v>213</v>
      </c>
      <c r="N927" s="14">
        <v>0</v>
      </c>
      <c r="O927" s="14" t="b">
        <v>1</v>
      </c>
      <c r="Q927" s="14" t="b">
        <v>0</v>
      </c>
      <c r="R927" s="14">
        <v>1</v>
      </c>
      <c r="S927" s="14" t="s">
        <v>77</v>
      </c>
      <c r="T927" s="14">
        <v>999</v>
      </c>
      <c r="U927" s="14" t="s">
        <v>214</v>
      </c>
      <c r="V927" s="14">
        <v>31617000</v>
      </c>
      <c r="X927" s="14" t="s">
        <v>204</v>
      </c>
      <c r="Y927" s="14" t="s">
        <v>215</v>
      </c>
      <c r="Z927" s="14">
        <v>20001</v>
      </c>
      <c r="AA927" s="14" t="s">
        <v>205</v>
      </c>
      <c r="AB927" s="14">
        <v>40001</v>
      </c>
      <c r="AE927" s="29" t="s">
        <v>121</v>
      </c>
      <c r="AF927" s="14" t="s">
        <v>213</v>
      </c>
      <c r="AG927" s="14" t="s">
        <v>101</v>
      </c>
    </row>
    <row r="928" spans="2:33">
      <c r="B928" s="14">
        <f>10000000+INDEX(编号表!$B:$B,MATCH(H928,编号表!$A:$A,0))*100000+INDEX(编号表!$F:$F,MATCH(D928,编号表!$E:$E,0))*10000+INDEX(编号表!$D:$D,MATCH(AG928,编号表!$C:$C,0))*1000+F928</f>
        <v>11617001</v>
      </c>
      <c r="C928" s="14" t="s">
        <v>1088</v>
      </c>
      <c r="D928" s="14" t="s">
        <v>72</v>
      </c>
      <c r="E928" s="14" t="s">
        <v>101</v>
      </c>
      <c r="F928" s="14">
        <v>1</v>
      </c>
      <c r="G928" s="14">
        <v>60</v>
      </c>
      <c r="H928" s="31" t="s">
        <v>244</v>
      </c>
      <c r="I928" s="14" t="s">
        <v>75</v>
      </c>
      <c r="J928" s="14" t="s">
        <v>201</v>
      </c>
      <c r="K928" s="14">
        <v>1</v>
      </c>
      <c r="L928" s="14" t="s">
        <v>213</v>
      </c>
      <c r="N928" s="14">
        <v>0</v>
      </c>
      <c r="O928" s="14" t="b">
        <v>1</v>
      </c>
      <c r="Q928" s="14" t="b">
        <v>0</v>
      </c>
      <c r="R928" s="14">
        <v>1</v>
      </c>
      <c r="S928" s="14" t="s">
        <v>77</v>
      </c>
      <c r="T928" s="14">
        <v>999</v>
      </c>
      <c r="U928" s="14" t="s">
        <v>214</v>
      </c>
      <c r="V928" s="14">
        <v>31617001</v>
      </c>
      <c r="X928" s="14" t="s">
        <v>204</v>
      </c>
      <c r="Y928" s="14" t="s">
        <v>215</v>
      </c>
      <c r="Z928" s="14">
        <v>20001</v>
      </c>
      <c r="AA928" s="14" t="s">
        <v>205</v>
      </c>
      <c r="AB928" s="14">
        <v>40001</v>
      </c>
      <c r="AE928" s="29" t="s">
        <v>121</v>
      </c>
      <c r="AF928" s="14" t="s">
        <v>213</v>
      </c>
      <c r="AG928" s="14" t="s">
        <v>101</v>
      </c>
    </row>
    <row r="929" spans="2:33">
      <c r="B929" s="14">
        <f>10000000+INDEX(编号表!$B:$B,MATCH(H929,编号表!$A:$A,0))*100000+INDEX(编号表!$F:$F,MATCH(D929,编号表!$E:$E,0))*10000+INDEX(编号表!$D:$D,MATCH(AG929,编号表!$C:$C,0))*1000+F929</f>
        <v>11617002</v>
      </c>
      <c r="C929" s="14" t="s">
        <v>1089</v>
      </c>
      <c r="D929" s="14" t="s">
        <v>72</v>
      </c>
      <c r="E929" s="14" t="s">
        <v>101</v>
      </c>
      <c r="F929" s="14">
        <v>2</v>
      </c>
      <c r="G929" s="14">
        <v>60</v>
      </c>
      <c r="H929" s="31" t="s">
        <v>244</v>
      </c>
      <c r="I929" s="14" t="s">
        <v>75</v>
      </c>
      <c r="J929" s="14" t="s">
        <v>201</v>
      </c>
      <c r="K929" s="14">
        <v>1</v>
      </c>
      <c r="L929" s="14" t="s">
        <v>213</v>
      </c>
      <c r="N929" s="14">
        <v>0</v>
      </c>
      <c r="O929" s="14" t="b">
        <v>1</v>
      </c>
      <c r="Q929" s="14" t="b">
        <v>0</v>
      </c>
      <c r="R929" s="14">
        <v>1</v>
      </c>
      <c r="S929" s="14" t="s">
        <v>77</v>
      </c>
      <c r="T929" s="14">
        <v>999</v>
      </c>
      <c r="U929" s="14" t="s">
        <v>214</v>
      </c>
      <c r="V929" s="14">
        <v>31617002</v>
      </c>
      <c r="X929" s="14" t="s">
        <v>204</v>
      </c>
      <c r="Y929" s="14" t="s">
        <v>215</v>
      </c>
      <c r="Z929" s="14">
        <v>20001</v>
      </c>
      <c r="AA929" s="14" t="s">
        <v>205</v>
      </c>
      <c r="AB929" s="14">
        <v>40001</v>
      </c>
      <c r="AE929" s="29" t="s">
        <v>121</v>
      </c>
      <c r="AF929" s="14" t="s">
        <v>213</v>
      </c>
      <c r="AG929" s="14" t="s">
        <v>101</v>
      </c>
    </row>
    <row r="930" spans="2:33">
      <c r="B930" s="14">
        <f>10000000+INDEX(编号表!$B:$B,MATCH(H930,编号表!$A:$A,0))*100000+INDEX(编号表!$F:$F,MATCH(D930,编号表!$E:$E,0))*10000+INDEX(编号表!$D:$D,MATCH(AG930,编号表!$C:$C,0))*1000+F930</f>
        <v>11227000</v>
      </c>
      <c r="C930" s="14" t="s">
        <v>1090</v>
      </c>
      <c r="D930" s="14" t="s">
        <v>112</v>
      </c>
      <c r="E930" s="14" t="s">
        <v>101</v>
      </c>
      <c r="F930" s="14">
        <v>0</v>
      </c>
      <c r="G930" s="14">
        <v>60</v>
      </c>
      <c r="H930" s="31" t="s">
        <v>212</v>
      </c>
      <c r="I930" s="14" t="s">
        <v>75</v>
      </c>
      <c r="J930" s="14" t="s">
        <v>201</v>
      </c>
      <c r="K930" s="14">
        <v>1</v>
      </c>
      <c r="L930" s="14" t="s">
        <v>213</v>
      </c>
      <c r="N930" s="14">
        <v>0</v>
      </c>
      <c r="O930" s="14" t="b">
        <v>1</v>
      </c>
      <c r="Q930" s="14" t="b">
        <v>0</v>
      </c>
      <c r="R930" s="14">
        <v>1</v>
      </c>
      <c r="S930" s="14" t="s">
        <v>77</v>
      </c>
      <c r="T930" s="14">
        <v>999</v>
      </c>
      <c r="U930" s="14" t="s">
        <v>214</v>
      </c>
      <c r="V930" s="14">
        <v>31227000</v>
      </c>
      <c r="X930" s="14" t="s">
        <v>204</v>
      </c>
      <c r="Y930" s="14" t="s">
        <v>215</v>
      </c>
      <c r="Z930" s="14">
        <v>20001</v>
      </c>
      <c r="AA930" s="14" t="s">
        <v>205</v>
      </c>
      <c r="AB930" s="14">
        <v>40001</v>
      </c>
      <c r="AE930" s="29" t="s">
        <v>121</v>
      </c>
      <c r="AF930" s="14" t="s">
        <v>213</v>
      </c>
      <c r="AG930" s="14" t="s">
        <v>101</v>
      </c>
    </row>
    <row r="931" spans="2:33">
      <c r="B931" s="14">
        <f>10000000+INDEX(编号表!$B:$B,MATCH(H931,编号表!$A:$A,0))*100000+INDEX(编号表!$F:$F,MATCH(D931,编号表!$E:$E,0))*10000+INDEX(编号表!$D:$D,MATCH(AG931,编号表!$C:$C,0))*1000+F931</f>
        <v>11327000</v>
      </c>
      <c r="C931" s="14" t="s">
        <v>1091</v>
      </c>
      <c r="D931" s="14" t="s">
        <v>112</v>
      </c>
      <c r="E931" s="14" t="s">
        <v>101</v>
      </c>
      <c r="F931" s="14">
        <v>0</v>
      </c>
      <c r="G931" s="14">
        <v>60</v>
      </c>
      <c r="H931" s="31" t="s">
        <v>217</v>
      </c>
      <c r="I931" s="14" t="s">
        <v>75</v>
      </c>
      <c r="J931" s="14" t="s">
        <v>201</v>
      </c>
      <c r="K931" s="14">
        <v>1</v>
      </c>
      <c r="L931" s="14" t="s">
        <v>213</v>
      </c>
      <c r="N931" s="14">
        <v>0</v>
      </c>
      <c r="O931" s="14" t="b">
        <v>1</v>
      </c>
      <c r="Q931" s="14" t="b">
        <v>0</v>
      </c>
      <c r="R931" s="14">
        <v>1</v>
      </c>
      <c r="S931" s="14" t="s">
        <v>77</v>
      </c>
      <c r="T931" s="14">
        <v>999</v>
      </c>
      <c r="U931" s="14" t="s">
        <v>214</v>
      </c>
      <c r="V931" s="14">
        <v>31327000</v>
      </c>
      <c r="X931" s="14" t="s">
        <v>204</v>
      </c>
      <c r="Y931" s="14" t="s">
        <v>215</v>
      </c>
      <c r="Z931" s="14">
        <v>20001</v>
      </c>
      <c r="AA931" s="14" t="s">
        <v>205</v>
      </c>
      <c r="AB931" s="14">
        <v>40001</v>
      </c>
      <c r="AE931" s="29" t="s">
        <v>121</v>
      </c>
      <c r="AF931" s="14" t="s">
        <v>213</v>
      </c>
      <c r="AG931" s="14" t="s">
        <v>101</v>
      </c>
    </row>
    <row r="932" spans="2:33">
      <c r="B932" s="14">
        <f>10000000+INDEX(编号表!$B:$B,MATCH(H932,编号表!$A:$A,0))*100000+INDEX(编号表!$F:$F,MATCH(D932,编号表!$E:$E,0))*10000+INDEX(编号表!$D:$D,MATCH(AG932,编号表!$C:$C,0))*1000+F932</f>
        <v>11327001</v>
      </c>
      <c r="C932" s="14" t="s">
        <v>1092</v>
      </c>
      <c r="D932" s="14" t="s">
        <v>112</v>
      </c>
      <c r="E932" s="14" t="s">
        <v>101</v>
      </c>
      <c r="F932" s="14">
        <v>1</v>
      </c>
      <c r="G932" s="14">
        <v>60</v>
      </c>
      <c r="H932" s="31" t="s">
        <v>217</v>
      </c>
      <c r="I932" s="14" t="s">
        <v>75</v>
      </c>
      <c r="J932" s="14" t="s">
        <v>201</v>
      </c>
      <c r="K932" s="14">
        <v>1</v>
      </c>
      <c r="L932" s="14" t="s">
        <v>213</v>
      </c>
      <c r="N932" s="14">
        <v>0</v>
      </c>
      <c r="O932" s="14" t="b">
        <v>1</v>
      </c>
      <c r="Q932" s="14" t="b">
        <v>0</v>
      </c>
      <c r="R932" s="14">
        <v>1</v>
      </c>
      <c r="S932" s="14" t="s">
        <v>77</v>
      </c>
      <c r="T932" s="14">
        <v>999</v>
      </c>
      <c r="U932" s="14" t="s">
        <v>214</v>
      </c>
      <c r="V932" s="14">
        <v>31327001</v>
      </c>
      <c r="X932" s="14" t="s">
        <v>204</v>
      </c>
      <c r="Y932" s="14" t="s">
        <v>215</v>
      </c>
      <c r="Z932" s="14">
        <v>20001</v>
      </c>
      <c r="AA932" s="14" t="s">
        <v>205</v>
      </c>
      <c r="AB932" s="14">
        <v>40001</v>
      </c>
      <c r="AE932" s="29" t="s">
        <v>121</v>
      </c>
      <c r="AF932" s="14" t="s">
        <v>213</v>
      </c>
      <c r="AG932" s="14" t="s">
        <v>101</v>
      </c>
    </row>
    <row r="933" spans="2:33">
      <c r="B933" s="14">
        <f>10000000+INDEX(编号表!$B:$B,MATCH(H933,编号表!$A:$A,0))*100000+INDEX(编号表!$F:$F,MATCH(D933,编号表!$E:$E,0))*10000+INDEX(编号表!$D:$D,MATCH(AG933,编号表!$C:$C,0))*1000+F933</f>
        <v>11327002</v>
      </c>
      <c r="C933" s="14" t="s">
        <v>1093</v>
      </c>
      <c r="D933" s="14" t="s">
        <v>112</v>
      </c>
      <c r="E933" s="14" t="s">
        <v>101</v>
      </c>
      <c r="F933" s="14">
        <v>2</v>
      </c>
      <c r="G933" s="14">
        <v>60</v>
      </c>
      <c r="H933" s="31" t="s">
        <v>217</v>
      </c>
      <c r="I933" s="14" t="s">
        <v>75</v>
      </c>
      <c r="J933" s="14" t="s">
        <v>201</v>
      </c>
      <c r="K933" s="14">
        <v>1</v>
      </c>
      <c r="L933" s="14" t="s">
        <v>213</v>
      </c>
      <c r="N933" s="14">
        <v>0</v>
      </c>
      <c r="O933" s="14" t="b">
        <v>1</v>
      </c>
      <c r="Q933" s="14" t="b">
        <v>0</v>
      </c>
      <c r="R933" s="14">
        <v>1</v>
      </c>
      <c r="S933" s="14" t="s">
        <v>77</v>
      </c>
      <c r="T933" s="14">
        <v>999</v>
      </c>
      <c r="U933" s="14" t="s">
        <v>214</v>
      </c>
      <c r="V933" s="14">
        <v>31327002</v>
      </c>
      <c r="X933" s="14" t="s">
        <v>204</v>
      </c>
      <c r="Y933" s="14" t="s">
        <v>215</v>
      </c>
      <c r="Z933" s="14">
        <v>20001</v>
      </c>
      <c r="AA933" s="14" t="s">
        <v>205</v>
      </c>
      <c r="AB933" s="14">
        <v>40001</v>
      </c>
      <c r="AE933" s="29" t="s">
        <v>121</v>
      </c>
      <c r="AF933" s="14" t="s">
        <v>213</v>
      </c>
      <c r="AG933" s="14" t="s">
        <v>101</v>
      </c>
    </row>
    <row r="934" spans="2:33">
      <c r="B934" s="14">
        <f>10000000+INDEX(编号表!$B:$B,MATCH(H934,编号表!$A:$A,0))*100000+INDEX(编号表!$F:$F,MATCH(D934,编号表!$E:$E,0))*10000+INDEX(编号表!$D:$D,MATCH(AG934,编号表!$C:$C,0))*1000+F934</f>
        <v>11327003</v>
      </c>
      <c r="C934" s="14" t="s">
        <v>1094</v>
      </c>
      <c r="D934" s="14" t="s">
        <v>112</v>
      </c>
      <c r="E934" s="14" t="s">
        <v>101</v>
      </c>
      <c r="F934" s="14">
        <v>3</v>
      </c>
      <c r="G934" s="14">
        <v>60</v>
      </c>
      <c r="H934" s="31" t="s">
        <v>217</v>
      </c>
      <c r="I934" s="14" t="s">
        <v>75</v>
      </c>
      <c r="J934" s="14" t="s">
        <v>201</v>
      </c>
      <c r="K934" s="14">
        <v>1</v>
      </c>
      <c r="L934" s="14" t="s">
        <v>213</v>
      </c>
      <c r="N934" s="14">
        <v>0</v>
      </c>
      <c r="O934" s="14" t="b">
        <v>1</v>
      </c>
      <c r="Q934" s="14" t="b">
        <v>0</v>
      </c>
      <c r="R934" s="14">
        <v>1</v>
      </c>
      <c r="S934" s="14" t="s">
        <v>77</v>
      </c>
      <c r="T934" s="14">
        <v>999</v>
      </c>
      <c r="U934" s="14" t="s">
        <v>214</v>
      </c>
      <c r="V934" s="14">
        <v>31327003</v>
      </c>
      <c r="X934" s="14" t="s">
        <v>204</v>
      </c>
      <c r="Y934" s="14" t="s">
        <v>215</v>
      </c>
      <c r="Z934" s="14">
        <v>20001</v>
      </c>
      <c r="AA934" s="14" t="s">
        <v>205</v>
      </c>
      <c r="AB934" s="14">
        <v>40001</v>
      </c>
      <c r="AE934" s="29" t="s">
        <v>121</v>
      </c>
      <c r="AF934" s="14" t="s">
        <v>213</v>
      </c>
      <c r="AG934" s="14" t="s">
        <v>101</v>
      </c>
    </row>
    <row r="935" spans="2:33">
      <c r="B935" s="14">
        <f>10000000+INDEX(编号表!$B:$B,MATCH(H935,编号表!$A:$A,0))*100000+INDEX(编号表!$F:$F,MATCH(D935,编号表!$E:$E,0))*10000+INDEX(编号表!$D:$D,MATCH(AG935,编号表!$C:$C,0))*1000+F935</f>
        <v>11327004</v>
      </c>
      <c r="C935" s="14" t="s">
        <v>1095</v>
      </c>
      <c r="D935" s="14" t="s">
        <v>112</v>
      </c>
      <c r="E935" s="14" t="s">
        <v>101</v>
      </c>
      <c r="F935" s="14">
        <v>4</v>
      </c>
      <c r="G935" s="14">
        <v>60</v>
      </c>
      <c r="H935" s="31" t="s">
        <v>217</v>
      </c>
      <c r="I935" s="14" t="s">
        <v>75</v>
      </c>
      <c r="J935" s="14" t="s">
        <v>201</v>
      </c>
      <c r="K935" s="14">
        <v>1</v>
      </c>
      <c r="L935" s="14" t="s">
        <v>213</v>
      </c>
      <c r="N935" s="14">
        <v>0</v>
      </c>
      <c r="O935" s="14" t="b">
        <v>1</v>
      </c>
      <c r="Q935" s="14" t="b">
        <v>0</v>
      </c>
      <c r="R935" s="14">
        <v>1</v>
      </c>
      <c r="S935" s="14" t="s">
        <v>77</v>
      </c>
      <c r="T935" s="14">
        <v>999</v>
      </c>
      <c r="U935" s="14" t="s">
        <v>214</v>
      </c>
      <c r="V935" s="14">
        <v>31327004</v>
      </c>
      <c r="X935" s="14" t="s">
        <v>204</v>
      </c>
      <c r="Y935" s="14" t="s">
        <v>215</v>
      </c>
      <c r="Z935" s="14">
        <v>20001</v>
      </c>
      <c r="AA935" s="14" t="s">
        <v>205</v>
      </c>
      <c r="AB935" s="14">
        <v>40001</v>
      </c>
      <c r="AE935" s="29" t="s">
        <v>121</v>
      </c>
      <c r="AF935" s="14" t="s">
        <v>213</v>
      </c>
      <c r="AG935" s="14" t="s">
        <v>101</v>
      </c>
    </row>
    <row r="936" spans="2:33">
      <c r="B936" s="14">
        <f>10000000+INDEX(编号表!$B:$B,MATCH(H936,编号表!$A:$A,0))*100000+INDEX(编号表!$F:$F,MATCH(D936,编号表!$E:$E,0))*10000+INDEX(编号表!$D:$D,MATCH(AG936,编号表!$C:$C,0))*1000+F936</f>
        <v>11327005</v>
      </c>
      <c r="C936" s="14" t="s">
        <v>1096</v>
      </c>
      <c r="D936" s="14" t="s">
        <v>112</v>
      </c>
      <c r="E936" s="14" t="s">
        <v>101</v>
      </c>
      <c r="F936" s="14">
        <v>5</v>
      </c>
      <c r="G936" s="14">
        <v>60</v>
      </c>
      <c r="H936" s="31" t="s">
        <v>217</v>
      </c>
      <c r="I936" s="14" t="s">
        <v>75</v>
      </c>
      <c r="J936" s="14" t="s">
        <v>201</v>
      </c>
      <c r="K936" s="14">
        <v>1</v>
      </c>
      <c r="L936" s="14" t="s">
        <v>213</v>
      </c>
      <c r="N936" s="14">
        <v>0</v>
      </c>
      <c r="O936" s="14" t="b">
        <v>1</v>
      </c>
      <c r="Q936" s="14" t="b">
        <v>0</v>
      </c>
      <c r="R936" s="14">
        <v>1</v>
      </c>
      <c r="S936" s="14" t="s">
        <v>77</v>
      </c>
      <c r="T936" s="14">
        <v>999</v>
      </c>
      <c r="U936" s="14" t="s">
        <v>214</v>
      </c>
      <c r="V936" s="14">
        <v>31327005</v>
      </c>
      <c r="X936" s="14" t="s">
        <v>204</v>
      </c>
      <c r="Y936" s="14" t="s">
        <v>215</v>
      </c>
      <c r="Z936" s="14">
        <v>20001</v>
      </c>
      <c r="AA936" s="14" t="s">
        <v>205</v>
      </c>
      <c r="AB936" s="14">
        <v>40001</v>
      </c>
      <c r="AE936" s="29" t="s">
        <v>121</v>
      </c>
      <c r="AF936" s="14" t="s">
        <v>213</v>
      </c>
      <c r="AG936" s="14" t="s">
        <v>101</v>
      </c>
    </row>
    <row r="937" spans="2:33">
      <c r="B937" s="14">
        <f>10000000+INDEX(编号表!$B:$B,MATCH(H937,编号表!$A:$A,0))*100000+INDEX(编号表!$F:$F,MATCH(D937,编号表!$E:$E,0))*10000+INDEX(编号表!$D:$D,MATCH(AG937,编号表!$C:$C,0))*1000+F937</f>
        <v>11327006</v>
      </c>
      <c r="C937" s="14" t="s">
        <v>1097</v>
      </c>
      <c r="D937" s="14" t="s">
        <v>112</v>
      </c>
      <c r="E937" s="14" t="s">
        <v>101</v>
      </c>
      <c r="F937" s="14">
        <v>6</v>
      </c>
      <c r="G937" s="14">
        <v>60</v>
      </c>
      <c r="H937" s="31" t="s">
        <v>217</v>
      </c>
      <c r="I937" s="14" t="s">
        <v>75</v>
      </c>
      <c r="J937" s="14" t="s">
        <v>201</v>
      </c>
      <c r="K937" s="14">
        <v>1</v>
      </c>
      <c r="L937" s="14" t="s">
        <v>213</v>
      </c>
      <c r="N937" s="14">
        <v>0</v>
      </c>
      <c r="O937" s="14" t="b">
        <v>1</v>
      </c>
      <c r="Q937" s="14" t="b">
        <v>0</v>
      </c>
      <c r="R937" s="14">
        <v>1</v>
      </c>
      <c r="S937" s="14" t="s">
        <v>77</v>
      </c>
      <c r="T937" s="14">
        <v>999</v>
      </c>
      <c r="U937" s="14" t="s">
        <v>214</v>
      </c>
      <c r="V937" s="14">
        <v>31327006</v>
      </c>
      <c r="X937" s="14" t="s">
        <v>204</v>
      </c>
      <c r="Y937" s="14" t="s">
        <v>215</v>
      </c>
      <c r="Z937" s="14">
        <v>20001</v>
      </c>
      <c r="AA937" s="14" t="s">
        <v>205</v>
      </c>
      <c r="AB937" s="14">
        <v>40001</v>
      </c>
      <c r="AE937" s="29" t="s">
        <v>121</v>
      </c>
      <c r="AF937" s="14" t="s">
        <v>213</v>
      </c>
      <c r="AG937" s="14" t="s">
        <v>101</v>
      </c>
    </row>
    <row r="938" spans="2:33">
      <c r="B938" s="14">
        <f>10000000+INDEX(编号表!$B:$B,MATCH(H938,编号表!$A:$A,0))*100000+INDEX(编号表!$F:$F,MATCH(D938,编号表!$E:$E,0))*10000+INDEX(编号表!$D:$D,MATCH(AG938,编号表!$C:$C,0))*1000+F938</f>
        <v>11327007</v>
      </c>
      <c r="C938" s="14" t="s">
        <v>1098</v>
      </c>
      <c r="D938" s="14" t="s">
        <v>112</v>
      </c>
      <c r="E938" s="14" t="s">
        <v>101</v>
      </c>
      <c r="F938" s="14">
        <v>7</v>
      </c>
      <c r="G938" s="14">
        <v>60</v>
      </c>
      <c r="H938" s="31" t="s">
        <v>217</v>
      </c>
      <c r="I938" s="14" t="s">
        <v>75</v>
      </c>
      <c r="J938" s="14" t="s">
        <v>201</v>
      </c>
      <c r="K938" s="14">
        <v>1</v>
      </c>
      <c r="L938" s="14" t="s">
        <v>213</v>
      </c>
      <c r="N938" s="14">
        <v>0</v>
      </c>
      <c r="O938" s="14" t="b">
        <v>1</v>
      </c>
      <c r="Q938" s="14" t="b">
        <v>0</v>
      </c>
      <c r="R938" s="14">
        <v>1</v>
      </c>
      <c r="S938" s="14" t="s">
        <v>77</v>
      </c>
      <c r="T938" s="14">
        <v>999</v>
      </c>
      <c r="U938" s="14" t="s">
        <v>214</v>
      </c>
      <c r="V938" s="14">
        <v>31327007</v>
      </c>
      <c r="X938" s="14" t="s">
        <v>204</v>
      </c>
      <c r="Y938" s="14" t="s">
        <v>215</v>
      </c>
      <c r="Z938" s="14">
        <v>20001</v>
      </c>
      <c r="AA938" s="14" t="s">
        <v>205</v>
      </c>
      <c r="AB938" s="14">
        <v>40001</v>
      </c>
      <c r="AE938" s="29" t="s">
        <v>121</v>
      </c>
      <c r="AF938" s="14" t="s">
        <v>213</v>
      </c>
      <c r="AG938" s="14" t="s">
        <v>101</v>
      </c>
    </row>
    <row r="939" spans="2:33">
      <c r="B939" s="14">
        <f>10000000+INDEX(编号表!$B:$B,MATCH(H939,编号表!$A:$A,0))*100000+INDEX(编号表!$F:$F,MATCH(D939,编号表!$E:$E,0))*10000+INDEX(编号表!$D:$D,MATCH(AG939,编号表!$C:$C,0))*1000+F939</f>
        <v>11327008</v>
      </c>
      <c r="C939" s="14" t="s">
        <v>1099</v>
      </c>
      <c r="D939" s="14" t="s">
        <v>112</v>
      </c>
      <c r="E939" s="14" t="s">
        <v>101</v>
      </c>
      <c r="F939" s="14">
        <v>8</v>
      </c>
      <c r="G939" s="14">
        <v>60</v>
      </c>
      <c r="H939" s="31" t="s">
        <v>217</v>
      </c>
      <c r="I939" s="14" t="s">
        <v>75</v>
      </c>
      <c r="J939" s="14" t="s">
        <v>201</v>
      </c>
      <c r="K939" s="14">
        <v>1</v>
      </c>
      <c r="L939" s="14" t="s">
        <v>213</v>
      </c>
      <c r="N939" s="14">
        <v>0</v>
      </c>
      <c r="O939" s="14" t="b">
        <v>1</v>
      </c>
      <c r="Q939" s="14" t="b">
        <v>0</v>
      </c>
      <c r="R939" s="14">
        <v>1</v>
      </c>
      <c r="S939" s="14" t="s">
        <v>77</v>
      </c>
      <c r="T939" s="14">
        <v>999</v>
      </c>
      <c r="U939" s="14" t="s">
        <v>214</v>
      </c>
      <c r="V939" s="14">
        <v>31327008</v>
      </c>
      <c r="X939" s="14" t="s">
        <v>204</v>
      </c>
      <c r="Y939" s="14" t="s">
        <v>215</v>
      </c>
      <c r="Z939" s="14">
        <v>20001</v>
      </c>
      <c r="AA939" s="14" t="s">
        <v>205</v>
      </c>
      <c r="AB939" s="14">
        <v>40001</v>
      </c>
      <c r="AE939" s="29" t="s">
        <v>121</v>
      </c>
      <c r="AF939" s="14" t="s">
        <v>213</v>
      </c>
      <c r="AG939" s="14" t="s">
        <v>101</v>
      </c>
    </row>
    <row r="940" spans="2:33">
      <c r="B940" s="14">
        <f>10000000+INDEX(编号表!$B:$B,MATCH(H940,编号表!$A:$A,0))*100000+INDEX(编号表!$F:$F,MATCH(D940,编号表!$E:$E,0))*10000+INDEX(编号表!$D:$D,MATCH(AG940,编号表!$C:$C,0))*1000+F940</f>
        <v>11327009</v>
      </c>
      <c r="C940" s="14" t="s">
        <v>1100</v>
      </c>
      <c r="D940" s="14" t="s">
        <v>112</v>
      </c>
      <c r="E940" s="14" t="s">
        <v>101</v>
      </c>
      <c r="F940" s="14">
        <v>9</v>
      </c>
      <c r="G940" s="14">
        <v>60</v>
      </c>
      <c r="H940" s="31" t="s">
        <v>217</v>
      </c>
      <c r="I940" s="14" t="s">
        <v>75</v>
      </c>
      <c r="J940" s="14" t="s">
        <v>201</v>
      </c>
      <c r="K940" s="14">
        <v>1</v>
      </c>
      <c r="L940" s="14" t="s">
        <v>213</v>
      </c>
      <c r="N940" s="14">
        <v>0</v>
      </c>
      <c r="O940" s="14" t="b">
        <v>1</v>
      </c>
      <c r="Q940" s="14" t="b">
        <v>0</v>
      </c>
      <c r="R940" s="14">
        <v>1</v>
      </c>
      <c r="S940" s="14" t="s">
        <v>77</v>
      </c>
      <c r="T940" s="14">
        <v>999</v>
      </c>
      <c r="U940" s="14" t="s">
        <v>214</v>
      </c>
      <c r="V940" s="14">
        <v>31327009</v>
      </c>
      <c r="X940" s="14" t="s">
        <v>204</v>
      </c>
      <c r="Y940" s="14" t="s">
        <v>215</v>
      </c>
      <c r="Z940" s="14">
        <v>20001</v>
      </c>
      <c r="AA940" s="14" t="s">
        <v>205</v>
      </c>
      <c r="AB940" s="14">
        <v>40001</v>
      </c>
      <c r="AE940" s="29" t="s">
        <v>121</v>
      </c>
      <c r="AF940" s="14" t="s">
        <v>213</v>
      </c>
      <c r="AG940" s="14" t="s">
        <v>101</v>
      </c>
    </row>
    <row r="941" spans="2:33">
      <c r="B941" s="14">
        <f>10000000+INDEX(编号表!$B:$B,MATCH(H941,编号表!$A:$A,0))*100000+INDEX(编号表!$F:$F,MATCH(D941,编号表!$E:$E,0))*10000+INDEX(编号表!$D:$D,MATCH(AG941,编号表!$C:$C,0))*1000+F941</f>
        <v>11527000</v>
      </c>
      <c r="C941" s="14" t="s">
        <v>1101</v>
      </c>
      <c r="D941" s="14" t="s">
        <v>112</v>
      </c>
      <c r="E941" s="14" t="s">
        <v>101</v>
      </c>
      <c r="F941" s="14">
        <v>0</v>
      </c>
      <c r="G941" s="14">
        <v>60</v>
      </c>
      <c r="H941" s="31" t="s">
        <v>228</v>
      </c>
      <c r="I941" s="14" t="s">
        <v>75</v>
      </c>
      <c r="J941" s="14" t="s">
        <v>201</v>
      </c>
      <c r="K941" s="14">
        <v>1</v>
      </c>
      <c r="L941" s="14" t="s">
        <v>213</v>
      </c>
      <c r="N941" s="14">
        <v>0</v>
      </c>
      <c r="O941" s="14" t="b">
        <v>1</v>
      </c>
      <c r="Q941" s="14" t="b">
        <v>0</v>
      </c>
      <c r="R941" s="14">
        <v>1</v>
      </c>
      <c r="S941" s="14" t="s">
        <v>77</v>
      </c>
      <c r="T941" s="14">
        <v>999</v>
      </c>
      <c r="U941" s="14" t="s">
        <v>214</v>
      </c>
      <c r="V941" s="14">
        <v>31527000</v>
      </c>
      <c r="X941" s="14" t="s">
        <v>204</v>
      </c>
      <c r="Y941" s="14" t="s">
        <v>215</v>
      </c>
      <c r="Z941" s="14">
        <v>20001</v>
      </c>
      <c r="AA941" s="14" t="s">
        <v>205</v>
      </c>
      <c r="AB941" s="14">
        <v>40001</v>
      </c>
      <c r="AE941" s="29" t="s">
        <v>121</v>
      </c>
      <c r="AF941" s="14" t="s">
        <v>213</v>
      </c>
      <c r="AG941" s="14" t="s">
        <v>101</v>
      </c>
    </row>
    <row r="942" spans="2:33">
      <c r="B942" s="14">
        <f>10000000+INDEX(编号表!$B:$B,MATCH(H942,编号表!$A:$A,0))*100000+INDEX(编号表!$F:$F,MATCH(D942,编号表!$E:$E,0))*10000+INDEX(编号表!$D:$D,MATCH(AG942,编号表!$C:$C,0))*1000+F942</f>
        <v>11527001</v>
      </c>
      <c r="C942" s="14" t="s">
        <v>1102</v>
      </c>
      <c r="D942" s="14" t="s">
        <v>112</v>
      </c>
      <c r="E942" s="14" t="s">
        <v>101</v>
      </c>
      <c r="F942" s="14">
        <v>1</v>
      </c>
      <c r="G942" s="14">
        <v>60</v>
      </c>
      <c r="H942" s="31" t="s">
        <v>228</v>
      </c>
      <c r="I942" s="14" t="s">
        <v>75</v>
      </c>
      <c r="J942" s="14" t="s">
        <v>201</v>
      </c>
      <c r="K942" s="14">
        <v>1</v>
      </c>
      <c r="L942" s="14" t="s">
        <v>213</v>
      </c>
      <c r="N942" s="14">
        <v>0</v>
      </c>
      <c r="O942" s="14" t="b">
        <v>1</v>
      </c>
      <c r="Q942" s="14" t="b">
        <v>0</v>
      </c>
      <c r="R942" s="14">
        <v>1</v>
      </c>
      <c r="S942" s="14" t="s">
        <v>77</v>
      </c>
      <c r="T942" s="14">
        <v>999</v>
      </c>
      <c r="U942" s="14" t="s">
        <v>214</v>
      </c>
      <c r="V942" s="14">
        <v>31527001</v>
      </c>
      <c r="X942" s="14" t="s">
        <v>204</v>
      </c>
      <c r="Y942" s="14" t="s">
        <v>215</v>
      </c>
      <c r="Z942" s="14">
        <v>20001</v>
      </c>
      <c r="AA942" s="14" t="s">
        <v>205</v>
      </c>
      <c r="AB942" s="14">
        <v>40001</v>
      </c>
      <c r="AE942" s="29" t="s">
        <v>121</v>
      </c>
      <c r="AF942" s="14" t="s">
        <v>213</v>
      </c>
      <c r="AG942" s="14" t="s">
        <v>101</v>
      </c>
    </row>
    <row r="943" spans="2:33">
      <c r="B943" s="14">
        <f>10000000+INDEX(编号表!$B:$B,MATCH(H943,编号表!$A:$A,0))*100000+INDEX(编号表!$F:$F,MATCH(D943,编号表!$E:$E,0))*10000+INDEX(编号表!$D:$D,MATCH(AG943,编号表!$C:$C,0))*1000+F943</f>
        <v>11527002</v>
      </c>
      <c r="C943" s="14" t="s">
        <v>1103</v>
      </c>
      <c r="D943" s="14" t="s">
        <v>112</v>
      </c>
      <c r="E943" s="14" t="s">
        <v>101</v>
      </c>
      <c r="F943" s="14">
        <v>2</v>
      </c>
      <c r="G943" s="14">
        <v>60</v>
      </c>
      <c r="H943" s="31" t="s">
        <v>228</v>
      </c>
      <c r="I943" s="14" t="s">
        <v>75</v>
      </c>
      <c r="J943" s="14" t="s">
        <v>201</v>
      </c>
      <c r="K943" s="14">
        <v>1</v>
      </c>
      <c r="L943" s="14" t="s">
        <v>213</v>
      </c>
      <c r="N943" s="14">
        <v>0</v>
      </c>
      <c r="O943" s="14" t="b">
        <v>1</v>
      </c>
      <c r="Q943" s="14" t="b">
        <v>0</v>
      </c>
      <c r="R943" s="14">
        <v>1</v>
      </c>
      <c r="S943" s="14" t="s">
        <v>77</v>
      </c>
      <c r="T943" s="14">
        <v>999</v>
      </c>
      <c r="U943" s="14" t="s">
        <v>214</v>
      </c>
      <c r="V943" s="14">
        <v>31527002</v>
      </c>
      <c r="X943" s="14" t="s">
        <v>204</v>
      </c>
      <c r="Y943" s="14" t="s">
        <v>215</v>
      </c>
      <c r="Z943" s="14">
        <v>20001</v>
      </c>
      <c r="AA943" s="14" t="s">
        <v>205</v>
      </c>
      <c r="AB943" s="14">
        <v>40001</v>
      </c>
      <c r="AE943" s="29" t="s">
        <v>121</v>
      </c>
      <c r="AF943" s="14" t="s">
        <v>213</v>
      </c>
      <c r="AG943" s="14" t="s">
        <v>101</v>
      </c>
    </row>
    <row r="944" spans="2:33">
      <c r="B944" s="14">
        <f>10000000+INDEX(编号表!$B:$B,MATCH(H944,编号表!$A:$A,0))*100000+INDEX(编号表!$F:$F,MATCH(D944,编号表!$E:$E,0))*10000+INDEX(编号表!$D:$D,MATCH(AG944,编号表!$C:$C,0))*1000+F944</f>
        <v>11527003</v>
      </c>
      <c r="C944" s="14" t="s">
        <v>1104</v>
      </c>
      <c r="D944" s="14" t="s">
        <v>112</v>
      </c>
      <c r="E944" s="14" t="s">
        <v>101</v>
      </c>
      <c r="F944" s="14">
        <v>3</v>
      </c>
      <c r="G944" s="14">
        <v>60</v>
      </c>
      <c r="H944" s="31" t="s">
        <v>228</v>
      </c>
      <c r="I944" s="14" t="s">
        <v>75</v>
      </c>
      <c r="J944" s="14" t="s">
        <v>201</v>
      </c>
      <c r="K944" s="14">
        <v>1</v>
      </c>
      <c r="L944" s="14" t="s">
        <v>213</v>
      </c>
      <c r="N944" s="14">
        <v>0</v>
      </c>
      <c r="O944" s="14" t="b">
        <v>1</v>
      </c>
      <c r="Q944" s="14" t="b">
        <v>0</v>
      </c>
      <c r="R944" s="14">
        <v>1</v>
      </c>
      <c r="S944" s="14" t="s">
        <v>77</v>
      </c>
      <c r="T944" s="14">
        <v>999</v>
      </c>
      <c r="U944" s="14" t="s">
        <v>214</v>
      </c>
      <c r="V944" s="14">
        <v>31527003</v>
      </c>
      <c r="X944" s="14" t="s">
        <v>204</v>
      </c>
      <c r="Y944" s="14" t="s">
        <v>215</v>
      </c>
      <c r="Z944" s="14">
        <v>20001</v>
      </c>
      <c r="AA944" s="14" t="s">
        <v>205</v>
      </c>
      <c r="AB944" s="14">
        <v>40001</v>
      </c>
      <c r="AE944" s="29" t="s">
        <v>121</v>
      </c>
      <c r="AF944" s="14" t="s">
        <v>213</v>
      </c>
      <c r="AG944" s="14" t="s">
        <v>101</v>
      </c>
    </row>
    <row r="945" spans="2:33">
      <c r="B945" s="14">
        <f>10000000+INDEX(编号表!$B:$B,MATCH(H945,编号表!$A:$A,0))*100000+INDEX(编号表!$F:$F,MATCH(D945,编号表!$E:$E,0))*10000+INDEX(编号表!$D:$D,MATCH(AG945,编号表!$C:$C,0))*1000+F945</f>
        <v>11527004</v>
      </c>
      <c r="C945" s="14" t="s">
        <v>1105</v>
      </c>
      <c r="D945" s="14" t="s">
        <v>112</v>
      </c>
      <c r="E945" s="14" t="s">
        <v>101</v>
      </c>
      <c r="F945" s="14">
        <v>4</v>
      </c>
      <c r="G945" s="14">
        <v>60</v>
      </c>
      <c r="H945" s="31" t="s">
        <v>228</v>
      </c>
      <c r="I945" s="14" t="s">
        <v>75</v>
      </c>
      <c r="J945" s="14" t="s">
        <v>201</v>
      </c>
      <c r="K945" s="14">
        <v>1</v>
      </c>
      <c r="L945" s="14" t="s">
        <v>213</v>
      </c>
      <c r="N945" s="14">
        <v>0</v>
      </c>
      <c r="O945" s="14" t="b">
        <v>1</v>
      </c>
      <c r="Q945" s="14" t="b">
        <v>0</v>
      </c>
      <c r="R945" s="14">
        <v>1</v>
      </c>
      <c r="S945" s="14" t="s">
        <v>77</v>
      </c>
      <c r="T945" s="14">
        <v>999</v>
      </c>
      <c r="U945" s="14" t="s">
        <v>214</v>
      </c>
      <c r="V945" s="14">
        <v>31527004</v>
      </c>
      <c r="X945" s="14" t="s">
        <v>204</v>
      </c>
      <c r="Y945" s="14" t="s">
        <v>215</v>
      </c>
      <c r="Z945" s="14">
        <v>20001</v>
      </c>
      <c r="AA945" s="14" t="s">
        <v>205</v>
      </c>
      <c r="AB945" s="14">
        <v>40001</v>
      </c>
      <c r="AE945" s="29" t="s">
        <v>121</v>
      </c>
      <c r="AF945" s="14" t="s">
        <v>213</v>
      </c>
      <c r="AG945" s="14" t="s">
        <v>101</v>
      </c>
    </row>
    <row r="946" spans="2:33">
      <c r="B946" s="14">
        <f>10000000+INDEX(编号表!$B:$B,MATCH(H946,编号表!$A:$A,0))*100000+INDEX(编号表!$F:$F,MATCH(D946,编号表!$E:$E,0))*10000+INDEX(编号表!$D:$D,MATCH(AG946,编号表!$C:$C,0))*1000+F946</f>
        <v>11527005</v>
      </c>
      <c r="C946" s="14" t="s">
        <v>1106</v>
      </c>
      <c r="D946" s="14" t="s">
        <v>112</v>
      </c>
      <c r="E946" s="14" t="s">
        <v>101</v>
      </c>
      <c r="F946" s="14">
        <v>5</v>
      </c>
      <c r="G946" s="14">
        <v>60</v>
      </c>
      <c r="H946" s="31" t="s">
        <v>228</v>
      </c>
      <c r="I946" s="14" t="s">
        <v>75</v>
      </c>
      <c r="J946" s="14" t="s">
        <v>201</v>
      </c>
      <c r="K946" s="14">
        <v>1</v>
      </c>
      <c r="L946" s="14" t="s">
        <v>213</v>
      </c>
      <c r="N946" s="14">
        <v>0</v>
      </c>
      <c r="O946" s="14" t="b">
        <v>1</v>
      </c>
      <c r="Q946" s="14" t="b">
        <v>0</v>
      </c>
      <c r="R946" s="14">
        <v>1</v>
      </c>
      <c r="S946" s="14" t="s">
        <v>77</v>
      </c>
      <c r="T946" s="14">
        <v>999</v>
      </c>
      <c r="U946" s="14" t="s">
        <v>214</v>
      </c>
      <c r="V946" s="14">
        <v>31527005</v>
      </c>
      <c r="X946" s="14" t="s">
        <v>204</v>
      </c>
      <c r="Y946" s="14" t="s">
        <v>215</v>
      </c>
      <c r="Z946" s="14">
        <v>20001</v>
      </c>
      <c r="AA946" s="14" t="s">
        <v>205</v>
      </c>
      <c r="AB946" s="14">
        <v>40001</v>
      </c>
      <c r="AE946" s="29" t="s">
        <v>121</v>
      </c>
      <c r="AF946" s="14" t="s">
        <v>213</v>
      </c>
      <c r="AG946" s="14" t="s">
        <v>101</v>
      </c>
    </row>
    <row r="947" spans="2:33">
      <c r="B947" s="14">
        <f>10000000+INDEX(编号表!$B:$B,MATCH(H947,编号表!$A:$A,0))*100000+INDEX(编号表!$F:$F,MATCH(D947,编号表!$E:$E,0))*10000+INDEX(编号表!$D:$D,MATCH(AG947,编号表!$C:$C,0))*1000+F947</f>
        <v>11527006</v>
      </c>
      <c r="C947" s="14" t="s">
        <v>1107</v>
      </c>
      <c r="D947" s="14" t="s">
        <v>112</v>
      </c>
      <c r="E947" s="14" t="s">
        <v>101</v>
      </c>
      <c r="F947" s="14">
        <v>6</v>
      </c>
      <c r="G947" s="14">
        <v>60</v>
      </c>
      <c r="H947" s="31" t="s">
        <v>228</v>
      </c>
      <c r="I947" s="14" t="s">
        <v>75</v>
      </c>
      <c r="J947" s="14" t="s">
        <v>201</v>
      </c>
      <c r="K947" s="14">
        <v>1</v>
      </c>
      <c r="L947" s="14" t="s">
        <v>213</v>
      </c>
      <c r="N947" s="14">
        <v>0</v>
      </c>
      <c r="O947" s="14" t="b">
        <v>1</v>
      </c>
      <c r="Q947" s="14" t="b">
        <v>0</v>
      </c>
      <c r="R947" s="14">
        <v>1</v>
      </c>
      <c r="S947" s="14" t="s">
        <v>77</v>
      </c>
      <c r="T947" s="14">
        <v>999</v>
      </c>
      <c r="U947" s="14" t="s">
        <v>214</v>
      </c>
      <c r="V947" s="14">
        <v>31527006</v>
      </c>
      <c r="X947" s="14" t="s">
        <v>204</v>
      </c>
      <c r="Y947" s="14" t="s">
        <v>215</v>
      </c>
      <c r="Z947" s="14">
        <v>20001</v>
      </c>
      <c r="AA947" s="14" t="s">
        <v>205</v>
      </c>
      <c r="AB947" s="14">
        <v>40001</v>
      </c>
      <c r="AE947" s="29" t="s">
        <v>121</v>
      </c>
      <c r="AF947" s="14" t="s">
        <v>213</v>
      </c>
      <c r="AG947" s="14" t="s">
        <v>101</v>
      </c>
    </row>
    <row r="948" spans="2:33">
      <c r="B948" s="14">
        <f>10000000+INDEX(编号表!$B:$B,MATCH(H948,编号表!$A:$A,0))*100000+INDEX(编号表!$F:$F,MATCH(D948,编号表!$E:$E,0))*10000+INDEX(编号表!$D:$D,MATCH(AG948,编号表!$C:$C,0))*1000+F948</f>
        <v>11527007</v>
      </c>
      <c r="C948" s="14" t="s">
        <v>1108</v>
      </c>
      <c r="D948" s="14" t="s">
        <v>112</v>
      </c>
      <c r="E948" s="14" t="s">
        <v>101</v>
      </c>
      <c r="F948" s="14">
        <v>7</v>
      </c>
      <c r="G948" s="14">
        <v>60</v>
      </c>
      <c r="H948" s="31" t="s">
        <v>228</v>
      </c>
      <c r="I948" s="14" t="s">
        <v>75</v>
      </c>
      <c r="J948" s="14" t="s">
        <v>201</v>
      </c>
      <c r="K948" s="14">
        <v>1</v>
      </c>
      <c r="L948" s="14" t="s">
        <v>213</v>
      </c>
      <c r="N948" s="14">
        <v>0</v>
      </c>
      <c r="O948" s="14" t="b">
        <v>1</v>
      </c>
      <c r="Q948" s="14" t="b">
        <v>0</v>
      </c>
      <c r="R948" s="14">
        <v>1</v>
      </c>
      <c r="S948" s="14" t="s">
        <v>77</v>
      </c>
      <c r="T948" s="14">
        <v>999</v>
      </c>
      <c r="U948" s="14" t="s">
        <v>214</v>
      </c>
      <c r="V948" s="14">
        <v>31527007</v>
      </c>
      <c r="X948" s="14" t="s">
        <v>204</v>
      </c>
      <c r="Y948" s="14" t="s">
        <v>215</v>
      </c>
      <c r="Z948" s="14">
        <v>20001</v>
      </c>
      <c r="AA948" s="14" t="s">
        <v>205</v>
      </c>
      <c r="AB948" s="14">
        <v>40001</v>
      </c>
      <c r="AE948" s="29" t="s">
        <v>121</v>
      </c>
      <c r="AF948" s="14" t="s">
        <v>213</v>
      </c>
      <c r="AG948" s="14" t="s">
        <v>101</v>
      </c>
    </row>
    <row r="949" spans="2:33">
      <c r="B949" s="14">
        <f>10000000+INDEX(编号表!$B:$B,MATCH(H949,编号表!$A:$A,0))*100000+INDEX(编号表!$F:$F,MATCH(D949,编号表!$E:$E,0))*10000+INDEX(编号表!$D:$D,MATCH(AG949,编号表!$C:$C,0))*1000+F949</f>
        <v>11527008</v>
      </c>
      <c r="C949" s="14" t="s">
        <v>1109</v>
      </c>
      <c r="D949" s="14" t="s">
        <v>112</v>
      </c>
      <c r="E949" s="14" t="s">
        <v>101</v>
      </c>
      <c r="F949" s="14">
        <v>8</v>
      </c>
      <c r="G949" s="14">
        <v>60</v>
      </c>
      <c r="H949" s="31" t="s">
        <v>228</v>
      </c>
      <c r="I949" s="14" t="s">
        <v>75</v>
      </c>
      <c r="J949" s="14" t="s">
        <v>201</v>
      </c>
      <c r="K949" s="14">
        <v>1</v>
      </c>
      <c r="L949" s="14" t="s">
        <v>213</v>
      </c>
      <c r="N949" s="14">
        <v>0</v>
      </c>
      <c r="O949" s="14" t="b">
        <v>1</v>
      </c>
      <c r="Q949" s="14" t="b">
        <v>0</v>
      </c>
      <c r="R949" s="14">
        <v>1</v>
      </c>
      <c r="S949" s="14" t="s">
        <v>77</v>
      </c>
      <c r="T949" s="14">
        <v>999</v>
      </c>
      <c r="U949" s="14" t="s">
        <v>214</v>
      </c>
      <c r="V949" s="14">
        <v>31527008</v>
      </c>
      <c r="X949" s="14" t="s">
        <v>204</v>
      </c>
      <c r="Y949" s="14" t="s">
        <v>215</v>
      </c>
      <c r="Z949" s="14">
        <v>20001</v>
      </c>
      <c r="AA949" s="14" t="s">
        <v>205</v>
      </c>
      <c r="AB949" s="14">
        <v>40001</v>
      </c>
      <c r="AE949" s="29" t="s">
        <v>121</v>
      </c>
      <c r="AF949" s="14" t="s">
        <v>213</v>
      </c>
      <c r="AG949" s="14" t="s">
        <v>101</v>
      </c>
    </row>
    <row r="950" spans="2:33">
      <c r="B950" s="14">
        <f>10000000+INDEX(编号表!$B:$B,MATCH(H950,编号表!$A:$A,0))*100000+INDEX(编号表!$F:$F,MATCH(D950,编号表!$E:$E,0))*10000+INDEX(编号表!$D:$D,MATCH(AG950,编号表!$C:$C,0))*1000+F950</f>
        <v>11527009</v>
      </c>
      <c r="C950" s="14" t="s">
        <v>1110</v>
      </c>
      <c r="D950" s="14" t="s">
        <v>112</v>
      </c>
      <c r="E950" s="14" t="s">
        <v>101</v>
      </c>
      <c r="F950" s="14">
        <v>9</v>
      </c>
      <c r="G950" s="14">
        <v>60</v>
      </c>
      <c r="H950" s="31" t="s">
        <v>228</v>
      </c>
      <c r="I950" s="14" t="s">
        <v>75</v>
      </c>
      <c r="J950" s="14" t="s">
        <v>201</v>
      </c>
      <c r="K950" s="14">
        <v>1</v>
      </c>
      <c r="L950" s="14" t="s">
        <v>213</v>
      </c>
      <c r="N950" s="14">
        <v>0</v>
      </c>
      <c r="O950" s="14" t="b">
        <v>1</v>
      </c>
      <c r="Q950" s="14" t="b">
        <v>0</v>
      </c>
      <c r="R950" s="14">
        <v>1</v>
      </c>
      <c r="S950" s="14" t="s">
        <v>77</v>
      </c>
      <c r="T950" s="14">
        <v>999</v>
      </c>
      <c r="U950" s="14" t="s">
        <v>214</v>
      </c>
      <c r="V950" s="14">
        <v>31527009</v>
      </c>
      <c r="X950" s="14" t="s">
        <v>204</v>
      </c>
      <c r="Y950" s="14" t="s">
        <v>215</v>
      </c>
      <c r="Z950" s="14">
        <v>20001</v>
      </c>
      <c r="AA950" s="14" t="s">
        <v>205</v>
      </c>
      <c r="AB950" s="14">
        <v>40001</v>
      </c>
      <c r="AE950" s="29" t="s">
        <v>121</v>
      </c>
      <c r="AF950" s="14" t="s">
        <v>213</v>
      </c>
      <c r="AG950" s="14" t="s">
        <v>101</v>
      </c>
    </row>
    <row r="951" spans="2:33">
      <c r="B951" s="14">
        <f>10000000+INDEX(编号表!$B:$B,MATCH(H951,编号表!$A:$A,0))*100000+INDEX(编号表!$F:$F,MATCH(D951,编号表!$E:$E,0))*10000+INDEX(编号表!$D:$D,MATCH(AG951,编号表!$C:$C,0))*1000+F951</f>
        <v>11427000</v>
      </c>
      <c r="C951" s="14" t="s">
        <v>1111</v>
      </c>
      <c r="D951" s="14" t="s">
        <v>112</v>
      </c>
      <c r="E951" s="14" t="s">
        <v>101</v>
      </c>
      <c r="F951" s="14">
        <v>0</v>
      </c>
      <c r="G951" s="14">
        <v>60</v>
      </c>
      <c r="H951" s="31" t="s">
        <v>239</v>
      </c>
      <c r="I951" s="14" t="s">
        <v>75</v>
      </c>
      <c r="J951" s="14" t="s">
        <v>201</v>
      </c>
      <c r="K951" s="14">
        <v>1</v>
      </c>
      <c r="L951" s="14" t="s">
        <v>213</v>
      </c>
      <c r="N951" s="14">
        <v>0</v>
      </c>
      <c r="O951" s="14" t="b">
        <v>1</v>
      </c>
      <c r="Q951" s="14" t="b">
        <v>0</v>
      </c>
      <c r="R951" s="14">
        <v>1</v>
      </c>
      <c r="S951" s="14" t="s">
        <v>77</v>
      </c>
      <c r="T951" s="14">
        <v>999</v>
      </c>
      <c r="U951" s="14" t="s">
        <v>214</v>
      </c>
      <c r="V951" s="14">
        <v>31427000</v>
      </c>
      <c r="X951" s="14" t="s">
        <v>204</v>
      </c>
      <c r="Y951" s="14" t="s">
        <v>215</v>
      </c>
      <c r="Z951" s="14">
        <v>20001</v>
      </c>
      <c r="AA951" s="14" t="s">
        <v>205</v>
      </c>
      <c r="AB951" s="14">
        <v>40001</v>
      </c>
      <c r="AE951" s="29" t="s">
        <v>121</v>
      </c>
      <c r="AF951" s="14" t="s">
        <v>213</v>
      </c>
      <c r="AG951" s="14" t="s">
        <v>101</v>
      </c>
    </row>
    <row r="952" spans="2:33">
      <c r="B952" s="14">
        <f>10000000+INDEX(编号表!$B:$B,MATCH(H952,编号表!$A:$A,0))*100000+INDEX(编号表!$F:$F,MATCH(D952,编号表!$E:$E,0))*10000+INDEX(编号表!$D:$D,MATCH(AG952,编号表!$C:$C,0))*1000+F952</f>
        <v>11427001</v>
      </c>
      <c r="C952" s="14" t="s">
        <v>1112</v>
      </c>
      <c r="D952" s="14" t="s">
        <v>112</v>
      </c>
      <c r="E952" s="14" t="s">
        <v>101</v>
      </c>
      <c r="F952" s="14">
        <v>1</v>
      </c>
      <c r="G952" s="14">
        <v>60</v>
      </c>
      <c r="H952" s="31" t="s">
        <v>239</v>
      </c>
      <c r="I952" s="14" t="s">
        <v>75</v>
      </c>
      <c r="J952" s="14" t="s">
        <v>201</v>
      </c>
      <c r="K952" s="14">
        <v>1</v>
      </c>
      <c r="L952" s="14" t="s">
        <v>213</v>
      </c>
      <c r="N952" s="14">
        <v>0</v>
      </c>
      <c r="O952" s="14" t="b">
        <v>1</v>
      </c>
      <c r="Q952" s="14" t="b">
        <v>0</v>
      </c>
      <c r="R952" s="14">
        <v>1</v>
      </c>
      <c r="S952" s="14" t="s">
        <v>77</v>
      </c>
      <c r="T952" s="14">
        <v>999</v>
      </c>
      <c r="U952" s="14" t="s">
        <v>214</v>
      </c>
      <c r="V952" s="14">
        <v>31427001</v>
      </c>
      <c r="X952" s="14" t="s">
        <v>204</v>
      </c>
      <c r="Y952" s="14" t="s">
        <v>215</v>
      </c>
      <c r="Z952" s="14">
        <v>20001</v>
      </c>
      <c r="AA952" s="14" t="s">
        <v>205</v>
      </c>
      <c r="AB952" s="14">
        <v>40001</v>
      </c>
      <c r="AE952" s="29" t="s">
        <v>121</v>
      </c>
      <c r="AF952" s="14" t="s">
        <v>213</v>
      </c>
      <c r="AG952" s="14" t="s">
        <v>101</v>
      </c>
    </row>
    <row r="953" spans="2:33">
      <c r="B953" s="14">
        <f>10000000+INDEX(编号表!$B:$B,MATCH(H953,编号表!$A:$A,0))*100000+INDEX(编号表!$F:$F,MATCH(D953,编号表!$E:$E,0))*10000+INDEX(编号表!$D:$D,MATCH(AG953,编号表!$C:$C,0))*1000+F953</f>
        <v>11427002</v>
      </c>
      <c r="C953" s="14" t="s">
        <v>1113</v>
      </c>
      <c r="D953" s="14" t="s">
        <v>112</v>
      </c>
      <c r="E953" s="14" t="s">
        <v>101</v>
      </c>
      <c r="F953" s="14">
        <v>2</v>
      </c>
      <c r="G953" s="14">
        <v>60</v>
      </c>
      <c r="H953" s="31" t="s">
        <v>239</v>
      </c>
      <c r="I953" s="14" t="s">
        <v>75</v>
      </c>
      <c r="J953" s="14" t="s">
        <v>201</v>
      </c>
      <c r="K953" s="14">
        <v>1</v>
      </c>
      <c r="L953" s="14" t="s">
        <v>213</v>
      </c>
      <c r="N953" s="14">
        <v>0</v>
      </c>
      <c r="O953" s="14" t="b">
        <v>1</v>
      </c>
      <c r="Q953" s="14" t="b">
        <v>0</v>
      </c>
      <c r="R953" s="14">
        <v>1</v>
      </c>
      <c r="S953" s="14" t="s">
        <v>77</v>
      </c>
      <c r="T953" s="14">
        <v>999</v>
      </c>
      <c r="U953" s="14" t="s">
        <v>214</v>
      </c>
      <c r="V953" s="14">
        <v>31427002</v>
      </c>
      <c r="X953" s="14" t="s">
        <v>204</v>
      </c>
      <c r="Y953" s="14" t="s">
        <v>215</v>
      </c>
      <c r="Z953" s="14">
        <v>20001</v>
      </c>
      <c r="AA953" s="14" t="s">
        <v>205</v>
      </c>
      <c r="AB953" s="14">
        <v>40001</v>
      </c>
      <c r="AE953" s="29" t="s">
        <v>121</v>
      </c>
      <c r="AF953" s="14" t="s">
        <v>213</v>
      </c>
      <c r="AG953" s="14" t="s">
        <v>101</v>
      </c>
    </row>
    <row r="954" spans="2:33">
      <c r="B954" s="14">
        <f>10000000+INDEX(编号表!$B:$B,MATCH(H954,编号表!$A:$A,0))*100000+INDEX(编号表!$F:$F,MATCH(D954,编号表!$E:$E,0))*10000+INDEX(编号表!$D:$D,MATCH(AG954,编号表!$C:$C,0))*1000+F954</f>
        <v>11427003</v>
      </c>
      <c r="C954" s="14" t="s">
        <v>1114</v>
      </c>
      <c r="D954" s="14" t="s">
        <v>112</v>
      </c>
      <c r="E954" s="14" t="s">
        <v>101</v>
      </c>
      <c r="F954" s="14">
        <v>3</v>
      </c>
      <c r="G954" s="14">
        <v>60</v>
      </c>
      <c r="H954" s="31" t="s">
        <v>239</v>
      </c>
      <c r="I954" s="14" t="s">
        <v>75</v>
      </c>
      <c r="J954" s="14" t="s">
        <v>201</v>
      </c>
      <c r="K954" s="14">
        <v>1</v>
      </c>
      <c r="L954" s="14" t="s">
        <v>213</v>
      </c>
      <c r="N954" s="14">
        <v>0</v>
      </c>
      <c r="O954" s="14" t="b">
        <v>1</v>
      </c>
      <c r="Q954" s="14" t="b">
        <v>0</v>
      </c>
      <c r="R954" s="14">
        <v>1</v>
      </c>
      <c r="S954" s="14" t="s">
        <v>77</v>
      </c>
      <c r="T954" s="14">
        <v>999</v>
      </c>
      <c r="U954" s="14" t="s">
        <v>214</v>
      </c>
      <c r="V954" s="14">
        <v>31427003</v>
      </c>
      <c r="X954" s="14" t="s">
        <v>204</v>
      </c>
      <c r="Y954" s="14" t="s">
        <v>215</v>
      </c>
      <c r="Z954" s="14">
        <v>20001</v>
      </c>
      <c r="AA954" s="14" t="s">
        <v>205</v>
      </c>
      <c r="AB954" s="14">
        <v>40001</v>
      </c>
      <c r="AE954" s="29" t="s">
        <v>121</v>
      </c>
      <c r="AF954" s="14" t="s">
        <v>213</v>
      </c>
      <c r="AG954" s="14" t="s">
        <v>101</v>
      </c>
    </row>
    <row r="955" spans="2:33">
      <c r="B955" s="14">
        <f>10000000+INDEX(编号表!$B:$B,MATCH(H955,编号表!$A:$A,0))*100000+INDEX(编号表!$F:$F,MATCH(D955,编号表!$E:$E,0))*10000+INDEX(编号表!$D:$D,MATCH(AG955,编号表!$C:$C,0))*1000+F955</f>
        <v>11627000</v>
      </c>
      <c r="C955" s="14" t="s">
        <v>1115</v>
      </c>
      <c r="D955" s="14" t="s">
        <v>112</v>
      </c>
      <c r="E955" s="14" t="s">
        <v>101</v>
      </c>
      <c r="F955" s="14">
        <v>0</v>
      </c>
      <c r="G955" s="14">
        <v>60</v>
      </c>
      <c r="H955" s="31" t="s">
        <v>244</v>
      </c>
      <c r="I955" s="14" t="s">
        <v>75</v>
      </c>
      <c r="J955" s="14" t="s">
        <v>201</v>
      </c>
      <c r="K955" s="14">
        <v>1</v>
      </c>
      <c r="L955" s="14" t="s">
        <v>213</v>
      </c>
      <c r="N955" s="14">
        <v>0</v>
      </c>
      <c r="O955" s="14" t="b">
        <v>1</v>
      </c>
      <c r="Q955" s="14" t="b">
        <v>0</v>
      </c>
      <c r="R955" s="14">
        <v>1</v>
      </c>
      <c r="S955" s="14" t="s">
        <v>77</v>
      </c>
      <c r="T955" s="14">
        <v>999</v>
      </c>
      <c r="U955" s="14" t="s">
        <v>214</v>
      </c>
      <c r="V955" s="14">
        <v>31627000</v>
      </c>
      <c r="X955" s="14" t="s">
        <v>204</v>
      </c>
      <c r="Y955" s="14" t="s">
        <v>215</v>
      </c>
      <c r="Z955" s="14">
        <v>20001</v>
      </c>
      <c r="AA955" s="14" t="s">
        <v>205</v>
      </c>
      <c r="AB955" s="14">
        <v>40001</v>
      </c>
      <c r="AE955" s="29" t="s">
        <v>121</v>
      </c>
      <c r="AF955" s="14" t="s">
        <v>213</v>
      </c>
      <c r="AG955" s="14" t="s">
        <v>101</v>
      </c>
    </row>
    <row r="956" spans="2:33">
      <c r="B956" s="14">
        <f>10000000+INDEX(编号表!$B:$B,MATCH(H956,编号表!$A:$A,0))*100000+INDEX(编号表!$F:$F,MATCH(D956,编号表!$E:$E,0))*10000+INDEX(编号表!$D:$D,MATCH(AG956,编号表!$C:$C,0))*1000+F956</f>
        <v>11627001</v>
      </c>
      <c r="C956" s="14" t="s">
        <v>1116</v>
      </c>
      <c r="D956" s="14" t="s">
        <v>112</v>
      </c>
      <c r="E956" s="14" t="s">
        <v>101</v>
      </c>
      <c r="F956" s="14">
        <v>1</v>
      </c>
      <c r="G956" s="14">
        <v>60</v>
      </c>
      <c r="H956" s="31" t="s">
        <v>244</v>
      </c>
      <c r="I956" s="14" t="s">
        <v>75</v>
      </c>
      <c r="J956" s="14" t="s">
        <v>201</v>
      </c>
      <c r="K956" s="14">
        <v>1</v>
      </c>
      <c r="L956" s="14" t="s">
        <v>213</v>
      </c>
      <c r="N956" s="14">
        <v>0</v>
      </c>
      <c r="O956" s="14" t="b">
        <v>1</v>
      </c>
      <c r="Q956" s="14" t="b">
        <v>0</v>
      </c>
      <c r="R956" s="14">
        <v>1</v>
      </c>
      <c r="S956" s="14" t="s">
        <v>77</v>
      </c>
      <c r="T956" s="14">
        <v>999</v>
      </c>
      <c r="U956" s="14" t="s">
        <v>214</v>
      </c>
      <c r="V956" s="14">
        <v>31627001</v>
      </c>
      <c r="X956" s="14" t="s">
        <v>204</v>
      </c>
      <c r="Y956" s="14" t="s">
        <v>215</v>
      </c>
      <c r="Z956" s="14">
        <v>20001</v>
      </c>
      <c r="AA956" s="14" t="s">
        <v>205</v>
      </c>
      <c r="AB956" s="14">
        <v>40001</v>
      </c>
      <c r="AE956" s="29" t="s">
        <v>121</v>
      </c>
      <c r="AF956" s="14" t="s">
        <v>213</v>
      </c>
      <c r="AG956" s="14" t="s">
        <v>101</v>
      </c>
    </row>
    <row r="957" spans="2:33">
      <c r="B957" s="14">
        <f>10000000+INDEX(编号表!$B:$B,MATCH(H957,编号表!$A:$A,0))*100000+INDEX(编号表!$F:$F,MATCH(D957,编号表!$E:$E,0))*10000+INDEX(编号表!$D:$D,MATCH(AG957,编号表!$C:$C,0))*1000+F957</f>
        <v>11627002</v>
      </c>
      <c r="C957" s="14" t="s">
        <v>1117</v>
      </c>
      <c r="D957" s="14" t="s">
        <v>112</v>
      </c>
      <c r="E957" s="14" t="s">
        <v>101</v>
      </c>
      <c r="F957" s="14">
        <v>2</v>
      </c>
      <c r="G957" s="14">
        <v>60</v>
      </c>
      <c r="H957" s="31" t="s">
        <v>244</v>
      </c>
      <c r="I957" s="14" t="s">
        <v>75</v>
      </c>
      <c r="J957" s="14" t="s">
        <v>201</v>
      </c>
      <c r="K957" s="14">
        <v>1</v>
      </c>
      <c r="L957" s="14" t="s">
        <v>213</v>
      </c>
      <c r="N957" s="14">
        <v>0</v>
      </c>
      <c r="O957" s="14" t="b">
        <v>1</v>
      </c>
      <c r="Q957" s="14" t="b">
        <v>0</v>
      </c>
      <c r="R957" s="14">
        <v>1</v>
      </c>
      <c r="S957" s="14" t="s">
        <v>77</v>
      </c>
      <c r="T957" s="14">
        <v>999</v>
      </c>
      <c r="U957" s="14" t="s">
        <v>214</v>
      </c>
      <c r="V957" s="14">
        <v>31627002</v>
      </c>
      <c r="X957" s="14" t="s">
        <v>204</v>
      </c>
      <c r="Y957" s="14" t="s">
        <v>215</v>
      </c>
      <c r="Z957" s="14">
        <v>20001</v>
      </c>
      <c r="AA957" s="14" t="s">
        <v>205</v>
      </c>
      <c r="AB957" s="14">
        <v>40001</v>
      </c>
      <c r="AE957" s="29" t="s">
        <v>121</v>
      </c>
      <c r="AF957" s="14" t="s">
        <v>213</v>
      </c>
      <c r="AG957" s="14" t="s">
        <v>101</v>
      </c>
    </row>
    <row r="958" spans="2:33">
      <c r="B958" s="14">
        <f>10000000+INDEX(编号表!$B:$B,MATCH(H958,编号表!$A:$A,0))*100000+INDEX(编号表!$F:$F,MATCH(D958,编号表!$E:$E,0))*10000+INDEX(编号表!$D:$D,MATCH(AG958,编号表!$C:$C,0))*1000+F958</f>
        <v>11237000</v>
      </c>
      <c r="C958" s="14" t="s">
        <v>1118</v>
      </c>
      <c r="D958" s="14" t="s">
        <v>276</v>
      </c>
      <c r="E958" s="14" t="s">
        <v>101</v>
      </c>
      <c r="F958" s="14">
        <v>0</v>
      </c>
      <c r="G958" s="14">
        <v>60</v>
      </c>
      <c r="H958" s="31" t="s">
        <v>212</v>
      </c>
      <c r="I958" s="14" t="s">
        <v>75</v>
      </c>
      <c r="J958" s="14" t="s">
        <v>201</v>
      </c>
      <c r="K958" s="14">
        <v>1</v>
      </c>
      <c r="L958" s="14" t="s">
        <v>213</v>
      </c>
      <c r="N958" s="14">
        <v>0</v>
      </c>
      <c r="O958" s="14" t="b">
        <v>1</v>
      </c>
      <c r="Q958" s="14" t="b">
        <v>0</v>
      </c>
      <c r="R958" s="14">
        <v>1</v>
      </c>
      <c r="S958" s="14" t="s">
        <v>77</v>
      </c>
      <c r="T958" s="14">
        <v>999</v>
      </c>
      <c r="U958" s="14" t="s">
        <v>214</v>
      </c>
      <c r="V958" s="14">
        <v>31237000</v>
      </c>
      <c r="X958" s="14" t="s">
        <v>204</v>
      </c>
      <c r="Y958" s="14" t="s">
        <v>215</v>
      </c>
      <c r="Z958" s="14">
        <v>20001</v>
      </c>
      <c r="AA958" s="14" t="s">
        <v>205</v>
      </c>
      <c r="AB958" s="14">
        <v>40001</v>
      </c>
      <c r="AE958" s="29" t="s">
        <v>121</v>
      </c>
      <c r="AF958" s="14" t="s">
        <v>213</v>
      </c>
      <c r="AG958" s="14" t="s">
        <v>101</v>
      </c>
    </row>
    <row r="959" spans="2:33">
      <c r="B959" s="14">
        <f>10000000+INDEX(编号表!$B:$B,MATCH(H959,编号表!$A:$A,0))*100000+INDEX(编号表!$F:$F,MATCH(D959,编号表!$E:$E,0))*10000+INDEX(编号表!$D:$D,MATCH(AG959,编号表!$C:$C,0))*1000+F959</f>
        <v>11337000</v>
      </c>
      <c r="C959" s="14" t="s">
        <v>1119</v>
      </c>
      <c r="D959" s="14" t="s">
        <v>276</v>
      </c>
      <c r="E959" s="14" t="s">
        <v>101</v>
      </c>
      <c r="F959" s="14">
        <v>0</v>
      </c>
      <c r="G959" s="14">
        <v>60</v>
      </c>
      <c r="H959" s="31" t="s">
        <v>217</v>
      </c>
      <c r="I959" s="14" t="s">
        <v>75</v>
      </c>
      <c r="J959" s="14" t="s">
        <v>201</v>
      </c>
      <c r="K959" s="14">
        <v>1</v>
      </c>
      <c r="L959" s="14" t="s">
        <v>213</v>
      </c>
      <c r="N959" s="14">
        <v>0</v>
      </c>
      <c r="O959" s="14" t="b">
        <v>1</v>
      </c>
      <c r="Q959" s="14" t="b">
        <v>0</v>
      </c>
      <c r="R959" s="14">
        <v>1</v>
      </c>
      <c r="S959" s="14" t="s">
        <v>77</v>
      </c>
      <c r="T959" s="14">
        <v>999</v>
      </c>
      <c r="U959" s="14" t="s">
        <v>214</v>
      </c>
      <c r="V959" s="14">
        <v>31337000</v>
      </c>
      <c r="X959" s="14" t="s">
        <v>204</v>
      </c>
      <c r="Y959" s="14" t="s">
        <v>215</v>
      </c>
      <c r="Z959" s="14">
        <v>20001</v>
      </c>
      <c r="AA959" s="14" t="s">
        <v>205</v>
      </c>
      <c r="AB959" s="14">
        <v>40001</v>
      </c>
      <c r="AE959" s="29" t="s">
        <v>121</v>
      </c>
      <c r="AF959" s="14" t="s">
        <v>213</v>
      </c>
      <c r="AG959" s="14" t="s">
        <v>101</v>
      </c>
    </row>
    <row r="960" spans="2:33">
      <c r="B960" s="14">
        <f>10000000+INDEX(编号表!$B:$B,MATCH(H960,编号表!$A:$A,0))*100000+INDEX(编号表!$F:$F,MATCH(D960,编号表!$E:$E,0))*10000+INDEX(编号表!$D:$D,MATCH(AG960,编号表!$C:$C,0))*1000+F960</f>
        <v>11337001</v>
      </c>
      <c r="C960" s="14" t="s">
        <v>1120</v>
      </c>
      <c r="D960" s="14" t="s">
        <v>276</v>
      </c>
      <c r="E960" s="14" t="s">
        <v>101</v>
      </c>
      <c r="F960" s="14">
        <v>1</v>
      </c>
      <c r="G960" s="14">
        <v>60</v>
      </c>
      <c r="H960" s="31" t="s">
        <v>217</v>
      </c>
      <c r="I960" s="14" t="s">
        <v>75</v>
      </c>
      <c r="J960" s="14" t="s">
        <v>201</v>
      </c>
      <c r="K960" s="14">
        <v>1</v>
      </c>
      <c r="L960" s="14" t="s">
        <v>213</v>
      </c>
      <c r="N960" s="14">
        <v>0</v>
      </c>
      <c r="O960" s="14" t="b">
        <v>1</v>
      </c>
      <c r="Q960" s="14" t="b">
        <v>0</v>
      </c>
      <c r="R960" s="14">
        <v>1</v>
      </c>
      <c r="S960" s="14" t="s">
        <v>77</v>
      </c>
      <c r="T960" s="14">
        <v>999</v>
      </c>
      <c r="U960" s="14" t="s">
        <v>214</v>
      </c>
      <c r="V960" s="14">
        <v>31337001</v>
      </c>
      <c r="X960" s="14" t="s">
        <v>204</v>
      </c>
      <c r="Y960" s="14" t="s">
        <v>215</v>
      </c>
      <c r="Z960" s="14">
        <v>20001</v>
      </c>
      <c r="AA960" s="14" t="s">
        <v>205</v>
      </c>
      <c r="AB960" s="14">
        <v>40001</v>
      </c>
      <c r="AE960" s="29" t="s">
        <v>121</v>
      </c>
      <c r="AF960" s="14" t="s">
        <v>213</v>
      </c>
      <c r="AG960" s="14" t="s">
        <v>101</v>
      </c>
    </row>
    <row r="961" spans="2:33">
      <c r="B961" s="14">
        <f>10000000+INDEX(编号表!$B:$B,MATCH(H961,编号表!$A:$A,0))*100000+INDEX(编号表!$F:$F,MATCH(D961,编号表!$E:$E,0))*10000+INDEX(编号表!$D:$D,MATCH(AG961,编号表!$C:$C,0))*1000+F961</f>
        <v>11337002</v>
      </c>
      <c r="C961" s="14" t="s">
        <v>1121</v>
      </c>
      <c r="D961" s="14" t="s">
        <v>276</v>
      </c>
      <c r="E961" s="14" t="s">
        <v>101</v>
      </c>
      <c r="F961" s="14">
        <v>2</v>
      </c>
      <c r="G961" s="14">
        <v>60</v>
      </c>
      <c r="H961" s="31" t="s">
        <v>217</v>
      </c>
      <c r="I961" s="14" t="s">
        <v>75</v>
      </c>
      <c r="J961" s="14" t="s">
        <v>201</v>
      </c>
      <c r="K961" s="14">
        <v>1</v>
      </c>
      <c r="L961" s="14" t="s">
        <v>213</v>
      </c>
      <c r="N961" s="14">
        <v>0</v>
      </c>
      <c r="O961" s="14" t="b">
        <v>1</v>
      </c>
      <c r="Q961" s="14" t="b">
        <v>0</v>
      </c>
      <c r="R961" s="14">
        <v>1</v>
      </c>
      <c r="S961" s="14" t="s">
        <v>77</v>
      </c>
      <c r="T961" s="14">
        <v>999</v>
      </c>
      <c r="U961" s="14" t="s">
        <v>214</v>
      </c>
      <c r="V961" s="14">
        <v>31337002</v>
      </c>
      <c r="X961" s="14" t="s">
        <v>204</v>
      </c>
      <c r="Y961" s="14" t="s">
        <v>215</v>
      </c>
      <c r="Z961" s="14">
        <v>20001</v>
      </c>
      <c r="AA961" s="14" t="s">
        <v>205</v>
      </c>
      <c r="AB961" s="14">
        <v>40001</v>
      </c>
      <c r="AE961" s="29" t="s">
        <v>121</v>
      </c>
      <c r="AF961" s="14" t="s">
        <v>213</v>
      </c>
      <c r="AG961" s="14" t="s">
        <v>101</v>
      </c>
    </row>
    <row r="962" spans="2:33">
      <c r="B962" s="14">
        <f>10000000+INDEX(编号表!$B:$B,MATCH(H962,编号表!$A:$A,0))*100000+INDEX(编号表!$F:$F,MATCH(D962,编号表!$E:$E,0))*10000+INDEX(编号表!$D:$D,MATCH(AG962,编号表!$C:$C,0))*1000+F962</f>
        <v>11337003</v>
      </c>
      <c r="C962" s="14" t="s">
        <v>1122</v>
      </c>
      <c r="D962" s="14" t="s">
        <v>276</v>
      </c>
      <c r="E962" s="14" t="s">
        <v>101</v>
      </c>
      <c r="F962" s="14">
        <v>3</v>
      </c>
      <c r="G962" s="14">
        <v>60</v>
      </c>
      <c r="H962" s="31" t="s">
        <v>217</v>
      </c>
      <c r="I962" s="14" t="s">
        <v>75</v>
      </c>
      <c r="J962" s="14" t="s">
        <v>201</v>
      </c>
      <c r="K962" s="14">
        <v>1</v>
      </c>
      <c r="L962" s="14" t="s">
        <v>213</v>
      </c>
      <c r="N962" s="14">
        <v>0</v>
      </c>
      <c r="O962" s="14" t="b">
        <v>1</v>
      </c>
      <c r="Q962" s="14" t="b">
        <v>0</v>
      </c>
      <c r="R962" s="14">
        <v>1</v>
      </c>
      <c r="S962" s="14" t="s">
        <v>77</v>
      </c>
      <c r="T962" s="14">
        <v>999</v>
      </c>
      <c r="U962" s="14" t="s">
        <v>214</v>
      </c>
      <c r="V962" s="14">
        <v>31337003</v>
      </c>
      <c r="X962" s="14" t="s">
        <v>204</v>
      </c>
      <c r="Y962" s="14" t="s">
        <v>215</v>
      </c>
      <c r="Z962" s="14">
        <v>20001</v>
      </c>
      <c r="AA962" s="14" t="s">
        <v>205</v>
      </c>
      <c r="AB962" s="14">
        <v>40001</v>
      </c>
      <c r="AE962" s="29" t="s">
        <v>121</v>
      </c>
      <c r="AF962" s="14" t="s">
        <v>213</v>
      </c>
      <c r="AG962" s="14" t="s">
        <v>101</v>
      </c>
    </row>
    <row r="963" spans="2:33">
      <c r="B963" s="14">
        <f>10000000+INDEX(编号表!$B:$B,MATCH(H963,编号表!$A:$A,0))*100000+INDEX(编号表!$F:$F,MATCH(D963,编号表!$E:$E,0))*10000+INDEX(编号表!$D:$D,MATCH(AG963,编号表!$C:$C,0))*1000+F963</f>
        <v>11337004</v>
      </c>
      <c r="C963" s="14" t="s">
        <v>1123</v>
      </c>
      <c r="D963" s="14" t="s">
        <v>276</v>
      </c>
      <c r="E963" s="14" t="s">
        <v>101</v>
      </c>
      <c r="F963" s="14">
        <v>4</v>
      </c>
      <c r="G963" s="14">
        <v>60</v>
      </c>
      <c r="H963" s="31" t="s">
        <v>217</v>
      </c>
      <c r="I963" s="14" t="s">
        <v>75</v>
      </c>
      <c r="J963" s="14" t="s">
        <v>201</v>
      </c>
      <c r="K963" s="14">
        <v>1</v>
      </c>
      <c r="L963" s="14" t="s">
        <v>213</v>
      </c>
      <c r="N963" s="14">
        <v>0</v>
      </c>
      <c r="O963" s="14" t="b">
        <v>1</v>
      </c>
      <c r="Q963" s="14" t="b">
        <v>0</v>
      </c>
      <c r="R963" s="14">
        <v>1</v>
      </c>
      <c r="S963" s="14" t="s">
        <v>77</v>
      </c>
      <c r="T963" s="14">
        <v>999</v>
      </c>
      <c r="U963" s="14" t="s">
        <v>214</v>
      </c>
      <c r="V963" s="14">
        <v>31337004</v>
      </c>
      <c r="X963" s="14" t="s">
        <v>204</v>
      </c>
      <c r="Y963" s="14" t="s">
        <v>215</v>
      </c>
      <c r="Z963" s="14">
        <v>20001</v>
      </c>
      <c r="AA963" s="14" t="s">
        <v>205</v>
      </c>
      <c r="AB963" s="14">
        <v>40001</v>
      </c>
      <c r="AE963" s="29" t="s">
        <v>121</v>
      </c>
      <c r="AF963" s="14" t="s">
        <v>213</v>
      </c>
      <c r="AG963" s="14" t="s">
        <v>101</v>
      </c>
    </row>
    <row r="964" spans="2:33">
      <c r="B964" s="14">
        <f>10000000+INDEX(编号表!$B:$B,MATCH(H964,编号表!$A:$A,0))*100000+INDEX(编号表!$F:$F,MATCH(D964,编号表!$E:$E,0))*10000+INDEX(编号表!$D:$D,MATCH(AG964,编号表!$C:$C,0))*1000+F964</f>
        <v>11337005</v>
      </c>
      <c r="C964" s="14" t="s">
        <v>1124</v>
      </c>
      <c r="D964" s="14" t="s">
        <v>276</v>
      </c>
      <c r="E964" s="14" t="s">
        <v>101</v>
      </c>
      <c r="F964" s="14">
        <v>5</v>
      </c>
      <c r="G964" s="14">
        <v>60</v>
      </c>
      <c r="H964" s="31" t="s">
        <v>217</v>
      </c>
      <c r="I964" s="14" t="s">
        <v>75</v>
      </c>
      <c r="J964" s="14" t="s">
        <v>201</v>
      </c>
      <c r="K964" s="14">
        <v>1</v>
      </c>
      <c r="L964" s="14" t="s">
        <v>213</v>
      </c>
      <c r="N964" s="14">
        <v>0</v>
      </c>
      <c r="O964" s="14" t="b">
        <v>1</v>
      </c>
      <c r="Q964" s="14" t="b">
        <v>0</v>
      </c>
      <c r="R964" s="14">
        <v>1</v>
      </c>
      <c r="S964" s="14" t="s">
        <v>77</v>
      </c>
      <c r="T964" s="14">
        <v>999</v>
      </c>
      <c r="U964" s="14" t="s">
        <v>214</v>
      </c>
      <c r="V964" s="14">
        <v>31337005</v>
      </c>
      <c r="X964" s="14" t="s">
        <v>204</v>
      </c>
      <c r="Y964" s="14" t="s">
        <v>215</v>
      </c>
      <c r="Z964" s="14">
        <v>20001</v>
      </c>
      <c r="AA964" s="14" t="s">
        <v>205</v>
      </c>
      <c r="AB964" s="14">
        <v>40001</v>
      </c>
      <c r="AE964" s="29" t="s">
        <v>121</v>
      </c>
      <c r="AF964" s="14" t="s">
        <v>213</v>
      </c>
      <c r="AG964" s="14" t="s">
        <v>101</v>
      </c>
    </row>
    <row r="965" spans="2:33">
      <c r="B965" s="14">
        <f>10000000+INDEX(编号表!$B:$B,MATCH(H965,编号表!$A:$A,0))*100000+INDEX(编号表!$F:$F,MATCH(D965,编号表!$E:$E,0))*10000+INDEX(编号表!$D:$D,MATCH(AG965,编号表!$C:$C,0))*1000+F965</f>
        <v>11337006</v>
      </c>
      <c r="C965" s="14" t="s">
        <v>1125</v>
      </c>
      <c r="D965" s="14" t="s">
        <v>276</v>
      </c>
      <c r="E965" s="14" t="s">
        <v>101</v>
      </c>
      <c r="F965" s="14">
        <v>6</v>
      </c>
      <c r="G965" s="14">
        <v>60</v>
      </c>
      <c r="H965" s="31" t="s">
        <v>217</v>
      </c>
      <c r="I965" s="14" t="s">
        <v>75</v>
      </c>
      <c r="J965" s="14" t="s">
        <v>201</v>
      </c>
      <c r="K965" s="14">
        <v>1</v>
      </c>
      <c r="L965" s="14" t="s">
        <v>213</v>
      </c>
      <c r="N965" s="14">
        <v>0</v>
      </c>
      <c r="O965" s="14" t="b">
        <v>1</v>
      </c>
      <c r="Q965" s="14" t="b">
        <v>0</v>
      </c>
      <c r="R965" s="14">
        <v>1</v>
      </c>
      <c r="S965" s="14" t="s">
        <v>77</v>
      </c>
      <c r="T965" s="14">
        <v>999</v>
      </c>
      <c r="U965" s="14" t="s">
        <v>214</v>
      </c>
      <c r="V965" s="14">
        <v>31337006</v>
      </c>
      <c r="X965" s="14" t="s">
        <v>204</v>
      </c>
      <c r="Y965" s="14" t="s">
        <v>215</v>
      </c>
      <c r="Z965" s="14">
        <v>20001</v>
      </c>
      <c r="AA965" s="14" t="s">
        <v>205</v>
      </c>
      <c r="AB965" s="14">
        <v>40001</v>
      </c>
      <c r="AE965" s="29" t="s">
        <v>121</v>
      </c>
      <c r="AF965" s="14" t="s">
        <v>213</v>
      </c>
      <c r="AG965" s="14" t="s">
        <v>101</v>
      </c>
    </row>
    <row r="966" spans="2:33">
      <c r="B966" s="14">
        <f>10000000+INDEX(编号表!$B:$B,MATCH(H966,编号表!$A:$A,0))*100000+INDEX(编号表!$F:$F,MATCH(D966,编号表!$E:$E,0))*10000+INDEX(编号表!$D:$D,MATCH(AG966,编号表!$C:$C,0))*1000+F966</f>
        <v>11337007</v>
      </c>
      <c r="C966" s="14" t="s">
        <v>1126</v>
      </c>
      <c r="D966" s="14" t="s">
        <v>276</v>
      </c>
      <c r="E966" s="14" t="s">
        <v>101</v>
      </c>
      <c r="F966" s="14">
        <v>7</v>
      </c>
      <c r="G966" s="14">
        <v>60</v>
      </c>
      <c r="H966" s="31" t="s">
        <v>217</v>
      </c>
      <c r="I966" s="14" t="s">
        <v>75</v>
      </c>
      <c r="J966" s="14" t="s">
        <v>201</v>
      </c>
      <c r="K966" s="14">
        <v>1</v>
      </c>
      <c r="L966" s="14" t="s">
        <v>213</v>
      </c>
      <c r="N966" s="14">
        <v>0</v>
      </c>
      <c r="O966" s="14" t="b">
        <v>1</v>
      </c>
      <c r="Q966" s="14" t="b">
        <v>0</v>
      </c>
      <c r="R966" s="14">
        <v>1</v>
      </c>
      <c r="S966" s="14" t="s">
        <v>77</v>
      </c>
      <c r="T966" s="14">
        <v>999</v>
      </c>
      <c r="U966" s="14" t="s">
        <v>214</v>
      </c>
      <c r="V966" s="14">
        <v>31337007</v>
      </c>
      <c r="X966" s="14" t="s">
        <v>204</v>
      </c>
      <c r="Y966" s="14" t="s">
        <v>215</v>
      </c>
      <c r="Z966" s="14">
        <v>20001</v>
      </c>
      <c r="AA966" s="14" t="s">
        <v>205</v>
      </c>
      <c r="AB966" s="14">
        <v>40001</v>
      </c>
      <c r="AE966" s="29" t="s">
        <v>121</v>
      </c>
      <c r="AF966" s="14" t="s">
        <v>213</v>
      </c>
      <c r="AG966" s="14" t="s">
        <v>101</v>
      </c>
    </row>
    <row r="967" spans="2:33">
      <c r="B967" s="14">
        <f>10000000+INDEX(编号表!$B:$B,MATCH(H967,编号表!$A:$A,0))*100000+INDEX(编号表!$F:$F,MATCH(D967,编号表!$E:$E,0))*10000+INDEX(编号表!$D:$D,MATCH(AG967,编号表!$C:$C,0))*1000+F967</f>
        <v>11337008</v>
      </c>
      <c r="C967" s="14" t="s">
        <v>1127</v>
      </c>
      <c r="D967" s="14" t="s">
        <v>276</v>
      </c>
      <c r="E967" s="14" t="s">
        <v>101</v>
      </c>
      <c r="F967" s="14">
        <v>8</v>
      </c>
      <c r="G967" s="14">
        <v>60</v>
      </c>
      <c r="H967" s="31" t="s">
        <v>217</v>
      </c>
      <c r="I967" s="14" t="s">
        <v>75</v>
      </c>
      <c r="J967" s="14" t="s">
        <v>201</v>
      </c>
      <c r="K967" s="14">
        <v>1</v>
      </c>
      <c r="L967" s="14" t="s">
        <v>213</v>
      </c>
      <c r="N967" s="14">
        <v>0</v>
      </c>
      <c r="O967" s="14" t="b">
        <v>1</v>
      </c>
      <c r="Q967" s="14" t="b">
        <v>0</v>
      </c>
      <c r="R967" s="14">
        <v>1</v>
      </c>
      <c r="S967" s="14" t="s">
        <v>77</v>
      </c>
      <c r="T967" s="14">
        <v>999</v>
      </c>
      <c r="U967" s="14" t="s">
        <v>214</v>
      </c>
      <c r="V967" s="14">
        <v>31337008</v>
      </c>
      <c r="X967" s="14" t="s">
        <v>204</v>
      </c>
      <c r="Y967" s="14" t="s">
        <v>215</v>
      </c>
      <c r="Z967" s="14">
        <v>20001</v>
      </c>
      <c r="AA967" s="14" t="s">
        <v>205</v>
      </c>
      <c r="AB967" s="14">
        <v>40001</v>
      </c>
      <c r="AE967" s="29" t="s">
        <v>121</v>
      </c>
      <c r="AF967" s="14" t="s">
        <v>213</v>
      </c>
      <c r="AG967" s="14" t="s">
        <v>101</v>
      </c>
    </row>
    <row r="968" spans="2:33">
      <c r="B968" s="14">
        <f>10000000+INDEX(编号表!$B:$B,MATCH(H968,编号表!$A:$A,0))*100000+INDEX(编号表!$F:$F,MATCH(D968,编号表!$E:$E,0))*10000+INDEX(编号表!$D:$D,MATCH(AG968,编号表!$C:$C,0))*1000+F968</f>
        <v>11337009</v>
      </c>
      <c r="C968" s="14" t="s">
        <v>1128</v>
      </c>
      <c r="D968" s="14" t="s">
        <v>276</v>
      </c>
      <c r="E968" s="14" t="s">
        <v>101</v>
      </c>
      <c r="F968" s="14">
        <v>9</v>
      </c>
      <c r="G968" s="14">
        <v>60</v>
      </c>
      <c r="H968" s="31" t="s">
        <v>217</v>
      </c>
      <c r="I968" s="14" t="s">
        <v>75</v>
      </c>
      <c r="J968" s="14" t="s">
        <v>201</v>
      </c>
      <c r="K968" s="14">
        <v>1</v>
      </c>
      <c r="L968" s="14" t="s">
        <v>213</v>
      </c>
      <c r="N968" s="14">
        <v>0</v>
      </c>
      <c r="O968" s="14" t="b">
        <v>1</v>
      </c>
      <c r="Q968" s="14" t="b">
        <v>0</v>
      </c>
      <c r="R968" s="14">
        <v>1</v>
      </c>
      <c r="S968" s="14" t="s">
        <v>77</v>
      </c>
      <c r="T968" s="14">
        <v>999</v>
      </c>
      <c r="U968" s="14" t="s">
        <v>214</v>
      </c>
      <c r="V968" s="14">
        <v>31337009</v>
      </c>
      <c r="X968" s="14" t="s">
        <v>204</v>
      </c>
      <c r="Y968" s="14" t="s">
        <v>215</v>
      </c>
      <c r="Z968" s="14">
        <v>20001</v>
      </c>
      <c r="AA968" s="14" t="s">
        <v>205</v>
      </c>
      <c r="AB968" s="14">
        <v>40001</v>
      </c>
      <c r="AE968" s="29" t="s">
        <v>121</v>
      </c>
      <c r="AF968" s="14" t="s">
        <v>213</v>
      </c>
      <c r="AG968" s="14" t="s">
        <v>101</v>
      </c>
    </row>
    <row r="969" spans="2:33">
      <c r="B969" s="14">
        <f>10000000+INDEX(编号表!$B:$B,MATCH(H969,编号表!$A:$A,0))*100000+INDEX(编号表!$F:$F,MATCH(D969,编号表!$E:$E,0))*10000+INDEX(编号表!$D:$D,MATCH(AG969,编号表!$C:$C,0))*1000+F969</f>
        <v>11537000</v>
      </c>
      <c r="C969" s="14" t="s">
        <v>1129</v>
      </c>
      <c r="D969" s="14" t="s">
        <v>276</v>
      </c>
      <c r="E969" s="14" t="s">
        <v>101</v>
      </c>
      <c r="F969" s="14">
        <v>0</v>
      </c>
      <c r="G969" s="14">
        <v>60</v>
      </c>
      <c r="H969" s="31" t="s">
        <v>228</v>
      </c>
      <c r="I969" s="14" t="s">
        <v>75</v>
      </c>
      <c r="J969" s="14" t="s">
        <v>201</v>
      </c>
      <c r="K969" s="14">
        <v>1</v>
      </c>
      <c r="L969" s="14" t="s">
        <v>213</v>
      </c>
      <c r="N969" s="14">
        <v>0</v>
      </c>
      <c r="O969" s="14" t="b">
        <v>1</v>
      </c>
      <c r="Q969" s="14" t="b">
        <v>0</v>
      </c>
      <c r="R969" s="14">
        <v>1</v>
      </c>
      <c r="S969" s="14" t="s">
        <v>77</v>
      </c>
      <c r="T969" s="14">
        <v>999</v>
      </c>
      <c r="U969" s="14" t="s">
        <v>214</v>
      </c>
      <c r="V969" s="14">
        <v>31537000</v>
      </c>
      <c r="X969" s="14" t="s">
        <v>204</v>
      </c>
      <c r="Y969" s="14" t="s">
        <v>215</v>
      </c>
      <c r="Z969" s="14">
        <v>20001</v>
      </c>
      <c r="AA969" s="14" t="s">
        <v>205</v>
      </c>
      <c r="AB969" s="14">
        <v>40001</v>
      </c>
      <c r="AE969" s="29" t="s">
        <v>121</v>
      </c>
      <c r="AF969" s="14" t="s">
        <v>213</v>
      </c>
      <c r="AG969" s="14" t="s">
        <v>101</v>
      </c>
    </row>
    <row r="970" spans="2:33">
      <c r="B970" s="14">
        <f>10000000+INDEX(编号表!$B:$B,MATCH(H970,编号表!$A:$A,0))*100000+INDEX(编号表!$F:$F,MATCH(D970,编号表!$E:$E,0))*10000+INDEX(编号表!$D:$D,MATCH(AG970,编号表!$C:$C,0))*1000+F970</f>
        <v>11537001</v>
      </c>
      <c r="C970" s="14" t="s">
        <v>1130</v>
      </c>
      <c r="D970" s="14" t="s">
        <v>276</v>
      </c>
      <c r="E970" s="14" t="s">
        <v>101</v>
      </c>
      <c r="F970" s="14">
        <v>1</v>
      </c>
      <c r="G970" s="14">
        <v>60</v>
      </c>
      <c r="H970" s="31" t="s">
        <v>228</v>
      </c>
      <c r="I970" s="14" t="s">
        <v>75</v>
      </c>
      <c r="J970" s="14" t="s">
        <v>201</v>
      </c>
      <c r="K970" s="14">
        <v>1</v>
      </c>
      <c r="L970" s="14" t="s">
        <v>213</v>
      </c>
      <c r="N970" s="14">
        <v>0</v>
      </c>
      <c r="O970" s="14" t="b">
        <v>1</v>
      </c>
      <c r="Q970" s="14" t="b">
        <v>0</v>
      </c>
      <c r="R970" s="14">
        <v>1</v>
      </c>
      <c r="S970" s="14" t="s">
        <v>77</v>
      </c>
      <c r="T970" s="14">
        <v>999</v>
      </c>
      <c r="U970" s="14" t="s">
        <v>214</v>
      </c>
      <c r="V970" s="14">
        <v>31537001</v>
      </c>
      <c r="X970" s="14" t="s">
        <v>204</v>
      </c>
      <c r="Y970" s="14" t="s">
        <v>215</v>
      </c>
      <c r="Z970" s="14">
        <v>20001</v>
      </c>
      <c r="AA970" s="14" t="s">
        <v>205</v>
      </c>
      <c r="AB970" s="14">
        <v>40001</v>
      </c>
      <c r="AE970" s="29" t="s">
        <v>121</v>
      </c>
      <c r="AF970" s="14" t="s">
        <v>213</v>
      </c>
      <c r="AG970" s="14" t="s">
        <v>101</v>
      </c>
    </row>
    <row r="971" spans="2:33">
      <c r="B971" s="14">
        <f>10000000+INDEX(编号表!$B:$B,MATCH(H971,编号表!$A:$A,0))*100000+INDEX(编号表!$F:$F,MATCH(D971,编号表!$E:$E,0))*10000+INDEX(编号表!$D:$D,MATCH(AG971,编号表!$C:$C,0))*1000+F971</f>
        <v>11537002</v>
      </c>
      <c r="C971" s="14" t="s">
        <v>1131</v>
      </c>
      <c r="D971" s="14" t="s">
        <v>276</v>
      </c>
      <c r="E971" s="14" t="s">
        <v>101</v>
      </c>
      <c r="F971" s="14">
        <v>2</v>
      </c>
      <c r="G971" s="14">
        <v>60</v>
      </c>
      <c r="H971" s="31" t="s">
        <v>228</v>
      </c>
      <c r="I971" s="14" t="s">
        <v>75</v>
      </c>
      <c r="J971" s="14" t="s">
        <v>201</v>
      </c>
      <c r="K971" s="14">
        <v>1</v>
      </c>
      <c r="L971" s="14" t="s">
        <v>213</v>
      </c>
      <c r="N971" s="14">
        <v>0</v>
      </c>
      <c r="O971" s="14" t="b">
        <v>1</v>
      </c>
      <c r="Q971" s="14" t="b">
        <v>0</v>
      </c>
      <c r="R971" s="14">
        <v>1</v>
      </c>
      <c r="S971" s="14" t="s">
        <v>77</v>
      </c>
      <c r="T971" s="14">
        <v>999</v>
      </c>
      <c r="U971" s="14" t="s">
        <v>214</v>
      </c>
      <c r="V971" s="14">
        <v>31537002</v>
      </c>
      <c r="X971" s="14" t="s">
        <v>204</v>
      </c>
      <c r="Y971" s="14" t="s">
        <v>215</v>
      </c>
      <c r="Z971" s="14">
        <v>20001</v>
      </c>
      <c r="AA971" s="14" t="s">
        <v>205</v>
      </c>
      <c r="AB971" s="14">
        <v>40001</v>
      </c>
      <c r="AE971" s="29" t="s">
        <v>121</v>
      </c>
      <c r="AF971" s="14" t="s">
        <v>213</v>
      </c>
      <c r="AG971" s="14" t="s">
        <v>101</v>
      </c>
    </row>
    <row r="972" spans="2:33">
      <c r="B972" s="14">
        <f>10000000+INDEX(编号表!$B:$B,MATCH(H972,编号表!$A:$A,0))*100000+INDEX(编号表!$F:$F,MATCH(D972,编号表!$E:$E,0))*10000+INDEX(编号表!$D:$D,MATCH(AG972,编号表!$C:$C,0))*1000+F972</f>
        <v>11537003</v>
      </c>
      <c r="C972" s="14" t="s">
        <v>1132</v>
      </c>
      <c r="D972" s="14" t="s">
        <v>276</v>
      </c>
      <c r="E972" s="14" t="s">
        <v>101</v>
      </c>
      <c r="F972" s="14">
        <v>3</v>
      </c>
      <c r="G972" s="14">
        <v>60</v>
      </c>
      <c r="H972" s="31" t="s">
        <v>228</v>
      </c>
      <c r="I972" s="14" t="s">
        <v>75</v>
      </c>
      <c r="J972" s="14" t="s">
        <v>201</v>
      </c>
      <c r="K972" s="14">
        <v>1</v>
      </c>
      <c r="L972" s="14" t="s">
        <v>213</v>
      </c>
      <c r="N972" s="14">
        <v>0</v>
      </c>
      <c r="O972" s="14" t="b">
        <v>1</v>
      </c>
      <c r="Q972" s="14" t="b">
        <v>0</v>
      </c>
      <c r="R972" s="14">
        <v>1</v>
      </c>
      <c r="S972" s="14" t="s">
        <v>77</v>
      </c>
      <c r="T972" s="14">
        <v>999</v>
      </c>
      <c r="U972" s="14" t="s">
        <v>214</v>
      </c>
      <c r="V972" s="14">
        <v>31537003</v>
      </c>
      <c r="X972" s="14" t="s">
        <v>204</v>
      </c>
      <c r="Y972" s="14" t="s">
        <v>215</v>
      </c>
      <c r="Z972" s="14">
        <v>20001</v>
      </c>
      <c r="AA972" s="14" t="s">
        <v>205</v>
      </c>
      <c r="AB972" s="14">
        <v>40001</v>
      </c>
      <c r="AE972" s="29" t="s">
        <v>121</v>
      </c>
      <c r="AF972" s="14" t="s">
        <v>213</v>
      </c>
      <c r="AG972" s="14" t="s">
        <v>101</v>
      </c>
    </row>
    <row r="973" spans="2:33">
      <c r="B973" s="14">
        <f>10000000+INDEX(编号表!$B:$B,MATCH(H973,编号表!$A:$A,0))*100000+INDEX(编号表!$F:$F,MATCH(D973,编号表!$E:$E,0))*10000+INDEX(编号表!$D:$D,MATCH(AG973,编号表!$C:$C,0))*1000+F973</f>
        <v>11537004</v>
      </c>
      <c r="C973" s="14" t="s">
        <v>1133</v>
      </c>
      <c r="D973" s="14" t="s">
        <v>276</v>
      </c>
      <c r="E973" s="14" t="s">
        <v>101</v>
      </c>
      <c r="F973" s="14">
        <v>4</v>
      </c>
      <c r="G973" s="14">
        <v>60</v>
      </c>
      <c r="H973" s="31" t="s">
        <v>228</v>
      </c>
      <c r="I973" s="14" t="s">
        <v>75</v>
      </c>
      <c r="J973" s="14" t="s">
        <v>201</v>
      </c>
      <c r="K973" s="14">
        <v>1</v>
      </c>
      <c r="L973" s="14" t="s">
        <v>213</v>
      </c>
      <c r="N973" s="14">
        <v>0</v>
      </c>
      <c r="O973" s="14" t="b">
        <v>1</v>
      </c>
      <c r="Q973" s="14" t="b">
        <v>0</v>
      </c>
      <c r="R973" s="14">
        <v>1</v>
      </c>
      <c r="S973" s="14" t="s">
        <v>77</v>
      </c>
      <c r="T973" s="14">
        <v>999</v>
      </c>
      <c r="U973" s="14" t="s">
        <v>214</v>
      </c>
      <c r="V973" s="14">
        <v>31537004</v>
      </c>
      <c r="X973" s="14" t="s">
        <v>204</v>
      </c>
      <c r="Y973" s="14" t="s">
        <v>215</v>
      </c>
      <c r="Z973" s="14">
        <v>20001</v>
      </c>
      <c r="AA973" s="14" t="s">
        <v>205</v>
      </c>
      <c r="AB973" s="14">
        <v>40001</v>
      </c>
      <c r="AE973" s="29" t="s">
        <v>121</v>
      </c>
      <c r="AF973" s="14" t="s">
        <v>213</v>
      </c>
      <c r="AG973" s="14" t="s">
        <v>101</v>
      </c>
    </row>
    <row r="974" spans="2:33">
      <c r="B974" s="14">
        <f>10000000+INDEX(编号表!$B:$B,MATCH(H974,编号表!$A:$A,0))*100000+INDEX(编号表!$F:$F,MATCH(D974,编号表!$E:$E,0))*10000+INDEX(编号表!$D:$D,MATCH(AG974,编号表!$C:$C,0))*1000+F974</f>
        <v>11537005</v>
      </c>
      <c r="C974" s="14" t="s">
        <v>1134</v>
      </c>
      <c r="D974" s="14" t="s">
        <v>276</v>
      </c>
      <c r="E974" s="14" t="s">
        <v>101</v>
      </c>
      <c r="F974" s="14">
        <v>5</v>
      </c>
      <c r="G974" s="14">
        <v>60</v>
      </c>
      <c r="H974" s="31" t="s">
        <v>228</v>
      </c>
      <c r="I974" s="14" t="s">
        <v>75</v>
      </c>
      <c r="J974" s="14" t="s">
        <v>201</v>
      </c>
      <c r="K974" s="14">
        <v>1</v>
      </c>
      <c r="L974" s="14" t="s">
        <v>213</v>
      </c>
      <c r="N974" s="14">
        <v>0</v>
      </c>
      <c r="O974" s="14" t="b">
        <v>1</v>
      </c>
      <c r="Q974" s="14" t="b">
        <v>0</v>
      </c>
      <c r="R974" s="14">
        <v>1</v>
      </c>
      <c r="S974" s="14" t="s">
        <v>77</v>
      </c>
      <c r="T974" s="14">
        <v>999</v>
      </c>
      <c r="U974" s="14" t="s">
        <v>214</v>
      </c>
      <c r="V974" s="14">
        <v>31537005</v>
      </c>
      <c r="X974" s="14" t="s">
        <v>204</v>
      </c>
      <c r="Y974" s="14" t="s">
        <v>215</v>
      </c>
      <c r="Z974" s="14">
        <v>20001</v>
      </c>
      <c r="AA974" s="14" t="s">
        <v>205</v>
      </c>
      <c r="AB974" s="14">
        <v>40001</v>
      </c>
      <c r="AE974" s="29" t="s">
        <v>121</v>
      </c>
      <c r="AF974" s="14" t="s">
        <v>213</v>
      </c>
      <c r="AG974" s="14" t="s">
        <v>101</v>
      </c>
    </row>
    <row r="975" spans="2:33">
      <c r="B975" s="14">
        <f>10000000+INDEX(编号表!$B:$B,MATCH(H975,编号表!$A:$A,0))*100000+INDEX(编号表!$F:$F,MATCH(D975,编号表!$E:$E,0))*10000+INDEX(编号表!$D:$D,MATCH(AG975,编号表!$C:$C,0))*1000+F975</f>
        <v>11537006</v>
      </c>
      <c r="C975" s="14" t="s">
        <v>1135</v>
      </c>
      <c r="D975" s="14" t="s">
        <v>276</v>
      </c>
      <c r="E975" s="14" t="s">
        <v>101</v>
      </c>
      <c r="F975" s="14">
        <v>6</v>
      </c>
      <c r="G975" s="14">
        <v>60</v>
      </c>
      <c r="H975" s="31" t="s">
        <v>228</v>
      </c>
      <c r="I975" s="14" t="s">
        <v>75</v>
      </c>
      <c r="J975" s="14" t="s">
        <v>201</v>
      </c>
      <c r="K975" s="14">
        <v>1</v>
      </c>
      <c r="L975" s="14" t="s">
        <v>213</v>
      </c>
      <c r="N975" s="14">
        <v>0</v>
      </c>
      <c r="O975" s="14" t="b">
        <v>1</v>
      </c>
      <c r="Q975" s="14" t="b">
        <v>0</v>
      </c>
      <c r="R975" s="14">
        <v>1</v>
      </c>
      <c r="S975" s="14" t="s">
        <v>77</v>
      </c>
      <c r="T975" s="14">
        <v>999</v>
      </c>
      <c r="U975" s="14" t="s">
        <v>214</v>
      </c>
      <c r="V975" s="14">
        <v>31537006</v>
      </c>
      <c r="X975" s="14" t="s">
        <v>204</v>
      </c>
      <c r="Y975" s="14" t="s">
        <v>215</v>
      </c>
      <c r="Z975" s="14">
        <v>20001</v>
      </c>
      <c r="AA975" s="14" t="s">
        <v>205</v>
      </c>
      <c r="AB975" s="14">
        <v>40001</v>
      </c>
      <c r="AE975" s="29" t="s">
        <v>121</v>
      </c>
      <c r="AF975" s="14" t="s">
        <v>213</v>
      </c>
      <c r="AG975" s="14" t="s">
        <v>101</v>
      </c>
    </row>
    <row r="976" spans="2:33">
      <c r="B976" s="14">
        <f>10000000+INDEX(编号表!$B:$B,MATCH(H976,编号表!$A:$A,0))*100000+INDEX(编号表!$F:$F,MATCH(D976,编号表!$E:$E,0))*10000+INDEX(编号表!$D:$D,MATCH(AG976,编号表!$C:$C,0))*1000+F976</f>
        <v>11537007</v>
      </c>
      <c r="C976" s="14" t="s">
        <v>1136</v>
      </c>
      <c r="D976" s="14" t="s">
        <v>276</v>
      </c>
      <c r="E976" s="14" t="s">
        <v>101</v>
      </c>
      <c r="F976" s="14">
        <v>7</v>
      </c>
      <c r="G976" s="14">
        <v>60</v>
      </c>
      <c r="H976" s="31" t="s">
        <v>228</v>
      </c>
      <c r="I976" s="14" t="s">
        <v>75</v>
      </c>
      <c r="J976" s="14" t="s">
        <v>201</v>
      </c>
      <c r="K976" s="14">
        <v>1</v>
      </c>
      <c r="L976" s="14" t="s">
        <v>213</v>
      </c>
      <c r="N976" s="14">
        <v>0</v>
      </c>
      <c r="O976" s="14" t="b">
        <v>1</v>
      </c>
      <c r="Q976" s="14" t="b">
        <v>0</v>
      </c>
      <c r="R976" s="14">
        <v>1</v>
      </c>
      <c r="S976" s="14" t="s">
        <v>77</v>
      </c>
      <c r="T976" s="14">
        <v>999</v>
      </c>
      <c r="U976" s="14" t="s">
        <v>214</v>
      </c>
      <c r="V976" s="14">
        <v>31537007</v>
      </c>
      <c r="X976" s="14" t="s">
        <v>204</v>
      </c>
      <c r="Y976" s="14" t="s">
        <v>215</v>
      </c>
      <c r="Z976" s="14">
        <v>20001</v>
      </c>
      <c r="AA976" s="14" t="s">
        <v>205</v>
      </c>
      <c r="AB976" s="14">
        <v>40001</v>
      </c>
      <c r="AE976" s="29" t="s">
        <v>121</v>
      </c>
      <c r="AF976" s="14" t="s">
        <v>213</v>
      </c>
      <c r="AG976" s="14" t="s">
        <v>101</v>
      </c>
    </row>
    <row r="977" spans="2:33">
      <c r="B977" s="14">
        <f>10000000+INDEX(编号表!$B:$B,MATCH(H977,编号表!$A:$A,0))*100000+INDEX(编号表!$F:$F,MATCH(D977,编号表!$E:$E,0))*10000+INDEX(编号表!$D:$D,MATCH(AG977,编号表!$C:$C,0))*1000+F977</f>
        <v>11537008</v>
      </c>
      <c r="C977" s="14" t="s">
        <v>1137</v>
      </c>
      <c r="D977" s="14" t="s">
        <v>276</v>
      </c>
      <c r="E977" s="14" t="s">
        <v>101</v>
      </c>
      <c r="F977" s="14">
        <v>8</v>
      </c>
      <c r="G977" s="14">
        <v>60</v>
      </c>
      <c r="H977" s="31" t="s">
        <v>228</v>
      </c>
      <c r="I977" s="14" t="s">
        <v>75</v>
      </c>
      <c r="J977" s="14" t="s">
        <v>201</v>
      </c>
      <c r="K977" s="14">
        <v>1</v>
      </c>
      <c r="L977" s="14" t="s">
        <v>213</v>
      </c>
      <c r="N977" s="14">
        <v>0</v>
      </c>
      <c r="O977" s="14" t="b">
        <v>1</v>
      </c>
      <c r="Q977" s="14" t="b">
        <v>0</v>
      </c>
      <c r="R977" s="14">
        <v>1</v>
      </c>
      <c r="S977" s="14" t="s">
        <v>77</v>
      </c>
      <c r="T977" s="14">
        <v>999</v>
      </c>
      <c r="U977" s="14" t="s">
        <v>214</v>
      </c>
      <c r="V977" s="14">
        <v>31537008</v>
      </c>
      <c r="X977" s="14" t="s">
        <v>204</v>
      </c>
      <c r="Y977" s="14" t="s">
        <v>215</v>
      </c>
      <c r="Z977" s="14">
        <v>20001</v>
      </c>
      <c r="AA977" s="14" t="s">
        <v>205</v>
      </c>
      <c r="AB977" s="14">
        <v>40001</v>
      </c>
      <c r="AE977" s="29" t="s">
        <v>121</v>
      </c>
      <c r="AF977" s="14" t="s">
        <v>213</v>
      </c>
      <c r="AG977" s="14" t="s">
        <v>101</v>
      </c>
    </row>
    <row r="978" spans="2:33">
      <c r="B978" s="14">
        <f>10000000+INDEX(编号表!$B:$B,MATCH(H978,编号表!$A:$A,0))*100000+INDEX(编号表!$F:$F,MATCH(D978,编号表!$E:$E,0))*10000+INDEX(编号表!$D:$D,MATCH(AG978,编号表!$C:$C,0))*1000+F978</f>
        <v>11537009</v>
      </c>
      <c r="C978" s="14" t="s">
        <v>1138</v>
      </c>
      <c r="D978" s="14" t="s">
        <v>276</v>
      </c>
      <c r="E978" s="14" t="s">
        <v>101</v>
      </c>
      <c r="F978" s="14">
        <v>9</v>
      </c>
      <c r="G978" s="14">
        <v>60</v>
      </c>
      <c r="H978" s="31" t="s">
        <v>228</v>
      </c>
      <c r="I978" s="14" t="s">
        <v>75</v>
      </c>
      <c r="J978" s="14" t="s">
        <v>201</v>
      </c>
      <c r="K978" s="14">
        <v>1</v>
      </c>
      <c r="L978" s="14" t="s">
        <v>213</v>
      </c>
      <c r="N978" s="14">
        <v>0</v>
      </c>
      <c r="O978" s="14" t="b">
        <v>1</v>
      </c>
      <c r="Q978" s="14" t="b">
        <v>0</v>
      </c>
      <c r="R978" s="14">
        <v>1</v>
      </c>
      <c r="S978" s="14" t="s">
        <v>77</v>
      </c>
      <c r="T978" s="14">
        <v>999</v>
      </c>
      <c r="U978" s="14" t="s">
        <v>214</v>
      </c>
      <c r="V978" s="14">
        <v>31537009</v>
      </c>
      <c r="X978" s="14" t="s">
        <v>204</v>
      </c>
      <c r="Y978" s="14" t="s">
        <v>215</v>
      </c>
      <c r="Z978" s="14">
        <v>20001</v>
      </c>
      <c r="AA978" s="14" t="s">
        <v>205</v>
      </c>
      <c r="AB978" s="14">
        <v>40001</v>
      </c>
      <c r="AE978" s="29" t="s">
        <v>121</v>
      </c>
      <c r="AF978" s="14" t="s">
        <v>213</v>
      </c>
      <c r="AG978" s="14" t="s">
        <v>101</v>
      </c>
    </row>
    <row r="979" spans="2:33">
      <c r="B979" s="14">
        <f>10000000+INDEX(编号表!$B:$B,MATCH(H979,编号表!$A:$A,0))*100000+INDEX(编号表!$F:$F,MATCH(D979,编号表!$E:$E,0))*10000+INDEX(编号表!$D:$D,MATCH(AG979,编号表!$C:$C,0))*1000+F979</f>
        <v>11437000</v>
      </c>
      <c r="C979" s="14" t="s">
        <v>1139</v>
      </c>
      <c r="D979" s="14" t="s">
        <v>276</v>
      </c>
      <c r="E979" s="14" t="s">
        <v>101</v>
      </c>
      <c r="F979" s="14">
        <v>0</v>
      </c>
      <c r="G979" s="14">
        <v>60</v>
      </c>
      <c r="H979" s="31" t="s">
        <v>239</v>
      </c>
      <c r="I979" s="14" t="s">
        <v>75</v>
      </c>
      <c r="J979" s="14" t="s">
        <v>201</v>
      </c>
      <c r="K979" s="14">
        <v>1</v>
      </c>
      <c r="L979" s="14" t="s">
        <v>213</v>
      </c>
      <c r="N979" s="14">
        <v>0</v>
      </c>
      <c r="O979" s="14" t="b">
        <v>1</v>
      </c>
      <c r="Q979" s="14" t="b">
        <v>0</v>
      </c>
      <c r="R979" s="14">
        <v>1</v>
      </c>
      <c r="S979" s="14" t="s">
        <v>77</v>
      </c>
      <c r="T979" s="14">
        <v>999</v>
      </c>
      <c r="U979" s="14" t="s">
        <v>214</v>
      </c>
      <c r="V979" s="14">
        <v>31437000</v>
      </c>
      <c r="X979" s="14" t="s">
        <v>204</v>
      </c>
      <c r="Y979" s="14" t="s">
        <v>215</v>
      </c>
      <c r="Z979" s="14">
        <v>20001</v>
      </c>
      <c r="AA979" s="14" t="s">
        <v>205</v>
      </c>
      <c r="AB979" s="14">
        <v>40001</v>
      </c>
      <c r="AE979" s="29" t="s">
        <v>121</v>
      </c>
      <c r="AF979" s="14" t="s">
        <v>213</v>
      </c>
      <c r="AG979" s="14" t="s">
        <v>101</v>
      </c>
    </row>
    <row r="980" spans="2:33">
      <c r="B980" s="14">
        <f>10000000+INDEX(编号表!$B:$B,MATCH(H980,编号表!$A:$A,0))*100000+INDEX(编号表!$F:$F,MATCH(D980,编号表!$E:$E,0))*10000+INDEX(编号表!$D:$D,MATCH(AG980,编号表!$C:$C,0))*1000+F980</f>
        <v>11437001</v>
      </c>
      <c r="C980" s="14" t="s">
        <v>1140</v>
      </c>
      <c r="D980" s="14" t="s">
        <v>276</v>
      </c>
      <c r="E980" s="14" t="s">
        <v>101</v>
      </c>
      <c r="F980" s="14">
        <v>1</v>
      </c>
      <c r="G980" s="14">
        <v>60</v>
      </c>
      <c r="H980" s="31" t="s">
        <v>239</v>
      </c>
      <c r="I980" s="14" t="s">
        <v>75</v>
      </c>
      <c r="J980" s="14" t="s">
        <v>201</v>
      </c>
      <c r="K980" s="14">
        <v>1</v>
      </c>
      <c r="L980" s="14" t="s">
        <v>213</v>
      </c>
      <c r="N980" s="14">
        <v>0</v>
      </c>
      <c r="O980" s="14" t="b">
        <v>1</v>
      </c>
      <c r="Q980" s="14" t="b">
        <v>0</v>
      </c>
      <c r="R980" s="14">
        <v>1</v>
      </c>
      <c r="S980" s="14" t="s">
        <v>77</v>
      </c>
      <c r="T980" s="14">
        <v>999</v>
      </c>
      <c r="U980" s="14" t="s">
        <v>214</v>
      </c>
      <c r="V980" s="14">
        <v>31437001</v>
      </c>
      <c r="X980" s="14" t="s">
        <v>204</v>
      </c>
      <c r="Y980" s="14" t="s">
        <v>215</v>
      </c>
      <c r="Z980" s="14">
        <v>20001</v>
      </c>
      <c r="AA980" s="14" t="s">
        <v>205</v>
      </c>
      <c r="AB980" s="14">
        <v>40001</v>
      </c>
      <c r="AE980" s="29" t="s">
        <v>121</v>
      </c>
      <c r="AF980" s="14" t="s">
        <v>213</v>
      </c>
      <c r="AG980" s="14" t="s">
        <v>101</v>
      </c>
    </row>
    <row r="981" spans="2:33">
      <c r="B981" s="14">
        <f>10000000+INDEX(编号表!$B:$B,MATCH(H981,编号表!$A:$A,0))*100000+INDEX(编号表!$F:$F,MATCH(D981,编号表!$E:$E,0))*10000+INDEX(编号表!$D:$D,MATCH(AG981,编号表!$C:$C,0))*1000+F981</f>
        <v>11437002</v>
      </c>
      <c r="C981" s="14" t="s">
        <v>1141</v>
      </c>
      <c r="D981" s="14" t="s">
        <v>276</v>
      </c>
      <c r="E981" s="14" t="s">
        <v>101</v>
      </c>
      <c r="F981" s="14">
        <v>2</v>
      </c>
      <c r="G981" s="14">
        <v>60</v>
      </c>
      <c r="H981" s="31" t="s">
        <v>239</v>
      </c>
      <c r="I981" s="14" t="s">
        <v>75</v>
      </c>
      <c r="J981" s="14" t="s">
        <v>201</v>
      </c>
      <c r="K981" s="14">
        <v>1</v>
      </c>
      <c r="L981" s="14" t="s">
        <v>213</v>
      </c>
      <c r="N981" s="14">
        <v>0</v>
      </c>
      <c r="O981" s="14" t="b">
        <v>1</v>
      </c>
      <c r="Q981" s="14" t="b">
        <v>0</v>
      </c>
      <c r="R981" s="14">
        <v>1</v>
      </c>
      <c r="S981" s="14" t="s">
        <v>77</v>
      </c>
      <c r="T981" s="14">
        <v>999</v>
      </c>
      <c r="U981" s="14" t="s">
        <v>214</v>
      </c>
      <c r="V981" s="14">
        <v>31437002</v>
      </c>
      <c r="X981" s="14" t="s">
        <v>204</v>
      </c>
      <c r="Y981" s="14" t="s">
        <v>215</v>
      </c>
      <c r="Z981" s="14">
        <v>20001</v>
      </c>
      <c r="AA981" s="14" t="s">
        <v>205</v>
      </c>
      <c r="AB981" s="14">
        <v>40001</v>
      </c>
      <c r="AE981" s="29" t="s">
        <v>121</v>
      </c>
      <c r="AF981" s="14" t="s">
        <v>213</v>
      </c>
      <c r="AG981" s="14" t="s">
        <v>101</v>
      </c>
    </row>
    <row r="982" spans="2:33">
      <c r="B982" s="14">
        <f>10000000+INDEX(编号表!$B:$B,MATCH(H982,编号表!$A:$A,0))*100000+INDEX(编号表!$F:$F,MATCH(D982,编号表!$E:$E,0))*10000+INDEX(编号表!$D:$D,MATCH(AG982,编号表!$C:$C,0))*1000+F982</f>
        <v>11437003</v>
      </c>
      <c r="C982" s="14" t="s">
        <v>1142</v>
      </c>
      <c r="D982" s="14" t="s">
        <v>276</v>
      </c>
      <c r="E982" s="14" t="s">
        <v>101</v>
      </c>
      <c r="F982" s="14">
        <v>3</v>
      </c>
      <c r="G982" s="14">
        <v>60</v>
      </c>
      <c r="H982" s="31" t="s">
        <v>239</v>
      </c>
      <c r="I982" s="14" t="s">
        <v>75</v>
      </c>
      <c r="J982" s="14" t="s">
        <v>201</v>
      </c>
      <c r="K982" s="14">
        <v>1</v>
      </c>
      <c r="L982" s="14" t="s">
        <v>213</v>
      </c>
      <c r="N982" s="14">
        <v>0</v>
      </c>
      <c r="O982" s="14" t="b">
        <v>1</v>
      </c>
      <c r="Q982" s="14" t="b">
        <v>0</v>
      </c>
      <c r="R982" s="14">
        <v>1</v>
      </c>
      <c r="S982" s="14" t="s">
        <v>77</v>
      </c>
      <c r="T982" s="14">
        <v>999</v>
      </c>
      <c r="U982" s="14" t="s">
        <v>214</v>
      </c>
      <c r="V982" s="14">
        <v>31437003</v>
      </c>
      <c r="X982" s="14" t="s">
        <v>204</v>
      </c>
      <c r="Y982" s="14" t="s">
        <v>215</v>
      </c>
      <c r="Z982" s="14">
        <v>20001</v>
      </c>
      <c r="AA982" s="14" t="s">
        <v>205</v>
      </c>
      <c r="AB982" s="14">
        <v>40001</v>
      </c>
      <c r="AE982" s="29" t="s">
        <v>121</v>
      </c>
      <c r="AF982" s="14" t="s">
        <v>213</v>
      </c>
      <c r="AG982" s="14" t="s">
        <v>101</v>
      </c>
    </row>
    <row r="983" spans="2:33">
      <c r="B983" s="14">
        <f>10000000+INDEX(编号表!$B:$B,MATCH(H983,编号表!$A:$A,0))*100000+INDEX(编号表!$F:$F,MATCH(D983,编号表!$E:$E,0))*10000+INDEX(编号表!$D:$D,MATCH(AG983,编号表!$C:$C,0))*1000+F983</f>
        <v>11637000</v>
      </c>
      <c r="C983" s="14" t="s">
        <v>1143</v>
      </c>
      <c r="D983" s="14" t="s">
        <v>276</v>
      </c>
      <c r="E983" s="14" t="s">
        <v>101</v>
      </c>
      <c r="F983" s="14">
        <v>0</v>
      </c>
      <c r="G983" s="14">
        <v>60</v>
      </c>
      <c r="H983" s="31" t="s">
        <v>244</v>
      </c>
      <c r="I983" s="14" t="s">
        <v>75</v>
      </c>
      <c r="J983" s="14" t="s">
        <v>201</v>
      </c>
      <c r="K983" s="14">
        <v>1</v>
      </c>
      <c r="L983" s="14" t="s">
        <v>213</v>
      </c>
      <c r="N983" s="14">
        <v>0</v>
      </c>
      <c r="O983" s="14" t="b">
        <v>1</v>
      </c>
      <c r="Q983" s="14" t="b">
        <v>0</v>
      </c>
      <c r="R983" s="14">
        <v>1</v>
      </c>
      <c r="S983" s="14" t="s">
        <v>77</v>
      </c>
      <c r="T983" s="14">
        <v>999</v>
      </c>
      <c r="U983" s="14" t="s">
        <v>214</v>
      </c>
      <c r="V983" s="14">
        <v>31637000</v>
      </c>
      <c r="X983" s="14" t="s">
        <v>204</v>
      </c>
      <c r="Y983" s="14" t="s">
        <v>215</v>
      </c>
      <c r="Z983" s="14">
        <v>20001</v>
      </c>
      <c r="AA983" s="14" t="s">
        <v>205</v>
      </c>
      <c r="AB983" s="14">
        <v>40001</v>
      </c>
      <c r="AE983" s="29" t="s">
        <v>121</v>
      </c>
      <c r="AF983" s="14" t="s">
        <v>213</v>
      </c>
      <c r="AG983" s="14" t="s">
        <v>101</v>
      </c>
    </row>
    <row r="984" spans="2:33">
      <c r="B984" s="14">
        <f>10000000+INDEX(编号表!$B:$B,MATCH(H984,编号表!$A:$A,0))*100000+INDEX(编号表!$F:$F,MATCH(D984,编号表!$E:$E,0))*10000+INDEX(编号表!$D:$D,MATCH(AG984,编号表!$C:$C,0))*1000+F984</f>
        <v>11637001</v>
      </c>
      <c r="C984" s="14" t="s">
        <v>1144</v>
      </c>
      <c r="D984" s="14" t="s">
        <v>276</v>
      </c>
      <c r="E984" s="14" t="s">
        <v>101</v>
      </c>
      <c r="F984" s="14">
        <v>1</v>
      </c>
      <c r="G984" s="14">
        <v>60</v>
      </c>
      <c r="H984" s="31" t="s">
        <v>244</v>
      </c>
      <c r="I984" s="14" t="s">
        <v>75</v>
      </c>
      <c r="J984" s="14" t="s">
        <v>201</v>
      </c>
      <c r="K984" s="14">
        <v>1</v>
      </c>
      <c r="L984" s="14" t="s">
        <v>213</v>
      </c>
      <c r="N984" s="14">
        <v>0</v>
      </c>
      <c r="O984" s="14" t="b">
        <v>1</v>
      </c>
      <c r="Q984" s="14" t="b">
        <v>0</v>
      </c>
      <c r="R984" s="14">
        <v>1</v>
      </c>
      <c r="S984" s="14" t="s">
        <v>77</v>
      </c>
      <c r="T984" s="14">
        <v>999</v>
      </c>
      <c r="U984" s="14" t="s">
        <v>214</v>
      </c>
      <c r="V984" s="14">
        <v>31637001</v>
      </c>
      <c r="X984" s="14" t="s">
        <v>204</v>
      </c>
      <c r="Y984" s="14" t="s">
        <v>215</v>
      </c>
      <c r="Z984" s="14">
        <v>20001</v>
      </c>
      <c r="AA984" s="14" t="s">
        <v>205</v>
      </c>
      <c r="AB984" s="14">
        <v>40001</v>
      </c>
      <c r="AE984" s="29" t="s">
        <v>121</v>
      </c>
      <c r="AF984" s="14" t="s">
        <v>213</v>
      </c>
      <c r="AG984" s="14" t="s">
        <v>101</v>
      </c>
    </row>
    <row r="985" spans="2:33">
      <c r="B985" s="14">
        <f>10000000+INDEX(编号表!$B:$B,MATCH(H985,编号表!$A:$A,0))*100000+INDEX(编号表!$F:$F,MATCH(D985,编号表!$E:$E,0))*10000+INDEX(编号表!$D:$D,MATCH(AG985,编号表!$C:$C,0))*1000+F985</f>
        <v>11637002</v>
      </c>
      <c r="C985" s="14" t="s">
        <v>1145</v>
      </c>
      <c r="D985" s="14" t="s">
        <v>276</v>
      </c>
      <c r="E985" s="14" t="s">
        <v>101</v>
      </c>
      <c r="F985" s="14">
        <v>2</v>
      </c>
      <c r="G985" s="14">
        <v>60</v>
      </c>
      <c r="H985" s="31" t="s">
        <v>244</v>
      </c>
      <c r="I985" s="14" t="s">
        <v>75</v>
      </c>
      <c r="J985" s="14" t="s">
        <v>201</v>
      </c>
      <c r="K985" s="14">
        <v>1</v>
      </c>
      <c r="L985" s="14" t="s">
        <v>213</v>
      </c>
      <c r="N985" s="14">
        <v>0</v>
      </c>
      <c r="O985" s="14" t="b">
        <v>1</v>
      </c>
      <c r="Q985" s="14" t="b">
        <v>0</v>
      </c>
      <c r="R985" s="14">
        <v>1</v>
      </c>
      <c r="S985" s="14" t="s">
        <v>77</v>
      </c>
      <c r="T985" s="14">
        <v>999</v>
      </c>
      <c r="U985" s="14" t="s">
        <v>214</v>
      </c>
      <c r="V985" s="14">
        <v>31637002</v>
      </c>
      <c r="X985" s="14" t="s">
        <v>204</v>
      </c>
      <c r="Y985" s="14" t="s">
        <v>215</v>
      </c>
      <c r="Z985" s="14">
        <v>20001</v>
      </c>
      <c r="AA985" s="14" t="s">
        <v>205</v>
      </c>
      <c r="AB985" s="14">
        <v>40001</v>
      </c>
      <c r="AE985" s="29" t="s">
        <v>121</v>
      </c>
      <c r="AF985" s="14" t="s">
        <v>213</v>
      </c>
      <c r="AG985" s="14" t="s">
        <v>101</v>
      </c>
    </row>
    <row r="986" spans="2:33">
      <c r="B986" s="14">
        <f>10000000+INDEX(编号表!$B:$B,MATCH(H986,编号表!$A:$A,0))*100000+INDEX(编号表!$F:$F,MATCH(D986,编号表!$E:$E,0))*10000+INDEX(编号表!$D:$D,MATCH(AG986,编号表!$C:$C,0))*1000+F986</f>
        <v>11247000</v>
      </c>
      <c r="C986" s="14" t="s">
        <v>1146</v>
      </c>
      <c r="D986" s="14" t="s">
        <v>104</v>
      </c>
      <c r="E986" s="14" t="s">
        <v>101</v>
      </c>
      <c r="F986" s="14">
        <v>0</v>
      </c>
      <c r="G986" s="14">
        <v>60</v>
      </c>
      <c r="H986" s="31" t="s">
        <v>212</v>
      </c>
      <c r="I986" s="14" t="s">
        <v>75</v>
      </c>
      <c r="J986" s="14" t="s">
        <v>201</v>
      </c>
      <c r="K986" s="14">
        <v>1</v>
      </c>
      <c r="L986" s="14" t="s">
        <v>213</v>
      </c>
      <c r="N986" s="14">
        <v>0</v>
      </c>
      <c r="O986" s="14" t="b">
        <v>1</v>
      </c>
      <c r="Q986" s="14" t="b">
        <v>0</v>
      </c>
      <c r="R986" s="14">
        <v>1</v>
      </c>
      <c r="S986" s="14" t="s">
        <v>77</v>
      </c>
      <c r="T986" s="14">
        <v>999</v>
      </c>
      <c r="U986" s="14" t="s">
        <v>214</v>
      </c>
      <c r="V986" s="14">
        <v>31247000</v>
      </c>
      <c r="X986" s="14" t="s">
        <v>204</v>
      </c>
      <c r="Y986" s="14" t="s">
        <v>215</v>
      </c>
      <c r="Z986" s="14">
        <v>20001</v>
      </c>
      <c r="AA986" s="14" t="s">
        <v>205</v>
      </c>
      <c r="AB986" s="14">
        <v>40001</v>
      </c>
      <c r="AE986" s="29" t="s">
        <v>121</v>
      </c>
      <c r="AF986" s="14" t="s">
        <v>213</v>
      </c>
      <c r="AG986" s="14" t="s">
        <v>101</v>
      </c>
    </row>
    <row r="987" spans="2:33">
      <c r="B987" s="14">
        <f>10000000+INDEX(编号表!$B:$B,MATCH(H987,编号表!$A:$A,0))*100000+INDEX(编号表!$F:$F,MATCH(D987,编号表!$E:$E,0))*10000+INDEX(编号表!$D:$D,MATCH(AG987,编号表!$C:$C,0))*1000+F987</f>
        <v>11347000</v>
      </c>
      <c r="C987" s="14" t="s">
        <v>1147</v>
      </c>
      <c r="D987" s="14" t="s">
        <v>104</v>
      </c>
      <c r="E987" s="14" t="s">
        <v>101</v>
      </c>
      <c r="F987" s="14">
        <v>0</v>
      </c>
      <c r="G987" s="14">
        <v>60</v>
      </c>
      <c r="H987" s="31" t="s">
        <v>217</v>
      </c>
      <c r="I987" s="14" t="s">
        <v>75</v>
      </c>
      <c r="J987" s="14" t="s">
        <v>201</v>
      </c>
      <c r="K987" s="14">
        <v>1</v>
      </c>
      <c r="L987" s="14" t="s">
        <v>213</v>
      </c>
      <c r="N987" s="14">
        <v>0</v>
      </c>
      <c r="O987" s="14" t="b">
        <v>1</v>
      </c>
      <c r="Q987" s="14" t="b">
        <v>0</v>
      </c>
      <c r="R987" s="14">
        <v>1</v>
      </c>
      <c r="S987" s="14" t="s">
        <v>77</v>
      </c>
      <c r="T987" s="14">
        <v>999</v>
      </c>
      <c r="U987" s="14" t="s">
        <v>214</v>
      </c>
      <c r="V987" s="14">
        <v>31347000</v>
      </c>
      <c r="X987" s="14" t="s">
        <v>204</v>
      </c>
      <c r="Y987" s="14" t="s">
        <v>215</v>
      </c>
      <c r="Z987" s="14">
        <v>20001</v>
      </c>
      <c r="AA987" s="14" t="s">
        <v>205</v>
      </c>
      <c r="AB987" s="14">
        <v>40001</v>
      </c>
      <c r="AE987" s="29" t="s">
        <v>121</v>
      </c>
      <c r="AF987" s="14" t="s">
        <v>213</v>
      </c>
      <c r="AG987" s="14" t="s">
        <v>101</v>
      </c>
    </row>
    <row r="988" spans="2:33">
      <c r="B988" s="14">
        <f>10000000+INDEX(编号表!$B:$B,MATCH(H988,编号表!$A:$A,0))*100000+INDEX(编号表!$F:$F,MATCH(D988,编号表!$E:$E,0))*10000+INDEX(编号表!$D:$D,MATCH(AG988,编号表!$C:$C,0))*1000+F988</f>
        <v>11347001</v>
      </c>
      <c r="C988" s="14" t="s">
        <v>1148</v>
      </c>
      <c r="D988" s="14" t="s">
        <v>104</v>
      </c>
      <c r="E988" s="14" t="s">
        <v>101</v>
      </c>
      <c r="F988" s="14">
        <v>1</v>
      </c>
      <c r="G988" s="14">
        <v>60</v>
      </c>
      <c r="H988" s="31" t="s">
        <v>217</v>
      </c>
      <c r="I988" s="14" t="s">
        <v>75</v>
      </c>
      <c r="J988" s="14" t="s">
        <v>201</v>
      </c>
      <c r="K988" s="14">
        <v>1</v>
      </c>
      <c r="L988" s="14" t="s">
        <v>213</v>
      </c>
      <c r="N988" s="14">
        <v>0</v>
      </c>
      <c r="O988" s="14" t="b">
        <v>1</v>
      </c>
      <c r="Q988" s="14" t="b">
        <v>0</v>
      </c>
      <c r="R988" s="14">
        <v>1</v>
      </c>
      <c r="S988" s="14" t="s">
        <v>77</v>
      </c>
      <c r="T988" s="14">
        <v>999</v>
      </c>
      <c r="U988" s="14" t="s">
        <v>214</v>
      </c>
      <c r="V988" s="14">
        <v>31347001</v>
      </c>
      <c r="X988" s="14" t="s">
        <v>204</v>
      </c>
      <c r="Y988" s="14" t="s">
        <v>215</v>
      </c>
      <c r="Z988" s="14">
        <v>20001</v>
      </c>
      <c r="AA988" s="14" t="s">
        <v>205</v>
      </c>
      <c r="AB988" s="14">
        <v>40001</v>
      </c>
      <c r="AE988" s="29" t="s">
        <v>121</v>
      </c>
      <c r="AF988" s="14" t="s">
        <v>213</v>
      </c>
      <c r="AG988" s="14" t="s">
        <v>101</v>
      </c>
    </row>
    <row r="989" spans="2:33">
      <c r="B989" s="14">
        <f>10000000+INDEX(编号表!$B:$B,MATCH(H989,编号表!$A:$A,0))*100000+INDEX(编号表!$F:$F,MATCH(D989,编号表!$E:$E,0))*10000+INDEX(编号表!$D:$D,MATCH(AG989,编号表!$C:$C,0))*1000+F989</f>
        <v>11347002</v>
      </c>
      <c r="C989" s="14" t="s">
        <v>1149</v>
      </c>
      <c r="D989" s="14" t="s">
        <v>104</v>
      </c>
      <c r="E989" s="14" t="s">
        <v>101</v>
      </c>
      <c r="F989" s="14">
        <v>2</v>
      </c>
      <c r="G989" s="14">
        <v>60</v>
      </c>
      <c r="H989" s="31" t="s">
        <v>217</v>
      </c>
      <c r="I989" s="14" t="s">
        <v>75</v>
      </c>
      <c r="J989" s="14" t="s">
        <v>201</v>
      </c>
      <c r="K989" s="14">
        <v>1</v>
      </c>
      <c r="L989" s="14" t="s">
        <v>213</v>
      </c>
      <c r="N989" s="14">
        <v>0</v>
      </c>
      <c r="O989" s="14" t="b">
        <v>1</v>
      </c>
      <c r="Q989" s="14" t="b">
        <v>0</v>
      </c>
      <c r="R989" s="14">
        <v>1</v>
      </c>
      <c r="S989" s="14" t="s">
        <v>77</v>
      </c>
      <c r="T989" s="14">
        <v>999</v>
      </c>
      <c r="U989" s="14" t="s">
        <v>214</v>
      </c>
      <c r="V989" s="14">
        <v>31347002</v>
      </c>
      <c r="X989" s="14" t="s">
        <v>204</v>
      </c>
      <c r="Y989" s="14" t="s">
        <v>215</v>
      </c>
      <c r="Z989" s="14">
        <v>20001</v>
      </c>
      <c r="AA989" s="14" t="s">
        <v>205</v>
      </c>
      <c r="AB989" s="14">
        <v>40001</v>
      </c>
      <c r="AE989" s="29" t="s">
        <v>121</v>
      </c>
      <c r="AF989" s="14" t="s">
        <v>213</v>
      </c>
      <c r="AG989" s="14" t="s">
        <v>101</v>
      </c>
    </row>
    <row r="990" spans="2:33">
      <c r="B990" s="14">
        <f>10000000+INDEX(编号表!$B:$B,MATCH(H990,编号表!$A:$A,0))*100000+INDEX(编号表!$F:$F,MATCH(D990,编号表!$E:$E,0))*10000+INDEX(编号表!$D:$D,MATCH(AG990,编号表!$C:$C,0))*1000+F990</f>
        <v>11347003</v>
      </c>
      <c r="C990" s="14" t="s">
        <v>1150</v>
      </c>
      <c r="D990" s="14" t="s">
        <v>104</v>
      </c>
      <c r="E990" s="14" t="s">
        <v>101</v>
      </c>
      <c r="F990" s="14">
        <v>3</v>
      </c>
      <c r="G990" s="14">
        <v>60</v>
      </c>
      <c r="H990" s="31" t="s">
        <v>217</v>
      </c>
      <c r="I990" s="14" t="s">
        <v>75</v>
      </c>
      <c r="J990" s="14" t="s">
        <v>201</v>
      </c>
      <c r="K990" s="14">
        <v>1</v>
      </c>
      <c r="L990" s="14" t="s">
        <v>213</v>
      </c>
      <c r="N990" s="14">
        <v>0</v>
      </c>
      <c r="O990" s="14" t="b">
        <v>1</v>
      </c>
      <c r="Q990" s="14" t="b">
        <v>0</v>
      </c>
      <c r="R990" s="14">
        <v>1</v>
      </c>
      <c r="S990" s="14" t="s">
        <v>77</v>
      </c>
      <c r="T990" s="14">
        <v>999</v>
      </c>
      <c r="U990" s="14" t="s">
        <v>214</v>
      </c>
      <c r="V990" s="14">
        <v>31347003</v>
      </c>
      <c r="X990" s="14" t="s">
        <v>204</v>
      </c>
      <c r="Y990" s="14" t="s">
        <v>215</v>
      </c>
      <c r="Z990" s="14">
        <v>20001</v>
      </c>
      <c r="AA990" s="14" t="s">
        <v>205</v>
      </c>
      <c r="AB990" s="14">
        <v>40001</v>
      </c>
      <c r="AE990" s="29" t="s">
        <v>121</v>
      </c>
      <c r="AF990" s="14" t="s">
        <v>213</v>
      </c>
      <c r="AG990" s="14" t="s">
        <v>101</v>
      </c>
    </row>
    <row r="991" spans="2:33">
      <c r="B991" s="14">
        <f>10000000+INDEX(编号表!$B:$B,MATCH(H991,编号表!$A:$A,0))*100000+INDEX(编号表!$F:$F,MATCH(D991,编号表!$E:$E,0))*10000+INDEX(编号表!$D:$D,MATCH(AG991,编号表!$C:$C,0))*1000+F991</f>
        <v>11347004</v>
      </c>
      <c r="C991" s="14" t="s">
        <v>1151</v>
      </c>
      <c r="D991" s="14" t="s">
        <v>104</v>
      </c>
      <c r="E991" s="14" t="s">
        <v>101</v>
      </c>
      <c r="F991" s="14">
        <v>4</v>
      </c>
      <c r="G991" s="14">
        <v>60</v>
      </c>
      <c r="H991" s="31" t="s">
        <v>217</v>
      </c>
      <c r="I991" s="14" t="s">
        <v>75</v>
      </c>
      <c r="J991" s="14" t="s">
        <v>201</v>
      </c>
      <c r="K991" s="14">
        <v>1</v>
      </c>
      <c r="L991" s="14" t="s">
        <v>213</v>
      </c>
      <c r="N991" s="14">
        <v>0</v>
      </c>
      <c r="O991" s="14" t="b">
        <v>1</v>
      </c>
      <c r="Q991" s="14" t="b">
        <v>0</v>
      </c>
      <c r="R991" s="14">
        <v>1</v>
      </c>
      <c r="S991" s="14" t="s">
        <v>77</v>
      </c>
      <c r="T991" s="14">
        <v>999</v>
      </c>
      <c r="U991" s="14" t="s">
        <v>214</v>
      </c>
      <c r="V991" s="14">
        <v>31347004</v>
      </c>
      <c r="X991" s="14" t="s">
        <v>204</v>
      </c>
      <c r="Y991" s="14" t="s">
        <v>215</v>
      </c>
      <c r="Z991" s="14">
        <v>20001</v>
      </c>
      <c r="AA991" s="14" t="s">
        <v>205</v>
      </c>
      <c r="AB991" s="14">
        <v>40001</v>
      </c>
      <c r="AE991" s="29" t="s">
        <v>121</v>
      </c>
      <c r="AF991" s="14" t="s">
        <v>213</v>
      </c>
      <c r="AG991" s="14" t="s">
        <v>101</v>
      </c>
    </row>
    <row r="992" spans="2:33">
      <c r="B992" s="14">
        <f>10000000+INDEX(编号表!$B:$B,MATCH(H992,编号表!$A:$A,0))*100000+INDEX(编号表!$F:$F,MATCH(D992,编号表!$E:$E,0))*10000+INDEX(编号表!$D:$D,MATCH(AG992,编号表!$C:$C,0))*1000+F992</f>
        <v>11347005</v>
      </c>
      <c r="C992" s="14" t="s">
        <v>1152</v>
      </c>
      <c r="D992" s="14" t="s">
        <v>104</v>
      </c>
      <c r="E992" s="14" t="s">
        <v>101</v>
      </c>
      <c r="F992" s="14">
        <v>5</v>
      </c>
      <c r="G992" s="14">
        <v>60</v>
      </c>
      <c r="H992" s="31" t="s">
        <v>217</v>
      </c>
      <c r="I992" s="14" t="s">
        <v>75</v>
      </c>
      <c r="J992" s="14" t="s">
        <v>201</v>
      </c>
      <c r="K992" s="14">
        <v>1</v>
      </c>
      <c r="L992" s="14" t="s">
        <v>213</v>
      </c>
      <c r="N992" s="14">
        <v>0</v>
      </c>
      <c r="O992" s="14" t="b">
        <v>1</v>
      </c>
      <c r="Q992" s="14" t="b">
        <v>0</v>
      </c>
      <c r="R992" s="14">
        <v>1</v>
      </c>
      <c r="S992" s="14" t="s">
        <v>77</v>
      </c>
      <c r="T992" s="14">
        <v>999</v>
      </c>
      <c r="U992" s="14" t="s">
        <v>214</v>
      </c>
      <c r="V992" s="14">
        <v>31347005</v>
      </c>
      <c r="X992" s="14" t="s">
        <v>204</v>
      </c>
      <c r="Y992" s="14" t="s">
        <v>215</v>
      </c>
      <c r="Z992" s="14">
        <v>20001</v>
      </c>
      <c r="AA992" s="14" t="s">
        <v>205</v>
      </c>
      <c r="AB992" s="14">
        <v>40001</v>
      </c>
      <c r="AE992" s="29" t="s">
        <v>121</v>
      </c>
      <c r="AF992" s="14" t="s">
        <v>213</v>
      </c>
      <c r="AG992" s="14" t="s">
        <v>101</v>
      </c>
    </row>
    <row r="993" spans="2:33">
      <c r="B993" s="14">
        <f>10000000+INDEX(编号表!$B:$B,MATCH(H993,编号表!$A:$A,0))*100000+INDEX(编号表!$F:$F,MATCH(D993,编号表!$E:$E,0))*10000+INDEX(编号表!$D:$D,MATCH(AG993,编号表!$C:$C,0))*1000+F993</f>
        <v>11347006</v>
      </c>
      <c r="C993" s="14" t="s">
        <v>1153</v>
      </c>
      <c r="D993" s="14" t="s">
        <v>104</v>
      </c>
      <c r="E993" s="14" t="s">
        <v>101</v>
      </c>
      <c r="F993" s="14">
        <v>6</v>
      </c>
      <c r="G993" s="14">
        <v>60</v>
      </c>
      <c r="H993" s="31" t="s">
        <v>217</v>
      </c>
      <c r="I993" s="14" t="s">
        <v>75</v>
      </c>
      <c r="J993" s="14" t="s">
        <v>201</v>
      </c>
      <c r="K993" s="14">
        <v>1</v>
      </c>
      <c r="L993" s="14" t="s">
        <v>213</v>
      </c>
      <c r="N993" s="14">
        <v>0</v>
      </c>
      <c r="O993" s="14" t="b">
        <v>1</v>
      </c>
      <c r="Q993" s="14" t="b">
        <v>0</v>
      </c>
      <c r="R993" s="14">
        <v>1</v>
      </c>
      <c r="S993" s="14" t="s">
        <v>77</v>
      </c>
      <c r="T993" s="14">
        <v>999</v>
      </c>
      <c r="U993" s="14" t="s">
        <v>214</v>
      </c>
      <c r="V993" s="14">
        <v>31347006</v>
      </c>
      <c r="X993" s="14" t="s">
        <v>204</v>
      </c>
      <c r="Y993" s="14" t="s">
        <v>215</v>
      </c>
      <c r="Z993" s="14">
        <v>20001</v>
      </c>
      <c r="AA993" s="14" t="s">
        <v>205</v>
      </c>
      <c r="AB993" s="14">
        <v>40001</v>
      </c>
      <c r="AE993" s="29" t="s">
        <v>121</v>
      </c>
      <c r="AF993" s="14" t="s">
        <v>213</v>
      </c>
      <c r="AG993" s="14" t="s">
        <v>101</v>
      </c>
    </row>
    <row r="994" spans="2:33">
      <c r="B994" s="14">
        <f>10000000+INDEX(编号表!$B:$B,MATCH(H994,编号表!$A:$A,0))*100000+INDEX(编号表!$F:$F,MATCH(D994,编号表!$E:$E,0))*10000+INDEX(编号表!$D:$D,MATCH(AG994,编号表!$C:$C,0))*1000+F994</f>
        <v>11347007</v>
      </c>
      <c r="C994" s="14" t="s">
        <v>1154</v>
      </c>
      <c r="D994" s="14" t="s">
        <v>104</v>
      </c>
      <c r="E994" s="14" t="s">
        <v>101</v>
      </c>
      <c r="F994" s="14">
        <v>7</v>
      </c>
      <c r="G994" s="14">
        <v>60</v>
      </c>
      <c r="H994" s="31" t="s">
        <v>217</v>
      </c>
      <c r="I994" s="14" t="s">
        <v>75</v>
      </c>
      <c r="J994" s="14" t="s">
        <v>201</v>
      </c>
      <c r="K994" s="14">
        <v>1</v>
      </c>
      <c r="L994" s="14" t="s">
        <v>213</v>
      </c>
      <c r="N994" s="14">
        <v>0</v>
      </c>
      <c r="O994" s="14" t="b">
        <v>1</v>
      </c>
      <c r="Q994" s="14" t="b">
        <v>0</v>
      </c>
      <c r="R994" s="14">
        <v>1</v>
      </c>
      <c r="S994" s="14" t="s">
        <v>77</v>
      </c>
      <c r="T994" s="14">
        <v>999</v>
      </c>
      <c r="U994" s="14" t="s">
        <v>214</v>
      </c>
      <c r="V994" s="14">
        <v>31347007</v>
      </c>
      <c r="X994" s="14" t="s">
        <v>204</v>
      </c>
      <c r="Y994" s="14" t="s">
        <v>215</v>
      </c>
      <c r="Z994" s="14">
        <v>20001</v>
      </c>
      <c r="AA994" s="14" t="s">
        <v>205</v>
      </c>
      <c r="AB994" s="14">
        <v>40001</v>
      </c>
      <c r="AE994" s="29" t="s">
        <v>121</v>
      </c>
      <c r="AF994" s="14" t="s">
        <v>213</v>
      </c>
      <c r="AG994" s="14" t="s">
        <v>101</v>
      </c>
    </row>
    <row r="995" spans="2:33">
      <c r="B995" s="14">
        <f>10000000+INDEX(编号表!$B:$B,MATCH(H995,编号表!$A:$A,0))*100000+INDEX(编号表!$F:$F,MATCH(D995,编号表!$E:$E,0))*10000+INDEX(编号表!$D:$D,MATCH(AG995,编号表!$C:$C,0))*1000+F995</f>
        <v>11347008</v>
      </c>
      <c r="C995" s="14" t="s">
        <v>1155</v>
      </c>
      <c r="D995" s="14" t="s">
        <v>104</v>
      </c>
      <c r="E995" s="14" t="s">
        <v>101</v>
      </c>
      <c r="F995" s="14">
        <v>8</v>
      </c>
      <c r="G995" s="14">
        <v>60</v>
      </c>
      <c r="H995" s="31" t="s">
        <v>217</v>
      </c>
      <c r="I995" s="14" t="s">
        <v>75</v>
      </c>
      <c r="J995" s="14" t="s">
        <v>201</v>
      </c>
      <c r="K995" s="14">
        <v>1</v>
      </c>
      <c r="L995" s="14" t="s">
        <v>213</v>
      </c>
      <c r="N995" s="14">
        <v>0</v>
      </c>
      <c r="O995" s="14" t="b">
        <v>1</v>
      </c>
      <c r="Q995" s="14" t="b">
        <v>0</v>
      </c>
      <c r="R995" s="14">
        <v>1</v>
      </c>
      <c r="S995" s="14" t="s">
        <v>77</v>
      </c>
      <c r="T995" s="14">
        <v>999</v>
      </c>
      <c r="U995" s="14" t="s">
        <v>214</v>
      </c>
      <c r="V995" s="14">
        <v>31347008</v>
      </c>
      <c r="X995" s="14" t="s">
        <v>204</v>
      </c>
      <c r="Y995" s="14" t="s">
        <v>215</v>
      </c>
      <c r="Z995" s="14">
        <v>20001</v>
      </c>
      <c r="AA995" s="14" t="s">
        <v>205</v>
      </c>
      <c r="AB995" s="14">
        <v>40001</v>
      </c>
      <c r="AE995" s="29" t="s">
        <v>121</v>
      </c>
      <c r="AF995" s="14" t="s">
        <v>213</v>
      </c>
      <c r="AG995" s="14" t="s">
        <v>101</v>
      </c>
    </row>
    <row r="996" spans="2:33">
      <c r="B996" s="14">
        <f>10000000+INDEX(编号表!$B:$B,MATCH(H996,编号表!$A:$A,0))*100000+INDEX(编号表!$F:$F,MATCH(D996,编号表!$E:$E,0))*10000+INDEX(编号表!$D:$D,MATCH(AG996,编号表!$C:$C,0))*1000+F996</f>
        <v>11347009</v>
      </c>
      <c r="C996" s="14" t="s">
        <v>1156</v>
      </c>
      <c r="D996" s="14" t="s">
        <v>104</v>
      </c>
      <c r="E996" s="14" t="s">
        <v>101</v>
      </c>
      <c r="F996" s="14">
        <v>9</v>
      </c>
      <c r="G996" s="14">
        <v>60</v>
      </c>
      <c r="H996" s="31" t="s">
        <v>217</v>
      </c>
      <c r="I996" s="14" t="s">
        <v>75</v>
      </c>
      <c r="J996" s="14" t="s">
        <v>201</v>
      </c>
      <c r="K996" s="14">
        <v>1</v>
      </c>
      <c r="L996" s="14" t="s">
        <v>213</v>
      </c>
      <c r="N996" s="14">
        <v>0</v>
      </c>
      <c r="O996" s="14" t="b">
        <v>1</v>
      </c>
      <c r="Q996" s="14" t="b">
        <v>0</v>
      </c>
      <c r="R996" s="14">
        <v>1</v>
      </c>
      <c r="S996" s="14" t="s">
        <v>77</v>
      </c>
      <c r="T996" s="14">
        <v>999</v>
      </c>
      <c r="U996" s="14" t="s">
        <v>214</v>
      </c>
      <c r="V996" s="14">
        <v>31347009</v>
      </c>
      <c r="X996" s="14" t="s">
        <v>204</v>
      </c>
      <c r="Y996" s="14" t="s">
        <v>215</v>
      </c>
      <c r="Z996" s="14">
        <v>20001</v>
      </c>
      <c r="AA996" s="14" t="s">
        <v>205</v>
      </c>
      <c r="AB996" s="14">
        <v>40001</v>
      </c>
      <c r="AE996" s="29" t="s">
        <v>121</v>
      </c>
      <c r="AF996" s="14" t="s">
        <v>213</v>
      </c>
      <c r="AG996" s="14" t="s">
        <v>101</v>
      </c>
    </row>
    <row r="997" spans="2:33">
      <c r="B997" s="14">
        <f>10000000+INDEX(编号表!$B:$B,MATCH(H997,编号表!$A:$A,0))*100000+INDEX(编号表!$F:$F,MATCH(D997,编号表!$E:$E,0))*10000+INDEX(编号表!$D:$D,MATCH(AG997,编号表!$C:$C,0))*1000+F997</f>
        <v>11547000</v>
      </c>
      <c r="C997" s="14" t="s">
        <v>1157</v>
      </c>
      <c r="D997" s="14" t="s">
        <v>104</v>
      </c>
      <c r="E997" s="14" t="s">
        <v>101</v>
      </c>
      <c r="F997" s="14">
        <v>0</v>
      </c>
      <c r="G997" s="14">
        <v>60</v>
      </c>
      <c r="H997" s="31" t="s">
        <v>228</v>
      </c>
      <c r="I997" s="14" t="s">
        <v>75</v>
      </c>
      <c r="J997" s="14" t="s">
        <v>201</v>
      </c>
      <c r="K997" s="14">
        <v>1</v>
      </c>
      <c r="L997" s="14" t="s">
        <v>213</v>
      </c>
      <c r="N997" s="14">
        <v>0</v>
      </c>
      <c r="O997" s="14" t="b">
        <v>1</v>
      </c>
      <c r="Q997" s="14" t="b">
        <v>0</v>
      </c>
      <c r="R997" s="14">
        <v>1</v>
      </c>
      <c r="S997" s="14" t="s">
        <v>77</v>
      </c>
      <c r="T997" s="14">
        <v>999</v>
      </c>
      <c r="U997" s="14" t="s">
        <v>214</v>
      </c>
      <c r="V997" s="14">
        <v>31547000</v>
      </c>
      <c r="X997" s="14" t="s">
        <v>204</v>
      </c>
      <c r="Y997" s="14" t="s">
        <v>215</v>
      </c>
      <c r="Z997" s="14">
        <v>20001</v>
      </c>
      <c r="AA997" s="14" t="s">
        <v>205</v>
      </c>
      <c r="AB997" s="14">
        <v>40001</v>
      </c>
      <c r="AE997" s="29" t="s">
        <v>121</v>
      </c>
      <c r="AF997" s="14" t="s">
        <v>213</v>
      </c>
      <c r="AG997" s="14" t="s">
        <v>101</v>
      </c>
    </row>
    <row r="998" spans="2:33">
      <c r="B998" s="14">
        <f>10000000+INDEX(编号表!$B:$B,MATCH(H998,编号表!$A:$A,0))*100000+INDEX(编号表!$F:$F,MATCH(D998,编号表!$E:$E,0))*10000+INDEX(编号表!$D:$D,MATCH(AG998,编号表!$C:$C,0))*1000+F998</f>
        <v>11547001</v>
      </c>
      <c r="C998" s="14" t="s">
        <v>1158</v>
      </c>
      <c r="D998" s="14" t="s">
        <v>104</v>
      </c>
      <c r="E998" s="14" t="s">
        <v>101</v>
      </c>
      <c r="F998" s="14">
        <v>1</v>
      </c>
      <c r="G998" s="14">
        <v>60</v>
      </c>
      <c r="H998" s="31" t="s">
        <v>228</v>
      </c>
      <c r="I998" s="14" t="s">
        <v>75</v>
      </c>
      <c r="J998" s="14" t="s">
        <v>201</v>
      </c>
      <c r="K998" s="14">
        <v>1</v>
      </c>
      <c r="L998" s="14" t="s">
        <v>213</v>
      </c>
      <c r="N998" s="14">
        <v>0</v>
      </c>
      <c r="O998" s="14" t="b">
        <v>1</v>
      </c>
      <c r="Q998" s="14" t="b">
        <v>0</v>
      </c>
      <c r="R998" s="14">
        <v>1</v>
      </c>
      <c r="S998" s="14" t="s">
        <v>77</v>
      </c>
      <c r="T998" s="14">
        <v>999</v>
      </c>
      <c r="U998" s="14" t="s">
        <v>214</v>
      </c>
      <c r="V998" s="14">
        <v>31547001</v>
      </c>
      <c r="X998" s="14" t="s">
        <v>204</v>
      </c>
      <c r="Y998" s="14" t="s">
        <v>215</v>
      </c>
      <c r="Z998" s="14">
        <v>20001</v>
      </c>
      <c r="AA998" s="14" t="s">
        <v>205</v>
      </c>
      <c r="AB998" s="14">
        <v>40001</v>
      </c>
      <c r="AE998" s="29" t="s">
        <v>121</v>
      </c>
      <c r="AF998" s="14" t="s">
        <v>213</v>
      </c>
      <c r="AG998" s="14" t="s">
        <v>101</v>
      </c>
    </row>
    <row r="999" spans="2:33">
      <c r="B999" s="14">
        <f>10000000+INDEX(编号表!$B:$B,MATCH(H999,编号表!$A:$A,0))*100000+INDEX(编号表!$F:$F,MATCH(D999,编号表!$E:$E,0))*10000+INDEX(编号表!$D:$D,MATCH(AG999,编号表!$C:$C,0))*1000+F999</f>
        <v>11547002</v>
      </c>
      <c r="C999" s="14" t="s">
        <v>1159</v>
      </c>
      <c r="D999" s="14" t="s">
        <v>104</v>
      </c>
      <c r="E999" s="14" t="s">
        <v>101</v>
      </c>
      <c r="F999" s="14">
        <v>2</v>
      </c>
      <c r="G999" s="14">
        <v>60</v>
      </c>
      <c r="H999" s="31" t="s">
        <v>228</v>
      </c>
      <c r="I999" s="14" t="s">
        <v>75</v>
      </c>
      <c r="J999" s="14" t="s">
        <v>201</v>
      </c>
      <c r="K999" s="14">
        <v>1</v>
      </c>
      <c r="L999" s="14" t="s">
        <v>213</v>
      </c>
      <c r="N999" s="14">
        <v>0</v>
      </c>
      <c r="O999" s="14" t="b">
        <v>1</v>
      </c>
      <c r="Q999" s="14" t="b">
        <v>0</v>
      </c>
      <c r="R999" s="14">
        <v>1</v>
      </c>
      <c r="S999" s="14" t="s">
        <v>77</v>
      </c>
      <c r="T999" s="14">
        <v>999</v>
      </c>
      <c r="U999" s="14" t="s">
        <v>214</v>
      </c>
      <c r="V999" s="14">
        <v>31547002</v>
      </c>
      <c r="X999" s="14" t="s">
        <v>204</v>
      </c>
      <c r="Y999" s="14" t="s">
        <v>215</v>
      </c>
      <c r="Z999" s="14">
        <v>20001</v>
      </c>
      <c r="AA999" s="14" t="s">
        <v>205</v>
      </c>
      <c r="AB999" s="14">
        <v>40001</v>
      </c>
      <c r="AE999" s="29" t="s">
        <v>121</v>
      </c>
      <c r="AF999" s="14" t="s">
        <v>213</v>
      </c>
      <c r="AG999" s="14" t="s">
        <v>101</v>
      </c>
    </row>
    <row r="1000" spans="2:33">
      <c r="B1000" s="14">
        <f>10000000+INDEX(编号表!$B:$B,MATCH(H1000,编号表!$A:$A,0))*100000+INDEX(编号表!$F:$F,MATCH(D1000,编号表!$E:$E,0))*10000+INDEX(编号表!$D:$D,MATCH(AG1000,编号表!$C:$C,0))*1000+F1000</f>
        <v>11547003</v>
      </c>
      <c r="C1000" s="14" t="s">
        <v>1160</v>
      </c>
      <c r="D1000" s="14" t="s">
        <v>104</v>
      </c>
      <c r="E1000" s="14" t="s">
        <v>101</v>
      </c>
      <c r="F1000" s="14">
        <v>3</v>
      </c>
      <c r="G1000" s="14">
        <v>60</v>
      </c>
      <c r="H1000" s="31" t="s">
        <v>228</v>
      </c>
      <c r="I1000" s="14" t="s">
        <v>75</v>
      </c>
      <c r="J1000" s="14" t="s">
        <v>201</v>
      </c>
      <c r="K1000" s="14">
        <v>1</v>
      </c>
      <c r="L1000" s="14" t="s">
        <v>213</v>
      </c>
      <c r="N1000" s="14">
        <v>0</v>
      </c>
      <c r="O1000" s="14" t="b">
        <v>1</v>
      </c>
      <c r="Q1000" s="14" t="b">
        <v>0</v>
      </c>
      <c r="R1000" s="14">
        <v>1</v>
      </c>
      <c r="S1000" s="14" t="s">
        <v>77</v>
      </c>
      <c r="T1000" s="14">
        <v>999</v>
      </c>
      <c r="U1000" s="14" t="s">
        <v>214</v>
      </c>
      <c r="V1000" s="14">
        <v>31547003</v>
      </c>
      <c r="X1000" s="14" t="s">
        <v>204</v>
      </c>
      <c r="Y1000" s="14" t="s">
        <v>215</v>
      </c>
      <c r="Z1000" s="14">
        <v>20001</v>
      </c>
      <c r="AA1000" s="14" t="s">
        <v>205</v>
      </c>
      <c r="AB1000" s="14">
        <v>40001</v>
      </c>
      <c r="AE1000" s="29" t="s">
        <v>121</v>
      </c>
      <c r="AF1000" s="14" t="s">
        <v>213</v>
      </c>
      <c r="AG1000" s="14" t="s">
        <v>101</v>
      </c>
    </row>
    <row r="1001" spans="2:33">
      <c r="B1001" s="14">
        <f>10000000+INDEX(编号表!$B:$B,MATCH(H1001,编号表!$A:$A,0))*100000+INDEX(编号表!$F:$F,MATCH(D1001,编号表!$E:$E,0))*10000+INDEX(编号表!$D:$D,MATCH(AG1001,编号表!$C:$C,0))*1000+F1001</f>
        <v>11547004</v>
      </c>
      <c r="C1001" s="14" t="s">
        <v>1161</v>
      </c>
      <c r="D1001" s="14" t="s">
        <v>104</v>
      </c>
      <c r="E1001" s="14" t="s">
        <v>101</v>
      </c>
      <c r="F1001" s="14">
        <v>4</v>
      </c>
      <c r="G1001" s="14">
        <v>60</v>
      </c>
      <c r="H1001" s="31" t="s">
        <v>228</v>
      </c>
      <c r="I1001" s="14" t="s">
        <v>75</v>
      </c>
      <c r="J1001" s="14" t="s">
        <v>201</v>
      </c>
      <c r="K1001" s="14">
        <v>1</v>
      </c>
      <c r="L1001" s="14" t="s">
        <v>213</v>
      </c>
      <c r="N1001" s="14">
        <v>0</v>
      </c>
      <c r="O1001" s="14" t="b">
        <v>1</v>
      </c>
      <c r="Q1001" s="14" t="b">
        <v>0</v>
      </c>
      <c r="R1001" s="14">
        <v>1</v>
      </c>
      <c r="S1001" s="14" t="s">
        <v>77</v>
      </c>
      <c r="T1001" s="14">
        <v>999</v>
      </c>
      <c r="U1001" s="14" t="s">
        <v>214</v>
      </c>
      <c r="V1001" s="14">
        <v>31547004</v>
      </c>
      <c r="X1001" s="14" t="s">
        <v>204</v>
      </c>
      <c r="Y1001" s="14" t="s">
        <v>215</v>
      </c>
      <c r="Z1001" s="14">
        <v>20001</v>
      </c>
      <c r="AA1001" s="14" t="s">
        <v>205</v>
      </c>
      <c r="AB1001" s="14">
        <v>40001</v>
      </c>
      <c r="AE1001" s="29" t="s">
        <v>121</v>
      </c>
      <c r="AF1001" s="14" t="s">
        <v>213</v>
      </c>
      <c r="AG1001" s="14" t="s">
        <v>101</v>
      </c>
    </row>
    <row r="1002" spans="2:33">
      <c r="B1002" s="14">
        <f>10000000+INDEX(编号表!$B:$B,MATCH(H1002,编号表!$A:$A,0))*100000+INDEX(编号表!$F:$F,MATCH(D1002,编号表!$E:$E,0))*10000+INDEX(编号表!$D:$D,MATCH(AG1002,编号表!$C:$C,0))*1000+F1002</f>
        <v>11547005</v>
      </c>
      <c r="C1002" s="14" t="s">
        <v>1162</v>
      </c>
      <c r="D1002" s="14" t="s">
        <v>104</v>
      </c>
      <c r="E1002" s="14" t="s">
        <v>101</v>
      </c>
      <c r="F1002" s="14">
        <v>5</v>
      </c>
      <c r="G1002" s="14">
        <v>60</v>
      </c>
      <c r="H1002" s="31" t="s">
        <v>228</v>
      </c>
      <c r="I1002" s="14" t="s">
        <v>75</v>
      </c>
      <c r="J1002" s="14" t="s">
        <v>201</v>
      </c>
      <c r="K1002" s="14">
        <v>1</v>
      </c>
      <c r="L1002" s="14" t="s">
        <v>213</v>
      </c>
      <c r="N1002" s="14">
        <v>0</v>
      </c>
      <c r="O1002" s="14" t="b">
        <v>1</v>
      </c>
      <c r="Q1002" s="14" t="b">
        <v>0</v>
      </c>
      <c r="R1002" s="14">
        <v>1</v>
      </c>
      <c r="S1002" s="14" t="s">
        <v>77</v>
      </c>
      <c r="T1002" s="14">
        <v>999</v>
      </c>
      <c r="U1002" s="14" t="s">
        <v>214</v>
      </c>
      <c r="V1002" s="14">
        <v>31547005</v>
      </c>
      <c r="X1002" s="14" t="s">
        <v>204</v>
      </c>
      <c r="Y1002" s="14" t="s">
        <v>215</v>
      </c>
      <c r="Z1002" s="14">
        <v>20001</v>
      </c>
      <c r="AA1002" s="14" t="s">
        <v>205</v>
      </c>
      <c r="AB1002" s="14">
        <v>40001</v>
      </c>
      <c r="AE1002" s="29" t="s">
        <v>121</v>
      </c>
      <c r="AF1002" s="14" t="s">
        <v>213</v>
      </c>
      <c r="AG1002" s="14" t="s">
        <v>101</v>
      </c>
    </row>
    <row r="1003" spans="2:33">
      <c r="B1003" s="14">
        <f>10000000+INDEX(编号表!$B:$B,MATCH(H1003,编号表!$A:$A,0))*100000+INDEX(编号表!$F:$F,MATCH(D1003,编号表!$E:$E,0))*10000+INDEX(编号表!$D:$D,MATCH(AG1003,编号表!$C:$C,0))*1000+F1003</f>
        <v>11547006</v>
      </c>
      <c r="C1003" s="14" t="s">
        <v>1163</v>
      </c>
      <c r="D1003" s="14" t="s">
        <v>104</v>
      </c>
      <c r="E1003" s="14" t="s">
        <v>101</v>
      </c>
      <c r="F1003" s="14">
        <v>6</v>
      </c>
      <c r="G1003" s="14">
        <v>60</v>
      </c>
      <c r="H1003" s="31" t="s">
        <v>228</v>
      </c>
      <c r="I1003" s="14" t="s">
        <v>75</v>
      </c>
      <c r="J1003" s="14" t="s">
        <v>201</v>
      </c>
      <c r="K1003" s="14">
        <v>1</v>
      </c>
      <c r="L1003" s="14" t="s">
        <v>213</v>
      </c>
      <c r="N1003" s="14">
        <v>0</v>
      </c>
      <c r="O1003" s="14" t="b">
        <v>1</v>
      </c>
      <c r="Q1003" s="14" t="b">
        <v>0</v>
      </c>
      <c r="R1003" s="14">
        <v>1</v>
      </c>
      <c r="S1003" s="14" t="s">
        <v>77</v>
      </c>
      <c r="T1003" s="14">
        <v>999</v>
      </c>
      <c r="U1003" s="14" t="s">
        <v>214</v>
      </c>
      <c r="V1003" s="14">
        <v>31547006</v>
      </c>
      <c r="X1003" s="14" t="s">
        <v>204</v>
      </c>
      <c r="Y1003" s="14" t="s">
        <v>215</v>
      </c>
      <c r="Z1003" s="14">
        <v>20001</v>
      </c>
      <c r="AA1003" s="14" t="s">
        <v>205</v>
      </c>
      <c r="AB1003" s="14">
        <v>40001</v>
      </c>
      <c r="AE1003" s="29" t="s">
        <v>121</v>
      </c>
      <c r="AF1003" s="14" t="s">
        <v>213</v>
      </c>
      <c r="AG1003" s="14" t="s">
        <v>101</v>
      </c>
    </row>
    <row r="1004" spans="2:33">
      <c r="B1004" s="14">
        <f>10000000+INDEX(编号表!$B:$B,MATCH(H1004,编号表!$A:$A,0))*100000+INDEX(编号表!$F:$F,MATCH(D1004,编号表!$E:$E,0))*10000+INDEX(编号表!$D:$D,MATCH(AG1004,编号表!$C:$C,0))*1000+F1004</f>
        <v>11547007</v>
      </c>
      <c r="C1004" s="14" t="s">
        <v>1164</v>
      </c>
      <c r="D1004" s="14" t="s">
        <v>104</v>
      </c>
      <c r="E1004" s="14" t="s">
        <v>101</v>
      </c>
      <c r="F1004" s="14">
        <v>7</v>
      </c>
      <c r="G1004" s="14">
        <v>60</v>
      </c>
      <c r="H1004" s="31" t="s">
        <v>228</v>
      </c>
      <c r="I1004" s="14" t="s">
        <v>75</v>
      </c>
      <c r="J1004" s="14" t="s">
        <v>201</v>
      </c>
      <c r="K1004" s="14">
        <v>1</v>
      </c>
      <c r="L1004" s="14" t="s">
        <v>213</v>
      </c>
      <c r="N1004" s="14">
        <v>0</v>
      </c>
      <c r="O1004" s="14" t="b">
        <v>1</v>
      </c>
      <c r="Q1004" s="14" t="b">
        <v>0</v>
      </c>
      <c r="R1004" s="14">
        <v>1</v>
      </c>
      <c r="S1004" s="14" t="s">
        <v>77</v>
      </c>
      <c r="T1004" s="14">
        <v>999</v>
      </c>
      <c r="U1004" s="14" t="s">
        <v>214</v>
      </c>
      <c r="V1004" s="14">
        <v>31547007</v>
      </c>
      <c r="X1004" s="14" t="s">
        <v>204</v>
      </c>
      <c r="Y1004" s="14" t="s">
        <v>215</v>
      </c>
      <c r="Z1004" s="14">
        <v>20001</v>
      </c>
      <c r="AA1004" s="14" t="s">
        <v>205</v>
      </c>
      <c r="AB1004" s="14">
        <v>40001</v>
      </c>
      <c r="AE1004" s="29" t="s">
        <v>121</v>
      </c>
      <c r="AF1004" s="14" t="s">
        <v>213</v>
      </c>
      <c r="AG1004" s="14" t="s">
        <v>101</v>
      </c>
    </row>
    <row r="1005" spans="2:33">
      <c r="B1005" s="14">
        <f>10000000+INDEX(编号表!$B:$B,MATCH(H1005,编号表!$A:$A,0))*100000+INDEX(编号表!$F:$F,MATCH(D1005,编号表!$E:$E,0))*10000+INDEX(编号表!$D:$D,MATCH(AG1005,编号表!$C:$C,0))*1000+F1005</f>
        <v>11547008</v>
      </c>
      <c r="C1005" s="14" t="s">
        <v>1165</v>
      </c>
      <c r="D1005" s="14" t="s">
        <v>104</v>
      </c>
      <c r="E1005" s="14" t="s">
        <v>101</v>
      </c>
      <c r="F1005" s="14">
        <v>8</v>
      </c>
      <c r="G1005" s="14">
        <v>60</v>
      </c>
      <c r="H1005" s="31" t="s">
        <v>228</v>
      </c>
      <c r="I1005" s="14" t="s">
        <v>75</v>
      </c>
      <c r="J1005" s="14" t="s">
        <v>201</v>
      </c>
      <c r="K1005" s="14">
        <v>1</v>
      </c>
      <c r="L1005" s="14" t="s">
        <v>213</v>
      </c>
      <c r="N1005" s="14">
        <v>0</v>
      </c>
      <c r="O1005" s="14" t="b">
        <v>1</v>
      </c>
      <c r="Q1005" s="14" t="b">
        <v>0</v>
      </c>
      <c r="R1005" s="14">
        <v>1</v>
      </c>
      <c r="S1005" s="14" t="s">
        <v>77</v>
      </c>
      <c r="T1005" s="14">
        <v>999</v>
      </c>
      <c r="U1005" s="14" t="s">
        <v>214</v>
      </c>
      <c r="V1005" s="14">
        <v>31547008</v>
      </c>
      <c r="X1005" s="14" t="s">
        <v>204</v>
      </c>
      <c r="Y1005" s="14" t="s">
        <v>215</v>
      </c>
      <c r="Z1005" s="14">
        <v>20001</v>
      </c>
      <c r="AA1005" s="14" t="s">
        <v>205</v>
      </c>
      <c r="AB1005" s="14">
        <v>40001</v>
      </c>
      <c r="AE1005" s="29" t="s">
        <v>121</v>
      </c>
      <c r="AF1005" s="14" t="s">
        <v>213</v>
      </c>
      <c r="AG1005" s="14" t="s">
        <v>101</v>
      </c>
    </row>
    <row r="1006" spans="2:33">
      <c r="B1006" s="14">
        <f>10000000+INDEX(编号表!$B:$B,MATCH(H1006,编号表!$A:$A,0))*100000+INDEX(编号表!$F:$F,MATCH(D1006,编号表!$E:$E,0))*10000+INDEX(编号表!$D:$D,MATCH(AG1006,编号表!$C:$C,0))*1000+F1006</f>
        <v>11547009</v>
      </c>
      <c r="C1006" s="14" t="s">
        <v>1166</v>
      </c>
      <c r="D1006" s="14" t="s">
        <v>104</v>
      </c>
      <c r="E1006" s="14" t="s">
        <v>101</v>
      </c>
      <c r="F1006" s="14">
        <v>9</v>
      </c>
      <c r="G1006" s="14">
        <v>60</v>
      </c>
      <c r="H1006" s="31" t="s">
        <v>228</v>
      </c>
      <c r="I1006" s="14" t="s">
        <v>75</v>
      </c>
      <c r="J1006" s="14" t="s">
        <v>201</v>
      </c>
      <c r="K1006" s="14">
        <v>1</v>
      </c>
      <c r="L1006" s="14" t="s">
        <v>213</v>
      </c>
      <c r="N1006" s="14">
        <v>0</v>
      </c>
      <c r="O1006" s="14" t="b">
        <v>1</v>
      </c>
      <c r="Q1006" s="14" t="b">
        <v>0</v>
      </c>
      <c r="R1006" s="14">
        <v>1</v>
      </c>
      <c r="S1006" s="14" t="s">
        <v>77</v>
      </c>
      <c r="T1006" s="14">
        <v>999</v>
      </c>
      <c r="U1006" s="14" t="s">
        <v>214</v>
      </c>
      <c r="V1006" s="14">
        <v>31547009</v>
      </c>
      <c r="X1006" s="14" t="s">
        <v>204</v>
      </c>
      <c r="Y1006" s="14" t="s">
        <v>215</v>
      </c>
      <c r="Z1006" s="14">
        <v>20001</v>
      </c>
      <c r="AA1006" s="14" t="s">
        <v>205</v>
      </c>
      <c r="AB1006" s="14">
        <v>40001</v>
      </c>
      <c r="AE1006" s="29" t="s">
        <v>121</v>
      </c>
      <c r="AF1006" s="14" t="s">
        <v>213</v>
      </c>
      <c r="AG1006" s="14" t="s">
        <v>101</v>
      </c>
    </row>
    <row r="1007" spans="2:33">
      <c r="B1007" s="14">
        <f>10000000+INDEX(编号表!$B:$B,MATCH(H1007,编号表!$A:$A,0))*100000+INDEX(编号表!$F:$F,MATCH(D1007,编号表!$E:$E,0))*10000+INDEX(编号表!$D:$D,MATCH(AG1007,编号表!$C:$C,0))*1000+F1007</f>
        <v>11447000</v>
      </c>
      <c r="C1007" s="14" t="s">
        <v>1167</v>
      </c>
      <c r="D1007" s="14" t="s">
        <v>104</v>
      </c>
      <c r="E1007" s="14" t="s">
        <v>101</v>
      </c>
      <c r="F1007" s="14">
        <v>0</v>
      </c>
      <c r="G1007" s="14">
        <v>60</v>
      </c>
      <c r="H1007" s="31" t="s">
        <v>239</v>
      </c>
      <c r="I1007" s="14" t="s">
        <v>75</v>
      </c>
      <c r="J1007" s="14" t="s">
        <v>201</v>
      </c>
      <c r="K1007" s="14">
        <v>1</v>
      </c>
      <c r="L1007" s="14" t="s">
        <v>213</v>
      </c>
      <c r="N1007" s="14">
        <v>0</v>
      </c>
      <c r="O1007" s="14" t="b">
        <v>1</v>
      </c>
      <c r="Q1007" s="14" t="b">
        <v>0</v>
      </c>
      <c r="R1007" s="14">
        <v>1</v>
      </c>
      <c r="S1007" s="14" t="s">
        <v>77</v>
      </c>
      <c r="T1007" s="14">
        <v>999</v>
      </c>
      <c r="U1007" s="14" t="s">
        <v>214</v>
      </c>
      <c r="V1007" s="14">
        <v>31447000</v>
      </c>
      <c r="X1007" s="14" t="s">
        <v>204</v>
      </c>
      <c r="Y1007" s="14" t="s">
        <v>215</v>
      </c>
      <c r="Z1007" s="14">
        <v>20001</v>
      </c>
      <c r="AA1007" s="14" t="s">
        <v>205</v>
      </c>
      <c r="AB1007" s="14">
        <v>40001</v>
      </c>
      <c r="AE1007" s="29" t="s">
        <v>121</v>
      </c>
      <c r="AF1007" s="14" t="s">
        <v>213</v>
      </c>
      <c r="AG1007" s="14" t="s">
        <v>101</v>
      </c>
    </row>
    <row r="1008" spans="2:33">
      <c r="B1008" s="14">
        <f>10000000+INDEX(编号表!$B:$B,MATCH(H1008,编号表!$A:$A,0))*100000+INDEX(编号表!$F:$F,MATCH(D1008,编号表!$E:$E,0))*10000+INDEX(编号表!$D:$D,MATCH(AG1008,编号表!$C:$C,0))*1000+F1008</f>
        <v>11447001</v>
      </c>
      <c r="C1008" s="14" t="s">
        <v>1168</v>
      </c>
      <c r="D1008" s="14" t="s">
        <v>104</v>
      </c>
      <c r="E1008" s="14" t="s">
        <v>101</v>
      </c>
      <c r="F1008" s="14">
        <v>1</v>
      </c>
      <c r="G1008" s="14">
        <v>60</v>
      </c>
      <c r="H1008" s="31" t="s">
        <v>239</v>
      </c>
      <c r="I1008" s="14" t="s">
        <v>75</v>
      </c>
      <c r="J1008" s="14" t="s">
        <v>201</v>
      </c>
      <c r="K1008" s="14">
        <v>1</v>
      </c>
      <c r="L1008" s="14" t="s">
        <v>213</v>
      </c>
      <c r="N1008" s="14">
        <v>0</v>
      </c>
      <c r="O1008" s="14" t="b">
        <v>1</v>
      </c>
      <c r="Q1008" s="14" t="b">
        <v>0</v>
      </c>
      <c r="R1008" s="14">
        <v>1</v>
      </c>
      <c r="S1008" s="14" t="s">
        <v>77</v>
      </c>
      <c r="T1008" s="14">
        <v>999</v>
      </c>
      <c r="U1008" s="14" t="s">
        <v>214</v>
      </c>
      <c r="V1008" s="14">
        <v>31447001</v>
      </c>
      <c r="X1008" s="14" t="s">
        <v>204</v>
      </c>
      <c r="Y1008" s="14" t="s">
        <v>215</v>
      </c>
      <c r="Z1008" s="14">
        <v>20001</v>
      </c>
      <c r="AA1008" s="14" t="s">
        <v>205</v>
      </c>
      <c r="AB1008" s="14">
        <v>40001</v>
      </c>
      <c r="AE1008" s="29" t="s">
        <v>121</v>
      </c>
      <c r="AF1008" s="14" t="s">
        <v>213</v>
      </c>
      <c r="AG1008" s="14" t="s">
        <v>101</v>
      </c>
    </row>
    <row r="1009" spans="2:33">
      <c r="B1009" s="14">
        <f>10000000+INDEX(编号表!$B:$B,MATCH(H1009,编号表!$A:$A,0))*100000+INDEX(编号表!$F:$F,MATCH(D1009,编号表!$E:$E,0))*10000+INDEX(编号表!$D:$D,MATCH(AG1009,编号表!$C:$C,0))*1000+F1009</f>
        <v>11447002</v>
      </c>
      <c r="C1009" s="14" t="s">
        <v>1169</v>
      </c>
      <c r="D1009" s="14" t="s">
        <v>104</v>
      </c>
      <c r="E1009" s="14" t="s">
        <v>101</v>
      </c>
      <c r="F1009" s="14">
        <v>2</v>
      </c>
      <c r="G1009" s="14">
        <v>60</v>
      </c>
      <c r="H1009" s="31" t="s">
        <v>239</v>
      </c>
      <c r="I1009" s="14" t="s">
        <v>75</v>
      </c>
      <c r="J1009" s="14" t="s">
        <v>201</v>
      </c>
      <c r="K1009" s="14">
        <v>1</v>
      </c>
      <c r="L1009" s="14" t="s">
        <v>213</v>
      </c>
      <c r="N1009" s="14">
        <v>0</v>
      </c>
      <c r="O1009" s="14" t="b">
        <v>1</v>
      </c>
      <c r="Q1009" s="14" t="b">
        <v>0</v>
      </c>
      <c r="R1009" s="14">
        <v>1</v>
      </c>
      <c r="S1009" s="14" t="s">
        <v>77</v>
      </c>
      <c r="T1009" s="14">
        <v>999</v>
      </c>
      <c r="U1009" s="14" t="s">
        <v>214</v>
      </c>
      <c r="V1009" s="14">
        <v>31447002</v>
      </c>
      <c r="X1009" s="14" t="s">
        <v>204</v>
      </c>
      <c r="Y1009" s="14" t="s">
        <v>215</v>
      </c>
      <c r="Z1009" s="14">
        <v>20001</v>
      </c>
      <c r="AA1009" s="14" t="s">
        <v>205</v>
      </c>
      <c r="AB1009" s="14">
        <v>40001</v>
      </c>
      <c r="AE1009" s="29" t="s">
        <v>121</v>
      </c>
      <c r="AF1009" s="14" t="s">
        <v>213</v>
      </c>
      <c r="AG1009" s="14" t="s">
        <v>101</v>
      </c>
    </row>
    <row r="1010" spans="2:33">
      <c r="B1010" s="14">
        <f>10000000+INDEX(编号表!$B:$B,MATCH(H1010,编号表!$A:$A,0))*100000+INDEX(编号表!$F:$F,MATCH(D1010,编号表!$E:$E,0))*10000+INDEX(编号表!$D:$D,MATCH(AG1010,编号表!$C:$C,0))*1000+F1010</f>
        <v>11447003</v>
      </c>
      <c r="C1010" s="14" t="s">
        <v>1170</v>
      </c>
      <c r="D1010" s="14" t="s">
        <v>104</v>
      </c>
      <c r="E1010" s="14" t="s">
        <v>101</v>
      </c>
      <c r="F1010" s="14">
        <v>3</v>
      </c>
      <c r="G1010" s="14">
        <v>60</v>
      </c>
      <c r="H1010" s="31" t="s">
        <v>239</v>
      </c>
      <c r="I1010" s="14" t="s">
        <v>75</v>
      </c>
      <c r="J1010" s="14" t="s">
        <v>201</v>
      </c>
      <c r="K1010" s="14">
        <v>1</v>
      </c>
      <c r="L1010" s="14" t="s">
        <v>213</v>
      </c>
      <c r="N1010" s="14">
        <v>0</v>
      </c>
      <c r="O1010" s="14" t="b">
        <v>1</v>
      </c>
      <c r="Q1010" s="14" t="b">
        <v>0</v>
      </c>
      <c r="R1010" s="14">
        <v>1</v>
      </c>
      <c r="S1010" s="14" t="s">
        <v>77</v>
      </c>
      <c r="T1010" s="14">
        <v>999</v>
      </c>
      <c r="U1010" s="14" t="s">
        <v>214</v>
      </c>
      <c r="V1010" s="14">
        <v>31447003</v>
      </c>
      <c r="X1010" s="14" t="s">
        <v>204</v>
      </c>
      <c r="Y1010" s="14" t="s">
        <v>215</v>
      </c>
      <c r="Z1010" s="14">
        <v>20001</v>
      </c>
      <c r="AA1010" s="14" t="s">
        <v>205</v>
      </c>
      <c r="AB1010" s="14">
        <v>40001</v>
      </c>
      <c r="AE1010" s="29" t="s">
        <v>121</v>
      </c>
      <c r="AF1010" s="14" t="s">
        <v>213</v>
      </c>
      <c r="AG1010" s="14" t="s">
        <v>101</v>
      </c>
    </row>
    <row r="1011" spans="2:33">
      <c r="B1011" s="14">
        <f>10000000+INDEX(编号表!$B:$B,MATCH(H1011,编号表!$A:$A,0))*100000+INDEX(编号表!$F:$F,MATCH(D1011,编号表!$E:$E,0))*10000+INDEX(编号表!$D:$D,MATCH(AG1011,编号表!$C:$C,0))*1000+F1011</f>
        <v>11647000</v>
      </c>
      <c r="C1011" s="14" t="s">
        <v>1171</v>
      </c>
      <c r="D1011" s="14" t="s">
        <v>104</v>
      </c>
      <c r="E1011" s="14" t="s">
        <v>101</v>
      </c>
      <c r="F1011" s="14">
        <v>0</v>
      </c>
      <c r="G1011" s="14">
        <v>60</v>
      </c>
      <c r="H1011" s="31" t="s">
        <v>244</v>
      </c>
      <c r="I1011" s="14" t="s">
        <v>75</v>
      </c>
      <c r="J1011" s="14" t="s">
        <v>201</v>
      </c>
      <c r="K1011" s="14">
        <v>1</v>
      </c>
      <c r="L1011" s="14" t="s">
        <v>213</v>
      </c>
      <c r="N1011" s="14">
        <v>0</v>
      </c>
      <c r="O1011" s="14" t="b">
        <v>1</v>
      </c>
      <c r="Q1011" s="14" t="b">
        <v>0</v>
      </c>
      <c r="R1011" s="14">
        <v>1</v>
      </c>
      <c r="S1011" s="14" t="s">
        <v>77</v>
      </c>
      <c r="T1011" s="14">
        <v>999</v>
      </c>
      <c r="U1011" s="14" t="s">
        <v>214</v>
      </c>
      <c r="V1011" s="14">
        <v>31647000</v>
      </c>
      <c r="X1011" s="14" t="s">
        <v>204</v>
      </c>
      <c r="Y1011" s="14" t="s">
        <v>215</v>
      </c>
      <c r="Z1011" s="14">
        <v>20001</v>
      </c>
      <c r="AA1011" s="14" t="s">
        <v>205</v>
      </c>
      <c r="AB1011" s="14">
        <v>40001</v>
      </c>
      <c r="AE1011" s="29" t="s">
        <v>121</v>
      </c>
      <c r="AF1011" s="14" t="s">
        <v>213</v>
      </c>
      <c r="AG1011" s="14" t="s">
        <v>101</v>
      </c>
    </row>
    <row r="1012" spans="2:33">
      <c r="B1012" s="14">
        <f>10000000+INDEX(编号表!$B:$B,MATCH(H1012,编号表!$A:$A,0))*100000+INDEX(编号表!$F:$F,MATCH(D1012,编号表!$E:$E,0))*10000+INDEX(编号表!$D:$D,MATCH(AG1012,编号表!$C:$C,0))*1000+F1012</f>
        <v>11647001</v>
      </c>
      <c r="C1012" s="14" t="s">
        <v>1172</v>
      </c>
      <c r="D1012" s="14" t="s">
        <v>104</v>
      </c>
      <c r="E1012" s="14" t="s">
        <v>101</v>
      </c>
      <c r="F1012" s="14">
        <v>1</v>
      </c>
      <c r="G1012" s="14">
        <v>60</v>
      </c>
      <c r="H1012" s="31" t="s">
        <v>244</v>
      </c>
      <c r="I1012" s="14" t="s">
        <v>75</v>
      </c>
      <c r="J1012" s="14" t="s">
        <v>201</v>
      </c>
      <c r="K1012" s="14">
        <v>1</v>
      </c>
      <c r="L1012" s="14" t="s">
        <v>213</v>
      </c>
      <c r="N1012" s="14">
        <v>0</v>
      </c>
      <c r="O1012" s="14" t="b">
        <v>1</v>
      </c>
      <c r="Q1012" s="14" t="b">
        <v>0</v>
      </c>
      <c r="R1012" s="14">
        <v>1</v>
      </c>
      <c r="S1012" s="14" t="s">
        <v>77</v>
      </c>
      <c r="T1012" s="14">
        <v>999</v>
      </c>
      <c r="U1012" s="14" t="s">
        <v>214</v>
      </c>
      <c r="V1012" s="14">
        <v>31647001</v>
      </c>
      <c r="X1012" s="14" t="s">
        <v>204</v>
      </c>
      <c r="Y1012" s="14" t="s">
        <v>215</v>
      </c>
      <c r="Z1012" s="14">
        <v>20001</v>
      </c>
      <c r="AA1012" s="14" t="s">
        <v>205</v>
      </c>
      <c r="AB1012" s="14">
        <v>40001</v>
      </c>
      <c r="AE1012" s="29" t="s">
        <v>121</v>
      </c>
      <c r="AF1012" s="14" t="s">
        <v>213</v>
      </c>
      <c r="AG1012" s="14" t="s">
        <v>101</v>
      </c>
    </row>
    <row r="1013" spans="2:33">
      <c r="B1013" s="14">
        <f>10000000+INDEX(编号表!$B:$B,MATCH(H1013,编号表!$A:$A,0))*100000+INDEX(编号表!$F:$F,MATCH(D1013,编号表!$E:$E,0))*10000+INDEX(编号表!$D:$D,MATCH(AG1013,编号表!$C:$C,0))*1000+F1013</f>
        <v>11647002</v>
      </c>
      <c r="C1013" s="14" t="s">
        <v>1173</v>
      </c>
      <c r="D1013" s="14" t="s">
        <v>104</v>
      </c>
      <c r="E1013" s="14" t="s">
        <v>101</v>
      </c>
      <c r="F1013" s="14">
        <v>2</v>
      </c>
      <c r="G1013" s="14">
        <v>60</v>
      </c>
      <c r="H1013" s="31" t="s">
        <v>244</v>
      </c>
      <c r="I1013" s="14" t="s">
        <v>75</v>
      </c>
      <c r="J1013" s="14" t="s">
        <v>201</v>
      </c>
      <c r="K1013" s="14">
        <v>1</v>
      </c>
      <c r="L1013" s="14" t="s">
        <v>213</v>
      </c>
      <c r="N1013" s="14">
        <v>0</v>
      </c>
      <c r="O1013" s="14" t="b">
        <v>1</v>
      </c>
      <c r="Q1013" s="14" t="b">
        <v>0</v>
      </c>
      <c r="R1013" s="14">
        <v>1</v>
      </c>
      <c r="S1013" s="14" t="s">
        <v>77</v>
      </c>
      <c r="T1013" s="14">
        <v>999</v>
      </c>
      <c r="U1013" s="14" t="s">
        <v>214</v>
      </c>
      <c r="V1013" s="14">
        <v>31647002</v>
      </c>
      <c r="X1013" s="14" t="s">
        <v>204</v>
      </c>
      <c r="Y1013" s="14" t="s">
        <v>215</v>
      </c>
      <c r="Z1013" s="14">
        <v>20001</v>
      </c>
      <c r="AA1013" s="14" t="s">
        <v>205</v>
      </c>
      <c r="AB1013" s="14">
        <v>40001</v>
      </c>
      <c r="AE1013" s="29" t="s">
        <v>121</v>
      </c>
      <c r="AF1013" s="14" t="s">
        <v>213</v>
      </c>
      <c r="AG1013" s="14" t="s">
        <v>101</v>
      </c>
    </row>
    <row r="1014" spans="2:33">
      <c r="B1014" s="14">
        <f>10000000+INDEX(编号表!$B:$B,MATCH(H1014,编号表!$A:$A,0))*100000+INDEX(编号表!$F:$F,MATCH(D1014,编号表!$E:$E,0))*10000+INDEX(编号表!$D:$D,MATCH(AG1014,编号表!$C:$C,0))*1000+F1014</f>
        <v>11257000</v>
      </c>
      <c r="C1014" s="14" t="s">
        <v>1174</v>
      </c>
      <c r="D1014" s="14" t="s">
        <v>333</v>
      </c>
      <c r="E1014" s="14" t="s">
        <v>101</v>
      </c>
      <c r="F1014" s="14">
        <v>0</v>
      </c>
      <c r="G1014" s="14">
        <v>60</v>
      </c>
      <c r="H1014" s="31" t="s">
        <v>212</v>
      </c>
      <c r="I1014" s="14" t="s">
        <v>75</v>
      </c>
      <c r="J1014" s="14" t="s">
        <v>201</v>
      </c>
      <c r="K1014" s="14">
        <v>1</v>
      </c>
      <c r="L1014" s="14" t="s">
        <v>213</v>
      </c>
      <c r="N1014" s="14">
        <v>0</v>
      </c>
      <c r="O1014" s="14" t="b">
        <v>1</v>
      </c>
      <c r="Q1014" s="14" t="b">
        <v>0</v>
      </c>
      <c r="R1014" s="14">
        <v>1</v>
      </c>
      <c r="S1014" s="14" t="s">
        <v>77</v>
      </c>
      <c r="T1014" s="14">
        <v>999</v>
      </c>
      <c r="U1014" s="14" t="s">
        <v>214</v>
      </c>
      <c r="V1014" s="14">
        <v>31257000</v>
      </c>
      <c r="X1014" s="14" t="s">
        <v>204</v>
      </c>
      <c r="Y1014" s="14" t="s">
        <v>215</v>
      </c>
      <c r="Z1014" s="14">
        <v>20001</v>
      </c>
      <c r="AA1014" s="14" t="s">
        <v>205</v>
      </c>
      <c r="AB1014" s="14">
        <v>40001</v>
      </c>
      <c r="AE1014" s="29" t="s">
        <v>121</v>
      </c>
      <c r="AF1014" s="14" t="s">
        <v>213</v>
      </c>
      <c r="AG1014" s="14" t="s">
        <v>101</v>
      </c>
    </row>
    <row r="1015" spans="2:33">
      <c r="B1015" s="14">
        <f>10000000+INDEX(编号表!$B:$B,MATCH(H1015,编号表!$A:$A,0))*100000+INDEX(编号表!$F:$F,MATCH(D1015,编号表!$E:$E,0))*10000+INDEX(编号表!$D:$D,MATCH(AG1015,编号表!$C:$C,0))*1000+F1015</f>
        <v>11357000</v>
      </c>
      <c r="C1015" s="14" t="s">
        <v>1175</v>
      </c>
      <c r="D1015" s="14" t="s">
        <v>333</v>
      </c>
      <c r="E1015" s="14" t="s">
        <v>101</v>
      </c>
      <c r="F1015" s="14">
        <v>0</v>
      </c>
      <c r="G1015" s="14">
        <v>60</v>
      </c>
      <c r="H1015" s="31" t="s">
        <v>217</v>
      </c>
      <c r="I1015" s="14" t="s">
        <v>75</v>
      </c>
      <c r="J1015" s="14" t="s">
        <v>201</v>
      </c>
      <c r="K1015" s="14">
        <v>1</v>
      </c>
      <c r="L1015" s="14" t="s">
        <v>213</v>
      </c>
      <c r="N1015" s="14">
        <v>0</v>
      </c>
      <c r="O1015" s="14" t="b">
        <v>1</v>
      </c>
      <c r="Q1015" s="14" t="b">
        <v>0</v>
      </c>
      <c r="R1015" s="14">
        <v>1</v>
      </c>
      <c r="S1015" s="14" t="s">
        <v>77</v>
      </c>
      <c r="T1015" s="14">
        <v>999</v>
      </c>
      <c r="U1015" s="14" t="s">
        <v>214</v>
      </c>
      <c r="V1015" s="14">
        <v>31357000</v>
      </c>
      <c r="X1015" s="14" t="s">
        <v>204</v>
      </c>
      <c r="Y1015" s="14" t="s">
        <v>215</v>
      </c>
      <c r="Z1015" s="14">
        <v>20001</v>
      </c>
      <c r="AA1015" s="14" t="s">
        <v>205</v>
      </c>
      <c r="AB1015" s="14">
        <v>40001</v>
      </c>
      <c r="AE1015" s="29" t="s">
        <v>121</v>
      </c>
      <c r="AF1015" s="14" t="s">
        <v>213</v>
      </c>
      <c r="AG1015" s="14" t="s">
        <v>101</v>
      </c>
    </row>
    <row r="1016" spans="2:33">
      <c r="B1016" s="14">
        <f>10000000+INDEX(编号表!$B:$B,MATCH(H1016,编号表!$A:$A,0))*100000+INDEX(编号表!$F:$F,MATCH(D1016,编号表!$E:$E,0))*10000+INDEX(编号表!$D:$D,MATCH(AG1016,编号表!$C:$C,0))*1000+F1016</f>
        <v>11357001</v>
      </c>
      <c r="C1016" s="14" t="s">
        <v>1176</v>
      </c>
      <c r="D1016" s="14" t="s">
        <v>333</v>
      </c>
      <c r="E1016" s="14" t="s">
        <v>101</v>
      </c>
      <c r="F1016" s="14">
        <v>1</v>
      </c>
      <c r="G1016" s="14">
        <v>60</v>
      </c>
      <c r="H1016" s="31" t="s">
        <v>217</v>
      </c>
      <c r="I1016" s="14" t="s">
        <v>75</v>
      </c>
      <c r="J1016" s="14" t="s">
        <v>201</v>
      </c>
      <c r="K1016" s="14">
        <v>1</v>
      </c>
      <c r="L1016" s="14" t="s">
        <v>213</v>
      </c>
      <c r="N1016" s="14">
        <v>0</v>
      </c>
      <c r="O1016" s="14" t="b">
        <v>1</v>
      </c>
      <c r="Q1016" s="14" t="b">
        <v>0</v>
      </c>
      <c r="R1016" s="14">
        <v>1</v>
      </c>
      <c r="S1016" s="14" t="s">
        <v>77</v>
      </c>
      <c r="T1016" s="14">
        <v>999</v>
      </c>
      <c r="U1016" s="14" t="s">
        <v>214</v>
      </c>
      <c r="V1016" s="14">
        <v>31357001</v>
      </c>
      <c r="X1016" s="14" t="s">
        <v>204</v>
      </c>
      <c r="Y1016" s="14" t="s">
        <v>215</v>
      </c>
      <c r="Z1016" s="14">
        <v>20001</v>
      </c>
      <c r="AA1016" s="14" t="s">
        <v>205</v>
      </c>
      <c r="AB1016" s="14">
        <v>40001</v>
      </c>
      <c r="AE1016" s="29" t="s">
        <v>121</v>
      </c>
      <c r="AF1016" s="14" t="s">
        <v>213</v>
      </c>
      <c r="AG1016" s="14" t="s">
        <v>101</v>
      </c>
    </row>
    <row r="1017" spans="2:33">
      <c r="B1017" s="14">
        <f>10000000+INDEX(编号表!$B:$B,MATCH(H1017,编号表!$A:$A,0))*100000+INDEX(编号表!$F:$F,MATCH(D1017,编号表!$E:$E,0))*10000+INDEX(编号表!$D:$D,MATCH(AG1017,编号表!$C:$C,0))*1000+F1017</f>
        <v>11357002</v>
      </c>
      <c r="C1017" s="14" t="s">
        <v>1177</v>
      </c>
      <c r="D1017" s="14" t="s">
        <v>333</v>
      </c>
      <c r="E1017" s="14" t="s">
        <v>101</v>
      </c>
      <c r="F1017" s="14">
        <v>2</v>
      </c>
      <c r="G1017" s="14">
        <v>60</v>
      </c>
      <c r="H1017" s="31" t="s">
        <v>217</v>
      </c>
      <c r="I1017" s="14" t="s">
        <v>75</v>
      </c>
      <c r="J1017" s="14" t="s">
        <v>201</v>
      </c>
      <c r="K1017" s="14">
        <v>1</v>
      </c>
      <c r="L1017" s="14" t="s">
        <v>213</v>
      </c>
      <c r="N1017" s="14">
        <v>0</v>
      </c>
      <c r="O1017" s="14" t="b">
        <v>1</v>
      </c>
      <c r="Q1017" s="14" t="b">
        <v>0</v>
      </c>
      <c r="R1017" s="14">
        <v>1</v>
      </c>
      <c r="S1017" s="14" t="s">
        <v>77</v>
      </c>
      <c r="T1017" s="14">
        <v>999</v>
      </c>
      <c r="U1017" s="14" t="s">
        <v>214</v>
      </c>
      <c r="V1017" s="14">
        <v>31357002</v>
      </c>
      <c r="X1017" s="14" t="s">
        <v>204</v>
      </c>
      <c r="Y1017" s="14" t="s">
        <v>215</v>
      </c>
      <c r="Z1017" s="14">
        <v>20001</v>
      </c>
      <c r="AA1017" s="14" t="s">
        <v>205</v>
      </c>
      <c r="AB1017" s="14">
        <v>40001</v>
      </c>
      <c r="AE1017" s="29" t="s">
        <v>121</v>
      </c>
      <c r="AF1017" s="14" t="s">
        <v>213</v>
      </c>
      <c r="AG1017" s="14" t="s">
        <v>101</v>
      </c>
    </row>
    <row r="1018" spans="2:33">
      <c r="B1018" s="14">
        <f>10000000+INDEX(编号表!$B:$B,MATCH(H1018,编号表!$A:$A,0))*100000+INDEX(编号表!$F:$F,MATCH(D1018,编号表!$E:$E,0))*10000+INDEX(编号表!$D:$D,MATCH(AG1018,编号表!$C:$C,0))*1000+F1018</f>
        <v>11357003</v>
      </c>
      <c r="C1018" s="14" t="s">
        <v>1178</v>
      </c>
      <c r="D1018" s="14" t="s">
        <v>333</v>
      </c>
      <c r="E1018" s="14" t="s">
        <v>101</v>
      </c>
      <c r="F1018" s="14">
        <v>3</v>
      </c>
      <c r="G1018" s="14">
        <v>60</v>
      </c>
      <c r="H1018" s="31" t="s">
        <v>217</v>
      </c>
      <c r="I1018" s="14" t="s">
        <v>75</v>
      </c>
      <c r="J1018" s="14" t="s">
        <v>201</v>
      </c>
      <c r="K1018" s="14">
        <v>1</v>
      </c>
      <c r="L1018" s="14" t="s">
        <v>213</v>
      </c>
      <c r="N1018" s="14">
        <v>0</v>
      </c>
      <c r="O1018" s="14" t="b">
        <v>1</v>
      </c>
      <c r="Q1018" s="14" t="b">
        <v>0</v>
      </c>
      <c r="R1018" s="14">
        <v>1</v>
      </c>
      <c r="S1018" s="14" t="s">
        <v>77</v>
      </c>
      <c r="T1018" s="14">
        <v>999</v>
      </c>
      <c r="U1018" s="14" t="s">
        <v>214</v>
      </c>
      <c r="V1018" s="14">
        <v>31357003</v>
      </c>
      <c r="X1018" s="14" t="s">
        <v>204</v>
      </c>
      <c r="Y1018" s="14" t="s">
        <v>215</v>
      </c>
      <c r="Z1018" s="14">
        <v>20001</v>
      </c>
      <c r="AA1018" s="14" t="s">
        <v>205</v>
      </c>
      <c r="AB1018" s="14">
        <v>40001</v>
      </c>
      <c r="AE1018" s="29" t="s">
        <v>121</v>
      </c>
      <c r="AF1018" s="14" t="s">
        <v>213</v>
      </c>
      <c r="AG1018" s="14" t="s">
        <v>101</v>
      </c>
    </row>
    <row r="1019" spans="2:33">
      <c r="B1019" s="14">
        <f>10000000+INDEX(编号表!$B:$B,MATCH(H1019,编号表!$A:$A,0))*100000+INDEX(编号表!$F:$F,MATCH(D1019,编号表!$E:$E,0))*10000+INDEX(编号表!$D:$D,MATCH(AG1019,编号表!$C:$C,0))*1000+F1019</f>
        <v>11357004</v>
      </c>
      <c r="C1019" s="14" t="s">
        <v>1179</v>
      </c>
      <c r="D1019" s="14" t="s">
        <v>333</v>
      </c>
      <c r="E1019" s="14" t="s">
        <v>101</v>
      </c>
      <c r="F1019" s="14">
        <v>4</v>
      </c>
      <c r="G1019" s="14">
        <v>60</v>
      </c>
      <c r="H1019" s="31" t="s">
        <v>217</v>
      </c>
      <c r="I1019" s="14" t="s">
        <v>75</v>
      </c>
      <c r="J1019" s="14" t="s">
        <v>201</v>
      </c>
      <c r="K1019" s="14">
        <v>1</v>
      </c>
      <c r="L1019" s="14" t="s">
        <v>213</v>
      </c>
      <c r="N1019" s="14">
        <v>0</v>
      </c>
      <c r="O1019" s="14" t="b">
        <v>1</v>
      </c>
      <c r="Q1019" s="14" t="b">
        <v>0</v>
      </c>
      <c r="R1019" s="14">
        <v>1</v>
      </c>
      <c r="S1019" s="14" t="s">
        <v>77</v>
      </c>
      <c r="T1019" s="14">
        <v>999</v>
      </c>
      <c r="U1019" s="14" t="s">
        <v>214</v>
      </c>
      <c r="V1019" s="14">
        <v>31357004</v>
      </c>
      <c r="X1019" s="14" t="s">
        <v>204</v>
      </c>
      <c r="Y1019" s="14" t="s">
        <v>215</v>
      </c>
      <c r="Z1019" s="14">
        <v>20001</v>
      </c>
      <c r="AA1019" s="14" t="s">
        <v>205</v>
      </c>
      <c r="AB1019" s="14">
        <v>40001</v>
      </c>
      <c r="AE1019" s="29" t="s">
        <v>121</v>
      </c>
      <c r="AF1019" s="14" t="s">
        <v>213</v>
      </c>
      <c r="AG1019" s="14" t="s">
        <v>101</v>
      </c>
    </row>
    <row r="1020" spans="2:33">
      <c r="B1020" s="14">
        <f>10000000+INDEX(编号表!$B:$B,MATCH(H1020,编号表!$A:$A,0))*100000+INDEX(编号表!$F:$F,MATCH(D1020,编号表!$E:$E,0))*10000+INDEX(编号表!$D:$D,MATCH(AG1020,编号表!$C:$C,0))*1000+F1020</f>
        <v>11357005</v>
      </c>
      <c r="C1020" s="14" t="s">
        <v>1180</v>
      </c>
      <c r="D1020" s="14" t="s">
        <v>333</v>
      </c>
      <c r="E1020" s="14" t="s">
        <v>101</v>
      </c>
      <c r="F1020" s="14">
        <v>5</v>
      </c>
      <c r="G1020" s="14">
        <v>60</v>
      </c>
      <c r="H1020" s="31" t="s">
        <v>217</v>
      </c>
      <c r="I1020" s="14" t="s">
        <v>75</v>
      </c>
      <c r="J1020" s="14" t="s">
        <v>201</v>
      </c>
      <c r="K1020" s="14">
        <v>1</v>
      </c>
      <c r="L1020" s="14" t="s">
        <v>213</v>
      </c>
      <c r="N1020" s="14">
        <v>0</v>
      </c>
      <c r="O1020" s="14" t="b">
        <v>1</v>
      </c>
      <c r="Q1020" s="14" t="b">
        <v>0</v>
      </c>
      <c r="R1020" s="14">
        <v>1</v>
      </c>
      <c r="S1020" s="14" t="s">
        <v>77</v>
      </c>
      <c r="T1020" s="14">
        <v>999</v>
      </c>
      <c r="U1020" s="14" t="s">
        <v>214</v>
      </c>
      <c r="V1020" s="14">
        <v>31357005</v>
      </c>
      <c r="X1020" s="14" t="s">
        <v>204</v>
      </c>
      <c r="Y1020" s="14" t="s">
        <v>215</v>
      </c>
      <c r="Z1020" s="14">
        <v>20001</v>
      </c>
      <c r="AA1020" s="14" t="s">
        <v>205</v>
      </c>
      <c r="AB1020" s="14">
        <v>40001</v>
      </c>
      <c r="AE1020" s="29" t="s">
        <v>121</v>
      </c>
      <c r="AF1020" s="14" t="s">
        <v>213</v>
      </c>
      <c r="AG1020" s="14" t="s">
        <v>101</v>
      </c>
    </row>
    <row r="1021" spans="2:33">
      <c r="B1021" s="14">
        <f>10000000+INDEX(编号表!$B:$B,MATCH(H1021,编号表!$A:$A,0))*100000+INDEX(编号表!$F:$F,MATCH(D1021,编号表!$E:$E,0))*10000+INDEX(编号表!$D:$D,MATCH(AG1021,编号表!$C:$C,0))*1000+F1021</f>
        <v>11357006</v>
      </c>
      <c r="C1021" s="14" t="s">
        <v>1181</v>
      </c>
      <c r="D1021" s="14" t="s">
        <v>333</v>
      </c>
      <c r="E1021" s="14" t="s">
        <v>101</v>
      </c>
      <c r="F1021" s="14">
        <v>6</v>
      </c>
      <c r="G1021" s="14">
        <v>60</v>
      </c>
      <c r="H1021" s="31" t="s">
        <v>217</v>
      </c>
      <c r="I1021" s="14" t="s">
        <v>75</v>
      </c>
      <c r="J1021" s="14" t="s">
        <v>201</v>
      </c>
      <c r="K1021" s="14">
        <v>1</v>
      </c>
      <c r="L1021" s="14" t="s">
        <v>213</v>
      </c>
      <c r="N1021" s="14">
        <v>0</v>
      </c>
      <c r="O1021" s="14" t="b">
        <v>1</v>
      </c>
      <c r="Q1021" s="14" t="b">
        <v>0</v>
      </c>
      <c r="R1021" s="14">
        <v>1</v>
      </c>
      <c r="S1021" s="14" t="s">
        <v>77</v>
      </c>
      <c r="T1021" s="14">
        <v>999</v>
      </c>
      <c r="U1021" s="14" t="s">
        <v>214</v>
      </c>
      <c r="V1021" s="14">
        <v>31357006</v>
      </c>
      <c r="X1021" s="14" t="s">
        <v>204</v>
      </c>
      <c r="Y1021" s="14" t="s">
        <v>215</v>
      </c>
      <c r="Z1021" s="14">
        <v>20001</v>
      </c>
      <c r="AA1021" s="14" t="s">
        <v>205</v>
      </c>
      <c r="AB1021" s="14">
        <v>40001</v>
      </c>
      <c r="AE1021" s="29" t="s">
        <v>121</v>
      </c>
      <c r="AF1021" s="14" t="s">
        <v>213</v>
      </c>
      <c r="AG1021" s="14" t="s">
        <v>101</v>
      </c>
    </row>
    <row r="1022" spans="2:33">
      <c r="B1022" s="14">
        <f>10000000+INDEX(编号表!$B:$B,MATCH(H1022,编号表!$A:$A,0))*100000+INDEX(编号表!$F:$F,MATCH(D1022,编号表!$E:$E,0))*10000+INDEX(编号表!$D:$D,MATCH(AG1022,编号表!$C:$C,0))*1000+F1022</f>
        <v>11357007</v>
      </c>
      <c r="C1022" s="14" t="s">
        <v>1182</v>
      </c>
      <c r="D1022" s="14" t="s">
        <v>333</v>
      </c>
      <c r="E1022" s="14" t="s">
        <v>101</v>
      </c>
      <c r="F1022" s="14">
        <v>7</v>
      </c>
      <c r="G1022" s="14">
        <v>60</v>
      </c>
      <c r="H1022" s="31" t="s">
        <v>217</v>
      </c>
      <c r="I1022" s="14" t="s">
        <v>75</v>
      </c>
      <c r="J1022" s="14" t="s">
        <v>201</v>
      </c>
      <c r="K1022" s="14">
        <v>1</v>
      </c>
      <c r="L1022" s="14" t="s">
        <v>213</v>
      </c>
      <c r="N1022" s="14">
        <v>0</v>
      </c>
      <c r="O1022" s="14" t="b">
        <v>1</v>
      </c>
      <c r="Q1022" s="14" t="b">
        <v>0</v>
      </c>
      <c r="R1022" s="14">
        <v>1</v>
      </c>
      <c r="S1022" s="14" t="s">
        <v>77</v>
      </c>
      <c r="T1022" s="14">
        <v>999</v>
      </c>
      <c r="U1022" s="14" t="s">
        <v>214</v>
      </c>
      <c r="V1022" s="14">
        <v>31357007</v>
      </c>
      <c r="X1022" s="14" t="s">
        <v>204</v>
      </c>
      <c r="Y1022" s="14" t="s">
        <v>215</v>
      </c>
      <c r="Z1022" s="14">
        <v>20001</v>
      </c>
      <c r="AA1022" s="14" t="s">
        <v>205</v>
      </c>
      <c r="AB1022" s="14">
        <v>40001</v>
      </c>
      <c r="AE1022" s="29" t="s">
        <v>121</v>
      </c>
      <c r="AF1022" s="14" t="s">
        <v>213</v>
      </c>
      <c r="AG1022" s="14" t="s">
        <v>101</v>
      </c>
    </row>
    <row r="1023" spans="2:33">
      <c r="B1023" s="14">
        <f>10000000+INDEX(编号表!$B:$B,MATCH(H1023,编号表!$A:$A,0))*100000+INDEX(编号表!$F:$F,MATCH(D1023,编号表!$E:$E,0))*10000+INDEX(编号表!$D:$D,MATCH(AG1023,编号表!$C:$C,0))*1000+F1023</f>
        <v>11357008</v>
      </c>
      <c r="C1023" s="14" t="s">
        <v>1183</v>
      </c>
      <c r="D1023" s="14" t="s">
        <v>333</v>
      </c>
      <c r="E1023" s="14" t="s">
        <v>101</v>
      </c>
      <c r="F1023" s="14">
        <v>8</v>
      </c>
      <c r="G1023" s="14">
        <v>60</v>
      </c>
      <c r="H1023" s="31" t="s">
        <v>217</v>
      </c>
      <c r="I1023" s="14" t="s">
        <v>75</v>
      </c>
      <c r="J1023" s="14" t="s">
        <v>201</v>
      </c>
      <c r="K1023" s="14">
        <v>1</v>
      </c>
      <c r="L1023" s="14" t="s">
        <v>213</v>
      </c>
      <c r="N1023" s="14">
        <v>0</v>
      </c>
      <c r="O1023" s="14" t="b">
        <v>1</v>
      </c>
      <c r="Q1023" s="14" t="b">
        <v>0</v>
      </c>
      <c r="R1023" s="14">
        <v>1</v>
      </c>
      <c r="S1023" s="14" t="s">
        <v>77</v>
      </c>
      <c r="T1023" s="14">
        <v>999</v>
      </c>
      <c r="U1023" s="14" t="s">
        <v>214</v>
      </c>
      <c r="V1023" s="14">
        <v>31357008</v>
      </c>
      <c r="X1023" s="14" t="s">
        <v>204</v>
      </c>
      <c r="Y1023" s="14" t="s">
        <v>215</v>
      </c>
      <c r="Z1023" s="14">
        <v>20001</v>
      </c>
      <c r="AA1023" s="14" t="s">
        <v>205</v>
      </c>
      <c r="AB1023" s="14">
        <v>40001</v>
      </c>
      <c r="AE1023" s="29" t="s">
        <v>121</v>
      </c>
      <c r="AF1023" s="14" t="s">
        <v>213</v>
      </c>
      <c r="AG1023" s="14" t="s">
        <v>101</v>
      </c>
    </row>
    <row r="1024" spans="2:33">
      <c r="B1024" s="14">
        <f>10000000+INDEX(编号表!$B:$B,MATCH(H1024,编号表!$A:$A,0))*100000+INDEX(编号表!$F:$F,MATCH(D1024,编号表!$E:$E,0))*10000+INDEX(编号表!$D:$D,MATCH(AG1024,编号表!$C:$C,0))*1000+F1024</f>
        <v>11357009</v>
      </c>
      <c r="C1024" s="14" t="s">
        <v>1184</v>
      </c>
      <c r="D1024" s="14" t="s">
        <v>333</v>
      </c>
      <c r="E1024" s="14" t="s">
        <v>101</v>
      </c>
      <c r="F1024" s="14">
        <v>9</v>
      </c>
      <c r="G1024" s="14">
        <v>60</v>
      </c>
      <c r="H1024" s="31" t="s">
        <v>217</v>
      </c>
      <c r="I1024" s="14" t="s">
        <v>75</v>
      </c>
      <c r="J1024" s="14" t="s">
        <v>201</v>
      </c>
      <c r="K1024" s="14">
        <v>1</v>
      </c>
      <c r="L1024" s="14" t="s">
        <v>213</v>
      </c>
      <c r="N1024" s="14">
        <v>0</v>
      </c>
      <c r="O1024" s="14" t="b">
        <v>1</v>
      </c>
      <c r="Q1024" s="14" t="b">
        <v>0</v>
      </c>
      <c r="R1024" s="14">
        <v>1</v>
      </c>
      <c r="S1024" s="14" t="s">
        <v>77</v>
      </c>
      <c r="T1024" s="14">
        <v>999</v>
      </c>
      <c r="U1024" s="14" t="s">
        <v>214</v>
      </c>
      <c r="V1024" s="14">
        <v>31357009</v>
      </c>
      <c r="X1024" s="14" t="s">
        <v>204</v>
      </c>
      <c r="Y1024" s="14" t="s">
        <v>215</v>
      </c>
      <c r="Z1024" s="14">
        <v>20001</v>
      </c>
      <c r="AA1024" s="14" t="s">
        <v>205</v>
      </c>
      <c r="AB1024" s="14">
        <v>40001</v>
      </c>
      <c r="AE1024" s="29" t="s">
        <v>121</v>
      </c>
      <c r="AF1024" s="14" t="s">
        <v>213</v>
      </c>
      <c r="AG1024" s="14" t="s">
        <v>101</v>
      </c>
    </row>
    <row r="1025" spans="2:33">
      <c r="B1025" s="14">
        <f>10000000+INDEX(编号表!$B:$B,MATCH(H1025,编号表!$A:$A,0))*100000+INDEX(编号表!$F:$F,MATCH(D1025,编号表!$E:$E,0))*10000+INDEX(编号表!$D:$D,MATCH(AG1025,编号表!$C:$C,0))*1000+F1025</f>
        <v>11557000</v>
      </c>
      <c r="C1025" s="14" t="s">
        <v>1185</v>
      </c>
      <c r="D1025" s="14" t="s">
        <v>333</v>
      </c>
      <c r="E1025" s="14" t="s">
        <v>101</v>
      </c>
      <c r="F1025" s="14">
        <v>0</v>
      </c>
      <c r="G1025" s="14">
        <v>60</v>
      </c>
      <c r="H1025" s="31" t="s">
        <v>228</v>
      </c>
      <c r="I1025" s="14" t="s">
        <v>75</v>
      </c>
      <c r="J1025" s="14" t="s">
        <v>201</v>
      </c>
      <c r="K1025" s="14">
        <v>1</v>
      </c>
      <c r="L1025" s="14" t="s">
        <v>213</v>
      </c>
      <c r="N1025" s="14">
        <v>0</v>
      </c>
      <c r="O1025" s="14" t="b">
        <v>1</v>
      </c>
      <c r="Q1025" s="14" t="b">
        <v>0</v>
      </c>
      <c r="R1025" s="14">
        <v>1</v>
      </c>
      <c r="S1025" s="14" t="s">
        <v>77</v>
      </c>
      <c r="T1025" s="14">
        <v>999</v>
      </c>
      <c r="U1025" s="14" t="s">
        <v>214</v>
      </c>
      <c r="V1025" s="14">
        <v>31557000</v>
      </c>
      <c r="X1025" s="14" t="s">
        <v>204</v>
      </c>
      <c r="Y1025" s="14" t="s">
        <v>215</v>
      </c>
      <c r="Z1025" s="14">
        <v>20001</v>
      </c>
      <c r="AA1025" s="14" t="s">
        <v>205</v>
      </c>
      <c r="AB1025" s="14">
        <v>40001</v>
      </c>
      <c r="AE1025" s="29" t="s">
        <v>121</v>
      </c>
      <c r="AF1025" s="14" t="s">
        <v>213</v>
      </c>
      <c r="AG1025" s="14" t="s">
        <v>101</v>
      </c>
    </row>
    <row r="1026" spans="2:33">
      <c r="B1026" s="14">
        <f>10000000+INDEX(编号表!$B:$B,MATCH(H1026,编号表!$A:$A,0))*100000+INDEX(编号表!$F:$F,MATCH(D1026,编号表!$E:$E,0))*10000+INDEX(编号表!$D:$D,MATCH(AG1026,编号表!$C:$C,0))*1000+F1026</f>
        <v>11557001</v>
      </c>
      <c r="C1026" s="14" t="s">
        <v>1186</v>
      </c>
      <c r="D1026" s="14" t="s">
        <v>333</v>
      </c>
      <c r="E1026" s="14" t="s">
        <v>101</v>
      </c>
      <c r="F1026" s="14">
        <v>1</v>
      </c>
      <c r="G1026" s="14">
        <v>60</v>
      </c>
      <c r="H1026" s="31" t="s">
        <v>228</v>
      </c>
      <c r="I1026" s="14" t="s">
        <v>75</v>
      </c>
      <c r="J1026" s="14" t="s">
        <v>201</v>
      </c>
      <c r="K1026" s="14">
        <v>1</v>
      </c>
      <c r="L1026" s="14" t="s">
        <v>213</v>
      </c>
      <c r="N1026" s="14">
        <v>0</v>
      </c>
      <c r="O1026" s="14" t="b">
        <v>1</v>
      </c>
      <c r="Q1026" s="14" t="b">
        <v>0</v>
      </c>
      <c r="R1026" s="14">
        <v>1</v>
      </c>
      <c r="S1026" s="14" t="s">
        <v>77</v>
      </c>
      <c r="T1026" s="14">
        <v>999</v>
      </c>
      <c r="U1026" s="14" t="s">
        <v>214</v>
      </c>
      <c r="V1026" s="14">
        <v>31557001</v>
      </c>
      <c r="X1026" s="14" t="s">
        <v>204</v>
      </c>
      <c r="Y1026" s="14" t="s">
        <v>215</v>
      </c>
      <c r="Z1026" s="14">
        <v>20001</v>
      </c>
      <c r="AA1026" s="14" t="s">
        <v>205</v>
      </c>
      <c r="AB1026" s="14">
        <v>40001</v>
      </c>
      <c r="AE1026" s="29" t="s">
        <v>121</v>
      </c>
      <c r="AF1026" s="14" t="s">
        <v>213</v>
      </c>
      <c r="AG1026" s="14" t="s">
        <v>101</v>
      </c>
    </row>
    <row r="1027" spans="2:33">
      <c r="B1027" s="14">
        <f>10000000+INDEX(编号表!$B:$B,MATCH(H1027,编号表!$A:$A,0))*100000+INDEX(编号表!$F:$F,MATCH(D1027,编号表!$E:$E,0))*10000+INDEX(编号表!$D:$D,MATCH(AG1027,编号表!$C:$C,0))*1000+F1027</f>
        <v>11557002</v>
      </c>
      <c r="C1027" s="14" t="s">
        <v>1187</v>
      </c>
      <c r="D1027" s="14" t="s">
        <v>333</v>
      </c>
      <c r="E1027" s="14" t="s">
        <v>101</v>
      </c>
      <c r="F1027" s="14">
        <v>2</v>
      </c>
      <c r="G1027" s="14">
        <v>60</v>
      </c>
      <c r="H1027" s="31" t="s">
        <v>228</v>
      </c>
      <c r="I1027" s="14" t="s">
        <v>75</v>
      </c>
      <c r="J1027" s="14" t="s">
        <v>201</v>
      </c>
      <c r="K1027" s="14">
        <v>1</v>
      </c>
      <c r="L1027" s="14" t="s">
        <v>213</v>
      </c>
      <c r="N1027" s="14">
        <v>0</v>
      </c>
      <c r="O1027" s="14" t="b">
        <v>1</v>
      </c>
      <c r="Q1027" s="14" t="b">
        <v>0</v>
      </c>
      <c r="R1027" s="14">
        <v>1</v>
      </c>
      <c r="S1027" s="14" t="s">
        <v>77</v>
      </c>
      <c r="T1027" s="14">
        <v>999</v>
      </c>
      <c r="U1027" s="14" t="s">
        <v>214</v>
      </c>
      <c r="V1027" s="14">
        <v>31557002</v>
      </c>
      <c r="X1027" s="14" t="s">
        <v>204</v>
      </c>
      <c r="Y1027" s="14" t="s">
        <v>215</v>
      </c>
      <c r="Z1027" s="14">
        <v>20001</v>
      </c>
      <c r="AA1027" s="14" t="s">
        <v>205</v>
      </c>
      <c r="AB1027" s="14">
        <v>40001</v>
      </c>
      <c r="AE1027" s="29" t="s">
        <v>121</v>
      </c>
      <c r="AF1027" s="14" t="s">
        <v>213</v>
      </c>
      <c r="AG1027" s="14" t="s">
        <v>101</v>
      </c>
    </row>
    <row r="1028" spans="2:33">
      <c r="B1028" s="14">
        <f>10000000+INDEX(编号表!$B:$B,MATCH(H1028,编号表!$A:$A,0))*100000+INDEX(编号表!$F:$F,MATCH(D1028,编号表!$E:$E,0))*10000+INDEX(编号表!$D:$D,MATCH(AG1028,编号表!$C:$C,0))*1000+F1028</f>
        <v>11557003</v>
      </c>
      <c r="C1028" s="14" t="s">
        <v>1188</v>
      </c>
      <c r="D1028" s="14" t="s">
        <v>333</v>
      </c>
      <c r="E1028" s="14" t="s">
        <v>101</v>
      </c>
      <c r="F1028" s="14">
        <v>3</v>
      </c>
      <c r="G1028" s="14">
        <v>60</v>
      </c>
      <c r="H1028" s="31" t="s">
        <v>228</v>
      </c>
      <c r="I1028" s="14" t="s">
        <v>75</v>
      </c>
      <c r="J1028" s="14" t="s">
        <v>201</v>
      </c>
      <c r="K1028" s="14">
        <v>1</v>
      </c>
      <c r="L1028" s="14" t="s">
        <v>213</v>
      </c>
      <c r="N1028" s="14">
        <v>0</v>
      </c>
      <c r="O1028" s="14" t="b">
        <v>1</v>
      </c>
      <c r="Q1028" s="14" t="b">
        <v>0</v>
      </c>
      <c r="R1028" s="14">
        <v>1</v>
      </c>
      <c r="S1028" s="14" t="s">
        <v>77</v>
      </c>
      <c r="T1028" s="14">
        <v>999</v>
      </c>
      <c r="U1028" s="14" t="s">
        <v>214</v>
      </c>
      <c r="V1028" s="14">
        <v>31557003</v>
      </c>
      <c r="X1028" s="14" t="s">
        <v>204</v>
      </c>
      <c r="Y1028" s="14" t="s">
        <v>215</v>
      </c>
      <c r="Z1028" s="14">
        <v>20001</v>
      </c>
      <c r="AA1028" s="14" t="s">
        <v>205</v>
      </c>
      <c r="AB1028" s="14">
        <v>40001</v>
      </c>
      <c r="AE1028" s="29" t="s">
        <v>121</v>
      </c>
      <c r="AF1028" s="14" t="s">
        <v>213</v>
      </c>
      <c r="AG1028" s="14" t="s">
        <v>101</v>
      </c>
    </row>
    <row r="1029" spans="2:33">
      <c r="B1029" s="14">
        <f>10000000+INDEX(编号表!$B:$B,MATCH(H1029,编号表!$A:$A,0))*100000+INDEX(编号表!$F:$F,MATCH(D1029,编号表!$E:$E,0))*10000+INDEX(编号表!$D:$D,MATCH(AG1029,编号表!$C:$C,0))*1000+F1029</f>
        <v>11557004</v>
      </c>
      <c r="C1029" s="14" t="s">
        <v>1189</v>
      </c>
      <c r="D1029" s="14" t="s">
        <v>333</v>
      </c>
      <c r="E1029" s="14" t="s">
        <v>101</v>
      </c>
      <c r="F1029" s="14">
        <v>4</v>
      </c>
      <c r="G1029" s="14">
        <v>60</v>
      </c>
      <c r="H1029" s="31" t="s">
        <v>228</v>
      </c>
      <c r="I1029" s="14" t="s">
        <v>75</v>
      </c>
      <c r="J1029" s="14" t="s">
        <v>201</v>
      </c>
      <c r="K1029" s="14">
        <v>1</v>
      </c>
      <c r="L1029" s="14" t="s">
        <v>213</v>
      </c>
      <c r="N1029" s="14">
        <v>0</v>
      </c>
      <c r="O1029" s="14" t="b">
        <v>1</v>
      </c>
      <c r="Q1029" s="14" t="b">
        <v>0</v>
      </c>
      <c r="R1029" s="14">
        <v>1</v>
      </c>
      <c r="S1029" s="14" t="s">
        <v>77</v>
      </c>
      <c r="T1029" s="14">
        <v>999</v>
      </c>
      <c r="U1029" s="14" t="s">
        <v>214</v>
      </c>
      <c r="V1029" s="14">
        <v>31557004</v>
      </c>
      <c r="X1029" s="14" t="s">
        <v>204</v>
      </c>
      <c r="Y1029" s="14" t="s">
        <v>215</v>
      </c>
      <c r="Z1029" s="14">
        <v>20001</v>
      </c>
      <c r="AA1029" s="14" t="s">
        <v>205</v>
      </c>
      <c r="AB1029" s="14">
        <v>40001</v>
      </c>
      <c r="AE1029" s="29" t="s">
        <v>121</v>
      </c>
      <c r="AF1029" s="14" t="s">
        <v>213</v>
      </c>
      <c r="AG1029" s="14" t="s">
        <v>101</v>
      </c>
    </row>
    <row r="1030" spans="2:33">
      <c r="B1030" s="14">
        <f>10000000+INDEX(编号表!$B:$B,MATCH(H1030,编号表!$A:$A,0))*100000+INDEX(编号表!$F:$F,MATCH(D1030,编号表!$E:$E,0))*10000+INDEX(编号表!$D:$D,MATCH(AG1030,编号表!$C:$C,0))*1000+F1030</f>
        <v>11557005</v>
      </c>
      <c r="C1030" s="14" t="s">
        <v>1190</v>
      </c>
      <c r="D1030" s="14" t="s">
        <v>333</v>
      </c>
      <c r="E1030" s="14" t="s">
        <v>101</v>
      </c>
      <c r="F1030" s="14">
        <v>5</v>
      </c>
      <c r="G1030" s="14">
        <v>60</v>
      </c>
      <c r="H1030" s="31" t="s">
        <v>228</v>
      </c>
      <c r="I1030" s="14" t="s">
        <v>75</v>
      </c>
      <c r="J1030" s="14" t="s">
        <v>201</v>
      </c>
      <c r="K1030" s="14">
        <v>1</v>
      </c>
      <c r="L1030" s="14" t="s">
        <v>213</v>
      </c>
      <c r="N1030" s="14">
        <v>0</v>
      </c>
      <c r="O1030" s="14" t="b">
        <v>1</v>
      </c>
      <c r="Q1030" s="14" t="b">
        <v>0</v>
      </c>
      <c r="R1030" s="14">
        <v>1</v>
      </c>
      <c r="S1030" s="14" t="s">
        <v>77</v>
      </c>
      <c r="T1030" s="14">
        <v>999</v>
      </c>
      <c r="U1030" s="14" t="s">
        <v>214</v>
      </c>
      <c r="V1030" s="14">
        <v>31557005</v>
      </c>
      <c r="X1030" s="14" t="s">
        <v>204</v>
      </c>
      <c r="Y1030" s="14" t="s">
        <v>215</v>
      </c>
      <c r="Z1030" s="14">
        <v>20001</v>
      </c>
      <c r="AA1030" s="14" t="s">
        <v>205</v>
      </c>
      <c r="AB1030" s="14">
        <v>40001</v>
      </c>
      <c r="AE1030" s="29" t="s">
        <v>121</v>
      </c>
      <c r="AF1030" s="14" t="s">
        <v>213</v>
      </c>
      <c r="AG1030" s="14" t="s">
        <v>101</v>
      </c>
    </row>
    <row r="1031" spans="2:33">
      <c r="B1031" s="14">
        <f>10000000+INDEX(编号表!$B:$B,MATCH(H1031,编号表!$A:$A,0))*100000+INDEX(编号表!$F:$F,MATCH(D1031,编号表!$E:$E,0))*10000+INDEX(编号表!$D:$D,MATCH(AG1031,编号表!$C:$C,0))*1000+F1031</f>
        <v>11557006</v>
      </c>
      <c r="C1031" s="14" t="s">
        <v>1191</v>
      </c>
      <c r="D1031" s="14" t="s">
        <v>333</v>
      </c>
      <c r="E1031" s="14" t="s">
        <v>101</v>
      </c>
      <c r="F1031" s="14">
        <v>6</v>
      </c>
      <c r="G1031" s="14">
        <v>60</v>
      </c>
      <c r="H1031" s="31" t="s">
        <v>228</v>
      </c>
      <c r="I1031" s="14" t="s">
        <v>75</v>
      </c>
      <c r="J1031" s="14" t="s">
        <v>201</v>
      </c>
      <c r="K1031" s="14">
        <v>1</v>
      </c>
      <c r="L1031" s="14" t="s">
        <v>213</v>
      </c>
      <c r="N1031" s="14">
        <v>0</v>
      </c>
      <c r="O1031" s="14" t="b">
        <v>1</v>
      </c>
      <c r="Q1031" s="14" t="b">
        <v>0</v>
      </c>
      <c r="R1031" s="14">
        <v>1</v>
      </c>
      <c r="S1031" s="14" t="s">
        <v>77</v>
      </c>
      <c r="T1031" s="14">
        <v>999</v>
      </c>
      <c r="U1031" s="14" t="s">
        <v>214</v>
      </c>
      <c r="V1031" s="14">
        <v>31557006</v>
      </c>
      <c r="X1031" s="14" t="s">
        <v>204</v>
      </c>
      <c r="Y1031" s="14" t="s">
        <v>215</v>
      </c>
      <c r="Z1031" s="14">
        <v>20001</v>
      </c>
      <c r="AA1031" s="14" t="s">
        <v>205</v>
      </c>
      <c r="AB1031" s="14">
        <v>40001</v>
      </c>
      <c r="AE1031" s="29" t="s">
        <v>121</v>
      </c>
      <c r="AF1031" s="14" t="s">
        <v>213</v>
      </c>
      <c r="AG1031" s="14" t="s">
        <v>101</v>
      </c>
    </row>
    <row r="1032" spans="2:33">
      <c r="B1032" s="14">
        <f>10000000+INDEX(编号表!$B:$B,MATCH(H1032,编号表!$A:$A,0))*100000+INDEX(编号表!$F:$F,MATCH(D1032,编号表!$E:$E,0))*10000+INDEX(编号表!$D:$D,MATCH(AG1032,编号表!$C:$C,0))*1000+F1032</f>
        <v>11557007</v>
      </c>
      <c r="C1032" s="14" t="s">
        <v>1192</v>
      </c>
      <c r="D1032" s="14" t="s">
        <v>333</v>
      </c>
      <c r="E1032" s="14" t="s">
        <v>101</v>
      </c>
      <c r="F1032" s="14">
        <v>7</v>
      </c>
      <c r="G1032" s="14">
        <v>60</v>
      </c>
      <c r="H1032" s="31" t="s">
        <v>228</v>
      </c>
      <c r="I1032" s="14" t="s">
        <v>75</v>
      </c>
      <c r="J1032" s="14" t="s">
        <v>201</v>
      </c>
      <c r="K1032" s="14">
        <v>1</v>
      </c>
      <c r="L1032" s="14" t="s">
        <v>213</v>
      </c>
      <c r="N1032" s="14">
        <v>0</v>
      </c>
      <c r="O1032" s="14" t="b">
        <v>1</v>
      </c>
      <c r="Q1032" s="14" t="b">
        <v>0</v>
      </c>
      <c r="R1032" s="14">
        <v>1</v>
      </c>
      <c r="S1032" s="14" t="s">
        <v>77</v>
      </c>
      <c r="T1032" s="14">
        <v>999</v>
      </c>
      <c r="U1032" s="14" t="s">
        <v>214</v>
      </c>
      <c r="V1032" s="14">
        <v>31557007</v>
      </c>
      <c r="X1032" s="14" t="s">
        <v>204</v>
      </c>
      <c r="Y1032" s="14" t="s">
        <v>215</v>
      </c>
      <c r="Z1032" s="14">
        <v>20001</v>
      </c>
      <c r="AA1032" s="14" t="s">
        <v>205</v>
      </c>
      <c r="AB1032" s="14">
        <v>40001</v>
      </c>
      <c r="AE1032" s="29" t="s">
        <v>121</v>
      </c>
      <c r="AF1032" s="14" t="s">
        <v>213</v>
      </c>
      <c r="AG1032" s="14" t="s">
        <v>101</v>
      </c>
    </row>
    <row r="1033" spans="2:33">
      <c r="B1033" s="14">
        <f>10000000+INDEX(编号表!$B:$B,MATCH(H1033,编号表!$A:$A,0))*100000+INDEX(编号表!$F:$F,MATCH(D1033,编号表!$E:$E,0))*10000+INDEX(编号表!$D:$D,MATCH(AG1033,编号表!$C:$C,0))*1000+F1033</f>
        <v>11557008</v>
      </c>
      <c r="C1033" s="14" t="s">
        <v>1193</v>
      </c>
      <c r="D1033" s="14" t="s">
        <v>333</v>
      </c>
      <c r="E1033" s="14" t="s">
        <v>101</v>
      </c>
      <c r="F1033" s="14">
        <v>8</v>
      </c>
      <c r="G1033" s="14">
        <v>60</v>
      </c>
      <c r="H1033" s="31" t="s">
        <v>228</v>
      </c>
      <c r="I1033" s="14" t="s">
        <v>75</v>
      </c>
      <c r="J1033" s="14" t="s">
        <v>201</v>
      </c>
      <c r="K1033" s="14">
        <v>1</v>
      </c>
      <c r="L1033" s="14" t="s">
        <v>213</v>
      </c>
      <c r="N1033" s="14">
        <v>0</v>
      </c>
      <c r="O1033" s="14" t="b">
        <v>1</v>
      </c>
      <c r="Q1033" s="14" t="b">
        <v>0</v>
      </c>
      <c r="R1033" s="14">
        <v>1</v>
      </c>
      <c r="S1033" s="14" t="s">
        <v>77</v>
      </c>
      <c r="T1033" s="14">
        <v>999</v>
      </c>
      <c r="U1033" s="14" t="s">
        <v>214</v>
      </c>
      <c r="V1033" s="14">
        <v>31557008</v>
      </c>
      <c r="X1033" s="14" t="s">
        <v>204</v>
      </c>
      <c r="Y1033" s="14" t="s">
        <v>215</v>
      </c>
      <c r="Z1033" s="14">
        <v>20001</v>
      </c>
      <c r="AA1033" s="14" t="s">
        <v>205</v>
      </c>
      <c r="AB1033" s="14">
        <v>40001</v>
      </c>
      <c r="AE1033" s="29" t="s">
        <v>121</v>
      </c>
      <c r="AF1033" s="14" t="s">
        <v>213</v>
      </c>
      <c r="AG1033" s="14" t="s">
        <v>101</v>
      </c>
    </row>
    <row r="1034" spans="2:33">
      <c r="B1034" s="14">
        <f>10000000+INDEX(编号表!$B:$B,MATCH(H1034,编号表!$A:$A,0))*100000+INDEX(编号表!$F:$F,MATCH(D1034,编号表!$E:$E,0))*10000+INDEX(编号表!$D:$D,MATCH(AG1034,编号表!$C:$C,0))*1000+F1034</f>
        <v>11557009</v>
      </c>
      <c r="C1034" s="14" t="s">
        <v>1194</v>
      </c>
      <c r="D1034" s="14" t="s">
        <v>333</v>
      </c>
      <c r="E1034" s="14" t="s">
        <v>101</v>
      </c>
      <c r="F1034" s="14">
        <v>9</v>
      </c>
      <c r="G1034" s="14">
        <v>60</v>
      </c>
      <c r="H1034" s="31" t="s">
        <v>228</v>
      </c>
      <c r="I1034" s="14" t="s">
        <v>75</v>
      </c>
      <c r="J1034" s="14" t="s">
        <v>201</v>
      </c>
      <c r="K1034" s="14">
        <v>1</v>
      </c>
      <c r="L1034" s="14" t="s">
        <v>213</v>
      </c>
      <c r="N1034" s="14">
        <v>0</v>
      </c>
      <c r="O1034" s="14" t="b">
        <v>1</v>
      </c>
      <c r="Q1034" s="14" t="b">
        <v>0</v>
      </c>
      <c r="R1034" s="14">
        <v>1</v>
      </c>
      <c r="S1034" s="14" t="s">
        <v>77</v>
      </c>
      <c r="T1034" s="14">
        <v>999</v>
      </c>
      <c r="U1034" s="14" t="s">
        <v>214</v>
      </c>
      <c r="V1034" s="14">
        <v>31557009</v>
      </c>
      <c r="X1034" s="14" t="s">
        <v>204</v>
      </c>
      <c r="Y1034" s="14" t="s">
        <v>215</v>
      </c>
      <c r="Z1034" s="14">
        <v>20001</v>
      </c>
      <c r="AA1034" s="14" t="s">
        <v>205</v>
      </c>
      <c r="AB1034" s="14">
        <v>40001</v>
      </c>
      <c r="AE1034" s="29" t="s">
        <v>121</v>
      </c>
      <c r="AF1034" s="14" t="s">
        <v>213</v>
      </c>
      <c r="AG1034" s="14" t="s">
        <v>101</v>
      </c>
    </row>
    <row r="1035" spans="2:33">
      <c r="B1035" s="14">
        <f>10000000+INDEX(编号表!$B:$B,MATCH(H1035,编号表!$A:$A,0))*100000+INDEX(编号表!$F:$F,MATCH(D1035,编号表!$E:$E,0))*10000+INDEX(编号表!$D:$D,MATCH(AG1035,编号表!$C:$C,0))*1000+F1035</f>
        <v>11457000</v>
      </c>
      <c r="C1035" s="14" t="s">
        <v>1195</v>
      </c>
      <c r="D1035" s="14" t="s">
        <v>333</v>
      </c>
      <c r="E1035" s="14" t="s">
        <v>101</v>
      </c>
      <c r="F1035" s="14">
        <v>0</v>
      </c>
      <c r="G1035" s="14">
        <v>60</v>
      </c>
      <c r="H1035" s="31" t="s">
        <v>239</v>
      </c>
      <c r="I1035" s="14" t="s">
        <v>75</v>
      </c>
      <c r="J1035" s="14" t="s">
        <v>201</v>
      </c>
      <c r="K1035" s="14">
        <v>1</v>
      </c>
      <c r="L1035" s="14" t="s">
        <v>213</v>
      </c>
      <c r="N1035" s="14">
        <v>0</v>
      </c>
      <c r="O1035" s="14" t="b">
        <v>1</v>
      </c>
      <c r="Q1035" s="14" t="b">
        <v>0</v>
      </c>
      <c r="R1035" s="14">
        <v>1</v>
      </c>
      <c r="S1035" s="14" t="s">
        <v>77</v>
      </c>
      <c r="T1035" s="14">
        <v>999</v>
      </c>
      <c r="U1035" s="14" t="s">
        <v>214</v>
      </c>
      <c r="V1035" s="14">
        <v>31457000</v>
      </c>
      <c r="X1035" s="14" t="s">
        <v>204</v>
      </c>
      <c r="Y1035" s="14" t="s">
        <v>215</v>
      </c>
      <c r="Z1035" s="14">
        <v>20001</v>
      </c>
      <c r="AA1035" s="14" t="s">
        <v>205</v>
      </c>
      <c r="AB1035" s="14">
        <v>40001</v>
      </c>
      <c r="AE1035" s="29" t="s">
        <v>121</v>
      </c>
      <c r="AF1035" s="14" t="s">
        <v>213</v>
      </c>
      <c r="AG1035" s="14" t="s">
        <v>101</v>
      </c>
    </row>
    <row r="1036" spans="2:33">
      <c r="B1036" s="14">
        <f>10000000+INDEX(编号表!$B:$B,MATCH(H1036,编号表!$A:$A,0))*100000+INDEX(编号表!$F:$F,MATCH(D1036,编号表!$E:$E,0))*10000+INDEX(编号表!$D:$D,MATCH(AG1036,编号表!$C:$C,0))*1000+F1036</f>
        <v>11457001</v>
      </c>
      <c r="C1036" s="14" t="s">
        <v>1196</v>
      </c>
      <c r="D1036" s="14" t="s">
        <v>333</v>
      </c>
      <c r="E1036" s="14" t="s">
        <v>101</v>
      </c>
      <c r="F1036" s="14">
        <v>1</v>
      </c>
      <c r="G1036" s="14">
        <v>60</v>
      </c>
      <c r="H1036" s="31" t="s">
        <v>239</v>
      </c>
      <c r="I1036" s="14" t="s">
        <v>75</v>
      </c>
      <c r="J1036" s="14" t="s">
        <v>201</v>
      </c>
      <c r="K1036" s="14">
        <v>1</v>
      </c>
      <c r="L1036" s="14" t="s">
        <v>213</v>
      </c>
      <c r="N1036" s="14">
        <v>0</v>
      </c>
      <c r="O1036" s="14" t="b">
        <v>1</v>
      </c>
      <c r="Q1036" s="14" t="b">
        <v>0</v>
      </c>
      <c r="R1036" s="14">
        <v>1</v>
      </c>
      <c r="S1036" s="14" t="s">
        <v>77</v>
      </c>
      <c r="T1036" s="14">
        <v>999</v>
      </c>
      <c r="U1036" s="14" t="s">
        <v>214</v>
      </c>
      <c r="V1036" s="14">
        <v>31457001</v>
      </c>
      <c r="X1036" s="14" t="s">
        <v>204</v>
      </c>
      <c r="Y1036" s="14" t="s">
        <v>215</v>
      </c>
      <c r="Z1036" s="14">
        <v>20001</v>
      </c>
      <c r="AA1036" s="14" t="s">
        <v>205</v>
      </c>
      <c r="AB1036" s="14">
        <v>40001</v>
      </c>
      <c r="AE1036" s="29" t="s">
        <v>121</v>
      </c>
      <c r="AF1036" s="14" t="s">
        <v>213</v>
      </c>
      <c r="AG1036" s="14" t="s">
        <v>101</v>
      </c>
    </row>
    <row r="1037" spans="2:33">
      <c r="B1037" s="14">
        <f>10000000+INDEX(编号表!$B:$B,MATCH(H1037,编号表!$A:$A,0))*100000+INDEX(编号表!$F:$F,MATCH(D1037,编号表!$E:$E,0))*10000+INDEX(编号表!$D:$D,MATCH(AG1037,编号表!$C:$C,0))*1000+F1037</f>
        <v>11457002</v>
      </c>
      <c r="C1037" s="14" t="s">
        <v>1197</v>
      </c>
      <c r="D1037" s="14" t="s">
        <v>333</v>
      </c>
      <c r="E1037" s="14" t="s">
        <v>101</v>
      </c>
      <c r="F1037" s="14">
        <v>2</v>
      </c>
      <c r="G1037" s="14">
        <v>60</v>
      </c>
      <c r="H1037" s="31" t="s">
        <v>239</v>
      </c>
      <c r="I1037" s="14" t="s">
        <v>75</v>
      </c>
      <c r="J1037" s="14" t="s">
        <v>201</v>
      </c>
      <c r="K1037" s="14">
        <v>1</v>
      </c>
      <c r="L1037" s="14" t="s">
        <v>213</v>
      </c>
      <c r="N1037" s="14">
        <v>0</v>
      </c>
      <c r="O1037" s="14" t="b">
        <v>1</v>
      </c>
      <c r="Q1037" s="14" t="b">
        <v>0</v>
      </c>
      <c r="R1037" s="14">
        <v>1</v>
      </c>
      <c r="S1037" s="14" t="s">
        <v>77</v>
      </c>
      <c r="T1037" s="14">
        <v>999</v>
      </c>
      <c r="U1037" s="14" t="s">
        <v>214</v>
      </c>
      <c r="V1037" s="14">
        <v>31457002</v>
      </c>
      <c r="X1037" s="14" t="s">
        <v>204</v>
      </c>
      <c r="Y1037" s="14" t="s">
        <v>215</v>
      </c>
      <c r="Z1037" s="14">
        <v>20001</v>
      </c>
      <c r="AA1037" s="14" t="s">
        <v>205</v>
      </c>
      <c r="AB1037" s="14">
        <v>40001</v>
      </c>
      <c r="AE1037" s="29" t="s">
        <v>121</v>
      </c>
      <c r="AF1037" s="14" t="s">
        <v>213</v>
      </c>
      <c r="AG1037" s="14" t="s">
        <v>101</v>
      </c>
    </row>
    <row r="1038" spans="2:33">
      <c r="B1038" s="14">
        <f>10000000+INDEX(编号表!$B:$B,MATCH(H1038,编号表!$A:$A,0))*100000+INDEX(编号表!$F:$F,MATCH(D1038,编号表!$E:$E,0))*10000+INDEX(编号表!$D:$D,MATCH(AG1038,编号表!$C:$C,0))*1000+F1038</f>
        <v>11457003</v>
      </c>
      <c r="C1038" s="14" t="s">
        <v>1198</v>
      </c>
      <c r="D1038" s="14" t="s">
        <v>333</v>
      </c>
      <c r="E1038" s="14" t="s">
        <v>101</v>
      </c>
      <c r="F1038" s="14">
        <v>3</v>
      </c>
      <c r="G1038" s="14">
        <v>60</v>
      </c>
      <c r="H1038" s="31" t="s">
        <v>239</v>
      </c>
      <c r="I1038" s="14" t="s">
        <v>75</v>
      </c>
      <c r="J1038" s="14" t="s">
        <v>201</v>
      </c>
      <c r="K1038" s="14">
        <v>1</v>
      </c>
      <c r="L1038" s="14" t="s">
        <v>213</v>
      </c>
      <c r="N1038" s="14">
        <v>0</v>
      </c>
      <c r="O1038" s="14" t="b">
        <v>1</v>
      </c>
      <c r="Q1038" s="14" t="b">
        <v>0</v>
      </c>
      <c r="R1038" s="14">
        <v>1</v>
      </c>
      <c r="S1038" s="14" t="s">
        <v>77</v>
      </c>
      <c r="T1038" s="14">
        <v>999</v>
      </c>
      <c r="U1038" s="14" t="s">
        <v>214</v>
      </c>
      <c r="V1038" s="14">
        <v>31457003</v>
      </c>
      <c r="X1038" s="14" t="s">
        <v>204</v>
      </c>
      <c r="Y1038" s="14" t="s">
        <v>215</v>
      </c>
      <c r="Z1038" s="14">
        <v>20001</v>
      </c>
      <c r="AA1038" s="14" t="s">
        <v>205</v>
      </c>
      <c r="AB1038" s="14">
        <v>40001</v>
      </c>
      <c r="AE1038" s="29" t="s">
        <v>121</v>
      </c>
      <c r="AF1038" s="14" t="s">
        <v>213</v>
      </c>
      <c r="AG1038" s="14" t="s">
        <v>101</v>
      </c>
    </row>
    <row r="1039" spans="2:33">
      <c r="B1039" s="14">
        <f>10000000+INDEX(编号表!$B:$B,MATCH(H1039,编号表!$A:$A,0))*100000+INDEX(编号表!$F:$F,MATCH(D1039,编号表!$E:$E,0))*10000+INDEX(编号表!$D:$D,MATCH(AG1039,编号表!$C:$C,0))*1000+F1039</f>
        <v>11657000</v>
      </c>
      <c r="C1039" s="14" t="s">
        <v>1199</v>
      </c>
      <c r="D1039" s="14" t="s">
        <v>333</v>
      </c>
      <c r="E1039" s="14" t="s">
        <v>101</v>
      </c>
      <c r="F1039" s="14">
        <v>0</v>
      </c>
      <c r="G1039" s="14">
        <v>60</v>
      </c>
      <c r="H1039" s="31" t="s">
        <v>244</v>
      </c>
      <c r="I1039" s="14" t="s">
        <v>75</v>
      </c>
      <c r="J1039" s="14" t="s">
        <v>201</v>
      </c>
      <c r="K1039" s="14">
        <v>1</v>
      </c>
      <c r="L1039" s="14" t="s">
        <v>213</v>
      </c>
      <c r="N1039" s="14">
        <v>0</v>
      </c>
      <c r="O1039" s="14" t="b">
        <v>1</v>
      </c>
      <c r="Q1039" s="14" t="b">
        <v>0</v>
      </c>
      <c r="R1039" s="14">
        <v>1</v>
      </c>
      <c r="S1039" s="14" t="s">
        <v>77</v>
      </c>
      <c r="T1039" s="14">
        <v>999</v>
      </c>
      <c r="U1039" s="14" t="s">
        <v>214</v>
      </c>
      <c r="V1039" s="14">
        <v>31657000</v>
      </c>
      <c r="X1039" s="14" t="s">
        <v>204</v>
      </c>
      <c r="Y1039" s="14" t="s">
        <v>215</v>
      </c>
      <c r="Z1039" s="14">
        <v>20001</v>
      </c>
      <c r="AA1039" s="14" t="s">
        <v>205</v>
      </c>
      <c r="AB1039" s="14">
        <v>40001</v>
      </c>
      <c r="AE1039" s="29" t="s">
        <v>121</v>
      </c>
      <c r="AF1039" s="14" t="s">
        <v>213</v>
      </c>
      <c r="AG1039" s="14" t="s">
        <v>101</v>
      </c>
    </row>
    <row r="1040" spans="2:33">
      <c r="B1040" s="14">
        <f>10000000+INDEX(编号表!$B:$B,MATCH(H1040,编号表!$A:$A,0))*100000+INDEX(编号表!$F:$F,MATCH(D1040,编号表!$E:$E,0))*10000+INDEX(编号表!$D:$D,MATCH(AG1040,编号表!$C:$C,0))*1000+F1040</f>
        <v>11657001</v>
      </c>
      <c r="C1040" s="14" t="s">
        <v>1200</v>
      </c>
      <c r="D1040" s="14" t="s">
        <v>333</v>
      </c>
      <c r="E1040" s="14" t="s">
        <v>101</v>
      </c>
      <c r="F1040" s="14">
        <v>1</v>
      </c>
      <c r="G1040" s="14">
        <v>60</v>
      </c>
      <c r="H1040" s="31" t="s">
        <v>244</v>
      </c>
      <c r="I1040" s="14" t="s">
        <v>75</v>
      </c>
      <c r="J1040" s="14" t="s">
        <v>201</v>
      </c>
      <c r="K1040" s="14">
        <v>1</v>
      </c>
      <c r="L1040" s="14" t="s">
        <v>213</v>
      </c>
      <c r="N1040" s="14">
        <v>0</v>
      </c>
      <c r="O1040" s="14" t="b">
        <v>1</v>
      </c>
      <c r="Q1040" s="14" t="b">
        <v>0</v>
      </c>
      <c r="R1040" s="14">
        <v>1</v>
      </c>
      <c r="S1040" s="14" t="s">
        <v>77</v>
      </c>
      <c r="T1040" s="14">
        <v>999</v>
      </c>
      <c r="U1040" s="14" t="s">
        <v>214</v>
      </c>
      <c r="V1040" s="14">
        <v>31657001</v>
      </c>
      <c r="X1040" s="14" t="s">
        <v>204</v>
      </c>
      <c r="Y1040" s="14" t="s">
        <v>215</v>
      </c>
      <c r="Z1040" s="14">
        <v>20001</v>
      </c>
      <c r="AA1040" s="14" t="s">
        <v>205</v>
      </c>
      <c r="AB1040" s="14">
        <v>40001</v>
      </c>
      <c r="AE1040" s="29" t="s">
        <v>121</v>
      </c>
      <c r="AF1040" s="14" t="s">
        <v>213</v>
      </c>
      <c r="AG1040" s="14" t="s">
        <v>101</v>
      </c>
    </row>
    <row r="1041" spans="2:33">
      <c r="B1041" s="14">
        <f>10000000+INDEX(编号表!$B:$B,MATCH(H1041,编号表!$A:$A,0))*100000+INDEX(编号表!$F:$F,MATCH(D1041,编号表!$E:$E,0))*10000+INDEX(编号表!$D:$D,MATCH(AG1041,编号表!$C:$C,0))*1000+F1041</f>
        <v>11657002</v>
      </c>
      <c r="C1041" s="14" t="s">
        <v>1201</v>
      </c>
      <c r="D1041" s="14" t="s">
        <v>333</v>
      </c>
      <c r="E1041" s="14" t="s">
        <v>101</v>
      </c>
      <c r="F1041" s="14">
        <v>2</v>
      </c>
      <c r="G1041" s="14">
        <v>60</v>
      </c>
      <c r="H1041" s="31" t="s">
        <v>244</v>
      </c>
      <c r="I1041" s="14" t="s">
        <v>75</v>
      </c>
      <c r="J1041" s="14" t="s">
        <v>201</v>
      </c>
      <c r="K1041" s="14">
        <v>1</v>
      </c>
      <c r="L1041" s="14" t="s">
        <v>213</v>
      </c>
      <c r="N1041" s="14">
        <v>0</v>
      </c>
      <c r="O1041" s="14" t="b">
        <v>1</v>
      </c>
      <c r="Q1041" s="14" t="b">
        <v>0</v>
      </c>
      <c r="R1041" s="14">
        <v>1</v>
      </c>
      <c r="S1041" s="14" t="s">
        <v>77</v>
      </c>
      <c r="T1041" s="14">
        <v>999</v>
      </c>
      <c r="U1041" s="14" t="s">
        <v>214</v>
      </c>
      <c r="V1041" s="14">
        <v>31657002</v>
      </c>
      <c r="X1041" s="14" t="s">
        <v>204</v>
      </c>
      <c r="Y1041" s="14" t="s">
        <v>215</v>
      </c>
      <c r="Z1041" s="14">
        <v>20001</v>
      </c>
      <c r="AA1041" s="14" t="s">
        <v>205</v>
      </c>
      <c r="AB1041" s="14">
        <v>40001</v>
      </c>
      <c r="AE1041" s="29" t="s">
        <v>121</v>
      </c>
      <c r="AF1041" s="14" t="s">
        <v>213</v>
      </c>
      <c r="AG1041" s="14" t="s">
        <v>101</v>
      </c>
    </row>
    <row r="1042" spans="2:33">
      <c r="B1042" s="14">
        <f>10000000+INDEX(编号表!$B:$B,MATCH(H1042,编号表!$A:$A,0))*100000+INDEX(编号表!$F:$F,MATCH(D1042,编号表!$E:$E,0))*10000+INDEX(编号表!$D:$D,MATCH(AG1042,编号表!$C:$C,0))*1000+F1042</f>
        <v>11267000</v>
      </c>
      <c r="C1042" s="14" t="s">
        <v>1202</v>
      </c>
      <c r="D1042" s="14" t="s">
        <v>362</v>
      </c>
      <c r="E1042" s="14" t="s">
        <v>101</v>
      </c>
      <c r="F1042" s="14">
        <v>0</v>
      </c>
      <c r="G1042" s="14">
        <v>60</v>
      </c>
      <c r="H1042" s="31" t="s">
        <v>212</v>
      </c>
      <c r="I1042" s="14" t="s">
        <v>75</v>
      </c>
      <c r="J1042" s="14" t="s">
        <v>201</v>
      </c>
      <c r="K1042" s="14">
        <v>1</v>
      </c>
      <c r="L1042" s="14" t="s">
        <v>213</v>
      </c>
      <c r="N1042" s="14">
        <v>0</v>
      </c>
      <c r="O1042" s="14" t="b">
        <v>1</v>
      </c>
      <c r="Q1042" s="14" t="b">
        <v>0</v>
      </c>
      <c r="R1042" s="14">
        <v>1</v>
      </c>
      <c r="S1042" s="14" t="s">
        <v>77</v>
      </c>
      <c r="T1042" s="14">
        <v>999</v>
      </c>
      <c r="U1042" s="14" t="s">
        <v>214</v>
      </c>
      <c r="V1042" s="14">
        <v>31267000</v>
      </c>
      <c r="X1042" s="14" t="s">
        <v>204</v>
      </c>
      <c r="Y1042" s="14" t="s">
        <v>215</v>
      </c>
      <c r="Z1042" s="14">
        <v>20001</v>
      </c>
      <c r="AA1042" s="14" t="s">
        <v>205</v>
      </c>
      <c r="AB1042" s="14">
        <v>40001</v>
      </c>
      <c r="AE1042" s="29" t="s">
        <v>121</v>
      </c>
      <c r="AF1042" s="14" t="s">
        <v>213</v>
      </c>
      <c r="AG1042" s="14" t="s">
        <v>101</v>
      </c>
    </row>
    <row r="1043" spans="2:33">
      <c r="B1043" s="14">
        <f>10000000+INDEX(编号表!$B:$B,MATCH(H1043,编号表!$A:$A,0))*100000+INDEX(编号表!$F:$F,MATCH(D1043,编号表!$E:$E,0))*10000+INDEX(编号表!$D:$D,MATCH(AG1043,编号表!$C:$C,0))*1000+F1043</f>
        <v>11367000</v>
      </c>
      <c r="C1043" s="14" t="s">
        <v>1203</v>
      </c>
      <c r="D1043" s="14" t="s">
        <v>362</v>
      </c>
      <c r="E1043" s="14" t="s">
        <v>101</v>
      </c>
      <c r="F1043" s="14">
        <v>0</v>
      </c>
      <c r="G1043" s="14">
        <v>60</v>
      </c>
      <c r="H1043" s="31" t="s">
        <v>217</v>
      </c>
      <c r="I1043" s="14" t="s">
        <v>75</v>
      </c>
      <c r="J1043" s="14" t="s">
        <v>201</v>
      </c>
      <c r="K1043" s="14">
        <v>1</v>
      </c>
      <c r="L1043" s="14" t="s">
        <v>213</v>
      </c>
      <c r="N1043" s="14">
        <v>0</v>
      </c>
      <c r="O1043" s="14" t="b">
        <v>1</v>
      </c>
      <c r="Q1043" s="14" t="b">
        <v>0</v>
      </c>
      <c r="R1043" s="14">
        <v>1</v>
      </c>
      <c r="S1043" s="14" t="s">
        <v>77</v>
      </c>
      <c r="T1043" s="14">
        <v>999</v>
      </c>
      <c r="U1043" s="14" t="s">
        <v>214</v>
      </c>
      <c r="V1043" s="14">
        <v>31367000</v>
      </c>
      <c r="X1043" s="14" t="s">
        <v>204</v>
      </c>
      <c r="Y1043" s="14" t="s">
        <v>215</v>
      </c>
      <c r="Z1043" s="14">
        <v>20001</v>
      </c>
      <c r="AA1043" s="14" t="s">
        <v>205</v>
      </c>
      <c r="AB1043" s="14">
        <v>40001</v>
      </c>
      <c r="AE1043" s="29" t="s">
        <v>121</v>
      </c>
      <c r="AF1043" s="14" t="s">
        <v>213</v>
      </c>
      <c r="AG1043" s="14" t="s">
        <v>101</v>
      </c>
    </row>
    <row r="1044" spans="2:33">
      <c r="B1044" s="14">
        <f>10000000+INDEX(编号表!$B:$B,MATCH(H1044,编号表!$A:$A,0))*100000+INDEX(编号表!$F:$F,MATCH(D1044,编号表!$E:$E,0))*10000+INDEX(编号表!$D:$D,MATCH(AG1044,编号表!$C:$C,0))*1000+F1044</f>
        <v>11367001</v>
      </c>
      <c r="C1044" s="14" t="s">
        <v>1204</v>
      </c>
      <c r="D1044" s="14" t="s">
        <v>362</v>
      </c>
      <c r="E1044" s="14" t="s">
        <v>101</v>
      </c>
      <c r="F1044" s="14">
        <v>1</v>
      </c>
      <c r="G1044" s="14">
        <v>60</v>
      </c>
      <c r="H1044" s="31" t="s">
        <v>217</v>
      </c>
      <c r="I1044" s="14" t="s">
        <v>75</v>
      </c>
      <c r="J1044" s="14" t="s">
        <v>201</v>
      </c>
      <c r="K1044" s="14">
        <v>1</v>
      </c>
      <c r="L1044" s="14" t="s">
        <v>213</v>
      </c>
      <c r="N1044" s="14">
        <v>0</v>
      </c>
      <c r="O1044" s="14" t="b">
        <v>1</v>
      </c>
      <c r="Q1044" s="14" t="b">
        <v>0</v>
      </c>
      <c r="R1044" s="14">
        <v>1</v>
      </c>
      <c r="S1044" s="14" t="s">
        <v>77</v>
      </c>
      <c r="T1044" s="14">
        <v>999</v>
      </c>
      <c r="U1044" s="14" t="s">
        <v>214</v>
      </c>
      <c r="V1044" s="14">
        <v>31367001</v>
      </c>
      <c r="X1044" s="14" t="s">
        <v>204</v>
      </c>
      <c r="Y1044" s="14" t="s">
        <v>215</v>
      </c>
      <c r="Z1044" s="14">
        <v>20001</v>
      </c>
      <c r="AA1044" s="14" t="s">
        <v>205</v>
      </c>
      <c r="AB1044" s="14">
        <v>40001</v>
      </c>
      <c r="AE1044" s="29" t="s">
        <v>121</v>
      </c>
      <c r="AF1044" s="14" t="s">
        <v>213</v>
      </c>
      <c r="AG1044" s="14" t="s">
        <v>101</v>
      </c>
    </row>
    <row r="1045" spans="2:33">
      <c r="B1045" s="14">
        <f>10000000+INDEX(编号表!$B:$B,MATCH(H1045,编号表!$A:$A,0))*100000+INDEX(编号表!$F:$F,MATCH(D1045,编号表!$E:$E,0))*10000+INDEX(编号表!$D:$D,MATCH(AG1045,编号表!$C:$C,0))*1000+F1045</f>
        <v>11367002</v>
      </c>
      <c r="C1045" s="14" t="s">
        <v>1205</v>
      </c>
      <c r="D1045" s="14" t="s">
        <v>362</v>
      </c>
      <c r="E1045" s="14" t="s">
        <v>101</v>
      </c>
      <c r="F1045" s="14">
        <v>2</v>
      </c>
      <c r="G1045" s="14">
        <v>60</v>
      </c>
      <c r="H1045" s="31" t="s">
        <v>217</v>
      </c>
      <c r="I1045" s="14" t="s">
        <v>75</v>
      </c>
      <c r="J1045" s="14" t="s">
        <v>201</v>
      </c>
      <c r="K1045" s="14">
        <v>1</v>
      </c>
      <c r="L1045" s="14" t="s">
        <v>213</v>
      </c>
      <c r="N1045" s="14">
        <v>0</v>
      </c>
      <c r="O1045" s="14" t="b">
        <v>1</v>
      </c>
      <c r="Q1045" s="14" t="b">
        <v>0</v>
      </c>
      <c r="R1045" s="14">
        <v>1</v>
      </c>
      <c r="S1045" s="14" t="s">
        <v>77</v>
      </c>
      <c r="T1045" s="14">
        <v>999</v>
      </c>
      <c r="U1045" s="14" t="s">
        <v>214</v>
      </c>
      <c r="V1045" s="14">
        <v>31367002</v>
      </c>
      <c r="X1045" s="14" t="s">
        <v>204</v>
      </c>
      <c r="Y1045" s="14" t="s">
        <v>215</v>
      </c>
      <c r="Z1045" s="14">
        <v>20001</v>
      </c>
      <c r="AA1045" s="14" t="s">
        <v>205</v>
      </c>
      <c r="AB1045" s="14">
        <v>40001</v>
      </c>
      <c r="AE1045" s="29" t="s">
        <v>121</v>
      </c>
      <c r="AF1045" s="14" t="s">
        <v>213</v>
      </c>
      <c r="AG1045" s="14" t="s">
        <v>101</v>
      </c>
    </row>
    <row r="1046" spans="2:33">
      <c r="B1046" s="14">
        <f>10000000+INDEX(编号表!$B:$B,MATCH(H1046,编号表!$A:$A,0))*100000+INDEX(编号表!$F:$F,MATCH(D1046,编号表!$E:$E,0))*10000+INDEX(编号表!$D:$D,MATCH(AG1046,编号表!$C:$C,0))*1000+F1046</f>
        <v>11367003</v>
      </c>
      <c r="C1046" s="14" t="s">
        <v>1206</v>
      </c>
      <c r="D1046" s="14" t="s">
        <v>362</v>
      </c>
      <c r="E1046" s="14" t="s">
        <v>101</v>
      </c>
      <c r="F1046" s="14">
        <v>3</v>
      </c>
      <c r="G1046" s="14">
        <v>60</v>
      </c>
      <c r="H1046" s="31" t="s">
        <v>217</v>
      </c>
      <c r="I1046" s="14" t="s">
        <v>75</v>
      </c>
      <c r="J1046" s="14" t="s">
        <v>201</v>
      </c>
      <c r="K1046" s="14">
        <v>1</v>
      </c>
      <c r="L1046" s="14" t="s">
        <v>213</v>
      </c>
      <c r="N1046" s="14">
        <v>0</v>
      </c>
      <c r="O1046" s="14" t="b">
        <v>1</v>
      </c>
      <c r="Q1046" s="14" t="b">
        <v>0</v>
      </c>
      <c r="R1046" s="14">
        <v>1</v>
      </c>
      <c r="S1046" s="14" t="s">
        <v>77</v>
      </c>
      <c r="T1046" s="14">
        <v>999</v>
      </c>
      <c r="U1046" s="14" t="s">
        <v>214</v>
      </c>
      <c r="V1046" s="14">
        <v>31367003</v>
      </c>
      <c r="X1046" s="14" t="s">
        <v>204</v>
      </c>
      <c r="Y1046" s="14" t="s">
        <v>215</v>
      </c>
      <c r="Z1046" s="14">
        <v>20001</v>
      </c>
      <c r="AA1046" s="14" t="s">
        <v>205</v>
      </c>
      <c r="AB1046" s="14">
        <v>40001</v>
      </c>
      <c r="AE1046" s="29" t="s">
        <v>121</v>
      </c>
      <c r="AF1046" s="14" t="s">
        <v>213</v>
      </c>
      <c r="AG1046" s="14" t="s">
        <v>101</v>
      </c>
    </row>
    <row r="1047" spans="2:33">
      <c r="B1047" s="14">
        <f>10000000+INDEX(编号表!$B:$B,MATCH(H1047,编号表!$A:$A,0))*100000+INDEX(编号表!$F:$F,MATCH(D1047,编号表!$E:$E,0))*10000+INDEX(编号表!$D:$D,MATCH(AG1047,编号表!$C:$C,0))*1000+F1047</f>
        <v>11367004</v>
      </c>
      <c r="C1047" s="14" t="s">
        <v>1207</v>
      </c>
      <c r="D1047" s="14" t="s">
        <v>362</v>
      </c>
      <c r="E1047" s="14" t="s">
        <v>101</v>
      </c>
      <c r="F1047" s="14">
        <v>4</v>
      </c>
      <c r="G1047" s="14">
        <v>60</v>
      </c>
      <c r="H1047" s="31" t="s">
        <v>217</v>
      </c>
      <c r="I1047" s="14" t="s">
        <v>75</v>
      </c>
      <c r="J1047" s="14" t="s">
        <v>201</v>
      </c>
      <c r="K1047" s="14">
        <v>1</v>
      </c>
      <c r="L1047" s="14" t="s">
        <v>213</v>
      </c>
      <c r="N1047" s="14">
        <v>0</v>
      </c>
      <c r="O1047" s="14" t="b">
        <v>1</v>
      </c>
      <c r="Q1047" s="14" t="b">
        <v>0</v>
      </c>
      <c r="R1047" s="14">
        <v>1</v>
      </c>
      <c r="S1047" s="14" t="s">
        <v>77</v>
      </c>
      <c r="T1047" s="14">
        <v>999</v>
      </c>
      <c r="U1047" s="14" t="s">
        <v>214</v>
      </c>
      <c r="V1047" s="14">
        <v>31367004</v>
      </c>
      <c r="X1047" s="14" t="s">
        <v>204</v>
      </c>
      <c r="Y1047" s="14" t="s">
        <v>215</v>
      </c>
      <c r="Z1047" s="14">
        <v>20001</v>
      </c>
      <c r="AA1047" s="14" t="s">
        <v>205</v>
      </c>
      <c r="AB1047" s="14">
        <v>40001</v>
      </c>
      <c r="AE1047" s="29" t="s">
        <v>121</v>
      </c>
      <c r="AF1047" s="14" t="s">
        <v>213</v>
      </c>
      <c r="AG1047" s="14" t="s">
        <v>101</v>
      </c>
    </row>
    <row r="1048" spans="2:33">
      <c r="B1048" s="14">
        <f>10000000+INDEX(编号表!$B:$B,MATCH(H1048,编号表!$A:$A,0))*100000+INDEX(编号表!$F:$F,MATCH(D1048,编号表!$E:$E,0))*10000+INDEX(编号表!$D:$D,MATCH(AG1048,编号表!$C:$C,0))*1000+F1048</f>
        <v>11367005</v>
      </c>
      <c r="C1048" s="14" t="s">
        <v>1208</v>
      </c>
      <c r="D1048" s="14" t="s">
        <v>362</v>
      </c>
      <c r="E1048" s="14" t="s">
        <v>101</v>
      </c>
      <c r="F1048" s="14">
        <v>5</v>
      </c>
      <c r="G1048" s="14">
        <v>60</v>
      </c>
      <c r="H1048" s="31" t="s">
        <v>217</v>
      </c>
      <c r="I1048" s="14" t="s">
        <v>75</v>
      </c>
      <c r="J1048" s="14" t="s">
        <v>201</v>
      </c>
      <c r="K1048" s="14">
        <v>1</v>
      </c>
      <c r="L1048" s="14" t="s">
        <v>213</v>
      </c>
      <c r="N1048" s="14">
        <v>0</v>
      </c>
      <c r="O1048" s="14" t="b">
        <v>1</v>
      </c>
      <c r="Q1048" s="14" t="b">
        <v>0</v>
      </c>
      <c r="R1048" s="14">
        <v>1</v>
      </c>
      <c r="S1048" s="14" t="s">
        <v>77</v>
      </c>
      <c r="T1048" s="14">
        <v>999</v>
      </c>
      <c r="U1048" s="14" t="s">
        <v>214</v>
      </c>
      <c r="V1048" s="14">
        <v>31367005</v>
      </c>
      <c r="X1048" s="14" t="s">
        <v>204</v>
      </c>
      <c r="Y1048" s="14" t="s">
        <v>215</v>
      </c>
      <c r="Z1048" s="14">
        <v>20001</v>
      </c>
      <c r="AA1048" s="14" t="s">
        <v>205</v>
      </c>
      <c r="AB1048" s="14">
        <v>40001</v>
      </c>
      <c r="AE1048" s="29" t="s">
        <v>121</v>
      </c>
      <c r="AF1048" s="14" t="s">
        <v>213</v>
      </c>
      <c r="AG1048" s="14" t="s">
        <v>101</v>
      </c>
    </row>
    <row r="1049" spans="2:33">
      <c r="B1049" s="14">
        <f>10000000+INDEX(编号表!$B:$B,MATCH(H1049,编号表!$A:$A,0))*100000+INDEX(编号表!$F:$F,MATCH(D1049,编号表!$E:$E,0))*10000+INDEX(编号表!$D:$D,MATCH(AG1049,编号表!$C:$C,0))*1000+F1049</f>
        <v>11367006</v>
      </c>
      <c r="C1049" s="14" t="s">
        <v>1209</v>
      </c>
      <c r="D1049" s="14" t="s">
        <v>362</v>
      </c>
      <c r="E1049" s="14" t="s">
        <v>101</v>
      </c>
      <c r="F1049" s="14">
        <v>6</v>
      </c>
      <c r="G1049" s="14">
        <v>60</v>
      </c>
      <c r="H1049" s="31" t="s">
        <v>217</v>
      </c>
      <c r="I1049" s="14" t="s">
        <v>75</v>
      </c>
      <c r="J1049" s="14" t="s">
        <v>201</v>
      </c>
      <c r="K1049" s="14">
        <v>1</v>
      </c>
      <c r="L1049" s="14" t="s">
        <v>213</v>
      </c>
      <c r="N1049" s="14">
        <v>0</v>
      </c>
      <c r="O1049" s="14" t="b">
        <v>1</v>
      </c>
      <c r="Q1049" s="14" t="b">
        <v>0</v>
      </c>
      <c r="R1049" s="14">
        <v>1</v>
      </c>
      <c r="S1049" s="14" t="s">
        <v>77</v>
      </c>
      <c r="T1049" s="14">
        <v>999</v>
      </c>
      <c r="U1049" s="14" t="s">
        <v>214</v>
      </c>
      <c r="V1049" s="14">
        <v>31367006</v>
      </c>
      <c r="X1049" s="14" t="s">
        <v>204</v>
      </c>
      <c r="Y1049" s="14" t="s">
        <v>215</v>
      </c>
      <c r="Z1049" s="14">
        <v>20001</v>
      </c>
      <c r="AA1049" s="14" t="s">
        <v>205</v>
      </c>
      <c r="AB1049" s="14">
        <v>40001</v>
      </c>
      <c r="AE1049" s="29" t="s">
        <v>121</v>
      </c>
      <c r="AF1049" s="14" t="s">
        <v>213</v>
      </c>
      <c r="AG1049" s="14" t="s">
        <v>101</v>
      </c>
    </row>
    <row r="1050" spans="2:33">
      <c r="B1050" s="14">
        <f>10000000+INDEX(编号表!$B:$B,MATCH(H1050,编号表!$A:$A,0))*100000+INDEX(编号表!$F:$F,MATCH(D1050,编号表!$E:$E,0))*10000+INDEX(编号表!$D:$D,MATCH(AG1050,编号表!$C:$C,0))*1000+F1050</f>
        <v>11367007</v>
      </c>
      <c r="C1050" s="14" t="s">
        <v>1210</v>
      </c>
      <c r="D1050" s="14" t="s">
        <v>362</v>
      </c>
      <c r="E1050" s="14" t="s">
        <v>101</v>
      </c>
      <c r="F1050" s="14">
        <v>7</v>
      </c>
      <c r="G1050" s="14">
        <v>60</v>
      </c>
      <c r="H1050" s="31" t="s">
        <v>217</v>
      </c>
      <c r="I1050" s="14" t="s">
        <v>75</v>
      </c>
      <c r="J1050" s="14" t="s">
        <v>201</v>
      </c>
      <c r="K1050" s="14">
        <v>1</v>
      </c>
      <c r="L1050" s="14" t="s">
        <v>213</v>
      </c>
      <c r="N1050" s="14">
        <v>0</v>
      </c>
      <c r="O1050" s="14" t="b">
        <v>1</v>
      </c>
      <c r="Q1050" s="14" t="b">
        <v>0</v>
      </c>
      <c r="R1050" s="14">
        <v>1</v>
      </c>
      <c r="S1050" s="14" t="s">
        <v>77</v>
      </c>
      <c r="T1050" s="14">
        <v>999</v>
      </c>
      <c r="U1050" s="14" t="s">
        <v>214</v>
      </c>
      <c r="V1050" s="14">
        <v>31367007</v>
      </c>
      <c r="X1050" s="14" t="s">
        <v>204</v>
      </c>
      <c r="Y1050" s="14" t="s">
        <v>215</v>
      </c>
      <c r="Z1050" s="14">
        <v>20001</v>
      </c>
      <c r="AA1050" s="14" t="s">
        <v>205</v>
      </c>
      <c r="AB1050" s="14">
        <v>40001</v>
      </c>
      <c r="AE1050" s="29" t="s">
        <v>121</v>
      </c>
      <c r="AF1050" s="14" t="s">
        <v>213</v>
      </c>
      <c r="AG1050" s="14" t="s">
        <v>101</v>
      </c>
    </row>
    <row r="1051" spans="2:33">
      <c r="B1051" s="14">
        <f>10000000+INDEX(编号表!$B:$B,MATCH(H1051,编号表!$A:$A,0))*100000+INDEX(编号表!$F:$F,MATCH(D1051,编号表!$E:$E,0))*10000+INDEX(编号表!$D:$D,MATCH(AG1051,编号表!$C:$C,0))*1000+F1051</f>
        <v>11367008</v>
      </c>
      <c r="C1051" s="14" t="s">
        <v>1211</v>
      </c>
      <c r="D1051" s="14" t="s">
        <v>362</v>
      </c>
      <c r="E1051" s="14" t="s">
        <v>101</v>
      </c>
      <c r="F1051" s="14">
        <v>8</v>
      </c>
      <c r="G1051" s="14">
        <v>60</v>
      </c>
      <c r="H1051" s="31" t="s">
        <v>217</v>
      </c>
      <c r="I1051" s="14" t="s">
        <v>75</v>
      </c>
      <c r="J1051" s="14" t="s">
        <v>201</v>
      </c>
      <c r="K1051" s="14">
        <v>1</v>
      </c>
      <c r="L1051" s="14" t="s">
        <v>213</v>
      </c>
      <c r="N1051" s="14">
        <v>0</v>
      </c>
      <c r="O1051" s="14" t="b">
        <v>1</v>
      </c>
      <c r="Q1051" s="14" t="b">
        <v>0</v>
      </c>
      <c r="R1051" s="14">
        <v>1</v>
      </c>
      <c r="S1051" s="14" t="s">
        <v>77</v>
      </c>
      <c r="T1051" s="14">
        <v>999</v>
      </c>
      <c r="U1051" s="14" t="s">
        <v>214</v>
      </c>
      <c r="V1051" s="14">
        <v>31367008</v>
      </c>
      <c r="X1051" s="14" t="s">
        <v>204</v>
      </c>
      <c r="Y1051" s="14" t="s">
        <v>215</v>
      </c>
      <c r="Z1051" s="14">
        <v>20001</v>
      </c>
      <c r="AA1051" s="14" t="s">
        <v>205</v>
      </c>
      <c r="AB1051" s="14">
        <v>40001</v>
      </c>
      <c r="AE1051" s="29" t="s">
        <v>121</v>
      </c>
      <c r="AF1051" s="14" t="s">
        <v>213</v>
      </c>
      <c r="AG1051" s="14" t="s">
        <v>101</v>
      </c>
    </row>
    <row r="1052" spans="2:33">
      <c r="B1052" s="14">
        <f>10000000+INDEX(编号表!$B:$B,MATCH(H1052,编号表!$A:$A,0))*100000+INDEX(编号表!$F:$F,MATCH(D1052,编号表!$E:$E,0))*10000+INDEX(编号表!$D:$D,MATCH(AG1052,编号表!$C:$C,0))*1000+F1052</f>
        <v>11367009</v>
      </c>
      <c r="C1052" s="14" t="s">
        <v>1212</v>
      </c>
      <c r="D1052" s="14" t="s">
        <v>362</v>
      </c>
      <c r="E1052" s="14" t="s">
        <v>101</v>
      </c>
      <c r="F1052" s="14">
        <v>9</v>
      </c>
      <c r="G1052" s="14">
        <v>60</v>
      </c>
      <c r="H1052" s="31" t="s">
        <v>217</v>
      </c>
      <c r="I1052" s="14" t="s">
        <v>75</v>
      </c>
      <c r="J1052" s="14" t="s">
        <v>201</v>
      </c>
      <c r="K1052" s="14">
        <v>1</v>
      </c>
      <c r="L1052" s="14" t="s">
        <v>213</v>
      </c>
      <c r="N1052" s="14">
        <v>0</v>
      </c>
      <c r="O1052" s="14" t="b">
        <v>1</v>
      </c>
      <c r="Q1052" s="14" t="b">
        <v>0</v>
      </c>
      <c r="R1052" s="14">
        <v>1</v>
      </c>
      <c r="S1052" s="14" t="s">
        <v>77</v>
      </c>
      <c r="T1052" s="14">
        <v>999</v>
      </c>
      <c r="U1052" s="14" t="s">
        <v>214</v>
      </c>
      <c r="V1052" s="14">
        <v>31367009</v>
      </c>
      <c r="X1052" s="14" t="s">
        <v>204</v>
      </c>
      <c r="Y1052" s="14" t="s">
        <v>215</v>
      </c>
      <c r="Z1052" s="14">
        <v>20001</v>
      </c>
      <c r="AA1052" s="14" t="s">
        <v>205</v>
      </c>
      <c r="AB1052" s="14">
        <v>40001</v>
      </c>
      <c r="AE1052" s="29" t="s">
        <v>121</v>
      </c>
      <c r="AF1052" s="14" t="s">
        <v>213</v>
      </c>
      <c r="AG1052" s="14" t="s">
        <v>101</v>
      </c>
    </row>
    <row r="1053" spans="2:33">
      <c r="B1053" s="14">
        <f>10000000+INDEX(编号表!$B:$B,MATCH(H1053,编号表!$A:$A,0))*100000+INDEX(编号表!$F:$F,MATCH(D1053,编号表!$E:$E,0))*10000+INDEX(编号表!$D:$D,MATCH(AG1053,编号表!$C:$C,0))*1000+F1053</f>
        <v>11567000</v>
      </c>
      <c r="C1053" s="14" t="s">
        <v>1213</v>
      </c>
      <c r="D1053" s="14" t="s">
        <v>362</v>
      </c>
      <c r="E1053" s="14" t="s">
        <v>101</v>
      </c>
      <c r="F1053" s="14">
        <v>0</v>
      </c>
      <c r="G1053" s="14">
        <v>60</v>
      </c>
      <c r="H1053" s="31" t="s">
        <v>228</v>
      </c>
      <c r="I1053" s="14" t="s">
        <v>75</v>
      </c>
      <c r="J1053" s="14" t="s">
        <v>201</v>
      </c>
      <c r="K1053" s="14">
        <v>1</v>
      </c>
      <c r="L1053" s="14" t="s">
        <v>213</v>
      </c>
      <c r="N1053" s="14">
        <v>0</v>
      </c>
      <c r="O1053" s="14" t="b">
        <v>1</v>
      </c>
      <c r="Q1053" s="14" t="b">
        <v>0</v>
      </c>
      <c r="R1053" s="14">
        <v>1</v>
      </c>
      <c r="S1053" s="14" t="s">
        <v>77</v>
      </c>
      <c r="T1053" s="14">
        <v>999</v>
      </c>
      <c r="U1053" s="14" t="s">
        <v>214</v>
      </c>
      <c r="V1053" s="14">
        <v>31567000</v>
      </c>
      <c r="X1053" s="14" t="s">
        <v>204</v>
      </c>
      <c r="Y1053" s="14" t="s">
        <v>215</v>
      </c>
      <c r="Z1053" s="14">
        <v>20001</v>
      </c>
      <c r="AA1053" s="14" t="s">
        <v>205</v>
      </c>
      <c r="AB1053" s="14">
        <v>40001</v>
      </c>
      <c r="AE1053" s="29" t="s">
        <v>121</v>
      </c>
      <c r="AF1053" s="14" t="s">
        <v>213</v>
      </c>
      <c r="AG1053" s="14" t="s">
        <v>101</v>
      </c>
    </row>
    <row r="1054" spans="2:33">
      <c r="B1054" s="14">
        <f>10000000+INDEX(编号表!$B:$B,MATCH(H1054,编号表!$A:$A,0))*100000+INDEX(编号表!$F:$F,MATCH(D1054,编号表!$E:$E,0))*10000+INDEX(编号表!$D:$D,MATCH(AG1054,编号表!$C:$C,0))*1000+F1054</f>
        <v>11567001</v>
      </c>
      <c r="C1054" s="14" t="s">
        <v>1214</v>
      </c>
      <c r="D1054" s="14" t="s">
        <v>362</v>
      </c>
      <c r="E1054" s="14" t="s">
        <v>101</v>
      </c>
      <c r="F1054" s="14">
        <v>1</v>
      </c>
      <c r="G1054" s="14">
        <v>60</v>
      </c>
      <c r="H1054" s="31" t="s">
        <v>228</v>
      </c>
      <c r="I1054" s="14" t="s">
        <v>75</v>
      </c>
      <c r="J1054" s="14" t="s">
        <v>201</v>
      </c>
      <c r="K1054" s="14">
        <v>1</v>
      </c>
      <c r="L1054" s="14" t="s">
        <v>213</v>
      </c>
      <c r="N1054" s="14">
        <v>0</v>
      </c>
      <c r="O1054" s="14" t="b">
        <v>1</v>
      </c>
      <c r="Q1054" s="14" t="b">
        <v>0</v>
      </c>
      <c r="R1054" s="14">
        <v>1</v>
      </c>
      <c r="S1054" s="14" t="s">
        <v>77</v>
      </c>
      <c r="T1054" s="14">
        <v>999</v>
      </c>
      <c r="U1054" s="14" t="s">
        <v>214</v>
      </c>
      <c r="V1054" s="14">
        <v>31567001</v>
      </c>
      <c r="X1054" s="14" t="s">
        <v>204</v>
      </c>
      <c r="Y1054" s="14" t="s">
        <v>215</v>
      </c>
      <c r="Z1054" s="14">
        <v>20001</v>
      </c>
      <c r="AA1054" s="14" t="s">
        <v>205</v>
      </c>
      <c r="AB1054" s="14">
        <v>40001</v>
      </c>
      <c r="AE1054" s="29" t="s">
        <v>121</v>
      </c>
      <c r="AF1054" s="14" t="s">
        <v>213</v>
      </c>
      <c r="AG1054" s="14" t="s">
        <v>101</v>
      </c>
    </row>
    <row r="1055" spans="2:33">
      <c r="B1055" s="14">
        <f>10000000+INDEX(编号表!$B:$B,MATCH(H1055,编号表!$A:$A,0))*100000+INDEX(编号表!$F:$F,MATCH(D1055,编号表!$E:$E,0))*10000+INDEX(编号表!$D:$D,MATCH(AG1055,编号表!$C:$C,0))*1000+F1055</f>
        <v>11567002</v>
      </c>
      <c r="C1055" s="14" t="s">
        <v>1215</v>
      </c>
      <c r="D1055" s="14" t="s">
        <v>362</v>
      </c>
      <c r="E1055" s="14" t="s">
        <v>101</v>
      </c>
      <c r="F1055" s="14">
        <v>2</v>
      </c>
      <c r="G1055" s="14">
        <v>60</v>
      </c>
      <c r="H1055" s="31" t="s">
        <v>228</v>
      </c>
      <c r="I1055" s="14" t="s">
        <v>75</v>
      </c>
      <c r="J1055" s="14" t="s">
        <v>201</v>
      </c>
      <c r="K1055" s="14">
        <v>1</v>
      </c>
      <c r="L1055" s="14" t="s">
        <v>213</v>
      </c>
      <c r="N1055" s="14">
        <v>0</v>
      </c>
      <c r="O1055" s="14" t="b">
        <v>1</v>
      </c>
      <c r="Q1055" s="14" t="b">
        <v>0</v>
      </c>
      <c r="R1055" s="14">
        <v>1</v>
      </c>
      <c r="S1055" s="14" t="s">
        <v>77</v>
      </c>
      <c r="T1055" s="14">
        <v>999</v>
      </c>
      <c r="U1055" s="14" t="s">
        <v>214</v>
      </c>
      <c r="V1055" s="14">
        <v>31567002</v>
      </c>
      <c r="X1055" s="14" t="s">
        <v>204</v>
      </c>
      <c r="Y1055" s="14" t="s">
        <v>215</v>
      </c>
      <c r="Z1055" s="14">
        <v>20001</v>
      </c>
      <c r="AA1055" s="14" t="s">
        <v>205</v>
      </c>
      <c r="AB1055" s="14">
        <v>40001</v>
      </c>
      <c r="AE1055" s="29" t="s">
        <v>121</v>
      </c>
      <c r="AF1055" s="14" t="s">
        <v>213</v>
      </c>
      <c r="AG1055" s="14" t="s">
        <v>101</v>
      </c>
    </row>
    <row r="1056" spans="2:33">
      <c r="B1056" s="14">
        <f>10000000+INDEX(编号表!$B:$B,MATCH(H1056,编号表!$A:$A,0))*100000+INDEX(编号表!$F:$F,MATCH(D1056,编号表!$E:$E,0))*10000+INDEX(编号表!$D:$D,MATCH(AG1056,编号表!$C:$C,0))*1000+F1056</f>
        <v>11567003</v>
      </c>
      <c r="C1056" s="14" t="s">
        <v>1216</v>
      </c>
      <c r="D1056" s="14" t="s">
        <v>362</v>
      </c>
      <c r="E1056" s="14" t="s">
        <v>101</v>
      </c>
      <c r="F1056" s="14">
        <v>3</v>
      </c>
      <c r="G1056" s="14">
        <v>60</v>
      </c>
      <c r="H1056" s="31" t="s">
        <v>228</v>
      </c>
      <c r="I1056" s="14" t="s">
        <v>75</v>
      </c>
      <c r="J1056" s="14" t="s">
        <v>201</v>
      </c>
      <c r="K1056" s="14">
        <v>1</v>
      </c>
      <c r="L1056" s="14" t="s">
        <v>213</v>
      </c>
      <c r="N1056" s="14">
        <v>0</v>
      </c>
      <c r="O1056" s="14" t="b">
        <v>1</v>
      </c>
      <c r="Q1056" s="14" t="b">
        <v>0</v>
      </c>
      <c r="R1056" s="14">
        <v>1</v>
      </c>
      <c r="S1056" s="14" t="s">
        <v>77</v>
      </c>
      <c r="T1056" s="14">
        <v>999</v>
      </c>
      <c r="U1056" s="14" t="s">
        <v>214</v>
      </c>
      <c r="V1056" s="14">
        <v>31567003</v>
      </c>
      <c r="X1056" s="14" t="s">
        <v>204</v>
      </c>
      <c r="Y1056" s="14" t="s">
        <v>215</v>
      </c>
      <c r="Z1056" s="14">
        <v>20001</v>
      </c>
      <c r="AA1056" s="14" t="s">
        <v>205</v>
      </c>
      <c r="AB1056" s="14">
        <v>40001</v>
      </c>
      <c r="AE1056" s="29" t="s">
        <v>121</v>
      </c>
      <c r="AF1056" s="14" t="s">
        <v>213</v>
      </c>
      <c r="AG1056" s="14" t="s">
        <v>101</v>
      </c>
    </row>
    <row r="1057" spans="2:33">
      <c r="B1057" s="14">
        <f>10000000+INDEX(编号表!$B:$B,MATCH(H1057,编号表!$A:$A,0))*100000+INDEX(编号表!$F:$F,MATCH(D1057,编号表!$E:$E,0))*10000+INDEX(编号表!$D:$D,MATCH(AG1057,编号表!$C:$C,0))*1000+F1057</f>
        <v>11567004</v>
      </c>
      <c r="C1057" s="14" t="s">
        <v>1217</v>
      </c>
      <c r="D1057" s="14" t="s">
        <v>362</v>
      </c>
      <c r="E1057" s="14" t="s">
        <v>101</v>
      </c>
      <c r="F1057" s="14">
        <v>4</v>
      </c>
      <c r="G1057" s="14">
        <v>60</v>
      </c>
      <c r="H1057" s="31" t="s">
        <v>228</v>
      </c>
      <c r="I1057" s="14" t="s">
        <v>75</v>
      </c>
      <c r="J1057" s="14" t="s">
        <v>201</v>
      </c>
      <c r="K1057" s="14">
        <v>1</v>
      </c>
      <c r="L1057" s="14" t="s">
        <v>213</v>
      </c>
      <c r="N1057" s="14">
        <v>0</v>
      </c>
      <c r="O1057" s="14" t="b">
        <v>1</v>
      </c>
      <c r="Q1057" s="14" t="b">
        <v>0</v>
      </c>
      <c r="R1057" s="14">
        <v>1</v>
      </c>
      <c r="S1057" s="14" t="s">
        <v>77</v>
      </c>
      <c r="T1057" s="14">
        <v>999</v>
      </c>
      <c r="U1057" s="14" t="s">
        <v>214</v>
      </c>
      <c r="V1057" s="14">
        <v>31567004</v>
      </c>
      <c r="X1057" s="14" t="s">
        <v>204</v>
      </c>
      <c r="Y1057" s="14" t="s">
        <v>215</v>
      </c>
      <c r="Z1057" s="14">
        <v>20001</v>
      </c>
      <c r="AA1057" s="14" t="s">
        <v>205</v>
      </c>
      <c r="AB1057" s="14">
        <v>40001</v>
      </c>
      <c r="AE1057" s="29" t="s">
        <v>121</v>
      </c>
      <c r="AF1057" s="14" t="s">
        <v>213</v>
      </c>
      <c r="AG1057" s="14" t="s">
        <v>101</v>
      </c>
    </row>
    <row r="1058" spans="2:33">
      <c r="B1058" s="14">
        <f>10000000+INDEX(编号表!$B:$B,MATCH(H1058,编号表!$A:$A,0))*100000+INDEX(编号表!$F:$F,MATCH(D1058,编号表!$E:$E,0))*10000+INDEX(编号表!$D:$D,MATCH(AG1058,编号表!$C:$C,0))*1000+F1058</f>
        <v>11567005</v>
      </c>
      <c r="C1058" s="14" t="s">
        <v>1218</v>
      </c>
      <c r="D1058" s="14" t="s">
        <v>362</v>
      </c>
      <c r="E1058" s="14" t="s">
        <v>101</v>
      </c>
      <c r="F1058" s="14">
        <v>5</v>
      </c>
      <c r="G1058" s="14">
        <v>60</v>
      </c>
      <c r="H1058" s="31" t="s">
        <v>228</v>
      </c>
      <c r="I1058" s="14" t="s">
        <v>75</v>
      </c>
      <c r="J1058" s="14" t="s">
        <v>201</v>
      </c>
      <c r="K1058" s="14">
        <v>1</v>
      </c>
      <c r="L1058" s="14" t="s">
        <v>213</v>
      </c>
      <c r="N1058" s="14">
        <v>0</v>
      </c>
      <c r="O1058" s="14" t="b">
        <v>1</v>
      </c>
      <c r="Q1058" s="14" t="b">
        <v>0</v>
      </c>
      <c r="R1058" s="14">
        <v>1</v>
      </c>
      <c r="S1058" s="14" t="s">
        <v>77</v>
      </c>
      <c r="T1058" s="14">
        <v>999</v>
      </c>
      <c r="U1058" s="14" t="s">
        <v>214</v>
      </c>
      <c r="V1058" s="14">
        <v>31567005</v>
      </c>
      <c r="X1058" s="14" t="s">
        <v>204</v>
      </c>
      <c r="Y1058" s="14" t="s">
        <v>215</v>
      </c>
      <c r="Z1058" s="14">
        <v>20001</v>
      </c>
      <c r="AA1058" s="14" t="s">
        <v>205</v>
      </c>
      <c r="AB1058" s="14">
        <v>40001</v>
      </c>
      <c r="AE1058" s="29" t="s">
        <v>121</v>
      </c>
      <c r="AF1058" s="14" t="s">
        <v>213</v>
      </c>
      <c r="AG1058" s="14" t="s">
        <v>101</v>
      </c>
    </row>
    <row r="1059" spans="2:33">
      <c r="B1059" s="14">
        <f>10000000+INDEX(编号表!$B:$B,MATCH(H1059,编号表!$A:$A,0))*100000+INDEX(编号表!$F:$F,MATCH(D1059,编号表!$E:$E,0))*10000+INDEX(编号表!$D:$D,MATCH(AG1059,编号表!$C:$C,0))*1000+F1059</f>
        <v>11567006</v>
      </c>
      <c r="C1059" s="14" t="s">
        <v>1219</v>
      </c>
      <c r="D1059" s="14" t="s">
        <v>362</v>
      </c>
      <c r="E1059" s="14" t="s">
        <v>101</v>
      </c>
      <c r="F1059" s="14">
        <v>6</v>
      </c>
      <c r="G1059" s="14">
        <v>60</v>
      </c>
      <c r="H1059" s="31" t="s">
        <v>228</v>
      </c>
      <c r="I1059" s="14" t="s">
        <v>75</v>
      </c>
      <c r="J1059" s="14" t="s">
        <v>201</v>
      </c>
      <c r="K1059" s="14">
        <v>1</v>
      </c>
      <c r="L1059" s="14" t="s">
        <v>213</v>
      </c>
      <c r="N1059" s="14">
        <v>0</v>
      </c>
      <c r="O1059" s="14" t="b">
        <v>1</v>
      </c>
      <c r="Q1059" s="14" t="b">
        <v>0</v>
      </c>
      <c r="R1059" s="14">
        <v>1</v>
      </c>
      <c r="S1059" s="14" t="s">
        <v>77</v>
      </c>
      <c r="T1059" s="14">
        <v>999</v>
      </c>
      <c r="U1059" s="14" t="s">
        <v>214</v>
      </c>
      <c r="V1059" s="14">
        <v>31567006</v>
      </c>
      <c r="X1059" s="14" t="s">
        <v>204</v>
      </c>
      <c r="Y1059" s="14" t="s">
        <v>215</v>
      </c>
      <c r="Z1059" s="14">
        <v>20001</v>
      </c>
      <c r="AA1059" s="14" t="s">
        <v>205</v>
      </c>
      <c r="AB1059" s="14">
        <v>40001</v>
      </c>
      <c r="AE1059" s="29" t="s">
        <v>121</v>
      </c>
      <c r="AF1059" s="14" t="s">
        <v>213</v>
      </c>
      <c r="AG1059" s="14" t="s">
        <v>101</v>
      </c>
    </row>
    <row r="1060" spans="2:33">
      <c r="B1060" s="14">
        <f>10000000+INDEX(编号表!$B:$B,MATCH(H1060,编号表!$A:$A,0))*100000+INDEX(编号表!$F:$F,MATCH(D1060,编号表!$E:$E,0))*10000+INDEX(编号表!$D:$D,MATCH(AG1060,编号表!$C:$C,0))*1000+F1060</f>
        <v>11567007</v>
      </c>
      <c r="C1060" s="14" t="s">
        <v>1220</v>
      </c>
      <c r="D1060" s="14" t="s">
        <v>362</v>
      </c>
      <c r="E1060" s="14" t="s">
        <v>101</v>
      </c>
      <c r="F1060" s="14">
        <v>7</v>
      </c>
      <c r="G1060" s="14">
        <v>60</v>
      </c>
      <c r="H1060" s="31" t="s">
        <v>228</v>
      </c>
      <c r="I1060" s="14" t="s">
        <v>75</v>
      </c>
      <c r="J1060" s="14" t="s">
        <v>201</v>
      </c>
      <c r="K1060" s="14">
        <v>1</v>
      </c>
      <c r="L1060" s="14" t="s">
        <v>213</v>
      </c>
      <c r="N1060" s="14">
        <v>0</v>
      </c>
      <c r="O1060" s="14" t="b">
        <v>1</v>
      </c>
      <c r="Q1060" s="14" t="b">
        <v>0</v>
      </c>
      <c r="R1060" s="14">
        <v>1</v>
      </c>
      <c r="S1060" s="14" t="s">
        <v>77</v>
      </c>
      <c r="T1060" s="14">
        <v>999</v>
      </c>
      <c r="U1060" s="14" t="s">
        <v>214</v>
      </c>
      <c r="V1060" s="14">
        <v>31567007</v>
      </c>
      <c r="X1060" s="14" t="s">
        <v>204</v>
      </c>
      <c r="Y1060" s="14" t="s">
        <v>215</v>
      </c>
      <c r="Z1060" s="14">
        <v>20001</v>
      </c>
      <c r="AA1060" s="14" t="s">
        <v>205</v>
      </c>
      <c r="AB1060" s="14">
        <v>40001</v>
      </c>
      <c r="AE1060" s="29" t="s">
        <v>121</v>
      </c>
      <c r="AF1060" s="14" t="s">
        <v>213</v>
      </c>
      <c r="AG1060" s="14" t="s">
        <v>101</v>
      </c>
    </row>
    <row r="1061" spans="2:33">
      <c r="B1061" s="14">
        <f>10000000+INDEX(编号表!$B:$B,MATCH(H1061,编号表!$A:$A,0))*100000+INDEX(编号表!$F:$F,MATCH(D1061,编号表!$E:$E,0))*10000+INDEX(编号表!$D:$D,MATCH(AG1061,编号表!$C:$C,0))*1000+F1061</f>
        <v>11567008</v>
      </c>
      <c r="C1061" s="14" t="s">
        <v>1221</v>
      </c>
      <c r="D1061" s="14" t="s">
        <v>362</v>
      </c>
      <c r="E1061" s="14" t="s">
        <v>101</v>
      </c>
      <c r="F1061" s="14">
        <v>8</v>
      </c>
      <c r="G1061" s="14">
        <v>60</v>
      </c>
      <c r="H1061" s="31" t="s">
        <v>228</v>
      </c>
      <c r="I1061" s="14" t="s">
        <v>75</v>
      </c>
      <c r="J1061" s="14" t="s">
        <v>201</v>
      </c>
      <c r="K1061" s="14">
        <v>1</v>
      </c>
      <c r="L1061" s="14" t="s">
        <v>213</v>
      </c>
      <c r="N1061" s="14">
        <v>0</v>
      </c>
      <c r="O1061" s="14" t="b">
        <v>1</v>
      </c>
      <c r="Q1061" s="14" t="b">
        <v>0</v>
      </c>
      <c r="R1061" s="14">
        <v>1</v>
      </c>
      <c r="S1061" s="14" t="s">
        <v>77</v>
      </c>
      <c r="T1061" s="14">
        <v>999</v>
      </c>
      <c r="U1061" s="14" t="s">
        <v>214</v>
      </c>
      <c r="V1061" s="14">
        <v>31567008</v>
      </c>
      <c r="X1061" s="14" t="s">
        <v>204</v>
      </c>
      <c r="Y1061" s="14" t="s">
        <v>215</v>
      </c>
      <c r="Z1061" s="14">
        <v>20001</v>
      </c>
      <c r="AA1061" s="14" t="s">
        <v>205</v>
      </c>
      <c r="AB1061" s="14">
        <v>40001</v>
      </c>
      <c r="AE1061" s="29" t="s">
        <v>121</v>
      </c>
      <c r="AF1061" s="14" t="s">
        <v>213</v>
      </c>
      <c r="AG1061" s="14" t="s">
        <v>101</v>
      </c>
    </row>
    <row r="1062" spans="2:33">
      <c r="B1062" s="14">
        <f>10000000+INDEX(编号表!$B:$B,MATCH(H1062,编号表!$A:$A,0))*100000+INDEX(编号表!$F:$F,MATCH(D1062,编号表!$E:$E,0))*10000+INDEX(编号表!$D:$D,MATCH(AG1062,编号表!$C:$C,0))*1000+F1062</f>
        <v>11567009</v>
      </c>
      <c r="C1062" s="14" t="s">
        <v>1222</v>
      </c>
      <c r="D1062" s="14" t="s">
        <v>362</v>
      </c>
      <c r="E1062" s="14" t="s">
        <v>101</v>
      </c>
      <c r="F1062" s="14">
        <v>9</v>
      </c>
      <c r="G1062" s="14">
        <v>60</v>
      </c>
      <c r="H1062" s="31" t="s">
        <v>228</v>
      </c>
      <c r="I1062" s="14" t="s">
        <v>75</v>
      </c>
      <c r="J1062" s="14" t="s">
        <v>201</v>
      </c>
      <c r="K1062" s="14">
        <v>1</v>
      </c>
      <c r="L1062" s="14" t="s">
        <v>213</v>
      </c>
      <c r="N1062" s="14">
        <v>0</v>
      </c>
      <c r="O1062" s="14" t="b">
        <v>1</v>
      </c>
      <c r="Q1062" s="14" t="b">
        <v>0</v>
      </c>
      <c r="R1062" s="14">
        <v>1</v>
      </c>
      <c r="S1062" s="14" t="s">
        <v>77</v>
      </c>
      <c r="T1062" s="14">
        <v>999</v>
      </c>
      <c r="U1062" s="14" t="s">
        <v>214</v>
      </c>
      <c r="V1062" s="14">
        <v>31567009</v>
      </c>
      <c r="X1062" s="14" t="s">
        <v>204</v>
      </c>
      <c r="Y1062" s="14" t="s">
        <v>215</v>
      </c>
      <c r="Z1062" s="14">
        <v>20001</v>
      </c>
      <c r="AA1062" s="14" t="s">
        <v>205</v>
      </c>
      <c r="AB1062" s="14">
        <v>40001</v>
      </c>
      <c r="AE1062" s="29" t="s">
        <v>121</v>
      </c>
      <c r="AF1062" s="14" t="s">
        <v>213</v>
      </c>
      <c r="AG1062" s="14" t="s">
        <v>101</v>
      </c>
    </row>
    <row r="1063" spans="2:33">
      <c r="B1063" s="14">
        <f>10000000+INDEX(编号表!$B:$B,MATCH(H1063,编号表!$A:$A,0))*100000+INDEX(编号表!$F:$F,MATCH(D1063,编号表!$E:$E,0))*10000+INDEX(编号表!$D:$D,MATCH(AG1063,编号表!$C:$C,0))*1000+F1063</f>
        <v>11467000</v>
      </c>
      <c r="C1063" s="14" t="s">
        <v>1223</v>
      </c>
      <c r="D1063" s="14" t="s">
        <v>362</v>
      </c>
      <c r="E1063" s="14" t="s">
        <v>101</v>
      </c>
      <c r="F1063" s="14">
        <v>0</v>
      </c>
      <c r="G1063" s="14">
        <v>60</v>
      </c>
      <c r="H1063" s="31" t="s">
        <v>239</v>
      </c>
      <c r="I1063" s="14" t="s">
        <v>75</v>
      </c>
      <c r="J1063" s="14" t="s">
        <v>201</v>
      </c>
      <c r="K1063" s="14">
        <v>1</v>
      </c>
      <c r="L1063" s="14" t="s">
        <v>213</v>
      </c>
      <c r="N1063" s="14">
        <v>0</v>
      </c>
      <c r="O1063" s="14" t="b">
        <v>1</v>
      </c>
      <c r="Q1063" s="14" t="b">
        <v>0</v>
      </c>
      <c r="R1063" s="14">
        <v>1</v>
      </c>
      <c r="S1063" s="14" t="s">
        <v>77</v>
      </c>
      <c r="T1063" s="14">
        <v>999</v>
      </c>
      <c r="U1063" s="14" t="s">
        <v>214</v>
      </c>
      <c r="V1063" s="14">
        <v>31467000</v>
      </c>
      <c r="X1063" s="14" t="s">
        <v>204</v>
      </c>
      <c r="Y1063" s="14" t="s">
        <v>215</v>
      </c>
      <c r="Z1063" s="14">
        <v>20001</v>
      </c>
      <c r="AA1063" s="14" t="s">
        <v>205</v>
      </c>
      <c r="AB1063" s="14">
        <v>40001</v>
      </c>
      <c r="AE1063" s="29" t="s">
        <v>121</v>
      </c>
      <c r="AF1063" s="14" t="s">
        <v>213</v>
      </c>
      <c r="AG1063" s="14" t="s">
        <v>101</v>
      </c>
    </row>
    <row r="1064" spans="2:33">
      <c r="B1064" s="14">
        <f>10000000+INDEX(编号表!$B:$B,MATCH(H1064,编号表!$A:$A,0))*100000+INDEX(编号表!$F:$F,MATCH(D1064,编号表!$E:$E,0))*10000+INDEX(编号表!$D:$D,MATCH(AG1064,编号表!$C:$C,0))*1000+F1064</f>
        <v>11467001</v>
      </c>
      <c r="C1064" s="14" t="s">
        <v>1224</v>
      </c>
      <c r="D1064" s="14" t="s">
        <v>362</v>
      </c>
      <c r="E1064" s="14" t="s">
        <v>101</v>
      </c>
      <c r="F1064" s="14">
        <v>1</v>
      </c>
      <c r="G1064" s="14">
        <v>60</v>
      </c>
      <c r="H1064" s="31" t="s">
        <v>239</v>
      </c>
      <c r="I1064" s="14" t="s">
        <v>75</v>
      </c>
      <c r="J1064" s="14" t="s">
        <v>201</v>
      </c>
      <c r="K1064" s="14">
        <v>1</v>
      </c>
      <c r="L1064" s="14" t="s">
        <v>213</v>
      </c>
      <c r="N1064" s="14">
        <v>0</v>
      </c>
      <c r="O1064" s="14" t="b">
        <v>1</v>
      </c>
      <c r="Q1064" s="14" t="b">
        <v>0</v>
      </c>
      <c r="R1064" s="14">
        <v>1</v>
      </c>
      <c r="S1064" s="14" t="s">
        <v>77</v>
      </c>
      <c r="T1064" s="14">
        <v>999</v>
      </c>
      <c r="U1064" s="14" t="s">
        <v>214</v>
      </c>
      <c r="V1064" s="14">
        <v>31467001</v>
      </c>
      <c r="X1064" s="14" t="s">
        <v>204</v>
      </c>
      <c r="Y1064" s="14" t="s">
        <v>215</v>
      </c>
      <c r="Z1064" s="14">
        <v>20001</v>
      </c>
      <c r="AA1064" s="14" t="s">
        <v>205</v>
      </c>
      <c r="AB1064" s="14">
        <v>40001</v>
      </c>
      <c r="AE1064" s="29" t="s">
        <v>121</v>
      </c>
      <c r="AF1064" s="14" t="s">
        <v>213</v>
      </c>
      <c r="AG1064" s="14" t="s">
        <v>101</v>
      </c>
    </row>
    <row r="1065" spans="2:33">
      <c r="B1065" s="14">
        <f>10000000+INDEX(编号表!$B:$B,MATCH(H1065,编号表!$A:$A,0))*100000+INDEX(编号表!$F:$F,MATCH(D1065,编号表!$E:$E,0))*10000+INDEX(编号表!$D:$D,MATCH(AG1065,编号表!$C:$C,0))*1000+F1065</f>
        <v>11467002</v>
      </c>
      <c r="C1065" s="14" t="s">
        <v>1225</v>
      </c>
      <c r="D1065" s="14" t="s">
        <v>362</v>
      </c>
      <c r="E1065" s="14" t="s">
        <v>101</v>
      </c>
      <c r="F1065" s="14">
        <v>2</v>
      </c>
      <c r="G1065" s="14">
        <v>60</v>
      </c>
      <c r="H1065" s="31" t="s">
        <v>239</v>
      </c>
      <c r="I1065" s="14" t="s">
        <v>75</v>
      </c>
      <c r="J1065" s="14" t="s">
        <v>201</v>
      </c>
      <c r="K1065" s="14">
        <v>1</v>
      </c>
      <c r="L1065" s="14" t="s">
        <v>213</v>
      </c>
      <c r="N1065" s="14">
        <v>0</v>
      </c>
      <c r="O1065" s="14" t="b">
        <v>1</v>
      </c>
      <c r="Q1065" s="14" t="b">
        <v>0</v>
      </c>
      <c r="R1065" s="14">
        <v>1</v>
      </c>
      <c r="S1065" s="14" t="s">
        <v>77</v>
      </c>
      <c r="T1065" s="14">
        <v>999</v>
      </c>
      <c r="U1065" s="14" t="s">
        <v>214</v>
      </c>
      <c r="V1065" s="14">
        <v>31467002</v>
      </c>
      <c r="X1065" s="14" t="s">
        <v>204</v>
      </c>
      <c r="Y1065" s="14" t="s">
        <v>215</v>
      </c>
      <c r="Z1065" s="14">
        <v>20001</v>
      </c>
      <c r="AA1065" s="14" t="s">
        <v>205</v>
      </c>
      <c r="AB1065" s="14">
        <v>40001</v>
      </c>
      <c r="AE1065" s="29" t="s">
        <v>121</v>
      </c>
      <c r="AF1065" s="14" t="s">
        <v>213</v>
      </c>
      <c r="AG1065" s="14" t="s">
        <v>101</v>
      </c>
    </row>
    <row r="1066" spans="2:33">
      <c r="B1066" s="14">
        <f>10000000+INDEX(编号表!$B:$B,MATCH(H1066,编号表!$A:$A,0))*100000+INDEX(编号表!$F:$F,MATCH(D1066,编号表!$E:$E,0))*10000+INDEX(编号表!$D:$D,MATCH(AG1066,编号表!$C:$C,0))*1000+F1066</f>
        <v>11467003</v>
      </c>
      <c r="C1066" s="14" t="s">
        <v>1226</v>
      </c>
      <c r="D1066" s="14" t="s">
        <v>362</v>
      </c>
      <c r="E1066" s="14" t="s">
        <v>101</v>
      </c>
      <c r="F1066" s="14">
        <v>3</v>
      </c>
      <c r="G1066" s="14">
        <v>60</v>
      </c>
      <c r="H1066" s="31" t="s">
        <v>239</v>
      </c>
      <c r="I1066" s="14" t="s">
        <v>75</v>
      </c>
      <c r="J1066" s="14" t="s">
        <v>201</v>
      </c>
      <c r="K1066" s="14">
        <v>1</v>
      </c>
      <c r="L1066" s="14" t="s">
        <v>213</v>
      </c>
      <c r="N1066" s="14">
        <v>0</v>
      </c>
      <c r="O1066" s="14" t="b">
        <v>1</v>
      </c>
      <c r="Q1066" s="14" t="b">
        <v>0</v>
      </c>
      <c r="R1066" s="14">
        <v>1</v>
      </c>
      <c r="S1066" s="14" t="s">
        <v>77</v>
      </c>
      <c r="T1066" s="14">
        <v>999</v>
      </c>
      <c r="U1066" s="14" t="s">
        <v>214</v>
      </c>
      <c r="V1066" s="14">
        <v>31467003</v>
      </c>
      <c r="X1066" s="14" t="s">
        <v>204</v>
      </c>
      <c r="Y1066" s="14" t="s">
        <v>215</v>
      </c>
      <c r="Z1066" s="14">
        <v>20001</v>
      </c>
      <c r="AA1066" s="14" t="s">
        <v>205</v>
      </c>
      <c r="AB1066" s="14">
        <v>40001</v>
      </c>
      <c r="AE1066" s="29" t="s">
        <v>121</v>
      </c>
      <c r="AF1066" s="14" t="s">
        <v>213</v>
      </c>
      <c r="AG1066" s="14" t="s">
        <v>101</v>
      </c>
    </row>
    <row r="1067" spans="2:33">
      <c r="B1067" s="14">
        <f>10000000+INDEX(编号表!$B:$B,MATCH(H1067,编号表!$A:$A,0))*100000+INDEX(编号表!$F:$F,MATCH(D1067,编号表!$E:$E,0))*10000+INDEX(编号表!$D:$D,MATCH(AG1067,编号表!$C:$C,0))*1000+F1067</f>
        <v>11667000</v>
      </c>
      <c r="C1067" s="14" t="s">
        <v>1227</v>
      </c>
      <c r="D1067" s="14" t="s">
        <v>362</v>
      </c>
      <c r="E1067" s="14" t="s">
        <v>101</v>
      </c>
      <c r="F1067" s="14">
        <v>0</v>
      </c>
      <c r="G1067" s="14">
        <v>60</v>
      </c>
      <c r="H1067" s="31" t="s">
        <v>244</v>
      </c>
      <c r="I1067" s="14" t="s">
        <v>75</v>
      </c>
      <c r="J1067" s="14" t="s">
        <v>201</v>
      </c>
      <c r="K1067" s="14">
        <v>1</v>
      </c>
      <c r="L1067" s="14" t="s">
        <v>213</v>
      </c>
      <c r="N1067" s="14">
        <v>0</v>
      </c>
      <c r="O1067" s="14" t="b">
        <v>1</v>
      </c>
      <c r="Q1067" s="14" t="b">
        <v>0</v>
      </c>
      <c r="R1067" s="14">
        <v>1</v>
      </c>
      <c r="S1067" s="14" t="s">
        <v>77</v>
      </c>
      <c r="T1067" s="14">
        <v>999</v>
      </c>
      <c r="U1067" s="14" t="s">
        <v>214</v>
      </c>
      <c r="V1067" s="14">
        <v>31667000</v>
      </c>
      <c r="X1067" s="14" t="s">
        <v>204</v>
      </c>
      <c r="Y1067" s="14" t="s">
        <v>215</v>
      </c>
      <c r="Z1067" s="14">
        <v>20001</v>
      </c>
      <c r="AA1067" s="14" t="s">
        <v>205</v>
      </c>
      <c r="AB1067" s="14">
        <v>40001</v>
      </c>
      <c r="AE1067" s="29" t="s">
        <v>121</v>
      </c>
      <c r="AF1067" s="14" t="s">
        <v>213</v>
      </c>
      <c r="AG1067" s="14" t="s">
        <v>101</v>
      </c>
    </row>
    <row r="1068" spans="2:33">
      <c r="B1068" s="14">
        <f>10000000+INDEX(编号表!$B:$B,MATCH(H1068,编号表!$A:$A,0))*100000+INDEX(编号表!$F:$F,MATCH(D1068,编号表!$E:$E,0))*10000+INDEX(编号表!$D:$D,MATCH(AG1068,编号表!$C:$C,0))*1000+F1068</f>
        <v>11667001</v>
      </c>
      <c r="C1068" s="14" t="s">
        <v>1228</v>
      </c>
      <c r="D1068" s="14" t="s">
        <v>362</v>
      </c>
      <c r="E1068" s="14" t="s">
        <v>101</v>
      </c>
      <c r="F1068" s="14">
        <v>1</v>
      </c>
      <c r="G1068" s="14">
        <v>60</v>
      </c>
      <c r="H1068" s="31" t="s">
        <v>244</v>
      </c>
      <c r="I1068" s="14" t="s">
        <v>75</v>
      </c>
      <c r="J1068" s="14" t="s">
        <v>201</v>
      </c>
      <c r="K1068" s="14">
        <v>1</v>
      </c>
      <c r="L1068" s="14" t="s">
        <v>213</v>
      </c>
      <c r="N1068" s="14">
        <v>0</v>
      </c>
      <c r="O1068" s="14" t="b">
        <v>1</v>
      </c>
      <c r="Q1068" s="14" t="b">
        <v>0</v>
      </c>
      <c r="R1068" s="14">
        <v>1</v>
      </c>
      <c r="S1068" s="14" t="s">
        <v>77</v>
      </c>
      <c r="T1068" s="14">
        <v>999</v>
      </c>
      <c r="U1068" s="14" t="s">
        <v>214</v>
      </c>
      <c r="V1068" s="14">
        <v>31667001</v>
      </c>
      <c r="X1068" s="14" t="s">
        <v>204</v>
      </c>
      <c r="Y1068" s="14" t="s">
        <v>215</v>
      </c>
      <c r="Z1068" s="14">
        <v>20001</v>
      </c>
      <c r="AA1068" s="14" t="s">
        <v>205</v>
      </c>
      <c r="AB1068" s="14">
        <v>40001</v>
      </c>
      <c r="AE1068" s="29" t="s">
        <v>121</v>
      </c>
      <c r="AF1068" s="14" t="s">
        <v>213</v>
      </c>
      <c r="AG1068" s="14" t="s">
        <v>101</v>
      </c>
    </row>
    <row r="1069" spans="2:33">
      <c r="B1069" s="14">
        <f>10000000+INDEX(编号表!$B:$B,MATCH(H1069,编号表!$A:$A,0))*100000+INDEX(编号表!$F:$F,MATCH(D1069,编号表!$E:$E,0))*10000+INDEX(编号表!$D:$D,MATCH(AG1069,编号表!$C:$C,0))*1000+F1069</f>
        <v>11667002</v>
      </c>
      <c r="C1069" s="14" t="s">
        <v>1229</v>
      </c>
      <c r="D1069" s="14" t="s">
        <v>362</v>
      </c>
      <c r="E1069" s="14" t="s">
        <v>101</v>
      </c>
      <c r="F1069" s="14">
        <v>2</v>
      </c>
      <c r="G1069" s="14">
        <v>60</v>
      </c>
      <c r="H1069" s="31" t="s">
        <v>244</v>
      </c>
      <c r="I1069" s="14" t="s">
        <v>75</v>
      </c>
      <c r="J1069" s="14" t="s">
        <v>201</v>
      </c>
      <c r="K1069" s="14">
        <v>1</v>
      </c>
      <c r="L1069" s="14" t="s">
        <v>213</v>
      </c>
      <c r="N1069" s="14">
        <v>0</v>
      </c>
      <c r="O1069" s="14" t="b">
        <v>1</v>
      </c>
      <c r="Q1069" s="14" t="b">
        <v>0</v>
      </c>
      <c r="R1069" s="14">
        <v>1</v>
      </c>
      <c r="S1069" s="14" t="s">
        <v>77</v>
      </c>
      <c r="T1069" s="14">
        <v>999</v>
      </c>
      <c r="U1069" s="14" t="s">
        <v>214</v>
      </c>
      <c r="V1069" s="14">
        <v>31667002</v>
      </c>
      <c r="X1069" s="14" t="s">
        <v>204</v>
      </c>
      <c r="Y1069" s="14" t="s">
        <v>215</v>
      </c>
      <c r="Z1069" s="14">
        <v>20001</v>
      </c>
      <c r="AA1069" s="14" t="s">
        <v>205</v>
      </c>
      <c r="AB1069" s="14">
        <v>40001</v>
      </c>
      <c r="AE1069" s="29" t="s">
        <v>121</v>
      </c>
      <c r="AF1069" s="14" t="s">
        <v>213</v>
      </c>
      <c r="AG1069" s="14" t="s">
        <v>101</v>
      </c>
    </row>
    <row r="1070" spans="2:33">
      <c r="B1070" s="14">
        <f>10000000+INDEX(编号表!$B:$B,MATCH(H1070,编号表!$A:$A,0))*100000+INDEX(编号表!$F:$F,MATCH(D1070,编号表!$E:$E,0))*10000+INDEX(编号表!$D:$D,MATCH(AG1070,编号表!$C:$C,0))*1000+F1070</f>
        <v>11218000</v>
      </c>
      <c r="C1070" s="14" t="s">
        <v>1230</v>
      </c>
      <c r="D1070" s="14" t="s">
        <v>72</v>
      </c>
      <c r="E1070" s="14" t="s">
        <v>1231</v>
      </c>
      <c r="F1070" s="14">
        <v>0</v>
      </c>
      <c r="G1070" s="14">
        <v>60</v>
      </c>
      <c r="H1070" s="31" t="s">
        <v>212</v>
      </c>
      <c r="I1070" s="14" t="s">
        <v>75</v>
      </c>
      <c r="J1070" s="14" t="s">
        <v>201</v>
      </c>
      <c r="K1070" s="14">
        <v>1</v>
      </c>
      <c r="L1070" s="14" t="s">
        <v>213</v>
      </c>
      <c r="N1070" s="14">
        <v>0</v>
      </c>
      <c r="O1070" s="14" t="b">
        <v>1</v>
      </c>
      <c r="Q1070" s="14" t="b">
        <v>0</v>
      </c>
      <c r="R1070" s="14">
        <v>1</v>
      </c>
      <c r="S1070" s="14" t="s">
        <v>77</v>
      </c>
      <c r="T1070" s="14">
        <v>999</v>
      </c>
      <c r="U1070" s="14" t="s">
        <v>214</v>
      </c>
      <c r="V1070" s="14">
        <v>31218000</v>
      </c>
      <c r="X1070" s="14" t="s">
        <v>204</v>
      </c>
      <c r="Y1070" s="14" t="s">
        <v>215</v>
      </c>
      <c r="Z1070" s="14">
        <v>20001</v>
      </c>
      <c r="AA1070" s="14" t="s">
        <v>205</v>
      </c>
      <c r="AB1070" s="14">
        <v>40001</v>
      </c>
      <c r="AE1070" s="29" t="s">
        <v>121</v>
      </c>
      <c r="AF1070" s="14" t="s">
        <v>213</v>
      </c>
      <c r="AG1070" s="14" t="s">
        <v>1231</v>
      </c>
    </row>
    <row r="1071" spans="2:33">
      <c r="B1071" s="14">
        <f>10000000+INDEX(编号表!$B:$B,MATCH(H1071,编号表!$A:$A,0))*100000+INDEX(编号表!$F:$F,MATCH(D1071,编号表!$E:$E,0))*10000+INDEX(编号表!$D:$D,MATCH(AG1071,编号表!$C:$C,0))*1000+F1071</f>
        <v>11318000</v>
      </c>
      <c r="C1071" s="14" t="s">
        <v>1232</v>
      </c>
      <c r="D1071" s="14" t="s">
        <v>72</v>
      </c>
      <c r="E1071" s="14" t="s">
        <v>1231</v>
      </c>
      <c r="F1071" s="14">
        <v>0</v>
      </c>
      <c r="G1071" s="14">
        <v>60</v>
      </c>
      <c r="H1071" s="31" t="s">
        <v>217</v>
      </c>
      <c r="I1071" s="14" t="s">
        <v>75</v>
      </c>
      <c r="J1071" s="14" t="s">
        <v>201</v>
      </c>
      <c r="K1071" s="14">
        <v>1</v>
      </c>
      <c r="L1071" s="14" t="s">
        <v>213</v>
      </c>
      <c r="N1071" s="14">
        <v>0</v>
      </c>
      <c r="O1071" s="14" t="b">
        <v>1</v>
      </c>
      <c r="Q1071" s="14" t="b">
        <v>0</v>
      </c>
      <c r="R1071" s="14">
        <v>1</v>
      </c>
      <c r="S1071" s="14" t="s">
        <v>77</v>
      </c>
      <c r="T1071" s="14">
        <v>999</v>
      </c>
      <c r="U1071" s="14" t="s">
        <v>214</v>
      </c>
      <c r="V1071" s="14">
        <v>31318000</v>
      </c>
      <c r="X1071" s="14" t="s">
        <v>204</v>
      </c>
      <c r="Y1071" s="14" t="s">
        <v>215</v>
      </c>
      <c r="Z1071" s="14">
        <v>20001</v>
      </c>
      <c r="AA1071" s="14" t="s">
        <v>205</v>
      </c>
      <c r="AB1071" s="14">
        <v>40001</v>
      </c>
      <c r="AE1071" s="29" t="s">
        <v>121</v>
      </c>
      <c r="AF1071" s="14" t="s">
        <v>213</v>
      </c>
      <c r="AG1071" s="14" t="s">
        <v>1231</v>
      </c>
    </row>
    <row r="1072" spans="2:33">
      <c r="B1072" s="14">
        <f>10000000+INDEX(编号表!$B:$B,MATCH(H1072,编号表!$A:$A,0))*100000+INDEX(编号表!$F:$F,MATCH(D1072,编号表!$E:$E,0))*10000+INDEX(编号表!$D:$D,MATCH(AG1072,编号表!$C:$C,0))*1000+F1072</f>
        <v>11318001</v>
      </c>
      <c r="C1072" s="14" t="s">
        <v>1233</v>
      </c>
      <c r="D1072" s="14" t="s">
        <v>72</v>
      </c>
      <c r="E1072" s="14" t="s">
        <v>1231</v>
      </c>
      <c r="F1072" s="14">
        <v>1</v>
      </c>
      <c r="G1072" s="14">
        <v>60</v>
      </c>
      <c r="H1072" s="31" t="s">
        <v>217</v>
      </c>
      <c r="I1072" s="14" t="s">
        <v>75</v>
      </c>
      <c r="J1072" s="14" t="s">
        <v>201</v>
      </c>
      <c r="K1072" s="14">
        <v>1</v>
      </c>
      <c r="L1072" s="14" t="s">
        <v>213</v>
      </c>
      <c r="N1072" s="14">
        <v>0</v>
      </c>
      <c r="O1072" s="14" t="b">
        <v>1</v>
      </c>
      <c r="Q1072" s="14" t="b">
        <v>0</v>
      </c>
      <c r="R1072" s="14">
        <v>1</v>
      </c>
      <c r="S1072" s="14" t="s">
        <v>77</v>
      </c>
      <c r="T1072" s="14">
        <v>999</v>
      </c>
      <c r="U1072" s="14" t="s">
        <v>214</v>
      </c>
      <c r="V1072" s="14">
        <v>31318001</v>
      </c>
      <c r="X1072" s="14" t="s">
        <v>204</v>
      </c>
      <c r="Y1072" s="14" t="s">
        <v>215</v>
      </c>
      <c r="Z1072" s="14">
        <v>20001</v>
      </c>
      <c r="AA1072" s="14" t="s">
        <v>205</v>
      </c>
      <c r="AB1072" s="14">
        <v>40001</v>
      </c>
      <c r="AE1072" s="29" t="s">
        <v>121</v>
      </c>
      <c r="AF1072" s="14" t="s">
        <v>213</v>
      </c>
      <c r="AG1072" s="14" t="s">
        <v>1231</v>
      </c>
    </row>
    <row r="1073" spans="2:33">
      <c r="B1073" s="14">
        <f>10000000+INDEX(编号表!$B:$B,MATCH(H1073,编号表!$A:$A,0))*100000+INDEX(编号表!$F:$F,MATCH(D1073,编号表!$E:$E,0))*10000+INDEX(编号表!$D:$D,MATCH(AG1073,编号表!$C:$C,0))*1000+F1073</f>
        <v>11318002</v>
      </c>
      <c r="C1073" s="14" t="s">
        <v>1234</v>
      </c>
      <c r="D1073" s="14" t="s">
        <v>72</v>
      </c>
      <c r="E1073" s="14" t="s">
        <v>1231</v>
      </c>
      <c r="F1073" s="14">
        <v>2</v>
      </c>
      <c r="G1073" s="14">
        <v>60</v>
      </c>
      <c r="H1073" s="31" t="s">
        <v>217</v>
      </c>
      <c r="I1073" s="14" t="s">
        <v>75</v>
      </c>
      <c r="J1073" s="14" t="s">
        <v>201</v>
      </c>
      <c r="K1073" s="14">
        <v>1</v>
      </c>
      <c r="L1073" s="14" t="s">
        <v>213</v>
      </c>
      <c r="N1073" s="14">
        <v>0</v>
      </c>
      <c r="O1073" s="14" t="b">
        <v>1</v>
      </c>
      <c r="Q1073" s="14" t="b">
        <v>0</v>
      </c>
      <c r="R1073" s="14">
        <v>1</v>
      </c>
      <c r="S1073" s="14" t="s">
        <v>77</v>
      </c>
      <c r="T1073" s="14">
        <v>999</v>
      </c>
      <c r="U1073" s="14" t="s">
        <v>214</v>
      </c>
      <c r="V1073" s="14">
        <v>31318002</v>
      </c>
      <c r="X1073" s="14" t="s">
        <v>204</v>
      </c>
      <c r="Y1073" s="14" t="s">
        <v>215</v>
      </c>
      <c r="Z1073" s="14">
        <v>20001</v>
      </c>
      <c r="AA1073" s="14" t="s">
        <v>205</v>
      </c>
      <c r="AB1073" s="14">
        <v>40001</v>
      </c>
      <c r="AE1073" s="29" t="s">
        <v>121</v>
      </c>
      <c r="AF1073" s="14" t="s">
        <v>213</v>
      </c>
      <c r="AG1073" s="14" t="s">
        <v>1231</v>
      </c>
    </row>
    <row r="1074" spans="2:33">
      <c r="B1074" s="14">
        <f>10000000+INDEX(编号表!$B:$B,MATCH(H1074,编号表!$A:$A,0))*100000+INDEX(编号表!$F:$F,MATCH(D1074,编号表!$E:$E,0))*10000+INDEX(编号表!$D:$D,MATCH(AG1074,编号表!$C:$C,0))*1000+F1074</f>
        <v>11318003</v>
      </c>
      <c r="C1074" s="14" t="s">
        <v>1235</v>
      </c>
      <c r="D1074" s="14" t="s">
        <v>72</v>
      </c>
      <c r="E1074" s="14" t="s">
        <v>1231</v>
      </c>
      <c r="F1074" s="14">
        <v>3</v>
      </c>
      <c r="G1074" s="14">
        <v>60</v>
      </c>
      <c r="H1074" s="31" t="s">
        <v>217</v>
      </c>
      <c r="I1074" s="14" t="s">
        <v>75</v>
      </c>
      <c r="J1074" s="14" t="s">
        <v>201</v>
      </c>
      <c r="K1074" s="14">
        <v>1</v>
      </c>
      <c r="L1074" s="14" t="s">
        <v>213</v>
      </c>
      <c r="N1074" s="14">
        <v>0</v>
      </c>
      <c r="O1074" s="14" t="b">
        <v>1</v>
      </c>
      <c r="Q1074" s="14" t="b">
        <v>0</v>
      </c>
      <c r="R1074" s="14">
        <v>1</v>
      </c>
      <c r="S1074" s="14" t="s">
        <v>77</v>
      </c>
      <c r="T1074" s="14">
        <v>999</v>
      </c>
      <c r="U1074" s="14" t="s">
        <v>214</v>
      </c>
      <c r="V1074" s="14">
        <v>31318003</v>
      </c>
      <c r="X1074" s="14" t="s">
        <v>204</v>
      </c>
      <c r="Y1074" s="14" t="s">
        <v>215</v>
      </c>
      <c r="Z1074" s="14">
        <v>20001</v>
      </c>
      <c r="AA1074" s="14" t="s">
        <v>205</v>
      </c>
      <c r="AB1074" s="14">
        <v>40001</v>
      </c>
      <c r="AE1074" s="29" t="s">
        <v>121</v>
      </c>
      <c r="AF1074" s="14" t="s">
        <v>213</v>
      </c>
      <c r="AG1074" s="14" t="s">
        <v>1231</v>
      </c>
    </row>
    <row r="1075" spans="2:33">
      <c r="B1075" s="14">
        <f>10000000+INDEX(编号表!$B:$B,MATCH(H1075,编号表!$A:$A,0))*100000+INDEX(编号表!$F:$F,MATCH(D1075,编号表!$E:$E,0))*10000+INDEX(编号表!$D:$D,MATCH(AG1075,编号表!$C:$C,0))*1000+F1075</f>
        <v>11318004</v>
      </c>
      <c r="C1075" s="14" t="s">
        <v>1236</v>
      </c>
      <c r="D1075" s="14" t="s">
        <v>72</v>
      </c>
      <c r="E1075" s="14" t="s">
        <v>1231</v>
      </c>
      <c r="F1075" s="14">
        <v>4</v>
      </c>
      <c r="G1075" s="14">
        <v>60</v>
      </c>
      <c r="H1075" s="31" t="s">
        <v>217</v>
      </c>
      <c r="I1075" s="14" t="s">
        <v>75</v>
      </c>
      <c r="J1075" s="14" t="s">
        <v>201</v>
      </c>
      <c r="K1075" s="14">
        <v>1</v>
      </c>
      <c r="L1075" s="14" t="s">
        <v>213</v>
      </c>
      <c r="N1075" s="14">
        <v>0</v>
      </c>
      <c r="O1075" s="14" t="b">
        <v>1</v>
      </c>
      <c r="Q1075" s="14" t="b">
        <v>0</v>
      </c>
      <c r="R1075" s="14">
        <v>1</v>
      </c>
      <c r="S1075" s="14" t="s">
        <v>77</v>
      </c>
      <c r="T1075" s="14">
        <v>999</v>
      </c>
      <c r="U1075" s="14" t="s">
        <v>214</v>
      </c>
      <c r="V1075" s="14">
        <v>31318004</v>
      </c>
      <c r="X1075" s="14" t="s">
        <v>204</v>
      </c>
      <c r="Y1075" s="14" t="s">
        <v>215</v>
      </c>
      <c r="Z1075" s="14">
        <v>20001</v>
      </c>
      <c r="AA1075" s="14" t="s">
        <v>205</v>
      </c>
      <c r="AB1075" s="14">
        <v>40001</v>
      </c>
      <c r="AE1075" s="29" t="s">
        <v>121</v>
      </c>
      <c r="AF1075" s="14" t="s">
        <v>213</v>
      </c>
      <c r="AG1075" s="14" t="s">
        <v>1231</v>
      </c>
    </row>
    <row r="1076" spans="2:33">
      <c r="B1076" s="14">
        <f>10000000+INDEX(编号表!$B:$B,MATCH(H1076,编号表!$A:$A,0))*100000+INDEX(编号表!$F:$F,MATCH(D1076,编号表!$E:$E,0))*10000+INDEX(编号表!$D:$D,MATCH(AG1076,编号表!$C:$C,0))*1000+F1076</f>
        <v>11318005</v>
      </c>
      <c r="C1076" s="14" t="s">
        <v>1237</v>
      </c>
      <c r="D1076" s="14" t="s">
        <v>72</v>
      </c>
      <c r="E1076" s="14" t="s">
        <v>1231</v>
      </c>
      <c r="F1076" s="14">
        <v>5</v>
      </c>
      <c r="G1076" s="14">
        <v>60</v>
      </c>
      <c r="H1076" s="31" t="s">
        <v>217</v>
      </c>
      <c r="I1076" s="14" t="s">
        <v>75</v>
      </c>
      <c r="J1076" s="14" t="s">
        <v>201</v>
      </c>
      <c r="K1076" s="14">
        <v>1</v>
      </c>
      <c r="L1076" s="14" t="s">
        <v>213</v>
      </c>
      <c r="N1076" s="14">
        <v>0</v>
      </c>
      <c r="O1076" s="14" t="b">
        <v>1</v>
      </c>
      <c r="Q1076" s="14" t="b">
        <v>0</v>
      </c>
      <c r="R1076" s="14">
        <v>1</v>
      </c>
      <c r="S1076" s="14" t="s">
        <v>77</v>
      </c>
      <c r="T1076" s="14">
        <v>999</v>
      </c>
      <c r="U1076" s="14" t="s">
        <v>214</v>
      </c>
      <c r="V1076" s="14">
        <v>31318005</v>
      </c>
      <c r="X1076" s="14" t="s">
        <v>204</v>
      </c>
      <c r="Y1076" s="14" t="s">
        <v>215</v>
      </c>
      <c r="Z1076" s="14">
        <v>20001</v>
      </c>
      <c r="AA1076" s="14" t="s">
        <v>205</v>
      </c>
      <c r="AB1076" s="14">
        <v>40001</v>
      </c>
      <c r="AE1076" s="29" t="s">
        <v>121</v>
      </c>
      <c r="AF1076" s="14" t="s">
        <v>213</v>
      </c>
      <c r="AG1076" s="14" t="s">
        <v>1231</v>
      </c>
    </row>
    <row r="1077" spans="2:33">
      <c r="B1077" s="14">
        <f>10000000+INDEX(编号表!$B:$B,MATCH(H1077,编号表!$A:$A,0))*100000+INDEX(编号表!$F:$F,MATCH(D1077,编号表!$E:$E,0))*10000+INDEX(编号表!$D:$D,MATCH(AG1077,编号表!$C:$C,0))*1000+F1077</f>
        <v>11318006</v>
      </c>
      <c r="C1077" s="14" t="s">
        <v>1238</v>
      </c>
      <c r="D1077" s="14" t="s">
        <v>72</v>
      </c>
      <c r="E1077" s="14" t="s">
        <v>1231</v>
      </c>
      <c r="F1077" s="14">
        <v>6</v>
      </c>
      <c r="G1077" s="14">
        <v>60</v>
      </c>
      <c r="H1077" s="31" t="s">
        <v>217</v>
      </c>
      <c r="I1077" s="14" t="s">
        <v>75</v>
      </c>
      <c r="J1077" s="14" t="s">
        <v>201</v>
      </c>
      <c r="K1077" s="14">
        <v>1</v>
      </c>
      <c r="L1077" s="14" t="s">
        <v>213</v>
      </c>
      <c r="N1077" s="14">
        <v>0</v>
      </c>
      <c r="O1077" s="14" t="b">
        <v>1</v>
      </c>
      <c r="Q1077" s="14" t="b">
        <v>0</v>
      </c>
      <c r="R1077" s="14">
        <v>1</v>
      </c>
      <c r="S1077" s="14" t="s">
        <v>77</v>
      </c>
      <c r="T1077" s="14">
        <v>999</v>
      </c>
      <c r="U1077" s="14" t="s">
        <v>214</v>
      </c>
      <c r="V1077" s="14">
        <v>31318006</v>
      </c>
      <c r="X1077" s="14" t="s">
        <v>204</v>
      </c>
      <c r="Y1077" s="14" t="s">
        <v>215</v>
      </c>
      <c r="Z1077" s="14">
        <v>20001</v>
      </c>
      <c r="AA1077" s="14" t="s">
        <v>205</v>
      </c>
      <c r="AB1077" s="14">
        <v>40001</v>
      </c>
      <c r="AE1077" s="29" t="s">
        <v>121</v>
      </c>
      <c r="AF1077" s="14" t="s">
        <v>213</v>
      </c>
      <c r="AG1077" s="14" t="s">
        <v>1231</v>
      </c>
    </row>
    <row r="1078" spans="2:33">
      <c r="B1078" s="14">
        <f>10000000+INDEX(编号表!$B:$B,MATCH(H1078,编号表!$A:$A,0))*100000+INDEX(编号表!$F:$F,MATCH(D1078,编号表!$E:$E,0))*10000+INDEX(编号表!$D:$D,MATCH(AG1078,编号表!$C:$C,0))*1000+F1078</f>
        <v>11318007</v>
      </c>
      <c r="C1078" s="14" t="s">
        <v>1239</v>
      </c>
      <c r="D1078" s="14" t="s">
        <v>72</v>
      </c>
      <c r="E1078" s="14" t="s">
        <v>1231</v>
      </c>
      <c r="F1078" s="14">
        <v>7</v>
      </c>
      <c r="G1078" s="14">
        <v>60</v>
      </c>
      <c r="H1078" s="31" t="s">
        <v>217</v>
      </c>
      <c r="I1078" s="14" t="s">
        <v>75</v>
      </c>
      <c r="J1078" s="14" t="s">
        <v>201</v>
      </c>
      <c r="K1078" s="14">
        <v>1</v>
      </c>
      <c r="L1078" s="14" t="s">
        <v>213</v>
      </c>
      <c r="N1078" s="14">
        <v>0</v>
      </c>
      <c r="O1078" s="14" t="b">
        <v>1</v>
      </c>
      <c r="Q1078" s="14" t="b">
        <v>0</v>
      </c>
      <c r="R1078" s="14">
        <v>1</v>
      </c>
      <c r="S1078" s="14" t="s">
        <v>77</v>
      </c>
      <c r="T1078" s="14">
        <v>999</v>
      </c>
      <c r="U1078" s="14" t="s">
        <v>214</v>
      </c>
      <c r="V1078" s="14">
        <v>31318007</v>
      </c>
      <c r="X1078" s="14" t="s">
        <v>204</v>
      </c>
      <c r="Y1078" s="14" t="s">
        <v>215</v>
      </c>
      <c r="Z1078" s="14">
        <v>20001</v>
      </c>
      <c r="AA1078" s="14" t="s">
        <v>205</v>
      </c>
      <c r="AB1078" s="14">
        <v>40001</v>
      </c>
      <c r="AE1078" s="29" t="s">
        <v>121</v>
      </c>
      <c r="AF1078" s="14" t="s">
        <v>213</v>
      </c>
      <c r="AG1078" s="14" t="s">
        <v>1231</v>
      </c>
    </row>
    <row r="1079" spans="2:33">
      <c r="B1079" s="14">
        <f>10000000+INDEX(编号表!$B:$B,MATCH(H1079,编号表!$A:$A,0))*100000+INDEX(编号表!$F:$F,MATCH(D1079,编号表!$E:$E,0))*10000+INDEX(编号表!$D:$D,MATCH(AG1079,编号表!$C:$C,0))*1000+F1079</f>
        <v>11318008</v>
      </c>
      <c r="C1079" s="14" t="s">
        <v>1240</v>
      </c>
      <c r="D1079" s="14" t="s">
        <v>72</v>
      </c>
      <c r="E1079" s="14" t="s">
        <v>1231</v>
      </c>
      <c r="F1079" s="14">
        <v>8</v>
      </c>
      <c r="G1079" s="14">
        <v>60</v>
      </c>
      <c r="H1079" s="31" t="s">
        <v>217</v>
      </c>
      <c r="I1079" s="14" t="s">
        <v>75</v>
      </c>
      <c r="J1079" s="14" t="s">
        <v>201</v>
      </c>
      <c r="K1079" s="14">
        <v>1</v>
      </c>
      <c r="L1079" s="14" t="s">
        <v>213</v>
      </c>
      <c r="N1079" s="14">
        <v>0</v>
      </c>
      <c r="O1079" s="14" t="b">
        <v>1</v>
      </c>
      <c r="Q1079" s="14" t="b">
        <v>0</v>
      </c>
      <c r="R1079" s="14">
        <v>1</v>
      </c>
      <c r="S1079" s="14" t="s">
        <v>77</v>
      </c>
      <c r="T1079" s="14">
        <v>999</v>
      </c>
      <c r="U1079" s="14" t="s">
        <v>214</v>
      </c>
      <c r="V1079" s="14">
        <v>31318008</v>
      </c>
      <c r="X1079" s="14" t="s">
        <v>204</v>
      </c>
      <c r="Y1079" s="14" t="s">
        <v>215</v>
      </c>
      <c r="Z1079" s="14">
        <v>20001</v>
      </c>
      <c r="AA1079" s="14" t="s">
        <v>205</v>
      </c>
      <c r="AB1079" s="14">
        <v>40001</v>
      </c>
      <c r="AE1079" s="29" t="s">
        <v>121</v>
      </c>
      <c r="AF1079" s="14" t="s">
        <v>213</v>
      </c>
      <c r="AG1079" s="14" t="s">
        <v>1231</v>
      </c>
    </row>
    <row r="1080" spans="2:33">
      <c r="B1080" s="14">
        <f>10000000+INDEX(编号表!$B:$B,MATCH(H1080,编号表!$A:$A,0))*100000+INDEX(编号表!$F:$F,MATCH(D1080,编号表!$E:$E,0))*10000+INDEX(编号表!$D:$D,MATCH(AG1080,编号表!$C:$C,0))*1000+F1080</f>
        <v>11318009</v>
      </c>
      <c r="C1080" s="14" t="s">
        <v>1241</v>
      </c>
      <c r="D1080" s="14" t="s">
        <v>72</v>
      </c>
      <c r="E1080" s="14" t="s">
        <v>1231</v>
      </c>
      <c r="F1080" s="14">
        <v>9</v>
      </c>
      <c r="G1080" s="14">
        <v>60</v>
      </c>
      <c r="H1080" s="31" t="s">
        <v>217</v>
      </c>
      <c r="I1080" s="14" t="s">
        <v>75</v>
      </c>
      <c r="J1080" s="14" t="s">
        <v>201</v>
      </c>
      <c r="K1080" s="14">
        <v>1</v>
      </c>
      <c r="L1080" s="14" t="s">
        <v>213</v>
      </c>
      <c r="N1080" s="14">
        <v>0</v>
      </c>
      <c r="O1080" s="14" t="b">
        <v>1</v>
      </c>
      <c r="Q1080" s="14" t="b">
        <v>0</v>
      </c>
      <c r="R1080" s="14">
        <v>1</v>
      </c>
      <c r="S1080" s="14" t="s">
        <v>77</v>
      </c>
      <c r="T1080" s="14">
        <v>999</v>
      </c>
      <c r="U1080" s="14" t="s">
        <v>214</v>
      </c>
      <c r="V1080" s="14">
        <v>31318009</v>
      </c>
      <c r="X1080" s="14" t="s">
        <v>204</v>
      </c>
      <c r="Y1080" s="14" t="s">
        <v>215</v>
      </c>
      <c r="Z1080" s="14">
        <v>20001</v>
      </c>
      <c r="AA1080" s="14" t="s">
        <v>205</v>
      </c>
      <c r="AB1080" s="14">
        <v>40001</v>
      </c>
      <c r="AE1080" s="29" t="s">
        <v>121</v>
      </c>
      <c r="AF1080" s="14" t="s">
        <v>213</v>
      </c>
      <c r="AG1080" s="14" t="s">
        <v>1231</v>
      </c>
    </row>
    <row r="1081" spans="2:33">
      <c r="B1081" s="14">
        <f>10000000+INDEX(编号表!$B:$B,MATCH(H1081,编号表!$A:$A,0))*100000+INDEX(编号表!$F:$F,MATCH(D1081,编号表!$E:$E,0))*10000+INDEX(编号表!$D:$D,MATCH(AG1081,编号表!$C:$C,0))*1000+F1081</f>
        <v>11518000</v>
      </c>
      <c r="C1081" s="14" t="s">
        <v>1242</v>
      </c>
      <c r="D1081" s="14" t="s">
        <v>72</v>
      </c>
      <c r="E1081" s="14" t="s">
        <v>1231</v>
      </c>
      <c r="F1081" s="14">
        <v>0</v>
      </c>
      <c r="G1081" s="14">
        <v>60</v>
      </c>
      <c r="H1081" s="31" t="s">
        <v>228</v>
      </c>
      <c r="I1081" s="14" t="s">
        <v>75</v>
      </c>
      <c r="J1081" s="14" t="s">
        <v>201</v>
      </c>
      <c r="K1081" s="14">
        <v>1</v>
      </c>
      <c r="L1081" s="14" t="s">
        <v>213</v>
      </c>
      <c r="N1081" s="14">
        <v>0</v>
      </c>
      <c r="O1081" s="14" t="b">
        <v>1</v>
      </c>
      <c r="Q1081" s="14" t="b">
        <v>0</v>
      </c>
      <c r="R1081" s="14">
        <v>1</v>
      </c>
      <c r="S1081" s="14" t="s">
        <v>77</v>
      </c>
      <c r="T1081" s="14">
        <v>999</v>
      </c>
      <c r="U1081" s="14" t="s">
        <v>214</v>
      </c>
      <c r="V1081" s="14">
        <v>31518000</v>
      </c>
      <c r="X1081" s="14" t="s">
        <v>204</v>
      </c>
      <c r="Y1081" s="14" t="s">
        <v>215</v>
      </c>
      <c r="Z1081" s="14">
        <v>20001</v>
      </c>
      <c r="AA1081" s="14" t="s">
        <v>205</v>
      </c>
      <c r="AB1081" s="14">
        <v>40001</v>
      </c>
      <c r="AE1081" s="29" t="s">
        <v>121</v>
      </c>
      <c r="AF1081" s="14" t="s">
        <v>213</v>
      </c>
      <c r="AG1081" s="14" t="s">
        <v>1231</v>
      </c>
    </row>
    <row r="1082" spans="2:33">
      <c r="B1082" s="14">
        <f>10000000+INDEX(编号表!$B:$B,MATCH(H1082,编号表!$A:$A,0))*100000+INDEX(编号表!$F:$F,MATCH(D1082,编号表!$E:$E,0))*10000+INDEX(编号表!$D:$D,MATCH(AG1082,编号表!$C:$C,0))*1000+F1082</f>
        <v>11518001</v>
      </c>
      <c r="C1082" s="14" t="s">
        <v>1243</v>
      </c>
      <c r="D1082" s="14" t="s">
        <v>72</v>
      </c>
      <c r="E1082" s="14" t="s">
        <v>1231</v>
      </c>
      <c r="F1082" s="14">
        <v>1</v>
      </c>
      <c r="G1082" s="14">
        <v>60</v>
      </c>
      <c r="H1082" s="31" t="s">
        <v>228</v>
      </c>
      <c r="I1082" s="14" t="s">
        <v>75</v>
      </c>
      <c r="J1082" s="14" t="s">
        <v>201</v>
      </c>
      <c r="K1082" s="14">
        <v>1</v>
      </c>
      <c r="L1082" s="14" t="s">
        <v>213</v>
      </c>
      <c r="N1082" s="14">
        <v>0</v>
      </c>
      <c r="O1082" s="14" t="b">
        <v>1</v>
      </c>
      <c r="Q1082" s="14" t="b">
        <v>0</v>
      </c>
      <c r="R1082" s="14">
        <v>1</v>
      </c>
      <c r="S1082" s="14" t="s">
        <v>77</v>
      </c>
      <c r="T1082" s="14">
        <v>999</v>
      </c>
      <c r="U1082" s="14" t="s">
        <v>214</v>
      </c>
      <c r="V1082" s="14">
        <v>31518001</v>
      </c>
      <c r="X1082" s="14" t="s">
        <v>204</v>
      </c>
      <c r="Y1082" s="14" t="s">
        <v>215</v>
      </c>
      <c r="Z1082" s="14">
        <v>20001</v>
      </c>
      <c r="AA1082" s="14" t="s">
        <v>205</v>
      </c>
      <c r="AB1082" s="14">
        <v>40001</v>
      </c>
      <c r="AE1082" s="29" t="s">
        <v>121</v>
      </c>
      <c r="AF1082" s="14" t="s">
        <v>213</v>
      </c>
      <c r="AG1082" s="14" t="s">
        <v>1231</v>
      </c>
    </row>
    <row r="1083" spans="2:33">
      <c r="B1083" s="14">
        <f>10000000+INDEX(编号表!$B:$B,MATCH(H1083,编号表!$A:$A,0))*100000+INDEX(编号表!$F:$F,MATCH(D1083,编号表!$E:$E,0))*10000+INDEX(编号表!$D:$D,MATCH(AG1083,编号表!$C:$C,0))*1000+F1083</f>
        <v>11518002</v>
      </c>
      <c r="C1083" s="14" t="s">
        <v>1244</v>
      </c>
      <c r="D1083" s="14" t="s">
        <v>72</v>
      </c>
      <c r="E1083" s="14" t="s">
        <v>1231</v>
      </c>
      <c r="F1083" s="14">
        <v>2</v>
      </c>
      <c r="G1083" s="14">
        <v>60</v>
      </c>
      <c r="H1083" s="31" t="s">
        <v>228</v>
      </c>
      <c r="I1083" s="14" t="s">
        <v>75</v>
      </c>
      <c r="J1083" s="14" t="s">
        <v>201</v>
      </c>
      <c r="K1083" s="14">
        <v>1</v>
      </c>
      <c r="L1083" s="14" t="s">
        <v>213</v>
      </c>
      <c r="N1083" s="14">
        <v>0</v>
      </c>
      <c r="O1083" s="14" t="b">
        <v>1</v>
      </c>
      <c r="Q1083" s="14" t="b">
        <v>0</v>
      </c>
      <c r="R1083" s="14">
        <v>1</v>
      </c>
      <c r="S1083" s="14" t="s">
        <v>77</v>
      </c>
      <c r="T1083" s="14">
        <v>999</v>
      </c>
      <c r="U1083" s="14" t="s">
        <v>214</v>
      </c>
      <c r="V1083" s="14">
        <v>31518002</v>
      </c>
      <c r="X1083" s="14" t="s">
        <v>204</v>
      </c>
      <c r="Y1083" s="14" t="s">
        <v>215</v>
      </c>
      <c r="Z1083" s="14">
        <v>20001</v>
      </c>
      <c r="AA1083" s="14" t="s">
        <v>205</v>
      </c>
      <c r="AB1083" s="14">
        <v>40001</v>
      </c>
      <c r="AE1083" s="29" t="s">
        <v>121</v>
      </c>
      <c r="AF1083" s="14" t="s">
        <v>213</v>
      </c>
      <c r="AG1083" s="14" t="s">
        <v>1231</v>
      </c>
    </row>
    <row r="1084" spans="2:33">
      <c r="B1084" s="14">
        <f>10000000+INDEX(编号表!$B:$B,MATCH(H1084,编号表!$A:$A,0))*100000+INDEX(编号表!$F:$F,MATCH(D1084,编号表!$E:$E,0))*10000+INDEX(编号表!$D:$D,MATCH(AG1084,编号表!$C:$C,0))*1000+F1084</f>
        <v>11518003</v>
      </c>
      <c r="C1084" s="14" t="s">
        <v>1245</v>
      </c>
      <c r="D1084" s="14" t="s">
        <v>72</v>
      </c>
      <c r="E1084" s="14" t="s">
        <v>1231</v>
      </c>
      <c r="F1084" s="14">
        <v>3</v>
      </c>
      <c r="G1084" s="14">
        <v>60</v>
      </c>
      <c r="H1084" s="31" t="s">
        <v>228</v>
      </c>
      <c r="I1084" s="14" t="s">
        <v>75</v>
      </c>
      <c r="J1084" s="14" t="s">
        <v>201</v>
      </c>
      <c r="K1084" s="14">
        <v>1</v>
      </c>
      <c r="L1084" s="14" t="s">
        <v>213</v>
      </c>
      <c r="N1084" s="14">
        <v>0</v>
      </c>
      <c r="O1084" s="14" t="b">
        <v>1</v>
      </c>
      <c r="Q1084" s="14" t="b">
        <v>0</v>
      </c>
      <c r="R1084" s="14">
        <v>1</v>
      </c>
      <c r="S1084" s="14" t="s">
        <v>77</v>
      </c>
      <c r="T1084" s="14">
        <v>999</v>
      </c>
      <c r="U1084" s="14" t="s">
        <v>214</v>
      </c>
      <c r="V1084" s="14">
        <v>31518003</v>
      </c>
      <c r="X1084" s="14" t="s">
        <v>204</v>
      </c>
      <c r="Y1084" s="14" t="s">
        <v>215</v>
      </c>
      <c r="Z1084" s="14">
        <v>20001</v>
      </c>
      <c r="AA1084" s="14" t="s">
        <v>205</v>
      </c>
      <c r="AB1084" s="14">
        <v>40001</v>
      </c>
      <c r="AE1084" s="29" t="s">
        <v>121</v>
      </c>
      <c r="AF1084" s="14" t="s">
        <v>213</v>
      </c>
      <c r="AG1084" s="14" t="s">
        <v>1231</v>
      </c>
    </row>
    <row r="1085" spans="2:33">
      <c r="B1085" s="14">
        <f>10000000+INDEX(编号表!$B:$B,MATCH(H1085,编号表!$A:$A,0))*100000+INDEX(编号表!$F:$F,MATCH(D1085,编号表!$E:$E,0))*10000+INDEX(编号表!$D:$D,MATCH(AG1085,编号表!$C:$C,0))*1000+F1085</f>
        <v>11518004</v>
      </c>
      <c r="C1085" s="14" t="s">
        <v>1246</v>
      </c>
      <c r="D1085" s="14" t="s">
        <v>72</v>
      </c>
      <c r="E1085" s="14" t="s">
        <v>1231</v>
      </c>
      <c r="F1085" s="14">
        <v>4</v>
      </c>
      <c r="G1085" s="14">
        <v>60</v>
      </c>
      <c r="H1085" s="31" t="s">
        <v>228</v>
      </c>
      <c r="I1085" s="14" t="s">
        <v>75</v>
      </c>
      <c r="J1085" s="14" t="s">
        <v>201</v>
      </c>
      <c r="K1085" s="14">
        <v>1</v>
      </c>
      <c r="L1085" s="14" t="s">
        <v>213</v>
      </c>
      <c r="N1085" s="14">
        <v>0</v>
      </c>
      <c r="O1085" s="14" t="b">
        <v>1</v>
      </c>
      <c r="Q1085" s="14" t="b">
        <v>0</v>
      </c>
      <c r="R1085" s="14">
        <v>1</v>
      </c>
      <c r="S1085" s="14" t="s">
        <v>77</v>
      </c>
      <c r="T1085" s="14">
        <v>999</v>
      </c>
      <c r="U1085" s="14" t="s">
        <v>214</v>
      </c>
      <c r="V1085" s="14">
        <v>31518004</v>
      </c>
      <c r="X1085" s="14" t="s">
        <v>204</v>
      </c>
      <c r="Y1085" s="14" t="s">
        <v>215</v>
      </c>
      <c r="Z1085" s="14">
        <v>20001</v>
      </c>
      <c r="AA1085" s="14" t="s">
        <v>205</v>
      </c>
      <c r="AB1085" s="14">
        <v>40001</v>
      </c>
      <c r="AE1085" s="29" t="s">
        <v>121</v>
      </c>
      <c r="AF1085" s="14" t="s">
        <v>213</v>
      </c>
      <c r="AG1085" s="14" t="s">
        <v>1231</v>
      </c>
    </row>
    <row r="1086" spans="2:33">
      <c r="B1086" s="14">
        <f>10000000+INDEX(编号表!$B:$B,MATCH(H1086,编号表!$A:$A,0))*100000+INDEX(编号表!$F:$F,MATCH(D1086,编号表!$E:$E,0))*10000+INDEX(编号表!$D:$D,MATCH(AG1086,编号表!$C:$C,0))*1000+F1086</f>
        <v>11518005</v>
      </c>
      <c r="C1086" s="14" t="s">
        <v>1247</v>
      </c>
      <c r="D1086" s="14" t="s">
        <v>72</v>
      </c>
      <c r="E1086" s="14" t="s">
        <v>1231</v>
      </c>
      <c r="F1086" s="14">
        <v>5</v>
      </c>
      <c r="G1086" s="14">
        <v>60</v>
      </c>
      <c r="H1086" s="31" t="s">
        <v>228</v>
      </c>
      <c r="I1086" s="14" t="s">
        <v>75</v>
      </c>
      <c r="J1086" s="14" t="s">
        <v>201</v>
      </c>
      <c r="K1086" s="14">
        <v>1</v>
      </c>
      <c r="L1086" s="14" t="s">
        <v>213</v>
      </c>
      <c r="N1086" s="14">
        <v>0</v>
      </c>
      <c r="O1086" s="14" t="b">
        <v>1</v>
      </c>
      <c r="Q1086" s="14" t="b">
        <v>0</v>
      </c>
      <c r="R1086" s="14">
        <v>1</v>
      </c>
      <c r="S1086" s="14" t="s">
        <v>77</v>
      </c>
      <c r="T1086" s="14">
        <v>999</v>
      </c>
      <c r="U1086" s="14" t="s">
        <v>214</v>
      </c>
      <c r="V1086" s="14">
        <v>31518005</v>
      </c>
      <c r="X1086" s="14" t="s">
        <v>204</v>
      </c>
      <c r="Y1086" s="14" t="s">
        <v>215</v>
      </c>
      <c r="Z1086" s="14">
        <v>20001</v>
      </c>
      <c r="AA1086" s="14" t="s">
        <v>205</v>
      </c>
      <c r="AB1086" s="14">
        <v>40001</v>
      </c>
      <c r="AE1086" s="29" t="s">
        <v>121</v>
      </c>
      <c r="AF1086" s="14" t="s">
        <v>213</v>
      </c>
      <c r="AG1086" s="14" t="s">
        <v>1231</v>
      </c>
    </row>
    <row r="1087" spans="2:33">
      <c r="B1087" s="14">
        <f>10000000+INDEX(编号表!$B:$B,MATCH(H1087,编号表!$A:$A,0))*100000+INDEX(编号表!$F:$F,MATCH(D1087,编号表!$E:$E,0))*10000+INDEX(编号表!$D:$D,MATCH(AG1087,编号表!$C:$C,0))*1000+F1087</f>
        <v>11518006</v>
      </c>
      <c r="C1087" s="14" t="s">
        <v>1248</v>
      </c>
      <c r="D1087" s="14" t="s">
        <v>72</v>
      </c>
      <c r="E1087" s="14" t="s">
        <v>1231</v>
      </c>
      <c r="F1087" s="14">
        <v>6</v>
      </c>
      <c r="G1087" s="14">
        <v>60</v>
      </c>
      <c r="H1087" s="31" t="s">
        <v>228</v>
      </c>
      <c r="I1087" s="14" t="s">
        <v>75</v>
      </c>
      <c r="J1087" s="14" t="s">
        <v>201</v>
      </c>
      <c r="K1087" s="14">
        <v>1</v>
      </c>
      <c r="L1087" s="14" t="s">
        <v>213</v>
      </c>
      <c r="N1087" s="14">
        <v>0</v>
      </c>
      <c r="O1087" s="14" t="b">
        <v>1</v>
      </c>
      <c r="Q1087" s="14" t="b">
        <v>0</v>
      </c>
      <c r="R1087" s="14">
        <v>1</v>
      </c>
      <c r="S1087" s="14" t="s">
        <v>77</v>
      </c>
      <c r="T1087" s="14">
        <v>999</v>
      </c>
      <c r="U1087" s="14" t="s">
        <v>214</v>
      </c>
      <c r="V1087" s="14">
        <v>31518006</v>
      </c>
      <c r="X1087" s="14" t="s">
        <v>204</v>
      </c>
      <c r="Y1087" s="14" t="s">
        <v>215</v>
      </c>
      <c r="Z1087" s="14">
        <v>20001</v>
      </c>
      <c r="AA1087" s="14" t="s">
        <v>205</v>
      </c>
      <c r="AB1087" s="14">
        <v>40001</v>
      </c>
      <c r="AE1087" s="29" t="s">
        <v>121</v>
      </c>
      <c r="AF1087" s="14" t="s">
        <v>213</v>
      </c>
      <c r="AG1087" s="14" t="s">
        <v>1231</v>
      </c>
    </row>
    <row r="1088" spans="2:33">
      <c r="B1088" s="14">
        <f>10000000+INDEX(编号表!$B:$B,MATCH(H1088,编号表!$A:$A,0))*100000+INDEX(编号表!$F:$F,MATCH(D1088,编号表!$E:$E,0))*10000+INDEX(编号表!$D:$D,MATCH(AG1088,编号表!$C:$C,0))*1000+F1088</f>
        <v>11518007</v>
      </c>
      <c r="C1088" s="14" t="s">
        <v>1249</v>
      </c>
      <c r="D1088" s="14" t="s">
        <v>72</v>
      </c>
      <c r="E1088" s="14" t="s">
        <v>1231</v>
      </c>
      <c r="F1088" s="14">
        <v>7</v>
      </c>
      <c r="G1088" s="14">
        <v>60</v>
      </c>
      <c r="H1088" s="31" t="s">
        <v>228</v>
      </c>
      <c r="I1088" s="14" t="s">
        <v>75</v>
      </c>
      <c r="J1088" s="14" t="s">
        <v>201</v>
      </c>
      <c r="K1088" s="14">
        <v>1</v>
      </c>
      <c r="L1088" s="14" t="s">
        <v>213</v>
      </c>
      <c r="N1088" s="14">
        <v>0</v>
      </c>
      <c r="O1088" s="14" t="b">
        <v>1</v>
      </c>
      <c r="Q1088" s="14" t="b">
        <v>0</v>
      </c>
      <c r="R1088" s="14">
        <v>1</v>
      </c>
      <c r="S1088" s="14" t="s">
        <v>77</v>
      </c>
      <c r="T1088" s="14">
        <v>999</v>
      </c>
      <c r="U1088" s="14" t="s">
        <v>214</v>
      </c>
      <c r="V1088" s="14">
        <v>31518007</v>
      </c>
      <c r="X1088" s="14" t="s">
        <v>204</v>
      </c>
      <c r="Y1088" s="14" t="s">
        <v>215</v>
      </c>
      <c r="Z1088" s="14">
        <v>20001</v>
      </c>
      <c r="AA1088" s="14" t="s">
        <v>205</v>
      </c>
      <c r="AB1088" s="14">
        <v>40001</v>
      </c>
      <c r="AE1088" s="29" t="s">
        <v>121</v>
      </c>
      <c r="AF1088" s="14" t="s">
        <v>213</v>
      </c>
      <c r="AG1088" s="14" t="s">
        <v>1231</v>
      </c>
    </row>
    <row r="1089" spans="2:33">
      <c r="B1089" s="14">
        <f>10000000+INDEX(编号表!$B:$B,MATCH(H1089,编号表!$A:$A,0))*100000+INDEX(编号表!$F:$F,MATCH(D1089,编号表!$E:$E,0))*10000+INDEX(编号表!$D:$D,MATCH(AG1089,编号表!$C:$C,0))*1000+F1089</f>
        <v>11518008</v>
      </c>
      <c r="C1089" s="14" t="s">
        <v>1250</v>
      </c>
      <c r="D1089" s="14" t="s">
        <v>72</v>
      </c>
      <c r="E1089" s="14" t="s">
        <v>1231</v>
      </c>
      <c r="F1089" s="14">
        <v>8</v>
      </c>
      <c r="G1089" s="14">
        <v>60</v>
      </c>
      <c r="H1089" s="31" t="s">
        <v>228</v>
      </c>
      <c r="I1089" s="14" t="s">
        <v>75</v>
      </c>
      <c r="J1089" s="14" t="s">
        <v>201</v>
      </c>
      <c r="K1089" s="14">
        <v>1</v>
      </c>
      <c r="L1089" s="14" t="s">
        <v>213</v>
      </c>
      <c r="N1089" s="14">
        <v>0</v>
      </c>
      <c r="O1089" s="14" t="b">
        <v>1</v>
      </c>
      <c r="Q1089" s="14" t="b">
        <v>0</v>
      </c>
      <c r="R1089" s="14">
        <v>1</v>
      </c>
      <c r="S1089" s="14" t="s">
        <v>77</v>
      </c>
      <c r="T1089" s="14">
        <v>999</v>
      </c>
      <c r="U1089" s="14" t="s">
        <v>214</v>
      </c>
      <c r="V1089" s="14">
        <v>31518008</v>
      </c>
      <c r="X1089" s="14" t="s">
        <v>204</v>
      </c>
      <c r="Y1089" s="14" t="s">
        <v>215</v>
      </c>
      <c r="Z1089" s="14">
        <v>20001</v>
      </c>
      <c r="AA1089" s="14" t="s">
        <v>205</v>
      </c>
      <c r="AB1089" s="14">
        <v>40001</v>
      </c>
      <c r="AE1089" s="29" t="s">
        <v>121</v>
      </c>
      <c r="AF1089" s="14" t="s">
        <v>213</v>
      </c>
      <c r="AG1089" s="14" t="s">
        <v>1231</v>
      </c>
    </row>
    <row r="1090" spans="2:33">
      <c r="B1090" s="14">
        <f>10000000+INDEX(编号表!$B:$B,MATCH(H1090,编号表!$A:$A,0))*100000+INDEX(编号表!$F:$F,MATCH(D1090,编号表!$E:$E,0))*10000+INDEX(编号表!$D:$D,MATCH(AG1090,编号表!$C:$C,0))*1000+F1090</f>
        <v>11518009</v>
      </c>
      <c r="C1090" s="14" t="s">
        <v>1251</v>
      </c>
      <c r="D1090" s="14" t="s">
        <v>72</v>
      </c>
      <c r="E1090" s="14" t="s">
        <v>1231</v>
      </c>
      <c r="F1090" s="14">
        <v>9</v>
      </c>
      <c r="G1090" s="14">
        <v>60</v>
      </c>
      <c r="H1090" s="31" t="s">
        <v>228</v>
      </c>
      <c r="I1090" s="14" t="s">
        <v>75</v>
      </c>
      <c r="J1090" s="14" t="s">
        <v>201</v>
      </c>
      <c r="K1090" s="14">
        <v>1</v>
      </c>
      <c r="L1090" s="14" t="s">
        <v>213</v>
      </c>
      <c r="N1090" s="14">
        <v>0</v>
      </c>
      <c r="O1090" s="14" t="b">
        <v>1</v>
      </c>
      <c r="Q1090" s="14" t="b">
        <v>0</v>
      </c>
      <c r="R1090" s="14">
        <v>1</v>
      </c>
      <c r="S1090" s="14" t="s">
        <v>77</v>
      </c>
      <c r="T1090" s="14">
        <v>999</v>
      </c>
      <c r="U1090" s="14" t="s">
        <v>214</v>
      </c>
      <c r="V1090" s="14">
        <v>31518009</v>
      </c>
      <c r="X1090" s="14" t="s">
        <v>204</v>
      </c>
      <c r="Y1090" s="14" t="s">
        <v>215</v>
      </c>
      <c r="Z1090" s="14">
        <v>20001</v>
      </c>
      <c r="AA1090" s="14" t="s">
        <v>205</v>
      </c>
      <c r="AB1090" s="14">
        <v>40001</v>
      </c>
      <c r="AE1090" s="29" t="s">
        <v>121</v>
      </c>
      <c r="AF1090" s="14" t="s">
        <v>213</v>
      </c>
      <c r="AG1090" s="14" t="s">
        <v>1231</v>
      </c>
    </row>
    <row r="1091" spans="2:33">
      <c r="B1091" s="14">
        <f>10000000+INDEX(编号表!$B:$B,MATCH(H1091,编号表!$A:$A,0))*100000+INDEX(编号表!$F:$F,MATCH(D1091,编号表!$E:$E,0))*10000+INDEX(编号表!$D:$D,MATCH(AG1091,编号表!$C:$C,0))*1000+F1091</f>
        <v>11418000</v>
      </c>
      <c r="C1091" s="14" t="s">
        <v>1252</v>
      </c>
      <c r="D1091" s="14" t="s">
        <v>72</v>
      </c>
      <c r="E1091" s="14" t="s">
        <v>1231</v>
      </c>
      <c r="F1091" s="14">
        <v>0</v>
      </c>
      <c r="G1091" s="14">
        <v>60</v>
      </c>
      <c r="H1091" s="31" t="s">
        <v>239</v>
      </c>
      <c r="I1091" s="14" t="s">
        <v>75</v>
      </c>
      <c r="J1091" s="14" t="s">
        <v>201</v>
      </c>
      <c r="K1091" s="14">
        <v>1</v>
      </c>
      <c r="L1091" s="14" t="s">
        <v>213</v>
      </c>
      <c r="N1091" s="14">
        <v>0</v>
      </c>
      <c r="O1091" s="14" t="b">
        <v>1</v>
      </c>
      <c r="Q1091" s="14" t="b">
        <v>0</v>
      </c>
      <c r="R1091" s="14">
        <v>1</v>
      </c>
      <c r="S1091" s="14" t="s">
        <v>77</v>
      </c>
      <c r="T1091" s="14">
        <v>999</v>
      </c>
      <c r="U1091" s="14" t="s">
        <v>214</v>
      </c>
      <c r="V1091" s="14">
        <v>31418000</v>
      </c>
      <c r="X1091" s="14" t="s">
        <v>204</v>
      </c>
      <c r="Y1091" s="14" t="s">
        <v>215</v>
      </c>
      <c r="Z1091" s="14">
        <v>20001</v>
      </c>
      <c r="AA1091" s="14" t="s">
        <v>205</v>
      </c>
      <c r="AB1091" s="14">
        <v>40001</v>
      </c>
      <c r="AE1091" s="29" t="s">
        <v>121</v>
      </c>
      <c r="AF1091" s="14" t="s">
        <v>213</v>
      </c>
      <c r="AG1091" s="14" t="s">
        <v>1231</v>
      </c>
    </row>
    <row r="1092" spans="2:33">
      <c r="B1092" s="14">
        <f>10000000+INDEX(编号表!$B:$B,MATCH(H1092,编号表!$A:$A,0))*100000+INDEX(编号表!$F:$F,MATCH(D1092,编号表!$E:$E,0))*10000+INDEX(编号表!$D:$D,MATCH(AG1092,编号表!$C:$C,0))*1000+F1092</f>
        <v>11418001</v>
      </c>
      <c r="C1092" s="14" t="s">
        <v>1253</v>
      </c>
      <c r="D1092" s="14" t="s">
        <v>72</v>
      </c>
      <c r="E1092" s="14" t="s">
        <v>1231</v>
      </c>
      <c r="F1092" s="14">
        <v>1</v>
      </c>
      <c r="G1092" s="14">
        <v>60</v>
      </c>
      <c r="H1092" s="31" t="s">
        <v>239</v>
      </c>
      <c r="I1092" s="14" t="s">
        <v>75</v>
      </c>
      <c r="J1092" s="14" t="s">
        <v>201</v>
      </c>
      <c r="K1092" s="14">
        <v>1</v>
      </c>
      <c r="L1092" s="14" t="s">
        <v>213</v>
      </c>
      <c r="N1092" s="14">
        <v>0</v>
      </c>
      <c r="O1092" s="14" t="b">
        <v>1</v>
      </c>
      <c r="Q1092" s="14" t="b">
        <v>0</v>
      </c>
      <c r="R1092" s="14">
        <v>1</v>
      </c>
      <c r="S1092" s="14" t="s">
        <v>77</v>
      </c>
      <c r="T1092" s="14">
        <v>999</v>
      </c>
      <c r="U1092" s="14" t="s">
        <v>214</v>
      </c>
      <c r="V1092" s="14">
        <v>31418001</v>
      </c>
      <c r="X1092" s="14" t="s">
        <v>204</v>
      </c>
      <c r="Y1092" s="14" t="s">
        <v>215</v>
      </c>
      <c r="Z1092" s="14">
        <v>20001</v>
      </c>
      <c r="AA1092" s="14" t="s">
        <v>205</v>
      </c>
      <c r="AB1092" s="14">
        <v>40001</v>
      </c>
      <c r="AE1092" s="29" t="s">
        <v>121</v>
      </c>
      <c r="AF1092" s="14" t="s">
        <v>213</v>
      </c>
      <c r="AG1092" s="14" t="s">
        <v>1231</v>
      </c>
    </row>
    <row r="1093" spans="2:33">
      <c r="B1093" s="14">
        <f>10000000+INDEX(编号表!$B:$B,MATCH(H1093,编号表!$A:$A,0))*100000+INDEX(编号表!$F:$F,MATCH(D1093,编号表!$E:$E,0))*10000+INDEX(编号表!$D:$D,MATCH(AG1093,编号表!$C:$C,0))*1000+F1093</f>
        <v>11418002</v>
      </c>
      <c r="C1093" s="14" t="s">
        <v>1254</v>
      </c>
      <c r="D1093" s="14" t="s">
        <v>72</v>
      </c>
      <c r="E1093" s="14" t="s">
        <v>1231</v>
      </c>
      <c r="F1093" s="14">
        <v>2</v>
      </c>
      <c r="G1093" s="14">
        <v>60</v>
      </c>
      <c r="H1093" s="31" t="s">
        <v>239</v>
      </c>
      <c r="I1093" s="14" t="s">
        <v>75</v>
      </c>
      <c r="J1093" s="14" t="s">
        <v>201</v>
      </c>
      <c r="K1093" s="14">
        <v>1</v>
      </c>
      <c r="L1093" s="14" t="s">
        <v>213</v>
      </c>
      <c r="N1093" s="14">
        <v>0</v>
      </c>
      <c r="O1093" s="14" t="b">
        <v>1</v>
      </c>
      <c r="Q1093" s="14" t="b">
        <v>0</v>
      </c>
      <c r="R1093" s="14">
        <v>1</v>
      </c>
      <c r="S1093" s="14" t="s">
        <v>77</v>
      </c>
      <c r="T1093" s="14">
        <v>999</v>
      </c>
      <c r="U1093" s="14" t="s">
        <v>214</v>
      </c>
      <c r="V1093" s="14">
        <v>31418002</v>
      </c>
      <c r="X1093" s="14" t="s">
        <v>204</v>
      </c>
      <c r="Y1093" s="14" t="s">
        <v>215</v>
      </c>
      <c r="Z1093" s="14">
        <v>20001</v>
      </c>
      <c r="AA1093" s="14" t="s">
        <v>205</v>
      </c>
      <c r="AB1093" s="14">
        <v>40001</v>
      </c>
      <c r="AE1093" s="29" t="s">
        <v>121</v>
      </c>
      <c r="AF1093" s="14" t="s">
        <v>213</v>
      </c>
      <c r="AG1093" s="14" t="s">
        <v>1231</v>
      </c>
    </row>
    <row r="1094" spans="2:33">
      <c r="B1094" s="14">
        <f>10000000+INDEX(编号表!$B:$B,MATCH(H1094,编号表!$A:$A,0))*100000+INDEX(编号表!$F:$F,MATCH(D1094,编号表!$E:$E,0))*10000+INDEX(编号表!$D:$D,MATCH(AG1094,编号表!$C:$C,0))*1000+F1094</f>
        <v>11418003</v>
      </c>
      <c r="C1094" s="14" t="s">
        <v>1255</v>
      </c>
      <c r="D1094" s="14" t="s">
        <v>72</v>
      </c>
      <c r="E1094" s="14" t="s">
        <v>1231</v>
      </c>
      <c r="F1094" s="14">
        <v>3</v>
      </c>
      <c r="G1094" s="14">
        <v>60</v>
      </c>
      <c r="H1094" s="31" t="s">
        <v>239</v>
      </c>
      <c r="I1094" s="14" t="s">
        <v>75</v>
      </c>
      <c r="J1094" s="14" t="s">
        <v>201</v>
      </c>
      <c r="K1094" s="14">
        <v>1</v>
      </c>
      <c r="L1094" s="14" t="s">
        <v>213</v>
      </c>
      <c r="N1094" s="14">
        <v>0</v>
      </c>
      <c r="O1094" s="14" t="b">
        <v>1</v>
      </c>
      <c r="Q1094" s="14" t="b">
        <v>0</v>
      </c>
      <c r="R1094" s="14">
        <v>1</v>
      </c>
      <c r="S1094" s="14" t="s">
        <v>77</v>
      </c>
      <c r="T1094" s="14">
        <v>999</v>
      </c>
      <c r="U1094" s="14" t="s">
        <v>214</v>
      </c>
      <c r="V1094" s="14">
        <v>31418003</v>
      </c>
      <c r="X1094" s="14" t="s">
        <v>204</v>
      </c>
      <c r="Y1094" s="14" t="s">
        <v>215</v>
      </c>
      <c r="Z1094" s="14">
        <v>20001</v>
      </c>
      <c r="AA1094" s="14" t="s">
        <v>205</v>
      </c>
      <c r="AB1094" s="14">
        <v>40001</v>
      </c>
      <c r="AE1094" s="29" t="s">
        <v>121</v>
      </c>
      <c r="AF1094" s="14" t="s">
        <v>213</v>
      </c>
      <c r="AG1094" s="14" t="s">
        <v>1231</v>
      </c>
    </row>
    <row r="1095" spans="2:33">
      <c r="B1095" s="14">
        <f>10000000+INDEX(编号表!$B:$B,MATCH(H1095,编号表!$A:$A,0))*100000+INDEX(编号表!$F:$F,MATCH(D1095,编号表!$E:$E,0))*10000+INDEX(编号表!$D:$D,MATCH(AG1095,编号表!$C:$C,0))*1000+F1095</f>
        <v>11618000</v>
      </c>
      <c r="C1095" s="14" t="s">
        <v>1256</v>
      </c>
      <c r="D1095" s="14" t="s">
        <v>72</v>
      </c>
      <c r="E1095" s="14" t="s">
        <v>1231</v>
      </c>
      <c r="F1095" s="14">
        <v>0</v>
      </c>
      <c r="G1095" s="14">
        <v>60</v>
      </c>
      <c r="H1095" s="31" t="s">
        <v>244</v>
      </c>
      <c r="I1095" s="14" t="s">
        <v>75</v>
      </c>
      <c r="J1095" s="14" t="s">
        <v>201</v>
      </c>
      <c r="K1095" s="14">
        <v>1</v>
      </c>
      <c r="L1095" s="14" t="s">
        <v>213</v>
      </c>
      <c r="N1095" s="14">
        <v>0</v>
      </c>
      <c r="O1095" s="14" t="b">
        <v>1</v>
      </c>
      <c r="Q1095" s="14" t="b">
        <v>0</v>
      </c>
      <c r="R1095" s="14">
        <v>1</v>
      </c>
      <c r="S1095" s="14" t="s">
        <v>77</v>
      </c>
      <c r="T1095" s="14">
        <v>999</v>
      </c>
      <c r="U1095" s="14" t="s">
        <v>214</v>
      </c>
      <c r="V1095" s="14">
        <v>31618000</v>
      </c>
      <c r="X1095" s="14" t="s">
        <v>204</v>
      </c>
      <c r="Y1095" s="14" t="s">
        <v>215</v>
      </c>
      <c r="Z1095" s="14">
        <v>20001</v>
      </c>
      <c r="AA1095" s="14" t="s">
        <v>205</v>
      </c>
      <c r="AB1095" s="14">
        <v>40001</v>
      </c>
      <c r="AE1095" s="29" t="s">
        <v>121</v>
      </c>
      <c r="AF1095" s="14" t="s">
        <v>213</v>
      </c>
      <c r="AG1095" s="14" t="s">
        <v>1231</v>
      </c>
    </row>
    <row r="1096" spans="2:33">
      <c r="B1096" s="14">
        <f>10000000+INDEX(编号表!$B:$B,MATCH(H1096,编号表!$A:$A,0))*100000+INDEX(编号表!$F:$F,MATCH(D1096,编号表!$E:$E,0))*10000+INDEX(编号表!$D:$D,MATCH(AG1096,编号表!$C:$C,0))*1000+F1096</f>
        <v>11618001</v>
      </c>
      <c r="C1096" s="14" t="s">
        <v>1257</v>
      </c>
      <c r="D1096" s="14" t="s">
        <v>72</v>
      </c>
      <c r="E1096" s="14" t="s">
        <v>1231</v>
      </c>
      <c r="F1096" s="14">
        <v>1</v>
      </c>
      <c r="G1096" s="14">
        <v>60</v>
      </c>
      <c r="H1096" s="31" t="s">
        <v>244</v>
      </c>
      <c r="I1096" s="14" t="s">
        <v>75</v>
      </c>
      <c r="J1096" s="14" t="s">
        <v>201</v>
      </c>
      <c r="K1096" s="14">
        <v>1</v>
      </c>
      <c r="L1096" s="14" t="s">
        <v>213</v>
      </c>
      <c r="N1096" s="14">
        <v>0</v>
      </c>
      <c r="O1096" s="14" t="b">
        <v>1</v>
      </c>
      <c r="Q1096" s="14" t="b">
        <v>0</v>
      </c>
      <c r="R1096" s="14">
        <v>1</v>
      </c>
      <c r="S1096" s="14" t="s">
        <v>77</v>
      </c>
      <c r="T1096" s="14">
        <v>999</v>
      </c>
      <c r="U1096" s="14" t="s">
        <v>214</v>
      </c>
      <c r="V1096" s="14">
        <v>31618001</v>
      </c>
      <c r="X1096" s="14" t="s">
        <v>204</v>
      </c>
      <c r="Y1096" s="14" t="s">
        <v>215</v>
      </c>
      <c r="Z1096" s="14">
        <v>20001</v>
      </c>
      <c r="AA1096" s="14" t="s">
        <v>205</v>
      </c>
      <c r="AB1096" s="14">
        <v>40001</v>
      </c>
      <c r="AE1096" s="29" t="s">
        <v>121</v>
      </c>
      <c r="AF1096" s="14" t="s">
        <v>213</v>
      </c>
      <c r="AG1096" s="14" t="s">
        <v>1231</v>
      </c>
    </row>
    <row r="1097" spans="2:33">
      <c r="B1097" s="14">
        <f>10000000+INDEX(编号表!$B:$B,MATCH(H1097,编号表!$A:$A,0))*100000+INDEX(编号表!$F:$F,MATCH(D1097,编号表!$E:$E,0))*10000+INDEX(编号表!$D:$D,MATCH(AG1097,编号表!$C:$C,0))*1000+F1097</f>
        <v>11618002</v>
      </c>
      <c r="C1097" s="14" t="s">
        <v>1258</v>
      </c>
      <c r="D1097" s="14" t="s">
        <v>72</v>
      </c>
      <c r="E1097" s="14" t="s">
        <v>1231</v>
      </c>
      <c r="F1097" s="14">
        <v>2</v>
      </c>
      <c r="G1097" s="14">
        <v>60</v>
      </c>
      <c r="H1097" s="31" t="s">
        <v>244</v>
      </c>
      <c r="I1097" s="14" t="s">
        <v>75</v>
      </c>
      <c r="J1097" s="14" t="s">
        <v>201</v>
      </c>
      <c r="K1097" s="14">
        <v>1</v>
      </c>
      <c r="L1097" s="14" t="s">
        <v>213</v>
      </c>
      <c r="N1097" s="14">
        <v>0</v>
      </c>
      <c r="O1097" s="14" t="b">
        <v>1</v>
      </c>
      <c r="Q1097" s="14" t="b">
        <v>0</v>
      </c>
      <c r="R1097" s="14">
        <v>1</v>
      </c>
      <c r="S1097" s="14" t="s">
        <v>77</v>
      </c>
      <c r="T1097" s="14">
        <v>999</v>
      </c>
      <c r="U1097" s="14" t="s">
        <v>214</v>
      </c>
      <c r="V1097" s="14">
        <v>31618002</v>
      </c>
      <c r="X1097" s="14" t="s">
        <v>204</v>
      </c>
      <c r="Y1097" s="14" t="s">
        <v>215</v>
      </c>
      <c r="Z1097" s="14">
        <v>20001</v>
      </c>
      <c r="AA1097" s="14" t="s">
        <v>205</v>
      </c>
      <c r="AB1097" s="14">
        <v>40001</v>
      </c>
      <c r="AE1097" s="29" t="s">
        <v>121</v>
      </c>
      <c r="AF1097" s="14" t="s">
        <v>213</v>
      </c>
      <c r="AG1097" s="14" t="s">
        <v>1231</v>
      </c>
    </row>
    <row r="1098" spans="2:33">
      <c r="B1098" s="14">
        <f>10000000+INDEX(编号表!$B:$B,MATCH(H1098,编号表!$A:$A,0))*100000+INDEX(编号表!$F:$F,MATCH(D1098,编号表!$E:$E,0))*10000+INDEX(编号表!$D:$D,MATCH(AG1098,编号表!$C:$C,0))*1000+F1098</f>
        <v>11228000</v>
      </c>
      <c r="C1098" s="14" t="s">
        <v>1259</v>
      </c>
      <c r="D1098" s="14" t="s">
        <v>112</v>
      </c>
      <c r="E1098" s="14" t="s">
        <v>1231</v>
      </c>
      <c r="F1098" s="14">
        <v>0</v>
      </c>
      <c r="G1098" s="14">
        <v>60</v>
      </c>
      <c r="H1098" s="31" t="s">
        <v>212</v>
      </c>
      <c r="I1098" s="14" t="s">
        <v>75</v>
      </c>
      <c r="J1098" s="14" t="s">
        <v>201</v>
      </c>
      <c r="K1098" s="14">
        <v>1</v>
      </c>
      <c r="L1098" s="14" t="s">
        <v>213</v>
      </c>
      <c r="N1098" s="14">
        <v>0</v>
      </c>
      <c r="O1098" s="14" t="b">
        <v>1</v>
      </c>
      <c r="Q1098" s="14" t="b">
        <v>0</v>
      </c>
      <c r="R1098" s="14">
        <v>1</v>
      </c>
      <c r="S1098" s="14" t="s">
        <v>77</v>
      </c>
      <c r="T1098" s="14">
        <v>999</v>
      </c>
      <c r="U1098" s="14" t="s">
        <v>214</v>
      </c>
      <c r="V1098" s="14">
        <v>31228000</v>
      </c>
      <c r="X1098" s="14" t="s">
        <v>204</v>
      </c>
      <c r="Y1098" s="14" t="s">
        <v>215</v>
      </c>
      <c r="Z1098" s="14">
        <v>20001</v>
      </c>
      <c r="AA1098" s="14" t="s">
        <v>205</v>
      </c>
      <c r="AB1098" s="14">
        <v>40001</v>
      </c>
      <c r="AE1098" s="29" t="s">
        <v>121</v>
      </c>
      <c r="AF1098" s="14" t="s">
        <v>213</v>
      </c>
      <c r="AG1098" s="14" t="s">
        <v>1231</v>
      </c>
    </row>
    <row r="1099" spans="2:33">
      <c r="B1099" s="14">
        <f>10000000+INDEX(编号表!$B:$B,MATCH(H1099,编号表!$A:$A,0))*100000+INDEX(编号表!$F:$F,MATCH(D1099,编号表!$E:$E,0))*10000+INDEX(编号表!$D:$D,MATCH(AG1099,编号表!$C:$C,0))*1000+F1099</f>
        <v>11328000</v>
      </c>
      <c r="C1099" s="14" t="s">
        <v>1260</v>
      </c>
      <c r="D1099" s="14" t="s">
        <v>112</v>
      </c>
      <c r="E1099" s="14" t="s">
        <v>1231</v>
      </c>
      <c r="F1099" s="14">
        <v>0</v>
      </c>
      <c r="G1099" s="14">
        <v>60</v>
      </c>
      <c r="H1099" s="31" t="s">
        <v>217</v>
      </c>
      <c r="I1099" s="14" t="s">
        <v>75</v>
      </c>
      <c r="J1099" s="14" t="s">
        <v>201</v>
      </c>
      <c r="K1099" s="14">
        <v>1</v>
      </c>
      <c r="L1099" s="14" t="s">
        <v>213</v>
      </c>
      <c r="N1099" s="14">
        <v>0</v>
      </c>
      <c r="O1099" s="14" t="b">
        <v>1</v>
      </c>
      <c r="Q1099" s="14" t="b">
        <v>0</v>
      </c>
      <c r="R1099" s="14">
        <v>1</v>
      </c>
      <c r="S1099" s="14" t="s">
        <v>77</v>
      </c>
      <c r="T1099" s="14">
        <v>999</v>
      </c>
      <c r="U1099" s="14" t="s">
        <v>214</v>
      </c>
      <c r="V1099" s="14">
        <v>31328000</v>
      </c>
      <c r="X1099" s="14" t="s">
        <v>204</v>
      </c>
      <c r="Y1099" s="14" t="s">
        <v>215</v>
      </c>
      <c r="Z1099" s="14">
        <v>20001</v>
      </c>
      <c r="AA1099" s="14" t="s">
        <v>205</v>
      </c>
      <c r="AB1099" s="14">
        <v>40001</v>
      </c>
      <c r="AE1099" s="29" t="s">
        <v>121</v>
      </c>
      <c r="AF1099" s="14" t="s">
        <v>213</v>
      </c>
      <c r="AG1099" s="14" t="s">
        <v>1231</v>
      </c>
    </row>
    <row r="1100" spans="2:33">
      <c r="B1100" s="14">
        <f>10000000+INDEX(编号表!$B:$B,MATCH(H1100,编号表!$A:$A,0))*100000+INDEX(编号表!$F:$F,MATCH(D1100,编号表!$E:$E,0))*10000+INDEX(编号表!$D:$D,MATCH(AG1100,编号表!$C:$C,0))*1000+F1100</f>
        <v>11328001</v>
      </c>
      <c r="C1100" s="14" t="s">
        <v>1261</v>
      </c>
      <c r="D1100" s="14" t="s">
        <v>112</v>
      </c>
      <c r="E1100" s="14" t="s">
        <v>1231</v>
      </c>
      <c r="F1100" s="14">
        <v>1</v>
      </c>
      <c r="G1100" s="14">
        <v>60</v>
      </c>
      <c r="H1100" s="31" t="s">
        <v>217</v>
      </c>
      <c r="I1100" s="14" t="s">
        <v>75</v>
      </c>
      <c r="J1100" s="14" t="s">
        <v>201</v>
      </c>
      <c r="K1100" s="14">
        <v>1</v>
      </c>
      <c r="L1100" s="14" t="s">
        <v>213</v>
      </c>
      <c r="N1100" s="14">
        <v>0</v>
      </c>
      <c r="O1100" s="14" t="b">
        <v>1</v>
      </c>
      <c r="Q1100" s="14" t="b">
        <v>0</v>
      </c>
      <c r="R1100" s="14">
        <v>1</v>
      </c>
      <c r="S1100" s="14" t="s">
        <v>77</v>
      </c>
      <c r="T1100" s="14">
        <v>999</v>
      </c>
      <c r="U1100" s="14" t="s">
        <v>214</v>
      </c>
      <c r="V1100" s="14">
        <v>31328001</v>
      </c>
      <c r="X1100" s="14" t="s">
        <v>204</v>
      </c>
      <c r="Y1100" s="14" t="s">
        <v>215</v>
      </c>
      <c r="Z1100" s="14">
        <v>20001</v>
      </c>
      <c r="AA1100" s="14" t="s">
        <v>205</v>
      </c>
      <c r="AB1100" s="14">
        <v>40001</v>
      </c>
      <c r="AE1100" s="29" t="s">
        <v>121</v>
      </c>
      <c r="AF1100" s="14" t="s">
        <v>213</v>
      </c>
      <c r="AG1100" s="14" t="s">
        <v>1231</v>
      </c>
    </row>
    <row r="1101" spans="2:33">
      <c r="B1101" s="14">
        <f>10000000+INDEX(编号表!$B:$B,MATCH(H1101,编号表!$A:$A,0))*100000+INDEX(编号表!$F:$F,MATCH(D1101,编号表!$E:$E,0))*10000+INDEX(编号表!$D:$D,MATCH(AG1101,编号表!$C:$C,0))*1000+F1101</f>
        <v>11328002</v>
      </c>
      <c r="C1101" s="14" t="s">
        <v>1262</v>
      </c>
      <c r="D1101" s="14" t="s">
        <v>112</v>
      </c>
      <c r="E1101" s="14" t="s">
        <v>1231</v>
      </c>
      <c r="F1101" s="14">
        <v>2</v>
      </c>
      <c r="G1101" s="14">
        <v>60</v>
      </c>
      <c r="H1101" s="31" t="s">
        <v>217</v>
      </c>
      <c r="I1101" s="14" t="s">
        <v>75</v>
      </c>
      <c r="J1101" s="14" t="s">
        <v>201</v>
      </c>
      <c r="K1101" s="14">
        <v>1</v>
      </c>
      <c r="L1101" s="14" t="s">
        <v>213</v>
      </c>
      <c r="N1101" s="14">
        <v>0</v>
      </c>
      <c r="O1101" s="14" t="b">
        <v>1</v>
      </c>
      <c r="Q1101" s="14" t="b">
        <v>0</v>
      </c>
      <c r="R1101" s="14">
        <v>1</v>
      </c>
      <c r="S1101" s="14" t="s">
        <v>77</v>
      </c>
      <c r="T1101" s="14">
        <v>999</v>
      </c>
      <c r="U1101" s="14" t="s">
        <v>214</v>
      </c>
      <c r="V1101" s="14">
        <v>31328002</v>
      </c>
      <c r="X1101" s="14" t="s">
        <v>204</v>
      </c>
      <c r="Y1101" s="14" t="s">
        <v>215</v>
      </c>
      <c r="Z1101" s="14">
        <v>20001</v>
      </c>
      <c r="AA1101" s="14" t="s">
        <v>205</v>
      </c>
      <c r="AB1101" s="14">
        <v>40001</v>
      </c>
      <c r="AE1101" s="29" t="s">
        <v>121</v>
      </c>
      <c r="AF1101" s="14" t="s">
        <v>213</v>
      </c>
      <c r="AG1101" s="14" t="s">
        <v>1231</v>
      </c>
    </row>
    <row r="1102" spans="2:33">
      <c r="B1102" s="14">
        <f>10000000+INDEX(编号表!$B:$B,MATCH(H1102,编号表!$A:$A,0))*100000+INDEX(编号表!$F:$F,MATCH(D1102,编号表!$E:$E,0))*10000+INDEX(编号表!$D:$D,MATCH(AG1102,编号表!$C:$C,0))*1000+F1102</f>
        <v>11328003</v>
      </c>
      <c r="C1102" s="14" t="s">
        <v>1263</v>
      </c>
      <c r="D1102" s="14" t="s">
        <v>112</v>
      </c>
      <c r="E1102" s="14" t="s">
        <v>1231</v>
      </c>
      <c r="F1102" s="14">
        <v>3</v>
      </c>
      <c r="G1102" s="14">
        <v>60</v>
      </c>
      <c r="H1102" s="31" t="s">
        <v>217</v>
      </c>
      <c r="I1102" s="14" t="s">
        <v>75</v>
      </c>
      <c r="J1102" s="14" t="s">
        <v>201</v>
      </c>
      <c r="K1102" s="14">
        <v>1</v>
      </c>
      <c r="L1102" s="14" t="s">
        <v>213</v>
      </c>
      <c r="N1102" s="14">
        <v>0</v>
      </c>
      <c r="O1102" s="14" t="b">
        <v>1</v>
      </c>
      <c r="Q1102" s="14" t="b">
        <v>0</v>
      </c>
      <c r="R1102" s="14">
        <v>1</v>
      </c>
      <c r="S1102" s="14" t="s">
        <v>77</v>
      </c>
      <c r="T1102" s="14">
        <v>999</v>
      </c>
      <c r="U1102" s="14" t="s">
        <v>214</v>
      </c>
      <c r="V1102" s="14">
        <v>31328003</v>
      </c>
      <c r="X1102" s="14" t="s">
        <v>204</v>
      </c>
      <c r="Y1102" s="14" t="s">
        <v>215</v>
      </c>
      <c r="Z1102" s="14">
        <v>20001</v>
      </c>
      <c r="AA1102" s="14" t="s">
        <v>205</v>
      </c>
      <c r="AB1102" s="14">
        <v>40001</v>
      </c>
      <c r="AE1102" s="29" t="s">
        <v>121</v>
      </c>
      <c r="AF1102" s="14" t="s">
        <v>213</v>
      </c>
      <c r="AG1102" s="14" t="s">
        <v>1231</v>
      </c>
    </row>
    <row r="1103" spans="2:33">
      <c r="B1103" s="14">
        <f>10000000+INDEX(编号表!$B:$B,MATCH(H1103,编号表!$A:$A,0))*100000+INDEX(编号表!$F:$F,MATCH(D1103,编号表!$E:$E,0))*10000+INDEX(编号表!$D:$D,MATCH(AG1103,编号表!$C:$C,0))*1000+F1103</f>
        <v>11328004</v>
      </c>
      <c r="C1103" s="14" t="s">
        <v>1264</v>
      </c>
      <c r="D1103" s="14" t="s">
        <v>112</v>
      </c>
      <c r="E1103" s="14" t="s">
        <v>1231</v>
      </c>
      <c r="F1103" s="14">
        <v>4</v>
      </c>
      <c r="G1103" s="14">
        <v>60</v>
      </c>
      <c r="H1103" s="31" t="s">
        <v>217</v>
      </c>
      <c r="I1103" s="14" t="s">
        <v>75</v>
      </c>
      <c r="J1103" s="14" t="s">
        <v>201</v>
      </c>
      <c r="K1103" s="14">
        <v>1</v>
      </c>
      <c r="L1103" s="14" t="s">
        <v>213</v>
      </c>
      <c r="N1103" s="14">
        <v>0</v>
      </c>
      <c r="O1103" s="14" t="b">
        <v>1</v>
      </c>
      <c r="Q1103" s="14" t="b">
        <v>0</v>
      </c>
      <c r="R1103" s="14">
        <v>1</v>
      </c>
      <c r="S1103" s="14" t="s">
        <v>77</v>
      </c>
      <c r="T1103" s="14">
        <v>999</v>
      </c>
      <c r="U1103" s="14" t="s">
        <v>214</v>
      </c>
      <c r="V1103" s="14">
        <v>31328004</v>
      </c>
      <c r="X1103" s="14" t="s">
        <v>204</v>
      </c>
      <c r="Y1103" s="14" t="s">
        <v>215</v>
      </c>
      <c r="Z1103" s="14">
        <v>20001</v>
      </c>
      <c r="AA1103" s="14" t="s">
        <v>205</v>
      </c>
      <c r="AB1103" s="14">
        <v>40001</v>
      </c>
      <c r="AE1103" s="29" t="s">
        <v>121</v>
      </c>
      <c r="AF1103" s="14" t="s">
        <v>213</v>
      </c>
      <c r="AG1103" s="14" t="s">
        <v>1231</v>
      </c>
    </row>
    <row r="1104" spans="2:33">
      <c r="B1104" s="14">
        <f>10000000+INDEX(编号表!$B:$B,MATCH(H1104,编号表!$A:$A,0))*100000+INDEX(编号表!$F:$F,MATCH(D1104,编号表!$E:$E,0))*10000+INDEX(编号表!$D:$D,MATCH(AG1104,编号表!$C:$C,0))*1000+F1104</f>
        <v>11328005</v>
      </c>
      <c r="C1104" s="14" t="s">
        <v>1265</v>
      </c>
      <c r="D1104" s="14" t="s">
        <v>112</v>
      </c>
      <c r="E1104" s="14" t="s">
        <v>1231</v>
      </c>
      <c r="F1104" s="14">
        <v>5</v>
      </c>
      <c r="G1104" s="14">
        <v>60</v>
      </c>
      <c r="H1104" s="31" t="s">
        <v>217</v>
      </c>
      <c r="I1104" s="14" t="s">
        <v>75</v>
      </c>
      <c r="J1104" s="14" t="s">
        <v>201</v>
      </c>
      <c r="K1104" s="14">
        <v>1</v>
      </c>
      <c r="L1104" s="14" t="s">
        <v>213</v>
      </c>
      <c r="N1104" s="14">
        <v>0</v>
      </c>
      <c r="O1104" s="14" t="b">
        <v>1</v>
      </c>
      <c r="Q1104" s="14" t="b">
        <v>0</v>
      </c>
      <c r="R1104" s="14">
        <v>1</v>
      </c>
      <c r="S1104" s="14" t="s">
        <v>77</v>
      </c>
      <c r="T1104" s="14">
        <v>999</v>
      </c>
      <c r="U1104" s="14" t="s">
        <v>214</v>
      </c>
      <c r="V1104" s="14">
        <v>31328005</v>
      </c>
      <c r="X1104" s="14" t="s">
        <v>204</v>
      </c>
      <c r="Y1104" s="14" t="s">
        <v>215</v>
      </c>
      <c r="Z1104" s="14">
        <v>20001</v>
      </c>
      <c r="AA1104" s="14" t="s">
        <v>205</v>
      </c>
      <c r="AB1104" s="14">
        <v>40001</v>
      </c>
      <c r="AE1104" s="29" t="s">
        <v>121</v>
      </c>
      <c r="AF1104" s="14" t="s">
        <v>213</v>
      </c>
      <c r="AG1104" s="14" t="s">
        <v>1231</v>
      </c>
    </row>
    <row r="1105" spans="2:33">
      <c r="B1105" s="14">
        <f>10000000+INDEX(编号表!$B:$B,MATCH(H1105,编号表!$A:$A,0))*100000+INDEX(编号表!$F:$F,MATCH(D1105,编号表!$E:$E,0))*10000+INDEX(编号表!$D:$D,MATCH(AG1105,编号表!$C:$C,0))*1000+F1105</f>
        <v>11328006</v>
      </c>
      <c r="C1105" s="14" t="s">
        <v>1266</v>
      </c>
      <c r="D1105" s="14" t="s">
        <v>112</v>
      </c>
      <c r="E1105" s="14" t="s">
        <v>1231</v>
      </c>
      <c r="F1105" s="14">
        <v>6</v>
      </c>
      <c r="G1105" s="14">
        <v>60</v>
      </c>
      <c r="H1105" s="31" t="s">
        <v>217</v>
      </c>
      <c r="I1105" s="14" t="s">
        <v>75</v>
      </c>
      <c r="J1105" s="14" t="s">
        <v>201</v>
      </c>
      <c r="K1105" s="14">
        <v>1</v>
      </c>
      <c r="L1105" s="14" t="s">
        <v>213</v>
      </c>
      <c r="N1105" s="14">
        <v>0</v>
      </c>
      <c r="O1105" s="14" t="b">
        <v>1</v>
      </c>
      <c r="Q1105" s="14" t="b">
        <v>0</v>
      </c>
      <c r="R1105" s="14">
        <v>1</v>
      </c>
      <c r="S1105" s="14" t="s">
        <v>77</v>
      </c>
      <c r="T1105" s="14">
        <v>999</v>
      </c>
      <c r="U1105" s="14" t="s">
        <v>214</v>
      </c>
      <c r="V1105" s="14">
        <v>31328006</v>
      </c>
      <c r="X1105" s="14" t="s">
        <v>204</v>
      </c>
      <c r="Y1105" s="14" t="s">
        <v>215</v>
      </c>
      <c r="Z1105" s="14">
        <v>20001</v>
      </c>
      <c r="AA1105" s="14" t="s">
        <v>205</v>
      </c>
      <c r="AB1105" s="14">
        <v>40001</v>
      </c>
      <c r="AE1105" s="29" t="s">
        <v>121</v>
      </c>
      <c r="AF1105" s="14" t="s">
        <v>213</v>
      </c>
      <c r="AG1105" s="14" t="s">
        <v>1231</v>
      </c>
    </row>
    <row r="1106" spans="2:33">
      <c r="B1106" s="14">
        <f>10000000+INDEX(编号表!$B:$B,MATCH(H1106,编号表!$A:$A,0))*100000+INDEX(编号表!$F:$F,MATCH(D1106,编号表!$E:$E,0))*10000+INDEX(编号表!$D:$D,MATCH(AG1106,编号表!$C:$C,0))*1000+F1106</f>
        <v>11328007</v>
      </c>
      <c r="C1106" s="14" t="s">
        <v>1267</v>
      </c>
      <c r="D1106" s="14" t="s">
        <v>112</v>
      </c>
      <c r="E1106" s="14" t="s">
        <v>1231</v>
      </c>
      <c r="F1106" s="14">
        <v>7</v>
      </c>
      <c r="G1106" s="14">
        <v>60</v>
      </c>
      <c r="H1106" s="31" t="s">
        <v>217</v>
      </c>
      <c r="I1106" s="14" t="s">
        <v>75</v>
      </c>
      <c r="J1106" s="14" t="s">
        <v>201</v>
      </c>
      <c r="K1106" s="14">
        <v>1</v>
      </c>
      <c r="L1106" s="14" t="s">
        <v>213</v>
      </c>
      <c r="N1106" s="14">
        <v>0</v>
      </c>
      <c r="O1106" s="14" t="b">
        <v>1</v>
      </c>
      <c r="Q1106" s="14" t="b">
        <v>0</v>
      </c>
      <c r="R1106" s="14">
        <v>1</v>
      </c>
      <c r="S1106" s="14" t="s">
        <v>77</v>
      </c>
      <c r="T1106" s="14">
        <v>999</v>
      </c>
      <c r="U1106" s="14" t="s">
        <v>214</v>
      </c>
      <c r="V1106" s="14">
        <v>31328007</v>
      </c>
      <c r="X1106" s="14" t="s">
        <v>204</v>
      </c>
      <c r="Y1106" s="14" t="s">
        <v>215</v>
      </c>
      <c r="Z1106" s="14">
        <v>20001</v>
      </c>
      <c r="AA1106" s="14" t="s">
        <v>205</v>
      </c>
      <c r="AB1106" s="14">
        <v>40001</v>
      </c>
      <c r="AE1106" s="29" t="s">
        <v>121</v>
      </c>
      <c r="AF1106" s="14" t="s">
        <v>213</v>
      </c>
      <c r="AG1106" s="14" t="s">
        <v>1231</v>
      </c>
    </row>
    <row r="1107" spans="2:33">
      <c r="B1107" s="14">
        <f>10000000+INDEX(编号表!$B:$B,MATCH(H1107,编号表!$A:$A,0))*100000+INDEX(编号表!$F:$F,MATCH(D1107,编号表!$E:$E,0))*10000+INDEX(编号表!$D:$D,MATCH(AG1107,编号表!$C:$C,0))*1000+F1107</f>
        <v>11328008</v>
      </c>
      <c r="C1107" s="14" t="s">
        <v>1268</v>
      </c>
      <c r="D1107" s="14" t="s">
        <v>112</v>
      </c>
      <c r="E1107" s="14" t="s">
        <v>1231</v>
      </c>
      <c r="F1107" s="14">
        <v>8</v>
      </c>
      <c r="G1107" s="14">
        <v>60</v>
      </c>
      <c r="H1107" s="31" t="s">
        <v>217</v>
      </c>
      <c r="I1107" s="14" t="s">
        <v>75</v>
      </c>
      <c r="J1107" s="14" t="s">
        <v>201</v>
      </c>
      <c r="K1107" s="14">
        <v>1</v>
      </c>
      <c r="L1107" s="14" t="s">
        <v>213</v>
      </c>
      <c r="N1107" s="14">
        <v>0</v>
      </c>
      <c r="O1107" s="14" t="b">
        <v>1</v>
      </c>
      <c r="Q1107" s="14" t="b">
        <v>0</v>
      </c>
      <c r="R1107" s="14">
        <v>1</v>
      </c>
      <c r="S1107" s="14" t="s">
        <v>77</v>
      </c>
      <c r="T1107" s="14">
        <v>999</v>
      </c>
      <c r="U1107" s="14" t="s">
        <v>214</v>
      </c>
      <c r="V1107" s="14">
        <v>31328008</v>
      </c>
      <c r="X1107" s="14" t="s">
        <v>204</v>
      </c>
      <c r="Y1107" s="14" t="s">
        <v>215</v>
      </c>
      <c r="Z1107" s="14">
        <v>20001</v>
      </c>
      <c r="AA1107" s="14" t="s">
        <v>205</v>
      </c>
      <c r="AB1107" s="14">
        <v>40001</v>
      </c>
      <c r="AE1107" s="29" t="s">
        <v>121</v>
      </c>
      <c r="AF1107" s="14" t="s">
        <v>213</v>
      </c>
      <c r="AG1107" s="14" t="s">
        <v>1231</v>
      </c>
    </row>
    <row r="1108" spans="2:33">
      <c r="B1108" s="14">
        <f>10000000+INDEX(编号表!$B:$B,MATCH(H1108,编号表!$A:$A,0))*100000+INDEX(编号表!$F:$F,MATCH(D1108,编号表!$E:$E,0))*10000+INDEX(编号表!$D:$D,MATCH(AG1108,编号表!$C:$C,0))*1000+F1108</f>
        <v>11328009</v>
      </c>
      <c r="C1108" s="14" t="s">
        <v>1269</v>
      </c>
      <c r="D1108" s="14" t="s">
        <v>112</v>
      </c>
      <c r="E1108" s="14" t="s">
        <v>1231</v>
      </c>
      <c r="F1108" s="14">
        <v>9</v>
      </c>
      <c r="G1108" s="14">
        <v>60</v>
      </c>
      <c r="H1108" s="31" t="s">
        <v>217</v>
      </c>
      <c r="I1108" s="14" t="s">
        <v>75</v>
      </c>
      <c r="J1108" s="14" t="s">
        <v>201</v>
      </c>
      <c r="K1108" s="14">
        <v>1</v>
      </c>
      <c r="L1108" s="14" t="s">
        <v>213</v>
      </c>
      <c r="N1108" s="14">
        <v>0</v>
      </c>
      <c r="O1108" s="14" t="b">
        <v>1</v>
      </c>
      <c r="Q1108" s="14" t="b">
        <v>0</v>
      </c>
      <c r="R1108" s="14">
        <v>1</v>
      </c>
      <c r="S1108" s="14" t="s">
        <v>77</v>
      </c>
      <c r="T1108" s="14">
        <v>999</v>
      </c>
      <c r="U1108" s="14" t="s">
        <v>214</v>
      </c>
      <c r="V1108" s="14">
        <v>31328009</v>
      </c>
      <c r="X1108" s="14" t="s">
        <v>204</v>
      </c>
      <c r="Y1108" s="14" t="s">
        <v>215</v>
      </c>
      <c r="Z1108" s="14">
        <v>20001</v>
      </c>
      <c r="AA1108" s="14" t="s">
        <v>205</v>
      </c>
      <c r="AB1108" s="14">
        <v>40001</v>
      </c>
      <c r="AE1108" s="29" t="s">
        <v>121</v>
      </c>
      <c r="AF1108" s="14" t="s">
        <v>213</v>
      </c>
      <c r="AG1108" s="14" t="s">
        <v>1231</v>
      </c>
    </row>
    <row r="1109" spans="2:33">
      <c r="B1109" s="14">
        <f>10000000+INDEX(编号表!$B:$B,MATCH(H1109,编号表!$A:$A,0))*100000+INDEX(编号表!$F:$F,MATCH(D1109,编号表!$E:$E,0))*10000+INDEX(编号表!$D:$D,MATCH(AG1109,编号表!$C:$C,0))*1000+F1109</f>
        <v>11528000</v>
      </c>
      <c r="C1109" s="14" t="s">
        <v>1270</v>
      </c>
      <c r="D1109" s="14" t="s">
        <v>112</v>
      </c>
      <c r="E1109" s="14" t="s">
        <v>1231</v>
      </c>
      <c r="F1109" s="14">
        <v>0</v>
      </c>
      <c r="G1109" s="14">
        <v>60</v>
      </c>
      <c r="H1109" s="31" t="s">
        <v>228</v>
      </c>
      <c r="I1109" s="14" t="s">
        <v>75</v>
      </c>
      <c r="J1109" s="14" t="s">
        <v>201</v>
      </c>
      <c r="K1109" s="14">
        <v>1</v>
      </c>
      <c r="L1109" s="14" t="s">
        <v>213</v>
      </c>
      <c r="N1109" s="14">
        <v>0</v>
      </c>
      <c r="O1109" s="14" t="b">
        <v>1</v>
      </c>
      <c r="Q1109" s="14" t="b">
        <v>0</v>
      </c>
      <c r="R1109" s="14">
        <v>1</v>
      </c>
      <c r="S1109" s="14" t="s">
        <v>77</v>
      </c>
      <c r="T1109" s="14">
        <v>999</v>
      </c>
      <c r="U1109" s="14" t="s">
        <v>214</v>
      </c>
      <c r="V1109" s="14">
        <v>31528000</v>
      </c>
      <c r="X1109" s="14" t="s">
        <v>204</v>
      </c>
      <c r="Y1109" s="14" t="s">
        <v>215</v>
      </c>
      <c r="Z1109" s="14">
        <v>20001</v>
      </c>
      <c r="AA1109" s="14" t="s">
        <v>205</v>
      </c>
      <c r="AB1109" s="14">
        <v>40001</v>
      </c>
      <c r="AE1109" s="29" t="s">
        <v>121</v>
      </c>
      <c r="AF1109" s="14" t="s">
        <v>213</v>
      </c>
      <c r="AG1109" s="14" t="s">
        <v>1231</v>
      </c>
    </row>
    <row r="1110" spans="2:33">
      <c r="B1110" s="14">
        <f>10000000+INDEX(编号表!$B:$B,MATCH(H1110,编号表!$A:$A,0))*100000+INDEX(编号表!$F:$F,MATCH(D1110,编号表!$E:$E,0))*10000+INDEX(编号表!$D:$D,MATCH(AG1110,编号表!$C:$C,0))*1000+F1110</f>
        <v>11528001</v>
      </c>
      <c r="C1110" s="14" t="s">
        <v>1271</v>
      </c>
      <c r="D1110" s="14" t="s">
        <v>112</v>
      </c>
      <c r="E1110" s="14" t="s">
        <v>1231</v>
      </c>
      <c r="F1110" s="14">
        <v>1</v>
      </c>
      <c r="G1110" s="14">
        <v>60</v>
      </c>
      <c r="H1110" s="31" t="s">
        <v>228</v>
      </c>
      <c r="I1110" s="14" t="s">
        <v>75</v>
      </c>
      <c r="J1110" s="14" t="s">
        <v>201</v>
      </c>
      <c r="K1110" s="14">
        <v>1</v>
      </c>
      <c r="L1110" s="14" t="s">
        <v>213</v>
      </c>
      <c r="N1110" s="14">
        <v>0</v>
      </c>
      <c r="O1110" s="14" t="b">
        <v>1</v>
      </c>
      <c r="Q1110" s="14" t="b">
        <v>0</v>
      </c>
      <c r="R1110" s="14">
        <v>1</v>
      </c>
      <c r="S1110" s="14" t="s">
        <v>77</v>
      </c>
      <c r="T1110" s="14">
        <v>999</v>
      </c>
      <c r="U1110" s="14" t="s">
        <v>214</v>
      </c>
      <c r="V1110" s="14">
        <v>31528001</v>
      </c>
      <c r="X1110" s="14" t="s">
        <v>204</v>
      </c>
      <c r="Y1110" s="14" t="s">
        <v>215</v>
      </c>
      <c r="Z1110" s="14">
        <v>20001</v>
      </c>
      <c r="AA1110" s="14" t="s">
        <v>205</v>
      </c>
      <c r="AB1110" s="14">
        <v>40001</v>
      </c>
      <c r="AE1110" s="29" t="s">
        <v>121</v>
      </c>
      <c r="AF1110" s="14" t="s">
        <v>213</v>
      </c>
      <c r="AG1110" s="14" t="s">
        <v>1231</v>
      </c>
    </row>
    <row r="1111" spans="2:33">
      <c r="B1111" s="14">
        <f>10000000+INDEX(编号表!$B:$B,MATCH(H1111,编号表!$A:$A,0))*100000+INDEX(编号表!$F:$F,MATCH(D1111,编号表!$E:$E,0))*10000+INDEX(编号表!$D:$D,MATCH(AG1111,编号表!$C:$C,0))*1000+F1111</f>
        <v>11528002</v>
      </c>
      <c r="C1111" s="14" t="s">
        <v>1272</v>
      </c>
      <c r="D1111" s="14" t="s">
        <v>112</v>
      </c>
      <c r="E1111" s="14" t="s">
        <v>1231</v>
      </c>
      <c r="F1111" s="14">
        <v>2</v>
      </c>
      <c r="G1111" s="14">
        <v>60</v>
      </c>
      <c r="H1111" s="31" t="s">
        <v>228</v>
      </c>
      <c r="I1111" s="14" t="s">
        <v>75</v>
      </c>
      <c r="J1111" s="14" t="s">
        <v>201</v>
      </c>
      <c r="K1111" s="14">
        <v>1</v>
      </c>
      <c r="L1111" s="14" t="s">
        <v>213</v>
      </c>
      <c r="N1111" s="14">
        <v>0</v>
      </c>
      <c r="O1111" s="14" t="b">
        <v>1</v>
      </c>
      <c r="Q1111" s="14" t="b">
        <v>0</v>
      </c>
      <c r="R1111" s="14">
        <v>1</v>
      </c>
      <c r="S1111" s="14" t="s">
        <v>77</v>
      </c>
      <c r="T1111" s="14">
        <v>999</v>
      </c>
      <c r="U1111" s="14" t="s">
        <v>214</v>
      </c>
      <c r="V1111" s="14">
        <v>31528002</v>
      </c>
      <c r="X1111" s="14" t="s">
        <v>204</v>
      </c>
      <c r="Y1111" s="14" t="s">
        <v>215</v>
      </c>
      <c r="Z1111" s="14">
        <v>20001</v>
      </c>
      <c r="AA1111" s="14" t="s">
        <v>205</v>
      </c>
      <c r="AB1111" s="14">
        <v>40001</v>
      </c>
      <c r="AE1111" s="29" t="s">
        <v>121</v>
      </c>
      <c r="AF1111" s="14" t="s">
        <v>213</v>
      </c>
      <c r="AG1111" s="14" t="s">
        <v>1231</v>
      </c>
    </row>
    <row r="1112" spans="2:33">
      <c r="B1112" s="14">
        <f>10000000+INDEX(编号表!$B:$B,MATCH(H1112,编号表!$A:$A,0))*100000+INDEX(编号表!$F:$F,MATCH(D1112,编号表!$E:$E,0))*10000+INDEX(编号表!$D:$D,MATCH(AG1112,编号表!$C:$C,0))*1000+F1112</f>
        <v>11528003</v>
      </c>
      <c r="C1112" s="14" t="s">
        <v>1273</v>
      </c>
      <c r="D1112" s="14" t="s">
        <v>112</v>
      </c>
      <c r="E1112" s="14" t="s">
        <v>1231</v>
      </c>
      <c r="F1112" s="14">
        <v>3</v>
      </c>
      <c r="G1112" s="14">
        <v>60</v>
      </c>
      <c r="H1112" s="31" t="s">
        <v>228</v>
      </c>
      <c r="I1112" s="14" t="s">
        <v>75</v>
      </c>
      <c r="J1112" s="14" t="s">
        <v>201</v>
      </c>
      <c r="K1112" s="14">
        <v>1</v>
      </c>
      <c r="L1112" s="14" t="s">
        <v>213</v>
      </c>
      <c r="N1112" s="14">
        <v>0</v>
      </c>
      <c r="O1112" s="14" t="b">
        <v>1</v>
      </c>
      <c r="Q1112" s="14" t="b">
        <v>0</v>
      </c>
      <c r="R1112" s="14">
        <v>1</v>
      </c>
      <c r="S1112" s="14" t="s">
        <v>77</v>
      </c>
      <c r="T1112" s="14">
        <v>999</v>
      </c>
      <c r="U1112" s="14" t="s">
        <v>214</v>
      </c>
      <c r="V1112" s="14">
        <v>31528003</v>
      </c>
      <c r="X1112" s="14" t="s">
        <v>204</v>
      </c>
      <c r="Y1112" s="14" t="s">
        <v>215</v>
      </c>
      <c r="Z1112" s="14">
        <v>20001</v>
      </c>
      <c r="AA1112" s="14" t="s">
        <v>205</v>
      </c>
      <c r="AB1112" s="14">
        <v>40001</v>
      </c>
      <c r="AE1112" s="29" t="s">
        <v>121</v>
      </c>
      <c r="AF1112" s="14" t="s">
        <v>213</v>
      </c>
      <c r="AG1112" s="14" t="s">
        <v>1231</v>
      </c>
    </row>
    <row r="1113" spans="2:33">
      <c r="B1113" s="14">
        <f>10000000+INDEX(编号表!$B:$B,MATCH(H1113,编号表!$A:$A,0))*100000+INDEX(编号表!$F:$F,MATCH(D1113,编号表!$E:$E,0))*10000+INDEX(编号表!$D:$D,MATCH(AG1113,编号表!$C:$C,0))*1000+F1113</f>
        <v>11528004</v>
      </c>
      <c r="C1113" s="14" t="s">
        <v>1274</v>
      </c>
      <c r="D1113" s="14" t="s">
        <v>112</v>
      </c>
      <c r="E1113" s="14" t="s">
        <v>1231</v>
      </c>
      <c r="F1113" s="14">
        <v>4</v>
      </c>
      <c r="G1113" s="14">
        <v>60</v>
      </c>
      <c r="H1113" s="31" t="s">
        <v>228</v>
      </c>
      <c r="I1113" s="14" t="s">
        <v>75</v>
      </c>
      <c r="J1113" s="14" t="s">
        <v>201</v>
      </c>
      <c r="K1113" s="14">
        <v>1</v>
      </c>
      <c r="L1113" s="14" t="s">
        <v>213</v>
      </c>
      <c r="N1113" s="14">
        <v>0</v>
      </c>
      <c r="O1113" s="14" t="b">
        <v>1</v>
      </c>
      <c r="Q1113" s="14" t="b">
        <v>0</v>
      </c>
      <c r="R1113" s="14">
        <v>1</v>
      </c>
      <c r="S1113" s="14" t="s">
        <v>77</v>
      </c>
      <c r="T1113" s="14">
        <v>999</v>
      </c>
      <c r="U1113" s="14" t="s">
        <v>214</v>
      </c>
      <c r="V1113" s="14">
        <v>31528004</v>
      </c>
      <c r="X1113" s="14" t="s">
        <v>204</v>
      </c>
      <c r="Y1113" s="14" t="s">
        <v>215</v>
      </c>
      <c r="Z1113" s="14">
        <v>20001</v>
      </c>
      <c r="AA1113" s="14" t="s">
        <v>205</v>
      </c>
      <c r="AB1113" s="14">
        <v>40001</v>
      </c>
      <c r="AE1113" s="29" t="s">
        <v>121</v>
      </c>
      <c r="AF1113" s="14" t="s">
        <v>213</v>
      </c>
      <c r="AG1113" s="14" t="s">
        <v>1231</v>
      </c>
    </row>
    <row r="1114" spans="2:33">
      <c r="B1114" s="14">
        <f>10000000+INDEX(编号表!$B:$B,MATCH(H1114,编号表!$A:$A,0))*100000+INDEX(编号表!$F:$F,MATCH(D1114,编号表!$E:$E,0))*10000+INDEX(编号表!$D:$D,MATCH(AG1114,编号表!$C:$C,0))*1000+F1114</f>
        <v>11528005</v>
      </c>
      <c r="C1114" s="14" t="s">
        <v>1275</v>
      </c>
      <c r="D1114" s="14" t="s">
        <v>112</v>
      </c>
      <c r="E1114" s="14" t="s">
        <v>1231</v>
      </c>
      <c r="F1114" s="14">
        <v>5</v>
      </c>
      <c r="G1114" s="14">
        <v>60</v>
      </c>
      <c r="H1114" s="31" t="s">
        <v>228</v>
      </c>
      <c r="I1114" s="14" t="s">
        <v>75</v>
      </c>
      <c r="J1114" s="14" t="s">
        <v>201</v>
      </c>
      <c r="K1114" s="14">
        <v>1</v>
      </c>
      <c r="L1114" s="14" t="s">
        <v>213</v>
      </c>
      <c r="N1114" s="14">
        <v>0</v>
      </c>
      <c r="O1114" s="14" t="b">
        <v>1</v>
      </c>
      <c r="Q1114" s="14" t="b">
        <v>0</v>
      </c>
      <c r="R1114" s="14">
        <v>1</v>
      </c>
      <c r="S1114" s="14" t="s">
        <v>77</v>
      </c>
      <c r="T1114" s="14">
        <v>999</v>
      </c>
      <c r="U1114" s="14" t="s">
        <v>214</v>
      </c>
      <c r="V1114" s="14">
        <v>31528005</v>
      </c>
      <c r="X1114" s="14" t="s">
        <v>204</v>
      </c>
      <c r="Y1114" s="14" t="s">
        <v>215</v>
      </c>
      <c r="Z1114" s="14">
        <v>20001</v>
      </c>
      <c r="AA1114" s="14" t="s">
        <v>205</v>
      </c>
      <c r="AB1114" s="14">
        <v>40001</v>
      </c>
      <c r="AE1114" s="29" t="s">
        <v>121</v>
      </c>
      <c r="AF1114" s="14" t="s">
        <v>213</v>
      </c>
      <c r="AG1114" s="14" t="s">
        <v>1231</v>
      </c>
    </row>
    <row r="1115" spans="2:33">
      <c r="B1115" s="14">
        <f>10000000+INDEX(编号表!$B:$B,MATCH(H1115,编号表!$A:$A,0))*100000+INDEX(编号表!$F:$F,MATCH(D1115,编号表!$E:$E,0))*10000+INDEX(编号表!$D:$D,MATCH(AG1115,编号表!$C:$C,0))*1000+F1115</f>
        <v>11528006</v>
      </c>
      <c r="C1115" s="14" t="s">
        <v>1276</v>
      </c>
      <c r="D1115" s="14" t="s">
        <v>112</v>
      </c>
      <c r="E1115" s="14" t="s">
        <v>1231</v>
      </c>
      <c r="F1115" s="14">
        <v>6</v>
      </c>
      <c r="G1115" s="14">
        <v>60</v>
      </c>
      <c r="H1115" s="31" t="s">
        <v>228</v>
      </c>
      <c r="I1115" s="14" t="s">
        <v>75</v>
      </c>
      <c r="J1115" s="14" t="s">
        <v>201</v>
      </c>
      <c r="K1115" s="14">
        <v>1</v>
      </c>
      <c r="L1115" s="14" t="s">
        <v>213</v>
      </c>
      <c r="N1115" s="14">
        <v>0</v>
      </c>
      <c r="O1115" s="14" t="b">
        <v>1</v>
      </c>
      <c r="Q1115" s="14" t="b">
        <v>0</v>
      </c>
      <c r="R1115" s="14">
        <v>1</v>
      </c>
      <c r="S1115" s="14" t="s">
        <v>77</v>
      </c>
      <c r="T1115" s="14">
        <v>999</v>
      </c>
      <c r="U1115" s="14" t="s">
        <v>214</v>
      </c>
      <c r="V1115" s="14">
        <v>31528006</v>
      </c>
      <c r="X1115" s="14" t="s">
        <v>204</v>
      </c>
      <c r="Y1115" s="14" t="s">
        <v>215</v>
      </c>
      <c r="Z1115" s="14">
        <v>20001</v>
      </c>
      <c r="AA1115" s="14" t="s">
        <v>205</v>
      </c>
      <c r="AB1115" s="14">
        <v>40001</v>
      </c>
      <c r="AE1115" s="29" t="s">
        <v>121</v>
      </c>
      <c r="AF1115" s="14" t="s">
        <v>213</v>
      </c>
      <c r="AG1115" s="14" t="s">
        <v>1231</v>
      </c>
    </row>
    <row r="1116" spans="2:33">
      <c r="B1116" s="14">
        <f>10000000+INDEX(编号表!$B:$B,MATCH(H1116,编号表!$A:$A,0))*100000+INDEX(编号表!$F:$F,MATCH(D1116,编号表!$E:$E,0))*10000+INDEX(编号表!$D:$D,MATCH(AG1116,编号表!$C:$C,0))*1000+F1116</f>
        <v>11528007</v>
      </c>
      <c r="C1116" s="14" t="s">
        <v>1277</v>
      </c>
      <c r="D1116" s="14" t="s">
        <v>112</v>
      </c>
      <c r="E1116" s="14" t="s">
        <v>1231</v>
      </c>
      <c r="F1116" s="14">
        <v>7</v>
      </c>
      <c r="G1116" s="14">
        <v>60</v>
      </c>
      <c r="H1116" s="31" t="s">
        <v>228</v>
      </c>
      <c r="I1116" s="14" t="s">
        <v>75</v>
      </c>
      <c r="J1116" s="14" t="s">
        <v>201</v>
      </c>
      <c r="K1116" s="14">
        <v>1</v>
      </c>
      <c r="L1116" s="14" t="s">
        <v>213</v>
      </c>
      <c r="N1116" s="14">
        <v>0</v>
      </c>
      <c r="O1116" s="14" t="b">
        <v>1</v>
      </c>
      <c r="Q1116" s="14" t="b">
        <v>0</v>
      </c>
      <c r="R1116" s="14">
        <v>1</v>
      </c>
      <c r="S1116" s="14" t="s">
        <v>77</v>
      </c>
      <c r="T1116" s="14">
        <v>999</v>
      </c>
      <c r="U1116" s="14" t="s">
        <v>214</v>
      </c>
      <c r="V1116" s="14">
        <v>31528007</v>
      </c>
      <c r="X1116" s="14" t="s">
        <v>204</v>
      </c>
      <c r="Y1116" s="14" t="s">
        <v>215</v>
      </c>
      <c r="Z1116" s="14">
        <v>20001</v>
      </c>
      <c r="AA1116" s="14" t="s">
        <v>205</v>
      </c>
      <c r="AB1116" s="14">
        <v>40001</v>
      </c>
      <c r="AE1116" s="29" t="s">
        <v>121</v>
      </c>
      <c r="AF1116" s="14" t="s">
        <v>213</v>
      </c>
      <c r="AG1116" s="14" t="s">
        <v>1231</v>
      </c>
    </row>
    <row r="1117" spans="2:33">
      <c r="B1117" s="14">
        <f>10000000+INDEX(编号表!$B:$B,MATCH(H1117,编号表!$A:$A,0))*100000+INDEX(编号表!$F:$F,MATCH(D1117,编号表!$E:$E,0))*10000+INDEX(编号表!$D:$D,MATCH(AG1117,编号表!$C:$C,0))*1000+F1117</f>
        <v>11528008</v>
      </c>
      <c r="C1117" s="14" t="s">
        <v>1278</v>
      </c>
      <c r="D1117" s="14" t="s">
        <v>112</v>
      </c>
      <c r="E1117" s="14" t="s">
        <v>1231</v>
      </c>
      <c r="F1117" s="14">
        <v>8</v>
      </c>
      <c r="G1117" s="14">
        <v>60</v>
      </c>
      <c r="H1117" s="31" t="s">
        <v>228</v>
      </c>
      <c r="I1117" s="14" t="s">
        <v>75</v>
      </c>
      <c r="J1117" s="14" t="s">
        <v>201</v>
      </c>
      <c r="K1117" s="14">
        <v>1</v>
      </c>
      <c r="L1117" s="14" t="s">
        <v>213</v>
      </c>
      <c r="N1117" s="14">
        <v>0</v>
      </c>
      <c r="O1117" s="14" t="b">
        <v>1</v>
      </c>
      <c r="Q1117" s="14" t="b">
        <v>0</v>
      </c>
      <c r="R1117" s="14">
        <v>1</v>
      </c>
      <c r="S1117" s="14" t="s">
        <v>77</v>
      </c>
      <c r="T1117" s="14">
        <v>999</v>
      </c>
      <c r="U1117" s="14" t="s">
        <v>214</v>
      </c>
      <c r="V1117" s="14">
        <v>31528008</v>
      </c>
      <c r="X1117" s="14" t="s">
        <v>204</v>
      </c>
      <c r="Y1117" s="14" t="s">
        <v>215</v>
      </c>
      <c r="Z1117" s="14">
        <v>20001</v>
      </c>
      <c r="AA1117" s="14" t="s">
        <v>205</v>
      </c>
      <c r="AB1117" s="14">
        <v>40001</v>
      </c>
      <c r="AE1117" s="29" t="s">
        <v>121</v>
      </c>
      <c r="AF1117" s="14" t="s">
        <v>213</v>
      </c>
      <c r="AG1117" s="14" t="s">
        <v>1231</v>
      </c>
    </row>
    <row r="1118" spans="2:33">
      <c r="B1118" s="14">
        <f>10000000+INDEX(编号表!$B:$B,MATCH(H1118,编号表!$A:$A,0))*100000+INDEX(编号表!$F:$F,MATCH(D1118,编号表!$E:$E,0))*10000+INDEX(编号表!$D:$D,MATCH(AG1118,编号表!$C:$C,0))*1000+F1118</f>
        <v>11528009</v>
      </c>
      <c r="C1118" s="14" t="s">
        <v>1279</v>
      </c>
      <c r="D1118" s="14" t="s">
        <v>112</v>
      </c>
      <c r="E1118" s="14" t="s">
        <v>1231</v>
      </c>
      <c r="F1118" s="14">
        <v>9</v>
      </c>
      <c r="G1118" s="14">
        <v>60</v>
      </c>
      <c r="H1118" s="31" t="s">
        <v>228</v>
      </c>
      <c r="I1118" s="14" t="s">
        <v>75</v>
      </c>
      <c r="J1118" s="14" t="s">
        <v>201</v>
      </c>
      <c r="K1118" s="14">
        <v>1</v>
      </c>
      <c r="L1118" s="14" t="s">
        <v>213</v>
      </c>
      <c r="N1118" s="14">
        <v>0</v>
      </c>
      <c r="O1118" s="14" t="b">
        <v>1</v>
      </c>
      <c r="Q1118" s="14" t="b">
        <v>0</v>
      </c>
      <c r="R1118" s="14">
        <v>1</v>
      </c>
      <c r="S1118" s="14" t="s">
        <v>77</v>
      </c>
      <c r="T1118" s="14">
        <v>999</v>
      </c>
      <c r="U1118" s="14" t="s">
        <v>214</v>
      </c>
      <c r="V1118" s="14">
        <v>31528009</v>
      </c>
      <c r="X1118" s="14" t="s">
        <v>204</v>
      </c>
      <c r="Y1118" s="14" t="s">
        <v>215</v>
      </c>
      <c r="Z1118" s="14">
        <v>20001</v>
      </c>
      <c r="AA1118" s="14" t="s">
        <v>205</v>
      </c>
      <c r="AB1118" s="14">
        <v>40001</v>
      </c>
      <c r="AE1118" s="29" t="s">
        <v>121</v>
      </c>
      <c r="AF1118" s="14" t="s">
        <v>213</v>
      </c>
      <c r="AG1118" s="14" t="s">
        <v>1231</v>
      </c>
    </row>
    <row r="1119" spans="2:33">
      <c r="B1119" s="14">
        <f>10000000+INDEX(编号表!$B:$B,MATCH(H1119,编号表!$A:$A,0))*100000+INDEX(编号表!$F:$F,MATCH(D1119,编号表!$E:$E,0))*10000+INDEX(编号表!$D:$D,MATCH(AG1119,编号表!$C:$C,0))*1000+F1119</f>
        <v>11428000</v>
      </c>
      <c r="C1119" s="14" t="s">
        <v>1280</v>
      </c>
      <c r="D1119" s="14" t="s">
        <v>112</v>
      </c>
      <c r="E1119" s="14" t="s">
        <v>1231</v>
      </c>
      <c r="F1119" s="14">
        <v>0</v>
      </c>
      <c r="G1119" s="14">
        <v>60</v>
      </c>
      <c r="H1119" s="31" t="s">
        <v>239</v>
      </c>
      <c r="I1119" s="14" t="s">
        <v>75</v>
      </c>
      <c r="J1119" s="14" t="s">
        <v>201</v>
      </c>
      <c r="K1119" s="14">
        <v>1</v>
      </c>
      <c r="L1119" s="14" t="s">
        <v>213</v>
      </c>
      <c r="N1119" s="14">
        <v>0</v>
      </c>
      <c r="O1119" s="14" t="b">
        <v>1</v>
      </c>
      <c r="Q1119" s="14" t="b">
        <v>0</v>
      </c>
      <c r="R1119" s="14">
        <v>1</v>
      </c>
      <c r="S1119" s="14" t="s">
        <v>77</v>
      </c>
      <c r="T1119" s="14">
        <v>999</v>
      </c>
      <c r="U1119" s="14" t="s">
        <v>214</v>
      </c>
      <c r="V1119" s="14">
        <v>31428000</v>
      </c>
      <c r="X1119" s="14" t="s">
        <v>204</v>
      </c>
      <c r="Y1119" s="14" t="s">
        <v>215</v>
      </c>
      <c r="Z1119" s="14">
        <v>20001</v>
      </c>
      <c r="AA1119" s="14" t="s">
        <v>205</v>
      </c>
      <c r="AB1119" s="14">
        <v>40001</v>
      </c>
      <c r="AE1119" s="29" t="s">
        <v>121</v>
      </c>
      <c r="AF1119" s="14" t="s">
        <v>213</v>
      </c>
      <c r="AG1119" s="14" t="s">
        <v>1231</v>
      </c>
    </row>
    <row r="1120" spans="2:33">
      <c r="B1120" s="14">
        <f>10000000+INDEX(编号表!$B:$B,MATCH(H1120,编号表!$A:$A,0))*100000+INDEX(编号表!$F:$F,MATCH(D1120,编号表!$E:$E,0))*10000+INDEX(编号表!$D:$D,MATCH(AG1120,编号表!$C:$C,0))*1000+F1120</f>
        <v>11428001</v>
      </c>
      <c r="C1120" s="14" t="s">
        <v>1281</v>
      </c>
      <c r="D1120" s="14" t="s">
        <v>112</v>
      </c>
      <c r="E1120" s="14" t="s">
        <v>1231</v>
      </c>
      <c r="F1120" s="14">
        <v>1</v>
      </c>
      <c r="G1120" s="14">
        <v>60</v>
      </c>
      <c r="H1120" s="31" t="s">
        <v>239</v>
      </c>
      <c r="I1120" s="14" t="s">
        <v>75</v>
      </c>
      <c r="J1120" s="14" t="s">
        <v>201</v>
      </c>
      <c r="K1120" s="14">
        <v>1</v>
      </c>
      <c r="L1120" s="14" t="s">
        <v>213</v>
      </c>
      <c r="N1120" s="14">
        <v>0</v>
      </c>
      <c r="O1120" s="14" t="b">
        <v>1</v>
      </c>
      <c r="Q1120" s="14" t="b">
        <v>0</v>
      </c>
      <c r="R1120" s="14">
        <v>1</v>
      </c>
      <c r="S1120" s="14" t="s">
        <v>77</v>
      </c>
      <c r="T1120" s="14">
        <v>999</v>
      </c>
      <c r="U1120" s="14" t="s">
        <v>214</v>
      </c>
      <c r="V1120" s="14">
        <v>31428001</v>
      </c>
      <c r="X1120" s="14" t="s">
        <v>204</v>
      </c>
      <c r="Y1120" s="14" t="s">
        <v>215</v>
      </c>
      <c r="Z1120" s="14">
        <v>20001</v>
      </c>
      <c r="AA1120" s="14" t="s">
        <v>205</v>
      </c>
      <c r="AB1120" s="14">
        <v>40001</v>
      </c>
      <c r="AE1120" s="29" t="s">
        <v>121</v>
      </c>
      <c r="AF1120" s="14" t="s">
        <v>213</v>
      </c>
      <c r="AG1120" s="14" t="s">
        <v>1231</v>
      </c>
    </row>
    <row r="1121" spans="2:33">
      <c r="B1121" s="14">
        <f>10000000+INDEX(编号表!$B:$B,MATCH(H1121,编号表!$A:$A,0))*100000+INDEX(编号表!$F:$F,MATCH(D1121,编号表!$E:$E,0))*10000+INDEX(编号表!$D:$D,MATCH(AG1121,编号表!$C:$C,0))*1000+F1121</f>
        <v>11428002</v>
      </c>
      <c r="C1121" s="14" t="s">
        <v>1282</v>
      </c>
      <c r="D1121" s="14" t="s">
        <v>112</v>
      </c>
      <c r="E1121" s="14" t="s">
        <v>1231</v>
      </c>
      <c r="F1121" s="14">
        <v>2</v>
      </c>
      <c r="G1121" s="14">
        <v>60</v>
      </c>
      <c r="H1121" s="31" t="s">
        <v>239</v>
      </c>
      <c r="I1121" s="14" t="s">
        <v>75</v>
      </c>
      <c r="J1121" s="14" t="s">
        <v>201</v>
      </c>
      <c r="K1121" s="14">
        <v>1</v>
      </c>
      <c r="L1121" s="14" t="s">
        <v>213</v>
      </c>
      <c r="N1121" s="14">
        <v>0</v>
      </c>
      <c r="O1121" s="14" t="b">
        <v>1</v>
      </c>
      <c r="Q1121" s="14" t="b">
        <v>0</v>
      </c>
      <c r="R1121" s="14">
        <v>1</v>
      </c>
      <c r="S1121" s="14" t="s">
        <v>77</v>
      </c>
      <c r="T1121" s="14">
        <v>999</v>
      </c>
      <c r="U1121" s="14" t="s">
        <v>214</v>
      </c>
      <c r="V1121" s="14">
        <v>31428002</v>
      </c>
      <c r="X1121" s="14" t="s">
        <v>204</v>
      </c>
      <c r="Y1121" s="14" t="s">
        <v>215</v>
      </c>
      <c r="Z1121" s="14">
        <v>20001</v>
      </c>
      <c r="AA1121" s="14" t="s">
        <v>205</v>
      </c>
      <c r="AB1121" s="14">
        <v>40001</v>
      </c>
      <c r="AE1121" s="29" t="s">
        <v>121</v>
      </c>
      <c r="AF1121" s="14" t="s">
        <v>213</v>
      </c>
      <c r="AG1121" s="14" t="s">
        <v>1231</v>
      </c>
    </row>
    <row r="1122" spans="2:33">
      <c r="B1122" s="14">
        <f>10000000+INDEX(编号表!$B:$B,MATCH(H1122,编号表!$A:$A,0))*100000+INDEX(编号表!$F:$F,MATCH(D1122,编号表!$E:$E,0))*10000+INDEX(编号表!$D:$D,MATCH(AG1122,编号表!$C:$C,0))*1000+F1122</f>
        <v>11428003</v>
      </c>
      <c r="C1122" s="14" t="s">
        <v>1283</v>
      </c>
      <c r="D1122" s="14" t="s">
        <v>112</v>
      </c>
      <c r="E1122" s="14" t="s">
        <v>1231</v>
      </c>
      <c r="F1122" s="14">
        <v>3</v>
      </c>
      <c r="G1122" s="14">
        <v>60</v>
      </c>
      <c r="H1122" s="31" t="s">
        <v>239</v>
      </c>
      <c r="I1122" s="14" t="s">
        <v>75</v>
      </c>
      <c r="J1122" s="14" t="s">
        <v>201</v>
      </c>
      <c r="K1122" s="14">
        <v>1</v>
      </c>
      <c r="L1122" s="14" t="s">
        <v>213</v>
      </c>
      <c r="N1122" s="14">
        <v>0</v>
      </c>
      <c r="O1122" s="14" t="b">
        <v>1</v>
      </c>
      <c r="Q1122" s="14" t="b">
        <v>0</v>
      </c>
      <c r="R1122" s="14">
        <v>1</v>
      </c>
      <c r="S1122" s="14" t="s">
        <v>77</v>
      </c>
      <c r="T1122" s="14">
        <v>999</v>
      </c>
      <c r="U1122" s="14" t="s">
        <v>214</v>
      </c>
      <c r="V1122" s="14">
        <v>31428003</v>
      </c>
      <c r="X1122" s="14" t="s">
        <v>204</v>
      </c>
      <c r="Y1122" s="14" t="s">
        <v>215</v>
      </c>
      <c r="Z1122" s="14">
        <v>20001</v>
      </c>
      <c r="AA1122" s="14" t="s">
        <v>205</v>
      </c>
      <c r="AB1122" s="14">
        <v>40001</v>
      </c>
      <c r="AE1122" s="29" t="s">
        <v>121</v>
      </c>
      <c r="AF1122" s="14" t="s">
        <v>213</v>
      </c>
      <c r="AG1122" s="14" t="s">
        <v>1231</v>
      </c>
    </row>
    <row r="1123" spans="2:33">
      <c r="B1123" s="14">
        <f>10000000+INDEX(编号表!$B:$B,MATCH(H1123,编号表!$A:$A,0))*100000+INDEX(编号表!$F:$F,MATCH(D1123,编号表!$E:$E,0))*10000+INDEX(编号表!$D:$D,MATCH(AG1123,编号表!$C:$C,0))*1000+F1123</f>
        <v>11628000</v>
      </c>
      <c r="C1123" s="14" t="s">
        <v>1284</v>
      </c>
      <c r="D1123" s="14" t="s">
        <v>112</v>
      </c>
      <c r="E1123" s="14" t="s">
        <v>1231</v>
      </c>
      <c r="F1123" s="14">
        <v>0</v>
      </c>
      <c r="G1123" s="14">
        <v>60</v>
      </c>
      <c r="H1123" s="31" t="s">
        <v>244</v>
      </c>
      <c r="I1123" s="14" t="s">
        <v>75</v>
      </c>
      <c r="J1123" s="14" t="s">
        <v>201</v>
      </c>
      <c r="K1123" s="14">
        <v>1</v>
      </c>
      <c r="L1123" s="14" t="s">
        <v>213</v>
      </c>
      <c r="N1123" s="14">
        <v>0</v>
      </c>
      <c r="O1123" s="14" t="b">
        <v>1</v>
      </c>
      <c r="Q1123" s="14" t="b">
        <v>0</v>
      </c>
      <c r="R1123" s="14">
        <v>1</v>
      </c>
      <c r="S1123" s="14" t="s">
        <v>77</v>
      </c>
      <c r="T1123" s="14">
        <v>999</v>
      </c>
      <c r="U1123" s="14" t="s">
        <v>214</v>
      </c>
      <c r="V1123" s="14">
        <v>31628000</v>
      </c>
      <c r="X1123" s="14" t="s">
        <v>204</v>
      </c>
      <c r="Y1123" s="14" t="s">
        <v>215</v>
      </c>
      <c r="Z1123" s="14">
        <v>20001</v>
      </c>
      <c r="AA1123" s="14" t="s">
        <v>205</v>
      </c>
      <c r="AB1123" s="14">
        <v>40001</v>
      </c>
      <c r="AE1123" s="29" t="s">
        <v>121</v>
      </c>
      <c r="AF1123" s="14" t="s">
        <v>213</v>
      </c>
      <c r="AG1123" s="14" t="s">
        <v>1231</v>
      </c>
    </row>
    <row r="1124" spans="2:33">
      <c r="B1124" s="14">
        <f>10000000+INDEX(编号表!$B:$B,MATCH(H1124,编号表!$A:$A,0))*100000+INDEX(编号表!$F:$F,MATCH(D1124,编号表!$E:$E,0))*10000+INDEX(编号表!$D:$D,MATCH(AG1124,编号表!$C:$C,0))*1000+F1124</f>
        <v>11628001</v>
      </c>
      <c r="C1124" s="14" t="s">
        <v>1285</v>
      </c>
      <c r="D1124" s="14" t="s">
        <v>112</v>
      </c>
      <c r="E1124" s="14" t="s">
        <v>1231</v>
      </c>
      <c r="F1124" s="14">
        <v>1</v>
      </c>
      <c r="G1124" s="14">
        <v>60</v>
      </c>
      <c r="H1124" s="31" t="s">
        <v>244</v>
      </c>
      <c r="I1124" s="14" t="s">
        <v>75</v>
      </c>
      <c r="J1124" s="14" t="s">
        <v>201</v>
      </c>
      <c r="K1124" s="14">
        <v>1</v>
      </c>
      <c r="L1124" s="14" t="s">
        <v>213</v>
      </c>
      <c r="N1124" s="14">
        <v>0</v>
      </c>
      <c r="O1124" s="14" t="b">
        <v>1</v>
      </c>
      <c r="Q1124" s="14" t="b">
        <v>0</v>
      </c>
      <c r="R1124" s="14">
        <v>1</v>
      </c>
      <c r="S1124" s="14" t="s">
        <v>77</v>
      </c>
      <c r="T1124" s="14">
        <v>999</v>
      </c>
      <c r="U1124" s="14" t="s">
        <v>214</v>
      </c>
      <c r="V1124" s="14">
        <v>31628001</v>
      </c>
      <c r="X1124" s="14" t="s">
        <v>204</v>
      </c>
      <c r="Y1124" s="14" t="s">
        <v>215</v>
      </c>
      <c r="Z1124" s="14">
        <v>20001</v>
      </c>
      <c r="AA1124" s="14" t="s">
        <v>205</v>
      </c>
      <c r="AB1124" s="14">
        <v>40001</v>
      </c>
      <c r="AE1124" s="29" t="s">
        <v>121</v>
      </c>
      <c r="AF1124" s="14" t="s">
        <v>213</v>
      </c>
      <c r="AG1124" s="14" t="s">
        <v>1231</v>
      </c>
    </row>
    <row r="1125" spans="2:33">
      <c r="B1125" s="14">
        <f>10000000+INDEX(编号表!$B:$B,MATCH(H1125,编号表!$A:$A,0))*100000+INDEX(编号表!$F:$F,MATCH(D1125,编号表!$E:$E,0))*10000+INDEX(编号表!$D:$D,MATCH(AG1125,编号表!$C:$C,0))*1000+F1125</f>
        <v>11628002</v>
      </c>
      <c r="C1125" s="14" t="s">
        <v>1286</v>
      </c>
      <c r="D1125" s="14" t="s">
        <v>112</v>
      </c>
      <c r="E1125" s="14" t="s">
        <v>1231</v>
      </c>
      <c r="F1125" s="14">
        <v>2</v>
      </c>
      <c r="G1125" s="14">
        <v>60</v>
      </c>
      <c r="H1125" s="31" t="s">
        <v>244</v>
      </c>
      <c r="I1125" s="14" t="s">
        <v>75</v>
      </c>
      <c r="J1125" s="14" t="s">
        <v>201</v>
      </c>
      <c r="K1125" s="14">
        <v>1</v>
      </c>
      <c r="L1125" s="14" t="s">
        <v>213</v>
      </c>
      <c r="N1125" s="14">
        <v>0</v>
      </c>
      <c r="O1125" s="14" t="b">
        <v>1</v>
      </c>
      <c r="Q1125" s="14" t="b">
        <v>0</v>
      </c>
      <c r="R1125" s="14">
        <v>1</v>
      </c>
      <c r="S1125" s="14" t="s">
        <v>77</v>
      </c>
      <c r="T1125" s="14">
        <v>999</v>
      </c>
      <c r="U1125" s="14" t="s">
        <v>214</v>
      </c>
      <c r="V1125" s="14">
        <v>31628002</v>
      </c>
      <c r="X1125" s="14" t="s">
        <v>204</v>
      </c>
      <c r="Y1125" s="14" t="s">
        <v>215</v>
      </c>
      <c r="Z1125" s="14">
        <v>20001</v>
      </c>
      <c r="AA1125" s="14" t="s">
        <v>205</v>
      </c>
      <c r="AB1125" s="14">
        <v>40001</v>
      </c>
      <c r="AE1125" s="29" t="s">
        <v>121</v>
      </c>
      <c r="AF1125" s="14" t="s">
        <v>213</v>
      </c>
      <c r="AG1125" s="14" t="s">
        <v>1231</v>
      </c>
    </row>
    <row r="1126" spans="2:33">
      <c r="B1126" s="14">
        <f>10000000+INDEX(编号表!$B:$B,MATCH(H1126,编号表!$A:$A,0))*100000+INDEX(编号表!$F:$F,MATCH(D1126,编号表!$E:$E,0))*10000+INDEX(编号表!$D:$D,MATCH(AG1126,编号表!$C:$C,0))*1000+F1126</f>
        <v>11238000</v>
      </c>
      <c r="C1126" s="14" t="s">
        <v>1287</v>
      </c>
      <c r="D1126" s="14" t="s">
        <v>276</v>
      </c>
      <c r="E1126" s="14" t="s">
        <v>1231</v>
      </c>
      <c r="F1126" s="14">
        <v>0</v>
      </c>
      <c r="G1126" s="14">
        <v>60</v>
      </c>
      <c r="H1126" s="31" t="s">
        <v>212</v>
      </c>
      <c r="I1126" s="14" t="s">
        <v>75</v>
      </c>
      <c r="J1126" s="14" t="s">
        <v>201</v>
      </c>
      <c r="K1126" s="14">
        <v>1</v>
      </c>
      <c r="L1126" s="14" t="s">
        <v>213</v>
      </c>
      <c r="N1126" s="14">
        <v>0</v>
      </c>
      <c r="O1126" s="14" t="b">
        <v>1</v>
      </c>
      <c r="Q1126" s="14" t="b">
        <v>0</v>
      </c>
      <c r="R1126" s="14">
        <v>1</v>
      </c>
      <c r="S1126" s="14" t="s">
        <v>77</v>
      </c>
      <c r="T1126" s="14">
        <v>999</v>
      </c>
      <c r="U1126" s="14" t="s">
        <v>214</v>
      </c>
      <c r="V1126" s="14">
        <v>31238000</v>
      </c>
      <c r="X1126" s="14" t="s">
        <v>204</v>
      </c>
      <c r="Y1126" s="14" t="s">
        <v>215</v>
      </c>
      <c r="Z1126" s="14">
        <v>20001</v>
      </c>
      <c r="AA1126" s="14" t="s">
        <v>205</v>
      </c>
      <c r="AB1126" s="14">
        <v>40001</v>
      </c>
      <c r="AE1126" s="29" t="s">
        <v>121</v>
      </c>
      <c r="AF1126" s="14" t="s">
        <v>213</v>
      </c>
      <c r="AG1126" s="14" t="s">
        <v>1231</v>
      </c>
    </row>
    <row r="1127" spans="2:33">
      <c r="B1127" s="14">
        <f>10000000+INDEX(编号表!$B:$B,MATCH(H1127,编号表!$A:$A,0))*100000+INDEX(编号表!$F:$F,MATCH(D1127,编号表!$E:$E,0))*10000+INDEX(编号表!$D:$D,MATCH(AG1127,编号表!$C:$C,0))*1000+F1127</f>
        <v>11338000</v>
      </c>
      <c r="C1127" s="14" t="s">
        <v>1288</v>
      </c>
      <c r="D1127" s="14" t="s">
        <v>276</v>
      </c>
      <c r="E1127" s="14" t="s">
        <v>1231</v>
      </c>
      <c r="F1127" s="14">
        <v>0</v>
      </c>
      <c r="G1127" s="14">
        <v>60</v>
      </c>
      <c r="H1127" s="31" t="s">
        <v>217</v>
      </c>
      <c r="I1127" s="14" t="s">
        <v>75</v>
      </c>
      <c r="J1127" s="14" t="s">
        <v>201</v>
      </c>
      <c r="K1127" s="14">
        <v>1</v>
      </c>
      <c r="L1127" s="14" t="s">
        <v>213</v>
      </c>
      <c r="N1127" s="14">
        <v>0</v>
      </c>
      <c r="O1127" s="14" t="b">
        <v>1</v>
      </c>
      <c r="Q1127" s="14" t="b">
        <v>0</v>
      </c>
      <c r="R1127" s="14">
        <v>1</v>
      </c>
      <c r="S1127" s="14" t="s">
        <v>77</v>
      </c>
      <c r="T1127" s="14">
        <v>999</v>
      </c>
      <c r="U1127" s="14" t="s">
        <v>214</v>
      </c>
      <c r="V1127" s="14">
        <v>31338000</v>
      </c>
      <c r="X1127" s="14" t="s">
        <v>204</v>
      </c>
      <c r="Y1127" s="14" t="s">
        <v>215</v>
      </c>
      <c r="Z1127" s="14">
        <v>20001</v>
      </c>
      <c r="AA1127" s="14" t="s">
        <v>205</v>
      </c>
      <c r="AB1127" s="14">
        <v>40001</v>
      </c>
      <c r="AE1127" s="29" t="s">
        <v>121</v>
      </c>
      <c r="AF1127" s="14" t="s">
        <v>213</v>
      </c>
      <c r="AG1127" s="14" t="s">
        <v>1231</v>
      </c>
    </row>
    <row r="1128" spans="2:33">
      <c r="B1128" s="14">
        <f>10000000+INDEX(编号表!$B:$B,MATCH(H1128,编号表!$A:$A,0))*100000+INDEX(编号表!$F:$F,MATCH(D1128,编号表!$E:$E,0))*10000+INDEX(编号表!$D:$D,MATCH(AG1128,编号表!$C:$C,0))*1000+F1128</f>
        <v>11338001</v>
      </c>
      <c r="C1128" s="14" t="s">
        <v>1289</v>
      </c>
      <c r="D1128" s="14" t="s">
        <v>276</v>
      </c>
      <c r="E1128" s="14" t="s">
        <v>1231</v>
      </c>
      <c r="F1128" s="14">
        <v>1</v>
      </c>
      <c r="G1128" s="14">
        <v>60</v>
      </c>
      <c r="H1128" s="31" t="s">
        <v>217</v>
      </c>
      <c r="I1128" s="14" t="s">
        <v>75</v>
      </c>
      <c r="J1128" s="14" t="s">
        <v>201</v>
      </c>
      <c r="K1128" s="14">
        <v>1</v>
      </c>
      <c r="L1128" s="14" t="s">
        <v>213</v>
      </c>
      <c r="N1128" s="14">
        <v>0</v>
      </c>
      <c r="O1128" s="14" t="b">
        <v>1</v>
      </c>
      <c r="Q1128" s="14" t="b">
        <v>0</v>
      </c>
      <c r="R1128" s="14">
        <v>1</v>
      </c>
      <c r="S1128" s="14" t="s">
        <v>77</v>
      </c>
      <c r="T1128" s="14">
        <v>999</v>
      </c>
      <c r="U1128" s="14" t="s">
        <v>214</v>
      </c>
      <c r="V1128" s="14">
        <v>31338001</v>
      </c>
      <c r="X1128" s="14" t="s">
        <v>204</v>
      </c>
      <c r="Y1128" s="14" t="s">
        <v>215</v>
      </c>
      <c r="Z1128" s="14">
        <v>20001</v>
      </c>
      <c r="AA1128" s="14" t="s">
        <v>205</v>
      </c>
      <c r="AB1128" s="14">
        <v>40001</v>
      </c>
      <c r="AE1128" s="29" t="s">
        <v>121</v>
      </c>
      <c r="AF1128" s="14" t="s">
        <v>213</v>
      </c>
      <c r="AG1128" s="14" t="s">
        <v>1231</v>
      </c>
    </row>
    <row r="1129" spans="2:33">
      <c r="B1129" s="14">
        <f>10000000+INDEX(编号表!$B:$B,MATCH(H1129,编号表!$A:$A,0))*100000+INDEX(编号表!$F:$F,MATCH(D1129,编号表!$E:$E,0))*10000+INDEX(编号表!$D:$D,MATCH(AG1129,编号表!$C:$C,0))*1000+F1129</f>
        <v>11338002</v>
      </c>
      <c r="C1129" s="14" t="s">
        <v>1290</v>
      </c>
      <c r="D1129" s="14" t="s">
        <v>276</v>
      </c>
      <c r="E1129" s="14" t="s">
        <v>1231</v>
      </c>
      <c r="F1129" s="14">
        <v>2</v>
      </c>
      <c r="G1129" s="14">
        <v>60</v>
      </c>
      <c r="H1129" s="31" t="s">
        <v>217</v>
      </c>
      <c r="I1129" s="14" t="s">
        <v>75</v>
      </c>
      <c r="J1129" s="14" t="s">
        <v>201</v>
      </c>
      <c r="K1129" s="14">
        <v>1</v>
      </c>
      <c r="L1129" s="14" t="s">
        <v>213</v>
      </c>
      <c r="N1129" s="14">
        <v>0</v>
      </c>
      <c r="O1129" s="14" t="b">
        <v>1</v>
      </c>
      <c r="Q1129" s="14" t="b">
        <v>0</v>
      </c>
      <c r="R1129" s="14">
        <v>1</v>
      </c>
      <c r="S1129" s="14" t="s">
        <v>77</v>
      </c>
      <c r="T1129" s="14">
        <v>999</v>
      </c>
      <c r="U1129" s="14" t="s">
        <v>214</v>
      </c>
      <c r="V1129" s="14">
        <v>31338002</v>
      </c>
      <c r="X1129" s="14" t="s">
        <v>204</v>
      </c>
      <c r="Y1129" s="14" t="s">
        <v>215</v>
      </c>
      <c r="Z1129" s="14">
        <v>20001</v>
      </c>
      <c r="AA1129" s="14" t="s">
        <v>205</v>
      </c>
      <c r="AB1129" s="14">
        <v>40001</v>
      </c>
      <c r="AE1129" s="29" t="s">
        <v>121</v>
      </c>
      <c r="AF1129" s="14" t="s">
        <v>213</v>
      </c>
      <c r="AG1129" s="14" t="s">
        <v>1231</v>
      </c>
    </row>
    <row r="1130" spans="2:33">
      <c r="B1130" s="14">
        <f>10000000+INDEX(编号表!$B:$B,MATCH(H1130,编号表!$A:$A,0))*100000+INDEX(编号表!$F:$F,MATCH(D1130,编号表!$E:$E,0))*10000+INDEX(编号表!$D:$D,MATCH(AG1130,编号表!$C:$C,0))*1000+F1130</f>
        <v>11338003</v>
      </c>
      <c r="C1130" s="14" t="s">
        <v>1291</v>
      </c>
      <c r="D1130" s="14" t="s">
        <v>276</v>
      </c>
      <c r="E1130" s="14" t="s">
        <v>1231</v>
      </c>
      <c r="F1130" s="14">
        <v>3</v>
      </c>
      <c r="G1130" s="14">
        <v>60</v>
      </c>
      <c r="H1130" s="31" t="s">
        <v>217</v>
      </c>
      <c r="I1130" s="14" t="s">
        <v>75</v>
      </c>
      <c r="J1130" s="14" t="s">
        <v>201</v>
      </c>
      <c r="K1130" s="14">
        <v>1</v>
      </c>
      <c r="L1130" s="14" t="s">
        <v>213</v>
      </c>
      <c r="N1130" s="14">
        <v>0</v>
      </c>
      <c r="O1130" s="14" t="b">
        <v>1</v>
      </c>
      <c r="Q1130" s="14" t="b">
        <v>0</v>
      </c>
      <c r="R1130" s="14">
        <v>1</v>
      </c>
      <c r="S1130" s="14" t="s">
        <v>77</v>
      </c>
      <c r="T1130" s="14">
        <v>999</v>
      </c>
      <c r="U1130" s="14" t="s">
        <v>214</v>
      </c>
      <c r="V1130" s="14">
        <v>31338003</v>
      </c>
      <c r="X1130" s="14" t="s">
        <v>204</v>
      </c>
      <c r="Y1130" s="14" t="s">
        <v>215</v>
      </c>
      <c r="Z1130" s="14">
        <v>20001</v>
      </c>
      <c r="AA1130" s="14" t="s">
        <v>205</v>
      </c>
      <c r="AB1130" s="14">
        <v>40001</v>
      </c>
      <c r="AE1130" s="29" t="s">
        <v>121</v>
      </c>
      <c r="AF1130" s="14" t="s">
        <v>213</v>
      </c>
      <c r="AG1130" s="14" t="s">
        <v>1231</v>
      </c>
    </row>
    <row r="1131" spans="2:33">
      <c r="B1131" s="14">
        <f>10000000+INDEX(编号表!$B:$B,MATCH(H1131,编号表!$A:$A,0))*100000+INDEX(编号表!$F:$F,MATCH(D1131,编号表!$E:$E,0))*10000+INDEX(编号表!$D:$D,MATCH(AG1131,编号表!$C:$C,0))*1000+F1131</f>
        <v>11338004</v>
      </c>
      <c r="C1131" s="14" t="s">
        <v>1292</v>
      </c>
      <c r="D1131" s="14" t="s">
        <v>276</v>
      </c>
      <c r="E1131" s="14" t="s">
        <v>1231</v>
      </c>
      <c r="F1131" s="14">
        <v>4</v>
      </c>
      <c r="G1131" s="14">
        <v>60</v>
      </c>
      <c r="H1131" s="31" t="s">
        <v>217</v>
      </c>
      <c r="I1131" s="14" t="s">
        <v>75</v>
      </c>
      <c r="J1131" s="14" t="s">
        <v>201</v>
      </c>
      <c r="K1131" s="14">
        <v>1</v>
      </c>
      <c r="L1131" s="14" t="s">
        <v>213</v>
      </c>
      <c r="N1131" s="14">
        <v>0</v>
      </c>
      <c r="O1131" s="14" t="b">
        <v>1</v>
      </c>
      <c r="Q1131" s="14" t="b">
        <v>0</v>
      </c>
      <c r="R1131" s="14">
        <v>1</v>
      </c>
      <c r="S1131" s="14" t="s">
        <v>77</v>
      </c>
      <c r="T1131" s="14">
        <v>999</v>
      </c>
      <c r="U1131" s="14" t="s">
        <v>214</v>
      </c>
      <c r="V1131" s="14">
        <v>31338004</v>
      </c>
      <c r="X1131" s="14" t="s">
        <v>204</v>
      </c>
      <c r="Y1131" s="14" t="s">
        <v>215</v>
      </c>
      <c r="Z1131" s="14">
        <v>20001</v>
      </c>
      <c r="AA1131" s="14" t="s">
        <v>205</v>
      </c>
      <c r="AB1131" s="14">
        <v>40001</v>
      </c>
      <c r="AE1131" s="29" t="s">
        <v>121</v>
      </c>
      <c r="AF1131" s="14" t="s">
        <v>213</v>
      </c>
      <c r="AG1131" s="14" t="s">
        <v>1231</v>
      </c>
    </row>
    <row r="1132" spans="2:33">
      <c r="B1132" s="14">
        <f>10000000+INDEX(编号表!$B:$B,MATCH(H1132,编号表!$A:$A,0))*100000+INDEX(编号表!$F:$F,MATCH(D1132,编号表!$E:$E,0))*10000+INDEX(编号表!$D:$D,MATCH(AG1132,编号表!$C:$C,0))*1000+F1132</f>
        <v>11338005</v>
      </c>
      <c r="C1132" s="14" t="s">
        <v>1293</v>
      </c>
      <c r="D1132" s="14" t="s">
        <v>276</v>
      </c>
      <c r="E1132" s="14" t="s">
        <v>1231</v>
      </c>
      <c r="F1132" s="14">
        <v>5</v>
      </c>
      <c r="G1132" s="14">
        <v>60</v>
      </c>
      <c r="H1132" s="31" t="s">
        <v>217</v>
      </c>
      <c r="I1132" s="14" t="s">
        <v>75</v>
      </c>
      <c r="J1132" s="14" t="s">
        <v>201</v>
      </c>
      <c r="K1132" s="14">
        <v>1</v>
      </c>
      <c r="L1132" s="14" t="s">
        <v>213</v>
      </c>
      <c r="N1132" s="14">
        <v>0</v>
      </c>
      <c r="O1132" s="14" t="b">
        <v>1</v>
      </c>
      <c r="Q1132" s="14" t="b">
        <v>0</v>
      </c>
      <c r="R1132" s="14">
        <v>1</v>
      </c>
      <c r="S1132" s="14" t="s">
        <v>77</v>
      </c>
      <c r="T1132" s="14">
        <v>999</v>
      </c>
      <c r="U1132" s="14" t="s">
        <v>214</v>
      </c>
      <c r="V1132" s="14">
        <v>31338005</v>
      </c>
      <c r="X1132" s="14" t="s">
        <v>204</v>
      </c>
      <c r="Y1132" s="14" t="s">
        <v>215</v>
      </c>
      <c r="Z1132" s="14">
        <v>20001</v>
      </c>
      <c r="AA1132" s="14" t="s">
        <v>205</v>
      </c>
      <c r="AB1132" s="14">
        <v>40001</v>
      </c>
      <c r="AE1132" s="29" t="s">
        <v>121</v>
      </c>
      <c r="AF1132" s="14" t="s">
        <v>213</v>
      </c>
      <c r="AG1132" s="14" t="s">
        <v>1231</v>
      </c>
    </row>
    <row r="1133" spans="2:33">
      <c r="B1133" s="14">
        <f>10000000+INDEX(编号表!$B:$B,MATCH(H1133,编号表!$A:$A,0))*100000+INDEX(编号表!$F:$F,MATCH(D1133,编号表!$E:$E,0))*10000+INDEX(编号表!$D:$D,MATCH(AG1133,编号表!$C:$C,0))*1000+F1133</f>
        <v>11338006</v>
      </c>
      <c r="C1133" s="14" t="s">
        <v>1294</v>
      </c>
      <c r="D1133" s="14" t="s">
        <v>276</v>
      </c>
      <c r="E1133" s="14" t="s">
        <v>1231</v>
      </c>
      <c r="F1133" s="14">
        <v>6</v>
      </c>
      <c r="G1133" s="14">
        <v>60</v>
      </c>
      <c r="H1133" s="31" t="s">
        <v>217</v>
      </c>
      <c r="I1133" s="14" t="s">
        <v>75</v>
      </c>
      <c r="J1133" s="14" t="s">
        <v>201</v>
      </c>
      <c r="K1133" s="14">
        <v>1</v>
      </c>
      <c r="L1133" s="14" t="s">
        <v>213</v>
      </c>
      <c r="N1133" s="14">
        <v>0</v>
      </c>
      <c r="O1133" s="14" t="b">
        <v>1</v>
      </c>
      <c r="Q1133" s="14" t="b">
        <v>0</v>
      </c>
      <c r="R1133" s="14">
        <v>1</v>
      </c>
      <c r="S1133" s="14" t="s">
        <v>77</v>
      </c>
      <c r="T1133" s="14">
        <v>999</v>
      </c>
      <c r="U1133" s="14" t="s">
        <v>214</v>
      </c>
      <c r="V1133" s="14">
        <v>31338006</v>
      </c>
      <c r="X1133" s="14" t="s">
        <v>204</v>
      </c>
      <c r="Y1133" s="14" t="s">
        <v>215</v>
      </c>
      <c r="Z1133" s="14">
        <v>20001</v>
      </c>
      <c r="AA1133" s="14" t="s">
        <v>205</v>
      </c>
      <c r="AB1133" s="14">
        <v>40001</v>
      </c>
      <c r="AE1133" s="29" t="s">
        <v>121</v>
      </c>
      <c r="AF1133" s="14" t="s">
        <v>213</v>
      </c>
      <c r="AG1133" s="14" t="s">
        <v>1231</v>
      </c>
    </row>
    <row r="1134" spans="2:33">
      <c r="B1134" s="14">
        <f>10000000+INDEX(编号表!$B:$B,MATCH(H1134,编号表!$A:$A,0))*100000+INDEX(编号表!$F:$F,MATCH(D1134,编号表!$E:$E,0))*10000+INDEX(编号表!$D:$D,MATCH(AG1134,编号表!$C:$C,0))*1000+F1134</f>
        <v>11338007</v>
      </c>
      <c r="C1134" s="14" t="s">
        <v>1295</v>
      </c>
      <c r="D1134" s="14" t="s">
        <v>276</v>
      </c>
      <c r="E1134" s="14" t="s">
        <v>1231</v>
      </c>
      <c r="F1134" s="14">
        <v>7</v>
      </c>
      <c r="G1134" s="14">
        <v>60</v>
      </c>
      <c r="H1134" s="31" t="s">
        <v>217</v>
      </c>
      <c r="I1134" s="14" t="s">
        <v>75</v>
      </c>
      <c r="J1134" s="14" t="s">
        <v>201</v>
      </c>
      <c r="K1134" s="14">
        <v>1</v>
      </c>
      <c r="L1134" s="14" t="s">
        <v>213</v>
      </c>
      <c r="N1134" s="14">
        <v>0</v>
      </c>
      <c r="O1134" s="14" t="b">
        <v>1</v>
      </c>
      <c r="Q1134" s="14" t="b">
        <v>0</v>
      </c>
      <c r="R1134" s="14">
        <v>1</v>
      </c>
      <c r="S1134" s="14" t="s">
        <v>77</v>
      </c>
      <c r="T1134" s="14">
        <v>999</v>
      </c>
      <c r="U1134" s="14" t="s">
        <v>214</v>
      </c>
      <c r="V1134" s="14">
        <v>31338007</v>
      </c>
      <c r="X1134" s="14" t="s">
        <v>204</v>
      </c>
      <c r="Y1134" s="14" t="s">
        <v>215</v>
      </c>
      <c r="Z1134" s="14">
        <v>20001</v>
      </c>
      <c r="AA1134" s="14" t="s">
        <v>205</v>
      </c>
      <c r="AB1134" s="14">
        <v>40001</v>
      </c>
      <c r="AE1134" s="29" t="s">
        <v>121</v>
      </c>
      <c r="AF1134" s="14" t="s">
        <v>213</v>
      </c>
      <c r="AG1134" s="14" t="s">
        <v>1231</v>
      </c>
    </row>
    <row r="1135" spans="2:33">
      <c r="B1135" s="14">
        <f>10000000+INDEX(编号表!$B:$B,MATCH(H1135,编号表!$A:$A,0))*100000+INDEX(编号表!$F:$F,MATCH(D1135,编号表!$E:$E,0))*10000+INDEX(编号表!$D:$D,MATCH(AG1135,编号表!$C:$C,0))*1000+F1135</f>
        <v>11338008</v>
      </c>
      <c r="C1135" s="14" t="s">
        <v>1296</v>
      </c>
      <c r="D1135" s="14" t="s">
        <v>276</v>
      </c>
      <c r="E1135" s="14" t="s">
        <v>1231</v>
      </c>
      <c r="F1135" s="14">
        <v>8</v>
      </c>
      <c r="G1135" s="14">
        <v>60</v>
      </c>
      <c r="H1135" s="31" t="s">
        <v>217</v>
      </c>
      <c r="I1135" s="14" t="s">
        <v>75</v>
      </c>
      <c r="J1135" s="14" t="s">
        <v>201</v>
      </c>
      <c r="K1135" s="14">
        <v>1</v>
      </c>
      <c r="L1135" s="14" t="s">
        <v>213</v>
      </c>
      <c r="N1135" s="14">
        <v>0</v>
      </c>
      <c r="O1135" s="14" t="b">
        <v>1</v>
      </c>
      <c r="Q1135" s="14" t="b">
        <v>0</v>
      </c>
      <c r="R1135" s="14">
        <v>1</v>
      </c>
      <c r="S1135" s="14" t="s">
        <v>77</v>
      </c>
      <c r="T1135" s="14">
        <v>999</v>
      </c>
      <c r="U1135" s="14" t="s">
        <v>214</v>
      </c>
      <c r="V1135" s="14">
        <v>31338008</v>
      </c>
      <c r="X1135" s="14" t="s">
        <v>204</v>
      </c>
      <c r="Y1135" s="14" t="s">
        <v>215</v>
      </c>
      <c r="Z1135" s="14">
        <v>20001</v>
      </c>
      <c r="AA1135" s="14" t="s">
        <v>205</v>
      </c>
      <c r="AB1135" s="14">
        <v>40001</v>
      </c>
      <c r="AE1135" s="29" t="s">
        <v>121</v>
      </c>
      <c r="AF1135" s="14" t="s">
        <v>213</v>
      </c>
      <c r="AG1135" s="14" t="s">
        <v>1231</v>
      </c>
    </row>
    <row r="1136" spans="2:33">
      <c r="B1136" s="14">
        <f>10000000+INDEX(编号表!$B:$B,MATCH(H1136,编号表!$A:$A,0))*100000+INDEX(编号表!$F:$F,MATCH(D1136,编号表!$E:$E,0))*10000+INDEX(编号表!$D:$D,MATCH(AG1136,编号表!$C:$C,0))*1000+F1136</f>
        <v>11338009</v>
      </c>
      <c r="C1136" s="14" t="s">
        <v>1297</v>
      </c>
      <c r="D1136" s="14" t="s">
        <v>276</v>
      </c>
      <c r="E1136" s="14" t="s">
        <v>1231</v>
      </c>
      <c r="F1136" s="14">
        <v>9</v>
      </c>
      <c r="G1136" s="14">
        <v>60</v>
      </c>
      <c r="H1136" s="31" t="s">
        <v>217</v>
      </c>
      <c r="I1136" s="14" t="s">
        <v>75</v>
      </c>
      <c r="J1136" s="14" t="s">
        <v>201</v>
      </c>
      <c r="K1136" s="14">
        <v>1</v>
      </c>
      <c r="L1136" s="14" t="s">
        <v>213</v>
      </c>
      <c r="N1136" s="14">
        <v>0</v>
      </c>
      <c r="O1136" s="14" t="b">
        <v>1</v>
      </c>
      <c r="Q1136" s="14" t="b">
        <v>0</v>
      </c>
      <c r="R1136" s="14">
        <v>1</v>
      </c>
      <c r="S1136" s="14" t="s">
        <v>77</v>
      </c>
      <c r="T1136" s="14">
        <v>999</v>
      </c>
      <c r="U1136" s="14" t="s">
        <v>214</v>
      </c>
      <c r="V1136" s="14">
        <v>31338009</v>
      </c>
      <c r="X1136" s="14" t="s">
        <v>204</v>
      </c>
      <c r="Y1136" s="14" t="s">
        <v>215</v>
      </c>
      <c r="Z1136" s="14">
        <v>20001</v>
      </c>
      <c r="AA1136" s="14" t="s">
        <v>205</v>
      </c>
      <c r="AB1136" s="14">
        <v>40001</v>
      </c>
      <c r="AE1136" s="29" t="s">
        <v>121</v>
      </c>
      <c r="AF1136" s="14" t="s">
        <v>213</v>
      </c>
      <c r="AG1136" s="14" t="s">
        <v>1231</v>
      </c>
    </row>
    <row r="1137" spans="2:33">
      <c r="B1137" s="14">
        <f>10000000+INDEX(编号表!$B:$B,MATCH(H1137,编号表!$A:$A,0))*100000+INDEX(编号表!$F:$F,MATCH(D1137,编号表!$E:$E,0))*10000+INDEX(编号表!$D:$D,MATCH(AG1137,编号表!$C:$C,0))*1000+F1137</f>
        <v>11538000</v>
      </c>
      <c r="C1137" s="14" t="s">
        <v>1298</v>
      </c>
      <c r="D1137" s="14" t="s">
        <v>276</v>
      </c>
      <c r="E1137" s="14" t="s">
        <v>1231</v>
      </c>
      <c r="F1137" s="14">
        <v>0</v>
      </c>
      <c r="G1137" s="14">
        <v>60</v>
      </c>
      <c r="H1137" s="31" t="s">
        <v>228</v>
      </c>
      <c r="I1137" s="14" t="s">
        <v>75</v>
      </c>
      <c r="J1137" s="14" t="s">
        <v>201</v>
      </c>
      <c r="K1137" s="14">
        <v>1</v>
      </c>
      <c r="L1137" s="14" t="s">
        <v>213</v>
      </c>
      <c r="N1137" s="14">
        <v>0</v>
      </c>
      <c r="O1137" s="14" t="b">
        <v>1</v>
      </c>
      <c r="Q1137" s="14" t="b">
        <v>0</v>
      </c>
      <c r="R1137" s="14">
        <v>1</v>
      </c>
      <c r="S1137" s="14" t="s">
        <v>77</v>
      </c>
      <c r="T1137" s="14">
        <v>999</v>
      </c>
      <c r="U1137" s="14" t="s">
        <v>214</v>
      </c>
      <c r="V1137" s="14">
        <v>31538000</v>
      </c>
      <c r="X1137" s="14" t="s">
        <v>204</v>
      </c>
      <c r="Y1137" s="14" t="s">
        <v>215</v>
      </c>
      <c r="Z1137" s="14">
        <v>20001</v>
      </c>
      <c r="AA1137" s="14" t="s">
        <v>205</v>
      </c>
      <c r="AB1137" s="14">
        <v>40001</v>
      </c>
      <c r="AE1137" s="29" t="s">
        <v>121</v>
      </c>
      <c r="AF1137" s="14" t="s">
        <v>213</v>
      </c>
      <c r="AG1137" s="14" t="s">
        <v>1231</v>
      </c>
    </row>
    <row r="1138" spans="2:33">
      <c r="B1138" s="14">
        <f>10000000+INDEX(编号表!$B:$B,MATCH(H1138,编号表!$A:$A,0))*100000+INDEX(编号表!$F:$F,MATCH(D1138,编号表!$E:$E,0))*10000+INDEX(编号表!$D:$D,MATCH(AG1138,编号表!$C:$C,0))*1000+F1138</f>
        <v>11538001</v>
      </c>
      <c r="C1138" s="14" t="s">
        <v>1299</v>
      </c>
      <c r="D1138" s="14" t="s">
        <v>276</v>
      </c>
      <c r="E1138" s="14" t="s">
        <v>1231</v>
      </c>
      <c r="F1138" s="14">
        <v>1</v>
      </c>
      <c r="G1138" s="14">
        <v>60</v>
      </c>
      <c r="H1138" s="31" t="s">
        <v>228</v>
      </c>
      <c r="I1138" s="14" t="s">
        <v>75</v>
      </c>
      <c r="J1138" s="14" t="s">
        <v>201</v>
      </c>
      <c r="K1138" s="14">
        <v>1</v>
      </c>
      <c r="L1138" s="14" t="s">
        <v>213</v>
      </c>
      <c r="N1138" s="14">
        <v>0</v>
      </c>
      <c r="O1138" s="14" t="b">
        <v>1</v>
      </c>
      <c r="Q1138" s="14" t="b">
        <v>0</v>
      </c>
      <c r="R1138" s="14">
        <v>1</v>
      </c>
      <c r="S1138" s="14" t="s">
        <v>77</v>
      </c>
      <c r="T1138" s="14">
        <v>999</v>
      </c>
      <c r="U1138" s="14" t="s">
        <v>214</v>
      </c>
      <c r="V1138" s="14">
        <v>31538001</v>
      </c>
      <c r="X1138" s="14" t="s">
        <v>204</v>
      </c>
      <c r="Y1138" s="14" t="s">
        <v>215</v>
      </c>
      <c r="Z1138" s="14">
        <v>20001</v>
      </c>
      <c r="AA1138" s="14" t="s">
        <v>205</v>
      </c>
      <c r="AB1138" s="14">
        <v>40001</v>
      </c>
      <c r="AE1138" s="29" t="s">
        <v>121</v>
      </c>
      <c r="AF1138" s="14" t="s">
        <v>213</v>
      </c>
      <c r="AG1138" s="14" t="s">
        <v>1231</v>
      </c>
    </row>
    <row r="1139" spans="2:33">
      <c r="B1139" s="14">
        <f>10000000+INDEX(编号表!$B:$B,MATCH(H1139,编号表!$A:$A,0))*100000+INDEX(编号表!$F:$F,MATCH(D1139,编号表!$E:$E,0))*10000+INDEX(编号表!$D:$D,MATCH(AG1139,编号表!$C:$C,0))*1000+F1139</f>
        <v>11538002</v>
      </c>
      <c r="C1139" s="14" t="s">
        <v>1300</v>
      </c>
      <c r="D1139" s="14" t="s">
        <v>276</v>
      </c>
      <c r="E1139" s="14" t="s">
        <v>1231</v>
      </c>
      <c r="F1139" s="14">
        <v>2</v>
      </c>
      <c r="G1139" s="14">
        <v>60</v>
      </c>
      <c r="H1139" s="31" t="s">
        <v>228</v>
      </c>
      <c r="I1139" s="14" t="s">
        <v>75</v>
      </c>
      <c r="J1139" s="14" t="s">
        <v>201</v>
      </c>
      <c r="K1139" s="14">
        <v>1</v>
      </c>
      <c r="L1139" s="14" t="s">
        <v>213</v>
      </c>
      <c r="N1139" s="14">
        <v>0</v>
      </c>
      <c r="O1139" s="14" t="b">
        <v>1</v>
      </c>
      <c r="Q1139" s="14" t="b">
        <v>0</v>
      </c>
      <c r="R1139" s="14">
        <v>1</v>
      </c>
      <c r="S1139" s="14" t="s">
        <v>77</v>
      </c>
      <c r="T1139" s="14">
        <v>999</v>
      </c>
      <c r="U1139" s="14" t="s">
        <v>214</v>
      </c>
      <c r="V1139" s="14">
        <v>31538002</v>
      </c>
      <c r="X1139" s="14" t="s">
        <v>204</v>
      </c>
      <c r="Y1139" s="14" t="s">
        <v>215</v>
      </c>
      <c r="Z1139" s="14">
        <v>20001</v>
      </c>
      <c r="AA1139" s="14" t="s">
        <v>205</v>
      </c>
      <c r="AB1139" s="14">
        <v>40001</v>
      </c>
      <c r="AE1139" s="29" t="s">
        <v>121</v>
      </c>
      <c r="AF1139" s="14" t="s">
        <v>213</v>
      </c>
      <c r="AG1139" s="14" t="s">
        <v>1231</v>
      </c>
    </row>
    <row r="1140" spans="2:33">
      <c r="B1140" s="14">
        <f>10000000+INDEX(编号表!$B:$B,MATCH(H1140,编号表!$A:$A,0))*100000+INDEX(编号表!$F:$F,MATCH(D1140,编号表!$E:$E,0))*10000+INDEX(编号表!$D:$D,MATCH(AG1140,编号表!$C:$C,0))*1000+F1140</f>
        <v>11538003</v>
      </c>
      <c r="C1140" s="14" t="s">
        <v>1301</v>
      </c>
      <c r="D1140" s="14" t="s">
        <v>276</v>
      </c>
      <c r="E1140" s="14" t="s">
        <v>1231</v>
      </c>
      <c r="F1140" s="14">
        <v>3</v>
      </c>
      <c r="G1140" s="14">
        <v>60</v>
      </c>
      <c r="H1140" s="31" t="s">
        <v>228</v>
      </c>
      <c r="I1140" s="14" t="s">
        <v>75</v>
      </c>
      <c r="J1140" s="14" t="s">
        <v>201</v>
      </c>
      <c r="K1140" s="14">
        <v>1</v>
      </c>
      <c r="L1140" s="14" t="s">
        <v>213</v>
      </c>
      <c r="N1140" s="14">
        <v>0</v>
      </c>
      <c r="O1140" s="14" t="b">
        <v>1</v>
      </c>
      <c r="Q1140" s="14" t="b">
        <v>0</v>
      </c>
      <c r="R1140" s="14">
        <v>1</v>
      </c>
      <c r="S1140" s="14" t="s">
        <v>77</v>
      </c>
      <c r="T1140" s="14">
        <v>999</v>
      </c>
      <c r="U1140" s="14" t="s">
        <v>214</v>
      </c>
      <c r="V1140" s="14">
        <v>31538003</v>
      </c>
      <c r="X1140" s="14" t="s">
        <v>204</v>
      </c>
      <c r="Y1140" s="14" t="s">
        <v>215</v>
      </c>
      <c r="Z1140" s="14">
        <v>20001</v>
      </c>
      <c r="AA1140" s="14" t="s">
        <v>205</v>
      </c>
      <c r="AB1140" s="14">
        <v>40001</v>
      </c>
      <c r="AE1140" s="29" t="s">
        <v>121</v>
      </c>
      <c r="AF1140" s="14" t="s">
        <v>213</v>
      </c>
      <c r="AG1140" s="14" t="s">
        <v>1231</v>
      </c>
    </row>
    <row r="1141" spans="2:33">
      <c r="B1141" s="14">
        <f>10000000+INDEX(编号表!$B:$B,MATCH(H1141,编号表!$A:$A,0))*100000+INDEX(编号表!$F:$F,MATCH(D1141,编号表!$E:$E,0))*10000+INDEX(编号表!$D:$D,MATCH(AG1141,编号表!$C:$C,0))*1000+F1141</f>
        <v>11538004</v>
      </c>
      <c r="C1141" s="14" t="s">
        <v>1302</v>
      </c>
      <c r="D1141" s="14" t="s">
        <v>276</v>
      </c>
      <c r="E1141" s="14" t="s">
        <v>1231</v>
      </c>
      <c r="F1141" s="14">
        <v>4</v>
      </c>
      <c r="G1141" s="14">
        <v>60</v>
      </c>
      <c r="H1141" s="31" t="s">
        <v>228</v>
      </c>
      <c r="I1141" s="14" t="s">
        <v>75</v>
      </c>
      <c r="J1141" s="14" t="s">
        <v>201</v>
      </c>
      <c r="K1141" s="14">
        <v>1</v>
      </c>
      <c r="L1141" s="14" t="s">
        <v>213</v>
      </c>
      <c r="N1141" s="14">
        <v>0</v>
      </c>
      <c r="O1141" s="14" t="b">
        <v>1</v>
      </c>
      <c r="Q1141" s="14" t="b">
        <v>0</v>
      </c>
      <c r="R1141" s="14">
        <v>1</v>
      </c>
      <c r="S1141" s="14" t="s">
        <v>77</v>
      </c>
      <c r="T1141" s="14">
        <v>999</v>
      </c>
      <c r="U1141" s="14" t="s">
        <v>214</v>
      </c>
      <c r="V1141" s="14">
        <v>31538004</v>
      </c>
      <c r="X1141" s="14" t="s">
        <v>204</v>
      </c>
      <c r="Y1141" s="14" t="s">
        <v>215</v>
      </c>
      <c r="Z1141" s="14">
        <v>20001</v>
      </c>
      <c r="AA1141" s="14" t="s">
        <v>205</v>
      </c>
      <c r="AB1141" s="14">
        <v>40001</v>
      </c>
      <c r="AE1141" s="29" t="s">
        <v>121</v>
      </c>
      <c r="AF1141" s="14" t="s">
        <v>213</v>
      </c>
      <c r="AG1141" s="14" t="s">
        <v>1231</v>
      </c>
    </row>
    <row r="1142" spans="2:33">
      <c r="B1142" s="14">
        <f>10000000+INDEX(编号表!$B:$B,MATCH(H1142,编号表!$A:$A,0))*100000+INDEX(编号表!$F:$F,MATCH(D1142,编号表!$E:$E,0))*10000+INDEX(编号表!$D:$D,MATCH(AG1142,编号表!$C:$C,0))*1000+F1142</f>
        <v>11538005</v>
      </c>
      <c r="C1142" s="14" t="s">
        <v>1303</v>
      </c>
      <c r="D1142" s="14" t="s">
        <v>276</v>
      </c>
      <c r="E1142" s="14" t="s">
        <v>1231</v>
      </c>
      <c r="F1142" s="14">
        <v>5</v>
      </c>
      <c r="G1142" s="14">
        <v>60</v>
      </c>
      <c r="H1142" s="31" t="s">
        <v>228</v>
      </c>
      <c r="I1142" s="14" t="s">
        <v>75</v>
      </c>
      <c r="J1142" s="14" t="s">
        <v>201</v>
      </c>
      <c r="K1142" s="14">
        <v>1</v>
      </c>
      <c r="L1142" s="14" t="s">
        <v>213</v>
      </c>
      <c r="N1142" s="14">
        <v>0</v>
      </c>
      <c r="O1142" s="14" t="b">
        <v>1</v>
      </c>
      <c r="Q1142" s="14" t="b">
        <v>0</v>
      </c>
      <c r="R1142" s="14">
        <v>1</v>
      </c>
      <c r="S1142" s="14" t="s">
        <v>77</v>
      </c>
      <c r="T1142" s="14">
        <v>999</v>
      </c>
      <c r="U1142" s="14" t="s">
        <v>214</v>
      </c>
      <c r="V1142" s="14">
        <v>31538005</v>
      </c>
      <c r="X1142" s="14" t="s">
        <v>204</v>
      </c>
      <c r="Y1142" s="14" t="s">
        <v>215</v>
      </c>
      <c r="Z1142" s="14">
        <v>20001</v>
      </c>
      <c r="AA1142" s="14" t="s">
        <v>205</v>
      </c>
      <c r="AB1142" s="14">
        <v>40001</v>
      </c>
      <c r="AE1142" s="29" t="s">
        <v>121</v>
      </c>
      <c r="AF1142" s="14" t="s">
        <v>213</v>
      </c>
      <c r="AG1142" s="14" t="s">
        <v>1231</v>
      </c>
    </row>
    <row r="1143" spans="2:33">
      <c r="B1143" s="14">
        <f>10000000+INDEX(编号表!$B:$B,MATCH(H1143,编号表!$A:$A,0))*100000+INDEX(编号表!$F:$F,MATCH(D1143,编号表!$E:$E,0))*10000+INDEX(编号表!$D:$D,MATCH(AG1143,编号表!$C:$C,0))*1000+F1143</f>
        <v>11538006</v>
      </c>
      <c r="C1143" s="14" t="s">
        <v>1304</v>
      </c>
      <c r="D1143" s="14" t="s">
        <v>276</v>
      </c>
      <c r="E1143" s="14" t="s">
        <v>1231</v>
      </c>
      <c r="F1143" s="14">
        <v>6</v>
      </c>
      <c r="G1143" s="14">
        <v>60</v>
      </c>
      <c r="H1143" s="31" t="s">
        <v>228</v>
      </c>
      <c r="I1143" s="14" t="s">
        <v>75</v>
      </c>
      <c r="J1143" s="14" t="s">
        <v>201</v>
      </c>
      <c r="K1143" s="14">
        <v>1</v>
      </c>
      <c r="L1143" s="14" t="s">
        <v>213</v>
      </c>
      <c r="N1143" s="14">
        <v>0</v>
      </c>
      <c r="O1143" s="14" t="b">
        <v>1</v>
      </c>
      <c r="Q1143" s="14" t="b">
        <v>0</v>
      </c>
      <c r="R1143" s="14">
        <v>1</v>
      </c>
      <c r="S1143" s="14" t="s">
        <v>77</v>
      </c>
      <c r="T1143" s="14">
        <v>999</v>
      </c>
      <c r="U1143" s="14" t="s">
        <v>214</v>
      </c>
      <c r="V1143" s="14">
        <v>31538006</v>
      </c>
      <c r="X1143" s="14" t="s">
        <v>204</v>
      </c>
      <c r="Y1143" s="14" t="s">
        <v>215</v>
      </c>
      <c r="Z1143" s="14">
        <v>20001</v>
      </c>
      <c r="AA1143" s="14" t="s">
        <v>205</v>
      </c>
      <c r="AB1143" s="14">
        <v>40001</v>
      </c>
      <c r="AE1143" s="29" t="s">
        <v>121</v>
      </c>
      <c r="AF1143" s="14" t="s">
        <v>213</v>
      </c>
      <c r="AG1143" s="14" t="s">
        <v>1231</v>
      </c>
    </row>
    <row r="1144" spans="2:33">
      <c r="B1144" s="14">
        <f>10000000+INDEX(编号表!$B:$B,MATCH(H1144,编号表!$A:$A,0))*100000+INDEX(编号表!$F:$F,MATCH(D1144,编号表!$E:$E,0))*10000+INDEX(编号表!$D:$D,MATCH(AG1144,编号表!$C:$C,0))*1000+F1144</f>
        <v>11538007</v>
      </c>
      <c r="C1144" s="14" t="s">
        <v>1305</v>
      </c>
      <c r="D1144" s="14" t="s">
        <v>276</v>
      </c>
      <c r="E1144" s="14" t="s">
        <v>1231</v>
      </c>
      <c r="F1144" s="14">
        <v>7</v>
      </c>
      <c r="G1144" s="14">
        <v>60</v>
      </c>
      <c r="H1144" s="31" t="s">
        <v>228</v>
      </c>
      <c r="I1144" s="14" t="s">
        <v>75</v>
      </c>
      <c r="J1144" s="14" t="s">
        <v>201</v>
      </c>
      <c r="K1144" s="14">
        <v>1</v>
      </c>
      <c r="L1144" s="14" t="s">
        <v>213</v>
      </c>
      <c r="N1144" s="14">
        <v>0</v>
      </c>
      <c r="O1144" s="14" t="b">
        <v>1</v>
      </c>
      <c r="Q1144" s="14" t="b">
        <v>0</v>
      </c>
      <c r="R1144" s="14">
        <v>1</v>
      </c>
      <c r="S1144" s="14" t="s">
        <v>77</v>
      </c>
      <c r="T1144" s="14">
        <v>999</v>
      </c>
      <c r="U1144" s="14" t="s">
        <v>214</v>
      </c>
      <c r="V1144" s="14">
        <v>31538007</v>
      </c>
      <c r="X1144" s="14" t="s">
        <v>204</v>
      </c>
      <c r="Y1144" s="14" t="s">
        <v>215</v>
      </c>
      <c r="Z1144" s="14">
        <v>20001</v>
      </c>
      <c r="AA1144" s="14" t="s">
        <v>205</v>
      </c>
      <c r="AB1144" s="14">
        <v>40001</v>
      </c>
      <c r="AE1144" s="29" t="s">
        <v>121</v>
      </c>
      <c r="AF1144" s="14" t="s">
        <v>213</v>
      </c>
      <c r="AG1144" s="14" t="s">
        <v>1231</v>
      </c>
    </row>
    <row r="1145" spans="2:33">
      <c r="B1145" s="14">
        <f>10000000+INDEX(编号表!$B:$B,MATCH(H1145,编号表!$A:$A,0))*100000+INDEX(编号表!$F:$F,MATCH(D1145,编号表!$E:$E,0))*10000+INDEX(编号表!$D:$D,MATCH(AG1145,编号表!$C:$C,0))*1000+F1145</f>
        <v>11538008</v>
      </c>
      <c r="C1145" s="14" t="s">
        <v>1306</v>
      </c>
      <c r="D1145" s="14" t="s">
        <v>276</v>
      </c>
      <c r="E1145" s="14" t="s">
        <v>1231</v>
      </c>
      <c r="F1145" s="14">
        <v>8</v>
      </c>
      <c r="G1145" s="14">
        <v>60</v>
      </c>
      <c r="H1145" s="31" t="s">
        <v>228</v>
      </c>
      <c r="I1145" s="14" t="s">
        <v>75</v>
      </c>
      <c r="J1145" s="14" t="s">
        <v>201</v>
      </c>
      <c r="K1145" s="14">
        <v>1</v>
      </c>
      <c r="L1145" s="14" t="s">
        <v>213</v>
      </c>
      <c r="N1145" s="14">
        <v>0</v>
      </c>
      <c r="O1145" s="14" t="b">
        <v>1</v>
      </c>
      <c r="Q1145" s="14" t="b">
        <v>0</v>
      </c>
      <c r="R1145" s="14">
        <v>1</v>
      </c>
      <c r="S1145" s="14" t="s">
        <v>77</v>
      </c>
      <c r="T1145" s="14">
        <v>999</v>
      </c>
      <c r="U1145" s="14" t="s">
        <v>214</v>
      </c>
      <c r="V1145" s="14">
        <v>31538008</v>
      </c>
      <c r="X1145" s="14" t="s">
        <v>204</v>
      </c>
      <c r="Y1145" s="14" t="s">
        <v>215</v>
      </c>
      <c r="Z1145" s="14">
        <v>20001</v>
      </c>
      <c r="AA1145" s="14" t="s">
        <v>205</v>
      </c>
      <c r="AB1145" s="14">
        <v>40001</v>
      </c>
      <c r="AE1145" s="29" t="s">
        <v>121</v>
      </c>
      <c r="AF1145" s="14" t="s">
        <v>213</v>
      </c>
      <c r="AG1145" s="14" t="s">
        <v>1231</v>
      </c>
    </row>
    <row r="1146" spans="2:33">
      <c r="B1146" s="14">
        <f>10000000+INDEX(编号表!$B:$B,MATCH(H1146,编号表!$A:$A,0))*100000+INDEX(编号表!$F:$F,MATCH(D1146,编号表!$E:$E,0))*10000+INDEX(编号表!$D:$D,MATCH(AG1146,编号表!$C:$C,0))*1000+F1146</f>
        <v>11538009</v>
      </c>
      <c r="C1146" s="14" t="s">
        <v>1307</v>
      </c>
      <c r="D1146" s="14" t="s">
        <v>276</v>
      </c>
      <c r="E1146" s="14" t="s">
        <v>1231</v>
      </c>
      <c r="F1146" s="14">
        <v>9</v>
      </c>
      <c r="G1146" s="14">
        <v>60</v>
      </c>
      <c r="H1146" s="31" t="s">
        <v>228</v>
      </c>
      <c r="I1146" s="14" t="s">
        <v>75</v>
      </c>
      <c r="J1146" s="14" t="s">
        <v>201</v>
      </c>
      <c r="K1146" s="14">
        <v>1</v>
      </c>
      <c r="L1146" s="14" t="s">
        <v>213</v>
      </c>
      <c r="N1146" s="14">
        <v>0</v>
      </c>
      <c r="O1146" s="14" t="b">
        <v>1</v>
      </c>
      <c r="Q1146" s="14" t="b">
        <v>0</v>
      </c>
      <c r="R1146" s="14">
        <v>1</v>
      </c>
      <c r="S1146" s="14" t="s">
        <v>77</v>
      </c>
      <c r="T1146" s="14">
        <v>999</v>
      </c>
      <c r="U1146" s="14" t="s">
        <v>214</v>
      </c>
      <c r="V1146" s="14">
        <v>31538009</v>
      </c>
      <c r="X1146" s="14" t="s">
        <v>204</v>
      </c>
      <c r="Y1146" s="14" t="s">
        <v>215</v>
      </c>
      <c r="Z1146" s="14">
        <v>20001</v>
      </c>
      <c r="AA1146" s="14" t="s">
        <v>205</v>
      </c>
      <c r="AB1146" s="14">
        <v>40001</v>
      </c>
      <c r="AE1146" s="29" t="s">
        <v>121</v>
      </c>
      <c r="AF1146" s="14" t="s">
        <v>213</v>
      </c>
      <c r="AG1146" s="14" t="s">
        <v>1231</v>
      </c>
    </row>
    <row r="1147" spans="2:33">
      <c r="B1147" s="14">
        <f>10000000+INDEX(编号表!$B:$B,MATCH(H1147,编号表!$A:$A,0))*100000+INDEX(编号表!$F:$F,MATCH(D1147,编号表!$E:$E,0))*10000+INDEX(编号表!$D:$D,MATCH(AG1147,编号表!$C:$C,0))*1000+F1147</f>
        <v>11438000</v>
      </c>
      <c r="C1147" s="14" t="s">
        <v>1308</v>
      </c>
      <c r="D1147" s="14" t="s">
        <v>276</v>
      </c>
      <c r="E1147" s="14" t="s">
        <v>1231</v>
      </c>
      <c r="F1147" s="14">
        <v>0</v>
      </c>
      <c r="G1147" s="14">
        <v>60</v>
      </c>
      <c r="H1147" s="31" t="s">
        <v>239</v>
      </c>
      <c r="I1147" s="14" t="s">
        <v>75</v>
      </c>
      <c r="J1147" s="14" t="s">
        <v>201</v>
      </c>
      <c r="K1147" s="14">
        <v>1</v>
      </c>
      <c r="L1147" s="14" t="s">
        <v>213</v>
      </c>
      <c r="N1147" s="14">
        <v>0</v>
      </c>
      <c r="O1147" s="14" t="b">
        <v>1</v>
      </c>
      <c r="Q1147" s="14" t="b">
        <v>0</v>
      </c>
      <c r="R1147" s="14">
        <v>1</v>
      </c>
      <c r="S1147" s="14" t="s">
        <v>77</v>
      </c>
      <c r="T1147" s="14">
        <v>999</v>
      </c>
      <c r="U1147" s="14" t="s">
        <v>214</v>
      </c>
      <c r="V1147" s="14">
        <v>31438000</v>
      </c>
      <c r="X1147" s="14" t="s">
        <v>204</v>
      </c>
      <c r="Y1147" s="14" t="s">
        <v>215</v>
      </c>
      <c r="Z1147" s="14">
        <v>20001</v>
      </c>
      <c r="AA1147" s="14" t="s">
        <v>205</v>
      </c>
      <c r="AB1147" s="14">
        <v>40001</v>
      </c>
      <c r="AE1147" s="29" t="s">
        <v>121</v>
      </c>
      <c r="AF1147" s="14" t="s">
        <v>213</v>
      </c>
      <c r="AG1147" s="14" t="s">
        <v>1231</v>
      </c>
    </row>
    <row r="1148" spans="2:33">
      <c r="B1148" s="14">
        <f>10000000+INDEX(编号表!$B:$B,MATCH(H1148,编号表!$A:$A,0))*100000+INDEX(编号表!$F:$F,MATCH(D1148,编号表!$E:$E,0))*10000+INDEX(编号表!$D:$D,MATCH(AG1148,编号表!$C:$C,0))*1000+F1148</f>
        <v>11438001</v>
      </c>
      <c r="C1148" s="14" t="s">
        <v>1309</v>
      </c>
      <c r="D1148" s="14" t="s">
        <v>276</v>
      </c>
      <c r="E1148" s="14" t="s">
        <v>1231</v>
      </c>
      <c r="F1148" s="14">
        <v>1</v>
      </c>
      <c r="G1148" s="14">
        <v>60</v>
      </c>
      <c r="H1148" s="31" t="s">
        <v>239</v>
      </c>
      <c r="I1148" s="14" t="s">
        <v>75</v>
      </c>
      <c r="J1148" s="14" t="s">
        <v>201</v>
      </c>
      <c r="K1148" s="14">
        <v>1</v>
      </c>
      <c r="L1148" s="14" t="s">
        <v>213</v>
      </c>
      <c r="N1148" s="14">
        <v>0</v>
      </c>
      <c r="O1148" s="14" t="b">
        <v>1</v>
      </c>
      <c r="Q1148" s="14" t="b">
        <v>0</v>
      </c>
      <c r="R1148" s="14">
        <v>1</v>
      </c>
      <c r="S1148" s="14" t="s">
        <v>77</v>
      </c>
      <c r="T1148" s="14">
        <v>999</v>
      </c>
      <c r="U1148" s="14" t="s">
        <v>214</v>
      </c>
      <c r="V1148" s="14">
        <v>31438001</v>
      </c>
      <c r="X1148" s="14" t="s">
        <v>204</v>
      </c>
      <c r="Y1148" s="14" t="s">
        <v>215</v>
      </c>
      <c r="Z1148" s="14">
        <v>20001</v>
      </c>
      <c r="AA1148" s="14" t="s">
        <v>205</v>
      </c>
      <c r="AB1148" s="14">
        <v>40001</v>
      </c>
      <c r="AE1148" s="29" t="s">
        <v>121</v>
      </c>
      <c r="AF1148" s="14" t="s">
        <v>213</v>
      </c>
      <c r="AG1148" s="14" t="s">
        <v>1231</v>
      </c>
    </row>
    <row r="1149" spans="2:33">
      <c r="B1149" s="14">
        <f>10000000+INDEX(编号表!$B:$B,MATCH(H1149,编号表!$A:$A,0))*100000+INDEX(编号表!$F:$F,MATCH(D1149,编号表!$E:$E,0))*10000+INDEX(编号表!$D:$D,MATCH(AG1149,编号表!$C:$C,0))*1000+F1149</f>
        <v>11438002</v>
      </c>
      <c r="C1149" s="14" t="s">
        <v>1310</v>
      </c>
      <c r="D1149" s="14" t="s">
        <v>276</v>
      </c>
      <c r="E1149" s="14" t="s">
        <v>1231</v>
      </c>
      <c r="F1149" s="14">
        <v>2</v>
      </c>
      <c r="G1149" s="14">
        <v>60</v>
      </c>
      <c r="H1149" s="31" t="s">
        <v>239</v>
      </c>
      <c r="I1149" s="14" t="s">
        <v>75</v>
      </c>
      <c r="J1149" s="14" t="s">
        <v>201</v>
      </c>
      <c r="K1149" s="14">
        <v>1</v>
      </c>
      <c r="L1149" s="14" t="s">
        <v>213</v>
      </c>
      <c r="N1149" s="14">
        <v>0</v>
      </c>
      <c r="O1149" s="14" t="b">
        <v>1</v>
      </c>
      <c r="Q1149" s="14" t="b">
        <v>0</v>
      </c>
      <c r="R1149" s="14">
        <v>1</v>
      </c>
      <c r="S1149" s="14" t="s">
        <v>77</v>
      </c>
      <c r="T1149" s="14">
        <v>999</v>
      </c>
      <c r="U1149" s="14" t="s">
        <v>214</v>
      </c>
      <c r="V1149" s="14">
        <v>31438002</v>
      </c>
      <c r="X1149" s="14" t="s">
        <v>204</v>
      </c>
      <c r="Y1149" s="14" t="s">
        <v>215</v>
      </c>
      <c r="Z1149" s="14">
        <v>20001</v>
      </c>
      <c r="AA1149" s="14" t="s">
        <v>205</v>
      </c>
      <c r="AB1149" s="14">
        <v>40001</v>
      </c>
      <c r="AE1149" s="29" t="s">
        <v>121</v>
      </c>
      <c r="AF1149" s="14" t="s">
        <v>213</v>
      </c>
      <c r="AG1149" s="14" t="s">
        <v>1231</v>
      </c>
    </row>
    <row r="1150" spans="2:33">
      <c r="B1150" s="14">
        <f>10000000+INDEX(编号表!$B:$B,MATCH(H1150,编号表!$A:$A,0))*100000+INDEX(编号表!$F:$F,MATCH(D1150,编号表!$E:$E,0))*10000+INDEX(编号表!$D:$D,MATCH(AG1150,编号表!$C:$C,0))*1000+F1150</f>
        <v>11438003</v>
      </c>
      <c r="C1150" s="14" t="s">
        <v>1311</v>
      </c>
      <c r="D1150" s="14" t="s">
        <v>276</v>
      </c>
      <c r="E1150" s="14" t="s">
        <v>1231</v>
      </c>
      <c r="F1150" s="14">
        <v>3</v>
      </c>
      <c r="G1150" s="14">
        <v>60</v>
      </c>
      <c r="H1150" s="31" t="s">
        <v>239</v>
      </c>
      <c r="I1150" s="14" t="s">
        <v>75</v>
      </c>
      <c r="J1150" s="14" t="s">
        <v>201</v>
      </c>
      <c r="K1150" s="14">
        <v>1</v>
      </c>
      <c r="L1150" s="14" t="s">
        <v>213</v>
      </c>
      <c r="N1150" s="14">
        <v>0</v>
      </c>
      <c r="O1150" s="14" t="b">
        <v>1</v>
      </c>
      <c r="Q1150" s="14" t="b">
        <v>0</v>
      </c>
      <c r="R1150" s="14">
        <v>1</v>
      </c>
      <c r="S1150" s="14" t="s">
        <v>77</v>
      </c>
      <c r="T1150" s="14">
        <v>999</v>
      </c>
      <c r="U1150" s="14" t="s">
        <v>214</v>
      </c>
      <c r="V1150" s="14">
        <v>31438003</v>
      </c>
      <c r="X1150" s="14" t="s">
        <v>204</v>
      </c>
      <c r="Y1150" s="14" t="s">
        <v>215</v>
      </c>
      <c r="Z1150" s="14">
        <v>20001</v>
      </c>
      <c r="AA1150" s="14" t="s">
        <v>205</v>
      </c>
      <c r="AB1150" s="14">
        <v>40001</v>
      </c>
      <c r="AE1150" s="29" t="s">
        <v>121</v>
      </c>
      <c r="AF1150" s="14" t="s">
        <v>213</v>
      </c>
      <c r="AG1150" s="14" t="s">
        <v>1231</v>
      </c>
    </row>
    <row r="1151" spans="2:33">
      <c r="B1151" s="14">
        <f>10000000+INDEX(编号表!$B:$B,MATCH(H1151,编号表!$A:$A,0))*100000+INDEX(编号表!$F:$F,MATCH(D1151,编号表!$E:$E,0))*10000+INDEX(编号表!$D:$D,MATCH(AG1151,编号表!$C:$C,0))*1000+F1151</f>
        <v>11638000</v>
      </c>
      <c r="C1151" s="14" t="s">
        <v>1312</v>
      </c>
      <c r="D1151" s="14" t="s">
        <v>276</v>
      </c>
      <c r="E1151" s="14" t="s">
        <v>1231</v>
      </c>
      <c r="F1151" s="14">
        <v>0</v>
      </c>
      <c r="G1151" s="14">
        <v>60</v>
      </c>
      <c r="H1151" s="31" t="s">
        <v>244</v>
      </c>
      <c r="I1151" s="14" t="s">
        <v>75</v>
      </c>
      <c r="J1151" s="14" t="s">
        <v>201</v>
      </c>
      <c r="K1151" s="14">
        <v>1</v>
      </c>
      <c r="L1151" s="14" t="s">
        <v>213</v>
      </c>
      <c r="N1151" s="14">
        <v>0</v>
      </c>
      <c r="O1151" s="14" t="b">
        <v>1</v>
      </c>
      <c r="Q1151" s="14" t="b">
        <v>0</v>
      </c>
      <c r="R1151" s="14">
        <v>1</v>
      </c>
      <c r="S1151" s="14" t="s">
        <v>77</v>
      </c>
      <c r="T1151" s="14">
        <v>999</v>
      </c>
      <c r="U1151" s="14" t="s">
        <v>214</v>
      </c>
      <c r="V1151" s="14">
        <v>31638000</v>
      </c>
      <c r="X1151" s="14" t="s">
        <v>204</v>
      </c>
      <c r="Y1151" s="14" t="s">
        <v>215</v>
      </c>
      <c r="Z1151" s="14">
        <v>20001</v>
      </c>
      <c r="AA1151" s="14" t="s">
        <v>205</v>
      </c>
      <c r="AB1151" s="14">
        <v>40001</v>
      </c>
      <c r="AE1151" s="29" t="s">
        <v>121</v>
      </c>
      <c r="AF1151" s="14" t="s">
        <v>213</v>
      </c>
      <c r="AG1151" s="14" t="s">
        <v>1231</v>
      </c>
    </row>
    <row r="1152" spans="2:33">
      <c r="B1152" s="14">
        <f>10000000+INDEX(编号表!$B:$B,MATCH(H1152,编号表!$A:$A,0))*100000+INDEX(编号表!$F:$F,MATCH(D1152,编号表!$E:$E,0))*10000+INDEX(编号表!$D:$D,MATCH(AG1152,编号表!$C:$C,0))*1000+F1152</f>
        <v>11638001</v>
      </c>
      <c r="C1152" s="14" t="s">
        <v>1313</v>
      </c>
      <c r="D1152" s="14" t="s">
        <v>276</v>
      </c>
      <c r="E1152" s="14" t="s">
        <v>1231</v>
      </c>
      <c r="F1152" s="14">
        <v>1</v>
      </c>
      <c r="G1152" s="14">
        <v>60</v>
      </c>
      <c r="H1152" s="31" t="s">
        <v>244</v>
      </c>
      <c r="I1152" s="14" t="s">
        <v>75</v>
      </c>
      <c r="J1152" s="14" t="s">
        <v>201</v>
      </c>
      <c r="K1152" s="14">
        <v>1</v>
      </c>
      <c r="L1152" s="14" t="s">
        <v>213</v>
      </c>
      <c r="N1152" s="14">
        <v>0</v>
      </c>
      <c r="O1152" s="14" t="b">
        <v>1</v>
      </c>
      <c r="Q1152" s="14" t="b">
        <v>0</v>
      </c>
      <c r="R1152" s="14">
        <v>1</v>
      </c>
      <c r="S1152" s="14" t="s">
        <v>77</v>
      </c>
      <c r="T1152" s="14">
        <v>999</v>
      </c>
      <c r="U1152" s="14" t="s">
        <v>214</v>
      </c>
      <c r="V1152" s="14">
        <v>31638001</v>
      </c>
      <c r="X1152" s="14" t="s">
        <v>204</v>
      </c>
      <c r="Y1152" s="14" t="s">
        <v>215</v>
      </c>
      <c r="Z1152" s="14">
        <v>20001</v>
      </c>
      <c r="AA1152" s="14" t="s">
        <v>205</v>
      </c>
      <c r="AB1152" s="14">
        <v>40001</v>
      </c>
      <c r="AE1152" s="29" t="s">
        <v>121</v>
      </c>
      <c r="AF1152" s="14" t="s">
        <v>213</v>
      </c>
      <c r="AG1152" s="14" t="s">
        <v>1231</v>
      </c>
    </row>
    <row r="1153" spans="2:33">
      <c r="B1153" s="14">
        <f>10000000+INDEX(编号表!$B:$B,MATCH(H1153,编号表!$A:$A,0))*100000+INDEX(编号表!$F:$F,MATCH(D1153,编号表!$E:$E,0))*10000+INDEX(编号表!$D:$D,MATCH(AG1153,编号表!$C:$C,0))*1000+F1153</f>
        <v>11638002</v>
      </c>
      <c r="C1153" s="14" t="s">
        <v>1314</v>
      </c>
      <c r="D1153" s="14" t="s">
        <v>276</v>
      </c>
      <c r="E1153" s="14" t="s">
        <v>1231</v>
      </c>
      <c r="F1153" s="14">
        <v>2</v>
      </c>
      <c r="G1153" s="14">
        <v>60</v>
      </c>
      <c r="H1153" s="31" t="s">
        <v>244</v>
      </c>
      <c r="I1153" s="14" t="s">
        <v>75</v>
      </c>
      <c r="J1153" s="14" t="s">
        <v>201</v>
      </c>
      <c r="K1153" s="14">
        <v>1</v>
      </c>
      <c r="L1153" s="14" t="s">
        <v>213</v>
      </c>
      <c r="N1153" s="14">
        <v>0</v>
      </c>
      <c r="O1153" s="14" t="b">
        <v>1</v>
      </c>
      <c r="Q1153" s="14" t="b">
        <v>0</v>
      </c>
      <c r="R1153" s="14">
        <v>1</v>
      </c>
      <c r="S1153" s="14" t="s">
        <v>77</v>
      </c>
      <c r="T1153" s="14">
        <v>999</v>
      </c>
      <c r="U1153" s="14" t="s">
        <v>214</v>
      </c>
      <c r="V1153" s="14">
        <v>31638002</v>
      </c>
      <c r="X1153" s="14" t="s">
        <v>204</v>
      </c>
      <c r="Y1153" s="14" t="s">
        <v>215</v>
      </c>
      <c r="Z1153" s="14">
        <v>20001</v>
      </c>
      <c r="AA1153" s="14" t="s">
        <v>205</v>
      </c>
      <c r="AB1153" s="14">
        <v>40001</v>
      </c>
      <c r="AE1153" s="29" t="s">
        <v>121</v>
      </c>
      <c r="AF1153" s="14" t="s">
        <v>213</v>
      </c>
      <c r="AG1153" s="14" t="s">
        <v>1231</v>
      </c>
    </row>
    <row r="1154" spans="2:33">
      <c r="B1154" s="14">
        <f>10000000+INDEX(编号表!$B:$B,MATCH(H1154,编号表!$A:$A,0))*100000+INDEX(编号表!$F:$F,MATCH(D1154,编号表!$E:$E,0))*10000+INDEX(编号表!$D:$D,MATCH(AG1154,编号表!$C:$C,0))*1000+F1154</f>
        <v>11248000</v>
      </c>
      <c r="C1154" s="14" t="s">
        <v>1315</v>
      </c>
      <c r="D1154" s="14" t="s">
        <v>104</v>
      </c>
      <c r="E1154" s="14" t="s">
        <v>1231</v>
      </c>
      <c r="F1154" s="14">
        <v>0</v>
      </c>
      <c r="G1154" s="14">
        <v>60</v>
      </c>
      <c r="H1154" s="31" t="s">
        <v>212</v>
      </c>
      <c r="I1154" s="14" t="s">
        <v>75</v>
      </c>
      <c r="J1154" s="14" t="s">
        <v>201</v>
      </c>
      <c r="K1154" s="14">
        <v>1</v>
      </c>
      <c r="L1154" s="14" t="s">
        <v>213</v>
      </c>
      <c r="N1154" s="14">
        <v>0</v>
      </c>
      <c r="O1154" s="14" t="b">
        <v>1</v>
      </c>
      <c r="Q1154" s="14" t="b">
        <v>0</v>
      </c>
      <c r="R1154" s="14">
        <v>1</v>
      </c>
      <c r="S1154" s="14" t="s">
        <v>77</v>
      </c>
      <c r="T1154" s="14">
        <v>999</v>
      </c>
      <c r="U1154" s="14" t="s">
        <v>214</v>
      </c>
      <c r="V1154" s="14">
        <v>31248000</v>
      </c>
      <c r="X1154" s="14" t="s">
        <v>204</v>
      </c>
      <c r="Y1154" s="14" t="s">
        <v>215</v>
      </c>
      <c r="Z1154" s="14">
        <v>20001</v>
      </c>
      <c r="AA1154" s="14" t="s">
        <v>205</v>
      </c>
      <c r="AB1154" s="14">
        <v>40001</v>
      </c>
      <c r="AE1154" s="29" t="s">
        <v>121</v>
      </c>
      <c r="AF1154" s="14" t="s">
        <v>213</v>
      </c>
      <c r="AG1154" s="14" t="s">
        <v>1231</v>
      </c>
    </row>
    <row r="1155" spans="2:33">
      <c r="B1155" s="14">
        <f>10000000+INDEX(编号表!$B:$B,MATCH(H1155,编号表!$A:$A,0))*100000+INDEX(编号表!$F:$F,MATCH(D1155,编号表!$E:$E,0))*10000+INDEX(编号表!$D:$D,MATCH(AG1155,编号表!$C:$C,0))*1000+F1155</f>
        <v>11348000</v>
      </c>
      <c r="C1155" s="14" t="s">
        <v>1316</v>
      </c>
      <c r="D1155" s="14" t="s">
        <v>104</v>
      </c>
      <c r="E1155" s="14" t="s">
        <v>1231</v>
      </c>
      <c r="F1155" s="14">
        <v>0</v>
      </c>
      <c r="G1155" s="14">
        <v>60</v>
      </c>
      <c r="H1155" s="31" t="s">
        <v>217</v>
      </c>
      <c r="I1155" s="14" t="s">
        <v>75</v>
      </c>
      <c r="J1155" s="14" t="s">
        <v>201</v>
      </c>
      <c r="K1155" s="14">
        <v>1</v>
      </c>
      <c r="L1155" s="14" t="s">
        <v>213</v>
      </c>
      <c r="N1155" s="14">
        <v>0</v>
      </c>
      <c r="O1155" s="14" t="b">
        <v>1</v>
      </c>
      <c r="Q1155" s="14" t="b">
        <v>0</v>
      </c>
      <c r="R1155" s="14">
        <v>1</v>
      </c>
      <c r="S1155" s="14" t="s">
        <v>77</v>
      </c>
      <c r="T1155" s="14">
        <v>999</v>
      </c>
      <c r="U1155" s="14" t="s">
        <v>214</v>
      </c>
      <c r="V1155" s="14">
        <v>31348000</v>
      </c>
      <c r="X1155" s="14" t="s">
        <v>204</v>
      </c>
      <c r="Y1155" s="14" t="s">
        <v>215</v>
      </c>
      <c r="Z1155" s="14">
        <v>20001</v>
      </c>
      <c r="AA1155" s="14" t="s">
        <v>205</v>
      </c>
      <c r="AB1155" s="14">
        <v>40001</v>
      </c>
      <c r="AE1155" s="29" t="s">
        <v>121</v>
      </c>
      <c r="AF1155" s="14" t="s">
        <v>213</v>
      </c>
      <c r="AG1155" s="14" t="s">
        <v>1231</v>
      </c>
    </row>
    <row r="1156" spans="2:33">
      <c r="B1156" s="14">
        <f>10000000+INDEX(编号表!$B:$B,MATCH(H1156,编号表!$A:$A,0))*100000+INDEX(编号表!$F:$F,MATCH(D1156,编号表!$E:$E,0))*10000+INDEX(编号表!$D:$D,MATCH(AG1156,编号表!$C:$C,0))*1000+F1156</f>
        <v>11348001</v>
      </c>
      <c r="C1156" s="14" t="s">
        <v>1317</v>
      </c>
      <c r="D1156" s="14" t="s">
        <v>104</v>
      </c>
      <c r="E1156" s="14" t="s">
        <v>1231</v>
      </c>
      <c r="F1156" s="14">
        <v>1</v>
      </c>
      <c r="G1156" s="14">
        <v>60</v>
      </c>
      <c r="H1156" s="31" t="s">
        <v>217</v>
      </c>
      <c r="I1156" s="14" t="s">
        <v>75</v>
      </c>
      <c r="J1156" s="14" t="s">
        <v>201</v>
      </c>
      <c r="K1156" s="14">
        <v>1</v>
      </c>
      <c r="L1156" s="14" t="s">
        <v>213</v>
      </c>
      <c r="N1156" s="14">
        <v>0</v>
      </c>
      <c r="O1156" s="14" t="b">
        <v>1</v>
      </c>
      <c r="Q1156" s="14" t="b">
        <v>0</v>
      </c>
      <c r="R1156" s="14">
        <v>1</v>
      </c>
      <c r="S1156" s="14" t="s">
        <v>77</v>
      </c>
      <c r="T1156" s="14">
        <v>999</v>
      </c>
      <c r="U1156" s="14" t="s">
        <v>214</v>
      </c>
      <c r="V1156" s="14">
        <v>31348001</v>
      </c>
      <c r="X1156" s="14" t="s">
        <v>204</v>
      </c>
      <c r="Y1156" s="14" t="s">
        <v>215</v>
      </c>
      <c r="Z1156" s="14">
        <v>20001</v>
      </c>
      <c r="AA1156" s="14" t="s">
        <v>205</v>
      </c>
      <c r="AB1156" s="14">
        <v>40001</v>
      </c>
      <c r="AE1156" s="29" t="s">
        <v>121</v>
      </c>
      <c r="AF1156" s="14" t="s">
        <v>213</v>
      </c>
      <c r="AG1156" s="14" t="s">
        <v>1231</v>
      </c>
    </row>
    <row r="1157" spans="2:33">
      <c r="B1157" s="14">
        <f>10000000+INDEX(编号表!$B:$B,MATCH(H1157,编号表!$A:$A,0))*100000+INDEX(编号表!$F:$F,MATCH(D1157,编号表!$E:$E,0))*10000+INDEX(编号表!$D:$D,MATCH(AG1157,编号表!$C:$C,0))*1000+F1157</f>
        <v>11348002</v>
      </c>
      <c r="C1157" s="14" t="s">
        <v>1318</v>
      </c>
      <c r="D1157" s="14" t="s">
        <v>104</v>
      </c>
      <c r="E1157" s="14" t="s">
        <v>1231</v>
      </c>
      <c r="F1157" s="14">
        <v>2</v>
      </c>
      <c r="G1157" s="14">
        <v>60</v>
      </c>
      <c r="H1157" s="31" t="s">
        <v>217</v>
      </c>
      <c r="I1157" s="14" t="s">
        <v>75</v>
      </c>
      <c r="J1157" s="14" t="s">
        <v>201</v>
      </c>
      <c r="K1157" s="14">
        <v>1</v>
      </c>
      <c r="L1157" s="14" t="s">
        <v>213</v>
      </c>
      <c r="N1157" s="14">
        <v>0</v>
      </c>
      <c r="O1157" s="14" t="b">
        <v>1</v>
      </c>
      <c r="Q1157" s="14" t="b">
        <v>0</v>
      </c>
      <c r="R1157" s="14">
        <v>1</v>
      </c>
      <c r="S1157" s="14" t="s">
        <v>77</v>
      </c>
      <c r="T1157" s="14">
        <v>999</v>
      </c>
      <c r="U1157" s="14" t="s">
        <v>214</v>
      </c>
      <c r="V1157" s="14">
        <v>31348002</v>
      </c>
      <c r="X1157" s="14" t="s">
        <v>204</v>
      </c>
      <c r="Y1157" s="14" t="s">
        <v>215</v>
      </c>
      <c r="Z1157" s="14">
        <v>20001</v>
      </c>
      <c r="AA1157" s="14" t="s">
        <v>205</v>
      </c>
      <c r="AB1157" s="14">
        <v>40001</v>
      </c>
      <c r="AE1157" s="29" t="s">
        <v>121</v>
      </c>
      <c r="AF1157" s="14" t="s">
        <v>213</v>
      </c>
      <c r="AG1157" s="14" t="s">
        <v>1231</v>
      </c>
    </row>
    <row r="1158" spans="2:33">
      <c r="B1158" s="14">
        <f>10000000+INDEX(编号表!$B:$B,MATCH(H1158,编号表!$A:$A,0))*100000+INDEX(编号表!$F:$F,MATCH(D1158,编号表!$E:$E,0))*10000+INDEX(编号表!$D:$D,MATCH(AG1158,编号表!$C:$C,0))*1000+F1158</f>
        <v>11348003</v>
      </c>
      <c r="C1158" s="14" t="s">
        <v>1319</v>
      </c>
      <c r="D1158" s="14" t="s">
        <v>104</v>
      </c>
      <c r="E1158" s="14" t="s">
        <v>1231</v>
      </c>
      <c r="F1158" s="14">
        <v>3</v>
      </c>
      <c r="G1158" s="14">
        <v>60</v>
      </c>
      <c r="H1158" s="31" t="s">
        <v>217</v>
      </c>
      <c r="I1158" s="14" t="s">
        <v>75</v>
      </c>
      <c r="J1158" s="14" t="s">
        <v>201</v>
      </c>
      <c r="K1158" s="14">
        <v>1</v>
      </c>
      <c r="L1158" s="14" t="s">
        <v>213</v>
      </c>
      <c r="N1158" s="14">
        <v>0</v>
      </c>
      <c r="O1158" s="14" t="b">
        <v>1</v>
      </c>
      <c r="Q1158" s="14" t="b">
        <v>0</v>
      </c>
      <c r="R1158" s="14">
        <v>1</v>
      </c>
      <c r="S1158" s="14" t="s">
        <v>77</v>
      </c>
      <c r="T1158" s="14">
        <v>999</v>
      </c>
      <c r="U1158" s="14" t="s">
        <v>214</v>
      </c>
      <c r="V1158" s="14">
        <v>31348003</v>
      </c>
      <c r="X1158" s="14" t="s">
        <v>204</v>
      </c>
      <c r="Y1158" s="14" t="s">
        <v>215</v>
      </c>
      <c r="Z1158" s="14">
        <v>20001</v>
      </c>
      <c r="AA1158" s="14" t="s">
        <v>205</v>
      </c>
      <c r="AB1158" s="14">
        <v>40001</v>
      </c>
      <c r="AE1158" s="29" t="s">
        <v>121</v>
      </c>
      <c r="AF1158" s="14" t="s">
        <v>213</v>
      </c>
      <c r="AG1158" s="14" t="s">
        <v>1231</v>
      </c>
    </row>
    <row r="1159" spans="2:33">
      <c r="B1159" s="14">
        <f>10000000+INDEX(编号表!$B:$B,MATCH(H1159,编号表!$A:$A,0))*100000+INDEX(编号表!$F:$F,MATCH(D1159,编号表!$E:$E,0))*10000+INDEX(编号表!$D:$D,MATCH(AG1159,编号表!$C:$C,0))*1000+F1159</f>
        <v>11348004</v>
      </c>
      <c r="C1159" s="14" t="s">
        <v>1320</v>
      </c>
      <c r="D1159" s="14" t="s">
        <v>104</v>
      </c>
      <c r="E1159" s="14" t="s">
        <v>1231</v>
      </c>
      <c r="F1159" s="14">
        <v>4</v>
      </c>
      <c r="G1159" s="14">
        <v>60</v>
      </c>
      <c r="H1159" s="31" t="s">
        <v>217</v>
      </c>
      <c r="I1159" s="14" t="s">
        <v>75</v>
      </c>
      <c r="J1159" s="14" t="s">
        <v>201</v>
      </c>
      <c r="K1159" s="14">
        <v>1</v>
      </c>
      <c r="L1159" s="14" t="s">
        <v>213</v>
      </c>
      <c r="N1159" s="14">
        <v>0</v>
      </c>
      <c r="O1159" s="14" t="b">
        <v>1</v>
      </c>
      <c r="Q1159" s="14" t="b">
        <v>0</v>
      </c>
      <c r="R1159" s="14">
        <v>1</v>
      </c>
      <c r="S1159" s="14" t="s">
        <v>77</v>
      </c>
      <c r="T1159" s="14">
        <v>999</v>
      </c>
      <c r="U1159" s="14" t="s">
        <v>214</v>
      </c>
      <c r="V1159" s="14">
        <v>31348004</v>
      </c>
      <c r="X1159" s="14" t="s">
        <v>204</v>
      </c>
      <c r="Y1159" s="14" t="s">
        <v>215</v>
      </c>
      <c r="Z1159" s="14">
        <v>20001</v>
      </c>
      <c r="AA1159" s="14" t="s">
        <v>205</v>
      </c>
      <c r="AB1159" s="14">
        <v>40001</v>
      </c>
      <c r="AE1159" s="29" t="s">
        <v>121</v>
      </c>
      <c r="AF1159" s="14" t="s">
        <v>213</v>
      </c>
      <c r="AG1159" s="14" t="s">
        <v>1231</v>
      </c>
    </row>
    <row r="1160" spans="2:33">
      <c r="B1160" s="14">
        <f>10000000+INDEX(编号表!$B:$B,MATCH(H1160,编号表!$A:$A,0))*100000+INDEX(编号表!$F:$F,MATCH(D1160,编号表!$E:$E,0))*10000+INDEX(编号表!$D:$D,MATCH(AG1160,编号表!$C:$C,0))*1000+F1160</f>
        <v>11348005</v>
      </c>
      <c r="C1160" s="14" t="s">
        <v>1321</v>
      </c>
      <c r="D1160" s="14" t="s">
        <v>104</v>
      </c>
      <c r="E1160" s="14" t="s">
        <v>1231</v>
      </c>
      <c r="F1160" s="14">
        <v>5</v>
      </c>
      <c r="G1160" s="14">
        <v>60</v>
      </c>
      <c r="H1160" s="31" t="s">
        <v>217</v>
      </c>
      <c r="I1160" s="14" t="s">
        <v>75</v>
      </c>
      <c r="J1160" s="14" t="s">
        <v>201</v>
      </c>
      <c r="K1160" s="14">
        <v>1</v>
      </c>
      <c r="L1160" s="14" t="s">
        <v>213</v>
      </c>
      <c r="N1160" s="14">
        <v>0</v>
      </c>
      <c r="O1160" s="14" t="b">
        <v>1</v>
      </c>
      <c r="Q1160" s="14" t="b">
        <v>0</v>
      </c>
      <c r="R1160" s="14">
        <v>1</v>
      </c>
      <c r="S1160" s="14" t="s">
        <v>77</v>
      </c>
      <c r="T1160" s="14">
        <v>999</v>
      </c>
      <c r="U1160" s="14" t="s">
        <v>214</v>
      </c>
      <c r="V1160" s="14">
        <v>31348005</v>
      </c>
      <c r="X1160" s="14" t="s">
        <v>204</v>
      </c>
      <c r="Y1160" s="14" t="s">
        <v>215</v>
      </c>
      <c r="Z1160" s="14">
        <v>20001</v>
      </c>
      <c r="AA1160" s="14" t="s">
        <v>205</v>
      </c>
      <c r="AB1160" s="14">
        <v>40001</v>
      </c>
      <c r="AE1160" s="29" t="s">
        <v>121</v>
      </c>
      <c r="AF1160" s="14" t="s">
        <v>213</v>
      </c>
      <c r="AG1160" s="14" t="s">
        <v>1231</v>
      </c>
    </row>
    <row r="1161" spans="2:33">
      <c r="B1161" s="14">
        <f>10000000+INDEX(编号表!$B:$B,MATCH(H1161,编号表!$A:$A,0))*100000+INDEX(编号表!$F:$F,MATCH(D1161,编号表!$E:$E,0))*10000+INDEX(编号表!$D:$D,MATCH(AG1161,编号表!$C:$C,0))*1000+F1161</f>
        <v>11348006</v>
      </c>
      <c r="C1161" s="14" t="s">
        <v>1322</v>
      </c>
      <c r="D1161" s="14" t="s">
        <v>104</v>
      </c>
      <c r="E1161" s="14" t="s">
        <v>1231</v>
      </c>
      <c r="F1161" s="14">
        <v>6</v>
      </c>
      <c r="G1161" s="14">
        <v>60</v>
      </c>
      <c r="H1161" s="31" t="s">
        <v>217</v>
      </c>
      <c r="I1161" s="14" t="s">
        <v>75</v>
      </c>
      <c r="J1161" s="14" t="s">
        <v>201</v>
      </c>
      <c r="K1161" s="14">
        <v>1</v>
      </c>
      <c r="L1161" s="14" t="s">
        <v>213</v>
      </c>
      <c r="N1161" s="14">
        <v>0</v>
      </c>
      <c r="O1161" s="14" t="b">
        <v>1</v>
      </c>
      <c r="Q1161" s="14" t="b">
        <v>0</v>
      </c>
      <c r="R1161" s="14">
        <v>1</v>
      </c>
      <c r="S1161" s="14" t="s">
        <v>77</v>
      </c>
      <c r="T1161" s="14">
        <v>999</v>
      </c>
      <c r="U1161" s="14" t="s">
        <v>214</v>
      </c>
      <c r="V1161" s="14">
        <v>31348006</v>
      </c>
      <c r="X1161" s="14" t="s">
        <v>204</v>
      </c>
      <c r="Y1161" s="14" t="s">
        <v>215</v>
      </c>
      <c r="Z1161" s="14">
        <v>20001</v>
      </c>
      <c r="AA1161" s="14" t="s">
        <v>205</v>
      </c>
      <c r="AB1161" s="14">
        <v>40001</v>
      </c>
      <c r="AE1161" s="29" t="s">
        <v>121</v>
      </c>
      <c r="AF1161" s="14" t="s">
        <v>213</v>
      </c>
      <c r="AG1161" s="14" t="s">
        <v>1231</v>
      </c>
    </row>
    <row r="1162" spans="2:33">
      <c r="B1162" s="14">
        <f>10000000+INDEX(编号表!$B:$B,MATCH(H1162,编号表!$A:$A,0))*100000+INDEX(编号表!$F:$F,MATCH(D1162,编号表!$E:$E,0))*10000+INDEX(编号表!$D:$D,MATCH(AG1162,编号表!$C:$C,0))*1000+F1162</f>
        <v>11348007</v>
      </c>
      <c r="C1162" s="14" t="s">
        <v>1323</v>
      </c>
      <c r="D1162" s="14" t="s">
        <v>104</v>
      </c>
      <c r="E1162" s="14" t="s">
        <v>1231</v>
      </c>
      <c r="F1162" s="14">
        <v>7</v>
      </c>
      <c r="G1162" s="14">
        <v>60</v>
      </c>
      <c r="H1162" s="31" t="s">
        <v>217</v>
      </c>
      <c r="I1162" s="14" t="s">
        <v>75</v>
      </c>
      <c r="J1162" s="14" t="s">
        <v>201</v>
      </c>
      <c r="K1162" s="14">
        <v>1</v>
      </c>
      <c r="L1162" s="14" t="s">
        <v>213</v>
      </c>
      <c r="N1162" s="14">
        <v>0</v>
      </c>
      <c r="O1162" s="14" t="b">
        <v>1</v>
      </c>
      <c r="Q1162" s="14" t="b">
        <v>0</v>
      </c>
      <c r="R1162" s="14">
        <v>1</v>
      </c>
      <c r="S1162" s="14" t="s">
        <v>77</v>
      </c>
      <c r="T1162" s="14">
        <v>999</v>
      </c>
      <c r="U1162" s="14" t="s">
        <v>214</v>
      </c>
      <c r="V1162" s="14">
        <v>31348007</v>
      </c>
      <c r="X1162" s="14" t="s">
        <v>204</v>
      </c>
      <c r="Y1162" s="14" t="s">
        <v>215</v>
      </c>
      <c r="Z1162" s="14">
        <v>20001</v>
      </c>
      <c r="AA1162" s="14" t="s">
        <v>205</v>
      </c>
      <c r="AB1162" s="14">
        <v>40001</v>
      </c>
      <c r="AE1162" s="29" t="s">
        <v>121</v>
      </c>
      <c r="AF1162" s="14" t="s">
        <v>213</v>
      </c>
      <c r="AG1162" s="14" t="s">
        <v>1231</v>
      </c>
    </row>
    <row r="1163" spans="2:33">
      <c r="B1163" s="14">
        <f>10000000+INDEX(编号表!$B:$B,MATCH(H1163,编号表!$A:$A,0))*100000+INDEX(编号表!$F:$F,MATCH(D1163,编号表!$E:$E,0))*10000+INDEX(编号表!$D:$D,MATCH(AG1163,编号表!$C:$C,0))*1000+F1163</f>
        <v>11348008</v>
      </c>
      <c r="C1163" s="14" t="s">
        <v>1324</v>
      </c>
      <c r="D1163" s="14" t="s">
        <v>104</v>
      </c>
      <c r="E1163" s="14" t="s">
        <v>1231</v>
      </c>
      <c r="F1163" s="14">
        <v>8</v>
      </c>
      <c r="G1163" s="14">
        <v>60</v>
      </c>
      <c r="H1163" s="31" t="s">
        <v>217</v>
      </c>
      <c r="I1163" s="14" t="s">
        <v>75</v>
      </c>
      <c r="J1163" s="14" t="s">
        <v>201</v>
      </c>
      <c r="K1163" s="14">
        <v>1</v>
      </c>
      <c r="L1163" s="14" t="s">
        <v>213</v>
      </c>
      <c r="N1163" s="14">
        <v>0</v>
      </c>
      <c r="O1163" s="14" t="b">
        <v>1</v>
      </c>
      <c r="Q1163" s="14" t="b">
        <v>0</v>
      </c>
      <c r="R1163" s="14">
        <v>1</v>
      </c>
      <c r="S1163" s="14" t="s">
        <v>77</v>
      </c>
      <c r="T1163" s="14">
        <v>999</v>
      </c>
      <c r="U1163" s="14" t="s">
        <v>214</v>
      </c>
      <c r="V1163" s="14">
        <v>31348008</v>
      </c>
      <c r="X1163" s="14" t="s">
        <v>204</v>
      </c>
      <c r="Y1163" s="14" t="s">
        <v>215</v>
      </c>
      <c r="Z1163" s="14">
        <v>20001</v>
      </c>
      <c r="AA1163" s="14" t="s">
        <v>205</v>
      </c>
      <c r="AB1163" s="14">
        <v>40001</v>
      </c>
      <c r="AE1163" s="29" t="s">
        <v>121</v>
      </c>
      <c r="AF1163" s="14" t="s">
        <v>213</v>
      </c>
      <c r="AG1163" s="14" t="s">
        <v>1231</v>
      </c>
    </row>
    <row r="1164" spans="2:33">
      <c r="B1164" s="14">
        <f>10000000+INDEX(编号表!$B:$B,MATCH(H1164,编号表!$A:$A,0))*100000+INDEX(编号表!$F:$F,MATCH(D1164,编号表!$E:$E,0))*10000+INDEX(编号表!$D:$D,MATCH(AG1164,编号表!$C:$C,0))*1000+F1164</f>
        <v>11348009</v>
      </c>
      <c r="C1164" s="14" t="s">
        <v>1325</v>
      </c>
      <c r="D1164" s="14" t="s">
        <v>104</v>
      </c>
      <c r="E1164" s="14" t="s">
        <v>1231</v>
      </c>
      <c r="F1164" s="14">
        <v>9</v>
      </c>
      <c r="G1164" s="14">
        <v>60</v>
      </c>
      <c r="H1164" s="31" t="s">
        <v>217</v>
      </c>
      <c r="I1164" s="14" t="s">
        <v>75</v>
      </c>
      <c r="J1164" s="14" t="s">
        <v>201</v>
      </c>
      <c r="K1164" s="14">
        <v>1</v>
      </c>
      <c r="L1164" s="14" t="s">
        <v>213</v>
      </c>
      <c r="N1164" s="14">
        <v>0</v>
      </c>
      <c r="O1164" s="14" t="b">
        <v>1</v>
      </c>
      <c r="Q1164" s="14" t="b">
        <v>0</v>
      </c>
      <c r="R1164" s="14">
        <v>1</v>
      </c>
      <c r="S1164" s="14" t="s">
        <v>77</v>
      </c>
      <c r="T1164" s="14">
        <v>999</v>
      </c>
      <c r="U1164" s="14" t="s">
        <v>214</v>
      </c>
      <c r="V1164" s="14">
        <v>31348009</v>
      </c>
      <c r="X1164" s="14" t="s">
        <v>204</v>
      </c>
      <c r="Y1164" s="14" t="s">
        <v>215</v>
      </c>
      <c r="Z1164" s="14">
        <v>20001</v>
      </c>
      <c r="AA1164" s="14" t="s">
        <v>205</v>
      </c>
      <c r="AB1164" s="14">
        <v>40001</v>
      </c>
      <c r="AE1164" s="29" t="s">
        <v>121</v>
      </c>
      <c r="AF1164" s="14" t="s">
        <v>213</v>
      </c>
      <c r="AG1164" s="14" t="s">
        <v>1231</v>
      </c>
    </row>
    <row r="1165" spans="2:33">
      <c r="B1165" s="14">
        <f>10000000+INDEX(编号表!$B:$B,MATCH(H1165,编号表!$A:$A,0))*100000+INDEX(编号表!$F:$F,MATCH(D1165,编号表!$E:$E,0))*10000+INDEX(编号表!$D:$D,MATCH(AG1165,编号表!$C:$C,0))*1000+F1165</f>
        <v>11548000</v>
      </c>
      <c r="C1165" s="14" t="s">
        <v>1326</v>
      </c>
      <c r="D1165" s="14" t="s">
        <v>104</v>
      </c>
      <c r="E1165" s="14" t="s">
        <v>1231</v>
      </c>
      <c r="F1165" s="14">
        <v>0</v>
      </c>
      <c r="G1165" s="14">
        <v>60</v>
      </c>
      <c r="H1165" s="31" t="s">
        <v>228</v>
      </c>
      <c r="I1165" s="14" t="s">
        <v>75</v>
      </c>
      <c r="J1165" s="14" t="s">
        <v>201</v>
      </c>
      <c r="K1165" s="14">
        <v>1</v>
      </c>
      <c r="L1165" s="14" t="s">
        <v>213</v>
      </c>
      <c r="N1165" s="14">
        <v>0</v>
      </c>
      <c r="O1165" s="14" t="b">
        <v>1</v>
      </c>
      <c r="Q1165" s="14" t="b">
        <v>0</v>
      </c>
      <c r="R1165" s="14">
        <v>1</v>
      </c>
      <c r="S1165" s="14" t="s">
        <v>77</v>
      </c>
      <c r="T1165" s="14">
        <v>999</v>
      </c>
      <c r="U1165" s="14" t="s">
        <v>214</v>
      </c>
      <c r="V1165" s="14">
        <v>31548000</v>
      </c>
      <c r="X1165" s="14" t="s">
        <v>204</v>
      </c>
      <c r="Y1165" s="14" t="s">
        <v>215</v>
      </c>
      <c r="Z1165" s="14">
        <v>20001</v>
      </c>
      <c r="AA1165" s="14" t="s">
        <v>205</v>
      </c>
      <c r="AB1165" s="14">
        <v>40001</v>
      </c>
      <c r="AE1165" s="29" t="s">
        <v>121</v>
      </c>
      <c r="AF1165" s="14" t="s">
        <v>213</v>
      </c>
      <c r="AG1165" s="14" t="s">
        <v>1231</v>
      </c>
    </row>
    <row r="1166" spans="2:33">
      <c r="B1166" s="14">
        <f>10000000+INDEX(编号表!$B:$B,MATCH(H1166,编号表!$A:$A,0))*100000+INDEX(编号表!$F:$F,MATCH(D1166,编号表!$E:$E,0))*10000+INDEX(编号表!$D:$D,MATCH(AG1166,编号表!$C:$C,0))*1000+F1166</f>
        <v>11548001</v>
      </c>
      <c r="C1166" s="14" t="s">
        <v>1327</v>
      </c>
      <c r="D1166" s="14" t="s">
        <v>104</v>
      </c>
      <c r="E1166" s="14" t="s">
        <v>1231</v>
      </c>
      <c r="F1166" s="14">
        <v>1</v>
      </c>
      <c r="G1166" s="14">
        <v>60</v>
      </c>
      <c r="H1166" s="31" t="s">
        <v>228</v>
      </c>
      <c r="I1166" s="14" t="s">
        <v>75</v>
      </c>
      <c r="J1166" s="14" t="s">
        <v>201</v>
      </c>
      <c r="K1166" s="14">
        <v>1</v>
      </c>
      <c r="L1166" s="14" t="s">
        <v>213</v>
      </c>
      <c r="N1166" s="14">
        <v>0</v>
      </c>
      <c r="O1166" s="14" t="b">
        <v>1</v>
      </c>
      <c r="Q1166" s="14" t="b">
        <v>0</v>
      </c>
      <c r="R1166" s="14">
        <v>1</v>
      </c>
      <c r="S1166" s="14" t="s">
        <v>77</v>
      </c>
      <c r="T1166" s="14">
        <v>999</v>
      </c>
      <c r="U1166" s="14" t="s">
        <v>214</v>
      </c>
      <c r="V1166" s="14">
        <v>31548001</v>
      </c>
      <c r="X1166" s="14" t="s">
        <v>204</v>
      </c>
      <c r="Y1166" s="14" t="s">
        <v>215</v>
      </c>
      <c r="Z1166" s="14">
        <v>20001</v>
      </c>
      <c r="AA1166" s="14" t="s">
        <v>205</v>
      </c>
      <c r="AB1166" s="14">
        <v>40001</v>
      </c>
      <c r="AE1166" s="29" t="s">
        <v>121</v>
      </c>
      <c r="AF1166" s="14" t="s">
        <v>213</v>
      </c>
      <c r="AG1166" s="14" t="s">
        <v>1231</v>
      </c>
    </row>
    <row r="1167" spans="2:33">
      <c r="B1167" s="14">
        <f>10000000+INDEX(编号表!$B:$B,MATCH(H1167,编号表!$A:$A,0))*100000+INDEX(编号表!$F:$F,MATCH(D1167,编号表!$E:$E,0))*10000+INDEX(编号表!$D:$D,MATCH(AG1167,编号表!$C:$C,0))*1000+F1167</f>
        <v>11548002</v>
      </c>
      <c r="C1167" s="14" t="s">
        <v>1328</v>
      </c>
      <c r="D1167" s="14" t="s">
        <v>104</v>
      </c>
      <c r="E1167" s="14" t="s">
        <v>1231</v>
      </c>
      <c r="F1167" s="14">
        <v>2</v>
      </c>
      <c r="G1167" s="14">
        <v>60</v>
      </c>
      <c r="H1167" s="31" t="s">
        <v>228</v>
      </c>
      <c r="I1167" s="14" t="s">
        <v>75</v>
      </c>
      <c r="J1167" s="14" t="s">
        <v>201</v>
      </c>
      <c r="K1167" s="14">
        <v>1</v>
      </c>
      <c r="L1167" s="14" t="s">
        <v>213</v>
      </c>
      <c r="N1167" s="14">
        <v>0</v>
      </c>
      <c r="O1167" s="14" t="b">
        <v>1</v>
      </c>
      <c r="Q1167" s="14" t="b">
        <v>0</v>
      </c>
      <c r="R1167" s="14">
        <v>1</v>
      </c>
      <c r="S1167" s="14" t="s">
        <v>77</v>
      </c>
      <c r="T1167" s="14">
        <v>999</v>
      </c>
      <c r="U1167" s="14" t="s">
        <v>214</v>
      </c>
      <c r="V1167" s="14">
        <v>31548002</v>
      </c>
      <c r="X1167" s="14" t="s">
        <v>204</v>
      </c>
      <c r="Y1167" s="14" t="s">
        <v>215</v>
      </c>
      <c r="Z1167" s="14">
        <v>20001</v>
      </c>
      <c r="AA1167" s="14" t="s">
        <v>205</v>
      </c>
      <c r="AB1167" s="14">
        <v>40001</v>
      </c>
      <c r="AE1167" s="29" t="s">
        <v>121</v>
      </c>
      <c r="AF1167" s="14" t="s">
        <v>213</v>
      </c>
      <c r="AG1167" s="14" t="s">
        <v>1231</v>
      </c>
    </row>
    <row r="1168" spans="2:33">
      <c r="B1168" s="14">
        <f>10000000+INDEX(编号表!$B:$B,MATCH(H1168,编号表!$A:$A,0))*100000+INDEX(编号表!$F:$F,MATCH(D1168,编号表!$E:$E,0))*10000+INDEX(编号表!$D:$D,MATCH(AG1168,编号表!$C:$C,0))*1000+F1168</f>
        <v>11548003</v>
      </c>
      <c r="C1168" s="14" t="s">
        <v>1329</v>
      </c>
      <c r="D1168" s="14" t="s">
        <v>104</v>
      </c>
      <c r="E1168" s="14" t="s">
        <v>1231</v>
      </c>
      <c r="F1168" s="14">
        <v>3</v>
      </c>
      <c r="G1168" s="14">
        <v>60</v>
      </c>
      <c r="H1168" s="31" t="s">
        <v>228</v>
      </c>
      <c r="I1168" s="14" t="s">
        <v>75</v>
      </c>
      <c r="J1168" s="14" t="s">
        <v>201</v>
      </c>
      <c r="K1168" s="14">
        <v>1</v>
      </c>
      <c r="L1168" s="14" t="s">
        <v>213</v>
      </c>
      <c r="N1168" s="14">
        <v>0</v>
      </c>
      <c r="O1168" s="14" t="b">
        <v>1</v>
      </c>
      <c r="Q1168" s="14" t="b">
        <v>0</v>
      </c>
      <c r="R1168" s="14">
        <v>1</v>
      </c>
      <c r="S1168" s="14" t="s">
        <v>77</v>
      </c>
      <c r="T1168" s="14">
        <v>999</v>
      </c>
      <c r="U1168" s="14" t="s">
        <v>214</v>
      </c>
      <c r="V1168" s="14">
        <v>31548003</v>
      </c>
      <c r="X1168" s="14" t="s">
        <v>204</v>
      </c>
      <c r="Y1168" s="14" t="s">
        <v>215</v>
      </c>
      <c r="Z1168" s="14">
        <v>20001</v>
      </c>
      <c r="AA1168" s="14" t="s">
        <v>205</v>
      </c>
      <c r="AB1168" s="14">
        <v>40001</v>
      </c>
      <c r="AE1168" s="29" t="s">
        <v>121</v>
      </c>
      <c r="AF1168" s="14" t="s">
        <v>213</v>
      </c>
      <c r="AG1168" s="14" t="s">
        <v>1231</v>
      </c>
    </row>
    <row r="1169" spans="2:33">
      <c r="B1169" s="14">
        <f>10000000+INDEX(编号表!$B:$B,MATCH(H1169,编号表!$A:$A,0))*100000+INDEX(编号表!$F:$F,MATCH(D1169,编号表!$E:$E,0))*10000+INDEX(编号表!$D:$D,MATCH(AG1169,编号表!$C:$C,0))*1000+F1169</f>
        <v>11548004</v>
      </c>
      <c r="C1169" s="14" t="s">
        <v>1330</v>
      </c>
      <c r="D1169" s="14" t="s">
        <v>104</v>
      </c>
      <c r="E1169" s="14" t="s">
        <v>1231</v>
      </c>
      <c r="F1169" s="14">
        <v>4</v>
      </c>
      <c r="G1169" s="14">
        <v>60</v>
      </c>
      <c r="H1169" s="31" t="s">
        <v>228</v>
      </c>
      <c r="I1169" s="14" t="s">
        <v>75</v>
      </c>
      <c r="J1169" s="14" t="s">
        <v>201</v>
      </c>
      <c r="K1169" s="14">
        <v>1</v>
      </c>
      <c r="L1169" s="14" t="s">
        <v>213</v>
      </c>
      <c r="N1169" s="14">
        <v>0</v>
      </c>
      <c r="O1169" s="14" t="b">
        <v>1</v>
      </c>
      <c r="Q1169" s="14" t="b">
        <v>0</v>
      </c>
      <c r="R1169" s="14">
        <v>1</v>
      </c>
      <c r="S1169" s="14" t="s">
        <v>77</v>
      </c>
      <c r="T1169" s="14">
        <v>999</v>
      </c>
      <c r="U1169" s="14" t="s">
        <v>214</v>
      </c>
      <c r="V1169" s="14">
        <v>31548004</v>
      </c>
      <c r="X1169" s="14" t="s">
        <v>204</v>
      </c>
      <c r="Y1169" s="14" t="s">
        <v>215</v>
      </c>
      <c r="Z1169" s="14">
        <v>20001</v>
      </c>
      <c r="AA1169" s="14" t="s">
        <v>205</v>
      </c>
      <c r="AB1169" s="14">
        <v>40001</v>
      </c>
      <c r="AE1169" s="29" t="s">
        <v>121</v>
      </c>
      <c r="AF1169" s="14" t="s">
        <v>213</v>
      </c>
      <c r="AG1169" s="14" t="s">
        <v>1231</v>
      </c>
    </row>
    <row r="1170" spans="2:33">
      <c r="B1170" s="14">
        <f>10000000+INDEX(编号表!$B:$B,MATCH(H1170,编号表!$A:$A,0))*100000+INDEX(编号表!$F:$F,MATCH(D1170,编号表!$E:$E,0))*10000+INDEX(编号表!$D:$D,MATCH(AG1170,编号表!$C:$C,0))*1000+F1170</f>
        <v>11548005</v>
      </c>
      <c r="C1170" s="14" t="s">
        <v>1331</v>
      </c>
      <c r="D1170" s="14" t="s">
        <v>104</v>
      </c>
      <c r="E1170" s="14" t="s">
        <v>1231</v>
      </c>
      <c r="F1170" s="14">
        <v>5</v>
      </c>
      <c r="G1170" s="14">
        <v>60</v>
      </c>
      <c r="H1170" s="31" t="s">
        <v>228</v>
      </c>
      <c r="I1170" s="14" t="s">
        <v>75</v>
      </c>
      <c r="J1170" s="14" t="s">
        <v>201</v>
      </c>
      <c r="K1170" s="14">
        <v>1</v>
      </c>
      <c r="L1170" s="14" t="s">
        <v>213</v>
      </c>
      <c r="N1170" s="14">
        <v>0</v>
      </c>
      <c r="O1170" s="14" t="b">
        <v>1</v>
      </c>
      <c r="Q1170" s="14" t="b">
        <v>0</v>
      </c>
      <c r="R1170" s="14">
        <v>1</v>
      </c>
      <c r="S1170" s="14" t="s">
        <v>77</v>
      </c>
      <c r="T1170" s="14">
        <v>999</v>
      </c>
      <c r="U1170" s="14" t="s">
        <v>214</v>
      </c>
      <c r="V1170" s="14">
        <v>31548005</v>
      </c>
      <c r="X1170" s="14" t="s">
        <v>204</v>
      </c>
      <c r="Y1170" s="14" t="s">
        <v>215</v>
      </c>
      <c r="Z1170" s="14">
        <v>20001</v>
      </c>
      <c r="AA1170" s="14" t="s">
        <v>205</v>
      </c>
      <c r="AB1170" s="14">
        <v>40001</v>
      </c>
      <c r="AE1170" s="29" t="s">
        <v>121</v>
      </c>
      <c r="AF1170" s="14" t="s">
        <v>213</v>
      </c>
      <c r="AG1170" s="14" t="s">
        <v>1231</v>
      </c>
    </row>
    <row r="1171" spans="2:33">
      <c r="B1171" s="14">
        <f>10000000+INDEX(编号表!$B:$B,MATCH(H1171,编号表!$A:$A,0))*100000+INDEX(编号表!$F:$F,MATCH(D1171,编号表!$E:$E,0))*10000+INDEX(编号表!$D:$D,MATCH(AG1171,编号表!$C:$C,0))*1000+F1171</f>
        <v>11548006</v>
      </c>
      <c r="C1171" s="14" t="s">
        <v>1332</v>
      </c>
      <c r="D1171" s="14" t="s">
        <v>104</v>
      </c>
      <c r="E1171" s="14" t="s">
        <v>1231</v>
      </c>
      <c r="F1171" s="14">
        <v>6</v>
      </c>
      <c r="G1171" s="14">
        <v>60</v>
      </c>
      <c r="H1171" s="31" t="s">
        <v>228</v>
      </c>
      <c r="I1171" s="14" t="s">
        <v>75</v>
      </c>
      <c r="J1171" s="14" t="s">
        <v>201</v>
      </c>
      <c r="K1171" s="14">
        <v>1</v>
      </c>
      <c r="L1171" s="14" t="s">
        <v>213</v>
      </c>
      <c r="N1171" s="14">
        <v>0</v>
      </c>
      <c r="O1171" s="14" t="b">
        <v>1</v>
      </c>
      <c r="Q1171" s="14" t="b">
        <v>0</v>
      </c>
      <c r="R1171" s="14">
        <v>1</v>
      </c>
      <c r="S1171" s="14" t="s">
        <v>77</v>
      </c>
      <c r="T1171" s="14">
        <v>999</v>
      </c>
      <c r="U1171" s="14" t="s">
        <v>214</v>
      </c>
      <c r="V1171" s="14">
        <v>31548006</v>
      </c>
      <c r="X1171" s="14" t="s">
        <v>204</v>
      </c>
      <c r="Y1171" s="14" t="s">
        <v>215</v>
      </c>
      <c r="Z1171" s="14">
        <v>20001</v>
      </c>
      <c r="AA1171" s="14" t="s">
        <v>205</v>
      </c>
      <c r="AB1171" s="14">
        <v>40001</v>
      </c>
      <c r="AE1171" s="29" t="s">
        <v>121</v>
      </c>
      <c r="AF1171" s="14" t="s">
        <v>213</v>
      </c>
      <c r="AG1171" s="14" t="s">
        <v>1231</v>
      </c>
    </row>
    <row r="1172" spans="2:33">
      <c r="B1172" s="14">
        <f>10000000+INDEX(编号表!$B:$B,MATCH(H1172,编号表!$A:$A,0))*100000+INDEX(编号表!$F:$F,MATCH(D1172,编号表!$E:$E,0))*10000+INDEX(编号表!$D:$D,MATCH(AG1172,编号表!$C:$C,0))*1000+F1172</f>
        <v>11548007</v>
      </c>
      <c r="C1172" s="14" t="s">
        <v>1333</v>
      </c>
      <c r="D1172" s="14" t="s">
        <v>104</v>
      </c>
      <c r="E1172" s="14" t="s">
        <v>1231</v>
      </c>
      <c r="F1172" s="14">
        <v>7</v>
      </c>
      <c r="G1172" s="14">
        <v>60</v>
      </c>
      <c r="H1172" s="31" t="s">
        <v>228</v>
      </c>
      <c r="I1172" s="14" t="s">
        <v>75</v>
      </c>
      <c r="J1172" s="14" t="s">
        <v>201</v>
      </c>
      <c r="K1172" s="14">
        <v>1</v>
      </c>
      <c r="L1172" s="14" t="s">
        <v>213</v>
      </c>
      <c r="N1172" s="14">
        <v>0</v>
      </c>
      <c r="O1172" s="14" t="b">
        <v>1</v>
      </c>
      <c r="Q1172" s="14" t="b">
        <v>0</v>
      </c>
      <c r="R1172" s="14">
        <v>1</v>
      </c>
      <c r="S1172" s="14" t="s">
        <v>77</v>
      </c>
      <c r="T1172" s="14">
        <v>999</v>
      </c>
      <c r="U1172" s="14" t="s">
        <v>214</v>
      </c>
      <c r="V1172" s="14">
        <v>31548007</v>
      </c>
      <c r="X1172" s="14" t="s">
        <v>204</v>
      </c>
      <c r="Y1172" s="14" t="s">
        <v>215</v>
      </c>
      <c r="Z1172" s="14">
        <v>20001</v>
      </c>
      <c r="AA1172" s="14" t="s">
        <v>205</v>
      </c>
      <c r="AB1172" s="14">
        <v>40001</v>
      </c>
      <c r="AE1172" s="29" t="s">
        <v>121</v>
      </c>
      <c r="AF1172" s="14" t="s">
        <v>213</v>
      </c>
      <c r="AG1172" s="14" t="s">
        <v>1231</v>
      </c>
    </row>
    <row r="1173" spans="2:33">
      <c r="B1173" s="14">
        <f>10000000+INDEX(编号表!$B:$B,MATCH(H1173,编号表!$A:$A,0))*100000+INDEX(编号表!$F:$F,MATCH(D1173,编号表!$E:$E,0))*10000+INDEX(编号表!$D:$D,MATCH(AG1173,编号表!$C:$C,0))*1000+F1173</f>
        <v>11548008</v>
      </c>
      <c r="C1173" s="14" t="s">
        <v>1334</v>
      </c>
      <c r="D1173" s="14" t="s">
        <v>104</v>
      </c>
      <c r="E1173" s="14" t="s">
        <v>1231</v>
      </c>
      <c r="F1173" s="14">
        <v>8</v>
      </c>
      <c r="G1173" s="14">
        <v>60</v>
      </c>
      <c r="H1173" s="31" t="s">
        <v>228</v>
      </c>
      <c r="I1173" s="14" t="s">
        <v>75</v>
      </c>
      <c r="J1173" s="14" t="s">
        <v>201</v>
      </c>
      <c r="K1173" s="14">
        <v>1</v>
      </c>
      <c r="L1173" s="14" t="s">
        <v>213</v>
      </c>
      <c r="N1173" s="14">
        <v>0</v>
      </c>
      <c r="O1173" s="14" t="b">
        <v>1</v>
      </c>
      <c r="Q1173" s="14" t="b">
        <v>0</v>
      </c>
      <c r="R1173" s="14">
        <v>1</v>
      </c>
      <c r="S1173" s="14" t="s">
        <v>77</v>
      </c>
      <c r="T1173" s="14">
        <v>999</v>
      </c>
      <c r="U1173" s="14" t="s">
        <v>214</v>
      </c>
      <c r="V1173" s="14">
        <v>31548008</v>
      </c>
      <c r="X1173" s="14" t="s">
        <v>204</v>
      </c>
      <c r="Y1173" s="14" t="s">
        <v>215</v>
      </c>
      <c r="Z1173" s="14">
        <v>20001</v>
      </c>
      <c r="AA1173" s="14" t="s">
        <v>205</v>
      </c>
      <c r="AB1173" s="14">
        <v>40001</v>
      </c>
      <c r="AE1173" s="29" t="s">
        <v>121</v>
      </c>
      <c r="AF1173" s="14" t="s">
        <v>213</v>
      </c>
      <c r="AG1173" s="14" t="s">
        <v>1231</v>
      </c>
    </row>
    <row r="1174" spans="2:33">
      <c r="B1174" s="14">
        <f>10000000+INDEX(编号表!$B:$B,MATCH(H1174,编号表!$A:$A,0))*100000+INDEX(编号表!$F:$F,MATCH(D1174,编号表!$E:$E,0))*10000+INDEX(编号表!$D:$D,MATCH(AG1174,编号表!$C:$C,0))*1000+F1174</f>
        <v>11548009</v>
      </c>
      <c r="C1174" s="14" t="s">
        <v>1335</v>
      </c>
      <c r="D1174" s="14" t="s">
        <v>104</v>
      </c>
      <c r="E1174" s="14" t="s">
        <v>1231</v>
      </c>
      <c r="F1174" s="14">
        <v>9</v>
      </c>
      <c r="G1174" s="14">
        <v>60</v>
      </c>
      <c r="H1174" s="31" t="s">
        <v>228</v>
      </c>
      <c r="I1174" s="14" t="s">
        <v>75</v>
      </c>
      <c r="J1174" s="14" t="s">
        <v>201</v>
      </c>
      <c r="K1174" s="14">
        <v>1</v>
      </c>
      <c r="L1174" s="14" t="s">
        <v>213</v>
      </c>
      <c r="N1174" s="14">
        <v>0</v>
      </c>
      <c r="O1174" s="14" t="b">
        <v>1</v>
      </c>
      <c r="Q1174" s="14" t="b">
        <v>0</v>
      </c>
      <c r="R1174" s="14">
        <v>1</v>
      </c>
      <c r="S1174" s="14" t="s">
        <v>77</v>
      </c>
      <c r="T1174" s="14">
        <v>999</v>
      </c>
      <c r="U1174" s="14" t="s">
        <v>214</v>
      </c>
      <c r="V1174" s="14">
        <v>31548009</v>
      </c>
      <c r="X1174" s="14" t="s">
        <v>204</v>
      </c>
      <c r="Y1174" s="14" t="s">
        <v>215</v>
      </c>
      <c r="Z1174" s="14">
        <v>20001</v>
      </c>
      <c r="AA1174" s="14" t="s">
        <v>205</v>
      </c>
      <c r="AB1174" s="14">
        <v>40001</v>
      </c>
      <c r="AE1174" s="29" t="s">
        <v>121</v>
      </c>
      <c r="AF1174" s="14" t="s">
        <v>213</v>
      </c>
      <c r="AG1174" s="14" t="s">
        <v>1231</v>
      </c>
    </row>
    <row r="1175" spans="2:33">
      <c r="B1175" s="14">
        <f>10000000+INDEX(编号表!$B:$B,MATCH(H1175,编号表!$A:$A,0))*100000+INDEX(编号表!$F:$F,MATCH(D1175,编号表!$E:$E,0))*10000+INDEX(编号表!$D:$D,MATCH(AG1175,编号表!$C:$C,0))*1000+F1175</f>
        <v>11448000</v>
      </c>
      <c r="C1175" s="14" t="s">
        <v>1336</v>
      </c>
      <c r="D1175" s="14" t="s">
        <v>104</v>
      </c>
      <c r="E1175" s="14" t="s">
        <v>1231</v>
      </c>
      <c r="F1175" s="14">
        <v>0</v>
      </c>
      <c r="G1175" s="14">
        <v>60</v>
      </c>
      <c r="H1175" s="31" t="s">
        <v>239</v>
      </c>
      <c r="I1175" s="14" t="s">
        <v>75</v>
      </c>
      <c r="J1175" s="14" t="s">
        <v>201</v>
      </c>
      <c r="K1175" s="14">
        <v>1</v>
      </c>
      <c r="L1175" s="14" t="s">
        <v>213</v>
      </c>
      <c r="N1175" s="14">
        <v>0</v>
      </c>
      <c r="O1175" s="14" t="b">
        <v>1</v>
      </c>
      <c r="Q1175" s="14" t="b">
        <v>0</v>
      </c>
      <c r="R1175" s="14">
        <v>1</v>
      </c>
      <c r="S1175" s="14" t="s">
        <v>77</v>
      </c>
      <c r="T1175" s="14">
        <v>999</v>
      </c>
      <c r="U1175" s="14" t="s">
        <v>214</v>
      </c>
      <c r="V1175" s="14">
        <v>31448000</v>
      </c>
      <c r="X1175" s="14" t="s">
        <v>204</v>
      </c>
      <c r="Y1175" s="14" t="s">
        <v>215</v>
      </c>
      <c r="Z1175" s="14">
        <v>20001</v>
      </c>
      <c r="AA1175" s="14" t="s">
        <v>205</v>
      </c>
      <c r="AB1175" s="14">
        <v>40001</v>
      </c>
      <c r="AE1175" s="29" t="s">
        <v>121</v>
      </c>
      <c r="AF1175" s="14" t="s">
        <v>213</v>
      </c>
      <c r="AG1175" s="14" t="s">
        <v>1231</v>
      </c>
    </row>
    <row r="1176" spans="2:33">
      <c r="B1176" s="14">
        <f>10000000+INDEX(编号表!$B:$B,MATCH(H1176,编号表!$A:$A,0))*100000+INDEX(编号表!$F:$F,MATCH(D1176,编号表!$E:$E,0))*10000+INDEX(编号表!$D:$D,MATCH(AG1176,编号表!$C:$C,0))*1000+F1176</f>
        <v>11448001</v>
      </c>
      <c r="C1176" s="14" t="s">
        <v>1337</v>
      </c>
      <c r="D1176" s="14" t="s">
        <v>104</v>
      </c>
      <c r="E1176" s="14" t="s">
        <v>1231</v>
      </c>
      <c r="F1176" s="14">
        <v>1</v>
      </c>
      <c r="G1176" s="14">
        <v>60</v>
      </c>
      <c r="H1176" s="31" t="s">
        <v>239</v>
      </c>
      <c r="I1176" s="14" t="s">
        <v>75</v>
      </c>
      <c r="J1176" s="14" t="s">
        <v>201</v>
      </c>
      <c r="K1176" s="14">
        <v>1</v>
      </c>
      <c r="L1176" s="14" t="s">
        <v>213</v>
      </c>
      <c r="N1176" s="14">
        <v>0</v>
      </c>
      <c r="O1176" s="14" t="b">
        <v>1</v>
      </c>
      <c r="Q1176" s="14" t="b">
        <v>0</v>
      </c>
      <c r="R1176" s="14">
        <v>1</v>
      </c>
      <c r="S1176" s="14" t="s">
        <v>77</v>
      </c>
      <c r="T1176" s="14">
        <v>999</v>
      </c>
      <c r="U1176" s="14" t="s">
        <v>214</v>
      </c>
      <c r="V1176" s="14">
        <v>31448001</v>
      </c>
      <c r="X1176" s="14" t="s">
        <v>204</v>
      </c>
      <c r="Y1176" s="14" t="s">
        <v>215</v>
      </c>
      <c r="Z1176" s="14">
        <v>20001</v>
      </c>
      <c r="AA1176" s="14" t="s">
        <v>205</v>
      </c>
      <c r="AB1176" s="14">
        <v>40001</v>
      </c>
      <c r="AE1176" s="29" t="s">
        <v>121</v>
      </c>
      <c r="AF1176" s="14" t="s">
        <v>213</v>
      </c>
      <c r="AG1176" s="14" t="s">
        <v>1231</v>
      </c>
    </row>
    <row r="1177" spans="2:33">
      <c r="B1177" s="14">
        <f>10000000+INDEX(编号表!$B:$B,MATCH(H1177,编号表!$A:$A,0))*100000+INDEX(编号表!$F:$F,MATCH(D1177,编号表!$E:$E,0))*10000+INDEX(编号表!$D:$D,MATCH(AG1177,编号表!$C:$C,0))*1000+F1177</f>
        <v>11448002</v>
      </c>
      <c r="C1177" s="14" t="s">
        <v>1338</v>
      </c>
      <c r="D1177" s="14" t="s">
        <v>104</v>
      </c>
      <c r="E1177" s="14" t="s">
        <v>1231</v>
      </c>
      <c r="F1177" s="14">
        <v>2</v>
      </c>
      <c r="G1177" s="14">
        <v>60</v>
      </c>
      <c r="H1177" s="31" t="s">
        <v>239</v>
      </c>
      <c r="I1177" s="14" t="s">
        <v>75</v>
      </c>
      <c r="J1177" s="14" t="s">
        <v>201</v>
      </c>
      <c r="K1177" s="14">
        <v>1</v>
      </c>
      <c r="L1177" s="14" t="s">
        <v>213</v>
      </c>
      <c r="N1177" s="14">
        <v>0</v>
      </c>
      <c r="O1177" s="14" t="b">
        <v>1</v>
      </c>
      <c r="Q1177" s="14" t="b">
        <v>0</v>
      </c>
      <c r="R1177" s="14">
        <v>1</v>
      </c>
      <c r="S1177" s="14" t="s">
        <v>77</v>
      </c>
      <c r="T1177" s="14">
        <v>999</v>
      </c>
      <c r="U1177" s="14" t="s">
        <v>214</v>
      </c>
      <c r="V1177" s="14">
        <v>31448002</v>
      </c>
      <c r="X1177" s="14" t="s">
        <v>204</v>
      </c>
      <c r="Y1177" s="14" t="s">
        <v>215</v>
      </c>
      <c r="Z1177" s="14">
        <v>20001</v>
      </c>
      <c r="AA1177" s="14" t="s">
        <v>205</v>
      </c>
      <c r="AB1177" s="14">
        <v>40001</v>
      </c>
      <c r="AE1177" s="29" t="s">
        <v>121</v>
      </c>
      <c r="AF1177" s="14" t="s">
        <v>213</v>
      </c>
      <c r="AG1177" s="14" t="s">
        <v>1231</v>
      </c>
    </row>
    <row r="1178" spans="2:33">
      <c r="B1178" s="14">
        <f>10000000+INDEX(编号表!$B:$B,MATCH(H1178,编号表!$A:$A,0))*100000+INDEX(编号表!$F:$F,MATCH(D1178,编号表!$E:$E,0))*10000+INDEX(编号表!$D:$D,MATCH(AG1178,编号表!$C:$C,0))*1000+F1178</f>
        <v>11448003</v>
      </c>
      <c r="C1178" s="14" t="s">
        <v>1339</v>
      </c>
      <c r="D1178" s="14" t="s">
        <v>104</v>
      </c>
      <c r="E1178" s="14" t="s">
        <v>1231</v>
      </c>
      <c r="F1178" s="14">
        <v>3</v>
      </c>
      <c r="G1178" s="14">
        <v>60</v>
      </c>
      <c r="H1178" s="31" t="s">
        <v>239</v>
      </c>
      <c r="I1178" s="14" t="s">
        <v>75</v>
      </c>
      <c r="J1178" s="14" t="s">
        <v>201</v>
      </c>
      <c r="K1178" s="14">
        <v>1</v>
      </c>
      <c r="L1178" s="14" t="s">
        <v>213</v>
      </c>
      <c r="N1178" s="14">
        <v>0</v>
      </c>
      <c r="O1178" s="14" t="b">
        <v>1</v>
      </c>
      <c r="Q1178" s="14" t="b">
        <v>0</v>
      </c>
      <c r="R1178" s="14">
        <v>1</v>
      </c>
      <c r="S1178" s="14" t="s">
        <v>77</v>
      </c>
      <c r="T1178" s="14">
        <v>999</v>
      </c>
      <c r="U1178" s="14" t="s">
        <v>214</v>
      </c>
      <c r="V1178" s="14">
        <v>31448003</v>
      </c>
      <c r="X1178" s="14" t="s">
        <v>204</v>
      </c>
      <c r="Y1178" s="14" t="s">
        <v>215</v>
      </c>
      <c r="Z1178" s="14">
        <v>20001</v>
      </c>
      <c r="AA1178" s="14" t="s">
        <v>205</v>
      </c>
      <c r="AB1178" s="14">
        <v>40001</v>
      </c>
      <c r="AE1178" s="29" t="s">
        <v>121</v>
      </c>
      <c r="AF1178" s="14" t="s">
        <v>213</v>
      </c>
      <c r="AG1178" s="14" t="s">
        <v>1231</v>
      </c>
    </row>
    <row r="1179" spans="2:33">
      <c r="B1179" s="14">
        <f>10000000+INDEX(编号表!$B:$B,MATCH(H1179,编号表!$A:$A,0))*100000+INDEX(编号表!$F:$F,MATCH(D1179,编号表!$E:$E,0))*10000+INDEX(编号表!$D:$D,MATCH(AG1179,编号表!$C:$C,0))*1000+F1179</f>
        <v>11648000</v>
      </c>
      <c r="C1179" s="14" t="s">
        <v>1340</v>
      </c>
      <c r="D1179" s="14" t="s">
        <v>104</v>
      </c>
      <c r="E1179" s="14" t="s">
        <v>1231</v>
      </c>
      <c r="F1179" s="14">
        <v>0</v>
      </c>
      <c r="G1179" s="14">
        <v>60</v>
      </c>
      <c r="H1179" s="31" t="s">
        <v>244</v>
      </c>
      <c r="I1179" s="14" t="s">
        <v>75</v>
      </c>
      <c r="J1179" s="14" t="s">
        <v>201</v>
      </c>
      <c r="K1179" s="14">
        <v>1</v>
      </c>
      <c r="L1179" s="14" t="s">
        <v>213</v>
      </c>
      <c r="N1179" s="14">
        <v>0</v>
      </c>
      <c r="O1179" s="14" t="b">
        <v>1</v>
      </c>
      <c r="Q1179" s="14" t="b">
        <v>0</v>
      </c>
      <c r="R1179" s="14">
        <v>1</v>
      </c>
      <c r="S1179" s="14" t="s">
        <v>77</v>
      </c>
      <c r="T1179" s="14">
        <v>999</v>
      </c>
      <c r="U1179" s="14" t="s">
        <v>214</v>
      </c>
      <c r="V1179" s="14">
        <v>31648000</v>
      </c>
      <c r="X1179" s="14" t="s">
        <v>204</v>
      </c>
      <c r="Y1179" s="14" t="s">
        <v>215</v>
      </c>
      <c r="Z1179" s="14">
        <v>20001</v>
      </c>
      <c r="AA1179" s="14" t="s">
        <v>205</v>
      </c>
      <c r="AB1179" s="14">
        <v>40001</v>
      </c>
      <c r="AE1179" s="29" t="s">
        <v>121</v>
      </c>
      <c r="AF1179" s="14" t="s">
        <v>213</v>
      </c>
      <c r="AG1179" s="14" t="s">
        <v>1231</v>
      </c>
    </row>
    <row r="1180" spans="2:33">
      <c r="B1180" s="14">
        <f>10000000+INDEX(编号表!$B:$B,MATCH(H1180,编号表!$A:$A,0))*100000+INDEX(编号表!$F:$F,MATCH(D1180,编号表!$E:$E,0))*10000+INDEX(编号表!$D:$D,MATCH(AG1180,编号表!$C:$C,0))*1000+F1180</f>
        <v>11648001</v>
      </c>
      <c r="C1180" s="14" t="s">
        <v>1341</v>
      </c>
      <c r="D1180" s="14" t="s">
        <v>104</v>
      </c>
      <c r="E1180" s="14" t="s">
        <v>1231</v>
      </c>
      <c r="F1180" s="14">
        <v>1</v>
      </c>
      <c r="G1180" s="14">
        <v>60</v>
      </c>
      <c r="H1180" s="31" t="s">
        <v>244</v>
      </c>
      <c r="I1180" s="14" t="s">
        <v>75</v>
      </c>
      <c r="J1180" s="14" t="s">
        <v>201</v>
      </c>
      <c r="K1180" s="14">
        <v>1</v>
      </c>
      <c r="L1180" s="14" t="s">
        <v>213</v>
      </c>
      <c r="N1180" s="14">
        <v>0</v>
      </c>
      <c r="O1180" s="14" t="b">
        <v>1</v>
      </c>
      <c r="Q1180" s="14" t="b">
        <v>0</v>
      </c>
      <c r="R1180" s="14">
        <v>1</v>
      </c>
      <c r="S1180" s="14" t="s">
        <v>77</v>
      </c>
      <c r="T1180" s="14">
        <v>999</v>
      </c>
      <c r="U1180" s="14" t="s">
        <v>214</v>
      </c>
      <c r="V1180" s="14">
        <v>31648001</v>
      </c>
      <c r="X1180" s="14" t="s">
        <v>204</v>
      </c>
      <c r="Y1180" s="14" t="s">
        <v>215</v>
      </c>
      <c r="Z1180" s="14">
        <v>20001</v>
      </c>
      <c r="AA1180" s="14" t="s">
        <v>205</v>
      </c>
      <c r="AB1180" s="14">
        <v>40001</v>
      </c>
      <c r="AE1180" s="29" t="s">
        <v>121</v>
      </c>
      <c r="AF1180" s="14" t="s">
        <v>213</v>
      </c>
      <c r="AG1180" s="14" t="s">
        <v>1231</v>
      </c>
    </row>
    <row r="1181" spans="2:33">
      <c r="B1181" s="14">
        <f>10000000+INDEX(编号表!$B:$B,MATCH(H1181,编号表!$A:$A,0))*100000+INDEX(编号表!$F:$F,MATCH(D1181,编号表!$E:$E,0))*10000+INDEX(编号表!$D:$D,MATCH(AG1181,编号表!$C:$C,0))*1000+F1181</f>
        <v>11648002</v>
      </c>
      <c r="C1181" s="14" t="s">
        <v>1342</v>
      </c>
      <c r="D1181" s="14" t="s">
        <v>104</v>
      </c>
      <c r="E1181" s="14" t="s">
        <v>1231</v>
      </c>
      <c r="F1181" s="14">
        <v>2</v>
      </c>
      <c r="G1181" s="14">
        <v>60</v>
      </c>
      <c r="H1181" s="31" t="s">
        <v>244</v>
      </c>
      <c r="I1181" s="14" t="s">
        <v>75</v>
      </c>
      <c r="J1181" s="14" t="s">
        <v>201</v>
      </c>
      <c r="K1181" s="14">
        <v>1</v>
      </c>
      <c r="L1181" s="14" t="s">
        <v>213</v>
      </c>
      <c r="N1181" s="14">
        <v>0</v>
      </c>
      <c r="O1181" s="14" t="b">
        <v>1</v>
      </c>
      <c r="Q1181" s="14" t="b">
        <v>0</v>
      </c>
      <c r="R1181" s="14">
        <v>1</v>
      </c>
      <c r="S1181" s="14" t="s">
        <v>77</v>
      </c>
      <c r="T1181" s="14">
        <v>999</v>
      </c>
      <c r="U1181" s="14" t="s">
        <v>214</v>
      </c>
      <c r="V1181" s="14">
        <v>31648002</v>
      </c>
      <c r="X1181" s="14" t="s">
        <v>204</v>
      </c>
      <c r="Y1181" s="14" t="s">
        <v>215</v>
      </c>
      <c r="Z1181" s="14">
        <v>20001</v>
      </c>
      <c r="AA1181" s="14" t="s">
        <v>205</v>
      </c>
      <c r="AB1181" s="14">
        <v>40001</v>
      </c>
      <c r="AE1181" s="29" t="s">
        <v>121</v>
      </c>
      <c r="AF1181" s="14" t="s">
        <v>213</v>
      </c>
      <c r="AG1181" s="14" t="s">
        <v>1231</v>
      </c>
    </row>
    <row r="1182" spans="2:33">
      <c r="B1182" s="14">
        <f>10000000+INDEX(编号表!$B:$B,MATCH(H1182,编号表!$A:$A,0))*100000+INDEX(编号表!$F:$F,MATCH(D1182,编号表!$E:$E,0))*10000+INDEX(编号表!$D:$D,MATCH(AG1182,编号表!$C:$C,0))*1000+F1182</f>
        <v>11258000</v>
      </c>
      <c r="C1182" s="14" t="s">
        <v>1343</v>
      </c>
      <c r="D1182" s="14" t="s">
        <v>333</v>
      </c>
      <c r="E1182" s="14" t="s">
        <v>1231</v>
      </c>
      <c r="F1182" s="14">
        <v>0</v>
      </c>
      <c r="G1182" s="14">
        <v>60</v>
      </c>
      <c r="H1182" s="31" t="s">
        <v>212</v>
      </c>
      <c r="I1182" s="14" t="s">
        <v>75</v>
      </c>
      <c r="J1182" s="14" t="s">
        <v>201</v>
      </c>
      <c r="K1182" s="14">
        <v>1</v>
      </c>
      <c r="L1182" s="14" t="s">
        <v>213</v>
      </c>
      <c r="N1182" s="14">
        <v>0</v>
      </c>
      <c r="O1182" s="14" t="b">
        <v>1</v>
      </c>
      <c r="Q1182" s="14" t="b">
        <v>0</v>
      </c>
      <c r="R1182" s="14">
        <v>1</v>
      </c>
      <c r="S1182" s="14" t="s">
        <v>77</v>
      </c>
      <c r="T1182" s="14">
        <v>999</v>
      </c>
      <c r="U1182" s="14" t="s">
        <v>214</v>
      </c>
      <c r="V1182" s="14">
        <v>31258000</v>
      </c>
      <c r="X1182" s="14" t="s">
        <v>204</v>
      </c>
      <c r="Y1182" s="14" t="s">
        <v>215</v>
      </c>
      <c r="Z1182" s="14">
        <v>20001</v>
      </c>
      <c r="AA1182" s="14" t="s">
        <v>205</v>
      </c>
      <c r="AB1182" s="14">
        <v>40001</v>
      </c>
      <c r="AE1182" s="29" t="s">
        <v>121</v>
      </c>
      <c r="AF1182" s="14" t="s">
        <v>213</v>
      </c>
      <c r="AG1182" s="14" t="s">
        <v>1231</v>
      </c>
    </row>
    <row r="1183" spans="2:33">
      <c r="B1183" s="14">
        <f>10000000+INDEX(编号表!$B:$B,MATCH(H1183,编号表!$A:$A,0))*100000+INDEX(编号表!$F:$F,MATCH(D1183,编号表!$E:$E,0))*10000+INDEX(编号表!$D:$D,MATCH(AG1183,编号表!$C:$C,0))*1000+F1183</f>
        <v>11358000</v>
      </c>
      <c r="C1183" s="14" t="s">
        <v>1344</v>
      </c>
      <c r="D1183" s="14" t="s">
        <v>333</v>
      </c>
      <c r="E1183" s="14" t="s">
        <v>1231</v>
      </c>
      <c r="F1183" s="14">
        <v>0</v>
      </c>
      <c r="G1183" s="14">
        <v>60</v>
      </c>
      <c r="H1183" s="31" t="s">
        <v>217</v>
      </c>
      <c r="I1183" s="14" t="s">
        <v>75</v>
      </c>
      <c r="J1183" s="14" t="s">
        <v>201</v>
      </c>
      <c r="K1183" s="14">
        <v>1</v>
      </c>
      <c r="L1183" s="14" t="s">
        <v>213</v>
      </c>
      <c r="N1183" s="14">
        <v>0</v>
      </c>
      <c r="O1183" s="14" t="b">
        <v>1</v>
      </c>
      <c r="Q1183" s="14" t="b">
        <v>0</v>
      </c>
      <c r="R1183" s="14">
        <v>1</v>
      </c>
      <c r="S1183" s="14" t="s">
        <v>77</v>
      </c>
      <c r="T1183" s="14">
        <v>999</v>
      </c>
      <c r="U1183" s="14" t="s">
        <v>214</v>
      </c>
      <c r="V1183" s="14">
        <v>31358000</v>
      </c>
      <c r="X1183" s="14" t="s">
        <v>204</v>
      </c>
      <c r="Y1183" s="14" t="s">
        <v>215</v>
      </c>
      <c r="Z1183" s="14">
        <v>20001</v>
      </c>
      <c r="AA1183" s="14" t="s">
        <v>205</v>
      </c>
      <c r="AB1183" s="14">
        <v>40001</v>
      </c>
      <c r="AE1183" s="29" t="s">
        <v>121</v>
      </c>
      <c r="AF1183" s="14" t="s">
        <v>213</v>
      </c>
      <c r="AG1183" s="14" t="s">
        <v>1231</v>
      </c>
    </row>
    <row r="1184" spans="2:33">
      <c r="B1184" s="14">
        <f>10000000+INDEX(编号表!$B:$B,MATCH(H1184,编号表!$A:$A,0))*100000+INDEX(编号表!$F:$F,MATCH(D1184,编号表!$E:$E,0))*10000+INDEX(编号表!$D:$D,MATCH(AG1184,编号表!$C:$C,0))*1000+F1184</f>
        <v>11358001</v>
      </c>
      <c r="C1184" s="14" t="s">
        <v>1345</v>
      </c>
      <c r="D1184" s="14" t="s">
        <v>333</v>
      </c>
      <c r="E1184" s="14" t="s">
        <v>1231</v>
      </c>
      <c r="F1184" s="14">
        <v>1</v>
      </c>
      <c r="G1184" s="14">
        <v>60</v>
      </c>
      <c r="H1184" s="31" t="s">
        <v>217</v>
      </c>
      <c r="I1184" s="14" t="s">
        <v>75</v>
      </c>
      <c r="J1184" s="14" t="s">
        <v>201</v>
      </c>
      <c r="K1184" s="14">
        <v>1</v>
      </c>
      <c r="L1184" s="14" t="s">
        <v>213</v>
      </c>
      <c r="N1184" s="14">
        <v>0</v>
      </c>
      <c r="O1184" s="14" t="b">
        <v>1</v>
      </c>
      <c r="Q1184" s="14" t="b">
        <v>0</v>
      </c>
      <c r="R1184" s="14">
        <v>1</v>
      </c>
      <c r="S1184" s="14" t="s">
        <v>77</v>
      </c>
      <c r="T1184" s="14">
        <v>999</v>
      </c>
      <c r="U1184" s="14" t="s">
        <v>214</v>
      </c>
      <c r="V1184" s="14">
        <v>31358001</v>
      </c>
      <c r="X1184" s="14" t="s">
        <v>204</v>
      </c>
      <c r="Y1184" s="14" t="s">
        <v>215</v>
      </c>
      <c r="Z1184" s="14">
        <v>20001</v>
      </c>
      <c r="AA1184" s="14" t="s">
        <v>205</v>
      </c>
      <c r="AB1184" s="14">
        <v>40001</v>
      </c>
      <c r="AE1184" s="29" t="s">
        <v>121</v>
      </c>
      <c r="AF1184" s="14" t="s">
        <v>213</v>
      </c>
      <c r="AG1184" s="14" t="s">
        <v>1231</v>
      </c>
    </row>
    <row r="1185" spans="2:33">
      <c r="B1185" s="14">
        <f>10000000+INDEX(编号表!$B:$B,MATCH(H1185,编号表!$A:$A,0))*100000+INDEX(编号表!$F:$F,MATCH(D1185,编号表!$E:$E,0))*10000+INDEX(编号表!$D:$D,MATCH(AG1185,编号表!$C:$C,0))*1000+F1185</f>
        <v>11358002</v>
      </c>
      <c r="C1185" s="14" t="s">
        <v>1346</v>
      </c>
      <c r="D1185" s="14" t="s">
        <v>333</v>
      </c>
      <c r="E1185" s="14" t="s">
        <v>1231</v>
      </c>
      <c r="F1185" s="14">
        <v>2</v>
      </c>
      <c r="G1185" s="14">
        <v>60</v>
      </c>
      <c r="H1185" s="31" t="s">
        <v>217</v>
      </c>
      <c r="I1185" s="14" t="s">
        <v>75</v>
      </c>
      <c r="J1185" s="14" t="s">
        <v>201</v>
      </c>
      <c r="K1185" s="14">
        <v>1</v>
      </c>
      <c r="L1185" s="14" t="s">
        <v>213</v>
      </c>
      <c r="N1185" s="14">
        <v>0</v>
      </c>
      <c r="O1185" s="14" t="b">
        <v>1</v>
      </c>
      <c r="Q1185" s="14" t="b">
        <v>0</v>
      </c>
      <c r="R1185" s="14">
        <v>1</v>
      </c>
      <c r="S1185" s="14" t="s">
        <v>77</v>
      </c>
      <c r="T1185" s="14">
        <v>999</v>
      </c>
      <c r="U1185" s="14" t="s">
        <v>214</v>
      </c>
      <c r="V1185" s="14">
        <v>31358002</v>
      </c>
      <c r="X1185" s="14" t="s">
        <v>204</v>
      </c>
      <c r="Y1185" s="14" t="s">
        <v>215</v>
      </c>
      <c r="Z1185" s="14">
        <v>20001</v>
      </c>
      <c r="AA1185" s="14" t="s">
        <v>205</v>
      </c>
      <c r="AB1185" s="14">
        <v>40001</v>
      </c>
      <c r="AE1185" s="29" t="s">
        <v>121</v>
      </c>
      <c r="AF1185" s="14" t="s">
        <v>213</v>
      </c>
      <c r="AG1185" s="14" t="s">
        <v>1231</v>
      </c>
    </row>
    <row r="1186" spans="2:33">
      <c r="B1186" s="14">
        <f>10000000+INDEX(编号表!$B:$B,MATCH(H1186,编号表!$A:$A,0))*100000+INDEX(编号表!$F:$F,MATCH(D1186,编号表!$E:$E,0))*10000+INDEX(编号表!$D:$D,MATCH(AG1186,编号表!$C:$C,0))*1000+F1186</f>
        <v>11358003</v>
      </c>
      <c r="C1186" s="14" t="s">
        <v>1347</v>
      </c>
      <c r="D1186" s="14" t="s">
        <v>333</v>
      </c>
      <c r="E1186" s="14" t="s">
        <v>1231</v>
      </c>
      <c r="F1186" s="14">
        <v>3</v>
      </c>
      <c r="G1186" s="14">
        <v>60</v>
      </c>
      <c r="H1186" s="31" t="s">
        <v>217</v>
      </c>
      <c r="I1186" s="14" t="s">
        <v>75</v>
      </c>
      <c r="J1186" s="14" t="s">
        <v>201</v>
      </c>
      <c r="K1186" s="14">
        <v>1</v>
      </c>
      <c r="L1186" s="14" t="s">
        <v>213</v>
      </c>
      <c r="N1186" s="14">
        <v>0</v>
      </c>
      <c r="O1186" s="14" t="b">
        <v>1</v>
      </c>
      <c r="Q1186" s="14" t="b">
        <v>0</v>
      </c>
      <c r="R1186" s="14">
        <v>1</v>
      </c>
      <c r="S1186" s="14" t="s">
        <v>77</v>
      </c>
      <c r="T1186" s="14">
        <v>999</v>
      </c>
      <c r="U1186" s="14" t="s">
        <v>214</v>
      </c>
      <c r="V1186" s="14">
        <v>31358003</v>
      </c>
      <c r="X1186" s="14" t="s">
        <v>204</v>
      </c>
      <c r="Y1186" s="14" t="s">
        <v>215</v>
      </c>
      <c r="Z1186" s="14">
        <v>20001</v>
      </c>
      <c r="AA1186" s="14" t="s">
        <v>205</v>
      </c>
      <c r="AB1186" s="14">
        <v>40001</v>
      </c>
      <c r="AE1186" s="29" t="s">
        <v>121</v>
      </c>
      <c r="AF1186" s="14" t="s">
        <v>213</v>
      </c>
      <c r="AG1186" s="14" t="s">
        <v>1231</v>
      </c>
    </row>
    <row r="1187" spans="2:33">
      <c r="B1187" s="14">
        <f>10000000+INDEX(编号表!$B:$B,MATCH(H1187,编号表!$A:$A,0))*100000+INDEX(编号表!$F:$F,MATCH(D1187,编号表!$E:$E,0))*10000+INDEX(编号表!$D:$D,MATCH(AG1187,编号表!$C:$C,0))*1000+F1187</f>
        <v>11358004</v>
      </c>
      <c r="C1187" s="14" t="s">
        <v>1348</v>
      </c>
      <c r="D1187" s="14" t="s">
        <v>333</v>
      </c>
      <c r="E1187" s="14" t="s">
        <v>1231</v>
      </c>
      <c r="F1187" s="14">
        <v>4</v>
      </c>
      <c r="G1187" s="14">
        <v>60</v>
      </c>
      <c r="H1187" s="31" t="s">
        <v>217</v>
      </c>
      <c r="I1187" s="14" t="s">
        <v>75</v>
      </c>
      <c r="J1187" s="14" t="s">
        <v>201</v>
      </c>
      <c r="K1187" s="14">
        <v>1</v>
      </c>
      <c r="L1187" s="14" t="s">
        <v>213</v>
      </c>
      <c r="N1187" s="14">
        <v>0</v>
      </c>
      <c r="O1187" s="14" t="b">
        <v>1</v>
      </c>
      <c r="Q1187" s="14" t="b">
        <v>0</v>
      </c>
      <c r="R1187" s="14">
        <v>1</v>
      </c>
      <c r="S1187" s="14" t="s">
        <v>77</v>
      </c>
      <c r="T1187" s="14">
        <v>999</v>
      </c>
      <c r="U1187" s="14" t="s">
        <v>214</v>
      </c>
      <c r="V1187" s="14">
        <v>31358004</v>
      </c>
      <c r="X1187" s="14" t="s">
        <v>204</v>
      </c>
      <c r="Y1187" s="14" t="s">
        <v>215</v>
      </c>
      <c r="Z1187" s="14">
        <v>20001</v>
      </c>
      <c r="AA1187" s="14" t="s">
        <v>205</v>
      </c>
      <c r="AB1187" s="14">
        <v>40001</v>
      </c>
      <c r="AE1187" s="29" t="s">
        <v>121</v>
      </c>
      <c r="AF1187" s="14" t="s">
        <v>213</v>
      </c>
      <c r="AG1187" s="14" t="s">
        <v>1231</v>
      </c>
    </row>
    <row r="1188" spans="2:33">
      <c r="B1188" s="14">
        <f>10000000+INDEX(编号表!$B:$B,MATCH(H1188,编号表!$A:$A,0))*100000+INDEX(编号表!$F:$F,MATCH(D1188,编号表!$E:$E,0))*10000+INDEX(编号表!$D:$D,MATCH(AG1188,编号表!$C:$C,0))*1000+F1188</f>
        <v>11358005</v>
      </c>
      <c r="C1188" s="14" t="s">
        <v>1349</v>
      </c>
      <c r="D1188" s="14" t="s">
        <v>333</v>
      </c>
      <c r="E1188" s="14" t="s">
        <v>1231</v>
      </c>
      <c r="F1188" s="14">
        <v>5</v>
      </c>
      <c r="G1188" s="14">
        <v>60</v>
      </c>
      <c r="H1188" s="31" t="s">
        <v>217</v>
      </c>
      <c r="I1188" s="14" t="s">
        <v>75</v>
      </c>
      <c r="J1188" s="14" t="s">
        <v>201</v>
      </c>
      <c r="K1188" s="14">
        <v>1</v>
      </c>
      <c r="L1188" s="14" t="s">
        <v>213</v>
      </c>
      <c r="N1188" s="14">
        <v>0</v>
      </c>
      <c r="O1188" s="14" t="b">
        <v>1</v>
      </c>
      <c r="Q1188" s="14" t="b">
        <v>0</v>
      </c>
      <c r="R1188" s="14">
        <v>1</v>
      </c>
      <c r="S1188" s="14" t="s">
        <v>77</v>
      </c>
      <c r="T1188" s="14">
        <v>999</v>
      </c>
      <c r="U1188" s="14" t="s">
        <v>214</v>
      </c>
      <c r="V1188" s="14">
        <v>31358005</v>
      </c>
      <c r="X1188" s="14" t="s">
        <v>204</v>
      </c>
      <c r="Y1188" s="14" t="s">
        <v>215</v>
      </c>
      <c r="Z1188" s="14">
        <v>20001</v>
      </c>
      <c r="AA1188" s="14" t="s">
        <v>205</v>
      </c>
      <c r="AB1188" s="14">
        <v>40001</v>
      </c>
      <c r="AE1188" s="29" t="s">
        <v>121</v>
      </c>
      <c r="AF1188" s="14" t="s">
        <v>213</v>
      </c>
      <c r="AG1188" s="14" t="s">
        <v>1231</v>
      </c>
    </row>
    <row r="1189" spans="2:33">
      <c r="B1189" s="14">
        <f>10000000+INDEX(编号表!$B:$B,MATCH(H1189,编号表!$A:$A,0))*100000+INDEX(编号表!$F:$F,MATCH(D1189,编号表!$E:$E,0))*10000+INDEX(编号表!$D:$D,MATCH(AG1189,编号表!$C:$C,0))*1000+F1189</f>
        <v>11358006</v>
      </c>
      <c r="C1189" s="14" t="s">
        <v>1350</v>
      </c>
      <c r="D1189" s="14" t="s">
        <v>333</v>
      </c>
      <c r="E1189" s="14" t="s">
        <v>1231</v>
      </c>
      <c r="F1189" s="14">
        <v>6</v>
      </c>
      <c r="G1189" s="14">
        <v>60</v>
      </c>
      <c r="H1189" s="31" t="s">
        <v>217</v>
      </c>
      <c r="I1189" s="14" t="s">
        <v>75</v>
      </c>
      <c r="J1189" s="14" t="s">
        <v>201</v>
      </c>
      <c r="K1189" s="14">
        <v>1</v>
      </c>
      <c r="L1189" s="14" t="s">
        <v>213</v>
      </c>
      <c r="N1189" s="14">
        <v>0</v>
      </c>
      <c r="O1189" s="14" t="b">
        <v>1</v>
      </c>
      <c r="Q1189" s="14" t="b">
        <v>0</v>
      </c>
      <c r="R1189" s="14">
        <v>1</v>
      </c>
      <c r="S1189" s="14" t="s">
        <v>77</v>
      </c>
      <c r="T1189" s="14">
        <v>999</v>
      </c>
      <c r="U1189" s="14" t="s">
        <v>214</v>
      </c>
      <c r="V1189" s="14">
        <v>31358006</v>
      </c>
      <c r="X1189" s="14" t="s">
        <v>204</v>
      </c>
      <c r="Y1189" s="14" t="s">
        <v>215</v>
      </c>
      <c r="Z1189" s="14">
        <v>20001</v>
      </c>
      <c r="AA1189" s="14" t="s">
        <v>205</v>
      </c>
      <c r="AB1189" s="14">
        <v>40001</v>
      </c>
      <c r="AE1189" s="29" t="s">
        <v>121</v>
      </c>
      <c r="AF1189" s="14" t="s">
        <v>213</v>
      </c>
      <c r="AG1189" s="14" t="s">
        <v>1231</v>
      </c>
    </row>
    <row r="1190" spans="2:33">
      <c r="B1190" s="14">
        <f>10000000+INDEX(编号表!$B:$B,MATCH(H1190,编号表!$A:$A,0))*100000+INDEX(编号表!$F:$F,MATCH(D1190,编号表!$E:$E,0))*10000+INDEX(编号表!$D:$D,MATCH(AG1190,编号表!$C:$C,0))*1000+F1190</f>
        <v>11358007</v>
      </c>
      <c r="C1190" s="14" t="s">
        <v>1351</v>
      </c>
      <c r="D1190" s="14" t="s">
        <v>333</v>
      </c>
      <c r="E1190" s="14" t="s">
        <v>1231</v>
      </c>
      <c r="F1190" s="14">
        <v>7</v>
      </c>
      <c r="G1190" s="14">
        <v>60</v>
      </c>
      <c r="H1190" s="31" t="s">
        <v>217</v>
      </c>
      <c r="I1190" s="14" t="s">
        <v>75</v>
      </c>
      <c r="J1190" s="14" t="s">
        <v>201</v>
      </c>
      <c r="K1190" s="14">
        <v>1</v>
      </c>
      <c r="L1190" s="14" t="s">
        <v>213</v>
      </c>
      <c r="N1190" s="14">
        <v>0</v>
      </c>
      <c r="O1190" s="14" t="b">
        <v>1</v>
      </c>
      <c r="Q1190" s="14" t="b">
        <v>0</v>
      </c>
      <c r="R1190" s="14">
        <v>1</v>
      </c>
      <c r="S1190" s="14" t="s">
        <v>77</v>
      </c>
      <c r="T1190" s="14">
        <v>999</v>
      </c>
      <c r="U1190" s="14" t="s">
        <v>214</v>
      </c>
      <c r="V1190" s="14">
        <v>31358007</v>
      </c>
      <c r="X1190" s="14" t="s">
        <v>204</v>
      </c>
      <c r="Y1190" s="14" t="s">
        <v>215</v>
      </c>
      <c r="Z1190" s="14">
        <v>20001</v>
      </c>
      <c r="AA1190" s="14" t="s">
        <v>205</v>
      </c>
      <c r="AB1190" s="14">
        <v>40001</v>
      </c>
      <c r="AE1190" s="29" t="s">
        <v>121</v>
      </c>
      <c r="AF1190" s="14" t="s">
        <v>213</v>
      </c>
      <c r="AG1190" s="14" t="s">
        <v>1231</v>
      </c>
    </row>
    <row r="1191" spans="2:33">
      <c r="B1191" s="14">
        <f>10000000+INDEX(编号表!$B:$B,MATCH(H1191,编号表!$A:$A,0))*100000+INDEX(编号表!$F:$F,MATCH(D1191,编号表!$E:$E,0))*10000+INDEX(编号表!$D:$D,MATCH(AG1191,编号表!$C:$C,0))*1000+F1191</f>
        <v>11358008</v>
      </c>
      <c r="C1191" s="14" t="s">
        <v>1352</v>
      </c>
      <c r="D1191" s="14" t="s">
        <v>333</v>
      </c>
      <c r="E1191" s="14" t="s">
        <v>1231</v>
      </c>
      <c r="F1191" s="14">
        <v>8</v>
      </c>
      <c r="G1191" s="14">
        <v>60</v>
      </c>
      <c r="H1191" s="31" t="s">
        <v>217</v>
      </c>
      <c r="I1191" s="14" t="s">
        <v>75</v>
      </c>
      <c r="J1191" s="14" t="s">
        <v>201</v>
      </c>
      <c r="K1191" s="14">
        <v>1</v>
      </c>
      <c r="L1191" s="14" t="s">
        <v>213</v>
      </c>
      <c r="N1191" s="14">
        <v>0</v>
      </c>
      <c r="O1191" s="14" t="b">
        <v>1</v>
      </c>
      <c r="Q1191" s="14" t="b">
        <v>0</v>
      </c>
      <c r="R1191" s="14">
        <v>1</v>
      </c>
      <c r="S1191" s="14" t="s">
        <v>77</v>
      </c>
      <c r="T1191" s="14">
        <v>999</v>
      </c>
      <c r="U1191" s="14" t="s">
        <v>214</v>
      </c>
      <c r="V1191" s="14">
        <v>31358008</v>
      </c>
      <c r="X1191" s="14" t="s">
        <v>204</v>
      </c>
      <c r="Y1191" s="14" t="s">
        <v>215</v>
      </c>
      <c r="Z1191" s="14">
        <v>20001</v>
      </c>
      <c r="AA1191" s="14" t="s">
        <v>205</v>
      </c>
      <c r="AB1191" s="14">
        <v>40001</v>
      </c>
      <c r="AE1191" s="29" t="s">
        <v>121</v>
      </c>
      <c r="AF1191" s="14" t="s">
        <v>213</v>
      </c>
      <c r="AG1191" s="14" t="s">
        <v>1231</v>
      </c>
    </row>
    <row r="1192" spans="2:33">
      <c r="B1192" s="14">
        <f>10000000+INDEX(编号表!$B:$B,MATCH(H1192,编号表!$A:$A,0))*100000+INDEX(编号表!$F:$F,MATCH(D1192,编号表!$E:$E,0))*10000+INDEX(编号表!$D:$D,MATCH(AG1192,编号表!$C:$C,0))*1000+F1192</f>
        <v>11358009</v>
      </c>
      <c r="C1192" s="14" t="s">
        <v>1353</v>
      </c>
      <c r="D1192" s="14" t="s">
        <v>333</v>
      </c>
      <c r="E1192" s="14" t="s">
        <v>1231</v>
      </c>
      <c r="F1192" s="14">
        <v>9</v>
      </c>
      <c r="G1192" s="14">
        <v>60</v>
      </c>
      <c r="H1192" s="31" t="s">
        <v>217</v>
      </c>
      <c r="I1192" s="14" t="s">
        <v>75</v>
      </c>
      <c r="J1192" s="14" t="s">
        <v>201</v>
      </c>
      <c r="K1192" s="14">
        <v>1</v>
      </c>
      <c r="L1192" s="14" t="s">
        <v>213</v>
      </c>
      <c r="N1192" s="14">
        <v>0</v>
      </c>
      <c r="O1192" s="14" t="b">
        <v>1</v>
      </c>
      <c r="Q1192" s="14" t="b">
        <v>0</v>
      </c>
      <c r="R1192" s="14">
        <v>1</v>
      </c>
      <c r="S1192" s="14" t="s">
        <v>77</v>
      </c>
      <c r="T1192" s="14">
        <v>999</v>
      </c>
      <c r="U1192" s="14" t="s">
        <v>214</v>
      </c>
      <c r="V1192" s="14">
        <v>31358009</v>
      </c>
      <c r="X1192" s="14" t="s">
        <v>204</v>
      </c>
      <c r="Y1192" s="14" t="s">
        <v>215</v>
      </c>
      <c r="Z1192" s="14">
        <v>20001</v>
      </c>
      <c r="AA1192" s="14" t="s">
        <v>205</v>
      </c>
      <c r="AB1192" s="14">
        <v>40001</v>
      </c>
      <c r="AE1192" s="29" t="s">
        <v>121</v>
      </c>
      <c r="AF1192" s="14" t="s">
        <v>213</v>
      </c>
      <c r="AG1192" s="14" t="s">
        <v>1231</v>
      </c>
    </row>
    <row r="1193" spans="2:33">
      <c r="B1193" s="14">
        <f>10000000+INDEX(编号表!$B:$B,MATCH(H1193,编号表!$A:$A,0))*100000+INDEX(编号表!$F:$F,MATCH(D1193,编号表!$E:$E,0))*10000+INDEX(编号表!$D:$D,MATCH(AG1193,编号表!$C:$C,0))*1000+F1193</f>
        <v>11558000</v>
      </c>
      <c r="C1193" s="14" t="s">
        <v>1354</v>
      </c>
      <c r="D1193" s="14" t="s">
        <v>333</v>
      </c>
      <c r="E1193" s="14" t="s">
        <v>1231</v>
      </c>
      <c r="F1193" s="14">
        <v>0</v>
      </c>
      <c r="G1193" s="14">
        <v>60</v>
      </c>
      <c r="H1193" s="31" t="s">
        <v>228</v>
      </c>
      <c r="I1193" s="14" t="s">
        <v>75</v>
      </c>
      <c r="J1193" s="14" t="s">
        <v>201</v>
      </c>
      <c r="K1193" s="14">
        <v>1</v>
      </c>
      <c r="L1193" s="14" t="s">
        <v>213</v>
      </c>
      <c r="N1193" s="14">
        <v>0</v>
      </c>
      <c r="O1193" s="14" t="b">
        <v>1</v>
      </c>
      <c r="Q1193" s="14" t="b">
        <v>0</v>
      </c>
      <c r="R1193" s="14">
        <v>1</v>
      </c>
      <c r="S1193" s="14" t="s">
        <v>77</v>
      </c>
      <c r="T1193" s="14">
        <v>999</v>
      </c>
      <c r="U1193" s="14" t="s">
        <v>214</v>
      </c>
      <c r="V1193" s="14">
        <v>31558000</v>
      </c>
      <c r="X1193" s="14" t="s">
        <v>204</v>
      </c>
      <c r="Y1193" s="14" t="s">
        <v>215</v>
      </c>
      <c r="Z1193" s="14">
        <v>20001</v>
      </c>
      <c r="AA1193" s="14" t="s">
        <v>205</v>
      </c>
      <c r="AB1193" s="14">
        <v>40001</v>
      </c>
      <c r="AE1193" s="29" t="s">
        <v>121</v>
      </c>
      <c r="AF1193" s="14" t="s">
        <v>213</v>
      </c>
      <c r="AG1193" s="14" t="s">
        <v>1231</v>
      </c>
    </row>
    <row r="1194" spans="2:33">
      <c r="B1194" s="14">
        <f>10000000+INDEX(编号表!$B:$B,MATCH(H1194,编号表!$A:$A,0))*100000+INDEX(编号表!$F:$F,MATCH(D1194,编号表!$E:$E,0))*10000+INDEX(编号表!$D:$D,MATCH(AG1194,编号表!$C:$C,0))*1000+F1194</f>
        <v>11558001</v>
      </c>
      <c r="C1194" s="14" t="s">
        <v>1355</v>
      </c>
      <c r="D1194" s="14" t="s">
        <v>333</v>
      </c>
      <c r="E1194" s="14" t="s">
        <v>1231</v>
      </c>
      <c r="F1194" s="14">
        <v>1</v>
      </c>
      <c r="G1194" s="14">
        <v>60</v>
      </c>
      <c r="H1194" s="31" t="s">
        <v>228</v>
      </c>
      <c r="I1194" s="14" t="s">
        <v>75</v>
      </c>
      <c r="J1194" s="14" t="s">
        <v>201</v>
      </c>
      <c r="K1194" s="14">
        <v>1</v>
      </c>
      <c r="L1194" s="14" t="s">
        <v>213</v>
      </c>
      <c r="N1194" s="14">
        <v>0</v>
      </c>
      <c r="O1194" s="14" t="b">
        <v>1</v>
      </c>
      <c r="Q1194" s="14" t="b">
        <v>0</v>
      </c>
      <c r="R1194" s="14">
        <v>1</v>
      </c>
      <c r="S1194" s="14" t="s">
        <v>77</v>
      </c>
      <c r="T1194" s="14">
        <v>999</v>
      </c>
      <c r="U1194" s="14" t="s">
        <v>214</v>
      </c>
      <c r="V1194" s="14">
        <v>31558001</v>
      </c>
      <c r="X1194" s="14" t="s">
        <v>204</v>
      </c>
      <c r="Y1194" s="14" t="s">
        <v>215</v>
      </c>
      <c r="Z1194" s="14">
        <v>20001</v>
      </c>
      <c r="AA1194" s="14" t="s">
        <v>205</v>
      </c>
      <c r="AB1194" s="14">
        <v>40001</v>
      </c>
      <c r="AE1194" s="29" t="s">
        <v>121</v>
      </c>
      <c r="AF1194" s="14" t="s">
        <v>213</v>
      </c>
      <c r="AG1194" s="14" t="s">
        <v>1231</v>
      </c>
    </row>
    <row r="1195" spans="2:33">
      <c r="B1195" s="14">
        <f>10000000+INDEX(编号表!$B:$B,MATCH(H1195,编号表!$A:$A,0))*100000+INDEX(编号表!$F:$F,MATCH(D1195,编号表!$E:$E,0))*10000+INDEX(编号表!$D:$D,MATCH(AG1195,编号表!$C:$C,0))*1000+F1195</f>
        <v>11558002</v>
      </c>
      <c r="C1195" s="14" t="s">
        <v>1356</v>
      </c>
      <c r="D1195" s="14" t="s">
        <v>333</v>
      </c>
      <c r="E1195" s="14" t="s">
        <v>1231</v>
      </c>
      <c r="F1195" s="14">
        <v>2</v>
      </c>
      <c r="G1195" s="14">
        <v>60</v>
      </c>
      <c r="H1195" s="31" t="s">
        <v>228</v>
      </c>
      <c r="I1195" s="14" t="s">
        <v>75</v>
      </c>
      <c r="J1195" s="14" t="s">
        <v>201</v>
      </c>
      <c r="K1195" s="14">
        <v>1</v>
      </c>
      <c r="L1195" s="14" t="s">
        <v>213</v>
      </c>
      <c r="N1195" s="14">
        <v>0</v>
      </c>
      <c r="O1195" s="14" t="b">
        <v>1</v>
      </c>
      <c r="Q1195" s="14" t="b">
        <v>0</v>
      </c>
      <c r="R1195" s="14">
        <v>1</v>
      </c>
      <c r="S1195" s="14" t="s">
        <v>77</v>
      </c>
      <c r="T1195" s="14">
        <v>999</v>
      </c>
      <c r="U1195" s="14" t="s">
        <v>214</v>
      </c>
      <c r="V1195" s="14">
        <v>31558002</v>
      </c>
      <c r="X1195" s="14" t="s">
        <v>204</v>
      </c>
      <c r="Y1195" s="14" t="s">
        <v>215</v>
      </c>
      <c r="Z1195" s="14">
        <v>20001</v>
      </c>
      <c r="AA1195" s="14" t="s">
        <v>205</v>
      </c>
      <c r="AB1195" s="14">
        <v>40001</v>
      </c>
      <c r="AE1195" s="29" t="s">
        <v>121</v>
      </c>
      <c r="AF1195" s="14" t="s">
        <v>213</v>
      </c>
      <c r="AG1195" s="14" t="s">
        <v>1231</v>
      </c>
    </row>
    <row r="1196" spans="2:33">
      <c r="B1196" s="14">
        <f>10000000+INDEX(编号表!$B:$B,MATCH(H1196,编号表!$A:$A,0))*100000+INDEX(编号表!$F:$F,MATCH(D1196,编号表!$E:$E,0))*10000+INDEX(编号表!$D:$D,MATCH(AG1196,编号表!$C:$C,0))*1000+F1196</f>
        <v>11558003</v>
      </c>
      <c r="C1196" s="14" t="s">
        <v>1357</v>
      </c>
      <c r="D1196" s="14" t="s">
        <v>333</v>
      </c>
      <c r="E1196" s="14" t="s">
        <v>1231</v>
      </c>
      <c r="F1196" s="14">
        <v>3</v>
      </c>
      <c r="G1196" s="14">
        <v>60</v>
      </c>
      <c r="H1196" s="31" t="s">
        <v>228</v>
      </c>
      <c r="I1196" s="14" t="s">
        <v>75</v>
      </c>
      <c r="J1196" s="14" t="s">
        <v>201</v>
      </c>
      <c r="K1196" s="14">
        <v>1</v>
      </c>
      <c r="L1196" s="14" t="s">
        <v>213</v>
      </c>
      <c r="N1196" s="14">
        <v>0</v>
      </c>
      <c r="O1196" s="14" t="b">
        <v>1</v>
      </c>
      <c r="Q1196" s="14" t="b">
        <v>0</v>
      </c>
      <c r="R1196" s="14">
        <v>1</v>
      </c>
      <c r="S1196" s="14" t="s">
        <v>77</v>
      </c>
      <c r="T1196" s="14">
        <v>999</v>
      </c>
      <c r="U1196" s="14" t="s">
        <v>214</v>
      </c>
      <c r="V1196" s="14">
        <v>31558003</v>
      </c>
      <c r="X1196" s="14" t="s">
        <v>204</v>
      </c>
      <c r="Y1196" s="14" t="s">
        <v>215</v>
      </c>
      <c r="Z1196" s="14">
        <v>20001</v>
      </c>
      <c r="AA1196" s="14" t="s">
        <v>205</v>
      </c>
      <c r="AB1196" s="14">
        <v>40001</v>
      </c>
      <c r="AE1196" s="29" t="s">
        <v>121</v>
      </c>
      <c r="AF1196" s="14" t="s">
        <v>213</v>
      </c>
      <c r="AG1196" s="14" t="s">
        <v>1231</v>
      </c>
    </row>
    <row r="1197" spans="2:33">
      <c r="B1197" s="14">
        <f>10000000+INDEX(编号表!$B:$B,MATCH(H1197,编号表!$A:$A,0))*100000+INDEX(编号表!$F:$F,MATCH(D1197,编号表!$E:$E,0))*10000+INDEX(编号表!$D:$D,MATCH(AG1197,编号表!$C:$C,0))*1000+F1197</f>
        <v>11558004</v>
      </c>
      <c r="C1197" s="14" t="s">
        <v>1358</v>
      </c>
      <c r="D1197" s="14" t="s">
        <v>333</v>
      </c>
      <c r="E1197" s="14" t="s">
        <v>1231</v>
      </c>
      <c r="F1197" s="14">
        <v>4</v>
      </c>
      <c r="G1197" s="14">
        <v>60</v>
      </c>
      <c r="H1197" s="31" t="s">
        <v>228</v>
      </c>
      <c r="I1197" s="14" t="s">
        <v>75</v>
      </c>
      <c r="J1197" s="14" t="s">
        <v>201</v>
      </c>
      <c r="K1197" s="14">
        <v>1</v>
      </c>
      <c r="L1197" s="14" t="s">
        <v>213</v>
      </c>
      <c r="N1197" s="14">
        <v>0</v>
      </c>
      <c r="O1197" s="14" t="b">
        <v>1</v>
      </c>
      <c r="Q1197" s="14" t="b">
        <v>0</v>
      </c>
      <c r="R1197" s="14">
        <v>1</v>
      </c>
      <c r="S1197" s="14" t="s">
        <v>77</v>
      </c>
      <c r="T1197" s="14">
        <v>999</v>
      </c>
      <c r="U1197" s="14" t="s">
        <v>214</v>
      </c>
      <c r="V1197" s="14">
        <v>31558004</v>
      </c>
      <c r="X1197" s="14" t="s">
        <v>204</v>
      </c>
      <c r="Y1197" s="14" t="s">
        <v>215</v>
      </c>
      <c r="Z1197" s="14">
        <v>20001</v>
      </c>
      <c r="AA1197" s="14" t="s">
        <v>205</v>
      </c>
      <c r="AB1197" s="14">
        <v>40001</v>
      </c>
      <c r="AE1197" s="29" t="s">
        <v>121</v>
      </c>
      <c r="AF1197" s="14" t="s">
        <v>213</v>
      </c>
      <c r="AG1197" s="14" t="s">
        <v>1231</v>
      </c>
    </row>
    <row r="1198" spans="2:33">
      <c r="B1198" s="14">
        <f>10000000+INDEX(编号表!$B:$B,MATCH(H1198,编号表!$A:$A,0))*100000+INDEX(编号表!$F:$F,MATCH(D1198,编号表!$E:$E,0))*10000+INDEX(编号表!$D:$D,MATCH(AG1198,编号表!$C:$C,0))*1000+F1198</f>
        <v>11558005</v>
      </c>
      <c r="C1198" s="14" t="s">
        <v>1359</v>
      </c>
      <c r="D1198" s="14" t="s">
        <v>333</v>
      </c>
      <c r="E1198" s="14" t="s">
        <v>1231</v>
      </c>
      <c r="F1198" s="14">
        <v>5</v>
      </c>
      <c r="G1198" s="14">
        <v>60</v>
      </c>
      <c r="H1198" s="31" t="s">
        <v>228</v>
      </c>
      <c r="I1198" s="14" t="s">
        <v>75</v>
      </c>
      <c r="J1198" s="14" t="s">
        <v>201</v>
      </c>
      <c r="K1198" s="14">
        <v>1</v>
      </c>
      <c r="L1198" s="14" t="s">
        <v>213</v>
      </c>
      <c r="N1198" s="14">
        <v>0</v>
      </c>
      <c r="O1198" s="14" t="b">
        <v>1</v>
      </c>
      <c r="Q1198" s="14" t="b">
        <v>0</v>
      </c>
      <c r="R1198" s="14">
        <v>1</v>
      </c>
      <c r="S1198" s="14" t="s">
        <v>77</v>
      </c>
      <c r="T1198" s="14">
        <v>999</v>
      </c>
      <c r="U1198" s="14" t="s">
        <v>214</v>
      </c>
      <c r="V1198" s="14">
        <v>31558005</v>
      </c>
      <c r="X1198" s="14" t="s">
        <v>204</v>
      </c>
      <c r="Y1198" s="14" t="s">
        <v>215</v>
      </c>
      <c r="Z1198" s="14">
        <v>20001</v>
      </c>
      <c r="AA1198" s="14" t="s">
        <v>205</v>
      </c>
      <c r="AB1198" s="14">
        <v>40001</v>
      </c>
      <c r="AE1198" s="29" t="s">
        <v>121</v>
      </c>
      <c r="AF1198" s="14" t="s">
        <v>213</v>
      </c>
      <c r="AG1198" s="14" t="s">
        <v>1231</v>
      </c>
    </row>
    <row r="1199" spans="2:33">
      <c r="B1199" s="14">
        <f>10000000+INDEX(编号表!$B:$B,MATCH(H1199,编号表!$A:$A,0))*100000+INDEX(编号表!$F:$F,MATCH(D1199,编号表!$E:$E,0))*10000+INDEX(编号表!$D:$D,MATCH(AG1199,编号表!$C:$C,0))*1000+F1199</f>
        <v>11558006</v>
      </c>
      <c r="C1199" s="14" t="s">
        <v>1360</v>
      </c>
      <c r="D1199" s="14" t="s">
        <v>333</v>
      </c>
      <c r="E1199" s="14" t="s">
        <v>1231</v>
      </c>
      <c r="F1199" s="14">
        <v>6</v>
      </c>
      <c r="G1199" s="14">
        <v>60</v>
      </c>
      <c r="H1199" s="31" t="s">
        <v>228</v>
      </c>
      <c r="I1199" s="14" t="s">
        <v>75</v>
      </c>
      <c r="J1199" s="14" t="s">
        <v>201</v>
      </c>
      <c r="K1199" s="14">
        <v>1</v>
      </c>
      <c r="L1199" s="14" t="s">
        <v>213</v>
      </c>
      <c r="N1199" s="14">
        <v>0</v>
      </c>
      <c r="O1199" s="14" t="b">
        <v>1</v>
      </c>
      <c r="Q1199" s="14" t="b">
        <v>0</v>
      </c>
      <c r="R1199" s="14">
        <v>1</v>
      </c>
      <c r="S1199" s="14" t="s">
        <v>77</v>
      </c>
      <c r="T1199" s="14">
        <v>999</v>
      </c>
      <c r="U1199" s="14" t="s">
        <v>214</v>
      </c>
      <c r="V1199" s="14">
        <v>31558006</v>
      </c>
      <c r="X1199" s="14" t="s">
        <v>204</v>
      </c>
      <c r="Y1199" s="14" t="s">
        <v>215</v>
      </c>
      <c r="Z1199" s="14">
        <v>20001</v>
      </c>
      <c r="AA1199" s="14" t="s">
        <v>205</v>
      </c>
      <c r="AB1199" s="14">
        <v>40001</v>
      </c>
      <c r="AE1199" s="29" t="s">
        <v>121</v>
      </c>
      <c r="AF1199" s="14" t="s">
        <v>213</v>
      </c>
      <c r="AG1199" s="14" t="s">
        <v>1231</v>
      </c>
    </row>
    <row r="1200" spans="2:33">
      <c r="B1200" s="14">
        <f>10000000+INDEX(编号表!$B:$B,MATCH(H1200,编号表!$A:$A,0))*100000+INDEX(编号表!$F:$F,MATCH(D1200,编号表!$E:$E,0))*10000+INDEX(编号表!$D:$D,MATCH(AG1200,编号表!$C:$C,0))*1000+F1200</f>
        <v>11558007</v>
      </c>
      <c r="C1200" s="14" t="s">
        <v>1361</v>
      </c>
      <c r="D1200" s="14" t="s">
        <v>333</v>
      </c>
      <c r="E1200" s="14" t="s">
        <v>1231</v>
      </c>
      <c r="F1200" s="14">
        <v>7</v>
      </c>
      <c r="G1200" s="14">
        <v>60</v>
      </c>
      <c r="H1200" s="31" t="s">
        <v>228</v>
      </c>
      <c r="I1200" s="14" t="s">
        <v>75</v>
      </c>
      <c r="J1200" s="14" t="s">
        <v>201</v>
      </c>
      <c r="K1200" s="14">
        <v>1</v>
      </c>
      <c r="L1200" s="14" t="s">
        <v>213</v>
      </c>
      <c r="N1200" s="14">
        <v>0</v>
      </c>
      <c r="O1200" s="14" t="b">
        <v>1</v>
      </c>
      <c r="Q1200" s="14" t="b">
        <v>0</v>
      </c>
      <c r="R1200" s="14">
        <v>1</v>
      </c>
      <c r="S1200" s="14" t="s">
        <v>77</v>
      </c>
      <c r="T1200" s="14">
        <v>999</v>
      </c>
      <c r="U1200" s="14" t="s">
        <v>214</v>
      </c>
      <c r="V1200" s="14">
        <v>31558007</v>
      </c>
      <c r="X1200" s="14" t="s">
        <v>204</v>
      </c>
      <c r="Y1200" s="14" t="s">
        <v>215</v>
      </c>
      <c r="Z1200" s="14">
        <v>20001</v>
      </c>
      <c r="AA1200" s="14" t="s">
        <v>205</v>
      </c>
      <c r="AB1200" s="14">
        <v>40001</v>
      </c>
      <c r="AE1200" s="29" t="s">
        <v>121</v>
      </c>
      <c r="AF1200" s="14" t="s">
        <v>213</v>
      </c>
      <c r="AG1200" s="14" t="s">
        <v>1231</v>
      </c>
    </row>
    <row r="1201" spans="2:33">
      <c r="B1201" s="14">
        <f>10000000+INDEX(编号表!$B:$B,MATCH(H1201,编号表!$A:$A,0))*100000+INDEX(编号表!$F:$F,MATCH(D1201,编号表!$E:$E,0))*10000+INDEX(编号表!$D:$D,MATCH(AG1201,编号表!$C:$C,0))*1000+F1201</f>
        <v>11558008</v>
      </c>
      <c r="C1201" s="14" t="s">
        <v>1362</v>
      </c>
      <c r="D1201" s="14" t="s">
        <v>333</v>
      </c>
      <c r="E1201" s="14" t="s">
        <v>1231</v>
      </c>
      <c r="F1201" s="14">
        <v>8</v>
      </c>
      <c r="G1201" s="14">
        <v>60</v>
      </c>
      <c r="H1201" s="31" t="s">
        <v>228</v>
      </c>
      <c r="I1201" s="14" t="s">
        <v>75</v>
      </c>
      <c r="J1201" s="14" t="s">
        <v>201</v>
      </c>
      <c r="K1201" s="14">
        <v>1</v>
      </c>
      <c r="L1201" s="14" t="s">
        <v>213</v>
      </c>
      <c r="N1201" s="14">
        <v>0</v>
      </c>
      <c r="O1201" s="14" t="b">
        <v>1</v>
      </c>
      <c r="Q1201" s="14" t="b">
        <v>0</v>
      </c>
      <c r="R1201" s="14">
        <v>1</v>
      </c>
      <c r="S1201" s="14" t="s">
        <v>77</v>
      </c>
      <c r="T1201" s="14">
        <v>999</v>
      </c>
      <c r="U1201" s="14" t="s">
        <v>214</v>
      </c>
      <c r="V1201" s="14">
        <v>31558008</v>
      </c>
      <c r="X1201" s="14" t="s">
        <v>204</v>
      </c>
      <c r="Y1201" s="14" t="s">
        <v>215</v>
      </c>
      <c r="Z1201" s="14">
        <v>20001</v>
      </c>
      <c r="AA1201" s="14" t="s">
        <v>205</v>
      </c>
      <c r="AB1201" s="14">
        <v>40001</v>
      </c>
      <c r="AE1201" s="29" t="s">
        <v>121</v>
      </c>
      <c r="AF1201" s="14" t="s">
        <v>213</v>
      </c>
      <c r="AG1201" s="14" t="s">
        <v>1231</v>
      </c>
    </row>
    <row r="1202" spans="2:33">
      <c r="B1202" s="14">
        <f>10000000+INDEX(编号表!$B:$B,MATCH(H1202,编号表!$A:$A,0))*100000+INDEX(编号表!$F:$F,MATCH(D1202,编号表!$E:$E,0))*10000+INDEX(编号表!$D:$D,MATCH(AG1202,编号表!$C:$C,0))*1000+F1202</f>
        <v>11558009</v>
      </c>
      <c r="C1202" s="14" t="s">
        <v>1363</v>
      </c>
      <c r="D1202" s="14" t="s">
        <v>333</v>
      </c>
      <c r="E1202" s="14" t="s">
        <v>1231</v>
      </c>
      <c r="F1202" s="14">
        <v>9</v>
      </c>
      <c r="G1202" s="14">
        <v>60</v>
      </c>
      <c r="H1202" s="31" t="s">
        <v>228</v>
      </c>
      <c r="I1202" s="14" t="s">
        <v>75</v>
      </c>
      <c r="J1202" s="14" t="s">
        <v>201</v>
      </c>
      <c r="K1202" s="14">
        <v>1</v>
      </c>
      <c r="L1202" s="14" t="s">
        <v>213</v>
      </c>
      <c r="N1202" s="14">
        <v>0</v>
      </c>
      <c r="O1202" s="14" t="b">
        <v>1</v>
      </c>
      <c r="Q1202" s="14" t="b">
        <v>0</v>
      </c>
      <c r="R1202" s="14">
        <v>1</v>
      </c>
      <c r="S1202" s="14" t="s">
        <v>77</v>
      </c>
      <c r="T1202" s="14">
        <v>999</v>
      </c>
      <c r="U1202" s="14" t="s">
        <v>214</v>
      </c>
      <c r="V1202" s="14">
        <v>31558009</v>
      </c>
      <c r="X1202" s="14" t="s">
        <v>204</v>
      </c>
      <c r="Y1202" s="14" t="s">
        <v>215</v>
      </c>
      <c r="Z1202" s="14">
        <v>20001</v>
      </c>
      <c r="AA1202" s="14" t="s">
        <v>205</v>
      </c>
      <c r="AB1202" s="14">
        <v>40001</v>
      </c>
      <c r="AE1202" s="29" t="s">
        <v>121</v>
      </c>
      <c r="AF1202" s="14" t="s">
        <v>213</v>
      </c>
      <c r="AG1202" s="14" t="s">
        <v>1231</v>
      </c>
    </row>
    <row r="1203" spans="2:33">
      <c r="B1203" s="14">
        <f>10000000+INDEX(编号表!$B:$B,MATCH(H1203,编号表!$A:$A,0))*100000+INDEX(编号表!$F:$F,MATCH(D1203,编号表!$E:$E,0))*10000+INDEX(编号表!$D:$D,MATCH(AG1203,编号表!$C:$C,0))*1000+F1203</f>
        <v>11458000</v>
      </c>
      <c r="C1203" s="14" t="s">
        <v>1364</v>
      </c>
      <c r="D1203" s="14" t="s">
        <v>333</v>
      </c>
      <c r="E1203" s="14" t="s">
        <v>1231</v>
      </c>
      <c r="F1203" s="14">
        <v>0</v>
      </c>
      <c r="G1203" s="14">
        <v>60</v>
      </c>
      <c r="H1203" s="31" t="s">
        <v>239</v>
      </c>
      <c r="I1203" s="14" t="s">
        <v>75</v>
      </c>
      <c r="J1203" s="14" t="s">
        <v>201</v>
      </c>
      <c r="K1203" s="14">
        <v>1</v>
      </c>
      <c r="L1203" s="14" t="s">
        <v>213</v>
      </c>
      <c r="N1203" s="14">
        <v>0</v>
      </c>
      <c r="O1203" s="14" t="b">
        <v>1</v>
      </c>
      <c r="Q1203" s="14" t="b">
        <v>0</v>
      </c>
      <c r="R1203" s="14">
        <v>1</v>
      </c>
      <c r="S1203" s="14" t="s">
        <v>77</v>
      </c>
      <c r="T1203" s="14">
        <v>999</v>
      </c>
      <c r="U1203" s="14" t="s">
        <v>214</v>
      </c>
      <c r="V1203" s="14">
        <v>31458000</v>
      </c>
      <c r="X1203" s="14" t="s">
        <v>204</v>
      </c>
      <c r="Y1203" s="14" t="s">
        <v>215</v>
      </c>
      <c r="Z1203" s="14">
        <v>20001</v>
      </c>
      <c r="AA1203" s="14" t="s">
        <v>205</v>
      </c>
      <c r="AB1203" s="14">
        <v>40001</v>
      </c>
      <c r="AE1203" s="29" t="s">
        <v>121</v>
      </c>
      <c r="AF1203" s="14" t="s">
        <v>213</v>
      </c>
      <c r="AG1203" s="14" t="s">
        <v>1231</v>
      </c>
    </row>
    <row r="1204" spans="2:33">
      <c r="B1204" s="14">
        <f>10000000+INDEX(编号表!$B:$B,MATCH(H1204,编号表!$A:$A,0))*100000+INDEX(编号表!$F:$F,MATCH(D1204,编号表!$E:$E,0))*10000+INDEX(编号表!$D:$D,MATCH(AG1204,编号表!$C:$C,0))*1000+F1204</f>
        <v>11458001</v>
      </c>
      <c r="C1204" s="14" t="s">
        <v>1365</v>
      </c>
      <c r="D1204" s="14" t="s">
        <v>333</v>
      </c>
      <c r="E1204" s="14" t="s">
        <v>1231</v>
      </c>
      <c r="F1204" s="14">
        <v>1</v>
      </c>
      <c r="G1204" s="14">
        <v>60</v>
      </c>
      <c r="H1204" s="31" t="s">
        <v>239</v>
      </c>
      <c r="I1204" s="14" t="s">
        <v>75</v>
      </c>
      <c r="J1204" s="14" t="s">
        <v>201</v>
      </c>
      <c r="K1204" s="14">
        <v>1</v>
      </c>
      <c r="L1204" s="14" t="s">
        <v>213</v>
      </c>
      <c r="N1204" s="14">
        <v>0</v>
      </c>
      <c r="O1204" s="14" t="b">
        <v>1</v>
      </c>
      <c r="Q1204" s="14" t="b">
        <v>0</v>
      </c>
      <c r="R1204" s="14">
        <v>1</v>
      </c>
      <c r="S1204" s="14" t="s">
        <v>77</v>
      </c>
      <c r="T1204" s="14">
        <v>999</v>
      </c>
      <c r="U1204" s="14" t="s">
        <v>214</v>
      </c>
      <c r="V1204" s="14">
        <v>31458001</v>
      </c>
      <c r="X1204" s="14" t="s">
        <v>204</v>
      </c>
      <c r="Y1204" s="14" t="s">
        <v>215</v>
      </c>
      <c r="Z1204" s="14">
        <v>20001</v>
      </c>
      <c r="AA1204" s="14" t="s">
        <v>205</v>
      </c>
      <c r="AB1204" s="14">
        <v>40001</v>
      </c>
      <c r="AE1204" s="29" t="s">
        <v>121</v>
      </c>
      <c r="AF1204" s="14" t="s">
        <v>213</v>
      </c>
      <c r="AG1204" s="14" t="s">
        <v>1231</v>
      </c>
    </row>
    <row r="1205" spans="2:33">
      <c r="B1205" s="14">
        <f>10000000+INDEX(编号表!$B:$B,MATCH(H1205,编号表!$A:$A,0))*100000+INDEX(编号表!$F:$F,MATCH(D1205,编号表!$E:$E,0))*10000+INDEX(编号表!$D:$D,MATCH(AG1205,编号表!$C:$C,0))*1000+F1205</f>
        <v>11458002</v>
      </c>
      <c r="C1205" s="14" t="s">
        <v>1366</v>
      </c>
      <c r="D1205" s="14" t="s">
        <v>333</v>
      </c>
      <c r="E1205" s="14" t="s">
        <v>1231</v>
      </c>
      <c r="F1205" s="14">
        <v>2</v>
      </c>
      <c r="G1205" s="14">
        <v>60</v>
      </c>
      <c r="H1205" s="31" t="s">
        <v>239</v>
      </c>
      <c r="I1205" s="14" t="s">
        <v>75</v>
      </c>
      <c r="J1205" s="14" t="s">
        <v>201</v>
      </c>
      <c r="K1205" s="14">
        <v>1</v>
      </c>
      <c r="L1205" s="14" t="s">
        <v>213</v>
      </c>
      <c r="N1205" s="14">
        <v>0</v>
      </c>
      <c r="O1205" s="14" t="b">
        <v>1</v>
      </c>
      <c r="Q1205" s="14" t="b">
        <v>0</v>
      </c>
      <c r="R1205" s="14">
        <v>1</v>
      </c>
      <c r="S1205" s="14" t="s">
        <v>77</v>
      </c>
      <c r="T1205" s="14">
        <v>999</v>
      </c>
      <c r="U1205" s="14" t="s">
        <v>214</v>
      </c>
      <c r="V1205" s="14">
        <v>31458002</v>
      </c>
      <c r="X1205" s="14" t="s">
        <v>204</v>
      </c>
      <c r="Y1205" s="14" t="s">
        <v>215</v>
      </c>
      <c r="Z1205" s="14">
        <v>20001</v>
      </c>
      <c r="AA1205" s="14" t="s">
        <v>205</v>
      </c>
      <c r="AB1205" s="14">
        <v>40001</v>
      </c>
      <c r="AE1205" s="29" t="s">
        <v>121</v>
      </c>
      <c r="AF1205" s="14" t="s">
        <v>213</v>
      </c>
      <c r="AG1205" s="14" t="s">
        <v>1231</v>
      </c>
    </row>
    <row r="1206" spans="2:33">
      <c r="B1206" s="14">
        <f>10000000+INDEX(编号表!$B:$B,MATCH(H1206,编号表!$A:$A,0))*100000+INDEX(编号表!$F:$F,MATCH(D1206,编号表!$E:$E,0))*10000+INDEX(编号表!$D:$D,MATCH(AG1206,编号表!$C:$C,0))*1000+F1206</f>
        <v>11458003</v>
      </c>
      <c r="C1206" s="14" t="s">
        <v>1367</v>
      </c>
      <c r="D1206" s="14" t="s">
        <v>333</v>
      </c>
      <c r="E1206" s="14" t="s">
        <v>1231</v>
      </c>
      <c r="F1206" s="14">
        <v>3</v>
      </c>
      <c r="G1206" s="14">
        <v>60</v>
      </c>
      <c r="H1206" s="31" t="s">
        <v>239</v>
      </c>
      <c r="I1206" s="14" t="s">
        <v>75</v>
      </c>
      <c r="J1206" s="14" t="s">
        <v>201</v>
      </c>
      <c r="K1206" s="14">
        <v>1</v>
      </c>
      <c r="L1206" s="14" t="s">
        <v>213</v>
      </c>
      <c r="N1206" s="14">
        <v>0</v>
      </c>
      <c r="O1206" s="14" t="b">
        <v>1</v>
      </c>
      <c r="Q1206" s="14" t="b">
        <v>0</v>
      </c>
      <c r="R1206" s="14">
        <v>1</v>
      </c>
      <c r="S1206" s="14" t="s">
        <v>77</v>
      </c>
      <c r="T1206" s="14">
        <v>999</v>
      </c>
      <c r="U1206" s="14" t="s">
        <v>214</v>
      </c>
      <c r="V1206" s="14">
        <v>31458003</v>
      </c>
      <c r="X1206" s="14" t="s">
        <v>204</v>
      </c>
      <c r="Y1206" s="14" t="s">
        <v>215</v>
      </c>
      <c r="Z1206" s="14">
        <v>20001</v>
      </c>
      <c r="AA1206" s="14" t="s">
        <v>205</v>
      </c>
      <c r="AB1206" s="14">
        <v>40001</v>
      </c>
      <c r="AE1206" s="29" t="s">
        <v>121</v>
      </c>
      <c r="AF1206" s="14" t="s">
        <v>213</v>
      </c>
      <c r="AG1206" s="14" t="s">
        <v>1231</v>
      </c>
    </row>
    <row r="1207" spans="2:33">
      <c r="B1207" s="14">
        <f>10000000+INDEX(编号表!$B:$B,MATCH(H1207,编号表!$A:$A,0))*100000+INDEX(编号表!$F:$F,MATCH(D1207,编号表!$E:$E,0))*10000+INDEX(编号表!$D:$D,MATCH(AG1207,编号表!$C:$C,0))*1000+F1207</f>
        <v>11658000</v>
      </c>
      <c r="C1207" s="14" t="s">
        <v>1368</v>
      </c>
      <c r="D1207" s="14" t="s">
        <v>333</v>
      </c>
      <c r="E1207" s="14" t="s">
        <v>1231</v>
      </c>
      <c r="F1207" s="14">
        <v>0</v>
      </c>
      <c r="G1207" s="14">
        <v>60</v>
      </c>
      <c r="H1207" s="31" t="s">
        <v>244</v>
      </c>
      <c r="I1207" s="14" t="s">
        <v>75</v>
      </c>
      <c r="J1207" s="14" t="s">
        <v>201</v>
      </c>
      <c r="K1207" s="14">
        <v>1</v>
      </c>
      <c r="L1207" s="14" t="s">
        <v>213</v>
      </c>
      <c r="N1207" s="14">
        <v>0</v>
      </c>
      <c r="O1207" s="14" t="b">
        <v>1</v>
      </c>
      <c r="Q1207" s="14" t="b">
        <v>0</v>
      </c>
      <c r="R1207" s="14">
        <v>1</v>
      </c>
      <c r="S1207" s="14" t="s">
        <v>77</v>
      </c>
      <c r="T1207" s="14">
        <v>999</v>
      </c>
      <c r="U1207" s="14" t="s">
        <v>214</v>
      </c>
      <c r="V1207" s="14">
        <v>31658000</v>
      </c>
      <c r="X1207" s="14" t="s">
        <v>204</v>
      </c>
      <c r="Y1207" s="14" t="s">
        <v>215</v>
      </c>
      <c r="Z1207" s="14">
        <v>20001</v>
      </c>
      <c r="AA1207" s="14" t="s">
        <v>205</v>
      </c>
      <c r="AB1207" s="14">
        <v>40001</v>
      </c>
      <c r="AE1207" s="29" t="s">
        <v>121</v>
      </c>
      <c r="AF1207" s="14" t="s">
        <v>213</v>
      </c>
      <c r="AG1207" s="14" t="s">
        <v>1231</v>
      </c>
    </row>
    <row r="1208" spans="2:33">
      <c r="B1208" s="14">
        <f>10000000+INDEX(编号表!$B:$B,MATCH(H1208,编号表!$A:$A,0))*100000+INDEX(编号表!$F:$F,MATCH(D1208,编号表!$E:$E,0))*10000+INDEX(编号表!$D:$D,MATCH(AG1208,编号表!$C:$C,0))*1000+F1208</f>
        <v>11658001</v>
      </c>
      <c r="C1208" s="14" t="s">
        <v>1369</v>
      </c>
      <c r="D1208" s="14" t="s">
        <v>333</v>
      </c>
      <c r="E1208" s="14" t="s">
        <v>1231</v>
      </c>
      <c r="F1208" s="14">
        <v>1</v>
      </c>
      <c r="G1208" s="14">
        <v>60</v>
      </c>
      <c r="H1208" s="31" t="s">
        <v>244</v>
      </c>
      <c r="I1208" s="14" t="s">
        <v>75</v>
      </c>
      <c r="J1208" s="14" t="s">
        <v>201</v>
      </c>
      <c r="K1208" s="14">
        <v>1</v>
      </c>
      <c r="L1208" s="14" t="s">
        <v>213</v>
      </c>
      <c r="N1208" s="14">
        <v>0</v>
      </c>
      <c r="O1208" s="14" t="b">
        <v>1</v>
      </c>
      <c r="Q1208" s="14" t="b">
        <v>0</v>
      </c>
      <c r="R1208" s="14">
        <v>1</v>
      </c>
      <c r="S1208" s="14" t="s">
        <v>77</v>
      </c>
      <c r="T1208" s="14">
        <v>999</v>
      </c>
      <c r="U1208" s="14" t="s">
        <v>214</v>
      </c>
      <c r="V1208" s="14">
        <v>31658001</v>
      </c>
      <c r="X1208" s="14" t="s">
        <v>204</v>
      </c>
      <c r="Y1208" s="14" t="s">
        <v>215</v>
      </c>
      <c r="Z1208" s="14">
        <v>20001</v>
      </c>
      <c r="AA1208" s="14" t="s">
        <v>205</v>
      </c>
      <c r="AB1208" s="14">
        <v>40001</v>
      </c>
      <c r="AE1208" s="29" t="s">
        <v>121</v>
      </c>
      <c r="AF1208" s="14" t="s">
        <v>213</v>
      </c>
      <c r="AG1208" s="14" t="s">
        <v>1231</v>
      </c>
    </row>
    <row r="1209" spans="2:33">
      <c r="B1209" s="14">
        <f>10000000+INDEX(编号表!$B:$B,MATCH(H1209,编号表!$A:$A,0))*100000+INDEX(编号表!$F:$F,MATCH(D1209,编号表!$E:$E,0))*10000+INDEX(编号表!$D:$D,MATCH(AG1209,编号表!$C:$C,0))*1000+F1209</f>
        <v>11658002</v>
      </c>
      <c r="C1209" s="14" t="s">
        <v>1370</v>
      </c>
      <c r="D1209" s="14" t="s">
        <v>333</v>
      </c>
      <c r="E1209" s="14" t="s">
        <v>1231</v>
      </c>
      <c r="F1209" s="14">
        <v>2</v>
      </c>
      <c r="G1209" s="14">
        <v>60</v>
      </c>
      <c r="H1209" s="31" t="s">
        <v>244</v>
      </c>
      <c r="I1209" s="14" t="s">
        <v>75</v>
      </c>
      <c r="J1209" s="14" t="s">
        <v>201</v>
      </c>
      <c r="K1209" s="14">
        <v>1</v>
      </c>
      <c r="L1209" s="14" t="s">
        <v>213</v>
      </c>
      <c r="N1209" s="14">
        <v>0</v>
      </c>
      <c r="O1209" s="14" t="b">
        <v>1</v>
      </c>
      <c r="Q1209" s="14" t="b">
        <v>0</v>
      </c>
      <c r="R1209" s="14">
        <v>1</v>
      </c>
      <c r="S1209" s="14" t="s">
        <v>77</v>
      </c>
      <c r="T1209" s="14">
        <v>999</v>
      </c>
      <c r="U1209" s="14" t="s">
        <v>214</v>
      </c>
      <c r="V1209" s="14">
        <v>31658002</v>
      </c>
      <c r="X1209" s="14" t="s">
        <v>204</v>
      </c>
      <c r="Y1209" s="14" t="s">
        <v>215</v>
      </c>
      <c r="Z1209" s="14">
        <v>20001</v>
      </c>
      <c r="AA1209" s="14" t="s">
        <v>205</v>
      </c>
      <c r="AB1209" s="14">
        <v>40001</v>
      </c>
      <c r="AE1209" s="29" t="s">
        <v>121</v>
      </c>
      <c r="AF1209" s="14" t="s">
        <v>213</v>
      </c>
      <c r="AG1209" s="14" t="s">
        <v>1231</v>
      </c>
    </row>
    <row r="1210" spans="2:33">
      <c r="B1210" s="14">
        <f>10000000+INDEX(编号表!$B:$B,MATCH(H1210,编号表!$A:$A,0))*100000+INDEX(编号表!$F:$F,MATCH(D1210,编号表!$E:$E,0))*10000+INDEX(编号表!$D:$D,MATCH(AG1210,编号表!$C:$C,0))*1000+F1210</f>
        <v>11268000</v>
      </c>
      <c r="C1210" s="14" t="s">
        <v>1371</v>
      </c>
      <c r="D1210" s="14" t="s">
        <v>362</v>
      </c>
      <c r="E1210" s="14" t="s">
        <v>1231</v>
      </c>
      <c r="F1210" s="14">
        <v>0</v>
      </c>
      <c r="G1210" s="14">
        <v>60</v>
      </c>
      <c r="H1210" s="31" t="s">
        <v>212</v>
      </c>
      <c r="I1210" s="14" t="s">
        <v>75</v>
      </c>
      <c r="J1210" s="14" t="s">
        <v>201</v>
      </c>
      <c r="K1210" s="14">
        <v>1</v>
      </c>
      <c r="L1210" s="14" t="s">
        <v>213</v>
      </c>
      <c r="N1210" s="14">
        <v>0</v>
      </c>
      <c r="O1210" s="14" t="b">
        <v>1</v>
      </c>
      <c r="Q1210" s="14" t="b">
        <v>0</v>
      </c>
      <c r="R1210" s="14">
        <v>1</v>
      </c>
      <c r="S1210" s="14" t="s">
        <v>77</v>
      </c>
      <c r="T1210" s="14">
        <v>999</v>
      </c>
      <c r="U1210" s="14" t="s">
        <v>214</v>
      </c>
      <c r="V1210" s="14">
        <v>31268000</v>
      </c>
      <c r="X1210" s="14" t="s">
        <v>204</v>
      </c>
      <c r="Y1210" s="14" t="s">
        <v>215</v>
      </c>
      <c r="Z1210" s="14">
        <v>20001</v>
      </c>
      <c r="AA1210" s="14" t="s">
        <v>205</v>
      </c>
      <c r="AB1210" s="14">
        <v>40001</v>
      </c>
      <c r="AE1210" s="29" t="s">
        <v>121</v>
      </c>
      <c r="AF1210" s="14" t="s">
        <v>213</v>
      </c>
      <c r="AG1210" s="14" t="s">
        <v>1231</v>
      </c>
    </row>
    <row r="1211" spans="2:33">
      <c r="B1211" s="14">
        <f>10000000+INDEX(编号表!$B:$B,MATCH(H1211,编号表!$A:$A,0))*100000+INDEX(编号表!$F:$F,MATCH(D1211,编号表!$E:$E,0))*10000+INDEX(编号表!$D:$D,MATCH(AG1211,编号表!$C:$C,0))*1000+F1211</f>
        <v>11368000</v>
      </c>
      <c r="C1211" s="14" t="s">
        <v>1372</v>
      </c>
      <c r="D1211" s="14" t="s">
        <v>362</v>
      </c>
      <c r="E1211" s="14" t="s">
        <v>1231</v>
      </c>
      <c r="F1211" s="14">
        <v>0</v>
      </c>
      <c r="G1211" s="14">
        <v>60</v>
      </c>
      <c r="H1211" s="31" t="s">
        <v>217</v>
      </c>
      <c r="I1211" s="14" t="s">
        <v>75</v>
      </c>
      <c r="J1211" s="14" t="s">
        <v>201</v>
      </c>
      <c r="K1211" s="14">
        <v>1</v>
      </c>
      <c r="L1211" s="14" t="s">
        <v>213</v>
      </c>
      <c r="N1211" s="14">
        <v>0</v>
      </c>
      <c r="O1211" s="14" t="b">
        <v>1</v>
      </c>
      <c r="Q1211" s="14" t="b">
        <v>0</v>
      </c>
      <c r="R1211" s="14">
        <v>1</v>
      </c>
      <c r="S1211" s="14" t="s">
        <v>77</v>
      </c>
      <c r="T1211" s="14">
        <v>999</v>
      </c>
      <c r="U1211" s="14" t="s">
        <v>214</v>
      </c>
      <c r="V1211" s="14">
        <v>31368000</v>
      </c>
      <c r="X1211" s="14" t="s">
        <v>204</v>
      </c>
      <c r="Y1211" s="14" t="s">
        <v>215</v>
      </c>
      <c r="Z1211" s="14">
        <v>20001</v>
      </c>
      <c r="AA1211" s="14" t="s">
        <v>205</v>
      </c>
      <c r="AB1211" s="14">
        <v>40001</v>
      </c>
      <c r="AE1211" s="29" t="s">
        <v>121</v>
      </c>
      <c r="AF1211" s="14" t="s">
        <v>213</v>
      </c>
      <c r="AG1211" s="14" t="s">
        <v>1231</v>
      </c>
    </row>
    <row r="1212" spans="2:33">
      <c r="B1212" s="14">
        <f>10000000+INDEX(编号表!$B:$B,MATCH(H1212,编号表!$A:$A,0))*100000+INDEX(编号表!$F:$F,MATCH(D1212,编号表!$E:$E,0))*10000+INDEX(编号表!$D:$D,MATCH(AG1212,编号表!$C:$C,0))*1000+F1212</f>
        <v>11368001</v>
      </c>
      <c r="C1212" s="14" t="s">
        <v>1373</v>
      </c>
      <c r="D1212" s="14" t="s">
        <v>362</v>
      </c>
      <c r="E1212" s="14" t="s">
        <v>1231</v>
      </c>
      <c r="F1212" s="14">
        <v>1</v>
      </c>
      <c r="G1212" s="14">
        <v>60</v>
      </c>
      <c r="H1212" s="31" t="s">
        <v>217</v>
      </c>
      <c r="I1212" s="14" t="s">
        <v>75</v>
      </c>
      <c r="J1212" s="14" t="s">
        <v>201</v>
      </c>
      <c r="K1212" s="14">
        <v>1</v>
      </c>
      <c r="L1212" s="14" t="s">
        <v>213</v>
      </c>
      <c r="N1212" s="14">
        <v>0</v>
      </c>
      <c r="O1212" s="14" t="b">
        <v>1</v>
      </c>
      <c r="Q1212" s="14" t="b">
        <v>0</v>
      </c>
      <c r="R1212" s="14">
        <v>1</v>
      </c>
      <c r="S1212" s="14" t="s">
        <v>77</v>
      </c>
      <c r="T1212" s="14">
        <v>999</v>
      </c>
      <c r="U1212" s="14" t="s">
        <v>214</v>
      </c>
      <c r="V1212" s="14">
        <v>31368001</v>
      </c>
      <c r="X1212" s="14" t="s">
        <v>204</v>
      </c>
      <c r="Y1212" s="14" t="s">
        <v>215</v>
      </c>
      <c r="Z1212" s="14">
        <v>20001</v>
      </c>
      <c r="AA1212" s="14" t="s">
        <v>205</v>
      </c>
      <c r="AB1212" s="14">
        <v>40001</v>
      </c>
      <c r="AE1212" s="29" t="s">
        <v>121</v>
      </c>
      <c r="AF1212" s="14" t="s">
        <v>213</v>
      </c>
      <c r="AG1212" s="14" t="s">
        <v>1231</v>
      </c>
    </row>
    <row r="1213" spans="2:33">
      <c r="B1213" s="14">
        <f>10000000+INDEX(编号表!$B:$B,MATCH(H1213,编号表!$A:$A,0))*100000+INDEX(编号表!$F:$F,MATCH(D1213,编号表!$E:$E,0))*10000+INDEX(编号表!$D:$D,MATCH(AG1213,编号表!$C:$C,0))*1000+F1213</f>
        <v>11368002</v>
      </c>
      <c r="C1213" s="14" t="s">
        <v>1374</v>
      </c>
      <c r="D1213" s="14" t="s">
        <v>362</v>
      </c>
      <c r="E1213" s="14" t="s">
        <v>1231</v>
      </c>
      <c r="F1213" s="14">
        <v>2</v>
      </c>
      <c r="G1213" s="14">
        <v>60</v>
      </c>
      <c r="H1213" s="31" t="s">
        <v>217</v>
      </c>
      <c r="I1213" s="14" t="s">
        <v>75</v>
      </c>
      <c r="J1213" s="14" t="s">
        <v>201</v>
      </c>
      <c r="K1213" s="14">
        <v>1</v>
      </c>
      <c r="L1213" s="14" t="s">
        <v>213</v>
      </c>
      <c r="N1213" s="14">
        <v>0</v>
      </c>
      <c r="O1213" s="14" t="b">
        <v>1</v>
      </c>
      <c r="Q1213" s="14" t="b">
        <v>0</v>
      </c>
      <c r="R1213" s="14">
        <v>1</v>
      </c>
      <c r="S1213" s="14" t="s">
        <v>77</v>
      </c>
      <c r="T1213" s="14">
        <v>999</v>
      </c>
      <c r="U1213" s="14" t="s">
        <v>214</v>
      </c>
      <c r="V1213" s="14">
        <v>31368002</v>
      </c>
      <c r="X1213" s="14" t="s">
        <v>204</v>
      </c>
      <c r="Y1213" s="14" t="s">
        <v>215</v>
      </c>
      <c r="Z1213" s="14">
        <v>20001</v>
      </c>
      <c r="AA1213" s="14" t="s">
        <v>205</v>
      </c>
      <c r="AB1213" s="14">
        <v>40001</v>
      </c>
      <c r="AE1213" s="29" t="s">
        <v>121</v>
      </c>
      <c r="AF1213" s="14" t="s">
        <v>213</v>
      </c>
      <c r="AG1213" s="14" t="s">
        <v>1231</v>
      </c>
    </row>
    <row r="1214" spans="2:33">
      <c r="B1214" s="14">
        <f>10000000+INDEX(编号表!$B:$B,MATCH(H1214,编号表!$A:$A,0))*100000+INDEX(编号表!$F:$F,MATCH(D1214,编号表!$E:$E,0))*10000+INDEX(编号表!$D:$D,MATCH(AG1214,编号表!$C:$C,0))*1000+F1214</f>
        <v>11368003</v>
      </c>
      <c r="C1214" s="14" t="s">
        <v>1375</v>
      </c>
      <c r="D1214" s="14" t="s">
        <v>362</v>
      </c>
      <c r="E1214" s="14" t="s">
        <v>1231</v>
      </c>
      <c r="F1214" s="14">
        <v>3</v>
      </c>
      <c r="G1214" s="14">
        <v>60</v>
      </c>
      <c r="H1214" s="31" t="s">
        <v>217</v>
      </c>
      <c r="I1214" s="14" t="s">
        <v>75</v>
      </c>
      <c r="J1214" s="14" t="s">
        <v>201</v>
      </c>
      <c r="K1214" s="14">
        <v>1</v>
      </c>
      <c r="L1214" s="14" t="s">
        <v>213</v>
      </c>
      <c r="N1214" s="14">
        <v>0</v>
      </c>
      <c r="O1214" s="14" t="b">
        <v>1</v>
      </c>
      <c r="Q1214" s="14" t="b">
        <v>0</v>
      </c>
      <c r="R1214" s="14">
        <v>1</v>
      </c>
      <c r="S1214" s="14" t="s">
        <v>77</v>
      </c>
      <c r="T1214" s="14">
        <v>999</v>
      </c>
      <c r="U1214" s="14" t="s">
        <v>214</v>
      </c>
      <c r="V1214" s="14">
        <v>31368003</v>
      </c>
      <c r="X1214" s="14" t="s">
        <v>204</v>
      </c>
      <c r="Y1214" s="14" t="s">
        <v>215</v>
      </c>
      <c r="Z1214" s="14">
        <v>20001</v>
      </c>
      <c r="AA1214" s="14" t="s">
        <v>205</v>
      </c>
      <c r="AB1214" s="14">
        <v>40001</v>
      </c>
      <c r="AE1214" s="29" t="s">
        <v>121</v>
      </c>
      <c r="AF1214" s="14" t="s">
        <v>213</v>
      </c>
      <c r="AG1214" s="14" t="s">
        <v>1231</v>
      </c>
    </row>
    <row r="1215" spans="2:33">
      <c r="B1215" s="14">
        <f>10000000+INDEX(编号表!$B:$B,MATCH(H1215,编号表!$A:$A,0))*100000+INDEX(编号表!$F:$F,MATCH(D1215,编号表!$E:$E,0))*10000+INDEX(编号表!$D:$D,MATCH(AG1215,编号表!$C:$C,0))*1000+F1215</f>
        <v>11368004</v>
      </c>
      <c r="C1215" s="14" t="s">
        <v>1376</v>
      </c>
      <c r="D1215" s="14" t="s">
        <v>362</v>
      </c>
      <c r="E1215" s="14" t="s">
        <v>1231</v>
      </c>
      <c r="F1215" s="14">
        <v>4</v>
      </c>
      <c r="G1215" s="14">
        <v>60</v>
      </c>
      <c r="H1215" s="31" t="s">
        <v>217</v>
      </c>
      <c r="I1215" s="14" t="s">
        <v>75</v>
      </c>
      <c r="J1215" s="14" t="s">
        <v>201</v>
      </c>
      <c r="K1215" s="14">
        <v>1</v>
      </c>
      <c r="L1215" s="14" t="s">
        <v>213</v>
      </c>
      <c r="N1215" s="14">
        <v>0</v>
      </c>
      <c r="O1215" s="14" t="b">
        <v>1</v>
      </c>
      <c r="Q1215" s="14" t="b">
        <v>0</v>
      </c>
      <c r="R1215" s="14">
        <v>1</v>
      </c>
      <c r="S1215" s="14" t="s">
        <v>77</v>
      </c>
      <c r="T1215" s="14">
        <v>999</v>
      </c>
      <c r="U1215" s="14" t="s">
        <v>214</v>
      </c>
      <c r="V1215" s="14">
        <v>31368004</v>
      </c>
      <c r="X1215" s="14" t="s">
        <v>204</v>
      </c>
      <c r="Y1215" s="14" t="s">
        <v>215</v>
      </c>
      <c r="Z1215" s="14">
        <v>20001</v>
      </c>
      <c r="AA1215" s="14" t="s">
        <v>205</v>
      </c>
      <c r="AB1215" s="14">
        <v>40001</v>
      </c>
      <c r="AE1215" s="29" t="s">
        <v>121</v>
      </c>
      <c r="AF1215" s="14" t="s">
        <v>213</v>
      </c>
      <c r="AG1215" s="14" t="s">
        <v>1231</v>
      </c>
    </row>
    <row r="1216" spans="2:33">
      <c r="B1216" s="14">
        <f>10000000+INDEX(编号表!$B:$B,MATCH(H1216,编号表!$A:$A,0))*100000+INDEX(编号表!$F:$F,MATCH(D1216,编号表!$E:$E,0))*10000+INDEX(编号表!$D:$D,MATCH(AG1216,编号表!$C:$C,0))*1000+F1216</f>
        <v>11368005</v>
      </c>
      <c r="C1216" s="14" t="s">
        <v>1377</v>
      </c>
      <c r="D1216" s="14" t="s">
        <v>362</v>
      </c>
      <c r="E1216" s="14" t="s">
        <v>1231</v>
      </c>
      <c r="F1216" s="14">
        <v>5</v>
      </c>
      <c r="G1216" s="14">
        <v>60</v>
      </c>
      <c r="H1216" s="31" t="s">
        <v>217</v>
      </c>
      <c r="I1216" s="14" t="s">
        <v>75</v>
      </c>
      <c r="J1216" s="14" t="s">
        <v>201</v>
      </c>
      <c r="K1216" s="14">
        <v>1</v>
      </c>
      <c r="L1216" s="14" t="s">
        <v>213</v>
      </c>
      <c r="N1216" s="14">
        <v>0</v>
      </c>
      <c r="O1216" s="14" t="b">
        <v>1</v>
      </c>
      <c r="Q1216" s="14" t="b">
        <v>0</v>
      </c>
      <c r="R1216" s="14">
        <v>1</v>
      </c>
      <c r="S1216" s="14" t="s">
        <v>77</v>
      </c>
      <c r="T1216" s="14">
        <v>999</v>
      </c>
      <c r="U1216" s="14" t="s">
        <v>214</v>
      </c>
      <c r="V1216" s="14">
        <v>31368005</v>
      </c>
      <c r="X1216" s="14" t="s">
        <v>204</v>
      </c>
      <c r="Y1216" s="14" t="s">
        <v>215</v>
      </c>
      <c r="Z1216" s="14">
        <v>20001</v>
      </c>
      <c r="AA1216" s="14" t="s">
        <v>205</v>
      </c>
      <c r="AB1216" s="14">
        <v>40001</v>
      </c>
      <c r="AE1216" s="29" t="s">
        <v>121</v>
      </c>
      <c r="AF1216" s="14" t="s">
        <v>213</v>
      </c>
      <c r="AG1216" s="14" t="s">
        <v>1231</v>
      </c>
    </row>
    <row r="1217" spans="2:33">
      <c r="B1217" s="14">
        <f>10000000+INDEX(编号表!$B:$B,MATCH(H1217,编号表!$A:$A,0))*100000+INDEX(编号表!$F:$F,MATCH(D1217,编号表!$E:$E,0))*10000+INDEX(编号表!$D:$D,MATCH(AG1217,编号表!$C:$C,0))*1000+F1217</f>
        <v>11368006</v>
      </c>
      <c r="C1217" s="14" t="s">
        <v>1378</v>
      </c>
      <c r="D1217" s="14" t="s">
        <v>362</v>
      </c>
      <c r="E1217" s="14" t="s">
        <v>1231</v>
      </c>
      <c r="F1217" s="14">
        <v>6</v>
      </c>
      <c r="G1217" s="14">
        <v>60</v>
      </c>
      <c r="H1217" s="31" t="s">
        <v>217</v>
      </c>
      <c r="I1217" s="14" t="s">
        <v>75</v>
      </c>
      <c r="J1217" s="14" t="s">
        <v>201</v>
      </c>
      <c r="K1217" s="14">
        <v>1</v>
      </c>
      <c r="L1217" s="14" t="s">
        <v>213</v>
      </c>
      <c r="N1217" s="14">
        <v>0</v>
      </c>
      <c r="O1217" s="14" t="b">
        <v>1</v>
      </c>
      <c r="Q1217" s="14" t="b">
        <v>0</v>
      </c>
      <c r="R1217" s="14">
        <v>1</v>
      </c>
      <c r="S1217" s="14" t="s">
        <v>77</v>
      </c>
      <c r="T1217" s="14">
        <v>999</v>
      </c>
      <c r="U1217" s="14" t="s">
        <v>214</v>
      </c>
      <c r="V1217" s="14">
        <v>31368006</v>
      </c>
      <c r="X1217" s="14" t="s">
        <v>204</v>
      </c>
      <c r="Y1217" s="14" t="s">
        <v>215</v>
      </c>
      <c r="Z1217" s="14">
        <v>20001</v>
      </c>
      <c r="AA1217" s="14" t="s">
        <v>205</v>
      </c>
      <c r="AB1217" s="14">
        <v>40001</v>
      </c>
      <c r="AE1217" s="29" t="s">
        <v>121</v>
      </c>
      <c r="AF1217" s="14" t="s">
        <v>213</v>
      </c>
      <c r="AG1217" s="14" t="s">
        <v>1231</v>
      </c>
    </row>
    <row r="1218" spans="2:33">
      <c r="B1218" s="14">
        <f>10000000+INDEX(编号表!$B:$B,MATCH(H1218,编号表!$A:$A,0))*100000+INDEX(编号表!$F:$F,MATCH(D1218,编号表!$E:$E,0))*10000+INDEX(编号表!$D:$D,MATCH(AG1218,编号表!$C:$C,0))*1000+F1218</f>
        <v>11368007</v>
      </c>
      <c r="C1218" s="14" t="s">
        <v>1379</v>
      </c>
      <c r="D1218" s="14" t="s">
        <v>362</v>
      </c>
      <c r="E1218" s="14" t="s">
        <v>1231</v>
      </c>
      <c r="F1218" s="14">
        <v>7</v>
      </c>
      <c r="G1218" s="14">
        <v>60</v>
      </c>
      <c r="H1218" s="31" t="s">
        <v>217</v>
      </c>
      <c r="I1218" s="14" t="s">
        <v>75</v>
      </c>
      <c r="J1218" s="14" t="s">
        <v>201</v>
      </c>
      <c r="K1218" s="14">
        <v>1</v>
      </c>
      <c r="L1218" s="14" t="s">
        <v>213</v>
      </c>
      <c r="N1218" s="14">
        <v>0</v>
      </c>
      <c r="O1218" s="14" t="b">
        <v>1</v>
      </c>
      <c r="Q1218" s="14" t="b">
        <v>0</v>
      </c>
      <c r="R1218" s="14">
        <v>1</v>
      </c>
      <c r="S1218" s="14" t="s">
        <v>77</v>
      </c>
      <c r="T1218" s="14">
        <v>999</v>
      </c>
      <c r="U1218" s="14" t="s">
        <v>214</v>
      </c>
      <c r="V1218" s="14">
        <v>31368007</v>
      </c>
      <c r="X1218" s="14" t="s">
        <v>204</v>
      </c>
      <c r="Y1218" s="14" t="s">
        <v>215</v>
      </c>
      <c r="Z1218" s="14">
        <v>20001</v>
      </c>
      <c r="AA1218" s="14" t="s">
        <v>205</v>
      </c>
      <c r="AB1218" s="14">
        <v>40001</v>
      </c>
      <c r="AE1218" s="29" t="s">
        <v>121</v>
      </c>
      <c r="AF1218" s="14" t="s">
        <v>213</v>
      </c>
      <c r="AG1218" s="14" t="s">
        <v>1231</v>
      </c>
    </row>
    <row r="1219" spans="2:33">
      <c r="B1219" s="14">
        <f>10000000+INDEX(编号表!$B:$B,MATCH(H1219,编号表!$A:$A,0))*100000+INDEX(编号表!$F:$F,MATCH(D1219,编号表!$E:$E,0))*10000+INDEX(编号表!$D:$D,MATCH(AG1219,编号表!$C:$C,0))*1000+F1219</f>
        <v>11368008</v>
      </c>
      <c r="C1219" s="14" t="s">
        <v>1380</v>
      </c>
      <c r="D1219" s="14" t="s">
        <v>362</v>
      </c>
      <c r="E1219" s="14" t="s">
        <v>1231</v>
      </c>
      <c r="F1219" s="14">
        <v>8</v>
      </c>
      <c r="G1219" s="14">
        <v>60</v>
      </c>
      <c r="H1219" s="31" t="s">
        <v>217</v>
      </c>
      <c r="I1219" s="14" t="s">
        <v>75</v>
      </c>
      <c r="J1219" s="14" t="s">
        <v>201</v>
      </c>
      <c r="K1219" s="14">
        <v>1</v>
      </c>
      <c r="L1219" s="14" t="s">
        <v>213</v>
      </c>
      <c r="N1219" s="14">
        <v>0</v>
      </c>
      <c r="O1219" s="14" t="b">
        <v>1</v>
      </c>
      <c r="Q1219" s="14" t="b">
        <v>0</v>
      </c>
      <c r="R1219" s="14">
        <v>1</v>
      </c>
      <c r="S1219" s="14" t="s">
        <v>77</v>
      </c>
      <c r="T1219" s="14">
        <v>999</v>
      </c>
      <c r="U1219" s="14" t="s">
        <v>214</v>
      </c>
      <c r="V1219" s="14">
        <v>31368008</v>
      </c>
      <c r="X1219" s="14" t="s">
        <v>204</v>
      </c>
      <c r="Y1219" s="14" t="s">
        <v>215</v>
      </c>
      <c r="Z1219" s="14">
        <v>20001</v>
      </c>
      <c r="AA1219" s="14" t="s">
        <v>205</v>
      </c>
      <c r="AB1219" s="14">
        <v>40001</v>
      </c>
      <c r="AE1219" s="29" t="s">
        <v>121</v>
      </c>
      <c r="AF1219" s="14" t="s">
        <v>213</v>
      </c>
      <c r="AG1219" s="14" t="s">
        <v>1231</v>
      </c>
    </row>
    <row r="1220" spans="2:33">
      <c r="B1220" s="14">
        <f>10000000+INDEX(编号表!$B:$B,MATCH(H1220,编号表!$A:$A,0))*100000+INDEX(编号表!$F:$F,MATCH(D1220,编号表!$E:$E,0))*10000+INDEX(编号表!$D:$D,MATCH(AG1220,编号表!$C:$C,0))*1000+F1220</f>
        <v>11368009</v>
      </c>
      <c r="C1220" s="14" t="s">
        <v>1381</v>
      </c>
      <c r="D1220" s="14" t="s">
        <v>362</v>
      </c>
      <c r="E1220" s="14" t="s">
        <v>1231</v>
      </c>
      <c r="F1220" s="14">
        <v>9</v>
      </c>
      <c r="G1220" s="14">
        <v>60</v>
      </c>
      <c r="H1220" s="31" t="s">
        <v>217</v>
      </c>
      <c r="I1220" s="14" t="s">
        <v>75</v>
      </c>
      <c r="J1220" s="14" t="s">
        <v>201</v>
      </c>
      <c r="K1220" s="14">
        <v>1</v>
      </c>
      <c r="L1220" s="14" t="s">
        <v>213</v>
      </c>
      <c r="N1220" s="14">
        <v>0</v>
      </c>
      <c r="O1220" s="14" t="b">
        <v>1</v>
      </c>
      <c r="Q1220" s="14" t="b">
        <v>0</v>
      </c>
      <c r="R1220" s="14">
        <v>1</v>
      </c>
      <c r="S1220" s="14" t="s">
        <v>77</v>
      </c>
      <c r="T1220" s="14">
        <v>999</v>
      </c>
      <c r="U1220" s="14" t="s">
        <v>214</v>
      </c>
      <c r="V1220" s="14">
        <v>31368009</v>
      </c>
      <c r="X1220" s="14" t="s">
        <v>204</v>
      </c>
      <c r="Y1220" s="14" t="s">
        <v>215</v>
      </c>
      <c r="Z1220" s="14">
        <v>20001</v>
      </c>
      <c r="AA1220" s="14" t="s">
        <v>205</v>
      </c>
      <c r="AB1220" s="14">
        <v>40001</v>
      </c>
      <c r="AE1220" s="29" t="s">
        <v>121</v>
      </c>
      <c r="AF1220" s="14" t="s">
        <v>213</v>
      </c>
      <c r="AG1220" s="14" t="s">
        <v>1231</v>
      </c>
    </row>
    <row r="1221" spans="2:33">
      <c r="B1221" s="14">
        <f>10000000+INDEX(编号表!$B:$B,MATCH(H1221,编号表!$A:$A,0))*100000+INDEX(编号表!$F:$F,MATCH(D1221,编号表!$E:$E,0))*10000+INDEX(编号表!$D:$D,MATCH(AG1221,编号表!$C:$C,0))*1000+F1221</f>
        <v>11568000</v>
      </c>
      <c r="C1221" s="14" t="s">
        <v>1382</v>
      </c>
      <c r="D1221" s="14" t="s">
        <v>362</v>
      </c>
      <c r="E1221" s="14" t="s">
        <v>1231</v>
      </c>
      <c r="F1221" s="14">
        <v>0</v>
      </c>
      <c r="G1221" s="14">
        <v>60</v>
      </c>
      <c r="H1221" s="31" t="s">
        <v>228</v>
      </c>
      <c r="I1221" s="14" t="s">
        <v>75</v>
      </c>
      <c r="J1221" s="14" t="s">
        <v>201</v>
      </c>
      <c r="K1221" s="14">
        <v>1</v>
      </c>
      <c r="L1221" s="14" t="s">
        <v>213</v>
      </c>
      <c r="N1221" s="14">
        <v>0</v>
      </c>
      <c r="O1221" s="14" t="b">
        <v>1</v>
      </c>
      <c r="Q1221" s="14" t="b">
        <v>0</v>
      </c>
      <c r="R1221" s="14">
        <v>1</v>
      </c>
      <c r="S1221" s="14" t="s">
        <v>77</v>
      </c>
      <c r="T1221" s="14">
        <v>999</v>
      </c>
      <c r="U1221" s="14" t="s">
        <v>214</v>
      </c>
      <c r="V1221" s="14">
        <v>31568000</v>
      </c>
      <c r="X1221" s="14" t="s">
        <v>204</v>
      </c>
      <c r="Y1221" s="14" t="s">
        <v>215</v>
      </c>
      <c r="Z1221" s="14">
        <v>20001</v>
      </c>
      <c r="AA1221" s="14" t="s">
        <v>205</v>
      </c>
      <c r="AB1221" s="14">
        <v>40001</v>
      </c>
      <c r="AE1221" s="29" t="s">
        <v>121</v>
      </c>
      <c r="AF1221" s="14" t="s">
        <v>213</v>
      </c>
      <c r="AG1221" s="14" t="s">
        <v>1231</v>
      </c>
    </row>
    <row r="1222" spans="2:33">
      <c r="B1222" s="14">
        <f>10000000+INDEX(编号表!$B:$B,MATCH(H1222,编号表!$A:$A,0))*100000+INDEX(编号表!$F:$F,MATCH(D1222,编号表!$E:$E,0))*10000+INDEX(编号表!$D:$D,MATCH(AG1222,编号表!$C:$C,0))*1000+F1222</f>
        <v>11568001</v>
      </c>
      <c r="C1222" s="14" t="s">
        <v>1383</v>
      </c>
      <c r="D1222" s="14" t="s">
        <v>362</v>
      </c>
      <c r="E1222" s="14" t="s">
        <v>1231</v>
      </c>
      <c r="F1222" s="14">
        <v>1</v>
      </c>
      <c r="G1222" s="14">
        <v>60</v>
      </c>
      <c r="H1222" s="31" t="s">
        <v>228</v>
      </c>
      <c r="I1222" s="14" t="s">
        <v>75</v>
      </c>
      <c r="J1222" s="14" t="s">
        <v>201</v>
      </c>
      <c r="K1222" s="14">
        <v>1</v>
      </c>
      <c r="L1222" s="14" t="s">
        <v>213</v>
      </c>
      <c r="N1222" s="14">
        <v>0</v>
      </c>
      <c r="O1222" s="14" t="b">
        <v>1</v>
      </c>
      <c r="Q1222" s="14" t="b">
        <v>0</v>
      </c>
      <c r="R1222" s="14">
        <v>1</v>
      </c>
      <c r="S1222" s="14" t="s">
        <v>77</v>
      </c>
      <c r="T1222" s="14">
        <v>999</v>
      </c>
      <c r="U1222" s="14" t="s">
        <v>214</v>
      </c>
      <c r="V1222" s="14">
        <v>31568001</v>
      </c>
      <c r="X1222" s="14" t="s">
        <v>204</v>
      </c>
      <c r="Y1222" s="14" t="s">
        <v>215</v>
      </c>
      <c r="Z1222" s="14">
        <v>20001</v>
      </c>
      <c r="AA1222" s="14" t="s">
        <v>205</v>
      </c>
      <c r="AB1222" s="14">
        <v>40001</v>
      </c>
      <c r="AE1222" s="29" t="s">
        <v>121</v>
      </c>
      <c r="AF1222" s="14" t="s">
        <v>213</v>
      </c>
      <c r="AG1222" s="14" t="s">
        <v>1231</v>
      </c>
    </row>
    <row r="1223" spans="2:33">
      <c r="B1223" s="14">
        <f>10000000+INDEX(编号表!$B:$B,MATCH(H1223,编号表!$A:$A,0))*100000+INDEX(编号表!$F:$F,MATCH(D1223,编号表!$E:$E,0))*10000+INDEX(编号表!$D:$D,MATCH(AG1223,编号表!$C:$C,0))*1000+F1223</f>
        <v>11568002</v>
      </c>
      <c r="C1223" s="14" t="s">
        <v>1384</v>
      </c>
      <c r="D1223" s="14" t="s">
        <v>362</v>
      </c>
      <c r="E1223" s="14" t="s">
        <v>1231</v>
      </c>
      <c r="F1223" s="14">
        <v>2</v>
      </c>
      <c r="G1223" s="14">
        <v>60</v>
      </c>
      <c r="H1223" s="31" t="s">
        <v>228</v>
      </c>
      <c r="I1223" s="14" t="s">
        <v>75</v>
      </c>
      <c r="J1223" s="14" t="s">
        <v>201</v>
      </c>
      <c r="K1223" s="14">
        <v>1</v>
      </c>
      <c r="L1223" s="14" t="s">
        <v>213</v>
      </c>
      <c r="N1223" s="14">
        <v>0</v>
      </c>
      <c r="O1223" s="14" t="b">
        <v>1</v>
      </c>
      <c r="Q1223" s="14" t="b">
        <v>0</v>
      </c>
      <c r="R1223" s="14">
        <v>1</v>
      </c>
      <c r="S1223" s="14" t="s">
        <v>77</v>
      </c>
      <c r="T1223" s="14">
        <v>999</v>
      </c>
      <c r="U1223" s="14" t="s">
        <v>214</v>
      </c>
      <c r="V1223" s="14">
        <v>31568002</v>
      </c>
      <c r="X1223" s="14" t="s">
        <v>204</v>
      </c>
      <c r="Y1223" s="14" t="s">
        <v>215</v>
      </c>
      <c r="Z1223" s="14">
        <v>20001</v>
      </c>
      <c r="AA1223" s="14" t="s">
        <v>205</v>
      </c>
      <c r="AB1223" s="14">
        <v>40001</v>
      </c>
      <c r="AE1223" s="29" t="s">
        <v>121</v>
      </c>
      <c r="AF1223" s="14" t="s">
        <v>213</v>
      </c>
      <c r="AG1223" s="14" t="s">
        <v>1231</v>
      </c>
    </row>
    <row r="1224" spans="2:33">
      <c r="B1224" s="14">
        <f>10000000+INDEX(编号表!$B:$B,MATCH(H1224,编号表!$A:$A,0))*100000+INDEX(编号表!$F:$F,MATCH(D1224,编号表!$E:$E,0))*10000+INDEX(编号表!$D:$D,MATCH(AG1224,编号表!$C:$C,0))*1000+F1224</f>
        <v>11568003</v>
      </c>
      <c r="C1224" s="14" t="s">
        <v>1385</v>
      </c>
      <c r="D1224" s="14" t="s">
        <v>362</v>
      </c>
      <c r="E1224" s="14" t="s">
        <v>1231</v>
      </c>
      <c r="F1224" s="14">
        <v>3</v>
      </c>
      <c r="G1224" s="14">
        <v>60</v>
      </c>
      <c r="H1224" s="31" t="s">
        <v>228</v>
      </c>
      <c r="I1224" s="14" t="s">
        <v>75</v>
      </c>
      <c r="J1224" s="14" t="s">
        <v>201</v>
      </c>
      <c r="K1224" s="14">
        <v>1</v>
      </c>
      <c r="L1224" s="14" t="s">
        <v>213</v>
      </c>
      <c r="N1224" s="14">
        <v>0</v>
      </c>
      <c r="O1224" s="14" t="b">
        <v>1</v>
      </c>
      <c r="Q1224" s="14" t="b">
        <v>0</v>
      </c>
      <c r="R1224" s="14">
        <v>1</v>
      </c>
      <c r="S1224" s="14" t="s">
        <v>77</v>
      </c>
      <c r="T1224" s="14">
        <v>999</v>
      </c>
      <c r="U1224" s="14" t="s">
        <v>214</v>
      </c>
      <c r="V1224" s="14">
        <v>31568003</v>
      </c>
      <c r="X1224" s="14" t="s">
        <v>204</v>
      </c>
      <c r="Y1224" s="14" t="s">
        <v>215</v>
      </c>
      <c r="Z1224" s="14">
        <v>20001</v>
      </c>
      <c r="AA1224" s="14" t="s">
        <v>205</v>
      </c>
      <c r="AB1224" s="14">
        <v>40001</v>
      </c>
      <c r="AE1224" s="29" t="s">
        <v>121</v>
      </c>
      <c r="AF1224" s="14" t="s">
        <v>213</v>
      </c>
      <c r="AG1224" s="14" t="s">
        <v>1231</v>
      </c>
    </row>
    <row r="1225" spans="2:33">
      <c r="B1225" s="14">
        <f>10000000+INDEX(编号表!$B:$B,MATCH(H1225,编号表!$A:$A,0))*100000+INDEX(编号表!$F:$F,MATCH(D1225,编号表!$E:$E,0))*10000+INDEX(编号表!$D:$D,MATCH(AG1225,编号表!$C:$C,0))*1000+F1225</f>
        <v>11568004</v>
      </c>
      <c r="C1225" s="14" t="s">
        <v>1386</v>
      </c>
      <c r="D1225" s="14" t="s">
        <v>362</v>
      </c>
      <c r="E1225" s="14" t="s">
        <v>1231</v>
      </c>
      <c r="F1225" s="14">
        <v>4</v>
      </c>
      <c r="G1225" s="14">
        <v>60</v>
      </c>
      <c r="H1225" s="31" t="s">
        <v>228</v>
      </c>
      <c r="I1225" s="14" t="s">
        <v>75</v>
      </c>
      <c r="J1225" s="14" t="s">
        <v>201</v>
      </c>
      <c r="K1225" s="14">
        <v>1</v>
      </c>
      <c r="L1225" s="14" t="s">
        <v>213</v>
      </c>
      <c r="N1225" s="14">
        <v>0</v>
      </c>
      <c r="O1225" s="14" t="b">
        <v>1</v>
      </c>
      <c r="Q1225" s="14" t="b">
        <v>0</v>
      </c>
      <c r="R1225" s="14">
        <v>1</v>
      </c>
      <c r="S1225" s="14" t="s">
        <v>77</v>
      </c>
      <c r="T1225" s="14">
        <v>999</v>
      </c>
      <c r="U1225" s="14" t="s">
        <v>214</v>
      </c>
      <c r="V1225" s="14">
        <v>31568004</v>
      </c>
      <c r="X1225" s="14" t="s">
        <v>204</v>
      </c>
      <c r="Y1225" s="14" t="s">
        <v>215</v>
      </c>
      <c r="Z1225" s="14">
        <v>20001</v>
      </c>
      <c r="AA1225" s="14" t="s">
        <v>205</v>
      </c>
      <c r="AB1225" s="14">
        <v>40001</v>
      </c>
      <c r="AE1225" s="29" t="s">
        <v>121</v>
      </c>
      <c r="AF1225" s="14" t="s">
        <v>213</v>
      </c>
      <c r="AG1225" s="14" t="s">
        <v>1231</v>
      </c>
    </row>
    <row r="1226" spans="2:33">
      <c r="B1226" s="14">
        <f>10000000+INDEX(编号表!$B:$B,MATCH(H1226,编号表!$A:$A,0))*100000+INDEX(编号表!$F:$F,MATCH(D1226,编号表!$E:$E,0))*10000+INDEX(编号表!$D:$D,MATCH(AG1226,编号表!$C:$C,0))*1000+F1226</f>
        <v>11568005</v>
      </c>
      <c r="C1226" s="14" t="s">
        <v>1387</v>
      </c>
      <c r="D1226" s="14" t="s">
        <v>362</v>
      </c>
      <c r="E1226" s="14" t="s">
        <v>1231</v>
      </c>
      <c r="F1226" s="14">
        <v>5</v>
      </c>
      <c r="G1226" s="14">
        <v>60</v>
      </c>
      <c r="H1226" s="31" t="s">
        <v>228</v>
      </c>
      <c r="I1226" s="14" t="s">
        <v>75</v>
      </c>
      <c r="J1226" s="14" t="s">
        <v>201</v>
      </c>
      <c r="K1226" s="14">
        <v>1</v>
      </c>
      <c r="L1226" s="14" t="s">
        <v>213</v>
      </c>
      <c r="N1226" s="14">
        <v>0</v>
      </c>
      <c r="O1226" s="14" t="b">
        <v>1</v>
      </c>
      <c r="Q1226" s="14" t="b">
        <v>0</v>
      </c>
      <c r="R1226" s="14">
        <v>1</v>
      </c>
      <c r="S1226" s="14" t="s">
        <v>77</v>
      </c>
      <c r="T1226" s="14">
        <v>999</v>
      </c>
      <c r="U1226" s="14" t="s">
        <v>214</v>
      </c>
      <c r="V1226" s="14">
        <v>31568005</v>
      </c>
      <c r="X1226" s="14" t="s">
        <v>204</v>
      </c>
      <c r="Y1226" s="14" t="s">
        <v>215</v>
      </c>
      <c r="Z1226" s="14">
        <v>20001</v>
      </c>
      <c r="AA1226" s="14" t="s">
        <v>205</v>
      </c>
      <c r="AB1226" s="14">
        <v>40001</v>
      </c>
      <c r="AE1226" s="29" t="s">
        <v>121</v>
      </c>
      <c r="AF1226" s="14" t="s">
        <v>213</v>
      </c>
      <c r="AG1226" s="14" t="s">
        <v>1231</v>
      </c>
    </row>
    <row r="1227" spans="2:33">
      <c r="B1227" s="14">
        <f>10000000+INDEX(编号表!$B:$B,MATCH(H1227,编号表!$A:$A,0))*100000+INDEX(编号表!$F:$F,MATCH(D1227,编号表!$E:$E,0))*10000+INDEX(编号表!$D:$D,MATCH(AG1227,编号表!$C:$C,0))*1000+F1227</f>
        <v>11568006</v>
      </c>
      <c r="C1227" s="14" t="s">
        <v>1388</v>
      </c>
      <c r="D1227" s="14" t="s">
        <v>362</v>
      </c>
      <c r="E1227" s="14" t="s">
        <v>1231</v>
      </c>
      <c r="F1227" s="14">
        <v>6</v>
      </c>
      <c r="G1227" s="14">
        <v>60</v>
      </c>
      <c r="H1227" s="31" t="s">
        <v>228</v>
      </c>
      <c r="I1227" s="14" t="s">
        <v>75</v>
      </c>
      <c r="J1227" s="14" t="s">
        <v>201</v>
      </c>
      <c r="K1227" s="14">
        <v>1</v>
      </c>
      <c r="L1227" s="14" t="s">
        <v>213</v>
      </c>
      <c r="N1227" s="14">
        <v>0</v>
      </c>
      <c r="O1227" s="14" t="b">
        <v>1</v>
      </c>
      <c r="Q1227" s="14" t="b">
        <v>0</v>
      </c>
      <c r="R1227" s="14">
        <v>1</v>
      </c>
      <c r="S1227" s="14" t="s">
        <v>77</v>
      </c>
      <c r="T1227" s="14">
        <v>999</v>
      </c>
      <c r="U1227" s="14" t="s">
        <v>214</v>
      </c>
      <c r="V1227" s="14">
        <v>31568006</v>
      </c>
      <c r="X1227" s="14" t="s">
        <v>204</v>
      </c>
      <c r="Y1227" s="14" t="s">
        <v>215</v>
      </c>
      <c r="Z1227" s="14">
        <v>20001</v>
      </c>
      <c r="AA1227" s="14" t="s">
        <v>205</v>
      </c>
      <c r="AB1227" s="14">
        <v>40001</v>
      </c>
      <c r="AE1227" s="29" t="s">
        <v>121</v>
      </c>
      <c r="AF1227" s="14" t="s">
        <v>213</v>
      </c>
      <c r="AG1227" s="14" t="s">
        <v>1231</v>
      </c>
    </row>
    <row r="1228" spans="2:33">
      <c r="B1228" s="14">
        <f>10000000+INDEX(编号表!$B:$B,MATCH(H1228,编号表!$A:$A,0))*100000+INDEX(编号表!$F:$F,MATCH(D1228,编号表!$E:$E,0))*10000+INDEX(编号表!$D:$D,MATCH(AG1228,编号表!$C:$C,0))*1000+F1228</f>
        <v>11568007</v>
      </c>
      <c r="C1228" s="14" t="s">
        <v>1389</v>
      </c>
      <c r="D1228" s="14" t="s">
        <v>362</v>
      </c>
      <c r="E1228" s="14" t="s">
        <v>1231</v>
      </c>
      <c r="F1228" s="14">
        <v>7</v>
      </c>
      <c r="G1228" s="14">
        <v>60</v>
      </c>
      <c r="H1228" s="31" t="s">
        <v>228</v>
      </c>
      <c r="I1228" s="14" t="s">
        <v>75</v>
      </c>
      <c r="J1228" s="14" t="s">
        <v>201</v>
      </c>
      <c r="K1228" s="14">
        <v>1</v>
      </c>
      <c r="L1228" s="14" t="s">
        <v>213</v>
      </c>
      <c r="N1228" s="14">
        <v>0</v>
      </c>
      <c r="O1228" s="14" t="b">
        <v>1</v>
      </c>
      <c r="Q1228" s="14" t="b">
        <v>0</v>
      </c>
      <c r="R1228" s="14">
        <v>1</v>
      </c>
      <c r="S1228" s="14" t="s">
        <v>77</v>
      </c>
      <c r="T1228" s="14">
        <v>999</v>
      </c>
      <c r="U1228" s="14" t="s">
        <v>214</v>
      </c>
      <c r="V1228" s="14">
        <v>31568007</v>
      </c>
      <c r="X1228" s="14" t="s">
        <v>204</v>
      </c>
      <c r="Y1228" s="14" t="s">
        <v>215</v>
      </c>
      <c r="Z1228" s="14">
        <v>20001</v>
      </c>
      <c r="AA1228" s="14" t="s">
        <v>205</v>
      </c>
      <c r="AB1228" s="14">
        <v>40001</v>
      </c>
      <c r="AE1228" s="29" t="s">
        <v>121</v>
      </c>
      <c r="AF1228" s="14" t="s">
        <v>213</v>
      </c>
      <c r="AG1228" s="14" t="s">
        <v>1231</v>
      </c>
    </row>
    <row r="1229" spans="2:33">
      <c r="B1229" s="14">
        <f>10000000+INDEX(编号表!$B:$B,MATCH(H1229,编号表!$A:$A,0))*100000+INDEX(编号表!$F:$F,MATCH(D1229,编号表!$E:$E,0))*10000+INDEX(编号表!$D:$D,MATCH(AG1229,编号表!$C:$C,0))*1000+F1229</f>
        <v>11568008</v>
      </c>
      <c r="C1229" s="14" t="s">
        <v>1390</v>
      </c>
      <c r="D1229" s="14" t="s">
        <v>362</v>
      </c>
      <c r="E1229" s="14" t="s">
        <v>1231</v>
      </c>
      <c r="F1229" s="14">
        <v>8</v>
      </c>
      <c r="G1229" s="14">
        <v>60</v>
      </c>
      <c r="H1229" s="31" t="s">
        <v>228</v>
      </c>
      <c r="I1229" s="14" t="s">
        <v>75</v>
      </c>
      <c r="J1229" s="14" t="s">
        <v>201</v>
      </c>
      <c r="K1229" s="14">
        <v>1</v>
      </c>
      <c r="L1229" s="14" t="s">
        <v>213</v>
      </c>
      <c r="N1229" s="14">
        <v>0</v>
      </c>
      <c r="O1229" s="14" t="b">
        <v>1</v>
      </c>
      <c r="Q1229" s="14" t="b">
        <v>0</v>
      </c>
      <c r="R1229" s="14">
        <v>1</v>
      </c>
      <c r="S1229" s="14" t="s">
        <v>77</v>
      </c>
      <c r="T1229" s="14">
        <v>999</v>
      </c>
      <c r="U1229" s="14" t="s">
        <v>214</v>
      </c>
      <c r="V1229" s="14">
        <v>31568008</v>
      </c>
      <c r="X1229" s="14" t="s">
        <v>204</v>
      </c>
      <c r="Y1229" s="14" t="s">
        <v>215</v>
      </c>
      <c r="Z1229" s="14">
        <v>20001</v>
      </c>
      <c r="AA1229" s="14" t="s">
        <v>205</v>
      </c>
      <c r="AB1229" s="14">
        <v>40001</v>
      </c>
      <c r="AE1229" s="29" t="s">
        <v>121</v>
      </c>
      <c r="AF1229" s="14" t="s">
        <v>213</v>
      </c>
      <c r="AG1229" s="14" t="s">
        <v>1231</v>
      </c>
    </row>
    <row r="1230" spans="2:33">
      <c r="B1230" s="14">
        <f>10000000+INDEX(编号表!$B:$B,MATCH(H1230,编号表!$A:$A,0))*100000+INDEX(编号表!$F:$F,MATCH(D1230,编号表!$E:$E,0))*10000+INDEX(编号表!$D:$D,MATCH(AG1230,编号表!$C:$C,0))*1000+F1230</f>
        <v>11568009</v>
      </c>
      <c r="C1230" s="14" t="s">
        <v>1391</v>
      </c>
      <c r="D1230" s="14" t="s">
        <v>362</v>
      </c>
      <c r="E1230" s="14" t="s">
        <v>1231</v>
      </c>
      <c r="F1230" s="14">
        <v>9</v>
      </c>
      <c r="G1230" s="14">
        <v>60</v>
      </c>
      <c r="H1230" s="31" t="s">
        <v>228</v>
      </c>
      <c r="I1230" s="14" t="s">
        <v>75</v>
      </c>
      <c r="J1230" s="14" t="s">
        <v>201</v>
      </c>
      <c r="K1230" s="14">
        <v>1</v>
      </c>
      <c r="L1230" s="14" t="s">
        <v>213</v>
      </c>
      <c r="N1230" s="14">
        <v>0</v>
      </c>
      <c r="O1230" s="14" t="b">
        <v>1</v>
      </c>
      <c r="Q1230" s="14" t="b">
        <v>0</v>
      </c>
      <c r="R1230" s="14">
        <v>1</v>
      </c>
      <c r="S1230" s="14" t="s">
        <v>77</v>
      </c>
      <c r="T1230" s="14">
        <v>999</v>
      </c>
      <c r="U1230" s="14" t="s">
        <v>214</v>
      </c>
      <c r="V1230" s="14">
        <v>31568009</v>
      </c>
      <c r="X1230" s="14" t="s">
        <v>204</v>
      </c>
      <c r="Y1230" s="14" t="s">
        <v>215</v>
      </c>
      <c r="Z1230" s="14">
        <v>20001</v>
      </c>
      <c r="AA1230" s="14" t="s">
        <v>205</v>
      </c>
      <c r="AB1230" s="14">
        <v>40001</v>
      </c>
      <c r="AE1230" s="29" t="s">
        <v>121</v>
      </c>
      <c r="AF1230" s="14" t="s">
        <v>213</v>
      </c>
      <c r="AG1230" s="14" t="s">
        <v>1231</v>
      </c>
    </row>
    <row r="1231" spans="2:33">
      <c r="B1231" s="14">
        <f>10000000+INDEX(编号表!$B:$B,MATCH(H1231,编号表!$A:$A,0))*100000+INDEX(编号表!$F:$F,MATCH(D1231,编号表!$E:$E,0))*10000+INDEX(编号表!$D:$D,MATCH(AG1231,编号表!$C:$C,0))*1000+F1231</f>
        <v>11468000</v>
      </c>
      <c r="C1231" s="14" t="s">
        <v>1392</v>
      </c>
      <c r="D1231" s="14" t="s">
        <v>362</v>
      </c>
      <c r="E1231" s="14" t="s">
        <v>1231</v>
      </c>
      <c r="F1231" s="14">
        <v>0</v>
      </c>
      <c r="G1231" s="14">
        <v>60</v>
      </c>
      <c r="H1231" s="31" t="s">
        <v>239</v>
      </c>
      <c r="I1231" s="14" t="s">
        <v>75</v>
      </c>
      <c r="J1231" s="14" t="s">
        <v>201</v>
      </c>
      <c r="K1231" s="14">
        <v>1</v>
      </c>
      <c r="L1231" s="14" t="s">
        <v>213</v>
      </c>
      <c r="N1231" s="14">
        <v>0</v>
      </c>
      <c r="O1231" s="14" t="b">
        <v>1</v>
      </c>
      <c r="Q1231" s="14" t="b">
        <v>0</v>
      </c>
      <c r="R1231" s="14">
        <v>1</v>
      </c>
      <c r="S1231" s="14" t="s">
        <v>77</v>
      </c>
      <c r="T1231" s="14">
        <v>999</v>
      </c>
      <c r="U1231" s="14" t="s">
        <v>214</v>
      </c>
      <c r="V1231" s="14">
        <v>31468000</v>
      </c>
      <c r="X1231" s="14" t="s">
        <v>204</v>
      </c>
      <c r="Y1231" s="14" t="s">
        <v>215</v>
      </c>
      <c r="Z1231" s="14">
        <v>20001</v>
      </c>
      <c r="AA1231" s="14" t="s">
        <v>205</v>
      </c>
      <c r="AB1231" s="14">
        <v>40001</v>
      </c>
      <c r="AE1231" s="29" t="s">
        <v>121</v>
      </c>
      <c r="AF1231" s="14" t="s">
        <v>213</v>
      </c>
      <c r="AG1231" s="14" t="s">
        <v>1231</v>
      </c>
    </row>
    <row r="1232" spans="2:33">
      <c r="B1232" s="14">
        <f>10000000+INDEX(编号表!$B:$B,MATCH(H1232,编号表!$A:$A,0))*100000+INDEX(编号表!$F:$F,MATCH(D1232,编号表!$E:$E,0))*10000+INDEX(编号表!$D:$D,MATCH(AG1232,编号表!$C:$C,0))*1000+F1232</f>
        <v>11468001</v>
      </c>
      <c r="C1232" s="14" t="s">
        <v>1393</v>
      </c>
      <c r="D1232" s="14" t="s">
        <v>362</v>
      </c>
      <c r="E1232" s="14" t="s">
        <v>1231</v>
      </c>
      <c r="F1232" s="14">
        <v>1</v>
      </c>
      <c r="G1232" s="14">
        <v>60</v>
      </c>
      <c r="H1232" s="31" t="s">
        <v>239</v>
      </c>
      <c r="I1232" s="14" t="s">
        <v>75</v>
      </c>
      <c r="J1232" s="14" t="s">
        <v>201</v>
      </c>
      <c r="K1232" s="14">
        <v>1</v>
      </c>
      <c r="L1232" s="14" t="s">
        <v>213</v>
      </c>
      <c r="N1232" s="14">
        <v>0</v>
      </c>
      <c r="O1232" s="14" t="b">
        <v>1</v>
      </c>
      <c r="Q1232" s="14" t="b">
        <v>0</v>
      </c>
      <c r="R1232" s="14">
        <v>1</v>
      </c>
      <c r="S1232" s="14" t="s">
        <v>77</v>
      </c>
      <c r="T1232" s="14">
        <v>999</v>
      </c>
      <c r="U1232" s="14" t="s">
        <v>214</v>
      </c>
      <c r="V1232" s="14">
        <v>31468001</v>
      </c>
      <c r="X1232" s="14" t="s">
        <v>204</v>
      </c>
      <c r="Y1232" s="14" t="s">
        <v>215</v>
      </c>
      <c r="Z1232" s="14">
        <v>20001</v>
      </c>
      <c r="AA1232" s="14" t="s">
        <v>205</v>
      </c>
      <c r="AB1232" s="14">
        <v>40001</v>
      </c>
      <c r="AE1232" s="29" t="s">
        <v>121</v>
      </c>
      <c r="AF1232" s="14" t="s">
        <v>213</v>
      </c>
      <c r="AG1232" s="14" t="s">
        <v>1231</v>
      </c>
    </row>
    <row r="1233" spans="2:33">
      <c r="B1233" s="14">
        <f>10000000+INDEX(编号表!$B:$B,MATCH(H1233,编号表!$A:$A,0))*100000+INDEX(编号表!$F:$F,MATCH(D1233,编号表!$E:$E,0))*10000+INDEX(编号表!$D:$D,MATCH(AG1233,编号表!$C:$C,0))*1000+F1233</f>
        <v>11468002</v>
      </c>
      <c r="C1233" s="14" t="s">
        <v>1394</v>
      </c>
      <c r="D1233" s="14" t="s">
        <v>362</v>
      </c>
      <c r="E1233" s="14" t="s">
        <v>1231</v>
      </c>
      <c r="F1233" s="14">
        <v>2</v>
      </c>
      <c r="G1233" s="14">
        <v>60</v>
      </c>
      <c r="H1233" s="31" t="s">
        <v>239</v>
      </c>
      <c r="I1233" s="14" t="s">
        <v>75</v>
      </c>
      <c r="J1233" s="14" t="s">
        <v>201</v>
      </c>
      <c r="K1233" s="14">
        <v>1</v>
      </c>
      <c r="L1233" s="14" t="s">
        <v>213</v>
      </c>
      <c r="N1233" s="14">
        <v>0</v>
      </c>
      <c r="O1233" s="14" t="b">
        <v>1</v>
      </c>
      <c r="Q1233" s="14" t="b">
        <v>0</v>
      </c>
      <c r="R1233" s="14">
        <v>1</v>
      </c>
      <c r="S1233" s="14" t="s">
        <v>77</v>
      </c>
      <c r="T1233" s="14">
        <v>999</v>
      </c>
      <c r="U1233" s="14" t="s">
        <v>214</v>
      </c>
      <c r="V1233" s="14">
        <v>31468002</v>
      </c>
      <c r="X1233" s="14" t="s">
        <v>204</v>
      </c>
      <c r="Y1233" s="14" t="s">
        <v>215</v>
      </c>
      <c r="Z1233" s="14">
        <v>20001</v>
      </c>
      <c r="AA1233" s="14" t="s">
        <v>205</v>
      </c>
      <c r="AB1233" s="14">
        <v>40001</v>
      </c>
      <c r="AE1233" s="29" t="s">
        <v>121</v>
      </c>
      <c r="AF1233" s="14" t="s">
        <v>213</v>
      </c>
      <c r="AG1233" s="14" t="s">
        <v>1231</v>
      </c>
    </row>
    <row r="1234" spans="2:33">
      <c r="B1234" s="14">
        <f>10000000+INDEX(编号表!$B:$B,MATCH(H1234,编号表!$A:$A,0))*100000+INDEX(编号表!$F:$F,MATCH(D1234,编号表!$E:$E,0))*10000+INDEX(编号表!$D:$D,MATCH(AG1234,编号表!$C:$C,0))*1000+F1234</f>
        <v>11468003</v>
      </c>
      <c r="C1234" s="14" t="s">
        <v>1395</v>
      </c>
      <c r="D1234" s="14" t="s">
        <v>362</v>
      </c>
      <c r="E1234" s="14" t="s">
        <v>1231</v>
      </c>
      <c r="F1234" s="14">
        <v>3</v>
      </c>
      <c r="G1234" s="14">
        <v>60</v>
      </c>
      <c r="H1234" s="31" t="s">
        <v>239</v>
      </c>
      <c r="I1234" s="14" t="s">
        <v>75</v>
      </c>
      <c r="J1234" s="14" t="s">
        <v>201</v>
      </c>
      <c r="K1234" s="14">
        <v>1</v>
      </c>
      <c r="L1234" s="14" t="s">
        <v>213</v>
      </c>
      <c r="N1234" s="14">
        <v>0</v>
      </c>
      <c r="O1234" s="14" t="b">
        <v>1</v>
      </c>
      <c r="Q1234" s="14" t="b">
        <v>0</v>
      </c>
      <c r="R1234" s="14">
        <v>1</v>
      </c>
      <c r="S1234" s="14" t="s">
        <v>77</v>
      </c>
      <c r="T1234" s="14">
        <v>999</v>
      </c>
      <c r="U1234" s="14" t="s">
        <v>214</v>
      </c>
      <c r="V1234" s="14">
        <v>31468003</v>
      </c>
      <c r="X1234" s="14" t="s">
        <v>204</v>
      </c>
      <c r="Y1234" s="14" t="s">
        <v>215</v>
      </c>
      <c r="Z1234" s="14">
        <v>20001</v>
      </c>
      <c r="AA1234" s="14" t="s">
        <v>205</v>
      </c>
      <c r="AB1234" s="14">
        <v>40001</v>
      </c>
      <c r="AE1234" s="29" t="s">
        <v>121</v>
      </c>
      <c r="AF1234" s="14" t="s">
        <v>213</v>
      </c>
      <c r="AG1234" s="14" t="s">
        <v>1231</v>
      </c>
    </row>
    <row r="1235" spans="2:33">
      <c r="B1235" s="14">
        <f>10000000+INDEX(编号表!$B:$B,MATCH(H1235,编号表!$A:$A,0))*100000+INDEX(编号表!$F:$F,MATCH(D1235,编号表!$E:$E,0))*10000+INDEX(编号表!$D:$D,MATCH(AG1235,编号表!$C:$C,0))*1000+F1235</f>
        <v>11668000</v>
      </c>
      <c r="C1235" s="14" t="s">
        <v>1396</v>
      </c>
      <c r="D1235" s="14" t="s">
        <v>362</v>
      </c>
      <c r="E1235" s="14" t="s">
        <v>1231</v>
      </c>
      <c r="F1235" s="14">
        <v>0</v>
      </c>
      <c r="G1235" s="14">
        <v>60</v>
      </c>
      <c r="H1235" s="31" t="s">
        <v>244</v>
      </c>
      <c r="I1235" s="14" t="s">
        <v>75</v>
      </c>
      <c r="J1235" s="14" t="s">
        <v>201</v>
      </c>
      <c r="K1235" s="14">
        <v>1</v>
      </c>
      <c r="L1235" s="14" t="s">
        <v>213</v>
      </c>
      <c r="N1235" s="14">
        <v>0</v>
      </c>
      <c r="O1235" s="14" t="b">
        <v>1</v>
      </c>
      <c r="Q1235" s="14" t="b">
        <v>0</v>
      </c>
      <c r="R1235" s="14">
        <v>1</v>
      </c>
      <c r="S1235" s="14" t="s">
        <v>77</v>
      </c>
      <c r="T1235" s="14">
        <v>999</v>
      </c>
      <c r="U1235" s="14" t="s">
        <v>214</v>
      </c>
      <c r="V1235" s="14">
        <v>31668000</v>
      </c>
      <c r="X1235" s="14" t="s">
        <v>204</v>
      </c>
      <c r="Y1235" s="14" t="s">
        <v>215</v>
      </c>
      <c r="Z1235" s="14">
        <v>20001</v>
      </c>
      <c r="AA1235" s="14" t="s">
        <v>205</v>
      </c>
      <c r="AB1235" s="14">
        <v>40001</v>
      </c>
      <c r="AE1235" s="29" t="s">
        <v>121</v>
      </c>
      <c r="AF1235" s="14" t="s">
        <v>213</v>
      </c>
      <c r="AG1235" s="14" t="s">
        <v>1231</v>
      </c>
    </row>
    <row r="1236" spans="2:33">
      <c r="B1236" s="14">
        <f>10000000+INDEX(编号表!$B:$B,MATCH(H1236,编号表!$A:$A,0))*100000+INDEX(编号表!$F:$F,MATCH(D1236,编号表!$E:$E,0))*10000+INDEX(编号表!$D:$D,MATCH(AG1236,编号表!$C:$C,0))*1000+F1236</f>
        <v>11668001</v>
      </c>
      <c r="C1236" s="14" t="s">
        <v>1397</v>
      </c>
      <c r="D1236" s="14" t="s">
        <v>362</v>
      </c>
      <c r="E1236" s="14" t="s">
        <v>1231</v>
      </c>
      <c r="F1236" s="14">
        <v>1</v>
      </c>
      <c r="G1236" s="14">
        <v>60</v>
      </c>
      <c r="H1236" s="31" t="s">
        <v>244</v>
      </c>
      <c r="I1236" s="14" t="s">
        <v>75</v>
      </c>
      <c r="J1236" s="14" t="s">
        <v>201</v>
      </c>
      <c r="K1236" s="14">
        <v>1</v>
      </c>
      <c r="L1236" s="14" t="s">
        <v>213</v>
      </c>
      <c r="N1236" s="14">
        <v>0</v>
      </c>
      <c r="O1236" s="14" t="b">
        <v>1</v>
      </c>
      <c r="Q1236" s="14" t="b">
        <v>0</v>
      </c>
      <c r="R1236" s="14">
        <v>1</v>
      </c>
      <c r="S1236" s="14" t="s">
        <v>77</v>
      </c>
      <c r="T1236" s="14">
        <v>999</v>
      </c>
      <c r="U1236" s="14" t="s">
        <v>214</v>
      </c>
      <c r="V1236" s="14">
        <v>31668001</v>
      </c>
      <c r="X1236" s="14" t="s">
        <v>204</v>
      </c>
      <c r="Y1236" s="14" t="s">
        <v>215</v>
      </c>
      <c r="Z1236" s="14">
        <v>20001</v>
      </c>
      <c r="AA1236" s="14" t="s">
        <v>205</v>
      </c>
      <c r="AB1236" s="14">
        <v>40001</v>
      </c>
      <c r="AE1236" s="29" t="s">
        <v>121</v>
      </c>
      <c r="AF1236" s="14" t="s">
        <v>213</v>
      </c>
      <c r="AG1236" s="14" t="s">
        <v>1231</v>
      </c>
    </row>
    <row r="1237" spans="2:33">
      <c r="B1237" s="14">
        <f>10000000+INDEX(编号表!$B:$B,MATCH(H1237,编号表!$A:$A,0))*100000+INDEX(编号表!$F:$F,MATCH(D1237,编号表!$E:$E,0))*10000+INDEX(编号表!$D:$D,MATCH(AG1237,编号表!$C:$C,0))*1000+F1237</f>
        <v>11668002</v>
      </c>
      <c r="C1237" s="14" t="s">
        <v>1398</v>
      </c>
      <c r="D1237" s="14" t="s">
        <v>362</v>
      </c>
      <c r="E1237" s="14" t="s">
        <v>1231</v>
      </c>
      <c r="F1237" s="14">
        <v>2</v>
      </c>
      <c r="G1237" s="14">
        <v>60</v>
      </c>
      <c r="H1237" s="31" t="s">
        <v>244</v>
      </c>
      <c r="I1237" s="14" t="s">
        <v>75</v>
      </c>
      <c r="J1237" s="14" t="s">
        <v>201</v>
      </c>
      <c r="K1237" s="14">
        <v>1</v>
      </c>
      <c r="L1237" s="14" t="s">
        <v>213</v>
      </c>
      <c r="N1237" s="14">
        <v>0</v>
      </c>
      <c r="O1237" s="14" t="b">
        <v>1</v>
      </c>
      <c r="Q1237" s="14" t="b">
        <v>0</v>
      </c>
      <c r="R1237" s="14">
        <v>1</v>
      </c>
      <c r="S1237" s="14" t="s">
        <v>77</v>
      </c>
      <c r="T1237" s="14">
        <v>999</v>
      </c>
      <c r="U1237" s="14" t="s">
        <v>214</v>
      </c>
      <c r="V1237" s="14">
        <v>31668002</v>
      </c>
      <c r="X1237" s="14" t="s">
        <v>204</v>
      </c>
      <c r="Y1237" s="14" t="s">
        <v>215</v>
      </c>
      <c r="Z1237" s="14">
        <v>20001</v>
      </c>
      <c r="AA1237" s="14" t="s">
        <v>205</v>
      </c>
      <c r="AB1237" s="14">
        <v>40001</v>
      </c>
      <c r="AE1237" s="29" t="s">
        <v>121</v>
      </c>
      <c r="AF1237" s="14" t="s">
        <v>213</v>
      </c>
      <c r="AG1237" s="14" t="s">
        <v>1231</v>
      </c>
    </row>
    <row r="1238" spans="2:33">
      <c r="B1238" s="14">
        <f>10000000+INDEX(编号表!$B:$B,MATCH(H1238,编号表!$A:$A,0))*100000+INDEX(编号表!$F:$F,MATCH(D1238,编号表!$E:$E,0))*10000+INDEX(编号表!$D:$D,MATCH(AG1238,编号表!$C:$C,0))*1000+F1238</f>
        <v>11912000</v>
      </c>
      <c r="C1238" s="14" t="s">
        <v>1399</v>
      </c>
      <c r="D1238" s="14" t="s">
        <v>72</v>
      </c>
      <c r="E1238" s="14" t="s">
        <v>86</v>
      </c>
      <c r="F1238" s="14">
        <v>0</v>
      </c>
      <c r="G1238" s="14">
        <v>60</v>
      </c>
      <c r="H1238" s="14" t="s">
        <v>1400</v>
      </c>
      <c r="I1238" s="14" t="s">
        <v>75</v>
      </c>
      <c r="J1238" s="14" t="s">
        <v>201</v>
      </c>
      <c r="K1238" s="14">
        <v>1</v>
      </c>
      <c r="L1238" s="14" t="s">
        <v>1400</v>
      </c>
      <c r="N1238" s="14">
        <v>0</v>
      </c>
      <c r="O1238" s="14" t="b">
        <v>1</v>
      </c>
      <c r="Q1238" s="14" t="b">
        <v>0</v>
      </c>
      <c r="R1238" s="14">
        <v>1</v>
      </c>
      <c r="S1238" s="14" t="s">
        <v>77</v>
      </c>
      <c r="T1238" s="14">
        <v>999</v>
      </c>
      <c r="U1238" s="14" t="s">
        <v>1401</v>
      </c>
      <c r="V1238" s="14">
        <v>31912000</v>
      </c>
      <c r="X1238" s="14" t="s">
        <v>204</v>
      </c>
      <c r="Y1238" s="14" t="s">
        <v>215</v>
      </c>
      <c r="Z1238" s="14">
        <v>20001</v>
      </c>
      <c r="AA1238" s="14" t="s">
        <v>205</v>
      </c>
      <c r="AB1238" s="14">
        <v>40001</v>
      </c>
      <c r="AE1238" s="14" t="s">
        <v>1400</v>
      </c>
      <c r="AF1238" s="14" t="s">
        <v>1400</v>
      </c>
      <c r="AG1238" s="14" t="s">
        <v>86</v>
      </c>
    </row>
    <row r="1239" spans="2:33">
      <c r="B1239" s="14">
        <f>10000000+INDEX(编号表!$B:$B,MATCH(H1239,编号表!$A:$A,0))*100000+INDEX(编号表!$F:$F,MATCH(D1239,编号表!$E:$E,0))*10000+INDEX(编号表!$D:$D,MATCH(AG1239,编号表!$C:$C,0))*1000+F1239</f>
        <v>11922001</v>
      </c>
      <c r="C1239" s="14" t="s">
        <v>1399</v>
      </c>
      <c r="D1239" s="14" t="s">
        <v>112</v>
      </c>
      <c r="E1239" s="14" t="s">
        <v>86</v>
      </c>
      <c r="F1239" s="14">
        <v>1</v>
      </c>
      <c r="G1239" s="14">
        <v>60</v>
      </c>
      <c r="H1239" s="14" t="s">
        <v>1400</v>
      </c>
      <c r="I1239" s="14" t="s">
        <v>75</v>
      </c>
      <c r="J1239" s="14" t="s">
        <v>201</v>
      </c>
      <c r="K1239" s="14">
        <v>1</v>
      </c>
      <c r="L1239" s="14" t="s">
        <v>1400</v>
      </c>
      <c r="N1239" s="14">
        <v>0</v>
      </c>
      <c r="O1239" s="14" t="b">
        <v>1</v>
      </c>
      <c r="Q1239" s="14" t="b">
        <v>0</v>
      </c>
      <c r="R1239" s="14">
        <v>1</v>
      </c>
      <c r="S1239" s="14" t="s">
        <v>77</v>
      </c>
      <c r="T1239" s="14">
        <v>999</v>
      </c>
      <c r="U1239" s="14" t="s">
        <v>1401</v>
      </c>
      <c r="V1239" s="14">
        <v>31922001</v>
      </c>
      <c r="X1239" s="14" t="s">
        <v>1402</v>
      </c>
      <c r="Y1239" s="14" t="s">
        <v>215</v>
      </c>
      <c r="Z1239" s="14">
        <v>20002</v>
      </c>
      <c r="AA1239" s="14" t="s">
        <v>1403</v>
      </c>
      <c r="AB1239" s="14">
        <v>40001</v>
      </c>
      <c r="AE1239" s="14" t="s">
        <v>1400</v>
      </c>
      <c r="AF1239" s="14" t="s">
        <v>1400</v>
      </c>
      <c r="AG1239" s="14" t="s">
        <v>86</v>
      </c>
    </row>
    <row r="1240" spans="2:33">
      <c r="B1240" s="14">
        <f>10000000+INDEX(编号表!$B:$B,MATCH(H1240,编号表!$A:$A,0))*100000+INDEX(编号表!$F:$F,MATCH(D1240,编号表!$E:$E,0))*10000+INDEX(编号表!$D:$D,MATCH(AG1240,编号表!$C:$C,0))*1000+F1240</f>
        <v>11932002</v>
      </c>
      <c r="C1240" s="14" t="s">
        <v>1399</v>
      </c>
      <c r="D1240" s="14" t="s">
        <v>276</v>
      </c>
      <c r="E1240" s="14" t="s">
        <v>86</v>
      </c>
      <c r="F1240" s="14">
        <v>2</v>
      </c>
      <c r="G1240" s="14">
        <v>60</v>
      </c>
      <c r="H1240" s="14" t="s">
        <v>1400</v>
      </c>
      <c r="I1240" s="14" t="s">
        <v>75</v>
      </c>
      <c r="J1240" s="14" t="s">
        <v>201</v>
      </c>
      <c r="K1240" s="14">
        <v>1</v>
      </c>
      <c r="L1240" s="14" t="s">
        <v>1400</v>
      </c>
      <c r="N1240" s="14">
        <v>0</v>
      </c>
      <c r="O1240" s="14" t="b">
        <v>1</v>
      </c>
      <c r="Q1240" s="14" t="b">
        <v>0</v>
      </c>
      <c r="R1240" s="14">
        <v>1</v>
      </c>
      <c r="S1240" s="14" t="s">
        <v>77</v>
      </c>
      <c r="T1240" s="14">
        <v>999</v>
      </c>
      <c r="U1240" s="14" t="s">
        <v>1401</v>
      </c>
      <c r="V1240" s="14">
        <v>31932002</v>
      </c>
      <c r="X1240" s="14" t="s">
        <v>1404</v>
      </c>
      <c r="Y1240" s="14" t="s">
        <v>215</v>
      </c>
      <c r="Z1240" s="14">
        <v>20003</v>
      </c>
      <c r="AA1240" s="14" t="s">
        <v>1405</v>
      </c>
      <c r="AB1240" s="14">
        <v>40001</v>
      </c>
      <c r="AE1240" s="14" t="s">
        <v>1400</v>
      </c>
      <c r="AF1240" s="14" t="s">
        <v>1400</v>
      </c>
      <c r="AG1240" s="14" t="s">
        <v>86</v>
      </c>
    </row>
    <row r="1241" spans="2:33">
      <c r="B1241" s="14">
        <f>10000000+INDEX(编号表!$B:$B,MATCH(H1241,编号表!$A:$A,0))*100000+INDEX(编号表!$F:$F,MATCH(D1241,编号表!$E:$E,0))*10000+INDEX(编号表!$D:$D,MATCH(AG1241,编号表!$C:$C,0))*1000+F1241</f>
        <v>11912001</v>
      </c>
      <c r="C1241" s="14" t="s">
        <v>1406</v>
      </c>
      <c r="D1241" s="14" t="s">
        <v>72</v>
      </c>
      <c r="E1241" s="14" t="s">
        <v>86</v>
      </c>
      <c r="F1241" s="14">
        <v>1</v>
      </c>
      <c r="G1241" s="14">
        <v>60</v>
      </c>
      <c r="H1241" s="14" t="s">
        <v>1400</v>
      </c>
      <c r="I1241" s="14" t="s">
        <v>75</v>
      </c>
      <c r="J1241" s="14" t="s">
        <v>201</v>
      </c>
      <c r="K1241" s="14">
        <v>1</v>
      </c>
      <c r="L1241" s="14" t="s">
        <v>1400</v>
      </c>
      <c r="N1241" s="14">
        <v>0</v>
      </c>
      <c r="O1241" s="14" t="b">
        <v>1</v>
      </c>
      <c r="Q1241" s="14" t="b">
        <v>0</v>
      </c>
      <c r="R1241" s="14">
        <v>1</v>
      </c>
      <c r="S1241" s="14" t="s">
        <v>77</v>
      </c>
      <c r="T1241" s="14">
        <v>999</v>
      </c>
      <c r="U1241" s="14" t="s">
        <v>1401</v>
      </c>
      <c r="V1241" s="14">
        <v>31912001</v>
      </c>
      <c r="X1241" s="14" t="s">
        <v>1407</v>
      </c>
      <c r="Y1241" s="14" t="s">
        <v>215</v>
      </c>
      <c r="Z1241" s="14">
        <v>20004</v>
      </c>
      <c r="AA1241" s="14" t="s">
        <v>1408</v>
      </c>
      <c r="AB1241" s="14">
        <v>40001</v>
      </c>
      <c r="AE1241" s="14" t="s">
        <v>1400</v>
      </c>
      <c r="AF1241" s="14" t="s">
        <v>1400</v>
      </c>
      <c r="AG1241" s="14" t="s">
        <v>86</v>
      </c>
    </row>
    <row r="1242" spans="2:33">
      <c r="B1242" s="14">
        <f>10000000+INDEX(编号表!$B:$B,MATCH(H1242,编号表!$A:$A,0))*100000+INDEX(编号表!$F:$F,MATCH(D1242,编号表!$E:$E,0))*10000+INDEX(编号表!$D:$D,MATCH(AG1242,编号表!$C:$C,0))*1000+F1242</f>
        <v>11922002</v>
      </c>
      <c r="C1242" s="14" t="s">
        <v>1406</v>
      </c>
      <c r="D1242" s="14" t="s">
        <v>112</v>
      </c>
      <c r="E1242" s="14" t="s">
        <v>86</v>
      </c>
      <c r="F1242" s="14">
        <v>2</v>
      </c>
      <c r="G1242" s="14">
        <v>60</v>
      </c>
      <c r="H1242" s="14" t="s">
        <v>1400</v>
      </c>
      <c r="I1242" s="14" t="s">
        <v>75</v>
      </c>
      <c r="J1242" s="14" t="s">
        <v>201</v>
      </c>
      <c r="K1242" s="14">
        <v>1</v>
      </c>
      <c r="L1242" s="14" t="s">
        <v>1400</v>
      </c>
      <c r="N1242" s="14">
        <v>0</v>
      </c>
      <c r="O1242" s="14" t="b">
        <v>1</v>
      </c>
      <c r="Q1242" s="14" t="b">
        <v>0</v>
      </c>
      <c r="R1242" s="14">
        <v>1</v>
      </c>
      <c r="S1242" s="14" t="s">
        <v>77</v>
      </c>
      <c r="T1242" s="14">
        <v>999</v>
      </c>
      <c r="U1242" s="14" t="s">
        <v>1401</v>
      </c>
      <c r="V1242" s="14">
        <v>31922002</v>
      </c>
      <c r="X1242" s="14" t="s">
        <v>1409</v>
      </c>
      <c r="Y1242" s="14" t="s">
        <v>215</v>
      </c>
      <c r="Z1242" s="14">
        <v>20005</v>
      </c>
      <c r="AA1242" s="14" t="s">
        <v>1410</v>
      </c>
      <c r="AB1242" s="14">
        <v>40001</v>
      </c>
      <c r="AE1242" s="14" t="s">
        <v>1400</v>
      </c>
      <c r="AF1242" s="14" t="s">
        <v>1400</v>
      </c>
      <c r="AG1242" s="14" t="s">
        <v>86</v>
      </c>
    </row>
    <row r="1243" spans="2:33">
      <c r="B1243" s="14">
        <f>10000000+INDEX(编号表!$B:$B,MATCH(H1243,编号表!$A:$A,0))*100000+INDEX(编号表!$F:$F,MATCH(D1243,编号表!$E:$E,0))*10000+INDEX(编号表!$D:$D,MATCH(AG1243,编号表!$C:$C,0))*1000+F1243</f>
        <v>11932003</v>
      </c>
      <c r="C1243" s="14" t="s">
        <v>1406</v>
      </c>
      <c r="D1243" s="14" t="s">
        <v>276</v>
      </c>
      <c r="E1243" s="14" t="s">
        <v>86</v>
      </c>
      <c r="F1243" s="14">
        <v>3</v>
      </c>
      <c r="G1243" s="14">
        <v>60</v>
      </c>
      <c r="H1243" s="14" t="s">
        <v>1400</v>
      </c>
      <c r="I1243" s="14" t="s">
        <v>75</v>
      </c>
      <c r="J1243" s="14" t="s">
        <v>201</v>
      </c>
      <c r="K1243" s="14">
        <v>1</v>
      </c>
      <c r="L1243" s="14" t="s">
        <v>1400</v>
      </c>
      <c r="N1243" s="14">
        <v>0</v>
      </c>
      <c r="O1243" s="14" t="b">
        <v>1</v>
      </c>
      <c r="Q1243" s="14" t="b">
        <v>0</v>
      </c>
      <c r="R1243" s="14">
        <v>1</v>
      </c>
      <c r="S1243" s="14" t="s">
        <v>77</v>
      </c>
      <c r="T1243" s="14">
        <v>999</v>
      </c>
      <c r="U1243" s="14" t="s">
        <v>1401</v>
      </c>
      <c r="V1243" s="14">
        <v>31932003</v>
      </c>
      <c r="X1243" s="14" t="s">
        <v>1411</v>
      </c>
      <c r="Y1243" s="14" t="s">
        <v>215</v>
      </c>
      <c r="Z1243" s="14">
        <v>20006</v>
      </c>
      <c r="AA1243" s="14" t="s">
        <v>1412</v>
      </c>
      <c r="AB1243" s="14">
        <v>40001</v>
      </c>
      <c r="AE1243" s="14" t="s">
        <v>1400</v>
      </c>
      <c r="AF1243" s="14" t="s">
        <v>1400</v>
      </c>
      <c r="AG1243" s="14" t="s">
        <v>86</v>
      </c>
    </row>
    <row r="1244" spans="2:33">
      <c r="B1244" s="14">
        <f>10000000+INDEX(编号表!$B:$B,MATCH(H1244,编号表!$A:$A,0))*100000+INDEX(编号表!$F:$F,MATCH(D1244,编号表!$E:$E,0))*10000+INDEX(编号表!$D:$D,MATCH(AG1244,编号表!$C:$C,0))*1000+F1244</f>
        <v>11912002</v>
      </c>
      <c r="C1244" s="14" t="s">
        <v>1413</v>
      </c>
      <c r="D1244" s="14" t="s">
        <v>72</v>
      </c>
      <c r="E1244" s="14" t="s">
        <v>86</v>
      </c>
      <c r="F1244" s="14">
        <v>2</v>
      </c>
      <c r="G1244" s="14">
        <v>60</v>
      </c>
      <c r="H1244" s="14" t="s">
        <v>1400</v>
      </c>
      <c r="I1244" s="14" t="s">
        <v>75</v>
      </c>
      <c r="J1244" s="14" t="s">
        <v>201</v>
      </c>
      <c r="K1244" s="14">
        <v>1</v>
      </c>
      <c r="L1244" s="14" t="s">
        <v>1400</v>
      </c>
      <c r="N1244" s="14">
        <v>0</v>
      </c>
      <c r="O1244" s="14" t="b">
        <v>1</v>
      </c>
      <c r="Q1244" s="14" t="b">
        <v>0</v>
      </c>
      <c r="R1244" s="14">
        <v>1</v>
      </c>
      <c r="S1244" s="14" t="s">
        <v>77</v>
      </c>
      <c r="T1244" s="14">
        <v>999</v>
      </c>
      <c r="U1244" s="14" t="s">
        <v>1401</v>
      </c>
      <c r="V1244" s="14">
        <v>31912002</v>
      </c>
      <c r="X1244" s="14" t="s">
        <v>1414</v>
      </c>
      <c r="Y1244" s="14" t="s">
        <v>215</v>
      </c>
      <c r="Z1244" s="14">
        <v>20007</v>
      </c>
      <c r="AA1244" s="14" t="s">
        <v>1415</v>
      </c>
      <c r="AB1244" s="14">
        <v>40001</v>
      </c>
      <c r="AE1244" s="14" t="s">
        <v>1400</v>
      </c>
      <c r="AF1244" s="14" t="s">
        <v>1400</v>
      </c>
      <c r="AG1244" s="14" t="s">
        <v>86</v>
      </c>
    </row>
    <row r="1245" spans="2:33">
      <c r="B1245" s="14">
        <f>10000000+INDEX(编号表!$B:$B,MATCH(H1245,编号表!$A:$A,0))*100000+INDEX(编号表!$F:$F,MATCH(D1245,编号表!$E:$E,0))*10000+INDEX(编号表!$D:$D,MATCH(AG1245,编号表!$C:$C,0))*1000+F1245</f>
        <v>11922003</v>
      </c>
      <c r="C1245" s="14" t="s">
        <v>1413</v>
      </c>
      <c r="D1245" s="14" t="s">
        <v>112</v>
      </c>
      <c r="E1245" s="14" t="s">
        <v>86</v>
      </c>
      <c r="F1245" s="14">
        <v>3</v>
      </c>
      <c r="G1245" s="14">
        <v>60</v>
      </c>
      <c r="H1245" s="14" t="s">
        <v>1400</v>
      </c>
      <c r="I1245" s="14" t="s">
        <v>75</v>
      </c>
      <c r="J1245" s="14" t="s">
        <v>201</v>
      </c>
      <c r="K1245" s="14">
        <v>1</v>
      </c>
      <c r="L1245" s="14" t="s">
        <v>1400</v>
      </c>
      <c r="N1245" s="14">
        <v>0</v>
      </c>
      <c r="O1245" s="14" t="b">
        <v>1</v>
      </c>
      <c r="Q1245" s="14" t="b">
        <v>0</v>
      </c>
      <c r="R1245" s="14">
        <v>1</v>
      </c>
      <c r="S1245" s="14" t="s">
        <v>77</v>
      </c>
      <c r="T1245" s="14">
        <v>999</v>
      </c>
      <c r="U1245" s="14" t="s">
        <v>1401</v>
      </c>
      <c r="V1245" s="14">
        <v>31922003</v>
      </c>
      <c r="X1245" s="14" t="s">
        <v>1416</v>
      </c>
      <c r="Y1245" s="14" t="s">
        <v>215</v>
      </c>
      <c r="Z1245" s="14">
        <v>20008</v>
      </c>
      <c r="AA1245" s="14" t="s">
        <v>1417</v>
      </c>
      <c r="AB1245" s="14">
        <v>40001</v>
      </c>
      <c r="AE1245" s="14" t="s">
        <v>1400</v>
      </c>
      <c r="AF1245" s="14" t="s">
        <v>1400</v>
      </c>
      <c r="AG1245" s="14" t="s">
        <v>86</v>
      </c>
    </row>
    <row r="1246" spans="2:33">
      <c r="B1246" s="14">
        <f>10000000+INDEX(编号表!$B:$B,MATCH(H1246,编号表!$A:$A,0))*100000+INDEX(编号表!$F:$F,MATCH(D1246,编号表!$E:$E,0))*10000+INDEX(编号表!$D:$D,MATCH(AG1246,编号表!$C:$C,0))*1000+F1246</f>
        <v>11932004</v>
      </c>
      <c r="C1246" s="14" t="s">
        <v>1413</v>
      </c>
      <c r="D1246" s="14" t="s">
        <v>276</v>
      </c>
      <c r="E1246" s="14" t="s">
        <v>86</v>
      </c>
      <c r="F1246" s="14">
        <v>4</v>
      </c>
      <c r="G1246" s="14">
        <v>60</v>
      </c>
      <c r="H1246" s="14" t="s">
        <v>1400</v>
      </c>
      <c r="I1246" s="14" t="s">
        <v>75</v>
      </c>
      <c r="J1246" s="14" t="s">
        <v>201</v>
      </c>
      <c r="K1246" s="14">
        <v>1</v>
      </c>
      <c r="L1246" s="14" t="s">
        <v>1400</v>
      </c>
      <c r="N1246" s="14">
        <v>0</v>
      </c>
      <c r="O1246" s="14" t="b">
        <v>1</v>
      </c>
      <c r="Q1246" s="14" t="b">
        <v>0</v>
      </c>
      <c r="R1246" s="14">
        <v>1</v>
      </c>
      <c r="S1246" s="14" t="s">
        <v>77</v>
      </c>
      <c r="T1246" s="14">
        <v>999</v>
      </c>
      <c r="U1246" s="14" t="s">
        <v>1401</v>
      </c>
      <c r="V1246" s="14">
        <v>31932004</v>
      </c>
      <c r="X1246" s="14" t="s">
        <v>1418</v>
      </c>
      <c r="Y1246" s="14" t="s">
        <v>215</v>
      </c>
      <c r="Z1246" s="14">
        <v>20009</v>
      </c>
      <c r="AA1246" s="14" t="s">
        <v>1419</v>
      </c>
      <c r="AB1246" s="14">
        <v>40001</v>
      </c>
      <c r="AE1246" s="14" t="s">
        <v>1400</v>
      </c>
      <c r="AF1246" s="14" t="s">
        <v>1400</v>
      </c>
      <c r="AG1246" s="14" t="s">
        <v>86</v>
      </c>
    </row>
    <row r="1247" spans="2:33">
      <c r="B1247" s="14">
        <f>10000000+INDEX(编号表!$B:$B,MATCH(H1247,编号表!$A:$A,0))*100000+INDEX(编号表!$F:$F,MATCH(D1247,编号表!$E:$E,0))*10000+INDEX(编号表!$D:$D,MATCH(AG1247,编号表!$C:$C,0))*1000+F1247</f>
        <v>11912003</v>
      </c>
      <c r="C1247" s="14" t="s">
        <v>1420</v>
      </c>
      <c r="D1247" s="14" t="s">
        <v>72</v>
      </c>
      <c r="E1247" s="14" t="s">
        <v>86</v>
      </c>
      <c r="F1247" s="14">
        <v>3</v>
      </c>
      <c r="G1247" s="14">
        <v>60</v>
      </c>
      <c r="H1247" s="14" t="s">
        <v>1400</v>
      </c>
      <c r="I1247" s="14" t="s">
        <v>75</v>
      </c>
      <c r="J1247" s="14" t="s">
        <v>201</v>
      </c>
      <c r="K1247" s="14">
        <v>1</v>
      </c>
      <c r="L1247" s="14" t="s">
        <v>1400</v>
      </c>
      <c r="N1247" s="14">
        <v>0</v>
      </c>
      <c r="O1247" s="14" t="b">
        <v>1</v>
      </c>
      <c r="Q1247" s="14" t="b">
        <v>0</v>
      </c>
      <c r="R1247" s="14">
        <v>1</v>
      </c>
      <c r="S1247" s="14" t="s">
        <v>77</v>
      </c>
      <c r="T1247" s="14">
        <v>999</v>
      </c>
      <c r="U1247" s="14" t="s">
        <v>1401</v>
      </c>
      <c r="V1247" s="14">
        <v>31912003</v>
      </c>
      <c r="X1247" s="14" t="s">
        <v>1421</v>
      </c>
      <c r="Y1247" s="14" t="s">
        <v>215</v>
      </c>
      <c r="Z1247" s="14">
        <v>20010</v>
      </c>
      <c r="AA1247" s="14" t="s">
        <v>1422</v>
      </c>
      <c r="AB1247" s="14">
        <v>40001</v>
      </c>
      <c r="AE1247" s="14" t="s">
        <v>1400</v>
      </c>
      <c r="AF1247" s="14" t="s">
        <v>1400</v>
      </c>
      <c r="AG1247" s="14" t="s">
        <v>86</v>
      </c>
    </row>
    <row r="1248" spans="2:33">
      <c r="B1248" s="14">
        <f>10000000+INDEX(编号表!$B:$B,MATCH(H1248,编号表!$A:$A,0))*100000+INDEX(编号表!$F:$F,MATCH(D1248,编号表!$E:$E,0))*10000+INDEX(编号表!$D:$D,MATCH(AG1248,编号表!$C:$C,0))*1000+F1248</f>
        <v>11922004</v>
      </c>
      <c r="C1248" s="14" t="s">
        <v>1420</v>
      </c>
      <c r="D1248" s="14" t="s">
        <v>112</v>
      </c>
      <c r="E1248" s="14" t="s">
        <v>86</v>
      </c>
      <c r="F1248" s="14">
        <v>4</v>
      </c>
      <c r="G1248" s="14">
        <v>60</v>
      </c>
      <c r="H1248" s="14" t="s">
        <v>1400</v>
      </c>
      <c r="I1248" s="14" t="s">
        <v>75</v>
      </c>
      <c r="J1248" s="14" t="s">
        <v>201</v>
      </c>
      <c r="K1248" s="14">
        <v>1</v>
      </c>
      <c r="L1248" s="14" t="s">
        <v>1400</v>
      </c>
      <c r="N1248" s="14">
        <v>0</v>
      </c>
      <c r="O1248" s="14" t="b">
        <v>1</v>
      </c>
      <c r="Q1248" s="14" t="b">
        <v>0</v>
      </c>
      <c r="R1248" s="14">
        <v>1</v>
      </c>
      <c r="S1248" s="14" t="s">
        <v>77</v>
      </c>
      <c r="T1248" s="14">
        <v>999</v>
      </c>
      <c r="U1248" s="14" t="s">
        <v>1401</v>
      </c>
      <c r="V1248" s="14">
        <v>31922004</v>
      </c>
      <c r="X1248" s="14" t="s">
        <v>1423</v>
      </c>
      <c r="Y1248" s="14" t="s">
        <v>215</v>
      </c>
      <c r="Z1248" s="14">
        <v>20011</v>
      </c>
      <c r="AA1248" s="14" t="s">
        <v>1424</v>
      </c>
      <c r="AB1248" s="14">
        <v>40001</v>
      </c>
      <c r="AE1248" s="14" t="s">
        <v>1400</v>
      </c>
      <c r="AF1248" s="14" t="s">
        <v>1400</v>
      </c>
      <c r="AG1248" s="14" t="s">
        <v>86</v>
      </c>
    </row>
    <row r="1249" spans="2:33">
      <c r="B1249" s="14">
        <f>10000000+INDEX(编号表!$B:$B,MATCH(H1249,编号表!$A:$A,0))*100000+INDEX(编号表!$F:$F,MATCH(D1249,编号表!$E:$E,0))*10000+INDEX(编号表!$D:$D,MATCH(AG1249,编号表!$C:$C,0))*1000+F1249</f>
        <v>11932005</v>
      </c>
      <c r="C1249" s="14" t="s">
        <v>1420</v>
      </c>
      <c r="D1249" s="14" t="s">
        <v>276</v>
      </c>
      <c r="E1249" s="14" t="s">
        <v>86</v>
      </c>
      <c r="F1249" s="14">
        <v>5</v>
      </c>
      <c r="G1249" s="14">
        <v>60</v>
      </c>
      <c r="H1249" s="14" t="s">
        <v>1400</v>
      </c>
      <c r="I1249" s="14" t="s">
        <v>75</v>
      </c>
      <c r="J1249" s="14" t="s">
        <v>201</v>
      </c>
      <c r="K1249" s="14">
        <v>1</v>
      </c>
      <c r="L1249" s="14" t="s">
        <v>1400</v>
      </c>
      <c r="N1249" s="14">
        <v>0</v>
      </c>
      <c r="O1249" s="14" t="b">
        <v>1</v>
      </c>
      <c r="Q1249" s="14" t="b">
        <v>0</v>
      </c>
      <c r="R1249" s="14">
        <v>1</v>
      </c>
      <c r="S1249" s="14" t="s">
        <v>77</v>
      </c>
      <c r="T1249" s="14">
        <v>999</v>
      </c>
      <c r="U1249" s="14" t="s">
        <v>1401</v>
      </c>
      <c r="V1249" s="14">
        <v>31932005</v>
      </c>
      <c r="X1249" s="14" t="s">
        <v>1425</v>
      </c>
      <c r="Y1249" s="14" t="s">
        <v>215</v>
      </c>
      <c r="Z1249" s="14">
        <v>20012</v>
      </c>
      <c r="AA1249" s="14" t="s">
        <v>1426</v>
      </c>
      <c r="AB1249" s="14">
        <v>40001</v>
      </c>
      <c r="AE1249" s="14" t="s">
        <v>1400</v>
      </c>
      <c r="AF1249" s="14" t="s">
        <v>1400</v>
      </c>
      <c r="AG1249" s="14" t="s">
        <v>86</v>
      </c>
    </row>
    <row r="1250" spans="2:33">
      <c r="B1250" s="14">
        <f>10000000+INDEX(编号表!$B:$B,MATCH(H1250,编号表!$A:$A,0))*100000+INDEX(编号表!$F:$F,MATCH(D1250,编号表!$E:$E,0))*10000+INDEX(编号表!$D:$D,MATCH(AG1250,编号表!$C:$C,0))*1000+F1250</f>
        <v>11912004</v>
      </c>
      <c r="C1250" s="14" t="s">
        <v>1427</v>
      </c>
      <c r="D1250" s="14" t="s">
        <v>72</v>
      </c>
      <c r="E1250" s="14" t="s">
        <v>86</v>
      </c>
      <c r="F1250" s="14">
        <v>4</v>
      </c>
      <c r="G1250" s="14">
        <v>60</v>
      </c>
      <c r="H1250" s="14" t="s">
        <v>1400</v>
      </c>
      <c r="I1250" s="14" t="s">
        <v>75</v>
      </c>
      <c r="J1250" s="14" t="s">
        <v>201</v>
      </c>
      <c r="K1250" s="14">
        <v>1</v>
      </c>
      <c r="L1250" s="14" t="s">
        <v>1400</v>
      </c>
      <c r="N1250" s="14">
        <v>0</v>
      </c>
      <c r="O1250" s="14" t="b">
        <v>1</v>
      </c>
      <c r="Q1250" s="14" t="b">
        <v>0</v>
      </c>
      <c r="R1250" s="14">
        <v>1</v>
      </c>
      <c r="S1250" s="14" t="s">
        <v>77</v>
      </c>
      <c r="T1250" s="14">
        <v>999</v>
      </c>
      <c r="U1250" s="14" t="s">
        <v>1401</v>
      </c>
      <c r="V1250" s="14">
        <v>31912004</v>
      </c>
      <c r="X1250" s="14" t="s">
        <v>1428</v>
      </c>
      <c r="Y1250" s="14" t="s">
        <v>215</v>
      </c>
      <c r="Z1250" s="14">
        <v>20013</v>
      </c>
      <c r="AA1250" s="14" t="s">
        <v>1429</v>
      </c>
      <c r="AB1250" s="14">
        <v>40001</v>
      </c>
      <c r="AE1250" s="14" t="s">
        <v>1400</v>
      </c>
      <c r="AF1250" s="14" t="s">
        <v>1400</v>
      </c>
      <c r="AG1250" s="14" t="s">
        <v>86</v>
      </c>
    </row>
    <row r="1251" spans="2:33">
      <c r="B1251" s="14">
        <f>10000000+INDEX(编号表!$B:$B,MATCH(H1251,编号表!$A:$A,0))*100000+INDEX(编号表!$F:$F,MATCH(D1251,编号表!$E:$E,0))*10000+INDEX(编号表!$D:$D,MATCH(AG1251,编号表!$C:$C,0))*1000+F1251</f>
        <v>11922005</v>
      </c>
      <c r="C1251" s="14" t="s">
        <v>1427</v>
      </c>
      <c r="D1251" s="14" t="s">
        <v>112</v>
      </c>
      <c r="E1251" s="14" t="s">
        <v>86</v>
      </c>
      <c r="F1251" s="14">
        <v>5</v>
      </c>
      <c r="G1251" s="14">
        <v>60</v>
      </c>
      <c r="H1251" s="14" t="s">
        <v>1400</v>
      </c>
      <c r="I1251" s="14" t="s">
        <v>75</v>
      </c>
      <c r="J1251" s="14" t="s">
        <v>201</v>
      </c>
      <c r="K1251" s="14">
        <v>1</v>
      </c>
      <c r="L1251" s="14" t="s">
        <v>1400</v>
      </c>
      <c r="N1251" s="14">
        <v>0</v>
      </c>
      <c r="O1251" s="14" t="b">
        <v>1</v>
      </c>
      <c r="Q1251" s="14" t="b">
        <v>0</v>
      </c>
      <c r="R1251" s="14">
        <v>1</v>
      </c>
      <c r="S1251" s="14" t="s">
        <v>77</v>
      </c>
      <c r="T1251" s="14">
        <v>999</v>
      </c>
      <c r="U1251" s="14" t="s">
        <v>1401</v>
      </c>
      <c r="V1251" s="14">
        <v>31922005</v>
      </c>
      <c r="X1251" s="14" t="s">
        <v>1430</v>
      </c>
      <c r="Y1251" s="14" t="s">
        <v>215</v>
      </c>
      <c r="Z1251" s="14">
        <v>20014</v>
      </c>
      <c r="AA1251" s="14" t="s">
        <v>1431</v>
      </c>
      <c r="AB1251" s="14">
        <v>40001</v>
      </c>
      <c r="AE1251" s="14" t="s">
        <v>1400</v>
      </c>
      <c r="AF1251" s="14" t="s">
        <v>1400</v>
      </c>
      <c r="AG1251" s="14" t="s">
        <v>86</v>
      </c>
    </row>
    <row r="1252" spans="2:33">
      <c r="B1252" s="14">
        <f>10000000+INDEX(编号表!$B:$B,MATCH(H1252,编号表!$A:$A,0))*100000+INDEX(编号表!$F:$F,MATCH(D1252,编号表!$E:$E,0))*10000+INDEX(编号表!$D:$D,MATCH(AG1252,编号表!$C:$C,0))*1000+F1252</f>
        <v>11932006</v>
      </c>
      <c r="C1252" s="14" t="s">
        <v>1427</v>
      </c>
      <c r="D1252" s="14" t="s">
        <v>276</v>
      </c>
      <c r="E1252" s="14" t="s">
        <v>86</v>
      </c>
      <c r="F1252" s="14">
        <v>6</v>
      </c>
      <c r="G1252" s="14">
        <v>60</v>
      </c>
      <c r="H1252" s="14" t="s">
        <v>1400</v>
      </c>
      <c r="I1252" s="14" t="s">
        <v>75</v>
      </c>
      <c r="J1252" s="14" t="s">
        <v>201</v>
      </c>
      <c r="K1252" s="14">
        <v>1</v>
      </c>
      <c r="L1252" s="14" t="s">
        <v>1400</v>
      </c>
      <c r="N1252" s="14">
        <v>0</v>
      </c>
      <c r="O1252" s="14" t="b">
        <v>1</v>
      </c>
      <c r="Q1252" s="14" t="b">
        <v>0</v>
      </c>
      <c r="R1252" s="14">
        <v>1</v>
      </c>
      <c r="S1252" s="14" t="s">
        <v>77</v>
      </c>
      <c r="T1252" s="14">
        <v>999</v>
      </c>
      <c r="U1252" s="14" t="s">
        <v>1401</v>
      </c>
      <c r="V1252" s="14">
        <v>31932006</v>
      </c>
      <c r="X1252" s="14" t="s">
        <v>1432</v>
      </c>
      <c r="Y1252" s="14" t="s">
        <v>215</v>
      </c>
      <c r="Z1252" s="14">
        <v>20015</v>
      </c>
      <c r="AA1252" s="14" t="s">
        <v>1433</v>
      </c>
      <c r="AB1252" s="14">
        <v>40001</v>
      </c>
      <c r="AE1252" s="14" t="s">
        <v>1400</v>
      </c>
      <c r="AF1252" s="14" t="s">
        <v>1400</v>
      </c>
      <c r="AG1252" s="14" t="s">
        <v>86</v>
      </c>
    </row>
    <row r="1253" spans="2:33">
      <c r="B1253" s="14">
        <f>10000000+INDEX(编号表!$B:$B,MATCH(H1253,编号表!$A:$A,0))*100000+INDEX(编号表!$F:$F,MATCH(D1253,编号表!$E:$E,0))*10000+INDEX(编号表!$D:$D,MATCH(AG1253,编号表!$C:$C,0))*1000+F1253</f>
        <v>11912005</v>
      </c>
      <c r="C1253" s="14" t="s">
        <v>1434</v>
      </c>
      <c r="D1253" s="14" t="s">
        <v>72</v>
      </c>
      <c r="E1253" s="14" t="s">
        <v>86</v>
      </c>
      <c r="F1253" s="14">
        <v>5</v>
      </c>
      <c r="G1253" s="14">
        <v>60</v>
      </c>
      <c r="H1253" s="14" t="s">
        <v>1400</v>
      </c>
      <c r="I1253" s="14" t="s">
        <v>75</v>
      </c>
      <c r="J1253" s="14" t="s">
        <v>201</v>
      </c>
      <c r="K1253" s="14">
        <v>1</v>
      </c>
      <c r="L1253" s="14" t="s">
        <v>1400</v>
      </c>
      <c r="N1253" s="14">
        <v>0</v>
      </c>
      <c r="O1253" s="14" t="b">
        <v>1</v>
      </c>
      <c r="Q1253" s="14" t="b">
        <v>0</v>
      </c>
      <c r="R1253" s="14">
        <v>1</v>
      </c>
      <c r="S1253" s="14" t="s">
        <v>77</v>
      </c>
      <c r="T1253" s="14">
        <v>999</v>
      </c>
      <c r="U1253" s="14" t="s">
        <v>1401</v>
      </c>
      <c r="V1253" s="14">
        <v>31912005</v>
      </c>
      <c r="X1253" s="14" t="s">
        <v>1435</v>
      </c>
      <c r="Y1253" s="14" t="s">
        <v>215</v>
      </c>
      <c r="Z1253" s="14">
        <v>20016</v>
      </c>
      <c r="AA1253" s="14" t="s">
        <v>1436</v>
      </c>
      <c r="AB1253" s="14">
        <v>40001</v>
      </c>
      <c r="AE1253" s="14" t="s">
        <v>1400</v>
      </c>
      <c r="AF1253" s="14" t="s">
        <v>1400</v>
      </c>
      <c r="AG1253" s="14" t="s">
        <v>86</v>
      </c>
    </row>
    <row r="1254" spans="2:33">
      <c r="B1254" s="14">
        <f>10000000+INDEX(编号表!$B:$B,MATCH(H1254,编号表!$A:$A,0))*100000+INDEX(编号表!$F:$F,MATCH(D1254,编号表!$E:$E,0))*10000+INDEX(编号表!$D:$D,MATCH(AG1254,编号表!$C:$C,0))*1000+F1254</f>
        <v>11922006</v>
      </c>
      <c r="C1254" s="14" t="s">
        <v>1434</v>
      </c>
      <c r="D1254" s="14" t="s">
        <v>112</v>
      </c>
      <c r="E1254" s="14" t="s">
        <v>86</v>
      </c>
      <c r="F1254" s="14">
        <v>6</v>
      </c>
      <c r="G1254" s="14">
        <v>60</v>
      </c>
      <c r="H1254" s="14" t="s">
        <v>1400</v>
      </c>
      <c r="I1254" s="14" t="s">
        <v>75</v>
      </c>
      <c r="J1254" s="14" t="s">
        <v>201</v>
      </c>
      <c r="K1254" s="14">
        <v>1</v>
      </c>
      <c r="L1254" s="14" t="s">
        <v>1400</v>
      </c>
      <c r="N1254" s="14">
        <v>0</v>
      </c>
      <c r="O1254" s="14" t="b">
        <v>1</v>
      </c>
      <c r="Q1254" s="14" t="b">
        <v>0</v>
      </c>
      <c r="R1254" s="14">
        <v>1</v>
      </c>
      <c r="S1254" s="14" t="s">
        <v>77</v>
      </c>
      <c r="T1254" s="14">
        <v>999</v>
      </c>
      <c r="U1254" s="14" t="s">
        <v>1401</v>
      </c>
      <c r="V1254" s="14">
        <v>31922006</v>
      </c>
      <c r="X1254" s="14" t="s">
        <v>1437</v>
      </c>
      <c r="Y1254" s="14" t="s">
        <v>215</v>
      </c>
      <c r="Z1254" s="14">
        <v>20017</v>
      </c>
      <c r="AA1254" s="14" t="s">
        <v>1438</v>
      </c>
      <c r="AB1254" s="14">
        <v>40001</v>
      </c>
      <c r="AE1254" s="14" t="s">
        <v>1400</v>
      </c>
      <c r="AF1254" s="14" t="s">
        <v>1400</v>
      </c>
      <c r="AG1254" s="14" t="s">
        <v>86</v>
      </c>
    </row>
    <row r="1255" spans="2:33">
      <c r="B1255" s="14">
        <f>10000000+INDEX(编号表!$B:$B,MATCH(H1255,编号表!$A:$A,0))*100000+INDEX(编号表!$F:$F,MATCH(D1255,编号表!$E:$E,0))*10000+INDEX(编号表!$D:$D,MATCH(AG1255,编号表!$C:$C,0))*1000+F1255</f>
        <v>11932007</v>
      </c>
      <c r="C1255" s="14" t="s">
        <v>1434</v>
      </c>
      <c r="D1255" s="14" t="s">
        <v>276</v>
      </c>
      <c r="E1255" s="14" t="s">
        <v>86</v>
      </c>
      <c r="F1255" s="14">
        <v>7</v>
      </c>
      <c r="G1255" s="14">
        <v>60</v>
      </c>
      <c r="H1255" s="14" t="s">
        <v>1400</v>
      </c>
      <c r="I1255" s="14" t="s">
        <v>75</v>
      </c>
      <c r="J1255" s="14" t="s">
        <v>201</v>
      </c>
      <c r="K1255" s="14">
        <v>1</v>
      </c>
      <c r="L1255" s="14" t="s">
        <v>1400</v>
      </c>
      <c r="N1255" s="14">
        <v>0</v>
      </c>
      <c r="O1255" s="14" t="b">
        <v>1</v>
      </c>
      <c r="Q1255" s="14" t="b">
        <v>0</v>
      </c>
      <c r="R1255" s="14">
        <v>1</v>
      </c>
      <c r="S1255" s="14" t="s">
        <v>77</v>
      </c>
      <c r="T1255" s="14">
        <v>999</v>
      </c>
      <c r="U1255" s="14" t="s">
        <v>1401</v>
      </c>
      <c r="V1255" s="14">
        <v>31932007</v>
      </c>
      <c r="X1255" s="14" t="s">
        <v>1439</v>
      </c>
      <c r="Y1255" s="14" t="s">
        <v>215</v>
      </c>
      <c r="Z1255" s="14">
        <v>20018</v>
      </c>
      <c r="AA1255" s="14" t="s">
        <v>1440</v>
      </c>
      <c r="AB1255" s="14">
        <v>40001</v>
      </c>
      <c r="AE1255" s="14" t="s">
        <v>1400</v>
      </c>
      <c r="AF1255" s="14" t="s">
        <v>1400</v>
      </c>
      <c r="AG1255" s="14" t="s">
        <v>86</v>
      </c>
    </row>
    <row r="1256" spans="2:33">
      <c r="B1256" s="14">
        <f>10000000+INDEX(编号表!$B:$B,MATCH(H1256,编号表!$A:$A,0))*100000+INDEX(编号表!$F:$F,MATCH(D1256,编号表!$E:$E,0))*10000+INDEX(编号表!$D:$D,MATCH(AG1256,编号表!$C:$C,0))*1000+F1256</f>
        <v>11912006</v>
      </c>
      <c r="C1256" s="14" t="s">
        <v>1441</v>
      </c>
      <c r="D1256" s="14" t="s">
        <v>72</v>
      </c>
      <c r="E1256" s="14" t="s">
        <v>86</v>
      </c>
      <c r="F1256" s="14">
        <v>6</v>
      </c>
      <c r="G1256" s="14">
        <v>60</v>
      </c>
      <c r="H1256" s="14" t="s">
        <v>1400</v>
      </c>
      <c r="I1256" s="14" t="s">
        <v>75</v>
      </c>
      <c r="J1256" s="14" t="s">
        <v>201</v>
      </c>
      <c r="K1256" s="14">
        <v>1</v>
      </c>
      <c r="L1256" s="14" t="s">
        <v>1400</v>
      </c>
      <c r="N1256" s="14">
        <v>0</v>
      </c>
      <c r="O1256" s="14" t="b">
        <v>1</v>
      </c>
      <c r="Q1256" s="14" t="b">
        <v>0</v>
      </c>
      <c r="R1256" s="14">
        <v>1</v>
      </c>
      <c r="S1256" s="14" t="s">
        <v>77</v>
      </c>
      <c r="T1256" s="14">
        <v>999</v>
      </c>
      <c r="U1256" s="14" t="s">
        <v>1401</v>
      </c>
      <c r="V1256" s="14">
        <v>31912006</v>
      </c>
      <c r="X1256" s="14" t="s">
        <v>1442</v>
      </c>
      <c r="Y1256" s="14" t="s">
        <v>215</v>
      </c>
      <c r="Z1256" s="14">
        <v>20019</v>
      </c>
      <c r="AA1256" s="14" t="s">
        <v>1443</v>
      </c>
      <c r="AB1256" s="14">
        <v>40001</v>
      </c>
      <c r="AE1256" s="14" t="s">
        <v>1400</v>
      </c>
      <c r="AF1256" s="14" t="s">
        <v>1400</v>
      </c>
      <c r="AG1256" s="14" t="s">
        <v>86</v>
      </c>
    </row>
    <row r="1257" spans="2:33">
      <c r="B1257" s="14">
        <f>10000000+INDEX(编号表!$B:$B,MATCH(H1257,编号表!$A:$A,0))*100000+INDEX(编号表!$F:$F,MATCH(D1257,编号表!$E:$E,0))*10000+INDEX(编号表!$D:$D,MATCH(AG1257,编号表!$C:$C,0))*1000+F1257</f>
        <v>11922007</v>
      </c>
      <c r="C1257" s="14" t="s">
        <v>1441</v>
      </c>
      <c r="D1257" s="14" t="s">
        <v>112</v>
      </c>
      <c r="E1257" s="14" t="s">
        <v>86</v>
      </c>
      <c r="F1257" s="14">
        <v>7</v>
      </c>
      <c r="G1257" s="14">
        <v>60</v>
      </c>
      <c r="H1257" s="14" t="s">
        <v>1400</v>
      </c>
      <c r="I1257" s="14" t="s">
        <v>75</v>
      </c>
      <c r="J1257" s="14" t="s">
        <v>201</v>
      </c>
      <c r="K1257" s="14">
        <v>1</v>
      </c>
      <c r="L1257" s="14" t="s">
        <v>1400</v>
      </c>
      <c r="N1257" s="14">
        <v>0</v>
      </c>
      <c r="O1257" s="14" t="b">
        <v>1</v>
      </c>
      <c r="Q1257" s="14" t="b">
        <v>0</v>
      </c>
      <c r="R1257" s="14">
        <v>1</v>
      </c>
      <c r="S1257" s="14" t="s">
        <v>77</v>
      </c>
      <c r="T1257" s="14">
        <v>999</v>
      </c>
      <c r="U1257" s="14" t="s">
        <v>1401</v>
      </c>
      <c r="V1257" s="14">
        <v>31922007</v>
      </c>
      <c r="X1257" s="14" t="s">
        <v>1444</v>
      </c>
      <c r="Y1257" s="14" t="s">
        <v>215</v>
      </c>
      <c r="Z1257" s="14">
        <v>20020</v>
      </c>
      <c r="AA1257" s="14" t="s">
        <v>1445</v>
      </c>
      <c r="AB1257" s="14">
        <v>40001</v>
      </c>
      <c r="AE1257" s="14" t="s">
        <v>1400</v>
      </c>
      <c r="AF1257" s="14" t="s">
        <v>1400</v>
      </c>
      <c r="AG1257" s="14" t="s">
        <v>86</v>
      </c>
    </row>
    <row r="1258" spans="2:33">
      <c r="B1258" s="14">
        <f>10000000+INDEX(编号表!$B:$B,MATCH(H1258,编号表!$A:$A,0))*100000+INDEX(编号表!$F:$F,MATCH(D1258,编号表!$E:$E,0))*10000+INDEX(编号表!$D:$D,MATCH(AG1258,编号表!$C:$C,0))*1000+F1258</f>
        <v>11932008</v>
      </c>
      <c r="C1258" s="14" t="s">
        <v>1441</v>
      </c>
      <c r="D1258" s="14" t="s">
        <v>276</v>
      </c>
      <c r="E1258" s="14" t="s">
        <v>86</v>
      </c>
      <c r="F1258" s="14">
        <v>8</v>
      </c>
      <c r="G1258" s="14">
        <v>60</v>
      </c>
      <c r="H1258" s="14" t="s">
        <v>1400</v>
      </c>
      <c r="I1258" s="14" t="s">
        <v>75</v>
      </c>
      <c r="J1258" s="14" t="s">
        <v>201</v>
      </c>
      <c r="K1258" s="14">
        <v>1</v>
      </c>
      <c r="L1258" s="14" t="s">
        <v>1400</v>
      </c>
      <c r="N1258" s="14">
        <v>0</v>
      </c>
      <c r="O1258" s="14" t="b">
        <v>1</v>
      </c>
      <c r="Q1258" s="14" t="b">
        <v>0</v>
      </c>
      <c r="R1258" s="14">
        <v>1</v>
      </c>
      <c r="S1258" s="14" t="s">
        <v>77</v>
      </c>
      <c r="T1258" s="14">
        <v>999</v>
      </c>
      <c r="U1258" s="14" t="s">
        <v>1401</v>
      </c>
      <c r="V1258" s="14">
        <v>31932008</v>
      </c>
      <c r="X1258" s="14" t="s">
        <v>1446</v>
      </c>
      <c r="Y1258" s="14" t="s">
        <v>215</v>
      </c>
      <c r="Z1258" s="14">
        <v>20021</v>
      </c>
      <c r="AA1258" s="14" t="s">
        <v>1447</v>
      </c>
      <c r="AB1258" s="14">
        <v>40001</v>
      </c>
      <c r="AE1258" s="14" t="s">
        <v>1400</v>
      </c>
      <c r="AF1258" s="14" t="s">
        <v>1400</v>
      </c>
      <c r="AG1258" s="14" t="s">
        <v>86</v>
      </c>
    </row>
    <row r="1259" spans="2:33">
      <c r="B1259" s="14">
        <f>10000000+INDEX(编号表!$B:$B,MATCH(H1259,编号表!$A:$A,0))*100000+INDEX(编号表!$F:$F,MATCH(D1259,编号表!$E:$E,0))*10000+INDEX(编号表!$D:$D,MATCH(AG1259,编号表!$C:$C,0))*1000+F1259</f>
        <v>11912007</v>
      </c>
      <c r="C1259" s="14" t="s">
        <v>1448</v>
      </c>
      <c r="D1259" s="14" t="s">
        <v>72</v>
      </c>
      <c r="E1259" s="14" t="s">
        <v>86</v>
      </c>
      <c r="F1259" s="14">
        <v>7</v>
      </c>
      <c r="G1259" s="14">
        <v>60</v>
      </c>
      <c r="H1259" s="14" t="s">
        <v>1400</v>
      </c>
      <c r="I1259" s="14" t="s">
        <v>75</v>
      </c>
      <c r="J1259" s="14" t="s">
        <v>201</v>
      </c>
      <c r="K1259" s="14">
        <v>1</v>
      </c>
      <c r="L1259" s="14" t="s">
        <v>1400</v>
      </c>
      <c r="N1259" s="14">
        <v>0</v>
      </c>
      <c r="O1259" s="14" t="b">
        <v>1</v>
      </c>
      <c r="Q1259" s="14" t="b">
        <v>0</v>
      </c>
      <c r="R1259" s="14">
        <v>1</v>
      </c>
      <c r="S1259" s="14" t="s">
        <v>77</v>
      </c>
      <c r="T1259" s="14">
        <v>999</v>
      </c>
      <c r="U1259" s="14" t="s">
        <v>1401</v>
      </c>
      <c r="V1259" s="14">
        <v>31912007</v>
      </c>
      <c r="X1259" s="14" t="s">
        <v>1449</v>
      </c>
      <c r="Y1259" s="14" t="s">
        <v>215</v>
      </c>
      <c r="Z1259" s="14">
        <v>20022</v>
      </c>
      <c r="AA1259" s="14" t="s">
        <v>1450</v>
      </c>
      <c r="AB1259" s="14">
        <v>40001</v>
      </c>
      <c r="AE1259" s="14" t="s">
        <v>1400</v>
      </c>
      <c r="AF1259" s="14" t="s">
        <v>1400</v>
      </c>
      <c r="AG1259" s="14" t="s">
        <v>86</v>
      </c>
    </row>
    <row r="1260" spans="2:33">
      <c r="B1260" s="14">
        <f>10000000+INDEX(编号表!$B:$B,MATCH(H1260,编号表!$A:$A,0))*100000+INDEX(编号表!$F:$F,MATCH(D1260,编号表!$E:$E,0))*10000+INDEX(编号表!$D:$D,MATCH(AG1260,编号表!$C:$C,0))*1000+F1260</f>
        <v>11922008</v>
      </c>
      <c r="C1260" s="14" t="s">
        <v>1448</v>
      </c>
      <c r="D1260" s="14" t="s">
        <v>112</v>
      </c>
      <c r="E1260" s="14" t="s">
        <v>86</v>
      </c>
      <c r="F1260" s="14">
        <v>8</v>
      </c>
      <c r="G1260" s="14">
        <v>60</v>
      </c>
      <c r="H1260" s="14" t="s">
        <v>1400</v>
      </c>
      <c r="I1260" s="14" t="s">
        <v>75</v>
      </c>
      <c r="J1260" s="14" t="s">
        <v>201</v>
      </c>
      <c r="K1260" s="14">
        <v>1</v>
      </c>
      <c r="L1260" s="14" t="s">
        <v>1400</v>
      </c>
      <c r="N1260" s="14">
        <v>0</v>
      </c>
      <c r="O1260" s="14" t="b">
        <v>1</v>
      </c>
      <c r="Q1260" s="14" t="b">
        <v>0</v>
      </c>
      <c r="R1260" s="14">
        <v>1</v>
      </c>
      <c r="S1260" s="14" t="s">
        <v>77</v>
      </c>
      <c r="T1260" s="14">
        <v>999</v>
      </c>
      <c r="U1260" s="14" t="s">
        <v>1401</v>
      </c>
      <c r="V1260" s="14">
        <v>31922008</v>
      </c>
      <c r="X1260" s="14" t="s">
        <v>1451</v>
      </c>
      <c r="Y1260" s="14" t="s">
        <v>215</v>
      </c>
      <c r="Z1260" s="14">
        <v>20023</v>
      </c>
      <c r="AA1260" s="14" t="s">
        <v>1452</v>
      </c>
      <c r="AB1260" s="14">
        <v>40001</v>
      </c>
      <c r="AE1260" s="14" t="s">
        <v>1400</v>
      </c>
      <c r="AF1260" s="14" t="s">
        <v>1400</v>
      </c>
      <c r="AG1260" s="14" t="s">
        <v>86</v>
      </c>
    </row>
    <row r="1261" spans="2:33">
      <c r="B1261" s="14">
        <f>10000000+INDEX(编号表!$B:$B,MATCH(H1261,编号表!$A:$A,0))*100000+INDEX(编号表!$F:$F,MATCH(D1261,编号表!$E:$E,0))*10000+INDEX(编号表!$D:$D,MATCH(AG1261,编号表!$C:$C,0))*1000+F1261</f>
        <v>11932009</v>
      </c>
      <c r="C1261" s="14" t="s">
        <v>1448</v>
      </c>
      <c r="D1261" s="14" t="s">
        <v>276</v>
      </c>
      <c r="E1261" s="14" t="s">
        <v>86</v>
      </c>
      <c r="F1261" s="14">
        <v>9</v>
      </c>
      <c r="G1261" s="14">
        <v>60</v>
      </c>
      <c r="H1261" s="14" t="s">
        <v>1400</v>
      </c>
      <c r="I1261" s="14" t="s">
        <v>75</v>
      </c>
      <c r="J1261" s="14" t="s">
        <v>201</v>
      </c>
      <c r="K1261" s="14">
        <v>1</v>
      </c>
      <c r="L1261" s="14" t="s">
        <v>1400</v>
      </c>
      <c r="N1261" s="14">
        <v>0</v>
      </c>
      <c r="O1261" s="14" t="b">
        <v>1</v>
      </c>
      <c r="Q1261" s="14" t="b">
        <v>0</v>
      </c>
      <c r="R1261" s="14">
        <v>1</v>
      </c>
      <c r="S1261" s="14" t="s">
        <v>77</v>
      </c>
      <c r="T1261" s="14">
        <v>999</v>
      </c>
      <c r="U1261" s="14" t="s">
        <v>1401</v>
      </c>
      <c r="V1261" s="14">
        <v>31932009</v>
      </c>
      <c r="X1261" s="14" t="s">
        <v>1453</v>
      </c>
      <c r="Y1261" s="14" t="s">
        <v>215</v>
      </c>
      <c r="Z1261" s="14">
        <v>20024</v>
      </c>
      <c r="AA1261" s="14" t="s">
        <v>1454</v>
      </c>
      <c r="AB1261" s="14">
        <v>40001</v>
      </c>
      <c r="AE1261" s="14" t="s">
        <v>1400</v>
      </c>
      <c r="AF1261" s="14" t="s">
        <v>1400</v>
      </c>
      <c r="AG1261" s="14" t="s">
        <v>86</v>
      </c>
    </row>
    <row r="1262" spans="2:33">
      <c r="B1262" s="14">
        <f>10000000+INDEX(编号表!$B:$B,MATCH(H1262,编号表!$A:$A,0))*100000+INDEX(编号表!$F:$F,MATCH(D1262,编号表!$E:$E,0))*10000+INDEX(编号表!$D:$D,MATCH(AG1262,编号表!$C:$C,0))*1000+F1262</f>
        <v>11912008</v>
      </c>
      <c r="C1262" s="14" t="s">
        <v>1455</v>
      </c>
      <c r="D1262" s="14" t="s">
        <v>72</v>
      </c>
      <c r="E1262" s="14" t="s">
        <v>86</v>
      </c>
      <c r="F1262" s="14">
        <v>8</v>
      </c>
      <c r="G1262" s="14">
        <v>60</v>
      </c>
      <c r="H1262" s="14" t="s">
        <v>1400</v>
      </c>
      <c r="I1262" s="14" t="s">
        <v>75</v>
      </c>
      <c r="J1262" s="14" t="s">
        <v>201</v>
      </c>
      <c r="K1262" s="14">
        <v>1</v>
      </c>
      <c r="L1262" s="14" t="s">
        <v>1400</v>
      </c>
      <c r="N1262" s="14">
        <v>0</v>
      </c>
      <c r="O1262" s="14" t="b">
        <v>1</v>
      </c>
      <c r="Q1262" s="14" t="b">
        <v>0</v>
      </c>
      <c r="R1262" s="14">
        <v>1</v>
      </c>
      <c r="S1262" s="14" t="s">
        <v>77</v>
      </c>
      <c r="T1262" s="14">
        <v>999</v>
      </c>
      <c r="U1262" s="14" t="s">
        <v>1401</v>
      </c>
      <c r="V1262" s="14">
        <v>31912008</v>
      </c>
      <c r="X1262" s="14" t="s">
        <v>1456</v>
      </c>
      <c r="Y1262" s="14" t="s">
        <v>215</v>
      </c>
      <c r="Z1262" s="14">
        <v>20025</v>
      </c>
      <c r="AA1262" s="14" t="s">
        <v>1457</v>
      </c>
      <c r="AB1262" s="14">
        <v>40001</v>
      </c>
      <c r="AE1262" s="14" t="s">
        <v>1400</v>
      </c>
      <c r="AF1262" s="14" t="s">
        <v>1400</v>
      </c>
      <c r="AG1262" s="14" t="s">
        <v>86</v>
      </c>
    </row>
    <row r="1263" spans="2:33">
      <c r="B1263" s="14">
        <f>10000000+INDEX(编号表!$B:$B,MATCH(H1263,编号表!$A:$A,0))*100000+INDEX(编号表!$F:$F,MATCH(D1263,编号表!$E:$E,0))*10000+INDEX(编号表!$D:$D,MATCH(AG1263,编号表!$C:$C,0))*1000+F1263</f>
        <v>11922009</v>
      </c>
      <c r="C1263" s="14" t="s">
        <v>1455</v>
      </c>
      <c r="D1263" s="14" t="s">
        <v>112</v>
      </c>
      <c r="E1263" s="14" t="s">
        <v>86</v>
      </c>
      <c r="F1263" s="14">
        <v>9</v>
      </c>
      <c r="G1263" s="14">
        <v>60</v>
      </c>
      <c r="H1263" s="14" t="s">
        <v>1400</v>
      </c>
      <c r="I1263" s="14" t="s">
        <v>75</v>
      </c>
      <c r="J1263" s="14" t="s">
        <v>201</v>
      </c>
      <c r="K1263" s="14">
        <v>1</v>
      </c>
      <c r="L1263" s="14" t="s">
        <v>1400</v>
      </c>
      <c r="N1263" s="14">
        <v>0</v>
      </c>
      <c r="O1263" s="14" t="b">
        <v>1</v>
      </c>
      <c r="Q1263" s="14" t="b">
        <v>0</v>
      </c>
      <c r="R1263" s="14">
        <v>1</v>
      </c>
      <c r="S1263" s="14" t="s">
        <v>77</v>
      </c>
      <c r="T1263" s="14">
        <v>999</v>
      </c>
      <c r="U1263" s="14" t="s">
        <v>1401</v>
      </c>
      <c r="V1263" s="14">
        <v>31922009</v>
      </c>
      <c r="X1263" s="14" t="s">
        <v>1458</v>
      </c>
      <c r="Y1263" s="14" t="s">
        <v>215</v>
      </c>
      <c r="Z1263" s="14">
        <v>20026</v>
      </c>
      <c r="AA1263" s="14" t="s">
        <v>1459</v>
      </c>
      <c r="AB1263" s="14">
        <v>40001</v>
      </c>
      <c r="AE1263" s="14" t="s">
        <v>1400</v>
      </c>
      <c r="AF1263" s="14" t="s">
        <v>1400</v>
      </c>
      <c r="AG1263" s="14" t="s">
        <v>86</v>
      </c>
    </row>
    <row r="1264" spans="2:33">
      <c r="B1264" s="14">
        <f>10000000+INDEX(编号表!$B:$B,MATCH(H1264,编号表!$A:$A,0))*100000+INDEX(编号表!$F:$F,MATCH(D1264,编号表!$E:$E,0))*10000+INDEX(编号表!$D:$D,MATCH(AG1264,编号表!$C:$C,0))*1000+F1264</f>
        <v>11932010</v>
      </c>
      <c r="C1264" s="14" t="s">
        <v>1455</v>
      </c>
      <c r="D1264" s="14" t="s">
        <v>276</v>
      </c>
      <c r="E1264" s="14" t="s">
        <v>86</v>
      </c>
      <c r="F1264" s="14">
        <v>10</v>
      </c>
      <c r="G1264" s="14">
        <v>60</v>
      </c>
      <c r="H1264" s="14" t="s">
        <v>1400</v>
      </c>
      <c r="I1264" s="14" t="s">
        <v>75</v>
      </c>
      <c r="J1264" s="14" t="s">
        <v>201</v>
      </c>
      <c r="K1264" s="14">
        <v>1</v>
      </c>
      <c r="L1264" s="14" t="s">
        <v>1400</v>
      </c>
      <c r="N1264" s="14">
        <v>0</v>
      </c>
      <c r="O1264" s="14" t="b">
        <v>1</v>
      </c>
      <c r="Q1264" s="14" t="b">
        <v>0</v>
      </c>
      <c r="R1264" s="14">
        <v>1</v>
      </c>
      <c r="S1264" s="14" t="s">
        <v>77</v>
      </c>
      <c r="T1264" s="14">
        <v>999</v>
      </c>
      <c r="U1264" s="14" t="s">
        <v>1401</v>
      </c>
      <c r="V1264" s="14">
        <v>31932010</v>
      </c>
      <c r="X1264" s="14" t="s">
        <v>1460</v>
      </c>
      <c r="Y1264" s="14" t="s">
        <v>215</v>
      </c>
      <c r="Z1264" s="14">
        <v>20027</v>
      </c>
      <c r="AA1264" s="14" t="s">
        <v>1461</v>
      </c>
      <c r="AB1264" s="14">
        <v>40001</v>
      </c>
      <c r="AE1264" s="14" t="s">
        <v>1400</v>
      </c>
      <c r="AF1264" s="14" t="s">
        <v>1400</v>
      </c>
      <c r="AG1264" s="14" t="s">
        <v>86</v>
      </c>
    </row>
    <row r="1265" spans="2:33">
      <c r="B1265" s="14">
        <f>10000000+INDEX(编号表!$B:$B,MATCH(H1265,编号表!$A:$A,0))*100000+INDEX(编号表!$F:$F,MATCH(D1265,编号表!$E:$E,0))*10000+INDEX(编号表!$D:$D,MATCH(AG1265,编号表!$C:$C,0))*1000+F1265</f>
        <v>11912009</v>
      </c>
      <c r="C1265" s="14" t="s">
        <v>1462</v>
      </c>
      <c r="D1265" s="14" t="s">
        <v>72</v>
      </c>
      <c r="E1265" s="14" t="s">
        <v>86</v>
      </c>
      <c r="F1265" s="14">
        <v>9</v>
      </c>
      <c r="G1265" s="14">
        <v>60</v>
      </c>
      <c r="H1265" s="14" t="s">
        <v>1400</v>
      </c>
      <c r="I1265" s="14" t="s">
        <v>75</v>
      </c>
      <c r="J1265" s="14" t="s">
        <v>201</v>
      </c>
      <c r="K1265" s="14">
        <v>1</v>
      </c>
      <c r="L1265" s="14" t="s">
        <v>1400</v>
      </c>
      <c r="N1265" s="14">
        <v>0</v>
      </c>
      <c r="O1265" s="14" t="b">
        <v>1</v>
      </c>
      <c r="Q1265" s="14" t="b">
        <v>0</v>
      </c>
      <c r="R1265" s="14">
        <v>1</v>
      </c>
      <c r="S1265" s="14" t="s">
        <v>77</v>
      </c>
      <c r="T1265" s="14">
        <v>999</v>
      </c>
      <c r="U1265" s="14" t="s">
        <v>1401</v>
      </c>
      <c r="V1265" s="14">
        <v>31912009</v>
      </c>
      <c r="X1265" s="14" t="s">
        <v>1463</v>
      </c>
      <c r="Y1265" s="14" t="s">
        <v>215</v>
      </c>
      <c r="Z1265" s="14">
        <v>20028</v>
      </c>
      <c r="AA1265" s="14" t="s">
        <v>1464</v>
      </c>
      <c r="AB1265" s="14">
        <v>40001</v>
      </c>
      <c r="AE1265" s="14" t="s">
        <v>1400</v>
      </c>
      <c r="AF1265" s="14" t="s">
        <v>1400</v>
      </c>
      <c r="AG1265" s="14" t="s">
        <v>86</v>
      </c>
    </row>
    <row r="1266" spans="2:33">
      <c r="B1266" s="14">
        <f>10000000+INDEX(编号表!$B:$B,MATCH(H1266,编号表!$A:$A,0))*100000+INDEX(编号表!$F:$F,MATCH(D1266,编号表!$E:$E,0))*10000+INDEX(编号表!$D:$D,MATCH(AG1266,编号表!$C:$C,0))*1000+F1266</f>
        <v>11922010</v>
      </c>
      <c r="C1266" s="14" t="s">
        <v>1462</v>
      </c>
      <c r="D1266" s="14" t="s">
        <v>112</v>
      </c>
      <c r="E1266" s="14" t="s">
        <v>86</v>
      </c>
      <c r="F1266" s="14">
        <v>10</v>
      </c>
      <c r="G1266" s="14">
        <v>60</v>
      </c>
      <c r="H1266" s="14" t="s">
        <v>1400</v>
      </c>
      <c r="I1266" s="14" t="s">
        <v>75</v>
      </c>
      <c r="J1266" s="14" t="s">
        <v>201</v>
      </c>
      <c r="K1266" s="14">
        <v>1</v>
      </c>
      <c r="L1266" s="14" t="s">
        <v>1400</v>
      </c>
      <c r="N1266" s="14">
        <v>0</v>
      </c>
      <c r="O1266" s="14" t="b">
        <v>1</v>
      </c>
      <c r="Q1266" s="14" t="b">
        <v>0</v>
      </c>
      <c r="R1266" s="14">
        <v>1</v>
      </c>
      <c r="S1266" s="14" t="s">
        <v>77</v>
      </c>
      <c r="T1266" s="14">
        <v>999</v>
      </c>
      <c r="U1266" s="14" t="s">
        <v>1401</v>
      </c>
      <c r="V1266" s="14">
        <v>31922010</v>
      </c>
      <c r="X1266" s="14" t="s">
        <v>1465</v>
      </c>
      <c r="Y1266" s="14" t="s">
        <v>215</v>
      </c>
      <c r="Z1266" s="14">
        <v>20029</v>
      </c>
      <c r="AA1266" s="14" t="s">
        <v>1466</v>
      </c>
      <c r="AB1266" s="14">
        <v>40001</v>
      </c>
      <c r="AE1266" s="14" t="s">
        <v>1400</v>
      </c>
      <c r="AF1266" s="14" t="s">
        <v>1400</v>
      </c>
      <c r="AG1266" s="14" t="s">
        <v>86</v>
      </c>
    </row>
    <row r="1267" spans="2:33">
      <c r="B1267" s="14">
        <f>10000000+INDEX(编号表!$B:$B,MATCH(H1267,编号表!$A:$A,0))*100000+INDEX(编号表!$F:$F,MATCH(D1267,编号表!$E:$E,0))*10000+INDEX(编号表!$D:$D,MATCH(AG1267,编号表!$C:$C,0))*1000+F1267</f>
        <v>11932011</v>
      </c>
      <c r="C1267" s="14" t="s">
        <v>1462</v>
      </c>
      <c r="D1267" s="14" t="s">
        <v>276</v>
      </c>
      <c r="E1267" s="14" t="s">
        <v>86</v>
      </c>
      <c r="F1267" s="14">
        <v>11</v>
      </c>
      <c r="G1267" s="14">
        <v>60</v>
      </c>
      <c r="H1267" s="14" t="s">
        <v>1400</v>
      </c>
      <c r="I1267" s="14" t="s">
        <v>75</v>
      </c>
      <c r="J1267" s="14" t="s">
        <v>201</v>
      </c>
      <c r="K1267" s="14">
        <v>1</v>
      </c>
      <c r="L1267" s="14" t="s">
        <v>1400</v>
      </c>
      <c r="N1267" s="14">
        <v>0</v>
      </c>
      <c r="O1267" s="14" t="b">
        <v>1</v>
      </c>
      <c r="Q1267" s="14" t="b">
        <v>0</v>
      </c>
      <c r="R1267" s="14">
        <v>1</v>
      </c>
      <c r="S1267" s="14" t="s">
        <v>77</v>
      </c>
      <c r="T1267" s="14">
        <v>999</v>
      </c>
      <c r="U1267" s="14" t="s">
        <v>1401</v>
      </c>
      <c r="V1267" s="14">
        <v>31932011</v>
      </c>
      <c r="X1267" s="14" t="s">
        <v>1467</v>
      </c>
      <c r="Y1267" s="14" t="s">
        <v>215</v>
      </c>
      <c r="Z1267" s="14">
        <v>20030</v>
      </c>
      <c r="AA1267" s="14" t="s">
        <v>1468</v>
      </c>
      <c r="AB1267" s="14">
        <v>40001</v>
      </c>
      <c r="AE1267" s="14" t="s">
        <v>1400</v>
      </c>
      <c r="AF1267" s="14" t="s">
        <v>1400</v>
      </c>
      <c r="AG1267" s="14" t="s">
        <v>86</v>
      </c>
    </row>
    <row r="1268" spans="2:33">
      <c r="B1268" s="14">
        <f>10000000+INDEX(编号表!$B:$B,MATCH(H1268,编号表!$A:$A,0))*100000+INDEX(编号表!$F:$F,MATCH(D1268,编号表!$E:$E,0))*10000+INDEX(编号表!$D:$D,MATCH(AG1268,编号表!$C:$C,0))*1000+F1268</f>
        <v>11912010</v>
      </c>
      <c r="C1268" s="14" t="s">
        <v>1469</v>
      </c>
      <c r="D1268" s="14" t="s">
        <v>72</v>
      </c>
      <c r="E1268" s="14" t="s">
        <v>86</v>
      </c>
      <c r="F1268" s="14">
        <v>10</v>
      </c>
      <c r="G1268" s="14">
        <v>60</v>
      </c>
      <c r="H1268" s="14" t="s">
        <v>1400</v>
      </c>
      <c r="I1268" s="14" t="s">
        <v>75</v>
      </c>
      <c r="J1268" s="14" t="s">
        <v>201</v>
      </c>
      <c r="K1268" s="14">
        <v>1</v>
      </c>
      <c r="L1268" s="14" t="s">
        <v>1400</v>
      </c>
      <c r="N1268" s="14">
        <v>0</v>
      </c>
      <c r="O1268" s="14" t="b">
        <v>1</v>
      </c>
      <c r="Q1268" s="14" t="b">
        <v>0</v>
      </c>
      <c r="R1268" s="14">
        <v>1</v>
      </c>
      <c r="S1268" s="14" t="s">
        <v>77</v>
      </c>
      <c r="T1268" s="14">
        <v>999</v>
      </c>
      <c r="U1268" s="14" t="s">
        <v>1401</v>
      </c>
      <c r="V1268" s="14">
        <v>31912010</v>
      </c>
      <c r="X1268" s="14" t="s">
        <v>1470</v>
      </c>
      <c r="Y1268" s="14" t="s">
        <v>215</v>
      </c>
      <c r="Z1268" s="14">
        <v>20031</v>
      </c>
      <c r="AA1268" s="14" t="s">
        <v>1471</v>
      </c>
      <c r="AB1268" s="14">
        <v>40001</v>
      </c>
      <c r="AE1268" s="14" t="s">
        <v>1400</v>
      </c>
      <c r="AF1268" s="14" t="s">
        <v>1400</v>
      </c>
      <c r="AG1268" s="14" t="s">
        <v>86</v>
      </c>
    </row>
    <row r="1269" spans="2:33">
      <c r="B1269" s="14">
        <f>10000000+INDEX(编号表!$B:$B,MATCH(H1269,编号表!$A:$A,0))*100000+INDEX(编号表!$F:$F,MATCH(D1269,编号表!$E:$E,0))*10000+INDEX(编号表!$D:$D,MATCH(AG1269,编号表!$C:$C,0))*1000+F1269</f>
        <v>11922011</v>
      </c>
      <c r="C1269" s="14" t="s">
        <v>1469</v>
      </c>
      <c r="D1269" s="14" t="s">
        <v>112</v>
      </c>
      <c r="E1269" s="14" t="s">
        <v>86</v>
      </c>
      <c r="F1269" s="14">
        <v>11</v>
      </c>
      <c r="G1269" s="14">
        <v>60</v>
      </c>
      <c r="H1269" s="14" t="s">
        <v>1400</v>
      </c>
      <c r="I1269" s="14" t="s">
        <v>75</v>
      </c>
      <c r="J1269" s="14" t="s">
        <v>201</v>
      </c>
      <c r="K1269" s="14">
        <v>1</v>
      </c>
      <c r="L1269" s="14" t="s">
        <v>1400</v>
      </c>
      <c r="N1269" s="14">
        <v>0</v>
      </c>
      <c r="O1269" s="14" t="b">
        <v>1</v>
      </c>
      <c r="Q1269" s="14" t="b">
        <v>0</v>
      </c>
      <c r="R1269" s="14">
        <v>1</v>
      </c>
      <c r="S1269" s="14" t="s">
        <v>77</v>
      </c>
      <c r="T1269" s="14">
        <v>999</v>
      </c>
      <c r="U1269" s="14" t="s">
        <v>1401</v>
      </c>
      <c r="V1269" s="14">
        <v>31922011</v>
      </c>
      <c r="X1269" s="14" t="s">
        <v>1472</v>
      </c>
      <c r="Y1269" s="14" t="s">
        <v>215</v>
      </c>
      <c r="Z1269" s="14">
        <v>20032</v>
      </c>
      <c r="AA1269" s="14" t="s">
        <v>1473</v>
      </c>
      <c r="AB1269" s="14">
        <v>40001</v>
      </c>
      <c r="AE1269" s="14" t="s">
        <v>1400</v>
      </c>
      <c r="AF1269" s="14" t="s">
        <v>1400</v>
      </c>
      <c r="AG1269" s="14" t="s">
        <v>86</v>
      </c>
    </row>
    <row r="1270" spans="2:33">
      <c r="B1270" s="14">
        <f>10000000+INDEX(编号表!$B:$B,MATCH(H1270,编号表!$A:$A,0))*100000+INDEX(编号表!$F:$F,MATCH(D1270,编号表!$E:$E,0))*10000+INDEX(编号表!$D:$D,MATCH(AG1270,编号表!$C:$C,0))*1000+F1270</f>
        <v>11932012</v>
      </c>
      <c r="C1270" s="14" t="s">
        <v>1469</v>
      </c>
      <c r="D1270" s="14" t="s">
        <v>276</v>
      </c>
      <c r="E1270" s="14" t="s">
        <v>86</v>
      </c>
      <c r="F1270" s="14">
        <v>12</v>
      </c>
      <c r="G1270" s="14">
        <v>60</v>
      </c>
      <c r="H1270" s="14" t="s">
        <v>1400</v>
      </c>
      <c r="I1270" s="14" t="s">
        <v>75</v>
      </c>
      <c r="J1270" s="14" t="s">
        <v>201</v>
      </c>
      <c r="K1270" s="14">
        <v>1</v>
      </c>
      <c r="L1270" s="14" t="s">
        <v>1400</v>
      </c>
      <c r="N1270" s="14">
        <v>0</v>
      </c>
      <c r="O1270" s="14" t="b">
        <v>1</v>
      </c>
      <c r="Q1270" s="14" t="b">
        <v>0</v>
      </c>
      <c r="R1270" s="14">
        <v>1</v>
      </c>
      <c r="S1270" s="14" t="s">
        <v>77</v>
      </c>
      <c r="T1270" s="14">
        <v>999</v>
      </c>
      <c r="U1270" s="14" t="s">
        <v>1401</v>
      </c>
      <c r="V1270" s="14">
        <v>31932012</v>
      </c>
      <c r="X1270" s="14" t="s">
        <v>1474</v>
      </c>
      <c r="Y1270" s="14" t="s">
        <v>215</v>
      </c>
      <c r="Z1270" s="14">
        <v>20033</v>
      </c>
      <c r="AA1270" s="14" t="s">
        <v>1475</v>
      </c>
      <c r="AB1270" s="14">
        <v>40001</v>
      </c>
      <c r="AE1270" s="14" t="s">
        <v>1400</v>
      </c>
      <c r="AF1270" s="14" t="s">
        <v>1400</v>
      </c>
      <c r="AG1270" s="14" t="s">
        <v>86</v>
      </c>
    </row>
    <row r="1271" spans="2:33">
      <c r="B1271" s="14">
        <f>10000000+INDEX(编号表!$B:$B,MATCH(H1271,编号表!$A:$A,0))*100000+INDEX(编号表!$F:$F,MATCH(D1271,编号表!$E:$E,0))*10000+INDEX(编号表!$D:$D,MATCH(AG1271,编号表!$C:$C,0))*1000+F1271</f>
        <v>11912011</v>
      </c>
      <c r="C1271" s="14" t="s">
        <v>1476</v>
      </c>
      <c r="D1271" s="14" t="s">
        <v>72</v>
      </c>
      <c r="E1271" s="14" t="s">
        <v>86</v>
      </c>
      <c r="F1271" s="14">
        <v>11</v>
      </c>
      <c r="G1271" s="14">
        <v>60</v>
      </c>
      <c r="H1271" s="14" t="s">
        <v>1400</v>
      </c>
      <c r="I1271" s="14" t="s">
        <v>75</v>
      </c>
      <c r="J1271" s="14" t="s">
        <v>201</v>
      </c>
      <c r="K1271" s="14">
        <v>1</v>
      </c>
      <c r="L1271" s="14" t="s">
        <v>1400</v>
      </c>
      <c r="N1271" s="14">
        <v>0</v>
      </c>
      <c r="O1271" s="14" t="b">
        <v>1</v>
      </c>
      <c r="Q1271" s="14" t="b">
        <v>0</v>
      </c>
      <c r="R1271" s="14">
        <v>1</v>
      </c>
      <c r="S1271" s="14" t="s">
        <v>77</v>
      </c>
      <c r="T1271" s="14">
        <v>999</v>
      </c>
      <c r="U1271" s="14" t="s">
        <v>1401</v>
      </c>
      <c r="V1271" s="14">
        <v>31912011</v>
      </c>
      <c r="X1271" s="14" t="s">
        <v>1477</v>
      </c>
      <c r="Y1271" s="14" t="s">
        <v>215</v>
      </c>
      <c r="Z1271" s="14">
        <v>20034</v>
      </c>
      <c r="AA1271" s="14" t="s">
        <v>1478</v>
      </c>
      <c r="AB1271" s="14">
        <v>40001</v>
      </c>
      <c r="AE1271" s="14" t="s">
        <v>1400</v>
      </c>
      <c r="AF1271" s="14" t="s">
        <v>1400</v>
      </c>
      <c r="AG1271" s="14" t="s">
        <v>86</v>
      </c>
    </row>
    <row r="1272" spans="2:33">
      <c r="B1272" s="14">
        <f>10000000+INDEX(编号表!$B:$B,MATCH(H1272,编号表!$A:$A,0))*100000+INDEX(编号表!$F:$F,MATCH(D1272,编号表!$E:$E,0))*10000+INDEX(编号表!$D:$D,MATCH(AG1272,编号表!$C:$C,0))*1000+F1272</f>
        <v>11922012</v>
      </c>
      <c r="C1272" s="14" t="s">
        <v>1476</v>
      </c>
      <c r="D1272" s="14" t="s">
        <v>112</v>
      </c>
      <c r="E1272" s="14" t="s">
        <v>86</v>
      </c>
      <c r="F1272" s="14">
        <v>12</v>
      </c>
      <c r="G1272" s="14">
        <v>60</v>
      </c>
      <c r="H1272" s="14" t="s">
        <v>1400</v>
      </c>
      <c r="I1272" s="14" t="s">
        <v>75</v>
      </c>
      <c r="J1272" s="14" t="s">
        <v>201</v>
      </c>
      <c r="K1272" s="14">
        <v>1</v>
      </c>
      <c r="L1272" s="14" t="s">
        <v>1400</v>
      </c>
      <c r="N1272" s="14">
        <v>0</v>
      </c>
      <c r="O1272" s="14" t="b">
        <v>1</v>
      </c>
      <c r="Q1272" s="14" t="b">
        <v>0</v>
      </c>
      <c r="R1272" s="14">
        <v>1</v>
      </c>
      <c r="S1272" s="14" t="s">
        <v>77</v>
      </c>
      <c r="T1272" s="14">
        <v>999</v>
      </c>
      <c r="U1272" s="14" t="s">
        <v>1401</v>
      </c>
      <c r="V1272" s="14">
        <v>31922012</v>
      </c>
      <c r="X1272" s="14" t="s">
        <v>1479</v>
      </c>
      <c r="Y1272" s="14" t="s">
        <v>215</v>
      </c>
      <c r="Z1272" s="14">
        <v>20035</v>
      </c>
      <c r="AA1272" s="14" t="s">
        <v>1480</v>
      </c>
      <c r="AB1272" s="14">
        <v>40001</v>
      </c>
      <c r="AE1272" s="14" t="s">
        <v>1400</v>
      </c>
      <c r="AF1272" s="14" t="s">
        <v>1400</v>
      </c>
      <c r="AG1272" s="14" t="s">
        <v>86</v>
      </c>
    </row>
    <row r="1273" spans="2:33">
      <c r="B1273" s="14">
        <f>10000000+INDEX(编号表!$B:$B,MATCH(H1273,编号表!$A:$A,0))*100000+INDEX(编号表!$F:$F,MATCH(D1273,编号表!$E:$E,0))*10000+INDEX(编号表!$D:$D,MATCH(AG1273,编号表!$C:$C,0))*1000+F1273</f>
        <v>11932013</v>
      </c>
      <c r="C1273" s="14" t="s">
        <v>1476</v>
      </c>
      <c r="D1273" s="14" t="s">
        <v>276</v>
      </c>
      <c r="E1273" s="14" t="s">
        <v>86</v>
      </c>
      <c r="F1273" s="14">
        <v>13</v>
      </c>
      <c r="G1273" s="14">
        <v>60</v>
      </c>
      <c r="H1273" s="14" t="s">
        <v>1400</v>
      </c>
      <c r="I1273" s="14" t="s">
        <v>75</v>
      </c>
      <c r="J1273" s="14" t="s">
        <v>201</v>
      </c>
      <c r="K1273" s="14">
        <v>1</v>
      </c>
      <c r="L1273" s="14" t="s">
        <v>1400</v>
      </c>
      <c r="N1273" s="14">
        <v>0</v>
      </c>
      <c r="O1273" s="14" t="b">
        <v>1</v>
      </c>
      <c r="Q1273" s="14" t="b">
        <v>0</v>
      </c>
      <c r="R1273" s="14">
        <v>1</v>
      </c>
      <c r="S1273" s="14" t="s">
        <v>77</v>
      </c>
      <c r="T1273" s="14">
        <v>999</v>
      </c>
      <c r="U1273" s="14" t="s">
        <v>1401</v>
      </c>
      <c r="V1273" s="14">
        <v>31932013</v>
      </c>
      <c r="X1273" s="14" t="s">
        <v>1481</v>
      </c>
      <c r="Y1273" s="14" t="s">
        <v>215</v>
      </c>
      <c r="Z1273" s="14">
        <v>20036</v>
      </c>
      <c r="AA1273" s="14" t="s">
        <v>1482</v>
      </c>
      <c r="AB1273" s="14">
        <v>40001</v>
      </c>
      <c r="AE1273" s="14" t="s">
        <v>1400</v>
      </c>
      <c r="AF1273" s="14" t="s">
        <v>1400</v>
      </c>
      <c r="AG1273" s="14" t="s">
        <v>86</v>
      </c>
    </row>
    <row r="1274" spans="2:33">
      <c r="B1274" s="14">
        <f>10000000+INDEX(编号表!$B:$B,MATCH(H1274,编号表!$A:$A,0))*100000+INDEX(编号表!$F:$F,MATCH(D1274,编号表!$E:$E,0))*10000+INDEX(编号表!$D:$D,MATCH(AG1274,编号表!$C:$C,0))*1000+F1274</f>
        <v>11912012</v>
      </c>
      <c r="C1274" s="14" t="s">
        <v>1483</v>
      </c>
      <c r="D1274" s="14" t="s">
        <v>72</v>
      </c>
      <c r="E1274" s="14" t="s">
        <v>86</v>
      </c>
      <c r="F1274" s="14">
        <v>12</v>
      </c>
      <c r="G1274" s="14">
        <v>60</v>
      </c>
      <c r="H1274" s="14" t="s">
        <v>1400</v>
      </c>
      <c r="I1274" s="14" t="s">
        <v>75</v>
      </c>
      <c r="J1274" s="14" t="s">
        <v>201</v>
      </c>
      <c r="K1274" s="14">
        <v>1</v>
      </c>
      <c r="L1274" s="14" t="s">
        <v>1400</v>
      </c>
      <c r="N1274" s="14">
        <v>0</v>
      </c>
      <c r="O1274" s="14" t="b">
        <v>1</v>
      </c>
      <c r="Q1274" s="14" t="b">
        <v>0</v>
      </c>
      <c r="R1274" s="14">
        <v>1</v>
      </c>
      <c r="S1274" s="14" t="s">
        <v>77</v>
      </c>
      <c r="T1274" s="14">
        <v>999</v>
      </c>
      <c r="U1274" s="14" t="s">
        <v>1401</v>
      </c>
      <c r="V1274" s="14">
        <v>31912012</v>
      </c>
      <c r="X1274" s="14" t="s">
        <v>1484</v>
      </c>
      <c r="Y1274" s="14" t="s">
        <v>215</v>
      </c>
      <c r="Z1274" s="14">
        <v>20037</v>
      </c>
      <c r="AA1274" s="14" t="s">
        <v>1485</v>
      </c>
      <c r="AB1274" s="14">
        <v>40001</v>
      </c>
      <c r="AE1274" s="14" t="s">
        <v>1400</v>
      </c>
      <c r="AF1274" s="14" t="s">
        <v>1400</v>
      </c>
      <c r="AG1274" s="14" t="s">
        <v>86</v>
      </c>
    </row>
    <row r="1275" spans="2:33">
      <c r="B1275" s="14">
        <f>10000000+INDEX(编号表!$B:$B,MATCH(H1275,编号表!$A:$A,0))*100000+INDEX(编号表!$F:$F,MATCH(D1275,编号表!$E:$E,0))*10000+INDEX(编号表!$D:$D,MATCH(AG1275,编号表!$C:$C,0))*1000+F1275</f>
        <v>11922013</v>
      </c>
      <c r="C1275" s="14" t="s">
        <v>1483</v>
      </c>
      <c r="D1275" s="14" t="s">
        <v>112</v>
      </c>
      <c r="E1275" s="14" t="s">
        <v>86</v>
      </c>
      <c r="F1275" s="14">
        <v>13</v>
      </c>
      <c r="G1275" s="14">
        <v>60</v>
      </c>
      <c r="H1275" s="14" t="s">
        <v>1400</v>
      </c>
      <c r="I1275" s="14" t="s">
        <v>75</v>
      </c>
      <c r="J1275" s="14" t="s">
        <v>201</v>
      </c>
      <c r="K1275" s="14">
        <v>1</v>
      </c>
      <c r="L1275" s="14" t="s">
        <v>1400</v>
      </c>
      <c r="N1275" s="14">
        <v>0</v>
      </c>
      <c r="O1275" s="14" t="b">
        <v>1</v>
      </c>
      <c r="Q1275" s="14" t="b">
        <v>0</v>
      </c>
      <c r="R1275" s="14">
        <v>1</v>
      </c>
      <c r="S1275" s="14" t="s">
        <v>77</v>
      </c>
      <c r="T1275" s="14">
        <v>999</v>
      </c>
      <c r="U1275" s="14" t="s">
        <v>1401</v>
      </c>
      <c r="V1275" s="14">
        <v>31922013</v>
      </c>
      <c r="X1275" s="14" t="s">
        <v>1486</v>
      </c>
      <c r="Y1275" s="14" t="s">
        <v>215</v>
      </c>
      <c r="Z1275" s="14">
        <v>20038</v>
      </c>
      <c r="AA1275" s="14" t="s">
        <v>1487</v>
      </c>
      <c r="AB1275" s="14">
        <v>40001</v>
      </c>
      <c r="AE1275" s="14" t="s">
        <v>1400</v>
      </c>
      <c r="AF1275" s="14" t="s">
        <v>1400</v>
      </c>
      <c r="AG1275" s="14" t="s">
        <v>86</v>
      </c>
    </row>
    <row r="1276" spans="2:33">
      <c r="B1276" s="14">
        <f>10000000+INDEX(编号表!$B:$B,MATCH(H1276,编号表!$A:$A,0))*100000+INDEX(编号表!$F:$F,MATCH(D1276,编号表!$E:$E,0))*10000+INDEX(编号表!$D:$D,MATCH(AG1276,编号表!$C:$C,0))*1000+F1276</f>
        <v>11932014</v>
      </c>
      <c r="C1276" s="14" t="s">
        <v>1483</v>
      </c>
      <c r="D1276" s="14" t="s">
        <v>276</v>
      </c>
      <c r="E1276" s="14" t="s">
        <v>86</v>
      </c>
      <c r="F1276" s="14">
        <v>14</v>
      </c>
      <c r="G1276" s="14">
        <v>60</v>
      </c>
      <c r="H1276" s="14" t="s">
        <v>1400</v>
      </c>
      <c r="I1276" s="14" t="s">
        <v>75</v>
      </c>
      <c r="J1276" s="14" t="s">
        <v>201</v>
      </c>
      <c r="K1276" s="14">
        <v>1</v>
      </c>
      <c r="L1276" s="14" t="s">
        <v>1400</v>
      </c>
      <c r="N1276" s="14">
        <v>0</v>
      </c>
      <c r="O1276" s="14" t="b">
        <v>1</v>
      </c>
      <c r="Q1276" s="14" t="b">
        <v>0</v>
      </c>
      <c r="R1276" s="14">
        <v>1</v>
      </c>
      <c r="S1276" s="14" t="s">
        <v>77</v>
      </c>
      <c r="T1276" s="14">
        <v>999</v>
      </c>
      <c r="U1276" s="14" t="s">
        <v>1401</v>
      </c>
      <c r="V1276" s="14">
        <v>31932014</v>
      </c>
      <c r="X1276" s="14" t="s">
        <v>1488</v>
      </c>
      <c r="Y1276" s="14" t="s">
        <v>215</v>
      </c>
      <c r="Z1276" s="14">
        <v>20039</v>
      </c>
      <c r="AA1276" s="14" t="s">
        <v>1489</v>
      </c>
      <c r="AB1276" s="14">
        <v>40001</v>
      </c>
      <c r="AE1276" s="14" t="s">
        <v>1400</v>
      </c>
      <c r="AF1276" s="14" t="s">
        <v>1400</v>
      </c>
      <c r="AG1276" s="14" t="s">
        <v>86</v>
      </c>
    </row>
    <row r="1277" spans="2:33">
      <c r="B1277" s="14">
        <f>10000000+INDEX(编号表!$B:$B,MATCH(H1277,编号表!$A:$A,0))*100000+INDEX(编号表!$F:$F,MATCH(D1277,编号表!$E:$E,0))*10000+INDEX(编号表!$D:$D,MATCH(AG1277,编号表!$C:$C,0))*1000+F1277</f>
        <v>11912013</v>
      </c>
      <c r="C1277" s="14" t="s">
        <v>1490</v>
      </c>
      <c r="D1277" s="14" t="s">
        <v>72</v>
      </c>
      <c r="E1277" s="14" t="s">
        <v>86</v>
      </c>
      <c r="F1277" s="14">
        <v>13</v>
      </c>
      <c r="G1277" s="14">
        <v>60</v>
      </c>
      <c r="H1277" s="14" t="s">
        <v>1400</v>
      </c>
      <c r="I1277" s="14" t="s">
        <v>75</v>
      </c>
      <c r="J1277" s="14" t="s">
        <v>201</v>
      </c>
      <c r="K1277" s="14">
        <v>1</v>
      </c>
      <c r="L1277" s="14" t="s">
        <v>1400</v>
      </c>
      <c r="N1277" s="14">
        <v>0</v>
      </c>
      <c r="O1277" s="14" t="b">
        <v>1</v>
      </c>
      <c r="Q1277" s="14" t="b">
        <v>0</v>
      </c>
      <c r="R1277" s="14">
        <v>1</v>
      </c>
      <c r="S1277" s="14" t="s">
        <v>77</v>
      </c>
      <c r="T1277" s="14">
        <v>999</v>
      </c>
      <c r="U1277" s="14" t="s">
        <v>1401</v>
      </c>
      <c r="V1277" s="14">
        <v>31912013</v>
      </c>
      <c r="X1277" s="14" t="s">
        <v>1491</v>
      </c>
      <c r="Y1277" s="14" t="s">
        <v>215</v>
      </c>
      <c r="Z1277" s="14">
        <v>20040</v>
      </c>
      <c r="AA1277" s="14" t="s">
        <v>1492</v>
      </c>
      <c r="AB1277" s="14">
        <v>40001</v>
      </c>
      <c r="AE1277" s="14" t="s">
        <v>1400</v>
      </c>
      <c r="AF1277" s="14" t="s">
        <v>1400</v>
      </c>
      <c r="AG1277" s="14" t="s">
        <v>86</v>
      </c>
    </row>
    <row r="1278" spans="2:33">
      <c r="B1278" s="14">
        <f>10000000+INDEX(编号表!$B:$B,MATCH(H1278,编号表!$A:$A,0))*100000+INDEX(编号表!$F:$F,MATCH(D1278,编号表!$E:$E,0))*10000+INDEX(编号表!$D:$D,MATCH(AG1278,编号表!$C:$C,0))*1000+F1278</f>
        <v>11922014</v>
      </c>
      <c r="C1278" s="14" t="s">
        <v>1490</v>
      </c>
      <c r="D1278" s="14" t="s">
        <v>112</v>
      </c>
      <c r="E1278" s="14" t="s">
        <v>86</v>
      </c>
      <c r="F1278" s="14">
        <v>14</v>
      </c>
      <c r="G1278" s="14">
        <v>60</v>
      </c>
      <c r="H1278" s="14" t="s">
        <v>1400</v>
      </c>
      <c r="I1278" s="14" t="s">
        <v>75</v>
      </c>
      <c r="J1278" s="14" t="s">
        <v>201</v>
      </c>
      <c r="K1278" s="14">
        <v>1</v>
      </c>
      <c r="L1278" s="14" t="s">
        <v>1400</v>
      </c>
      <c r="N1278" s="14">
        <v>0</v>
      </c>
      <c r="O1278" s="14" t="b">
        <v>1</v>
      </c>
      <c r="Q1278" s="14" t="b">
        <v>0</v>
      </c>
      <c r="R1278" s="14">
        <v>1</v>
      </c>
      <c r="S1278" s="14" t="s">
        <v>77</v>
      </c>
      <c r="T1278" s="14">
        <v>999</v>
      </c>
      <c r="U1278" s="14" t="s">
        <v>1401</v>
      </c>
      <c r="V1278" s="14">
        <v>31922014</v>
      </c>
      <c r="X1278" s="14" t="s">
        <v>1493</v>
      </c>
      <c r="Y1278" s="14" t="s">
        <v>215</v>
      </c>
      <c r="Z1278" s="14">
        <v>20041</v>
      </c>
      <c r="AA1278" s="14" t="s">
        <v>1494</v>
      </c>
      <c r="AB1278" s="14">
        <v>40001</v>
      </c>
      <c r="AE1278" s="14" t="s">
        <v>1400</v>
      </c>
      <c r="AF1278" s="14" t="s">
        <v>1400</v>
      </c>
      <c r="AG1278" s="14" t="s">
        <v>86</v>
      </c>
    </row>
    <row r="1279" spans="2:33">
      <c r="B1279" s="14">
        <f>10000000+INDEX(编号表!$B:$B,MATCH(H1279,编号表!$A:$A,0))*100000+INDEX(编号表!$F:$F,MATCH(D1279,编号表!$E:$E,0))*10000+INDEX(编号表!$D:$D,MATCH(AG1279,编号表!$C:$C,0))*1000+F1279</f>
        <v>11932015</v>
      </c>
      <c r="C1279" s="14" t="s">
        <v>1490</v>
      </c>
      <c r="D1279" s="14" t="s">
        <v>276</v>
      </c>
      <c r="E1279" s="14" t="s">
        <v>86</v>
      </c>
      <c r="F1279" s="14">
        <v>15</v>
      </c>
      <c r="G1279" s="14">
        <v>60</v>
      </c>
      <c r="H1279" s="14" t="s">
        <v>1400</v>
      </c>
      <c r="I1279" s="14" t="s">
        <v>75</v>
      </c>
      <c r="J1279" s="14" t="s">
        <v>201</v>
      </c>
      <c r="K1279" s="14">
        <v>1</v>
      </c>
      <c r="L1279" s="14" t="s">
        <v>1400</v>
      </c>
      <c r="N1279" s="14">
        <v>0</v>
      </c>
      <c r="O1279" s="14" t="b">
        <v>1</v>
      </c>
      <c r="Q1279" s="14" t="b">
        <v>0</v>
      </c>
      <c r="R1279" s="14">
        <v>1</v>
      </c>
      <c r="S1279" s="14" t="s">
        <v>77</v>
      </c>
      <c r="T1279" s="14">
        <v>999</v>
      </c>
      <c r="U1279" s="14" t="s">
        <v>1401</v>
      </c>
      <c r="V1279" s="14">
        <v>31932015</v>
      </c>
      <c r="X1279" s="14" t="s">
        <v>1495</v>
      </c>
      <c r="Y1279" s="14" t="s">
        <v>215</v>
      </c>
      <c r="Z1279" s="14">
        <v>20042</v>
      </c>
      <c r="AA1279" s="14" t="s">
        <v>1496</v>
      </c>
      <c r="AB1279" s="14">
        <v>40001</v>
      </c>
      <c r="AE1279" s="14" t="s">
        <v>1400</v>
      </c>
      <c r="AF1279" s="14" t="s">
        <v>1400</v>
      </c>
      <c r="AG1279" s="14" t="s">
        <v>86</v>
      </c>
    </row>
    <row r="1280" spans="2:33">
      <c r="B1280" s="14">
        <f>10000000+INDEX(编号表!$B:$B,MATCH(H1280,编号表!$A:$A,0))*100000+INDEX(编号表!$F:$F,MATCH(D1280,编号表!$E:$E,0))*10000+INDEX(编号表!$D:$D,MATCH(AG1280,编号表!$C:$C,0))*1000+F1280</f>
        <v>11912014</v>
      </c>
      <c r="C1280" s="14" t="s">
        <v>1497</v>
      </c>
      <c r="D1280" s="14" t="s">
        <v>72</v>
      </c>
      <c r="E1280" s="14" t="s">
        <v>86</v>
      </c>
      <c r="F1280" s="14">
        <v>14</v>
      </c>
      <c r="G1280" s="14">
        <v>60</v>
      </c>
      <c r="H1280" s="14" t="s">
        <v>1400</v>
      </c>
      <c r="I1280" s="14" t="s">
        <v>75</v>
      </c>
      <c r="J1280" s="14" t="s">
        <v>201</v>
      </c>
      <c r="K1280" s="14">
        <v>1</v>
      </c>
      <c r="L1280" s="14" t="s">
        <v>1400</v>
      </c>
      <c r="N1280" s="14">
        <v>0</v>
      </c>
      <c r="O1280" s="14" t="b">
        <v>1</v>
      </c>
      <c r="Q1280" s="14" t="b">
        <v>0</v>
      </c>
      <c r="R1280" s="14">
        <v>1</v>
      </c>
      <c r="S1280" s="14" t="s">
        <v>77</v>
      </c>
      <c r="T1280" s="14">
        <v>999</v>
      </c>
      <c r="U1280" s="14" t="s">
        <v>1401</v>
      </c>
      <c r="V1280" s="14">
        <v>31912014</v>
      </c>
      <c r="X1280" s="14" t="s">
        <v>1498</v>
      </c>
      <c r="Y1280" s="14" t="s">
        <v>215</v>
      </c>
      <c r="Z1280" s="14">
        <v>20043</v>
      </c>
      <c r="AA1280" s="14" t="s">
        <v>1499</v>
      </c>
      <c r="AB1280" s="14">
        <v>40001</v>
      </c>
      <c r="AE1280" s="14" t="s">
        <v>1400</v>
      </c>
      <c r="AF1280" s="14" t="s">
        <v>1400</v>
      </c>
      <c r="AG1280" s="14" t="s">
        <v>86</v>
      </c>
    </row>
    <row r="1281" spans="2:33">
      <c r="B1281" s="14">
        <f>10000000+INDEX(编号表!$B:$B,MATCH(H1281,编号表!$A:$A,0))*100000+INDEX(编号表!$F:$F,MATCH(D1281,编号表!$E:$E,0))*10000+INDEX(编号表!$D:$D,MATCH(AG1281,编号表!$C:$C,0))*1000+F1281</f>
        <v>11922015</v>
      </c>
      <c r="C1281" s="14" t="s">
        <v>1497</v>
      </c>
      <c r="D1281" s="14" t="s">
        <v>112</v>
      </c>
      <c r="E1281" s="14" t="s">
        <v>86</v>
      </c>
      <c r="F1281" s="14">
        <v>15</v>
      </c>
      <c r="G1281" s="14">
        <v>60</v>
      </c>
      <c r="H1281" s="14" t="s">
        <v>1400</v>
      </c>
      <c r="I1281" s="14" t="s">
        <v>75</v>
      </c>
      <c r="J1281" s="14" t="s">
        <v>201</v>
      </c>
      <c r="K1281" s="14">
        <v>1</v>
      </c>
      <c r="L1281" s="14" t="s">
        <v>1400</v>
      </c>
      <c r="N1281" s="14">
        <v>0</v>
      </c>
      <c r="O1281" s="14" t="b">
        <v>1</v>
      </c>
      <c r="Q1281" s="14" t="b">
        <v>0</v>
      </c>
      <c r="R1281" s="14">
        <v>1</v>
      </c>
      <c r="S1281" s="14" t="s">
        <v>77</v>
      </c>
      <c r="T1281" s="14">
        <v>999</v>
      </c>
      <c r="U1281" s="14" t="s">
        <v>1401</v>
      </c>
      <c r="V1281" s="14">
        <v>31922015</v>
      </c>
      <c r="X1281" s="14" t="s">
        <v>1500</v>
      </c>
      <c r="Y1281" s="14" t="s">
        <v>215</v>
      </c>
      <c r="Z1281" s="14">
        <v>20044</v>
      </c>
      <c r="AA1281" s="14" t="s">
        <v>1501</v>
      </c>
      <c r="AB1281" s="14">
        <v>40001</v>
      </c>
      <c r="AE1281" s="14" t="s">
        <v>1400</v>
      </c>
      <c r="AF1281" s="14" t="s">
        <v>1400</v>
      </c>
      <c r="AG1281" s="14" t="s">
        <v>86</v>
      </c>
    </row>
    <row r="1282" spans="2:33">
      <c r="B1282" s="14">
        <f>10000000+INDEX(编号表!$B:$B,MATCH(H1282,编号表!$A:$A,0))*100000+INDEX(编号表!$F:$F,MATCH(D1282,编号表!$E:$E,0))*10000+INDEX(编号表!$D:$D,MATCH(AG1282,编号表!$C:$C,0))*1000+F1282</f>
        <v>11932016</v>
      </c>
      <c r="C1282" s="14" t="s">
        <v>1497</v>
      </c>
      <c r="D1282" s="14" t="s">
        <v>276</v>
      </c>
      <c r="E1282" s="14" t="s">
        <v>86</v>
      </c>
      <c r="F1282" s="14">
        <v>16</v>
      </c>
      <c r="G1282" s="14">
        <v>60</v>
      </c>
      <c r="H1282" s="14" t="s">
        <v>1400</v>
      </c>
      <c r="I1282" s="14" t="s">
        <v>75</v>
      </c>
      <c r="J1282" s="14" t="s">
        <v>201</v>
      </c>
      <c r="K1282" s="14">
        <v>1</v>
      </c>
      <c r="L1282" s="14" t="s">
        <v>1400</v>
      </c>
      <c r="N1282" s="14">
        <v>0</v>
      </c>
      <c r="O1282" s="14" t="b">
        <v>1</v>
      </c>
      <c r="Q1282" s="14" t="b">
        <v>0</v>
      </c>
      <c r="R1282" s="14">
        <v>1</v>
      </c>
      <c r="S1282" s="14" t="s">
        <v>77</v>
      </c>
      <c r="T1282" s="14">
        <v>999</v>
      </c>
      <c r="U1282" s="14" t="s">
        <v>1401</v>
      </c>
      <c r="V1282" s="14">
        <v>31932016</v>
      </c>
      <c r="X1282" s="14" t="s">
        <v>1502</v>
      </c>
      <c r="Y1282" s="14" t="s">
        <v>215</v>
      </c>
      <c r="Z1282" s="14">
        <v>20045</v>
      </c>
      <c r="AA1282" s="14" t="s">
        <v>1503</v>
      </c>
      <c r="AB1282" s="14">
        <v>40001</v>
      </c>
      <c r="AE1282" s="14" t="s">
        <v>1400</v>
      </c>
      <c r="AF1282" s="14" t="s">
        <v>1400</v>
      </c>
      <c r="AG1282" s="14" t="s">
        <v>86</v>
      </c>
    </row>
    <row r="1283" spans="2:33">
      <c r="B1283" s="14">
        <f>10000000+INDEX(编号表!$B:$B,MATCH(H1283,编号表!$A:$A,0))*100000+INDEX(编号表!$F:$F,MATCH(D1283,编号表!$E:$E,0))*10000+INDEX(编号表!$D:$D,MATCH(AG1283,编号表!$C:$C,0))*1000+F1283</f>
        <v>11912015</v>
      </c>
      <c r="C1283" s="14" t="s">
        <v>1504</v>
      </c>
      <c r="D1283" s="14" t="s">
        <v>72</v>
      </c>
      <c r="E1283" s="14" t="s">
        <v>86</v>
      </c>
      <c r="F1283" s="14">
        <v>15</v>
      </c>
      <c r="G1283" s="14">
        <v>60</v>
      </c>
      <c r="H1283" s="14" t="s">
        <v>1400</v>
      </c>
      <c r="I1283" s="14" t="s">
        <v>75</v>
      </c>
      <c r="J1283" s="14" t="s">
        <v>201</v>
      </c>
      <c r="K1283" s="14">
        <v>1</v>
      </c>
      <c r="L1283" s="14" t="s">
        <v>1400</v>
      </c>
      <c r="N1283" s="14">
        <v>0</v>
      </c>
      <c r="O1283" s="14" t="b">
        <v>1</v>
      </c>
      <c r="Q1283" s="14" t="b">
        <v>0</v>
      </c>
      <c r="R1283" s="14">
        <v>1</v>
      </c>
      <c r="S1283" s="14" t="s">
        <v>77</v>
      </c>
      <c r="T1283" s="14">
        <v>999</v>
      </c>
      <c r="U1283" s="14" t="s">
        <v>1401</v>
      </c>
      <c r="V1283" s="14">
        <v>31912015</v>
      </c>
      <c r="X1283" s="14" t="s">
        <v>1505</v>
      </c>
      <c r="Y1283" s="14" t="s">
        <v>215</v>
      </c>
      <c r="Z1283" s="14">
        <v>20046</v>
      </c>
      <c r="AA1283" s="14" t="s">
        <v>1506</v>
      </c>
      <c r="AB1283" s="14">
        <v>40001</v>
      </c>
      <c r="AE1283" s="14" t="s">
        <v>1400</v>
      </c>
      <c r="AF1283" s="14" t="s">
        <v>1400</v>
      </c>
      <c r="AG1283" s="14" t="s">
        <v>86</v>
      </c>
    </row>
    <row r="1284" spans="2:33">
      <c r="B1284" s="14">
        <f>10000000+INDEX(编号表!$B:$B,MATCH(H1284,编号表!$A:$A,0))*100000+INDEX(编号表!$F:$F,MATCH(D1284,编号表!$E:$E,0))*10000+INDEX(编号表!$D:$D,MATCH(AG1284,编号表!$C:$C,0))*1000+F1284</f>
        <v>11922016</v>
      </c>
      <c r="C1284" s="14" t="s">
        <v>1504</v>
      </c>
      <c r="D1284" s="14" t="s">
        <v>112</v>
      </c>
      <c r="E1284" s="14" t="s">
        <v>86</v>
      </c>
      <c r="F1284" s="14">
        <v>16</v>
      </c>
      <c r="G1284" s="14">
        <v>60</v>
      </c>
      <c r="H1284" s="14" t="s">
        <v>1400</v>
      </c>
      <c r="I1284" s="14" t="s">
        <v>75</v>
      </c>
      <c r="J1284" s="14" t="s">
        <v>201</v>
      </c>
      <c r="K1284" s="14">
        <v>1</v>
      </c>
      <c r="L1284" s="14" t="s">
        <v>1400</v>
      </c>
      <c r="N1284" s="14">
        <v>0</v>
      </c>
      <c r="O1284" s="14" t="b">
        <v>1</v>
      </c>
      <c r="Q1284" s="14" t="b">
        <v>0</v>
      </c>
      <c r="R1284" s="14">
        <v>1</v>
      </c>
      <c r="S1284" s="14" t="s">
        <v>77</v>
      </c>
      <c r="T1284" s="14">
        <v>999</v>
      </c>
      <c r="U1284" s="14" t="s">
        <v>1401</v>
      </c>
      <c r="V1284" s="14">
        <v>31922016</v>
      </c>
      <c r="X1284" s="14" t="s">
        <v>1507</v>
      </c>
      <c r="Y1284" s="14" t="s">
        <v>215</v>
      </c>
      <c r="Z1284" s="14">
        <v>20047</v>
      </c>
      <c r="AA1284" s="14" t="s">
        <v>1508</v>
      </c>
      <c r="AB1284" s="14">
        <v>40001</v>
      </c>
      <c r="AE1284" s="14" t="s">
        <v>1400</v>
      </c>
      <c r="AF1284" s="14" t="s">
        <v>1400</v>
      </c>
      <c r="AG1284" s="14" t="s">
        <v>86</v>
      </c>
    </row>
    <row r="1285" spans="2:33">
      <c r="B1285" s="14">
        <f>10000000+INDEX(编号表!$B:$B,MATCH(H1285,编号表!$A:$A,0))*100000+INDEX(编号表!$F:$F,MATCH(D1285,编号表!$E:$E,0))*10000+INDEX(编号表!$D:$D,MATCH(AG1285,编号表!$C:$C,0))*1000+F1285</f>
        <v>11932017</v>
      </c>
      <c r="C1285" s="14" t="s">
        <v>1504</v>
      </c>
      <c r="D1285" s="14" t="s">
        <v>276</v>
      </c>
      <c r="E1285" s="14" t="s">
        <v>86</v>
      </c>
      <c r="F1285" s="14">
        <v>17</v>
      </c>
      <c r="G1285" s="14">
        <v>60</v>
      </c>
      <c r="H1285" s="14" t="s">
        <v>1400</v>
      </c>
      <c r="I1285" s="14" t="s">
        <v>75</v>
      </c>
      <c r="J1285" s="14" t="s">
        <v>201</v>
      </c>
      <c r="K1285" s="14">
        <v>1</v>
      </c>
      <c r="L1285" s="14" t="s">
        <v>1400</v>
      </c>
      <c r="N1285" s="14">
        <v>0</v>
      </c>
      <c r="O1285" s="14" t="b">
        <v>1</v>
      </c>
      <c r="Q1285" s="14" t="b">
        <v>0</v>
      </c>
      <c r="R1285" s="14">
        <v>1</v>
      </c>
      <c r="S1285" s="14" t="s">
        <v>77</v>
      </c>
      <c r="T1285" s="14">
        <v>999</v>
      </c>
      <c r="U1285" s="14" t="s">
        <v>1401</v>
      </c>
      <c r="V1285" s="14">
        <v>31932017</v>
      </c>
      <c r="X1285" s="14" t="s">
        <v>1509</v>
      </c>
      <c r="Y1285" s="14" t="s">
        <v>215</v>
      </c>
      <c r="Z1285" s="14">
        <v>20048</v>
      </c>
      <c r="AA1285" s="14" t="s">
        <v>1510</v>
      </c>
      <c r="AB1285" s="14">
        <v>40001</v>
      </c>
      <c r="AE1285" s="14" t="s">
        <v>1400</v>
      </c>
      <c r="AF1285" s="14" t="s">
        <v>1400</v>
      </c>
      <c r="AG1285" s="14" t="s">
        <v>86</v>
      </c>
    </row>
    <row r="1286" spans="2:33">
      <c r="B1286" s="14">
        <f>10000000+INDEX(编号表!$B:$B,MATCH(H1286,编号表!$A:$A,0))*100000+INDEX(编号表!$F:$F,MATCH(D1286,编号表!$E:$E,0))*10000+INDEX(编号表!$D:$D,MATCH(AG1286,编号表!$C:$C,0))*1000+F1286</f>
        <v>11912016</v>
      </c>
      <c r="C1286" s="14" t="s">
        <v>1511</v>
      </c>
      <c r="D1286" s="14" t="s">
        <v>72</v>
      </c>
      <c r="E1286" s="14" t="s">
        <v>86</v>
      </c>
      <c r="F1286" s="14">
        <v>16</v>
      </c>
      <c r="G1286" s="14">
        <v>60</v>
      </c>
      <c r="H1286" s="14" t="s">
        <v>1400</v>
      </c>
      <c r="I1286" s="14" t="s">
        <v>75</v>
      </c>
      <c r="J1286" s="14" t="s">
        <v>201</v>
      </c>
      <c r="K1286" s="14">
        <v>1</v>
      </c>
      <c r="L1286" s="14" t="s">
        <v>1400</v>
      </c>
      <c r="N1286" s="14">
        <v>0</v>
      </c>
      <c r="O1286" s="14" t="b">
        <v>1</v>
      </c>
      <c r="Q1286" s="14" t="b">
        <v>0</v>
      </c>
      <c r="R1286" s="14">
        <v>1</v>
      </c>
      <c r="S1286" s="14" t="s">
        <v>77</v>
      </c>
      <c r="T1286" s="14">
        <v>999</v>
      </c>
      <c r="U1286" s="14" t="s">
        <v>1401</v>
      </c>
      <c r="V1286" s="14">
        <v>31912016</v>
      </c>
      <c r="X1286" s="14" t="s">
        <v>1512</v>
      </c>
      <c r="Y1286" s="14" t="s">
        <v>215</v>
      </c>
      <c r="Z1286" s="14">
        <v>20049</v>
      </c>
      <c r="AA1286" s="14" t="s">
        <v>1513</v>
      </c>
      <c r="AB1286" s="14">
        <v>40001</v>
      </c>
      <c r="AE1286" s="14" t="s">
        <v>1400</v>
      </c>
      <c r="AF1286" s="14" t="s">
        <v>1400</v>
      </c>
      <c r="AG1286" s="14" t="s">
        <v>86</v>
      </c>
    </row>
    <row r="1287" spans="2:33">
      <c r="B1287" s="14">
        <f>10000000+INDEX(编号表!$B:$B,MATCH(H1287,编号表!$A:$A,0))*100000+INDEX(编号表!$F:$F,MATCH(D1287,编号表!$E:$E,0))*10000+INDEX(编号表!$D:$D,MATCH(AG1287,编号表!$C:$C,0))*1000+F1287</f>
        <v>11922017</v>
      </c>
      <c r="C1287" s="14" t="s">
        <v>1511</v>
      </c>
      <c r="D1287" s="14" t="s">
        <v>112</v>
      </c>
      <c r="E1287" s="14" t="s">
        <v>86</v>
      </c>
      <c r="F1287" s="14">
        <v>17</v>
      </c>
      <c r="G1287" s="14">
        <v>60</v>
      </c>
      <c r="H1287" s="14" t="s">
        <v>1400</v>
      </c>
      <c r="I1287" s="14" t="s">
        <v>75</v>
      </c>
      <c r="J1287" s="14" t="s">
        <v>201</v>
      </c>
      <c r="K1287" s="14">
        <v>1</v>
      </c>
      <c r="L1287" s="14" t="s">
        <v>1400</v>
      </c>
      <c r="N1287" s="14">
        <v>0</v>
      </c>
      <c r="O1287" s="14" t="b">
        <v>1</v>
      </c>
      <c r="Q1287" s="14" t="b">
        <v>0</v>
      </c>
      <c r="R1287" s="14">
        <v>1</v>
      </c>
      <c r="S1287" s="14" t="s">
        <v>77</v>
      </c>
      <c r="T1287" s="14">
        <v>999</v>
      </c>
      <c r="U1287" s="14" t="s">
        <v>1401</v>
      </c>
      <c r="V1287" s="14">
        <v>31922017</v>
      </c>
      <c r="X1287" s="14" t="s">
        <v>1514</v>
      </c>
      <c r="Y1287" s="14" t="s">
        <v>215</v>
      </c>
      <c r="Z1287" s="14">
        <v>20050</v>
      </c>
      <c r="AA1287" s="14" t="s">
        <v>1515</v>
      </c>
      <c r="AB1287" s="14">
        <v>40001</v>
      </c>
      <c r="AE1287" s="14" t="s">
        <v>1400</v>
      </c>
      <c r="AF1287" s="14" t="s">
        <v>1400</v>
      </c>
      <c r="AG1287" s="14" t="s">
        <v>86</v>
      </c>
    </row>
    <row r="1288" spans="2:33">
      <c r="B1288" s="14">
        <f>10000000+INDEX(编号表!$B:$B,MATCH(H1288,编号表!$A:$A,0))*100000+INDEX(编号表!$F:$F,MATCH(D1288,编号表!$E:$E,0))*10000+INDEX(编号表!$D:$D,MATCH(AG1288,编号表!$C:$C,0))*1000+F1288</f>
        <v>11932018</v>
      </c>
      <c r="C1288" s="14" t="s">
        <v>1511</v>
      </c>
      <c r="D1288" s="14" t="s">
        <v>276</v>
      </c>
      <c r="E1288" s="14" t="s">
        <v>86</v>
      </c>
      <c r="F1288" s="14">
        <v>18</v>
      </c>
      <c r="G1288" s="14">
        <v>60</v>
      </c>
      <c r="H1288" s="14" t="s">
        <v>1400</v>
      </c>
      <c r="I1288" s="14" t="s">
        <v>75</v>
      </c>
      <c r="J1288" s="14" t="s">
        <v>201</v>
      </c>
      <c r="K1288" s="14">
        <v>1</v>
      </c>
      <c r="L1288" s="14" t="s">
        <v>1400</v>
      </c>
      <c r="N1288" s="14">
        <v>0</v>
      </c>
      <c r="O1288" s="14" t="b">
        <v>1</v>
      </c>
      <c r="Q1288" s="14" t="b">
        <v>0</v>
      </c>
      <c r="R1288" s="14">
        <v>1</v>
      </c>
      <c r="S1288" s="14" t="s">
        <v>77</v>
      </c>
      <c r="T1288" s="14">
        <v>999</v>
      </c>
      <c r="U1288" s="14" t="s">
        <v>1401</v>
      </c>
      <c r="V1288" s="14">
        <v>31932018</v>
      </c>
      <c r="X1288" s="14" t="s">
        <v>1516</v>
      </c>
      <c r="Y1288" s="14" t="s">
        <v>215</v>
      </c>
      <c r="Z1288" s="14">
        <v>20051</v>
      </c>
      <c r="AA1288" s="14" t="s">
        <v>1517</v>
      </c>
      <c r="AB1288" s="14">
        <v>40001</v>
      </c>
      <c r="AE1288" s="14" t="s">
        <v>1400</v>
      </c>
      <c r="AF1288" s="14" t="s">
        <v>1400</v>
      </c>
      <c r="AG1288" s="14" t="s">
        <v>86</v>
      </c>
    </row>
    <row r="1289" spans="2:33">
      <c r="B1289" s="14">
        <f>10000000+INDEX(编号表!$B:$B,MATCH(H1289,编号表!$A:$A,0))*100000+INDEX(编号表!$F:$F,MATCH(D1289,编号表!$E:$E,0))*10000+INDEX(编号表!$D:$D,MATCH(AG1289,编号表!$C:$C,0))*1000+F1289</f>
        <v>11912017</v>
      </c>
      <c r="C1289" s="14" t="s">
        <v>1518</v>
      </c>
      <c r="D1289" s="14" t="s">
        <v>72</v>
      </c>
      <c r="E1289" s="14" t="s">
        <v>86</v>
      </c>
      <c r="F1289" s="14">
        <v>17</v>
      </c>
      <c r="G1289" s="14">
        <v>60</v>
      </c>
      <c r="H1289" s="14" t="s">
        <v>1400</v>
      </c>
      <c r="I1289" s="14" t="s">
        <v>75</v>
      </c>
      <c r="J1289" s="14" t="s">
        <v>201</v>
      </c>
      <c r="K1289" s="14">
        <v>1</v>
      </c>
      <c r="L1289" s="14" t="s">
        <v>1400</v>
      </c>
      <c r="N1289" s="14">
        <v>0</v>
      </c>
      <c r="O1289" s="14" t="b">
        <v>1</v>
      </c>
      <c r="Q1289" s="14" t="b">
        <v>0</v>
      </c>
      <c r="R1289" s="14">
        <v>1</v>
      </c>
      <c r="S1289" s="14" t="s">
        <v>77</v>
      </c>
      <c r="T1289" s="14">
        <v>999</v>
      </c>
      <c r="U1289" s="14" t="s">
        <v>1401</v>
      </c>
      <c r="V1289" s="14">
        <v>31912017</v>
      </c>
      <c r="X1289" s="14" t="s">
        <v>1519</v>
      </c>
      <c r="Y1289" s="14" t="s">
        <v>215</v>
      </c>
      <c r="Z1289" s="14">
        <v>20052</v>
      </c>
      <c r="AA1289" s="14" t="s">
        <v>1520</v>
      </c>
      <c r="AB1289" s="14">
        <v>40001</v>
      </c>
      <c r="AE1289" s="14" t="s">
        <v>1400</v>
      </c>
      <c r="AF1289" s="14" t="s">
        <v>1400</v>
      </c>
      <c r="AG1289" s="14" t="s">
        <v>86</v>
      </c>
    </row>
    <row r="1290" spans="2:33">
      <c r="B1290" s="14">
        <f>10000000+INDEX(编号表!$B:$B,MATCH(H1290,编号表!$A:$A,0))*100000+INDEX(编号表!$F:$F,MATCH(D1290,编号表!$E:$E,0))*10000+INDEX(编号表!$D:$D,MATCH(AG1290,编号表!$C:$C,0))*1000+F1290</f>
        <v>11922018</v>
      </c>
      <c r="C1290" s="14" t="s">
        <v>1518</v>
      </c>
      <c r="D1290" s="14" t="s">
        <v>112</v>
      </c>
      <c r="E1290" s="14" t="s">
        <v>86</v>
      </c>
      <c r="F1290" s="14">
        <v>18</v>
      </c>
      <c r="G1290" s="14">
        <v>60</v>
      </c>
      <c r="H1290" s="14" t="s">
        <v>1400</v>
      </c>
      <c r="I1290" s="14" t="s">
        <v>75</v>
      </c>
      <c r="J1290" s="14" t="s">
        <v>201</v>
      </c>
      <c r="K1290" s="14">
        <v>1</v>
      </c>
      <c r="L1290" s="14" t="s">
        <v>1400</v>
      </c>
      <c r="N1290" s="14">
        <v>0</v>
      </c>
      <c r="O1290" s="14" t="b">
        <v>1</v>
      </c>
      <c r="Q1290" s="14" t="b">
        <v>0</v>
      </c>
      <c r="R1290" s="14">
        <v>1</v>
      </c>
      <c r="S1290" s="14" t="s">
        <v>77</v>
      </c>
      <c r="T1290" s="14">
        <v>999</v>
      </c>
      <c r="U1290" s="14" t="s">
        <v>1401</v>
      </c>
      <c r="V1290" s="14">
        <v>31922018</v>
      </c>
      <c r="X1290" s="14" t="s">
        <v>1521</v>
      </c>
      <c r="Y1290" s="14" t="s">
        <v>215</v>
      </c>
      <c r="Z1290" s="14">
        <v>20053</v>
      </c>
      <c r="AA1290" s="14" t="s">
        <v>1522</v>
      </c>
      <c r="AB1290" s="14">
        <v>40001</v>
      </c>
      <c r="AE1290" s="14" t="s">
        <v>1400</v>
      </c>
      <c r="AF1290" s="14" t="s">
        <v>1400</v>
      </c>
      <c r="AG1290" s="14" t="s">
        <v>86</v>
      </c>
    </row>
    <row r="1291" spans="2:33">
      <c r="B1291" s="14">
        <f>10000000+INDEX(编号表!$B:$B,MATCH(H1291,编号表!$A:$A,0))*100000+INDEX(编号表!$F:$F,MATCH(D1291,编号表!$E:$E,0))*10000+INDEX(编号表!$D:$D,MATCH(AG1291,编号表!$C:$C,0))*1000+F1291</f>
        <v>11932019</v>
      </c>
      <c r="C1291" s="14" t="s">
        <v>1518</v>
      </c>
      <c r="D1291" s="14" t="s">
        <v>276</v>
      </c>
      <c r="E1291" s="14" t="s">
        <v>86</v>
      </c>
      <c r="F1291" s="14">
        <v>19</v>
      </c>
      <c r="G1291" s="14">
        <v>60</v>
      </c>
      <c r="H1291" s="14" t="s">
        <v>1400</v>
      </c>
      <c r="I1291" s="14" t="s">
        <v>75</v>
      </c>
      <c r="J1291" s="14" t="s">
        <v>201</v>
      </c>
      <c r="K1291" s="14">
        <v>1</v>
      </c>
      <c r="L1291" s="14" t="s">
        <v>1400</v>
      </c>
      <c r="N1291" s="14">
        <v>0</v>
      </c>
      <c r="O1291" s="14" t="b">
        <v>1</v>
      </c>
      <c r="Q1291" s="14" t="b">
        <v>0</v>
      </c>
      <c r="R1291" s="14">
        <v>1</v>
      </c>
      <c r="S1291" s="14" t="s">
        <v>77</v>
      </c>
      <c r="T1291" s="14">
        <v>999</v>
      </c>
      <c r="U1291" s="14" t="s">
        <v>1401</v>
      </c>
      <c r="V1291" s="14">
        <v>31932019</v>
      </c>
      <c r="X1291" s="14" t="s">
        <v>1523</v>
      </c>
      <c r="Y1291" s="14" t="s">
        <v>215</v>
      </c>
      <c r="Z1291" s="14">
        <v>20054</v>
      </c>
      <c r="AA1291" s="14" t="s">
        <v>1524</v>
      </c>
      <c r="AB1291" s="14">
        <v>40001</v>
      </c>
      <c r="AE1291" s="14" t="s">
        <v>1400</v>
      </c>
      <c r="AF1291" s="14" t="s">
        <v>1400</v>
      </c>
      <c r="AG1291" s="14" t="s">
        <v>86</v>
      </c>
    </row>
    <row r="1292" spans="2:33">
      <c r="B1292" s="14">
        <f>10000000+INDEX(编号表!$B:$B,MATCH(H1292,编号表!$A:$A,0))*100000+INDEX(编号表!$F:$F,MATCH(D1292,编号表!$E:$E,0))*10000+INDEX(编号表!$D:$D,MATCH(AG1292,编号表!$C:$C,0))*1000+F1292</f>
        <v>11912018</v>
      </c>
      <c r="C1292" s="14" t="s">
        <v>1525</v>
      </c>
      <c r="D1292" s="14" t="s">
        <v>72</v>
      </c>
      <c r="E1292" s="14" t="s">
        <v>86</v>
      </c>
      <c r="F1292" s="14">
        <v>18</v>
      </c>
      <c r="G1292" s="14">
        <v>60</v>
      </c>
      <c r="H1292" s="14" t="s">
        <v>1400</v>
      </c>
      <c r="I1292" s="14" t="s">
        <v>75</v>
      </c>
      <c r="J1292" s="14" t="s">
        <v>201</v>
      </c>
      <c r="K1292" s="14">
        <v>1</v>
      </c>
      <c r="L1292" s="14" t="s">
        <v>1400</v>
      </c>
      <c r="N1292" s="14">
        <v>0</v>
      </c>
      <c r="O1292" s="14" t="b">
        <v>1</v>
      </c>
      <c r="Q1292" s="14" t="b">
        <v>0</v>
      </c>
      <c r="R1292" s="14">
        <v>1</v>
      </c>
      <c r="S1292" s="14" t="s">
        <v>77</v>
      </c>
      <c r="T1292" s="14">
        <v>999</v>
      </c>
      <c r="U1292" s="14" t="s">
        <v>1401</v>
      </c>
      <c r="V1292" s="14">
        <v>31912018</v>
      </c>
      <c r="X1292" s="14" t="s">
        <v>1526</v>
      </c>
      <c r="Y1292" s="14" t="s">
        <v>215</v>
      </c>
      <c r="Z1292" s="14">
        <v>20055</v>
      </c>
      <c r="AA1292" s="14" t="s">
        <v>1527</v>
      </c>
      <c r="AB1292" s="14">
        <v>40001</v>
      </c>
      <c r="AE1292" s="14" t="s">
        <v>1400</v>
      </c>
      <c r="AF1292" s="14" t="s">
        <v>1400</v>
      </c>
      <c r="AG1292" s="14" t="s">
        <v>86</v>
      </c>
    </row>
    <row r="1293" spans="2:33">
      <c r="B1293" s="14">
        <f>10000000+INDEX(编号表!$B:$B,MATCH(H1293,编号表!$A:$A,0))*100000+INDEX(编号表!$F:$F,MATCH(D1293,编号表!$E:$E,0))*10000+INDEX(编号表!$D:$D,MATCH(AG1293,编号表!$C:$C,0))*1000+F1293</f>
        <v>11922019</v>
      </c>
      <c r="C1293" s="14" t="s">
        <v>1525</v>
      </c>
      <c r="D1293" s="14" t="s">
        <v>112</v>
      </c>
      <c r="E1293" s="14" t="s">
        <v>86</v>
      </c>
      <c r="F1293" s="14">
        <v>19</v>
      </c>
      <c r="G1293" s="14">
        <v>60</v>
      </c>
      <c r="H1293" s="14" t="s">
        <v>1400</v>
      </c>
      <c r="I1293" s="14" t="s">
        <v>75</v>
      </c>
      <c r="J1293" s="14" t="s">
        <v>201</v>
      </c>
      <c r="K1293" s="14">
        <v>1</v>
      </c>
      <c r="L1293" s="14" t="s">
        <v>1400</v>
      </c>
      <c r="N1293" s="14">
        <v>0</v>
      </c>
      <c r="O1293" s="14" t="b">
        <v>1</v>
      </c>
      <c r="Q1293" s="14" t="b">
        <v>0</v>
      </c>
      <c r="R1293" s="14">
        <v>1</v>
      </c>
      <c r="S1293" s="14" t="s">
        <v>77</v>
      </c>
      <c r="T1293" s="14">
        <v>999</v>
      </c>
      <c r="U1293" s="14" t="s">
        <v>1401</v>
      </c>
      <c r="V1293" s="14">
        <v>31922019</v>
      </c>
      <c r="X1293" s="14" t="s">
        <v>1528</v>
      </c>
      <c r="Y1293" s="14" t="s">
        <v>215</v>
      </c>
      <c r="Z1293" s="14">
        <v>20056</v>
      </c>
      <c r="AA1293" s="14" t="s">
        <v>1529</v>
      </c>
      <c r="AB1293" s="14">
        <v>40001</v>
      </c>
      <c r="AE1293" s="14" t="s">
        <v>1400</v>
      </c>
      <c r="AF1293" s="14" t="s">
        <v>1400</v>
      </c>
      <c r="AG1293" s="14" t="s">
        <v>86</v>
      </c>
    </row>
    <row r="1294" spans="2:33">
      <c r="B1294" s="14">
        <f>10000000+INDEX(编号表!$B:$B,MATCH(H1294,编号表!$A:$A,0))*100000+INDEX(编号表!$F:$F,MATCH(D1294,编号表!$E:$E,0))*10000+INDEX(编号表!$D:$D,MATCH(AG1294,编号表!$C:$C,0))*1000+F1294</f>
        <v>11932020</v>
      </c>
      <c r="C1294" s="14" t="s">
        <v>1525</v>
      </c>
      <c r="D1294" s="14" t="s">
        <v>276</v>
      </c>
      <c r="E1294" s="14" t="s">
        <v>86</v>
      </c>
      <c r="F1294" s="14">
        <v>20</v>
      </c>
      <c r="G1294" s="14">
        <v>60</v>
      </c>
      <c r="H1294" s="14" t="s">
        <v>1400</v>
      </c>
      <c r="I1294" s="14" t="s">
        <v>75</v>
      </c>
      <c r="J1294" s="14" t="s">
        <v>201</v>
      </c>
      <c r="K1294" s="14">
        <v>1</v>
      </c>
      <c r="L1294" s="14" t="s">
        <v>1400</v>
      </c>
      <c r="N1294" s="14">
        <v>0</v>
      </c>
      <c r="O1294" s="14" t="b">
        <v>1</v>
      </c>
      <c r="Q1294" s="14" t="b">
        <v>0</v>
      </c>
      <c r="R1294" s="14">
        <v>1</v>
      </c>
      <c r="S1294" s="14" t="s">
        <v>77</v>
      </c>
      <c r="T1294" s="14">
        <v>999</v>
      </c>
      <c r="U1294" s="14" t="s">
        <v>1401</v>
      </c>
      <c r="V1294" s="14">
        <v>31932020</v>
      </c>
      <c r="X1294" s="14" t="s">
        <v>1530</v>
      </c>
      <c r="Y1294" s="14" t="s">
        <v>215</v>
      </c>
      <c r="Z1294" s="14">
        <v>20057</v>
      </c>
      <c r="AA1294" s="14" t="s">
        <v>1531</v>
      </c>
      <c r="AB1294" s="14">
        <v>40001</v>
      </c>
      <c r="AE1294" s="14" t="s">
        <v>1400</v>
      </c>
      <c r="AF1294" s="14" t="s">
        <v>1400</v>
      </c>
      <c r="AG1294" s="14" t="s">
        <v>86</v>
      </c>
    </row>
    <row r="1295" spans="2:33">
      <c r="B1295" s="14">
        <f>10000000+INDEX(编号表!$B:$B,MATCH(H1295,编号表!$A:$A,0))*100000+INDEX(编号表!$F:$F,MATCH(D1295,编号表!$E:$E,0))*10000+INDEX(编号表!$D:$D,MATCH(AG1295,编号表!$C:$C,0))*1000+F1295</f>
        <v>11912019</v>
      </c>
      <c r="C1295" s="14" t="s">
        <v>1532</v>
      </c>
      <c r="D1295" s="14" t="s">
        <v>72</v>
      </c>
      <c r="E1295" s="14" t="s">
        <v>86</v>
      </c>
      <c r="F1295" s="14">
        <v>19</v>
      </c>
      <c r="G1295" s="14">
        <v>60</v>
      </c>
      <c r="H1295" s="14" t="s">
        <v>1400</v>
      </c>
      <c r="I1295" s="14" t="s">
        <v>75</v>
      </c>
      <c r="J1295" s="14" t="s">
        <v>201</v>
      </c>
      <c r="K1295" s="14">
        <v>1</v>
      </c>
      <c r="L1295" s="14" t="s">
        <v>1400</v>
      </c>
      <c r="N1295" s="14">
        <v>0</v>
      </c>
      <c r="O1295" s="14" t="b">
        <v>1</v>
      </c>
      <c r="Q1295" s="14" t="b">
        <v>0</v>
      </c>
      <c r="R1295" s="14">
        <v>1</v>
      </c>
      <c r="S1295" s="14" t="s">
        <v>77</v>
      </c>
      <c r="T1295" s="14">
        <v>999</v>
      </c>
      <c r="U1295" s="14" t="s">
        <v>1401</v>
      </c>
      <c r="V1295" s="14">
        <v>31912019</v>
      </c>
      <c r="X1295" s="14" t="s">
        <v>1533</v>
      </c>
      <c r="Y1295" s="14" t="s">
        <v>215</v>
      </c>
      <c r="Z1295" s="14">
        <v>20058</v>
      </c>
      <c r="AA1295" s="14" t="s">
        <v>1534</v>
      </c>
      <c r="AB1295" s="14">
        <v>40001</v>
      </c>
      <c r="AE1295" s="14" t="s">
        <v>1400</v>
      </c>
      <c r="AF1295" s="14" t="s">
        <v>1400</v>
      </c>
      <c r="AG1295" s="14" t="s">
        <v>86</v>
      </c>
    </row>
    <row r="1296" spans="2:33">
      <c r="B1296" s="14">
        <f>10000000+INDEX(编号表!$B:$B,MATCH(H1296,编号表!$A:$A,0))*100000+INDEX(编号表!$F:$F,MATCH(D1296,编号表!$E:$E,0))*10000+INDEX(编号表!$D:$D,MATCH(AG1296,编号表!$C:$C,0))*1000+F1296</f>
        <v>11922020</v>
      </c>
      <c r="C1296" s="14" t="s">
        <v>1532</v>
      </c>
      <c r="D1296" s="14" t="s">
        <v>112</v>
      </c>
      <c r="E1296" s="14" t="s">
        <v>86</v>
      </c>
      <c r="F1296" s="14">
        <v>20</v>
      </c>
      <c r="G1296" s="14">
        <v>60</v>
      </c>
      <c r="H1296" s="14" t="s">
        <v>1400</v>
      </c>
      <c r="I1296" s="14" t="s">
        <v>75</v>
      </c>
      <c r="J1296" s="14" t="s">
        <v>201</v>
      </c>
      <c r="K1296" s="14">
        <v>1</v>
      </c>
      <c r="L1296" s="14" t="s">
        <v>1400</v>
      </c>
      <c r="N1296" s="14">
        <v>0</v>
      </c>
      <c r="O1296" s="14" t="b">
        <v>1</v>
      </c>
      <c r="Q1296" s="14" t="b">
        <v>0</v>
      </c>
      <c r="R1296" s="14">
        <v>1</v>
      </c>
      <c r="S1296" s="14" t="s">
        <v>77</v>
      </c>
      <c r="T1296" s="14">
        <v>999</v>
      </c>
      <c r="U1296" s="14" t="s">
        <v>1401</v>
      </c>
      <c r="V1296" s="14">
        <v>31922020</v>
      </c>
      <c r="X1296" s="14" t="s">
        <v>1535</v>
      </c>
      <c r="Y1296" s="14" t="s">
        <v>215</v>
      </c>
      <c r="Z1296" s="14">
        <v>20059</v>
      </c>
      <c r="AA1296" s="14" t="s">
        <v>1536</v>
      </c>
      <c r="AB1296" s="14">
        <v>40001</v>
      </c>
      <c r="AE1296" s="14" t="s">
        <v>1400</v>
      </c>
      <c r="AF1296" s="14" t="s">
        <v>1400</v>
      </c>
      <c r="AG1296" s="14" t="s">
        <v>86</v>
      </c>
    </row>
    <row r="1297" spans="2:33">
      <c r="B1297" s="14">
        <f>10000000+INDEX(编号表!$B:$B,MATCH(H1297,编号表!$A:$A,0))*100000+INDEX(编号表!$F:$F,MATCH(D1297,编号表!$E:$E,0))*10000+INDEX(编号表!$D:$D,MATCH(AG1297,编号表!$C:$C,0))*1000+F1297</f>
        <v>11932021</v>
      </c>
      <c r="C1297" s="14" t="s">
        <v>1532</v>
      </c>
      <c r="D1297" s="14" t="s">
        <v>276</v>
      </c>
      <c r="E1297" s="14" t="s">
        <v>86</v>
      </c>
      <c r="F1297" s="14">
        <v>21</v>
      </c>
      <c r="G1297" s="14">
        <v>60</v>
      </c>
      <c r="H1297" s="14" t="s">
        <v>1400</v>
      </c>
      <c r="I1297" s="14" t="s">
        <v>75</v>
      </c>
      <c r="J1297" s="14" t="s">
        <v>201</v>
      </c>
      <c r="K1297" s="14">
        <v>1</v>
      </c>
      <c r="L1297" s="14" t="s">
        <v>1400</v>
      </c>
      <c r="N1297" s="14">
        <v>0</v>
      </c>
      <c r="O1297" s="14" t="b">
        <v>1</v>
      </c>
      <c r="Q1297" s="14" t="b">
        <v>0</v>
      </c>
      <c r="R1297" s="14">
        <v>1</v>
      </c>
      <c r="S1297" s="14" t="s">
        <v>77</v>
      </c>
      <c r="T1297" s="14">
        <v>999</v>
      </c>
      <c r="U1297" s="14" t="s">
        <v>1401</v>
      </c>
      <c r="V1297" s="14">
        <v>31932021</v>
      </c>
      <c r="X1297" s="14" t="s">
        <v>1537</v>
      </c>
      <c r="Y1297" s="14" t="s">
        <v>215</v>
      </c>
      <c r="Z1297" s="14">
        <v>20060</v>
      </c>
      <c r="AA1297" s="14" t="s">
        <v>1538</v>
      </c>
      <c r="AB1297" s="14">
        <v>40001</v>
      </c>
      <c r="AE1297" s="14" t="s">
        <v>1400</v>
      </c>
      <c r="AF1297" s="14" t="s">
        <v>1400</v>
      </c>
      <c r="AG1297" s="14" t="s">
        <v>86</v>
      </c>
    </row>
    <row r="1298" spans="2:33">
      <c r="B1298" s="14">
        <f>10000000+INDEX(编号表!$B:$B,MATCH(H1298,编号表!$A:$A,0))*100000+INDEX(编号表!$F:$F,MATCH(D1298,编号表!$E:$E,0))*10000+INDEX(编号表!$D:$D,MATCH(AG1298,编号表!$C:$C,0))*1000+F1298</f>
        <v>11912020</v>
      </c>
      <c r="C1298" s="14" t="s">
        <v>1539</v>
      </c>
      <c r="D1298" s="14" t="s">
        <v>72</v>
      </c>
      <c r="E1298" s="14" t="s">
        <v>86</v>
      </c>
      <c r="F1298" s="14">
        <v>20</v>
      </c>
      <c r="G1298" s="14">
        <v>60</v>
      </c>
      <c r="H1298" s="14" t="s">
        <v>1400</v>
      </c>
      <c r="I1298" s="14" t="s">
        <v>75</v>
      </c>
      <c r="J1298" s="14" t="s">
        <v>201</v>
      </c>
      <c r="K1298" s="14">
        <v>1</v>
      </c>
      <c r="L1298" s="14" t="s">
        <v>1400</v>
      </c>
      <c r="N1298" s="14">
        <v>0</v>
      </c>
      <c r="O1298" s="14" t="b">
        <v>1</v>
      </c>
      <c r="Q1298" s="14" t="b">
        <v>0</v>
      </c>
      <c r="R1298" s="14">
        <v>1</v>
      </c>
      <c r="S1298" s="14" t="s">
        <v>77</v>
      </c>
      <c r="T1298" s="14">
        <v>999</v>
      </c>
      <c r="U1298" s="14" t="s">
        <v>1401</v>
      </c>
      <c r="V1298" s="14">
        <v>31912020</v>
      </c>
      <c r="X1298" s="14" t="s">
        <v>1540</v>
      </c>
      <c r="Y1298" s="14" t="s">
        <v>215</v>
      </c>
      <c r="Z1298" s="14">
        <v>20061</v>
      </c>
      <c r="AA1298" s="14" t="s">
        <v>1541</v>
      </c>
      <c r="AB1298" s="14">
        <v>40001</v>
      </c>
      <c r="AE1298" s="14" t="s">
        <v>1400</v>
      </c>
      <c r="AF1298" s="14" t="s">
        <v>1400</v>
      </c>
      <c r="AG1298" s="14" t="s">
        <v>86</v>
      </c>
    </row>
    <row r="1299" spans="2:33">
      <c r="B1299" s="14">
        <f>10000000+INDEX(编号表!$B:$B,MATCH(H1299,编号表!$A:$A,0))*100000+INDEX(编号表!$F:$F,MATCH(D1299,编号表!$E:$E,0))*10000+INDEX(编号表!$D:$D,MATCH(AG1299,编号表!$C:$C,0))*1000+F1299</f>
        <v>11922021</v>
      </c>
      <c r="C1299" s="14" t="s">
        <v>1539</v>
      </c>
      <c r="D1299" s="14" t="s">
        <v>112</v>
      </c>
      <c r="E1299" s="14" t="s">
        <v>86</v>
      </c>
      <c r="F1299" s="14">
        <v>21</v>
      </c>
      <c r="G1299" s="14">
        <v>60</v>
      </c>
      <c r="H1299" s="14" t="s">
        <v>1400</v>
      </c>
      <c r="I1299" s="14" t="s">
        <v>75</v>
      </c>
      <c r="J1299" s="14" t="s">
        <v>201</v>
      </c>
      <c r="K1299" s="14">
        <v>1</v>
      </c>
      <c r="L1299" s="14" t="s">
        <v>1400</v>
      </c>
      <c r="N1299" s="14">
        <v>0</v>
      </c>
      <c r="O1299" s="14" t="b">
        <v>1</v>
      </c>
      <c r="Q1299" s="14" t="b">
        <v>0</v>
      </c>
      <c r="R1299" s="14">
        <v>1</v>
      </c>
      <c r="S1299" s="14" t="s">
        <v>77</v>
      </c>
      <c r="T1299" s="14">
        <v>999</v>
      </c>
      <c r="U1299" s="14" t="s">
        <v>1401</v>
      </c>
      <c r="V1299" s="14">
        <v>31922021</v>
      </c>
      <c r="X1299" s="14" t="s">
        <v>1542</v>
      </c>
      <c r="Y1299" s="14" t="s">
        <v>215</v>
      </c>
      <c r="Z1299" s="14">
        <v>20062</v>
      </c>
      <c r="AA1299" s="14" t="s">
        <v>1543</v>
      </c>
      <c r="AB1299" s="14">
        <v>40001</v>
      </c>
      <c r="AE1299" s="14" t="s">
        <v>1400</v>
      </c>
      <c r="AF1299" s="14" t="s">
        <v>1400</v>
      </c>
      <c r="AG1299" s="14" t="s">
        <v>86</v>
      </c>
    </row>
    <row r="1300" spans="2:33">
      <c r="B1300" s="14">
        <f>10000000+INDEX(编号表!$B:$B,MATCH(H1300,编号表!$A:$A,0))*100000+INDEX(编号表!$F:$F,MATCH(D1300,编号表!$E:$E,0))*10000+INDEX(编号表!$D:$D,MATCH(AG1300,编号表!$C:$C,0))*1000+F1300</f>
        <v>11932022</v>
      </c>
      <c r="C1300" s="14" t="s">
        <v>1539</v>
      </c>
      <c r="D1300" s="14" t="s">
        <v>276</v>
      </c>
      <c r="E1300" s="14" t="s">
        <v>86</v>
      </c>
      <c r="F1300" s="14">
        <v>22</v>
      </c>
      <c r="G1300" s="14">
        <v>60</v>
      </c>
      <c r="H1300" s="14" t="s">
        <v>1400</v>
      </c>
      <c r="I1300" s="14" t="s">
        <v>75</v>
      </c>
      <c r="J1300" s="14" t="s">
        <v>201</v>
      </c>
      <c r="K1300" s="14">
        <v>1</v>
      </c>
      <c r="L1300" s="14" t="s">
        <v>1400</v>
      </c>
      <c r="N1300" s="14">
        <v>0</v>
      </c>
      <c r="O1300" s="14" t="b">
        <v>1</v>
      </c>
      <c r="Q1300" s="14" t="b">
        <v>0</v>
      </c>
      <c r="R1300" s="14">
        <v>1</v>
      </c>
      <c r="S1300" s="14" t="s">
        <v>77</v>
      </c>
      <c r="T1300" s="14">
        <v>999</v>
      </c>
      <c r="U1300" s="14" t="s">
        <v>1401</v>
      </c>
      <c r="V1300" s="14">
        <v>31932022</v>
      </c>
      <c r="X1300" s="14" t="s">
        <v>1544</v>
      </c>
      <c r="Y1300" s="14" t="s">
        <v>215</v>
      </c>
      <c r="Z1300" s="14">
        <v>20063</v>
      </c>
      <c r="AA1300" s="14" t="s">
        <v>1545</v>
      </c>
      <c r="AB1300" s="14">
        <v>40001</v>
      </c>
      <c r="AE1300" s="14" t="s">
        <v>1400</v>
      </c>
      <c r="AF1300" s="14" t="s">
        <v>1400</v>
      </c>
      <c r="AG1300" s="14" t="s">
        <v>86</v>
      </c>
    </row>
    <row r="1301" spans="2:33">
      <c r="B1301" s="14">
        <f>10000000+INDEX(编号表!$B:$B,MATCH(H1301,编号表!$A:$A,0))*100000+INDEX(编号表!$F:$F,MATCH(D1301,编号表!$E:$E,0))*10000+INDEX(编号表!$D:$D,MATCH(AG1301,编号表!$C:$C,0))*1000+F1301</f>
        <v>11912021</v>
      </c>
      <c r="C1301" s="14" t="s">
        <v>1546</v>
      </c>
      <c r="D1301" s="14" t="s">
        <v>72</v>
      </c>
      <c r="E1301" s="14" t="s">
        <v>86</v>
      </c>
      <c r="F1301" s="14">
        <v>21</v>
      </c>
      <c r="G1301" s="14">
        <v>60</v>
      </c>
      <c r="H1301" s="14" t="s">
        <v>1400</v>
      </c>
      <c r="I1301" s="14" t="s">
        <v>75</v>
      </c>
      <c r="J1301" s="14" t="s">
        <v>201</v>
      </c>
      <c r="K1301" s="14">
        <v>1</v>
      </c>
      <c r="L1301" s="14" t="s">
        <v>1400</v>
      </c>
      <c r="N1301" s="14">
        <v>0</v>
      </c>
      <c r="O1301" s="14" t="b">
        <v>1</v>
      </c>
      <c r="Q1301" s="14" t="b">
        <v>0</v>
      </c>
      <c r="R1301" s="14">
        <v>1</v>
      </c>
      <c r="S1301" s="14" t="s">
        <v>77</v>
      </c>
      <c r="T1301" s="14">
        <v>999</v>
      </c>
      <c r="U1301" s="14" t="s">
        <v>1401</v>
      </c>
      <c r="V1301" s="14">
        <v>31912021</v>
      </c>
      <c r="X1301" s="14" t="s">
        <v>1547</v>
      </c>
      <c r="Y1301" s="14" t="s">
        <v>215</v>
      </c>
      <c r="Z1301" s="14">
        <v>20064</v>
      </c>
      <c r="AA1301" s="14" t="s">
        <v>1548</v>
      </c>
      <c r="AB1301" s="14">
        <v>40001</v>
      </c>
      <c r="AE1301" s="14" t="s">
        <v>1400</v>
      </c>
      <c r="AF1301" s="14" t="s">
        <v>1400</v>
      </c>
      <c r="AG1301" s="14" t="s">
        <v>86</v>
      </c>
    </row>
    <row r="1302" spans="2:33">
      <c r="B1302" s="14">
        <f>10000000+INDEX(编号表!$B:$B,MATCH(H1302,编号表!$A:$A,0))*100000+INDEX(编号表!$F:$F,MATCH(D1302,编号表!$E:$E,0))*10000+INDEX(编号表!$D:$D,MATCH(AG1302,编号表!$C:$C,0))*1000+F1302</f>
        <v>11922022</v>
      </c>
      <c r="C1302" s="14" t="s">
        <v>1546</v>
      </c>
      <c r="D1302" s="14" t="s">
        <v>112</v>
      </c>
      <c r="E1302" s="14" t="s">
        <v>86</v>
      </c>
      <c r="F1302" s="14">
        <v>22</v>
      </c>
      <c r="G1302" s="14">
        <v>60</v>
      </c>
      <c r="H1302" s="14" t="s">
        <v>1400</v>
      </c>
      <c r="I1302" s="14" t="s">
        <v>75</v>
      </c>
      <c r="J1302" s="14" t="s">
        <v>201</v>
      </c>
      <c r="K1302" s="14">
        <v>1</v>
      </c>
      <c r="L1302" s="14" t="s">
        <v>1400</v>
      </c>
      <c r="N1302" s="14">
        <v>0</v>
      </c>
      <c r="O1302" s="14" t="b">
        <v>1</v>
      </c>
      <c r="Q1302" s="14" t="b">
        <v>0</v>
      </c>
      <c r="R1302" s="14">
        <v>1</v>
      </c>
      <c r="S1302" s="14" t="s">
        <v>77</v>
      </c>
      <c r="T1302" s="14">
        <v>999</v>
      </c>
      <c r="U1302" s="14" t="s">
        <v>1401</v>
      </c>
      <c r="V1302" s="14">
        <v>31922022</v>
      </c>
      <c r="X1302" s="14" t="s">
        <v>1549</v>
      </c>
      <c r="Y1302" s="14" t="s">
        <v>215</v>
      </c>
      <c r="Z1302" s="14">
        <v>20065</v>
      </c>
      <c r="AA1302" s="14" t="s">
        <v>1550</v>
      </c>
      <c r="AB1302" s="14">
        <v>40001</v>
      </c>
      <c r="AE1302" s="14" t="s">
        <v>1400</v>
      </c>
      <c r="AF1302" s="14" t="s">
        <v>1400</v>
      </c>
      <c r="AG1302" s="14" t="s">
        <v>86</v>
      </c>
    </row>
    <row r="1303" spans="2:33">
      <c r="B1303" s="14">
        <f>10000000+INDEX(编号表!$B:$B,MATCH(H1303,编号表!$A:$A,0))*100000+INDEX(编号表!$F:$F,MATCH(D1303,编号表!$E:$E,0))*10000+INDEX(编号表!$D:$D,MATCH(AG1303,编号表!$C:$C,0))*1000+F1303</f>
        <v>11932023</v>
      </c>
      <c r="C1303" s="14" t="s">
        <v>1546</v>
      </c>
      <c r="D1303" s="14" t="s">
        <v>276</v>
      </c>
      <c r="E1303" s="14" t="s">
        <v>86</v>
      </c>
      <c r="F1303" s="14">
        <v>23</v>
      </c>
      <c r="G1303" s="14">
        <v>60</v>
      </c>
      <c r="H1303" s="14" t="s">
        <v>1400</v>
      </c>
      <c r="I1303" s="14" t="s">
        <v>75</v>
      </c>
      <c r="J1303" s="14" t="s">
        <v>201</v>
      </c>
      <c r="K1303" s="14">
        <v>1</v>
      </c>
      <c r="L1303" s="14" t="s">
        <v>1400</v>
      </c>
      <c r="N1303" s="14">
        <v>0</v>
      </c>
      <c r="O1303" s="14" t="b">
        <v>1</v>
      </c>
      <c r="Q1303" s="14" t="b">
        <v>0</v>
      </c>
      <c r="R1303" s="14">
        <v>1</v>
      </c>
      <c r="S1303" s="14" t="s">
        <v>77</v>
      </c>
      <c r="T1303" s="14">
        <v>999</v>
      </c>
      <c r="U1303" s="14" t="s">
        <v>1401</v>
      </c>
      <c r="V1303" s="14">
        <v>31932023</v>
      </c>
      <c r="X1303" s="14" t="s">
        <v>1551</v>
      </c>
      <c r="Y1303" s="14" t="s">
        <v>215</v>
      </c>
      <c r="Z1303" s="14">
        <v>20066</v>
      </c>
      <c r="AA1303" s="14" t="s">
        <v>1552</v>
      </c>
      <c r="AB1303" s="14">
        <v>40001</v>
      </c>
      <c r="AE1303" s="14" t="s">
        <v>1400</v>
      </c>
      <c r="AF1303" s="14" t="s">
        <v>1400</v>
      </c>
      <c r="AG1303" s="14" t="s">
        <v>86</v>
      </c>
    </row>
    <row r="1304" spans="2:33">
      <c r="B1304" s="14">
        <f>10000000+INDEX(编号表!$B:$B,MATCH(H1304,编号表!$A:$A,0))*100000+INDEX(编号表!$F:$F,MATCH(D1304,编号表!$E:$E,0))*10000+INDEX(编号表!$D:$D,MATCH(AG1304,编号表!$C:$C,0))*1000+F1304</f>
        <v>11912022</v>
      </c>
      <c r="C1304" s="14" t="s">
        <v>1553</v>
      </c>
      <c r="D1304" s="14" t="s">
        <v>72</v>
      </c>
      <c r="E1304" s="14" t="s">
        <v>86</v>
      </c>
      <c r="F1304" s="14">
        <v>22</v>
      </c>
      <c r="G1304" s="14">
        <v>60</v>
      </c>
      <c r="H1304" s="14" t="s">
        <v>1400</v>
      </c>
      <c r="I1304" s="14" t="s">
        <v>75</v>
      </c>
      <c r="J1304" s="14" t="s">
        <v>201</v>
      </c>
      <c r="K1304" s="14">
        <v>1</v>
      </c>
      <c r="L1304" s="14" t="s">
        <v>1400</v>
      </c>
      <c r="N1304" s="14">
        <v>0</v>
      </c>
      <c r="O1304" s="14" t="b">
        <v>1</v>
      </c>
      <c r="Q1304" s="14" t="b">
        <v>0</v>
      </c>
      <c r="R1304" s="14">
        <v>1</v>
      </c>
      <c r="S1304" s="14" t="s">
        <v>77</v>
      </c>
      <c r="T1304" s="14">
        <v>999</v>
      </c>
      <c r="U1304" s="14" t="s">
        <v>1401</v>
      </c>
      <c r="V1304" s="14">
        <v>31912022</v>
      </c>
      <c r="X1304" s="14" t="s">
        <v>1554</v>
      </c>
      <c r="Y1304" s="14" t="s">
        <v>215</v>
      </c>
      <c r="Z1304" s="14">
        <v>20067</v>
      </c>
      <c r="AA1304" s="14" t="s">
        <v>1555</v>
      </c>
      <c r="AB1304" s="14">
        <v>40001</v>
      </c>
      <c r="AE1304" s="14" t="s">
        <v>1400</v>
      </c>
      <c r="AF1304" s="14" t="s">
        <v>1400</v>
      </c>
      <c r="AG1304" s="14" t="s">
        <v>86</v>
      </c>
    </row>
    <row r="1305" spans="2:33">
      <c r="B1305" s="14">
        <f>10000000+INDEX(编号表!$B:$B,MATCH(H1305,编号表!$A:$A,0))*100000+INDEX(编号表!$F:$F,MATCH(D1305,编号表!$E:$E,0))*10000+INDEX(编号表!$D:$D,MATCH(AG1305,编号表!$C:$C,0))*1000+F1305</f>
        <v>11922023</v>
      </c>
      <c r="C1305" s="14" t="s">
        <v>1553</v>
      </c>
      <c r="D1305" s="14" t="s">
        <v>112</v>
      </c>
      <c r="E1305" s="14" t="s">
        <v>86</v>
      </c>
      <c r="F1305" s="14">
        <v>23</v>
      </c>
      <c r="G1305" s="14">
        <v>60</v>
      </c>
      <c r="H1305" s="14" t="s">
        <v>1400</v>
      </c>
      <c r="I1305" s="14" t="s">
        <v>75</v>
      </c>
      <c r="J1305" s="14" t="s">
        <v>201</v>
      </c>
      <c r="K1305" s="14">
        <v>1</v>
      </c>
      <c r="L1305" s="14" t="s">
        <v>1400</v>
      </c>
      <c r="N1305" s="14">
        <v>0</v>
      </c>
      <c r="O1305" s="14" t="b">
        <v>1</v>
      </c>
      <c r="Q1305" s="14" t="b">
        <v>0</v>
      </c>
      <c r="R1305" s="14">
        <v>1</v>
      </c>
      <c r="S1305" s="14" t="s">
        <v>77</v>
      </c>
      <c r="T1305" s="14">
        <v>999</v>
      </c>
      <c r="U1305" s="14" t="s">
        <v>1401</v>
      </c>
      <c r="V1305" s="14">
        <v>31922023</v>
      </c>
      <c r="X1305" s="14" t="s">
        <v>1556</v>
      </c>
      <c r="Y1305" s="14" t="s">
        <v>215</v>
      </c>
      <c r="Z1305" s="14">
        <v>20068</v>
      </c>
      <c r="AA1305" s="14" t="s">
        <v>1557</v>
      </c>
      <c r="AB1305" s="14">
        <v>40001</v>
      </c>
      <c r="AE1305" s="14" t="s">
        <v>1400</v>
      </c>
      <c r="AF1305" s="14" t="s">
        <v>1400</v>
      </c>
      <c r="AG1305" s="14" t="s">
        <v>86</v>
      </c>
    </row>
    <row r="1306" spans="2:33">
      <c r="B1306" s="14">
        <f>10000000+INDEX(编号表!$B:$B,MATCH(H1306,编号表!$A:$A,0))*100000+INDEX(编号表!$F:$F,MATCH(D1306,编号表!$E:$E,0))*10000+INDEX(编号表!$D:$D,MATCH(AG1306,编号表!$C:$C,0))*1000+F1306</f>
        <v>11932024</v>
      </c>
      <c r="C1306" s="14" t="s">
        <v>1553</v>
      </c>
      <c r="D1306" s="14" t="s">
        <v>276</v>
      </c>
      <c r="E1306" s="14" t="s">
        <v>86</v>
      </c>
      <c r="F1306" s="14">
        <v>24</v>
      </c>
      <c r="G1306" s="14">
        <v>60</v>
      </c>
      <c r="H1306" s="14" t="s">
        <v>1400</v>
      </c>
      <c r="I1306" s="14" t="s">
        <v>75</v>
      </c>
      <c r="J1306" s="14" t="s">
        <v>201</v>
      </c>
      <c r="K1306" s="14">
        <v>1</v>
      </c>
      <c r="L1306" s="14" t="s">
        <v>1400</v>
      </c>
      <c r="N1306" s="14">
        <v>0</v>
      </c>
      <c r="O1306" s="14" t="b">
        <v>1</v>
      </c>
      <c r="Q1306" s="14" t="b">
        <v>0</v>
      </c>
      <c r="R1306" s="14">
        <v>1</v>
      </c>
      <c r="S1306" s="14" t="s">
        <v>77</v>
      </c>
      <c r="T1306" s="14">
        <v>999</v>
      </c>
      <c r="U1306" s="14" t="s">
        <v>1401</v>
      </c>
      <c r="V1306" s="14">
        <v>31932024</v>
      </c>
      <c r="X1306" s="14" t="s">
        <v>1558</v>
      </c>
      <c r="Y1306" s="14" t="s">
        <v>215</v>
      </c>
      <c r="Z1306" s="14">
        <v>20069</v>
      </c>
      <c r="AA1306" s="14" t="s">
        <v>1559</v>
      </c>
      <c r="AB1306" s="14">
        <v>40001</v>
      </c>
      <c r="AE1306" s="14" t="s">
        <v>1400</v>
      </c>
      <c r="AF1306" s="14" t="s">
        <v>1400</v>
      </c>
      <c r="AG1306" s="14" t="s">
        <v>86</v>
      </c>
    </row>
    <row r="1307" spans="2:33">
      <c r="B1307" s="14">
        <f>10000000+INDEX(编号表!$B:$B,MATCH(H1307,编号表!$A:$A,0))*100000+INDEX(编号表!$F:$F,MATCH(D1307,编号表!$E:$E,0))*10000+INDEX(编号表!$D:$D,MATCH(AG1307,编号表!$C:$C,0))*1000+F1307</f>
        <v>11912023</v>
      </c>
      <c r="C1307" s="14" t="s">
        <v>1560</v>
      </c>
      <c r="D1307" s="14" t="s">
        <v>72</v>
      </c>
      <c r="E1307" s="14" t="s">
        <v>86</v>
      </c>
      <c r="F1307" s="14">
        <v>23</v>
      </c>
      <c r="G1307" s="14">
        <v>60</v>
      </c>
      <c r="H1307" s="14" t="s">
        <v>1400</v>
      </c>
      <c r="I1307" s="14" t="s">
        <v>75</v>
      </c>
      <c r="J1307" s="14" t="s">
        <v>201</v>
      </c>
      <c r="K1307" s="14">
        <v>1</v>
      </c>
      <c r="L1307" s="14" t="s">
        <v>1400</v>
      </c>
      <c r="N1307" s="14">
        <v>0</v>
      </c>
      <c r="O1307" s="14" t="b">
        <v>1</v>
      </c>
      <c r="Q1307" s="14" t="b">
        <v>0</v>
      </c>
      <c r="R1307" s="14">
        <v>1</v>
      </c>
      <c r="S1307" s="14" t="s">
        <v>77</v>
      </c>
      <c r="T1307" s="14">
        <v>999</v>
      </c>
      <c r="U1307" s="14" t="s">
        <v>1401</v>
      </c>
      <c r="V1307" s="14">
        <v>31912023</v>
      </c>
      <c r="X1307" s="14" t="s">
        <v>1561</v>
      </c>
      <c r="Y1307" s="14" t="s">
        <v>215</v>
      </c>
      <c r="Z1307" s="14">
        <v>20070</v>
      </c>
      <c r="AA1307" s="14" t="s">
        <v>1562</v>
      </c>
      <c r="AB1307" s="14">
        <v>40001</v>
      </c>
      <c r="AE1307" s="14" t="s">
        <v>1400</v>
      </c>
      <c r="AF1307" s="14" t="s">
        <v>1400</v>
      </c>
      <c r="AG1307" s="14" t="s">
        <v>86</v>
      </c>
    </row>
    <row r="1308" spans="2:33">
      <c r="B1308" s="14">
        <f>10000000+INDEX(编号表!$B:$B,MATCH(H1308,编号表!$A:$A,0))*100000+INDEX(编号表!$F:$F,MATCH(D1308,编号表!$E:$E,0))*10000+INDEX(编号表!$D:$D,MATCH(AG1308,编号表!$C:$C,0))*1000+F1308</f>
        <v>11922024</v>
      </c>
      <c r="C1308" s="14" t="s">
        <v>1560</v>
      </c>
      <c r="D1308" s="14" t="s">
        <v>112</v>
      </c>
      <c r="E1308" s="14" t="s">
        <v>86</v>
      </c>
      <c r="F1308" s="14">
        <v>24</v>
      </c>
      <c r="G1308" s="14">
        <v>60</v>
      </c>
      <c r="H1308" s="14" t="s">
        <v>1400</v>
      </c>
      <c r="I1308" s="14" t="s">
        <v>75</v>
      </c>
      <c r="J1308" s="14" t="s">
        <v>201</v>
      </c>
      <c r="K1308" s="14">
        <v>1</v>
      </c>
      <c r="L1308" s="14" t="s">
        <v>1400</v>
      </c>
      <c r="N1308" s="14">
        <v>0</v>
      </c>
      <c r="O1308" s="14" t="b">
        <v>1</v>
      </c>
      <c r="Q1308" s="14" t="b">
        <v>0</v>
      </c>
      <c r="R1308" s="14">
        <v>1</v>
      </c>
      <c r="S1308" s="14" t="s">
        <v>77</v>
      </c>
      <c r="T1308" s="14">
        <v>999</v>
      </c>
      <c r="U1308" s="14" t="s">
        <v>1401</v>
      </c>
      <c r="V1308" s="14">
        <v>31922024</v>
      </c>
      <c r="X1308" s="14" t="s">
        <v>1563</v>
      </c>
      <c r="Y1308" s="14" t="s">
        <v>215</v>
      </c>
      <c r="Z1308" s="14">
        <v>20071</v>
      </c>
      <c r="AA1308" s="14" t="s">
        <v>1564</v>
      </c>
      <c r="AB1308" s="14">
        <v>40001</v>
      </c>
      <c r="AE1308" s="14" t="s">
        <v>1400</v>
      </c>
      <c r="AF1308" s="14" t="s">
        <v>1400</v>
      </c>
      <c r="AG1308" s="14" t="s">
        <v>86</v>
      </c>
    </row>
    <row r="1309" spans="2:33">
      <c r="B1309" s="14">
        <f>10000000+INDEX(编号表!$B:$B,MATCH(H1309,编号表!$A:$A,0))*100000+INDEX(编号表!$F:$F,MATCH(D1309,编号表!$E:$E,0))*10000+INDEX(编号表!$D:$D,MATCH(AG1309,编号表!$C:$C,0))*1000+F1309</f>
        <v>11932025</v>
      </c>
      <c r="C1309" s="14" t="s">
        <v>1560</v>
      </c>
      <c r="D1309" s="14" t="s">
        <v>276</v>
      </c>
      <c r="E1309" s="14" t="s">
        <v>86</v>
      </c>
      <c r="F1309" s="14">
        <v>25</v>
      </c>
      <c r="G1309" s="14">
        <v>60</v>
      </c>
      <c r="H1309" s="14" t="s">
        <v>1400</v>
      </c>
      <c r="I1309" s="14" t="s">
        <v>75</v>
      </c>
      <c r="J1309" s="14" t="s">
        <v>201</v>
      </c>
      <c r="K1309" s="14">
        <v>1</v>
      </c>
      <c r="L1309" s="14" t="s">
        <v>1400</v>
      </c>
      <c r="N1309" s="14">
        <v>0</v>
      </c>
      <c r="O1309" s="14" t="b">
        <v>1</v>
      </c>
      <c r="Q1309" s="14" t="b">
        <v>0</v>
      </c>
      <c r="R1309" s="14">
        <v>1</v>
      </c>
      <c r="S1309" s="14" t="s">
        <v>77</v>
      </c>
      <c r="T1309" s="14">
        <v>999</v>
      </c>
      <c r="U1309" s="14" t="s">
        <v>1401</v>
      </c>
      <c r="V1309" s="14">
        <v>31932025</v>
      </c>
      <c r="X1309" s="14" t="s">
        <v>1565</v>
      </c>
      <c r="Y1309" s="14" t="s">
        <v>215</v>
      </c>
      <c r="Z1309" s="14">
        <v>20072</v>
      </c>
      <c r="AA1309" s="14" t="s">
        <v>1566</v>
      </c>
      <c r="AB1309" s="14">
        <v>40001</v>
      </c>
      <c r="AE1309" s="14" t="s">
        <v>1400</v>
      </c>
      <c r="AF1309" s="14" t="s">
        <v>1400</v>
      </c>
      <c r="AG1309" s="14" t="s">
        <v>86</v>
      </c>
    </row>
    <row r="1310" spans="2:33">
      <c r="B1310" s="14">
        <f>10000000+INDEX(编号表!$B:$B,MATCH(H1310,编号表!$A:$A,0))*100000+INDEX(编号表!$F:$F,MATCH(D1310,编号表!$E:$E,0))*10000+INDEX(编号表!$D:$D,MATCH(AG1310,编号表!$C:$C,0))*1000+F1310</f>
        <v>11912024</v>
      </c>
      <c r="C1310" s="14" t="s">
        <v>1567</v>
      </c>
      <c r="D1310" s="14" t="s">
        <v>72</v>
      </c>
      <c r="E1310" s="14" t="s">
        <v>86</v>
      </c>
      <c r="F1310" s="14">
        <v>24</v>
      </c>
      <c r="G1310" s="14">
        <v>60</v>
      </c>
      <c r="H1310" s="14" t="s">
        <v>1400</v>
      </c>
      <c r="I1310" s="14" t="s">
        <v>75</v>
      </c>
      <c r="J1310" s="14" t="s">
        <v>201</v>
      </c>
      <c r="K1310" s="14">
        <v>1</v>
      </c>
      <c r="L1310" s="14" t="s">
        <v>1400</v>
      </c>
      <c r="N1310" s="14">
        <v>0</v>
      </c>
      <c r="O1310" s="14" t="b">
        <v>1</v>
      </c>
      <c r="Q1310" s="14" t="b">
        <v>0</v>
      </c>
      <c r="R1310" s="14">
        <v>1</v>
      </c>
      <c r="S1310" s="14" t="s">
        <v>77</v>
      </c>
      <c r="T1310" s="14">
        <v>999</v>
      </c>
      <c r="U1310" s="14" t="s">
        <v>1401</v>
      </c>
      <c r="V1310" s="14">
        <v>31912024</v>
      </c>
      <c r="X1310" s="14" t="s">
        <v>1568</v>
      </c>
      <c r="Y1310" s="14" t="s">
        <v>215</v>
      </c>
      <c r="Z1310" s="14">
        <v>20073</v>
      </c>
      <c r="AA1310" s="14" t="s">
        <v>1569</v>
      </c>
      <c r="AB1310" s="14">
        <v>40001</v>
      </c>
      <c r="AE1310" s="14" t="s">
        <v>1400</v>
      </c>
      <c r="AF1310" s="14" t="s">
        <v>1400</v>
      </c>
      <c r="AG1310" s="14" t="s">
        <v>86</v>
      </c>
    </row>
    <row r="1311" spans="2:33">
      <c r="B1311" s="14">
        <f>10000000+INDEX(编号表!$B:$B,MATCH(H1311,编号表!$A:$A,0))*100000+INDEX(编号表!$F:$F,MATCH(D1311,编号表!$E:$E,0))*10000+INDEX(编号表!$D:$D,MATCH(AG1311,编号表!$C:$C,0))*1000+F1311</f>
        <v>11922025</v>
      </c>
      <c r="C1311" s="14" t="s">
        <v>1567</v>
      </c>
      <c r="D1311" s="14" t="s">
        <v>112</v>
      </c>
      <c r="E1311" s="14" t="s">
        <v>86</v>
      </c>
      <c r="F1311" s="14">
        <v>25</v>
      </c>
      <c r="G1311" s="14">
        <v>60</v>
      </c>
      <c r="H1311" s="14" t="s">
        <v>1400</v>
      </c>
      <c r="I1311" s="14" t="s">
        <v>75</v>
      </c>
      <c r="J1311" s="14" t="s">
        <v>201</v>
      </c>
      <c r="K1311" s="14">
        <v>1</v>
      </c>
      <c r="L1311" s="14" t="s">
        <v>1400</v>
      </c>
      <c r="N1311" s="14">
        <v>0</v>
      </c>
      <c r="O1311" s="14" t="b">
        <v>1</v>
      </c>
      <c r="Q1311" s="14" t="b">
        <v>0</v>
      </c>
      <c r="R1311" s="14">
        <v>1</v>
      </c>
      <c r="S1311" s="14" t="s">
        <v>77</v>
      </c>
      <c r="T1311" s="14">
        <v>999</v>
      </c>
      <c r="U1311" s="14" t="s">
        <v>1401</v>
      </c>
      <c r="V1311" s="14">
        <v>31922025</v>
      </c>
      <c r="X1311" s="14" t="s">
        <v>1570</v>
      </c>
      <c r="Y1311" s="14" t="s">
        <v>215</v>
      </c>
      <c r="Z1311" s="14">
        <v>20074</v>
      </c>
      <c r="AA1311" s="14" t="s">
        <v>1571</v>
      </c>
      <c r="AB1311" s="14">
        <v>40001</v>
      </c>
      <c r="AE1311" s="14" t="s">
        <v>1400</v>
      </c>
      <c r="AF1311" s="14" t="s">
        <v>1400</v>
      </c>
      <c r="AG1311" s="14" t="s">
        <v>86</v>
      </c>
    </row>
    <row r="1312" spans="2:33">
      <c r="B1312" s="14">
        <f>10000000+INDEX(编号表!$B:$B,MATCH(H1312,编号表!$A:$A,0))*100000+INDEX(编号表!$F:$F,MATCH(D1312,编号表!$E:$E,0))*10000+INDEX(编号表!$D:$D,MATCH(AG1312,编号表!$C:$C,0))*1000+F1312</f>
        <v>11932026</v>
      </c>
      <c r="C1312" s="14" t="s">
        <v>1567</v>
      </c>
      <c r="D1312" s="14" t="s">
        <v>276</v>
      </c>
      <c r="E1312" s="14" t="s">
        <v>86</v>
      </c>
      <c r="F1312" s="14">
        <v>26</v>
      </c>
      <c r="G1312" s="14">
        <v>60</v>
      </c>
      <c r="H1312" s="14" t="s">
        <v>1400</v>
      </c>
      <c r="I1312" s="14" t="s">
        <v>75</v>
      </c>
      <c r="J1312" s="14" t="s">
        <v>201</v>
      </c>
      <c r="K1312" s="14">
        <v>1</v>
      </c>
      <c r="L1312" s="14" t="s">
        <v>1400</v>
      </c>
      <c r="N1312" s="14">
        <v>0</v>
      </c>
      <c r="O1312" s="14" t="b">
        <v>1</v>
      </c>
      <c r="Q1312" s="14" t="b">
        <v>0</v>
      </c>
      <c r="R1312" s="14">
        <v>1</v>
      </c>
      <c r="S1312" s="14" t="s">
        <v>77</v>
      </c>
      <c r="T1312" s="14">
        <v>999</v>
      </c>
      <c r="U1312" s="14" t="s">
        <v>1401</v>
      </c>
      <c r="V1312" s="14">
        <v>31932026</v>
      </c>
      <c r="X1312" s="14" t="s">
        <v>1572</v>
      </c>
      <c r="Y1312" s="14" t="s">
        <v>215</v>
      </c>
      <c r="Z1312" s="14">
        <v>20075</v>
      </c>
      <c r="AA1312" s="14" t="s">
        <v>1573</v>
      </c>
      <c r="AB1312" s="14">
        <v>40001</v>
      </c>
      <c r="AE1312" s="14" t="s">
        <v>1400</v>
      </c>
      <c r="AF1312" s="14" t="s">
        <v>1400</v>
      </c>
      <c r="AG1312" s="14" t="s">
        <v>86</v>
      </c>
    </row>
    <row r="1313" spans="2:33">
      <c r="B1313" s="14">
        <f>10000000+INDEX(编号表!$B:$B,MATCH(H1313,编号表!$A:$A,0))*100000+INDEX(编号表!$F:$F,MATCH(D1313,编号表!$E:$E,0))*10000+INDEX(编号表!$D:$D,MATCH(AG1313,编号表!$C:$C,0))*1000+F1313</f>
        <v>11912025</v>
      </c>
      <c r="C1313" s="14" t="s">
        <v>1574</v>
      </c>
      <c r="D1313" s="14" t="s">
        <v>72</v>
      </c>
      <c r="E1313" s="14" t="s">
        <v>86</v>
      </c>
      <c r="F1313" s="14">
        <v>25</v>
      </c>
      <c r="G1313" s="14">
        <v>60</v>
      </c>
      <c r="H1313" s="14" t="s">
        <v>1400</v>
      </c>
      <c r="I1313" s="14" t="s">
        <v>75</v>
      </c>
      <c r="J1313" s="14" t="s">
        <v>201</v>
      </c>
      <c r="K1313" s="14">
        <v>1</v>
      </c>
      <c r="L1313" s="14" t="s">
        <v>1400</v>
      </c>
      <c r="N1313" s="14">
        <v>0</v>
      </c>
      <c r="O1313" s="14" t="b">
        <v>1</v>
      </c>
      <c r="Q1313" s="14" t="b">
        <v>0</v>
      </c>
      <c r="R1313" s="14">
        <v>1</v>
      </c>
      <c r="S1313" s="14" t="s">
        <v>77</v>
      </c>
      <c r="T1313" s="14">
        <v>999</v>
      </c>
      <c r="U1313" s="14" t="s">
        <v>1401</v>
      </c>
      <c r="V1313" s="14">
        <v>31912025</v>
      </c>
      <c r="X1313" s="14" t="s">
        <v>1575</v>
      </c>
      <c r="Y1313" s="14" t="s">
        <v>215</v>
      </c>
      <c r="Z1313" s="14">
        <v>20076</v>
      </c>
      <c r="AA1313" s="14" t="s">
        <v>1576</v>
      </c>
      <c r="AB1313" s="14">
        <v>40001</v>
      </c>
      <c r="AE1313" s="14" t="s">
        <v>1400</v>
      </c>
      <c r="AF1313" s="14" t="s">
        <v>1400</v>
      </c>
      <c r="AG1313" s="14" t="s">
        <v>86</v>
      </c>
    </row>
    <row r="1314" spans="2:33">
      <c r="B1314" s="14">
        <f>10000000+INDEX(编号表!$B:$B,MATCH(H1314,编号表!$A:$A,0))*100000+INDEX(编号表!$F:$F,MATCH(D1314,编号表!$E:$E,0))*10000+INDEX(编号表!$D:$D,MATCH(AG1314,编号表!$C:$C,0))*1000+F1314</f>
        <v>11922026</v>
      </c>
      <c r="C1314" s="14" t="s">
        <v>1574</v>
      </c>
      <c r="D1314" s="14" t="s">
        <v>112</v>
      </c>
      <c r="E1314" s="14" t="s">
        <v>86</v>
      </c>
      <c r="F1314" s="14">
        <v>26</v>
      </c>
      <c r="G1314" s="14">
        <v>60</v>
      </c>
      <c r="H1314" s="14" t="s">
        <v>1400</v>
      </c>
      <c r="I1314" s="14" t="s">
        <v>75</v>
      </c>
      <c r="J1314" s="14" t="s">
        <v>201</v>
      </c>
      <c r="K1314" s="14">
        <v>1</v>
      </c>
      <c r="L1314" s="14" t="s">
        <v>1400</v>
      </c>
      <c r="N1314" s="14">
        <v>0</v>
      </c>
      <c r="O1314" s="14" t="b">
        <v>1</v>
      </c>
      <c r="Q1314" s="14" t="b">
        <v>0</v>
      </c>
      <c r="R1314" s="14">
        <v>1</v>
      </c>
      <c r="S1314" s="14" t="s">
        <v>77</v>
      </c>
      <c r="T1314" s="14">
        <v>999</v>
      </c>
      <c r="U1314" s="14" t="s">
        <v>1401</v>
      </c>
      <c r="V1314" s="14">
        <v>31922026</v>
      </c>
      <c r="X1314" s="14" t="s">
        <v>1577</v>
      </c>
      <c r="Y1314" s="14" t="s">
        <v>215</v>
      </c>
      <c r="Z1314" s="14">
        <v>20077</v>
      </c>
      <c r="AA1314" s="14" t="s">
        <v>1578</v>
      </c>
      <c r="AB1314" s="14">
        <v>40001</v>
      </c>
      <c r="AE1314" s="14" t="s">
        <v>1400</v>
      </c>
      <c r="AF1314" s="14" t="s">
        <v>1400</v>
      </c>
      <c r="AG1314" s="14" t="s">
        <v>86</v>
      </c>
    </row>
    <row r="1315" spans="2:33">
      <c r="B1315" s="14">
        <f>10000000+INDEX(编号表!$B:$B,MATCH(H1315,编号表!$A:$A,0))*100000+INDEX(编号表!$F:$F,MATCH(D1315,编号表!$E:$E,0))*10000+INDEX(编号表!$D:$D,MATCH(AG1315,编号表!$C:$C,0))*1000+F1315</f>
        <v>11932027</v>
      </c>
      <c r="C1315" s="14" t="s">
        <v>1574</v>
      </c>
      <c r="D1315" s="14" t="s">
        <v>276</v>
      </c>
      <c r="E1315" s="14" t="s">
        <v>86</v>
      </c>
      <c r="F1315" s="14">
        <v>27</v>
      </c>
      <c r="G1315" s="14">
        <v>60</v>
      </c>
      <c r="H1315" s="14" t="s">
        <v>1400</v>
      </c>
      <c r="I1315" s="14" t="s">
        <v>75</v>
      </c>
      <c r="J1315" s="14" t="s">
        <v>201</v>
      </c>
      <c r="K1315" s="14">
        <v>1</v>
      </c>
      <c r="L1315" s="14" t="s">
        <v>1400</v>
      </c>
      <c r="N1315" s="14">
        <v>0</v>
      </c>
      <c r="O1315" s="14" t="b">
        <v>1</v>
      </c>
      <c r="Q1315" s="14" t="b">
        <v>0</v>
      </c>
      <c r="R1315" s="14">
        <v>1</v>
      </c>
      <c r="S1315" s="14" t="s">
        <v>77</v>
      </c>
      <c r="T1315" s="14">
        <v>999</v>
      </c>
      <c r="U1315" s="14" t="s">
        <v>1401</v>
      </c>
      <c r="V1315" s="14">
        <v>31932027</v>
      </c>
      <c r="X1315" s="14" t="s">
        <v>1579</v>
      </c>
      <c r="Y1315" s="14" t="s">
        <v>215</v>
      </c>
      <c r="Z1315" s="14">
        <v>20078</v>
      </c>
      <c r="AA1315" s="14" t="s">
        <v>1580</v>
      </c>
      <c r="AB1315" s="14">
        <v>40001</v>
      </c>
      <c r="AE1315" s="14" t="s">
        <v>1400</v>
      </c>
      <c r="AF1315" s="14" t="s">
        <v>1400</v>
      </c>
      <c r="AG1315" s="14" t="s">
        <v>86</v>
      </c>
    </row>
    <row r="1316" spans="2:33">
      <c r="B1316" s="14">
        <f>10000000+INDEX(编号表!$B:$B,MATCH(H1316,编号表!$A:$A,0))*100000+INDEX(编号表!$F:$F,MATCH(D1316,编号表!$E:$E,0))*10000+INDEX(编号表!$D:$D,MATCH(AG1316,编号表!$C:$C,0))*1000+F1316</f>
        <v>11912026</v>
      </c>
      <c r="C1316" s="14" t="s">
        <v>1581</v>
      </c>
      <c r="D1316" s="14" t="s">
        <v>72</v>
      </c>
      <c r="E1316" s="14" t="s">
        <v>86</v>
      </c>
      <c r="F1316" s="14">
        <v>26</v>
      </c>
      <c r="G1316" s="14">
        <v>60</v>
      </c>
      <c r="H1316" s="14" t="s">
        <v>1400</v>
      </c>
      <c r="I1316" s="14" t="s">
        <v>75</v>
      </c>
      <c r="J1316" s="14" t="s">
        <v>201</v>
      </c>
      <c r="K1316" s="14">
        <v>1</v>
      </c>
      <c r="L1316" s="14" t="s">
        <v>1400</v>
      </c>
      <c r="N1316" s="14">
        <v>0</v>
      </c>
      <c r="O1316" s="14" t="b">
        <v>1</v>
      </c>
      <c r="Q1316" s="14" t="b">
        <v>0</v>
      </c>
      <c r="R1316" s="14">
        <v>1</v>
      </c>
      <c r="S1316" s="14" t="s">
        <v>77</v>
      </c>
      <c r="T1316" s="14">
        <v>999</v>
      </c>
      <c r="U1316" s="14" t="s">
        <v>1401</v>
      </c>
      <c r="V1316" s="14">
        <v>31912026</v>
      </c>
      <c r="X1316" s="14" t="s">
        <v>1582</v>
      </c>
      <c r="Y1316" s="14" t="s">
        <v>215</v>
      </c>
      <c r="Z1316" s="14">
        <v>20079</v>
      </c>
      <c r="AA1316" s="14" t="s">
        <v>1583</v>
      </c>
      <c r="AB1316" s="14">
        <v>40001</v>
      </c>
      <c r="AE1316" s="14" t="s">
        <v>1400</v>
      </c>
      <c r="AF1316" s="14" t="s">
        <v>1400</v>
      </c>
      <c r="AG1316" s="14" t="s">
        <v>86</v>
      </c>
    </row>
    <row r="1317" spans="2:33">
      <c r="B1317" s="14">
        <f>10000000+INDEX(编号表!$B:$B,MATCH(H1317,编号表!$A:$A,0))*100000+INDEX(编号表!$F:$F,MATCH(D1317,编号表!$E:$E,0))*10000+INDEX(编号表!$D:$D,MATCH(AG1317,编号表!$C:$C,0))*1000+F1317</f>
        <v>11922027</v>
      </c>
      <c r="C1317" s="14" t="s">
        <v>1581</v>
      </c>
      <c r="D1317" s="14" t="s">
        <v>112</v>
      </c>
      <c r="E1317" s="14" t="s">
        <v>86</v>
      </c>
      <c r="F1317" s="14">
        <v>27</v>
      </c>
      <c r="G1317" s="14">
        <v>60</v>
      </c>
      <c r="H1317" s="14" t="s">
        <v>1400</v>
      </c>
      <c r="I1317" s="14" t="s">
        <v>75</v>
      </c>
      <c r="J1317" s="14" t="s">
        <v>201</v>
      </c>
      <c r="K1317" s="14">
        <v>1</v>
      </c>
      <c r="L1317" s="14" t="s">
        <v>1400</v>
      </c>
      <c r="N1317" s="14">
        <v>0</v>
      </c>
      <c r="O1317" s="14" t="b">
        <v>1</v>
      </c>
      <c r="Q1317" s="14" t="b">
        <v>0</v>
      </c>
      <c r="R1317" s="14">
        <v>1</v>
      </c>
      <c r="S1317" s="14" t="s">
        <v>77</v>
      </c>
      <c r="T1317" s="14">
        <v>999</v>
      </c>
      <c r="U1317" s="14" t="s">
        <v>1401</v>
      </c>
      <c r="V1317" s="14">
        <v>31922027</v>
      </c>
      <c r="X1317" s="14" t="s">
        <v>1584</v>
      </c>
      <c r="Y1317" s="14" t="s">
        <v>215</v>
      </c>
      <c r="Z1317" s="14">
        <v>20080</v>
      </c>
      <c r="AA1317" s="14" t="s">
        <v>1585</v>
      </c>
      <c r="AB1317" s="14">
        <v>40001</v>
      </c>
      <c r="AE1317" s="14" t="s">
        <v>1400</v>
      </c>
      <c r="AF1317" s="14" t="s">
        <v>1400</v>
      </c>
      <c r="AG1317" s="14" t="s">
        <v>86</v>
      </c>
    </row>
    <row r="1318" spans="2:33">
      <c r="B1318" s="14">
        <f>10000000+INDEX(编号表!$B:$B,MATCH(H1318,编号表!$A:$A,0))*100000+INDEX(编号表!$F:$F,MATCH(D1318,编号表!$E:$E,0))*10000+INDEX(编号表!$D:$D,MATCH(AG1318,编号表!$C:$C,0))*1000+F1318</f>
        <v>11932028</v>
      </c>
      <c r="C1318" s="14" t="s">
        <v>1581</v>
      </c>
      <c r="D1318" s="14" t="s">
        <v>276</v>
      </c>
      <c r="E1318" s="14" t="s">
        <v>86</v>
      </c>
      <c r="F1318" s="14">
        <v>28</v>
      </c>
      <c r="G1318" s="14">
        <v>60</v>
      </c>
      <c r="H1318" s="14" t="s">
        <v>1400</v>
      </c>
      <c r="I1318" s="14" t="s">
        <v>75</v>
      </c>
      <c r="J1318" s="14" t="s">
        <v>201</v>
      </c>
      <c r="K1318" s="14">
        <v>1</v>
      </c>
      <c r="L1318" s="14" t="s">
        <v>1400</v>
      </c>
      <c r="N1318" s="14">
        <v>0</v>
      </c>
      <c r="O1318" s="14" t="b">
        <v>1</v>
      </c>
      <c r="Q1318" s="14" t="b">
        <v>0</v>
      </c>
      <c r="R1318" s="14">
        <v>1</v>
      </c>
      <c r="S1318" s="14" t="s">
        <v>77</v>
      </c>
      <c r="T1318" s="14">
        <v>999</v>
      </c>
      <c r="U1318" s="14" t="s">
        <v>1401</v>
      </c>
      <c r="V1318" s="14">
        <v>31932028</v>
      </c>
      <c r="X1318" s="14" t="s">
        <v>1586</v>
      </c>
      <c r="Y1318" s="14" t="s">
        <v>215</v>
      </c>
      <c r="Z1318" s="14">
        <v>20081</v>
      </c>
      <c r="AA1318" s="14" t="s">
        <v>1587</v>
      </c>
      <c r="AB1318" s="14">
        <v>40001</v>
      </c>
      <c r="AE1318" s="14" t="s">
        <v>1400</v>
      </c>
      <c r="AF1318" s="14" t="s">
        <v>1400</v>
      </c>
      <c r="AG1318" s="14" t="s">
        <v>86</v>
      </c>
    </row>
    <row r="1319" spans="2:33">
      <c r="B1319" s="14">
        <f>10000000+INDEX(编号表!$B:$B,MATCH(H1319,编号表!$A:$A,0))*100000+INDEX(编号表!$F:$F,MATCH(D1319,编号表!$E:$E,0))*10000+INDEX(编号表!$D:$D,MATCH(AG1319,编号表!$C:$C,0))*1000+F1319</f>
        <v>11912027</v>
      </c>
      <c r="C1319" s="14" t="s">
        <v>1588</v>
      </c>
      <c r="D1319" s="14" t="s">
        <v>72</v>
      </c>
      <c r="E1319" s="14" t="s">
        <v>86</v>
      </c>
      <c r="F1319" s="14">
        <v>27</v>
      </c>
      <c r="G1319" s="14">
        <v>60</v>
      </c>
      <c r="H1319" s="14" t="s">
        <v>1400</v>
      </c>
      <c r="I1319" s="14" t="s">
        <v>75</v>
      </c>
      <c r="J1319" s="14" t="s">
        <v>201</v>
      </c>
      <c r="K1319" s="14">
        <v>1</v>
      </c>
      <c r="L1319" s="14" t="s">
        <v>1400</v>
      </c>
      <c r="N1319" s="14">
        <v>0</v>
      </c>
      <c r="O1319" s="14" t="b">
        <v>1</v>
      </c>
      <c r="Q1319" s="14" t="b">
        <v>0</v>
      </c>
      <c r="R1319" s="14">
        <v>1</v>
      </c>
      <c r="S1319" s="14" t="s">
        <v>77</v>
      </c>
      <c r="T1319" s="14">
        <v>999</v>
      </c>
      <c r="U1319" s="14" t="s">
        <v>1401</v>
      </c>
      <c r="V1319" s="14">
        <v>31912027</v>
      </c>
      <c r="X1319" s="14" t="s">
        <v>1589</v>
      </c>
      <c r="Y1319" s="14" t="s">
        <v>215</v>
      </c>
      <c r="Z1319" s="14">
        <v>20082</v>
      </c>
      <c r="AA1319" s="14" t="s">
        <v>1590</v>
      </c>
      <c r="AB1319" s="14">
        <v>40001</v>
      </c>
      <c r="AE1319" s="14" t="s">
        <v>1400</v>
      </c>
      <c r="AF1319" s="14" t="s">
        <v>1400</v>
      </c>
      <c r="AG1319" s="14" t="s">
        <v>86</v>
      </c>
    </row>
    <row r="1320" spans="2:33">
      <c r="B1320" s="14">
        <f>10000000+INDEX(编号表!$B:$B,MATCH(H1320,编号表!$A:$A,0))*100000+INDEX(编号表!$F:$F,MATCH(D1320,编号表!$E:$E,0))*10000+INDEX(编号表!$D:$D,MATCH(AG1320,编号表!$C:$C,0))*1000+F1320</f>
        <v>11922028</v>
      </c>
      <c r="C1320" s="14" t="s">
        <v>1588</v>
      </c>
      <c r="D1320" s="14" t="s">
        <v>112</v>
      </c>
      <c r="E1320" s="14" t="s">
        <v>86</v>
      </c>
      <c r="F1320" s="14">
        <v>28</v>
      </c>
      <c r="G1320" s="14">
        <v>60</v>
      </c>
      <c r="H1320" s="14" t="s">
        <v>1400</v>
      </c>
      <c r="I1320" s="14" t="s">
        <v>75</v>
      </c>
      <c r="J1320" s="14" t="s">
        <v>201</v>
      </c>
      <c r="K1320" s="14">
        <v>1</v>
      </c>
      <c r="L1320" s="14" t="s">
        <v>1400</v>
      </c>
      <c r="N1320" s="14">
        <v>0</v>
      </c>
      <c r="O1320" s="14" t="b">
        <v>1</v>
      </c>
      <c r="Q1320" s="14" t="b">
        <v>0</v>
      </c>
      <c r="R1320" s="14">
        <v>1</v>
      </c>
      <c r="S1320" s="14" t="s">
        <v>77</v>
      </c>
      <c r="T1320" s="14">
        <v>999</v>
      </c>
      <c r="U1320" s="14" t="s">
        <v>1401</v>
      </c>
      <c r="V1320" s="14">
        <v>31922028</v>
      </c>
      <c r="X1320" s="14" t="s">
        <v>1591</v>
      </c>
      <c r="Y1320" s="14" t="s">
        <v>215</v>
      </c>
      <c r="Z1320" s="14">
        <v>20083</v>
      </c>
      <c r="AA1320" s="14" t="s">
        <v>1592</v>
      </c>
      <c r="AB1320" s="14">
        <v>40001</v>
      </c>
      <c r="AE1320" s="14" t="s">
        <v>1400</v>
      </c>
      <c r="AF1320" s="14" t="s">
        <v>1400</v>
      </c>
      <c r="AG1320" s="14" t="s">
        <v>86</v>
      </c>
    </row>
    <row r="1321" spans="2:33">
      <c r="B1321" s="14">
        <f>10000000+INDEX(编号表!$B:$B,MATCH(H1321,编号表!$A:$A,0))*100000+INDEX(编号表!$F:$F,MATCH(D1321,编号表!$E:$E,0))*10000+INDEX(编号表!$D:$D,MATCH(AG1321,编号表!$C:$C,0))*1000+F1321</f>
        <v>11932029</v>
      </c>
      <c r="C1321" s="14" t="s">
        <v>1588</v>
      </c>
      <c r="D1321" s="14" t="s">
        <v>276</v>
      </c>
      <c r="E1321" s="14" t="s">
        <v>86</v>
      </c>
      <c r="F1321" s="14">
        <v>29</v>
      </c>
      <c r="G1321" s="14">
        <v>60</v>
      </c>
      <c r="H1321" s="14" t="s">
        <v>1400</v>
      </c>
      <c r="I1321" s="14" t="s">
        <v>75</v>
      </c>
      <c r="J1321" s="14" t="s">
        <v>201</v>
      </c>
      <c r="K1321" s="14">
        <v>1</v>
      </c>
      <c r="L1321" s="14" t="s">
        <v>1400</v>
      </c>
      <c r="N1321" s="14">
        <v>0</v>
      </c>
      <c r="O1321" s="14" t="b">
        <v>1</v>
      </c>
      <c r="Q1321" s="14" t="b">
        <v>0</v>
      </c>
      <c r="R1321" s="14">
        <v>1</v>
      </c>
      <c r="S1321" s="14" t="s">
        <v>77</v>
      </c>
      <c r="T1321" s="14">
        <v>999</v>
      </c>
      <c r="U1321" s="14" t="s">
        <v>1401</v>
      </c>
      <c r="V1321" s="14">
        <v>31932029</v>
      </c>
      <c r="X1321" s="14" t="s">
        <v>1593</v>
      </c>
      <c r="Y1321" s="14" t="s">
        <v>215</v>
      </c>
      <c r="Z1321" s="14">
        <v>20084</v>
      </c>
      <c r="AA1321" s="14" t="s">
        <v>1594</v>
      </c>
      <c r="AB1321" s="14">
        <v>40001</v>
      </c>
      <c r="AE1321" s="14" t="s">
        <v>1400</v>
      </c>
      <c r="AF1321" s="14" t="s">
        <v>1400</v>
      </c>
      <c r="AG1321" s="14" t="s">
        <v>86</v>
      </c>
    </row>
    <row r="1322" spans="2:33">
      <c r="B1322" s="14">
        <f>10000000+INDEX(编号表!$B:$B,MATCH(H1322,编号表!$A:$A,0))*100000+INDEX(编号表!$F:$F,MATCH(D1322,编号表!$E:$E,0))*10000+INDEX(编号表!$D:$D,MATCH(AG1322,编号表!$C:$C,0))*1000+F1322</f>
        <v>11912028</v>
      </c>
      <c r="C1322" s="14" t="s">
        <v>1595</v>
      </c>
      <c r="D1322" s="14" t="s">
        <v>72</v>
      </c>
      <c r="E1322" s="14" t="s">
        <v>86</v>
      </c>
      <c r="F1322" s="14">
        <v>28</v>
      </c>
      <c r="G1322" s="14">
        <v>60</v>
      </c>
      <c r="H1322" s="14" t="s">
        <v>1400</v>
      </c>
      <c r="I1322" s="14" t="s">
        <v>75</v>
      </c>
      <c r="J1322" s="14" t="s">
        <v>201</v>
      </c>
      <c r="K1322" s="14">
        <v>1</v>
      </c>
      <c r="L1322" s="14" t="s">
        <v>1400</v>
      </c>
      <c r="N1322" s="14">
        <v>0</v>
      </c>
      <c r="O1322" s="14" t="b">
        <v>1</v>
      </c>
      <c r="Q1322" s="14" t="b">
        <v>0</v>
      </c>
      <c r="R1322" s="14">
        <v>1</v>
      </c>
      <c r="S1322" s="14" t="s">
        <v>77</v>
      </c>
      <c r="T1322" s="14">
        <v>999</v>
      </c>
      <c r="U1322" s="14" t="s">
        <v>1401</v>
      </c>
      <c r="V1322" s="14">
        <v>31912028</v>
      </c>
      <c r="X1322" s="14" t="s">
        <v>1596</v>
      </c>
      <c r="Y1322" s="14" t="s">
        <v>215</v>
      </c>
      <c r="Z1322" s="14">
        <v>20085</v>
      </c>
      <c r="AA1322" s="14" t="s">
        <v>1597</v>
      </c>
      <c r="AB1322" s="14">
        <v>40001</v>
      </c>
      <c r="AE1322" s="14" t="s">
        <v>1400</v>
      </c>
      <c r="AF1322" s="14" t="s">
        <v>1400</v>
      </c>
      <c r="AG1322" s="14" t="s">
        <v>86</v>
      </c>
    </row>
    <row r="1323" spans="2:33">
      <c r="B1323" s="14">
        <f>10000000+INDEX(编号表!$B:$B,MATCH(H1323,编号表!$A:$A,0))*100000+INDEX(编号表!$F:$F,MATCH(D1323,编号表!$E:$E,0))*10000+INDEX(编号表!$D:$D,MATCH(AG1323,编号表!$C:$C,0))*1000+F1323</f>
        <v>11922029</v>
      </c>
      <c r="C1323" s="14" t="s">
        <v>1595</v>
      </c>
      <c r="D1323" s="14" t="s">
        <v>112</v>
      </c>
      <c r="E1323" s="14" t="s">
        <v>86</v>
      </c>
      <c r="F1323" s="14">
        <v>29</v>
      </c>
      <c r="G1323" s="14">
        <v>60</v>
      </c>
      <c r="H1323" s="14" t="s">
        <v>1400</v>
      </c>
      <c r="I1323" s="14" t="s">
        <v>75</v>
      </c>
      <c r="J1323" s="14" t="s">
        <v>201</v>
      </c>
      <c r="K1323" s="14">
        <v>1</v>
      </c>
      <c r="L1323" s="14" t="s">
        <v>1400</v>
      </c>
      <c r="N1323" s="14">
        <v>0</v>
      </c>
      <c r="O1323" s="14" t="b">
        <v>1</v>
      </c>
      <c r="Q1323" s="14" t="b">
        <v>0</v>
      </c>
      <c r="R1323" s="14">
        <v>1</v>
      </c>
      <c r="S1323" s="14" t="s">
        <v>77</v>
      </c>
      <c r="T1323" s="14">
        <v>999</v>
      </c>
      <c r="U1323" s="14" t="s">
        <v>1401</v>
      </c>
      <c r="V1323" s="14">
        <v>31922029</v>
      </c>
      <c r="X1323" s="14" t="s">
        <v>1598</v>
      </c>
      <c r="Y1323" s="14" t="s">
        <v>215</v>
      </c>
      <c r="Z1323" s="14">
        <v>20086</v>
      </c>
      <c r="AA1323" s="14" t="s">
        <v>1599</v>
      </c>
      <c r="AB1323" s="14">
        <v>40001</v>
      </c>
      <c r="AE1323" s="14" t="s">
        <v>1400</v>
      </c>
      <c r="AF1323" s="14" t="s">
        <v>1400</v>
      </c>
      <c r="AG1323" s="14" t="s">
        <v>86</v>
      </c>
    </row>
    <row r="1324" spans="2:33">
      <c r="B1324" s="14">
        <f>10000000+INDEX(编号表!$B:$B,MATCH(H1324,编号表!$A:$A,0))*100000+INDEX(编号表!$F:$F,MATCH(D1324,编号表!$E:$E,0))*10000+INDEX(编号表!$D:$D,MATCH(AG1324,编号表!$C:$C,0))*1000+F1324</f>
        <v>11932030</v>
      </c>
      <c r="C1324" s="14" t="s">
        <v>1595</v>
      </c>
      <c r="D1324" s="14" t="s">
        <v>276</v>
      </c>
      <c r="E1324" s="14" t="s">
        <v>86</v>
      </c>
      <c r="F1324" s="14">
        <v>30</v>
      </c>
      <c r="G1324" s="14">
        <v>60</v>
      </c>
      <c r="H1324" s="14" t="s">
        <v>1400</v>
      </c>
      <c r="I1324" s="14" t="s">
        <v>75</v>
      </c>
      <c r="J1324" s="14" t="s">
        <v>201</v>
      </c>
      <c r="K1324" s="14">
        <v>1</v>
      </c>
      <c r="L1324" s="14" t="s">
        <v>1400</v>
      </c>
      <c r="N1324" s="14">
        <v>0</v>
      </c>
      <c r="O1324" s="14" t="b">
        <v>1</v>
      </c>
      <c r="Q1324" s="14" t="b">
        <v>0</v>
      </c>
      <c r="R1324" s="14">
        <v>1</v>
      </c>
      <c r="S1324" s="14" t="s">
        <v>77</v>
      </c>
      <c r="T1324" s="14">
        <v>999</v>
      </c>
      <c r="U1324" s="14" t="s">
        <v>1401</v>
      </c>
      <c r="V1324" s="14">
        <v>31932030</v>
      </c>
      <c r="X1324" s="14" t="s">
        <v>1600</v>
      </c>
      <c r="Y1324" s="14" t="s">
        <v>215</v>
      </c>
      <c r="Z1324" s="14">
        <v>20087</v>
      </c>
      <c r="AA1324" s="14" t="s">
        <v>1601</v>
      </c>
      <c r="AB1324" s="14">
        <v>40001</v>
      </c>
      <c r="AE1324" s="14" t="s">
        <v>1400</v>
      </c>
      <c r="AF1324" s="14" t="s">
        <v>1400</v>
      </c>
      <c r="AG1324" s="14" t="s">
        <v>86</v>
      </c>
    </row>
    <row r="1325" spans="2:33">
      <c r="B1325" s="14">
        <f>10000000+INDEX(编号表!$B:$B,MATCH(H1325,编号表!$A:$A,0))*100000+INDEX(编号表!$F:$F,MATCH(D1325,编号表!$E:$E,0))*10000+INDEX(编号表!$D:$D,MATCH(AG1325,编号表!$C:$C,0))*1000+F1325</f>
        <v>11912029</v>
      </c>
      <c r="C1325" s="14" t="s">
        <v>1602</v>
      </c>
      <c r="D1325" s="14" t="s">
        <v>72</v>
      </c>
      <c r="E1325" s="14" t="s">
        <v>86</v>
      </c>
      <c r="F1325" s="14">
        <v>29</v>
      </c>
      <c r="G1325" s="14">
        <v>60</v>
      </c>
      <c r="H1325" s="14" t="s">
        <v>1400</v>
      </c>
      <c r="I1325" s="14" t="s">
        <v>75</v>
      </c>
      <c r="J1325" s="14" t="s">
        <v>201</v>
      </c>
      <c r="K1325" s="14">
        <v>1</v>
      </c>
      <c r="L1325" s="14" t="s">
        <v>1400</v>
      </c>
      <c r="N1325" s="14">
        <v>0</v>
      </c>
      <c r="O1325" s="14" t="b">
        <v>1</v>
      </c>
      <c r="Q1325" s="14" t="b">
        <v>0</v>
      </c>
      <c r="R1325" s="14">
        <v>1</v>
      </c>
      <c r="S1325" s="14" t="s">
        <v>77</v>
      </c>
      <c r="T1325" s="14">
        <v>999</v>
      </c>
      <c r="U1325" s="14" t="s">
        <v>1401</v>
      </c>
      <c r="V1325" s="14">
        <v>31912029</v>
      </c>
      <c r="X1325" s="14" t="s">
        <v>1603</v>
      </c>
      <c r="Y1325" s="14" t="s">
        <v>215</v>
      </c>
      <c r="Z1325" s="14">
        <v>20088</v>
      </c>
      <c r="AA1325" s="14" t="s">
        <v>1604</v>
      </c>
      <c r="AB1325" s="14">
        <v>40001</v>
      </c>
      <c r="AE1325" s="14" t="s">
        <v>1400</v>
      </c>
      <c r="AF1325" s="14" t="s">
        <v>1400</v>
      </c>
      <c r="AG1325" s="14" t="s">
        <v>86</v>
      </c>
    </row>
    <row r="1326" spans="2:33">
      <c r="B1326" s="14">
        <f>10000000+INDEX(编号表!$B:$B,MATCH(H1326,编号表!$A:$A,0))*100000+INDEX(编号表!$F:$F,MATCH(D1326,编号表!$E:$E,0))*10000+INDEX(编号表!$D:$D,MATCH(AG1326,编号表!$C:$C,0))*1000+F1326</f>
        <v>11922030</v>
      </c>
      <c r="C1326" s="14" t="s">
        <v>1602</v>
      </c>
      <c r="D1326" s="14" t="s">
        <v>112</v>
      </c>
      <c r="E1326" s="14" t="s">
        <v>86</v>
      </c>
      <c r="F1326" s="14">
        <v>30</v>
      </c>
      <c r="G1326" s="14">
        <v>60</v>
      </c>
      <c r="H1326" s="14" t="s">
        <v>1400</v>
      </c>
      <c r="I1326" s="14" t="s">
        <v>75</v>
      </c>
      <c r="J1326" s="14" t="s">
        <v>201</v>
      </c>
      <c r="K1326" s="14">
        <v>1</v>
      </c>
      <c r="L1326" s="14" t="s">
        <v>1400</v>
      </c>
      <c r="N1326" s="14">
        <v>0</v>
      </c>
      <c r="O1326" s="14" t="b">
        <v>1</v>
      </c>
      <c r="Q1326" s="14" t="b">
        <v>0</v>
      </c>
      <c r="R1326" s="14">
        <v>1</v>
      </c>
      <c r="S1326" s="14" t="s">
        <v>77</v>
      </c>
      <c r="T1326" s="14">
        <v>999</v>
      </c>
      <c r="U1326" s="14" t="s">
        <v>1401</v>
      </c>
      <c r="V1326" s="14">
        <v>31922030</v>
      </c>
      <c r="X1326" s="14" t="s">
        <v>1605</v>
      </c>
      <c r="Y1326" s="14" t="s">
        <v>215</v>
      </c>
      <c r="Z1326" s="14">
        <v>20089</v>
      </c>
      <c r="AA1326" s="14" t="s">
        <v>1606</v>
      </c>
      <c r="AB1326" s="14">
        <v>40001</v>
      </c>
      <c r="AE1326" s="14" t="s">
        <v>1400</v>
      </c>
      <c r="AF1326" s="14" t="s">
        <v>1400</v>
      </c>
      <c r="AG1326" s="14" t="s">
        <v>86</v>
      </c>
    </row>
    <row r="1327" spans="2:33">
      <c r="B1327" s="14">
        <f>10000000+INDEX(编号表!$B:$B,MATCH(H1327,编号表!$A:$A,0))*100000+INDEX(编号表!$F:$F,MATCH(D1327,编号表!$E:$E,0))*10000+INDEX(编号表!$D:$D,MATCH(AG1327,编号表!$C:$C,0))*1000+F1327</f>
        <v>11932031</v>
      </c>
      <c r="C1327" s="14" t="s">
        <v>1602</v>
      </c>
      <c r="D1327" s="14" t="s">
        <v>276</v>
      </c>
      <c r="E1327" s="14" t="s">
        <v>86</v>
      </c>
      <c r="F1327" s="14">
        <v>31</v>
      </c>
      <c r="G1327" s="14">
        <v>60</v>
      </c>
      <c r="H1327" s="14" t="s">
        <v>1400</v>
      </c>
      <c r="I1327" s="14" t="s">
        <v>75</v>
      </c>
      <c r="J1327" s="14" t="s">
        <v>201</v>
      </c>
      <c r="K1327" s="14">
        <v>1</v>
      </c>
      <c r="L1327" s="14" t="s">
        <v>1400</v>
      </c>
      <c r="N1327" s="14">
        <v>0</v>
      </c>
      <c r="O1327" s="14" t="b">
        <v>1</v>
      </c>
      <c r="Q1327" s="14" t="b">
        <v>0</v>
      </c>
      <c r="R1327" s="14">
        <v>1</v>
      </c>
      <c r="S1327" s="14" t="s">
        <v>77</v>
      </c>
      <c r="T1327" s="14">
        <v>999</v>
      </c>
      <c r="U1327" s="14" t="s">
        <v>1401</v>
      </c>
      <c r="V1327" s="14">
        <v>31932031</v>
      </c>
      <c r="X1327" s="14" t="s">
        <v>1607</v>
      </c>
      <c r="Y1327" s="14" t="s">
        <v>215</v>
      </c>
      <c r="Z1327" s="14">
        <v>20090</v>
      </c>
      <c r="AA1327" s="14" t="s">
        <v>1608</v>
      </c>
      <c r="AB1327" s="14">
        <v>40001</v>
      </c>
      <c r="AE1327" s="14" t="s">
        <v>1400</v>
      </c>
      <c r="AF1327" s="14" t="s">
        <v>1400</v>
      </c>
      <c r="AG1327" s="14" t="s">
        <v>86</v>
      </c>
    </row>
    <row r="1328" spans="2:33">
      <c r="B1328" s="14">
        <f>10000000+INDEX(编号表!$B:$B,MATCH(H1328,编号表!$A:$A,0))*100000+INDEX(编号表!$F:$F,MATCH(D1328,编号表!$E:$E,0))*10000+INDEX(编号表!$D:$D,MATCH(AG1328,编号表!$C:$C,0))*1000+F1328</f>
        <v>11912030</v>
      </c>
      <c r="C1328" s="14" t="s">
        <v>1609</v>
      </c>
      <c r="D1328" s="14" t="s">
        <v>72</v>
      </c>
      <c r="E1328" s="14" t="s">
        <v>86</v>
      </c>
      <c r="F1328" s="14">
        <v>30</v>
      </c>
      <c r="G1328" s="14">
        <v>60</v>
      </c>
      <c r="H1328" s="14" t="s">
        <v>1400</v>
      </c>
      <c r="I1328" s="14" t="s">
        <v>75</v>
      </c>
      <c r="J1328" s="14" t="s">
        <v>201</v>
      </c>
      <c r="K1328" s="14">
        <v>1</v>
      </c>
      <c r="L1328" s="14" t="s">
        <v>1400</v>
      </c>
      <c r="N1328" s="14">
        <v>0</v>
      </c>
      <c r="O1328" s="14" t="b">
        <v>1</v>
      </c>
      <c r="Q1328" s="14" t="b">
        <v>0</v>
      </c>
      <c r="R1328" s="14">
        <v>1</v>
      </c>
      <c r="S1328" s="14" t="s">
        <v>77</v>
      </c>
      <c r="T1328" s="14">
        <v>999</v>
      </c>
      <c r="U1328" s="14" t="s">
        <v>1401</v>
      </c>
      <c r="V1328" s="14">
        <v>31912030</v>
      </c>
      <c r="X1328" s="14" t="s">
        <v>1610</v>
      </c>
      <c r="Y1328" s="14" t="s">
        <v>215</v>
      </c>
      <c r="Z1328" s="14">
        <v>20091</v>
      </c>
      <c r="AA1328" s="14" t="s">
        <v>1611</v>
      </c>
      <c r="AB1328" s="14">
        <v>40001</v>
      </c>
      <c r="AE1328" s="14" t="s">
        <v>1400</v>
      </c>
      <c r="AF1328" s="14" t="s">
        <v>1400</v>
      </c>
      <c r="AG1328" s="14" t="s">
        <v>86</v>
      </c>
    </row>
    <row r="1329" spans="2:33">
      <c r="B1329" s="14">
        <f>10000000+INDEX(编号表!$B:$B,MATCH(H1329,编号表!$A:$A,0))*100000+INDEX(编号表!$F:$F,MATCH(D1329,编号表!$E:$E,0))*10000+INDEX(编号表!$D:$D,MATCH(AG1329,编号表!$C:$C,0))*1000+F1329</f>
        <v>11922031</v>
      </c>
      <c r="C1329" s="14" t="s">
        <v>1609</v>
      </c>
      <c r="D1329" s="14" t="s">
        <v>112</v>
      </c>
      <c r="E1329" s="14" t="s">
        <v>86</v>
      </c>
      <c r="F1329" s="14">
        <v>31</v>
      </c>
      <c r="G1329" s="14">
        <v>60</v>
      </c>
      <c r="H1329" s="14" t="s">
        <v>1400</v>
      </c>
      <c r="I1329" s="14" t="s">
        <v>75</v>
      </c>
      <c r="J1329" s="14" t="s">
        <v>201</v>
      </c>
      <c r="K1329" s="14">
        <v>1</v>
      </c>
      <c r="L1329" s="14" t="s">
        <v>1400</v>
      </c>
      <c r="N1329" s="14">
        <v>0</v>
      </c>
      <c r="O1329" s="14" t="b">
        <v>1</v>
      </c>
      <c r="Q1329" s="14" t="b">
        <v>0</v>
      </c>
      <c r="R1329" s="14">
        <v>1</v>
      </c>
      <c r="S1329" s="14" t="s">
        <v>77</v>
      </c>
      <c r="T1329" s="14">
        <v>999</v>
      </c>
      <c r="U1329" s="14" t="s">
        <v>1401</v>
      </c>
      <c r="V1329" s="14">
        <v>31922031</v>
      </c>
      <c r="X1329" s="14" t="s">
        <v>1612</v>
      </c>
      <c r="Y1329" s="14" t="s">
        <v>215</v>
      </c>
      <c r="Z1329" s="14">
        <v>20092</v>
      </c>
      <c r="AA1329" s="14" t="s">
        <v>1613</v>
      </c>
      <c r="AB1329" s="14">
        <v>40001</v>
      </c>
      <c r="AE1329" s="14" t="s">
        <v>1400</v>
      </c>
      <c r="AF1329" s="14" t="s">
        <v>1400</v>
      </c>
      <c r="AG1329" s="14" t="s">
        <v>86</v>
      </c>
    </row>
    <row r="1330" spans="2:33">
      <c r="B1330" s="14">
        <f>10000000+INDEX(编号表!$B:$B,MATCH(H1330,编号表!$A:$A,0))*100000+INDEX(编号表!$F:$F,MATCH(D1330,编号表!$E:$E,0))*10000+INDEX(编号表!$D:$D,MATCH(AG1330,编号表!$C:$C,0))*1000+F1330</f>
        <v>11932032</v>
      </c>
      <c r="C1330" s="14" t="s">
        <v>1609</v>
      </c>
      <c r="D1330" s="14" t="s">
        <v>276</v>
      </c>
      <c r="E1330" s="14" t="s">
        <v>86</v>
      </c>
      <c r="F1330" s="14">
        <v>32</v>
      </c>
      <c r="G1330" s="14">
        <v>60</v>
      </c>
      <c r="H1330" s="14" t="s">
        <v>1400</v>
      </c>
      <c r="I1330" s="14" t="s">
        <v>75</v>
      </c>
      <c r="J1330" s="14" t="s">
        <v>201</v>
      </c>
      <c r="K1330" s="14">
        <v>1</v>
      </c>
      <c r="L1330" s="14" t="s">
        <v>1400</v>
      </c>
      <c r="N1330" s="14">
        <v>0</v>
      </c>
      <c r="O1330" s="14" t="b">
        <v>1</v>
      </c>
      <c r="Q1330" s="14" t="b">
        <v>0</v>
      </c>
      <c r="R1330" s="14">
        <v>1</v>
      </c>
      <c r="S1330" s="14" t="s">
        <v>77</v>
      </c>
      <c r="T1330" s="14">
        <v>999</v>
      </c>
      <c r="U1330" s="14" t="s">
        <v>1401</v>
      </c>
      <c r="V1330" s="14">
        <v>31932032</v>
      </c>
      <c r="X1330" s="14" t="s">
        <v>1614</v>
      </c>
      <c r="Y1330" s="14" t="s">
        <v>215</v>
      </c>
      <c r="Z1330" s="14">
        <v>20093</v>
      </c>
      <c r="AA1330" s="14" t="s">
        <v>1615</v>
      </c>
      <c r="AB1330" s="14">
        <v>40001</v>
      </c>
      <c r="AE1330" s="14" t="s">
        <v>1400</v>
      </c>
      <c r="AF1330" s="14" t="s">
        <v>1400</v>
      </c>
      <c r="AG1330" s="14" t="s">
        <v>86</v>
      </c>
    </row>
    <row r="1331" spans="2:33">
      <c r="B1331" s="14">
        <f>10000000+INDEX(编号表!$B:$B,MATCH(H1331,编号表!$A:$A,0))*100000+INDEX(编号表!$F:$F,MATCH(D1331,编号表!$E:$E,0))*10000+INDEX(编号表!$D:$D,MATCH(AG1331,编号表!$C:$C,0))*1000+F1331</f>
        <v>11912031</v>
      </c>
      <c r="C1331" s="14" t="s">
        <v>1616</v>
      </c>
      <c r="D1331" s="14" t="s">
        <v>72</v>
      </c>
      <c r="E1331" s="14" t="s">
        <v>86</v>
      </c>
      <c r="F1331" s="14">
        <v>31</v>
      </c>
      <c r="G1331" s="14">
        <v>60</v>
      </c>
      <c r="H1331" s="14" t="s">
        <v>1400</v>
      </c>
      <c r="I1331" s="14" t="s">
        <v>75</v>
      </c>
      <c r="J1331" s="14" t="s">
        <v>201</v>
      </c>
      <c r="K1331" s="14">
        <v>1</v>
      </c>
      <c r="L1331" s="14" t="s">
        <v>1400</v>
      </c>
      <c r="N1331" s="14">
        <v>0</v>
      </c>
      <c r="O1331" s="14" t="b">
        <v>1</v>
      </c>
      <c r="Q1331" s="14" t="b">
        <v>0</v>
      </c>
      <c r="R1331" s="14">
        <v>1</v>
      </c>
      <c r="S1331" s="14" t="s">
        <v>77</v>
      </c>
      <c r="T1331" s="14">
        <v>999</v>
      </c>
      <c r="U1331" s="14" t="s">
        <v>1401</v>
      </c>
      <c r="V1331" s="14">
        <v>31912031</v>
      </c>
      <c r="X1331" s="14" t="s">
        <v>1617</v>
      </c>
      <c r="Y1331" s="14" t="s">
        <v>215</v>
      </c>
      <c r="Z1331" s="14">
        <v>20094</v>
      </c>
      <c r="AA1331" s="14" t="s">
        <v>1618</v>
      </c>
      <c r="AB1331" s="14">
        <v>40001</v>
      </c>
      <c r="AE1331" s="14" t="s">
        <v>1400</v>
      </c>
      <c r="AF1331" s="14" t="s">
        <v>1400</v>
      </c>
      <c r="AG1331" s="14" t="s">
        <v>86</v>
      </c>
    </row>
    <row r="1332" spans="2:33">
      <c r="B1332" s="14">
        <f>10000000+INDEX(编号表!$B:$B,MATCH(H1332,编号表!$A:$A,0))*100000+INDEX(编号表!$F:$F,MATCH(D1332,编号表!$E:$E,0))*10000+INDEX(编号表!$D:$D,MATCH(AG1332,编号表!$C:$C,0))*1000+F1332</f>
        <v>11922032</v>
      </c>
      <c r="C1332" s="14" t="s">
        <v>1616</v>
      </c>
      <c r="D1332" s="14" t="s">
        <v>112</v>
      </c>
      <c r="E1332" s="14" t="s">
        <v>86</v>
      </c>
      <c r="F1332" s="14">
        <v>32</v>
      </c>
      <c r="G1332" s="14">
        <v>60</v>
      </c>
      <c r="H1332" s="14" t="s">
        <v>1400</v>
      </c>
      <c r="I1332" s="14" t="s">
        <v>75</v>
      </c>
      <c r="J1332" s="14" t="s">
        <v>201</v>
      </c>
      <c r="K1332" s="14">
        <v>1</v>
      </c>
      <c r="L1332" s="14" t="s">
        <v>1400</v>
      </c>
      <c r="N1332" s="14">
        <v>0</v>
      </c>
      <c r="O1332" s="14" t="b">
        <v>1</v>
      </c>
      <c r="Q1332" s="14" t="b">
        <v>0</v>
      </c>
      <c r="R1332" s="14">
        <v>1</v>
      </c>
      <c r="S1332" s="14" t="s">
        <v>77</v>
      </c>
      <c r="T1332" s="14">
        <v>999</v>
      </c>
      <c r="U1332" s="14" t="s">
        <v>1401</v>
      </c>
      <c r="V1332" s="14">
        <v>31922032</v>
      </c>
      <c r="X1332" s="14" t="s">
        <v>1619</v>
      </c>
      <c r="Y1332" s="14" t="s">
        <v>215</v>
      </c>
      <c r="Z1332" s="14">
        <v>20095</v>
      </c>
      <c r="AA1332" s="14" t="s">
        <v>1620</v>
      </c>
      <c r="AB1332" s="14">
        <v>40001</v>
      </c>
      <c r="AE1332" s="14" t="s">
        <v>1400</v>
      </c>
      <c r="AF1332" s="14" t="s">
        <v>1400</v>
      </c>
      <c r="AG1332" s="14" t="s">
        <v>86</v>
      </c>
    </row>
    <row r="1333" spans="2:33">
      <c r="B1333" s="14">
        <f>10000000+INDEX(编号表!$B:$B,MATCH(H1333,编号表!$A:$A,0))*100000+INDEX(编号表!$F:$F,MATCH(D1333,编号表!$E:$E,0))*10000+INDEX(编号表!$D:$D,MATCH(AG1333,编号表!$C:$C,0))*1000+F1333</f>
        <v>11932033</v>
      </c>
      <c r="C1333" s="14" t="s">
        <v>1616</v>
      </c>
      <c r="D1333" s="14" t="s">
        <v>276</v>
      </c>
      <c r="E1333" s="14" t="s">
        <v>86</v>
      </c>
      <c r="F1333" s="14">
        <v>33</v>
      </c>
      <c r="G1333" s="14">
        <v>60</v>
      </c>
      <c r="H1333" s="14" t="s">
        <v>1400</v>
      </c>
      <c r="I1333" s="14" t="s">
        <v>75</v>
      </c>
      <c r="J1333" s="14" t="s">
        <v>201</v>
      </c>
      <c r="K1333" s="14">
        <v>1</v>
      </c>
      <c r="L1333" s="14" t="s">
        <v>1400</v>
      </c>
      <c r="N1333" s="14">
        <v>0</v>
      </c>
      <c r="O1333" s="14" t="b">
        <v>1</v>
      </c>
      <c r="Q1333" s="14" t="b">
        <v>0</v>
      </c>
      <c r="R1333" s="14">
        <v>1</v>
      </c>
      <c r="S1333" s="14" t="s">
        <v>77</v>
      </c>
      <c r="T1333" s="14">
        <v>999</v>
      </c>
      <c r="U1333" s="14" t="s">
        <v>1401</v>
      </c>
      <c r="V1333" s="14">
        <v>31932033</v>
      </c>
      <c r="X1333" s="14" t="s">
        <v>1621</v>
      </c>
      <c r="Y1333" s="14" t="s">
        <v>215</v>
      </c>
      <c r="Z1333" s="14">
        <v>20096</v>
      </c>
      <c r="AA1333" s="14" t="s">
        <v>1622</v>
      </c>
      <c r="AB1333" s="14">
        <v>40001</v>
      </c>
      <c r="AE1333" s="14" t="s">
        <v>1400</v>
      </c>
      <c r="AF1333" s="14" t="s">
        <v>1400</v>
      </c>
      <c r="AG1333" s="14" t="s">
        <v>86</v>
      </c>
    </row>
    <row r="1334" spans="2:33">
      <c r="B1334" s="14">
        <f>10000000+INDEX(编号表!$B:$B,MATCH(H1334,编号表!$A:$A,0))*100000+INDEX(编号表!$F:$F,MATCH(D1334,编号表!$E:$E,0))*10000+INDEX(编号表!$D:$D,MATCH(AG1334,编号表!$C:$C,0))*1000+F1334</f>
        <v>11912032</v>
      </c>
      <c r="C1334" s="14" t="s">
        <v>1623</v>
      </c>
      <c r="D1334" s="14" t="s">
        <v>72</v>
      </c>
      <c r="E1334" s="14" t="s">
        <v>86</v>
      </c>
      <c r="F1334" s="14">
        <v>32</v>
      </c>
      <c r="G1334" s="14">
        <v>60</v>
      </c>
      <c r="H1334" s="14" t="s">
        <v>1400</v>
      </c>
      <c r="I1334" s="14" t="s">
        <v>75</v>
      </c>
      <c r="J1334" s="14" t="s">
        <v>201</v>
      </c>
      <c r="K1334" s="14">
        <v>1</v>
      </c>
      <c r="L1334" s="14" t="s">
        <v>1400</v>
      </c>
      <c r="N1334" s="14">
        <v>0</v>
      </c>
      <c r="O1334" s="14" t="b">
        <v>1</v>
      </c>
      <c r="Q1334" s="14" t="b">
        <v>0</v>
      </c>
      <c r="R1334" s="14">
        <v>1</v>
      </c>
      <c r="S1334" s="14" t="s">
        <v>77</v>
      </c>
      <c r="T1334" s="14">
        <v>999</v>
      </c>
      <c r="U1334" s="14" t="s">
        <v>1401</v>
      </c>
      <c r="V1334" s="14">
        <v>31912032</v>
      </c>
      <c r="X1334" s="14" t="s">
        <v>1624</v>
      </c>
      <c r="Y1334" s="14" t="s">
        <v>215</v>
      </c>
      <c r="Z1334" s="14">
        <v>20097</v>
      </c>
      <c r="AA1334" s="14" t="s">
        <v>1625</v>
      </c>
      <c r="AB1334" s="14">
        <v>40001</v>
      </c>
      <c r="AE1334" s="14" t="s">
        <v>1400</v>
      </c>
      <c r="AF1334" s="14" t="s">
        <v>1400</v>
      </c>
      <c r="AG1334" s="14" t="s">
        <v>86</v>
      </c>
    </row>
    <row r="1335" spans="2:33">
      <c r="B1335" s="14">
        <f>10000000+INDEX(编号表!$B:$B,MATCH(H1335,编号表!$A:$A,0))*100000+INDEX(编号表!$F:$F,MATCH(D1335,编号表!$E:$E,0))*10000+INDEX(编号表!$D:$D,MATCH(AG1335,编号表!$C:$C,0))*1000+F1335</f>
        <v>11922033</v>
      </c>
      <c r="C1335" s="14" t="s">
        <v>1623</v>
      </c>
      <c r="D1335" s="14" t="s">
        <v>112</v>
      </c>
      <c r="E1335" s="14" t="s">
        <v>86</v>
      </c>
      <c r="F1335" s="14">
        <v>33</v>
      </c>
      <c r="G1335" s="14">
        <v>60</v>
      </c>
      <c r="H1335" s="14" t="s">
        <v>1400</v>
      </c>
      <c r="I1335" s="14" t="s">
        <v>75</v>
      </c>
      <c r="J1335" s="14" t="s">
        <v>201</v>
      </c>
      <c r="K1335" s="14">
        <v>1</v>
      </c>
      <c r="L1335" s="14" t="s">
        <v>1400</v>
      </c>
      <c r="N1335" s="14">
        <v>0</v>
      </c>
      <c r="O1335" s="14" t="b">
        <v>1</v>
      </c>
      <c r="Q1335" s="14" t="b">
        <v>0</v>
      </c>
      <c r="R1335" s="14">
        <v>1</v>
      </c>
      <c r="S1335" s="14" t="s">
        <v>77</v>
      </c>
      <c r="T1335" s="14">
        <v>999</v>
      </c>
      <c r="U1335" s="14" t="s">
        <v>1401</v>
      </c>
      <c r="V1335" s="14">
        <v>31922033</v>
      </c>
      <c r="X1335" s="14" t="s">
        <v>1626</v>
      </c>
      <c r="Y1335" s="14" t="s">
        <v>215</v>
      </c>
      <c r="Z1335" s="14">
        <v>20098</v>
      </c>
      <c r="AA1335" s="14" t="s">
        <v>1627</v>
      </c>
      <c r="AB1335" s="14">
        <v>40001</v>
      </c>
      <c r="AE1335" s="14" t="s">
        <v>1400</v>
      </c>
      <c r="AF1335" s="14" t="s">
        <v>1400</v>
      </c>
      <c r="AG1335" s="14" t="s">
        <v>86</v>
      </c>
    </row>
    <row r="1336" spans="2:33">
      <c r="B1336" s="14">
        <f>10000000+INDEX(编号表!$B:$B,MATCH(H1336,编号表!$A:$A,0))*100000+INDEX(编号表!$F:$F,MATCH(D1336,编号表!$E:$E,0))*10000+INDEX(编号表!$D:$D,MATCH(AG1336,编号表!$C:$C,0))*1000+F1336</f>
        <v>11932034</v>
      </c>
      <c r="C1336" s="14" t="s">
        <v>1623</v>
      </c>
      <c r="D1336" s="14" t="s">
        <v>276</v>
      </c>
      <c r="E1336" s="14" t="s">
        <v>86</v>
      </c>
      <c r="F1336" s="14">
        <v>34</v>
      </c>
      <c r="G1336" s="14">
        <v>60</v>
      </c>
      <c r="H1336" s="14" t="s">
        <v>1400</v>
      </c>
      <c r="I1336" s="14" t="s">
        <v>75</v>
      </c>
      <c r="J1336" s="14" t="s">
        <v>201</v>
      </c>
      <c r="K1336" s="14">
        <v>1</v>
      </c>
      <c r="L1336" s="14" t="s">
        <v>1400</v>
      </c>
      <c r="N1336" s="14">
        <v>0</v>
      </c>
      <c r="O1336" s="14" t="b">
        <v>1</v>
      </c>
      <c r="Q1336" s="14" t="b">
        <v>0</v>
      </c>
      <c r="R1336" s="14">
        <v>1</v>
      </c>
      <c r="S1336" s="14" t="s">
        <v>77</v>
      </c>
      <c r="T1336" s="14">
        <v>999</v>
      </c>
      <c r="U1336" s="14" t="s">
        <v>1401</v>
      </c>
      <c r="V1336" s="14">
        <v>31932034</v>
      </c>
      <c r="X1336" s="14" t="s">
        <v>1628</v>
      </c>
      <c r="Y1336" s="14" t="s">
        <v>215</v>
      </c>
      <c r="Z1336" s="14">
        <v>20099</v>
      </c>
      <c r="AA1336" s="14" t="s">
        <v>1629</v>
      </c>
      <c r="AB1336" s="14">
        <v>40001</v>
      </c>
      <c r="AE1336" s="14" t="s">
        <v>1400</v>
      </c>
      <c r="AF1336" s="14" t="s">
        <v>1400</v>
      </c>
      <c r="AG1336" s="14" t="s">
        <v>86</v>
      </c>
    </row>
    <row r="1337" spans="2:33">
      <c r="B1337" s="14">
        <f>10000000+INDEX(编号表!$B:$B,MATCH(H1337,编号表!$A:$A,0))*100000+INDEX(编号表!$F:$F,MATCH(D1337,编号表!$E:$E,0))*10000+INDEX(编号表!$D:$D,MATCH(AG1337,编号表!$C:$C,0))*1000+F1337</f>
        <v>11912033</v>
      </c>
      <c r="C1337" s="14" t="s">
        <v>1630</v>
      </c>
      <c r="D1337" s="14" t="s">
        <v>72</v>
      </c>
      <c r="E1337" s="14" t="s">
        <v>86</v>
      </c>
      <c r="F1337" s="14">
        <v>33</v>
      </c>
      <c r="G1337" s="14">
        <v>60</v>
      </c>
      <c r="H1337" s="14" t="s">
        <v>1400</v>
      </c>
      <c r="I1337" s="14" t="s">
        <v>75</v>
      </c>
      <c r="J1337" s="14" t="s">
        <v>201</v>
      </c>
      <c r="K1337" s="14">
        <v>1</v>
      </c>
      <c r="L1337" s="14" t="s">
        <v>1400</v>
      </c>
      <c r="N1337" s="14">
        <v>0</v>
      </c>
      <c r="O1337" s="14" t="b">
        <v>1</v>
      </c>
      <c r="Q1337" s="14" t="b">
        <v>0</v>
      </c>
      <c r="R1337" s="14">
        <v>1</v>
      </c>
      <c r="S1337" s="14" t="s">
        <v>77</v>
      </c>
      <c r="T1337" s="14">
        <v>999</v>
      </c>
      <c r="U1337" s="14" t="s">
        <v>1401</v>
      </c>
      <c r="V1337" s="14">
        <v>31912033</v>
      </c>
      <c r="X1337" s="14" t="s">
        <v>1631</v>
      </c>
      <c r="Y1337" s="14" t="s">
        <v>215</v>
      </c>
      <c r="Z1337" s="14">
        <v>20100</v>
      </c>
      <c r="AA1337" s="14" t="s">
        <v>1632</v>
      </c>
      <c r="AB1337" s="14">
        <v>40001</v>
      </c>
      <c r="AE1337" s="14" t="s">
        <v>1400</v>
      </c>
      <c r="AF1337" s="14" t="s">
        <v>1400</v>
      </c>
      <c r="AG1337" s="14" t="s">
        <v>86</v>
      </c>
    </row>
    <row r="1338" spans="2:33">
      <c r="B1338" s="14">
        <f>10000000+INDEX(编号表!$B:$B,MATCH(H1338,编号表!$A:$A,0))*100000+INDEX(编号表!$F:$F,MATCH(D1338,编号表!$E:$E,0))*10000+INDEX(编号表!$D:$D,MATCH(AG1338,编号表!$C:$C,0))*1000+F1338</f>
        <v>11922034</v>
      </c>
      <c r="C1338" s="14" t="s">
        <v>1630</v>
      </c>
      <c r="D1338" s="14" t="s">
        <v>112</v>
      </c>
      <c r="E1338" s="14" t="s">
        <v>86</v>
      </c>
      <c r="F1338" s="14">
        <v>34</v>
      </c>
      <c r="G1338" s="14">
        <v>60</v>
      </c>
      <c r="H1338" s="14" t="s">
        <v>1400</v>
      </c>
      <c r="I1338" s="14" t="s">
        <v>75</v>
      </c>
      <c r="J1338" s="14" t="s">
        <v>201</v>
      </c>
      <c r="K1338" s="14">
        <v>1</v>
      </c>
      <c r="L1338" s="14" t="s">
        <v>1400</v>
      </c>
      <c r="N1338" s="14">
        <v>0</v>
      </c>
      <c r="O1338" s="14" t="b">
        <v>1</v>
      </c>
      <c r="Q1338" s="14" t="b">
        <v>0</v>
      </c>
      <c r="R1338" s="14">
        <v>1</v>
      </c>
      <c r="S1338" s="14" t="s">
        <v>77</v>
      </c>
      <c r="T1338" s="14">
        <v>999</v>
      </c>
      <c r="U1338" s="14" t="s">
        <v>1401</v>
      </c>
      <c r="V1338" s="14">
        <v>31922034</v>
      </c>
      <c r="X1338" s="14" t="s">
        <v>1633</v>
      </c>
      <c r="Y1338" s="14" t="s">
        <v>215</v>
      </c>
      <c r="Z1338" s="14">
        <v>20101</v>
      </c>
      <c r="AA1338" s="14" t="s">
        <v>1634</v>
      </c>
      <c r="AB1338" s="14">
        <v>40001</v>
      </c>
      <c r="AE1338" s="14" t="s">
        <v>1400</v>
      </c>
      <c r="AF1338" s="14" t="s">
        <v>1400</v>
      </c>
      <c r="AG1338" s="14" t="s">
        <v>86</v>
      </c>
    </row>
    <row r="1339" spans="2:33">
      <c r="B1339" s="14">
        <f>10000000+INDEX(编号表!$B:$B,MATCH(H1339,编号表!$A:$A,0))*100000+INDEX(编号表!$F:$F,MATCH(D1339,编号表!$E:$E,0))*10000+INDEX(编号表!$D:$D,MATCH(AG1339,编号表!$C:$C,0))*1000+F1339</f>
        <v>11932035</v>
      </c>
      <c r="C1339" s="14" t="s">
        <v>1630</v>
      </c>
      <c r="D1339" s="14" t="s">
        <v>276</v>
      </c>
      <c r="E1339" s="14" t="s">
        <v>86</v>
      </c>
      <c r="F1339" s="14">
        <v>35</v>
      </c>
      <c r="G1339" s="14">
        <v>60</v>
      </c>
      <c r="H1339" s="14" t="s">
        <v>1400</v>
      </c>
      <c r="I1339" s="14" t="s">
        <v>75</v>
      </c>
      <c r="J1339" s="14" t="s">
        <v>201</v>
      </c>
      <c r="K1339" s="14">
        <v>1</v>
      </c>
      <c r="L1339" s="14" t="s">
        <v>1400</v>
      </c>
      <c r="N1339" s="14">
        <v>0</v>
      </c>
      <c r="O1339" s="14" t="b">
        <v>1</v>
      </c>
      <c r="Q1339" s="14" t="b">
        <v>0</v>
      </c>
      <c r="R1339" s="14">
        <v>1</v>
      </c>
      <c r="S1339" s="14" t="s">
        <v>77</v>
      </c>
      <c r="T1339" s="14">
        <v>999</v>
      </c>
      <c r="U1339" s="14" t="s">
        <v>1401</v>
      </c>
      <c r="V1339" s="14">
        <v>31932035</v>
      </c>
      <c r="X1339" s="14" t="s">
        <v>1635</v>
      </c>
      <c r="Y1339" s="14" t="s">
        <v>215</v>
      </c>
      <c r="Z1339" s="14">
        <v>20102</v>
      </c>
      <c r="AA1339" s="14" t="s">
        <v>1636</v>
      </c>
      <c r="AB1339" s="14">
        <v>40001</v>
      </c>
      <c r="AE1339" s="14" t="s">
        <v>1400</v>
      </c>
      <c r="AF1339" s="14" t="s">
        <v>1400</v>
      </c>
      <c r="AG1339" s="14" t="s">
        <v>86</v>
      </c>
    </row>
    <row r="1340" spans="2:33">
      <c r="B1340" s="14">
        <f>10000000+INDEX(编号表!$B:$B,MATCH(H1340,编号表!$A:$A,0))*100000+INDEX(编号表!$F:$F,MATCH(D1340,编号表!$E:$E,0))*10000+INDEX(编号表!$D:$D,MATCH(AG1340,编号表!$C:$C,0))*1000+F1340</f>
        <v>11912034</v>
      </c>
      <c r="C1340" s="14" t="s">
        <v>1637</v>
      </c>
      <c r="D1340" s="14" t="s">
        <v>72</v>
      </c>
      <c r="E1340" s="14" t="s">
        <v>86</v>
      </c>
      <c r="F1340" s="14">
        <v>34</v>
      </c>
      <c r="G1340" s="14">
        <v>60</v>
      </c>
      <c r="H1340" s="14" t="s">
        <v>1400</v>
      </c>
      <c r="I1340" s="14" t="s">
        <v>75</v>
      </c>
      <c r="J1340" s="14" t="s">
        <v>201</v>
      </c>
      <c r="K1340" s="14">
        <v>1</v>
      </c>
      <c r="L1340" s="14" t="s">
        <v>1400</v>
      </c>
      <c r="N1340" s="14">
        <v>0</v>
      </c>
      <c r="O1340" s="14" t="b">
        <v>1</v>
      </c>
      <c r="Q1340" s="14" t="b">
        <v>0</v>
      </c>
      <c r="R1340" s="14">
        <v>1</v>
      </c>
      <c r="S1340" s="14" t="s">
        <v>77</v>
      </c>
      <c r="T1340" s="14">
        <v>999</v>
      </c>
      <c r="U1340" s="14" t="s">
        <v>1401</v>
      </c>
      <c r="V1340" s="14">
        <v>31912034</v>
      </c>
      <c r="X1340" s="14" t="s">
        <v>1638</v>
      </c>
      <c r="Y1340" s="14" t="s">
        <v>215</v>
      </c>
      <c r="Z1340" s="14">
        <v>20103</v>
      </c>
      <c r="AA1340" s="14" t="s">
        <v>1639</v>
      </c>
      <c r="AB1340" s="14">
        <v>40001</v>
      </c>
      <c r="AE1340" s="14" t="s">
        <v>1400</v>
      </c>
      <c r="AF1340" s="14" t="s">
        <v>1400</v>
      </c>
      <c r="AG1340" s="14" t="s">
        <v>86</v>
      </c>
    </row>
    <row r="1341" spans="2:33">
      <c r="B1341" s="14">
        <f>10000000+INDEX(编号表!$B:$B,MATCH(H1341,编号表!$A:$A,0))*100000+INDEX(编号表!$F:$F,MATCH(D1341,编号表!$E:$E,0))*10000+INDEX(编号表!$D:$D,MATCH(AG1341,编号表!$C:$C,0))*1000+F1341</f>
        <v>11922035</v>
      </c>
      <c r="C1341" s="14" t="s">
        <v>1637</v>
      </c>
      <c r="D1341" s="14" t="s">
        <v>112</v>
      </c>
      <c r="E1341" s="14" t="s">
        <v>86</v>
      </c>
      <c r="F1341" s="14">
        <v>35</v>
      </c>
      <c r="G1341" s="14">
        <v>60</v>
      </c>
      <c r="H1341" s="14" t="s">
        <v>1400</v>
      </c>
      <c r="I1341" s="14" t="s">
        <v>75</v>
      </c>
      <c r="J1341" s="14" t="s">
        <v>201</v>
      </c>
      <c r="K1341" s="14">
        <v>1</v>
      </c>
      <c r="L1341" s="14" t="s">
        <v>1400</v>
      </c>
      <c r="N1341" s="14">
        <v>0</v>
      </c>
      <c r="O1341" s="14" t="b">
        <v>1</v>
      </c>
      <c r="Q1341" s="14" t="b">
        <v>0</v>
      </c>
      <c r="R1341" s="14">
        <v>1</v>
      </c>
      <c r="S1341" s="14" t="s">
        <v>77</v>
      </c>
      <c r="T1341" s="14">
        <v>999</v>
      </c>
      <c r="U1341" s="14" t="s">
        <v>1401</v>
      </c>
      <c r="V1341" s="14">
        <v>31922035</v>
      </c>
      <c r="X1341" s="14" t="s">
        <v>1640</v>
      </c>
      <c r="Y1341" s="14" t="s">
        <v>215</v>
      </c>
      <c r="Z1341" s="14">
        <v>20104</v>
      </c>
      <c r="AA1341" s="14" t="s">
        <v>1641</v>
      </c>
      <c r="AB1341" s="14">
        <v>40001</v>
      </c>
      <c r="AE1341" s="14" t="s">
        <v>1400</v>
      </c>
      <c r="AF1341" s="14" t="s">
        <v>1400</v>
      </c>
      <c r="AG1341" s="14" t="s">
        <v>86</v>
      </c>
    </row>
    <row r="1342" spans="2:33">
      <c r="B1342" s="14">
        <f>10000000+INDEX(编号表!$B:$B,MATCH(H1342,编号表!$A:$A,0))*100000+INDEX(编号表!$F:$F,MATCH(D1342,编号表!$E:$E,0))*10000+INDEX(编号表!$D:$D,MATCH(AG1342,编号表!$C:$C,0))*1000+F1342</f>
        <v>11932036</v>
      </c>
      <c r="C1342" s="14" t="s">
        <v>1637</v>
      </c>
      <c r="D1342" s="14" t="s">
        <v>276</v>
      </c>
      <c r="E1342" s="14" t="s">
        <v>86</v>
      </c>
      <c r="F1342" s="14">
        <v>36</v>
      </c>
      <c r="G1342" s="14">
        <v>60</v>
      </c>
      <c r="H1342" s="14" t="s">
        <v>1400</v>
      </c>
      <c r="I1342" s="14" t="s">
        <v>75</v>
      </c>
      <c r="J1342" s="14" t="s">
        <v>201</v>
      </c>
      <c r="K1342" s="14">
        <v>1</v>
      </c>
      <c r="L1342" s="14" t="s">
        <v>1400</v>
      </c>
      <c r="N1342" s="14">
        <v>0</v>
      </c>
      <c r="O1342" s="14" t="b">
        <v>1</v>
      </c>
      <c r="Q1342" s="14" t="b">
        <v>0</v>
      </c>
      <c r="R1342" s="14">
        <v>1</v>
      </c>
      <c r="S1342" s="14" t="s">
        <v>77</v>
      </c>
      <c r="T1342" s="14">
        <v>999</v>
      </c>
      <c r="U1342" s="14" t="s">
        <v>1401</v>
      </c>
      <c r="V1342" s="14">
        <v>31932036</v>
      </c>
      <c r="X1342" s="14" t="s">
        <v>1642</v>
      </c>
      <c r="Y1342" s="14" t="s">
        <v>215</v>
      </c>
      <c r="Z1342" s="14">
        <v>20105</v>
      </c>
      <c r="AA1342" s="14" t="s">
        <v>1643</v>
      </c>
      <c r="AB1342" s="14">
        <v>40001</v>
      </c>
      <c r="AE1342" s="14" t="s">
        <v>1400</v>
      </c>
      <c r="AF1342" s="14" t="s">
        <v>1400</v>
      </c>
      <c r="AG1342" s="14" t="s">
        <v>86</v>
      </c>
    </row>
    <row r="1343" spans="2:33">
      <c r="B1343" s="14">
        <f>10000000+INDEX(编号表!$B:$B,MATCH(H1343,编号表!$A:$A,0))*100000+INDEX(编号表!$F:$F,MATCH(D1343,编号表!$E:$E,0))*10000+INDEX(编号表!$D:$D,MATCH(AG1343,编号表!$C:$C,0))*1000+F1343</f>
        <v>11912035</v>
      </c>
      <c r="C1343" s="14" t="s">
        <v>1644</v>
      </c>
      <c r="D1343" s="14" t="s">
        <v>72</v>
      </c>
      <c r="E1343" s="14" t="s">
        <v>86</v>
      </c>
      <c r="F1343" s="14">
        <v>35</v>
      </c>
      <c r="G1343" s="14">
        <v>60</v>
      </c>
      <c r="H1343" s="14" t="s">
        <v>1400</v>
      </c>
      <c r="I1343" s="14" t="s">
        <v>75</v>
      </c>
      <c r="J1343" s="14" t="s">
        <v>201</v>
      </c>
      <c r="K1343" s="14">
        <v>1</v>
      </c>
      <c r="L1343" s="14" t="s">
        <v>1400</v>
      </c>
      <c r="N1343" s="14">
        <v>0</v>
      </c>
      <c r="O1343" s="14" t="b">
        <v>1</v>
      </c>
      <c r="Q1343" s="14" t="b">
        <v>0</v>
      </c>
      <c r="R1343" s="14">
        <v>1</v>
      </c>
      <c r="S1343" s="14" t="s">
        <v>77</v>
      </c>
      <c r="T1343" s="14">
        <v>999</v>
      </c>
      <c r="U1343" s="14" t="s">
        <v>1401</v>
      </c>
      <c r="V1343" s="14">
        <v>31912035</v>
      </c>
      <c r="X1343" s="14" t="s">
        <v>1645</v>
      </c>
      <c r="Y1343" s="14" t="s">
        <v>215</v>
      </c>
      <c r="Z1343" s="14">
        <v>20106</v>
      </c>
      <c r="AA1343" s="14" t="s">
        <v>1646</v>
      </c>
      <c r="AB1343" s="14">
        <v>40001</v>
      </c>
      <c r="AE1343" s="14" t="s">
        <v>1400</v>
      </c>
      <c r="AF1343" s="14" t="s">
        <v>1400</v>
      </c>
      <c r="AG1343" s="14" t="s">
        <v>86</v>
      </c>
    </row>
    <row r="1344" spans="2:33">
      <c r="B1344" s="14">
        <f>10000000+INDEX(编号表!$B:$B,MATCH(H1344,编号表!$A:$A,0))*100000+INDEX(编号表!$F:$F,MATCH(D1344,编号表!$E:$E,0))*10000+INDEX(编号表!$D:$D,MATCH(AG1344,编号表!$C:$C,0))*1000+F1344</f>
        <v>11922036</v>
      </c>
      <c r="C1344" s="14" t="s">
        <v>1644</v>
      </c>
      <c r="D1344" s="14" t="s">
        <v>112</v>
      </c>
      <c r="E1344" s="14" t="s">
        <v>86</v>
      </c>
      <c r="F1344" s="14">
        <v>36</v>
      </c>
      <c r="G1344" s="14">
        <v>60</v>
      </c>
      <c r="H1344" s="14" t="s">
        <v>1400</v>
      </c>
      <c r="I1344" s="14" t="s">
        <v>75</v>
      </c>
      <c r="J1344" s="14" t="s">
        <v>201</v>
      </c>
      <c r="K1344" s="14">
        <v>1</v>
      </c>
      <c r="L1344" s="14" t="s">
        <v>1400</v>
      </c>
      <c r="N1344" s="14">
        <v>0</v>
      </c>
      <c r="O1344" s="14" t="b">
        <v>1</v>
      </c>
      <c r="Q1344" s="14" t="b">
        <v>0</v>
      </c>
      <c r="R1344" s="14">
        <v>1</v>
      </c>
      <c r="S1344" s="14" t="s">
        <v>77</v>
      </c>
      <c r="T1344" s="14">
        <v>999</v>
      </c>
      <c r="U1344" s="14" t="s">
        <v>1401</v>
      </c>
      <c r="V1344" s="14">
        <v>31922036</v>
      </c>
      <c r="X1344" s="14" t="s">
        <v>1647</v>
      </c>
      <c r="Y1344" s="14" t="s">
        <v>215</v>
      </c>
      <c r="Z1344" s="14">
        <v>20107</v>
      </c>
      <c r="AA1344" s="14" t="s">
        <v>1648</v>
      </c>
      <c r="AB1344" s="14">
        <v>40001</v>
      </c>
      <c r="AE1344" s="14" t="s">
        <v>1400</v>
      </c>
      <c r="AF1344" s="14" t="s">
        <v>1400</v>
      </c>
      <c r="AG1344" s="14" t="s">
        <v>86</v>
      </c>
    </row>
    <row r="1345" spans="2:33">
      <c r="B1345" s="14">
        <f>10000000+INDEX(编号表!$B:$B,MATCH(H1345,编号表!$A:$A,0))*100000+INDEX(编号表!$F:$F,MATCH(D1345,编号表!$E:$E,0))*10000+INDEX(编号表!$D:$D,MATCH(AG1345,编号表!$C:$C,0))*1000+F1345</f>
        <v>11932037</v>
      </c>
      <c r="C1345" s="14" t="s">
        <v>1644</v>
      </c>
      <c r="D1345" s="14" t="s">
        <v>276</v>
      </c>
      <c r="E1345" s="14" t="s">
        <v>86</v>
      </c>
      <c r="F1345" s="14">
        <v>37</v>
      </c>
      <c r="G1345" s="14">
        <v>60</v>
      </c>
      <c r="H1345" s="14" t="s">
        <v>1400</v>
      </c>
      <c r="I1345" s="14" t="s">
        <v>75</v>
      </c>
      <c r="J1345" s="14" t="s">
        <v>201</v>
      </c>
      <c r="K1345" s="14">
        <v>1</v>
      </c>
      <c r="L1345" s="14" t="s">
        <v>1400</v>
      </c>
      <c r="N1345" s="14">
        <v>0</v>
      </c>
      <c r="O1345" s="14" t="b">
        <v>1</v>
      </c>
      <c r="Q1345" s="14" t="b">
        <v>0</v>
      </c>
      <c r="R1345" s="14">
        <v>1</v>
      </c>
      <c r="S1345" s="14" t="s">
        <v>77</v>
      </c>
      <c r="T1345" s="14">
        <v>999</v>
      </c>
      <c r="U1345" s="14" t="s">
        <v>1401</v>
      </c>
      <c r="V1345" s="14">
        <v>31932037</v>
      </c>
      <c r="X1345" s="14" t="s">
        <v>1649</v>
      </c>
      <c r="Y1345" s="14" t="s">
        <v>215</v>
      </c>
      <c r="Z1345" s="14">
        <v>20108</v>
      </c>
      <c r="AA1345" s="14" t="s">
        <v>1650</v>
      </c>
      <c r="AB1345" s="14">
        <v>40001</v>
      </c>
      <c r="AE1345" s="14" t="s">
        <v>1400</v>
      </c>
      <c r="AF1345" s="14" t="s">
        <v>1400</v>
      </c>
      <c r="AG1345" s="14" t="s">
        <v>86</v>
      </c>
    </row>
    <row r="1346" spans="2:33">
      <c r="B1346" s="14">
        <f>10000000+INDEX(编号表!$B:$B,MATCH(H1346,编号表!$A:$A,0))*100000+INDEX(编号表!$F:$F,MATCH(D1346,编号表!$E:$E,0))*10000+INDEX(编号表!$D:$D,MATCH(AG1346,编号表!$C:$C,0))*1000+F1346</f>
        <v>11912036</v>
      </c>
      <c r="C1346" s="14" t="s">
        <v>1651</v>
      </c>
      <c r="D1346" s="14" t="s">
        <v>72</v>
      </c>
      <c r="E1346" s="14" t="s">
        <v>86</v>
      </c>
      <c r="F1346" s="14">
        <v>36</v>
      </c>
      <c r="G1346" s="14">
        <v>60</v>
      </c>
      <c r="H1346" s="14" t="s">
        <v>1400</v>
      </c>
      <c r="I1346" s="14" t="s">
        <v>75</v>
      </c>
      <c r="J1346" s="14" t="s">
        <v>201</v>
      </c>
      <c r="K1346" s="14">
        <v>1</v>
      </c>
      <c r="L1346" s="14" t="s">
        <v>1400</v>
      </c>
      <c r="N1346" s="14">
        <v>0</v>
      </c>
      <c r="O1346" s="14" t="b">
        <v>1</v>
      </c>
      <c r="Q1346" s="14" t="b">
        <v>0</v>
      </c>
      <c r="R1346" s="14">
        <v>1</v>
      </c>
      <c r="S1346" s="14" t="s">
        <v>77</v>
      </c>
      <c r="T1346" s="14">
        <v>999</v>
      </c>
      <c r="U1346" s="14" t="s">
        <v>1401</v>
      </c>
      <c r="V1346" s="14">
        <v>31912036</v>
      </c>
      <c r="X1346" s="14" t="s">
        <v>1652</v>
      </c>
      <c r="Y1346" s="14" t="s">
        <v>215</v>
      </c>
      <c r="Z1346" s="14">
        <v>20109</v>
      </c>
      <c r="AA1346" s="14" t="s">
        <v>1653</v>
      </c>
      <c r="AB1346" s="14">
        <v>40001</v>
      </c>
      <c r="AE1346" s="14" t="s">
        <v>1400</v>
      </c>
      <c r="AF1346" s="14" t="s">
        <v>1400</v>
      </c>
      <c r="AG1346" s="14" t="s">
        <v>86</v>
      </c>
    </row>
    <row r="1347" spans="2:33">
      <c r="B1347" s="14">
        <f>10000000+INDEX(编号表!$B:$B,MATCH(H1347,编号表!$A:$A,0))*100000+INDEX(编号表!$F:$F,MATCH(D1347,编号表!$E:$E,0))*10000+INDEX(编号表!$D:$D,MATCH(AG1347,编号表!$C:$C,0))*1000+F1347</f>
        <v>11922037</v>
      </c>
      <c r="C1347" s="14" t="s">
        <v>1651</v>
      </c>
      <c r="D1347" s="14" t="s">
        <v>112</v>
      </c>
      <c r="E1347" s="14" t="s">
        <v>86</v>
      </c>
      <c r="F1347" s="14">
        <v>37</v>
      </c>
      <c r="G1347" s="14">
        <v>60</v>
      </c>
      <c r="H1347" s="14" t="s">
        <v>1400</v>
      </c>
      <c r="I1347" s="14" t="s">
        <v>75</v>
      </c>
      <c r="J1347" s="14" t="s">
        <v>201</v>
      </c>
      <c r="K1347" s="14">
        <v>1</v>
      </c>
      <c r="L1347" s="14" t="s">
        <v>1400</v>
      </c>
      <c r="N1347" s="14">
        <v>0</v>
      </c>
      <c r="O1347" s="14" t="b">
        <v>1</v>
      </c>
      <c r="Q1347" s="14" t="b">
        <v>0</v>
      </c>
      <c r="R1347" s="14">
        <v>1</v>
      </c>
      <c r="S1347" s="14" t="s">
        <v>77</v>
      </c>
      <c r="T1347" s="14">
        <v>999</v>
      </c>
      <c r="U1347" s="14" t="s">
        <v>1401</v>
      </c>
      <c r="V1347" s="14">
        <v>31922037</v>
      </c>
      <c r="X1347" s="14" t="s">
        <v>1654</v>
      </c>
      <c r="Y1347" s="14" t="s">
        <v>215</v>
      </c>
      <c r="Z1347" s="14">
        <v>20110</v>
      </c>
      <c r="AA1347" s="14" t="s">
        <v>1655</v>
      </c>
      <c r="AB1347" s="14">
        <v>40001</v>
      </c>
      <c r="AE1347" s="14" t="s">
        <v>1400</v>
      </c>
      <c r="AF1347" s="14" t="s">
        <v>1400</v>
      </c>
      <c r="AG1347" s="14" t="s">
        <v>86</v>
      </c>
    </row>
    <row r="1348" spans="2:33">
      <c r="B1348" s="14">
        <f>10000000+INDEX(编号表!$B:$B,MATCH(H1348,编号表!$A:$A,0))*100000+INDEX(编号表!$F:$F,MATCH(D1348,编号表!$E:$E,0))*10000+INDEX(编号表!$D:$D,MATCH(AG1348,编号表!$C:$C,0))*1000+F1348</f>
        <v>11932038</v>
      </c>
      <c r="C1348" s="14" t="s">
        <v>1651</v>
      </c>
      <c r="D1348" s="14" t="s">
        <v>276</v>
      </c>
      <c r="E1348" s="14" t="s">
        <v>86</v>
      </c>
      <c r="F1348" s="14">
        <v>38</v>
      </c>
      <c r="G1348" s="14">
        <v>60</v>
      </c>
      <c r="H1348" s="14" t="s">
        <v>1400</v>
      </c>
      <c r="I1348" s="14" t="s">
        <v>75</v>
      </c>
      <c r="J1348" s="14" t="s">
        <v>201</v>
      </c>
      <c r="K1348" s="14">
        <v>1</v>
      </c>
      <c r="L1348" s="14" t="s">
        <v>1400</v>
      </c>
      <c r="N1348" s="14">
        <v>0</v>
      </c>
      <c r="O1348" s="14" t="b">
        <v>1</v>
      </c>
      <c r="Q1348" s="14" t="b">
        <v>0</v>
      </c>
      <c r="R1348" s="14">
        <v>1</v>
      </c>
      <c r="S1348" s="14" t="s">
        <v>77</v>
      </c>
      <c r="T1348" s="14">
        <v>999</v>
      </c>
      <c r="U1348" s="14" t="s">
        <v>1401</v>
      </c>
      <c r="V1348" s="14">
        <v>31932038</v>
      </c>
      <c r="X1348" s="14" t="s">
        <v>1656</v>
      </c>
      <c r="Y1348" s="14" t="s">
        <v>215</v>
      </c>
      <c r="Z1348" s="14">
        <v>20111</v>
      </c>
      <c r="AA1348" s="14" t="s">
        <v>1657</v>
      </c>
      <c r="AB1348" s="14">
        <v>40001</v>
      </c>
      <c r="AE1348" s="14" t="s">
        <v>1400</v>
      </c>
      <c r="AF1348" s="14" t="s">
        <v>1400</v>
      </c>
      <c r="AG1348" s="14" t="s">
        <v>86</v>
      </c>
    </row>
    <row r="1349" spans="2:33">
      <c r="B1349" s="14">
        <f>10000000+INDEX(编号表!$B:$B,MATCH(H1349,编号表!$A:$A,0))*100000+INDEX(编号表!$F:$F,MATCH(D1349,编号表!$E:$E,0))*10000+INDEX(编号表!$D:$D,MATCH(AG1349,编号表!$C:$C,0))*1000+F1349</f>
        <v>11912037</v>
      </c>
      <c r="C1349" s="14" t="s">
        <v>1658</v>
      </c>
      <c r="D1349" s="14" t="s">
        <v>72</v>
      </c>
      <c r="E1349" s="14" t="s">
        <v>86</v>
      </c>
      <c r="F1349" s="14">
        <v>37</v>
      </c>
      <c r="G1349" s="14">
        <v>60</v>
      </c>
      <c r="H1349" s="14" t="s">
        <v>1400</v>
      </c>
      <c r="I1349" s="14" t="s">
        <v>75</v>
      </c>
      <c r="J1349" s="14" t="s">
        <v>201</v>
      </c>
      <c r="K1349" s="14">
        <v>1</v>
      </c>
      <c r="L1349" s="14" t="s">
        <v>1400</v>
      </c>
      <c r="N1349" s="14">
        <v>0</v>
      </c>
      <c r="O1349" s="14" t="b">
        <v>1</v>
      </c>
      <c r="Q1349" s="14" t="b">
        <v>0</v>
      </c>
      <c r="R1349" s="14">
        <v>1</v>
      </c>
      <c r="S1349" s="14" t="s">
        <v>77</v>
      </c>
      <c r="T1349" s="14">
        <v>999</v>
      </c>
      <c r="U1349" s="14" t="s">
        <v>1401</v>
      </c>
      <c r="V1349" s="14">
        <v>31912037</v>
      </c>
      <c r="X1349" s="14" t="s">
        <v>1659</v>
      </c>
      <c r="Y1349" s="14" t="s">
        <v>215</v>
      </c>
      <c r="Z1349" s="14">
        <v>20112</v>
      </c>
      <c r="AA1349" s="14" t="s">
        <v>1660</v>
      </c>
      <c r="AB1349" s="14">
        <v>40001</v>
      </c>
      <c r="AE1349" s="14" t="s">
        <v>1400</v>
      </c>
      <c r="AF1349" s="14" t="s">
        <v>1400</v>
      </c>
      <c r="AG1349" s="14" t="s">
        <v>86</v>
      </c>
    </row>
    <row r="1350" spans="2:33">
      <c r="B1350" s="14">
        <f>10000000+INDEX(编号表!$B:$B,MATCH(H1350,编号表!$A:$A,0))*100000+INDEX(编号表!$F:$F,MATCH(D1350,编号表!$E:$E,0))*10000+INDEX(编号表!$D:$D,MATCH(AG1350,编号表!$C:$C,0))*1000+F1350</f>
        <v>11922038</v>
      </c>
      <c r="C1350" s="14" t="s">
        <v>1658</v>
      </c>
      <c r="D1350" s="14" t="s">
        <v>112</v>
      </c>
      <c r="E1350" s="14" t="s">
        <v>86</v>
      </c>
      <c r="F1350" s="14">
        <v>38</v>
      </c>
      <c r="G1350" s="14">
        <v>60</v>
      </c>
      <c r="H1350" s="14" t="s">
        <v>1400</v>
      </c>
      <c r="I1350" s="14" t="s">
        <v>75</v>
      </c>
      <c r="J1350" s="14" t="s">
        <v>201</v>
      </c>
      <c r="K1350" s="14">
        <v>1</v>
      </c>
      <c r="L1350" s="14" t="s">
        <v>1400</v>
      </c>
      <c r="N1350" s="14">
        <v>0</v>
      </c>
      <c r="O1350" s="14" t="b">
        <v>1</v>
      </c>
      <c r="Q1350" s="14" t="b">
        <v>0</v>
      </c>
      <c r="R1350" s="14">
        <v>1</v>
      </c>
      <c r="S1350" s="14" t="s">
        <v>77</v>
      </c>
      <c r="T1350" s="14">
        <v>999</v>
      </c>
      <c r="U1350" s="14" t="s">
        <v>1401</v>
      </c>
      <c r="V1350" s="14">
        <v>31922038</v>
      </c>
      <c r="X1350" s="14" t="s">
        <v>1661</v>
      </c>
      <c r="Y1350" s="14" t="s">
        <v>215</v>
      </c>
      <c r="Z1350" s="14">
        <v>20113</v>
      </c>
      <c r="AA1350" s="14" t="s">
        <v>1662</v>
      </c>
      <c r="AB1350" s="14">
        <v>40001</v>
      </c>
      <c r="AE1350" s="14" t="s">
        <v>1400</v>
      </c>
      <c r="AF1350" s="14" t="s">
        <v>1400</v>
      </c>
      <c r="AG1350" s="14" t="s">
        <v>86</v>
      </c>
    </row>
    <row r="1351" spans="2:33">
      <c r="B1351" s="14">
        <f>10000000+INDEX(编号表!$B:$B,MATCH(H1351,编号表!$A:$A,0))*100000+INDEX(编号表!$F:$F,MATCH(D1351,编号表!$E:$E,0))*10000+INDEX(编号表!$D:$D,MATCH(AG1351,编号表!$C:$C,0))*1000+F1351</f>
        <v>11932039</v>
      </c>
      <c r="C1351" s="14" t="s">
        <v>1658</v>
      </c>
      <c r="D1351" s="14" t="s">
        <v>276</v>
      </c>
      <c r="E1351" s="14" t="s">
        <v>86</v>
      </c>
      <c r="F1351" s="14">
        <v>39</v>
      </c>
      <c r="G1351" s="14">
        <v>60</v>
      </c>
      <c r="H1351" s="14" t="s">
        <v>1400</v>
      </c>
      <c r="I1351" s="14" t="s">
        <v>75</v>
      </c>
      <c r="J1351" s="14" t="s">
        <v>201</v>
      </c>
      <c r="K1351" s="14">
        <v>1</v>
      </c>
      <c r="L1351" s="14" t="s">
        <v>1400</v>
      </c>
      <c r="N1351" s="14">
        <v>0</v>
      </c>
      <c r="O1351" s="14" t="b">
        <v>1</v>
      </c>
      <c r="Q1351" s="14" t="b">
        <v>0</v>
      </c>
      <c r="R1351" s="14">
        <v>1</v>
      </c>
      <c r="S1351" s="14" t="s">
        <v>77</v>
      </c>
      <c r="T1351" s="14">
        <v>999</v>
      </c>
      <c r="U1351" s="14" t="s">
        <v>1401</v>
      </c>
      <c r="V1351" s="14">
        <v>31932039</v>
      </c>
      <c r="X1351" s="14" t="s">
        <v>1663</v>
      </c>
      <c r="Y1351" s="14" t="s">
        <v>215</v>
      </c>
      <c r="Z1351" s="14">
        <v>20114</v>
      </c>
      <c r="AA1351" s="14" t="s">
        <v>1664</v>
      </c>
      <c r="AB1351" s="14">
        <v>40001</v>
      </c>
      <c r="AE1351" s="14" t="s">
        <v>1400</v>
      </c>
      <c r="AF1351" s="14" t="s">
        <v>1400</v>
      </c>
      <c r="AG1351" s="14" t="s">
        <v>86</v>
      </c>
    </row>
    <row r="1352" spans="2:33">
      <c r="B1352" s="14">
        <f>10000000+INDEX(编号表!$B:$B,MATCH(H1352,编号表!$A:$A,0))*100000+INDEX(编号表!$F:$F,MATCH(D1352,编号表!$E:$E,0))*10000+INDEX(编号表!$D:$D,MATCH(AG1352,编号表!$C:$C,0))*1000+F1352</f>
        <v>11912038</v>
      </c>
      <c r="C1352" s="14" t="s">
        <v>1665</v>
      </c>
      <c r="D1352" s="14" t="s">
        <v>72</v>
      </c>
      <c r="E1352" s="14" t="s">
        <v>86</v>
      </c>
      <c r="F1352" s="14">
        <v>38</v>
      </c>
      <c r="G1352" s="14">
        <v>60</v>
      </c>
      <c r="H1352" s="14" t="s">
        <v>1400</v>
      </c>
      <c r="I1352" s="14" t="s">
        <v>75</v>
      </c>
      <c r="J1352" s="14" t="s">
        <v>201</v>
      </c>
      <c r="K1352" s="14">
        <v>1</v>
      </c>
      <c r="L1352" s="14" t="s">
        <v>1400</v>
      </c>
      <c r="N1352" s="14">
        <v>0</v>
      </c>
      <c r="O1352" s="14" t="b">
        <v>1</v>
      </c>
      <c r="Q1352" s="14" t="b">
        <v>0</v>
      </c>
      <c r="R1352" s="14">
        <v>1</v>
      </c>
      <c r="S1352" s="14" t="s">
        <v>77</v>
      </c>
      <c r="T1352" s="14">
        <v>999</v>
      </c>
      <c r="U1352" s="14" t="s">
        <v>1401</v>
      </c>
      <c r="V1352" s="14">
        <v>31912038</v>
      </c>
      <c r="X1352" s="14" t="s">
        <v>1666</v>
      </c>
      <c r="Y1352" s="14" t="s">
        <v>215</v>
      </c>
      <c r="Z1352" s="14">
        <v>20115</v>
      </c>
      <c r="AA1352" s="14" t="s">
        <v>1667</v>
      </c>
      <c r="AB1352" s="14">
        <v>40001</v>
      </c>
      <c r="AE1352" s="14" t="s">
        <v>1400</v>
      </c>
      <c r="AF1352" s="14" t="s">
        <v>1400</v>
      </c>
      <c r="AG1352" s="14" t="s">
        <v>86</v>
      </c>
    </row>
    <row r="1353" spans="2:33">
      <c r="B1353" s="14">
        <f>10000000+INDEX(编号表!$B:$B,MATCH(H1353,编号表!$A:$A,0))*100000+INDEX(编号表!$F:$F,MATCH(D1353,编号表!$E:$E,0))*10000+INDEX(编号表!$D:$D,MATCH(AG1353,编号表!$C:$C,0))*1000+F1353</f>
        <v>11922039</v>
      </c>
      <c r="C1353" s="14" t="s">
        <v>1665</v>
      </c>
      <c r="D1353" s="14" t="s">
        <v>112</v>
      </c>
      <c r="E1353" s="14" t="s">
        <v>86</v>
      </c>
      <c r="F1353" s="14">
        <v>39</v>
      </c>
      <c r="G1353" s="14">
        <v>60</v>
      </c>
      <c r="H1353" s="14" t="s">
        <v>1400</v>
      </c>
      <c r="I1353" s="14" t="s">
        <v>75</v>
      </c>
      <c r="J1353" s="14" t="s">
        <v>201</v>
      </c>
      <c r="K1353" s="14">
        <v>1</v>
      </c>
      <c r="L1353" s="14" t="s">
        <v>1400</v>
      </c>
      <c r="N1353" s="14">
        <v>0</v>
      </c>
      <c r="O1353" s="14" t="b">
        <v>1</v>
      </c>
      <c r="Q1353" s="14" t="b">
        <v>0</v>
      </c>
      <c r="R1353" s="14">
        <v>1</v>
      </c>
      <c r="S1353" s="14" t="s">
        <v>77</v>
      </c>
      <c r="T1353" s="14">
        <v>999</v>
      </c>
      <c r="U1353" s="14" t="s">
        <v>1401</v>
      </c>
      <c r="V1353" s="14">
        <v>31922039</v>
      </c>
      <c r="X1353" s="14" t="s">
        <v>1668</v>
      </c>
      <c r="Y1353" s="14" t="s">
        <v>215</v>
      </c>
      <c r="Z1353" s="14">
        <v>20116</v>
      </c>
      <c r="AA1353" s="14" t="s">
        <v>1669</v>
      </c>
      <c r="AB1353" s="14">
        <v>40001</v>
      </c>
      <c r="AE1353" s="14" t="s">
        <v>1400</v>
      </c>
      <c r="AF1353" s="14" t="s">
        <v>1400</v>
      </c>
      <c r="AG1353" s="14" t="s">
        <v>86</v>
      </c>
    </row>
    <row r="1354" spans="2:33">
      <c r="B1354" s="14">
        <f>10000000+INDEX(编号表!$B:$B,MATCH(H1354,编号表!$A:$A,0))*100000+INDEX(编号表!$F:$F,MATCH(D1354,编号表!$E:$E,0))*10000+INDEX(编号表!$D:$D,MATCH(AG1354,编号表!$C:$C,0))*1000+F1354</f>
        <v>11932040</v>
      </c>
      <c r="C1354" s="14" t="s">
        <v>1665</v>
      </c>
      <c r="D1354" s="14" t="s">
        <v>276</v>
      </c>
      <c r="E1354" s="14" t="s">
        <v>86</v>
      </c>
      <c r="F1354" s="14">
        <v>40</v>
      </c>
      <c r="G1354" s="14">
        <v>60</v>
      </c>
      <c r="H1354" s="14" t="s">
        <v>1400</v>
      </c>
      <c r="I1354" s="14" t="s">
        <v>75</v>
      </c>
      <c r="J1354" s="14" t="s">
        <v>201</v>
      </c>
      <c r="K1354" s="14">
        <v>1</v>
      </c>
      <c r="L1354" s="14" t="s">
        <v>1400</v>
      </c>
      <c r="N1354" s="14">
        <v>0</v>
      </c>
      <c r="O1354" s="14" t="b">
        <v>1</v>
      </c>
      <c r="Q1354" s="14" t="b">
        <v>0</v>
      </c>
      <c r="R1354" s="14">
        <v>1</v>
      </c>
      <c r="S1354" s="14" t="s">
        <v>77</v>
      </c>
      <c r="T1354" s="14">
        <v>999</v>
      </c>
      <c r="U1354" s="14" t="s">
        <v>1401</v>
      </c>
      <c r="V1354" s="14">
        <v>31932040</v>
      </c>
      <c r="X1354" s="14" t="s">
        <v>1670</v>
      </c>
      <c r="Y1354" s="14" t="s">
        <v>215</v>
      </c>
      <c r="Z1354" s="14">
        <v>20117</v>
      </c>
      <c r="AA1354" s="14" t="s">
        <v>1671</v>
      </c>
      <c r="AB1354" s="14">
        <v>40001</v>
      </c>
      <c r="AE1354" s="14" t="s">
        <v>1400</v>
      </c>
      <c r="AF1354" s="14" t="s">
        <v>1400</v>
      </c>
      <c r="AG1354" s="14" t="s">
        <v>86</v>
      </c>
    </row>
    <row r="1355" spans="2:33">
      <c r="B1355" s="14">
        <f>10000000+INDEX(编号表!$B:$B,MATCH(H1355,编号表!$A:$A,0))*100000+INDEX(编号表!$F:$F,MATCH(D1355,编号表!$E:$E,0))*10000+INDEX(编号表!$D:$D,MATCH(AG1355,编号表!$C:$C,0))*1000+F1355</f>
        <v>11912039</v>
      </c>
      <c r="C1355" s="14" t="s">
        <v>1672</v>
      </c>
      <c r="D1355" s="14" t="s">
        <v>72</v>
      </c>
      <c r="E1355" s="14" t="s">
        <v>86</v>
      </c>
      <c r="F1355" s="14">
        <v>39</v>
      </c>
      <c r="G1355" s="14">
        <v>60</v>
      </c>
      <c r="H1355" s="14" t="s">
        <v>1400</v>
      </c>
      <c r="I1355" s="14" t="s">
        <v>75</v>
      </c>
      <c r="J1355" s="14" t="s">
        <v>201</v>
      </c>
      <c r="K1355" s="14">
        <v>1</v>
      </c>
      <c r="L1355" s="14" t="s">
        <v>1400</v>
      </c>
      <c r="N1355" s="14">
        <v>0</v>
      </c>
      <c r="O1355" s="14" t="b">
        <v>1</v>
      </c>
      <c r="Q1355" s="14" t="b">
        <v>0</v>
      </c>
      <c r="R1355" s="14">
        <v>1</v>
      </c>
      <c r="S1355" s="14" t="s">
        <v>77</v>
      </c>
      <c r="T1355" s="14">
        <v>999</v>
      </c>
      <c r="U1355" s="14" t="s">
        <v>1401</v>
      </c>
      <c r="V1355" s="14">
        <v>31912039</v>
      </c>
      <c r="X1355" s="14" t="s">
        <v>1673</v>
      </c>
      <c r="Y1355" s="14" t="s">
        <v>215</v>
      </c>
      <c r="Z1355" s="14">
        <v>20118</v>
      </c>
      <c r="AA1355" s="14" t="s">
        <v>1674</v>
      </c>
      <c r="AB1355" s="14">
        <v>40001</v>
      </c>
      <c r="AE1355" s="14" t="s">
        <v>1400</v>
      </c>
      <c r="AF1355" s="14" t="s">
        <v>1400</v>
      </c>
      <c r="AG1355" s="14" t="s">
        <v>86</v>
      </c>
    </row>
    <row r="1356" spans="2:33">
      <c r="B1356" s="14">
        <f>10000000+INDEX(编号表!$B:$B,MATCH(H1356,编号表!$A:$A,0))*100000+INDEX(编号表!$F:$F,MATCH(D1356,编号表!$E:$E,0))*10000+INDEX(编号表!$D:$D,MATCH(AG1356,编号表!$C:$C,0))*1000+F1356</f>
        <v>11922040</v>
      </c>
      <c r="C1356" s="14" t="s">
        <v>1672</v>
      </c>
      <c r="D1356" s="14" t="s">
        <v>112</v>
      </c>
      <c r="E1356" s="14" t="s">
        <v>86</v>
      </c>
      <c r="F1356" s="14">
        <v>40</v>
      </c>
      <c r="G1356" s="14">
        <v>60</v>
      </c>
      <c r="H1356" s="14" t="s">
        <v>1400</v>
      </c>
      <c r="I1356" s="14" t="s">
        <v>75</v>
      </c>
      <c r="J1356" s="14" t="s">
        <v>201</v>
      </c>
      <c r="K1356" s="14">
        <v>1</v>
      </c>
      <c r="L1356" s="14" t="s">
        <v>1400</v>
      </c>
      <c r="N1356" s="14">
        <v>0</v>
      </c>
      <c r="O1356" s="14" t="b">
        <v>1</v>
      </c>
      <c r="Q1356" s="14" t="b">
        <v>0</v>
      </c>
      <c r="R1356" s="14">
        <v>1</v>
      </c>
      <c r="S1356" s="14" t="s">
        <v>77</v>
      </c>
      <c r="T1356" s="14">
        <v>999</v>
      </c>
      <c r="U1356" s="14" t="s">
        <v>1401</v>
      </c>
      <c r="V1356" s="14">
        <v>31922040</v>
      </c>
      <c r="X1356" s="14" t="s">
        <v>1675</v>
      </c>
      <c r="Y1356" s="14" t="s">
        <v>215</v>
      </c>
      <c r="Z1356" s="14">
        <v>20119</v>
      </c>
      <c r="AA1356" s="14" t="s">
        <v>1676</v>
      </c>
      <c r="AB1356" s="14">
        <v>40001</v>
      </c>
      <c r="AE1356" s="14" t="s">
        <v>1400</v>
      </c>
      <c r="AF1356" s="14" t="s">
        <v>1400</v>
      </c>
      <c r="AG1356" s="14" t="s">
        <v>86</v>
      </c>
    </row>
    <row r="1357" spans="2:33">
      <c r="B1357" s="14">
        <f>10000000+INDEX(编号表!$B:$B,MATCH(H1357,编号表!$A:$A,0))*100000+INDEX(编号表!$F:$F,MATCH(D1357,编号表!$E:$E,0))*10000+INDEX(编号表!$D:$D,MATCH(AG1357,编号表!$C:$C,0))*1000+F1357</f>
        <v>11932041</v>
      </c>
      <c r="C1357" s="14" t="s">
        <v>1672</v>
      </c>
      <c r="D1357" s="14" t="s">
        <v>276</v>
      </c>
      <c r="E1357" s="14" t="s">
        <v>86</v>
      </c>
      <c r="F1357" s="14">
        <v>41</v>
      </c>
      <c r="G1357" s="14">
        <v>60</v>
      </c>
      <c r="H1357" s="14" t="s">
        <v>1400</v>
      </c>
      <c r="I1357" s="14" t="s">
        <v>75</v>
      </c>
      <c r="J1357" s="14" t="s">
        <v>201</v>
      </c>
      <c r="K1357" s="14">
        <v>1</v>
      </c>
      <c r="L1357" s="14" t="s">
        <v>1400</v>
      </c>
      <c r="N1357" s="14">
        <v>0</v>
      </c>
      <c r="O1357" s="14" t="b">
        <v>1</v>
      </c>
      <c r="Q1357" s="14" t="b">
        <v>0</v>
      </c>
      <c r="R1357" s="14">
        <v>1</v>
      </c>
      <c r="S1357" s="14" t="s">
        <v>77</v>
      </c>
      <c r="T1357" s="14">
        <v>999</v>
      </c>
      <c r="U1357" s="14" t="s">
        <v>1401</v>
      </c>
      <c r="V1357" s="14">
        <v>31932041</v>
      </c>
      <c r="X1357" s="14" t="s">
        <v>1677</v>
      </c>
      <c r="Y1357" s="14" t="s">
        <v>215</v>
      </c>
      <c r="Z1357" s="14">
        <v>20120</v>
      </c>
      <c r="AA1357" s="14" t="s">
        <v>1678</v>
      </c>
      <c r="AB1357" s="14">
        <v>40001</v>
      </c>
      <c r="AE1357" s="14" t="s">
        <v>1400</v>
      </c>
      <c r="AF1357" s="14" t="s">
        <v>1400</v>
      </c>
      <c r="AG1357" s="14" t="s">
        <v>86</v>
      </c>
    </row>
    <row r="1358" spans="2:33">
      <c r="B1358" s="14">
        <f>10000000+INDEX(编号表!$B:$B,MATCH(H1358,编号表!$A:$A,0))*100000+INDEX(编号表!$F:$F,MATCH(D1358,编号表!$E:$E,0))*10000+INDEX(编号表!$D:$D,MATCH(AG1358,编号表!$C:$C,0))*1000+F1358</f>
        <v>11912040</v>
      </c>
      <c r="C1358" s="14" t="s">
        <v>1679</v>
      </c>
      <c r="D1358" s="14" t="s">
        <v>72</v>
      </c>
      <c r="E1358" s="14" t="s">
        <v>86</v>
      </c>
      <c r="F1358" s="14">
        <v>40</v>
      </c>
      <c r="G1358" s="14">
        <v>60</v>
      </c>
      <c r="H1358" s="14" t="s">
        <v>1400</v>
      </c>
      <c r="I1358" s="14" t="s">
        <v>75</v>
      </c>
      <c r="J1358" s="14" t="s">
        <v>201</v>
      </c>
      <c r="K1358" s="14">
        <v>1</v>
      </c>
      <c r="L1358" s="14" t="s">
        <v>1400</v>
      </c>
      <c r="N1358" s="14">
        <v>0</v>
      </c>
      <c r="O1358" s="14" t="b">
        <v>1</v>
      </c>
      <c r="Q1358" s="14" t="b">
        <v>0</v>
      </c>
      <c r="R1358" s="14">
        <v>1</v>
      </c>
      <c r="S1358" s="14" t="s">
        <v>77</v>
      </c>
      <c r="T1358" s="14">
        <v>999</v>
      </c>
      <c r="U1358" s="14" t="s">
        <v>1401</v>
      </c>
      <c r="V1358" s="14">
        <v>31912040</v>
      </c>
      <c r="X1358" s="14" t="s">
        <v>1680</v>
      </c>
      <c r="Y1358" s="14" t="s">
        <v>215</v>
      </c>
      <c r="Z1358" s="14">
        <v>20121</v>
      </c>
      <c r="AA1358" s="14" t="s">
        <v>1681</v>
      </c>
      <c r="AB1358" s="14">
        <v>40001</v>
      </c>
      <c r="AE1358" s="14" t="s">
        <v>1400</v>
      </c>
      <c r="AF1358" s="14" t="s">
        <v>1400</v>
      </c>
      <c r="AG1358" s="14" t="s">
        <v>86</v>
      </c>
    </row>
    <row r="1359" spans="2:33">
      <c r="B1359" s="14">
        <f>10000000+INDEX(编号表!$B:$B,MATCH(H1359,编号表!$A:$A,0))*100000+INDEX(编号表!$F:$F,MATCH(D1359,编号表!$E:$E,0))*10000+INDEX(编号表!$D:$D,MATCH(AG1359,编号表!$C:$C,0))*1000+F1359</f>
        <v>11922041</v>
      </c>
      <c r="C1359" s="14" t="s">
        <v>1679</v>
      </c>
      <c r="D1359" s="14" t="s">
        <v>112</v>
      </c>
      <c r="E1359" s="14" t="s">
        <v>86</v>
      </c>
      <c r="F1359" s="14">
        <v>41</v>
      </c>
      <c r="G1359" s="14">
        <v>60</v>
      </c>
      <c r="H1359" s="14" t="s">
        <v>1400</v>
      </c>
      <c r="I1359" s="14" t="s">
        <v>75</v>
      </c>
      <c r="J1359" s="14" t="s">
        <v>201</v>
      </c>
      <c r="K1359" s="14">
        <v>1</v>
      </c>
      <c r="L1359" s="14" t="s">
        <v>1400</v>
      </c>
      <c r="N1359" s="14">
        <v>0</v>
      </c>
      <c r="O1359" s="14" t="b">
        <v>1</v>
      </c>
      <c r="Q1359" s="14" t="b">
        <v>0</v>
      </c>
      <c r="R1359" s="14">
        <v>1</v>
      </c>
      <c r="S1359" s="14" t="s">
        <v>77</v>
      </c>
      <c r="T1359" s="14">
        <v>999</v>
      </c>
      <c r="U1359" s="14" t="s">
        <v>1401</v>
      </c>
      <c r="V1359" s="14">
        <v>31922041</v>
      </c>
      <c r="X1359" s="14" t="s">
        <v>1682</v>
      </c>
      <c r="Y1359" s="14" t="s">
        <v>215</v>
      </c>
      <c r="Z1359" s="14">
        <v>20122</v>
      </c>
      <c r="AA1359" s="14" t="s">
        <v>1683</v>
      </c>
      <c r="AB1359" s="14">
        <v>40001</v>
      </c>
      <c r="AE1359" s="14" t="s">
        <v>1400</v>
      </c>
      <c r="AF1359" s="14" t="s">
        <v>1400</v>
      </c>
      <c r="AG1359" s="14" t="s">
        <v>86</v>
      </c>
    </row>
    <row r="1360" spans="2:33">
      <c r="B1360" s="14">
        <f>10000000+INDEX(编号表!$B:$B,MATCH(H1360,编号表!$A:$A,0))*100000+INDEX(编号表!$F:$F,MATCH(D1360,编号表!$E:$E,0))*10000+INDEX(编号表!$D:$D,MATCH(AG1360,编号表!$C:$C,0))*1000+F1360</f>
        <v>11932042</v>
      </c>
      <c r="C1360" s="14" t="s">
        <v>1679</v>
      </c>
      <c r="D1360" s="14" t="s">
        <v>276</v>
      </c>
      <c r="E1360" s="14" t="s">
        <v>86</v>
      </c>
      <c r="F1360" s="14">
        <v>42</v>
      </c>
      <c r="G1360" s="14">
        <v>60</v>
      </c>
      <c r="H1360" s="14" t="s">
        <v>1400</v>
      </c>
      <c r="I1360" s="14" t="s">
        <v>75</v>
      </c>
      <c r="J1360" s="14" t="s">
        <v>201</v>
      </c>
      <c r="K1360" s="14">
        <v>1</v>
      </c>
      <c r="L1360" s="14" t="s">
        <v>1400</v>
      </c>
      <c r="N1360" s="14">
        <v>0</v>
      </c>
      <c r="O1360" s="14" t="b">
        <v>1</v>
      </c>
      <c r="Q1360" s="14" t="b">
        <v>0</v>
      </c>
      <c r="R1360" s="14">
        <v>1</v>
      </c>
      <c r="S1360" s="14" t="s">
        <v>77</v>
      </c>
      <c r="T1360" s="14">
        <v>999</v>
      </c>
      <c r="U1360" s="14" t="s">
        <v>1401</v>
      </c>
      <c r="V1360" s="14">
        <v>31932042</v>
      </c>
      <c r="X1360" s="14" t="s">
        <v>1684</v>
      </c>
      <c r="Y1360" s="14" t="s">
        <v>215</v>
      </c>
      <c r="Z1360" s="14">
        <v>20123</v>
      </c>
      <c r="AA1360" s="14" t="s">
        <v>1685</v>
      </c>
      <c r="AB1360" s="14">
        <v>40001</v>
      </c>
      <c r="AE1360" s="14" t="s">
        <v>1400</v>
      </c>
      <c r="AF1360" s="14" t="s">
        <v>1400</v>
      </c>
      <c r="AG1360" s="14" t="s">
        <v>86</v>
      </c>
    </row>
    <row r="1361" spans="2:33">
      <c r="B1361" s="14">
        <f>10000000+INDEX(编号表!$B:$B,MATCH(H1361,编号表!$A:$A,0))*100000+INDEX(编号表!$F:$F,MATCH(D1361,编号表!$E:$E,0))*10000+INDEX(编号表!$D:$D,MATCH(AG1361,编号表!$C:$C,0))*1000+F1361</f>
        <v>11912041</v>
      </c>
      <c r="C1361" s="14" t="s">
        <v>1686</v>
      </c>
      <c r="D1361" s="14" t="s">
        <v>72</v>
      </c>
      <c r="E1361" s="14" t="s">
        <v>86</v>
      </c>
      <c r="F1361" s="14">
        <v>41</v>
      </c>
      <c r="G1361" s="14">
        <v>60</v>
      </c>
      <c r="H1361" s="14" t="s">
        <v>1400</v>
      </c>
      <c r="I1361" s="14" t="s">
        <v>75</v>
      </c>
      <c r="J1361" s="14" t="s">
        <v>201</v>
      </c>
      <c r="K1361" s="14">
        <v>1</v>
      </c>
      <c r="L1361" s="14" t="s">
        <v>1400</v>
      </c>
      <c r="N1361" s="14">
        <v>0</v>
      </c>
      <c r="O1361" s="14" t="b">
        <v>1</v>
      </c>
      <c r="Q1361" s="14" t="b">
        <v>0</v>
      </c>
      <c r="R1361" s="14">
        <v>1</v>
      </c>
      <c r="S1361" s="14" t="s">
        <v>77</v>
      </c>
      <c r="T1361" s="14">
        <v>999</v>
      </c>
      <c r="U1361" s="14" t="s">
        <v>1401</v>
      </c>
      <c r="V1361" s="14">
        <v>31912041</v>
      </c>
      <c r="X1361" s="14" t="s">
        <v>1687</v>
      </c>
      <c r="Y1361" s="14" t="s">
        <v>215</v>
      </c>
      <c r="Z1361" s="14">
        <v>20124</v>
      </c>
      <c r="AA1361" s="14" t="s">
        <v>1688</v>
      </c>
      <c r="AB1361" s="14">
        <v>40001</v>
      </c>
      <c r="AE1361" s="14" t="s">
        <v>1400</v>
      </c>
      <c r="AF1361" s="14" t="s">
        <v>1400</v>
      </c>
      <c r="AG1361" s="14" t="s">
        <v>86</v>
      </c>
    </row>
    <row r="1362" spans="2:33">
      <c r="B1362" s="14">
        <f>10000000+INDEX(编号表!$B:$B,MATCH(H1362,编号表!$A:$A,0))*100000+INDEX(编号表!$F:$F,MATCH(D1362,编号表!$E:$E,0))*10000+INDEX(编号表!$D:$D,MATCH(AG1362,编号表!$C:$C,0))*1000+F1362</f>
        <v>11922042</v>
      </c>
      <c r="C1362" s="14" t="s">
        <v>1686</v>
      </c>
      <c r="D1362" s="14" t="s">
        <v>112</v>
      </c>
      <c r="E1362" s="14" t="s">
        <v>86</v>
      </c>
      <c r="F1362" s="14">
        <v>42</v>
      </c>
      <c r="G1362" s="14">
        <v>60</v>
      </c>
      <c r="H1362" s="14" t="s">
        <v>1400</v>
      </c>
      <c r="I1362" s="14" t="s">
        <v>75</v>
      </c>
      <c r="J1362" s="14" t="s">
        <v>201</v>
      </c>
      <c r="K1362" s="14">
        <v>1</v>
      </c>
      <c r="L1362" s="14" t="s">
        <v>1400</v>
      </c>
      <c r="N1362" s="14">
        <v>0</v>
      </c>
      <c r="O1362" s="14" t="b">
        <v>1</v>
      </c>
      <c r="Q1362" s="14" t="b">
        <v>0</v>
      </c>
      <c r="R1362" s="14">
        <v>1</v>
      </c>
      <c r="S1362" s="14" t="s">
        <v>77</v>
      </c>
      <c r="T1362" s="14">
        <v>999</v>
      </c>
      <c r="U1362" s="14" t="s">
        <v>1401</v>
      </c>
      <c r="V1362" s="14">
        <v>31922042</v>
      </c>
      <c r="X1362" s="14" t="s">
        <v>1689</v>
      </c>
      <c r="Y1362" s="14" t="s">
        <v>215</v>
      </c>
      <c r="Z1362" s="14">
        <v>20125</v>
      </c>
      <c r="AA1362" s="14" t="s">
        <v>1690</v>
      </c>
      <c r="AB1362" s="14">
        <v>40001</v>
      </c>
      <c r="AE1362" s="14" t="s">
        <v>1400</v>
      </c>
      <c r="AF1362" s="14" t="s">
        <v>1400</v>
      </c>
      <c r="AG1362" s="14" t="s">
        <v>86</v>
      </c>
    </row>
    <row r="1363" spans="2:33">
      <c r="B1363" s="14">
        <f>10000000+INDEX(编号表!$B:$B,MATCH(H1363,编号表!$A:$A,0))*100000+INDEX(编号表!$F:$F,MATCH(D1363,编号表!$E:$E,0))*10000+INDEX(编号表!$D:$D,MATCH(AG1363,编号表!$C:$C,0))*1000+F1363</f>
        <v>11932043</v>
      </c>
      <c r="C1363" s="14" t="s">
        <v>1686</v>
      </c>
      <c r="D1363" s="14" t="s">
        <v>276</v>
      </c>
      <c r="E1363" s="14" t="s">
        <v>86</v>
      </c>
      <c r="F1363" s="14">
        <v>43</v>
      </c>
      <c r="G1363" s="14">
        <v>60</v>
      </c>
      <c r="H1363" s="14" t="s">
        <v>1400</v>
      </c>
      <c r="I1363" s="14" t="s">
        <v>75</v>
      </c>
      <c r="J1363" s="14" t="s">
        <v>201</v>
      </c>
      <c r="K1363" s="14">
        <v>1</v>
      </c>
      <c r="L1363" s="14" t="s">
        <v>1400</v>
      </c>
      <c r="N1363" s="14">
        <v>0</v>
      </c>
      <c r="O1363" s="14" t="b">
        <v>1</v>
      </c>
      <c r="Q1363" s="14" t="b">
        <v>0</v>
      </c>
      <c r="R1363" s="14">
        <v>1</v>
      </c>
      <c r="S1363" s="14" t="s">
        <v>77</v>
      </c>
      <c r="T1363" s="14">
        <v>999</v>
      </c>
      <c r="U1363" s="14" t="s">
        <v>1401</v>
      </c>
      <c r="V1363" s="14">
        <v>31932043</v>
      </c>
      <c r="X1363" s="14" t="s">
        <v>1691</v>
      </c>
      <c r="Y1363" s="14" t="s">
        <v>215</v>
      </c>
      <c r="Z1363" s="14">
        <v>20126</v>
      </c>
      <c r="AA1363" s="14" t="s">
        <v>1692</v>
      </c>
      <c r="AB1363" s="14">
        <v>40001</v>
      </c>
      <c r="AE1363" s="14" t="s">
        <v>1400</v>
      </c>
      <c r="AF1363" s="14" t="s">
        <v>1400</v>
      </c>
      <c r="AG1363" s="14" t="s">
        <v>86</v>
      </c>
    </row>
    <row r="1364" spans="2:33">
      <c r="B1364" s="14">
        <f>10000000+INDEX(编号表!$B:$B,MATCH(H1364,编号表!$A:$A,0))*100000+INDEX(编号表!$F:$F,MATCH(D1364,编号表!$E:$E,0))*10000+INDEX(编号表!$D:$D,MATCH(AG1364,编号表!$C:$C,0))*1000+F1364</f>
        <v>11912042</v>
      </c>
      <c r="C1364" s="14" t="s">
        <v>1693</v>
      </c>
      <c r="D1364" s="14" t="s">
        <v>72</v>
      </c>
      <c r="E1364" s="14" t="s">
        <v>86</v>
      </c>
      <c r="F1364" s="14">
        <v>42</v>
      </c>
      <c r="G1364" s="14">
        <v>60</v>
      </c>
      <c r="H1364" s="14" t="s">
        <v>1400</v>
      </c>
      <c r="I1364" s="14" t="s">
        <v>75</v>
      </c>
      <c r="J1364" s="14" t="s">
        <v>201</v>
      </c>
      <c r="K1364" s="14">
        <v>1</v>
      </c>
      <c r="L1364" s="14" t="s">
        <v>1400</v>
      </c>
      <c r="N1364" s="14">
        <v>0</v>
      </c>
      <c r="O1364" s="14" t="b">
        <v>1</v>
      </c>
      <c r="Q1364" s="14" t="b">
        <v>0</v>
      </c>
      <c r="R1364" s="14">
        <v>1</v>
      </c>
      <c r="S1364" s="14" t="s">
        <v>77</v>
      </c>
      <c r="T1364" s="14">
        <v>999</v>
      </c>
      <c r="U1364" s="14" t="s">
        <v>1401</v>
      </c>
      <c r="V1364" s="14">
        <v>31912042</v>
      </c>
      <c r="X1364" s="14" t="s">
        <v>1694</v>
      </c>
      <c r="Y1364" s="14" t="s">
        <v>215</v>
      </c>
      <c r="Z1364" s="14">
        <v>20127</v>
      </c>
      <c r="AA1364" s="14" t="s">
        <v>1695</v>
      </c>
      <c r="AB1364" s="14">
        <v>40001</v>
      </c>
      <c r="AE1364" s="14" t="s">
        <v>1400</v>
      </c>
      <c r="AF1364" s="14" t="s">
        <v>1400</v>
      </c>
      <c r="AG1364" s="14" t="s">
        <v>86</v>
      </c>
    </row>
    <row r="1365" spans="2:33">
      <c r="B1365" s="14">
        <f>10000000+INDEX(编号表!$B:$B,MATCH(H1365,编号表!$A:$A,0))*100000+INDEX(编号表!$F:$F,MATCH(D1365,编号表!$E:$E,0))*10000+INDEX(编号表!$D:$D,MATCH(AG1365,编号表!$C:$C,0))*1000+F1365</f>
        <v>11922043</v>
      </c>
      <c r="C1365" s="14" t="s">
        <v>1693</v>
      </c>
      <c r="D1365" s="14" t="s">
        <v>112</v>
      </c>
      <c r="E1365" s="14" t="s">
        <v>86</v>
      </c>
      <c r="F1365" s="14">
        <v>43</v>
      </c>
      <c r="G1365" s="14">
        <v>60</v>
      </c>
      <c r="H1365" s="14" t="s">
        <v>1400</v>
      </c>
      <c r="I1365" s="14" t="s">
        <v>75</v>
      </c>
      <c r="J1365" s="14" t="s">
        <v>201</v>
      </c>
      <c r="K1365" s="14">
        <v>1</v>
      </c>
      <c r="L1365" s="14" t="s">
        <v>1400</v>
      </c>
      <c r="N1365" s="14">
        <v>0</v>
      </c>
      <c r="O1365" s="14" t="b">
        <v>1</v>
      </c>
      <c r="Q1365" s="14" t="b">
        <v>0</v>
      </c>
      <c r="R1365" s="14">
        <v>1</v>
      </c>
      <c r="S1365" s="14" t="s">
        <v>77</v>
      </c>
      <c r="T1365" s="14">
        <v>999</v>
      </c>
      <c r="U1365" s="14" t="s">
        <v>1401</v>
      </c>
      <c r="V1365" s="14">
        <v>31922043</v>
      </c>
      <c r="X1365" s="14" t="s">
        <v>1696</v>
      </c>
      <c r="Y1365" s="14" t="s">
        <v>215</v>
      </c>
      <c r="Z1365" s="14">
        <v>20128</v>
      </c>
      <c r="AA1365" s="14" t="s">
        <v>1697</v>
      </c>
      <c r="AB1365" s="14">
        <v>40001</v>
      </c>
      <c r="AE1365" s="14" t="s">
        <v>1400</v>
      </c>
      <c r="AF1365" s="14" t="s">
        <v>1400</v>
      </c>
      <c r="AG1365" s="14" t="s">
        <v>86</v>
      </c>
    </row>
    <row r="1366" spans="2:33">
      <c r="B1366" s="14">
        <f>10000000+INDEX(编号表!$B:$B,MATCH(H1366,编号表!$A:$A,0))*100000+INDEX(编号表!$F:$F,MATCH(D1366,编号表!$E:$E,0))*10000+INDEX(编号表!$D:$D,MATCH(AG1366,编号表!$C:$C,0))*1000+F1366</f>
        <v>11932044</v>
      </c>
      <c r="C1366" s="14" t="s">
        <v>1693</v>
      </c>
      <c r="D1366" s="14" t="s">
        <v>276</v>
      </c>
      <c r="E1366" s="14" t="s">
        <v>86</v>
      </c>
      <c r="F1366" s="14">
        <v>44</v>
      </c>
      <c r="G1366" s="14">
        <v>60</v>
      </c>
      <c r="H1366" s="14" t="s">
        <v>1400</v>
      </c>
      <c r="I1366" s="14" t="s">
        <v>75</v>
      </c>
      <c r="J1366" s="14" t="s">
        <v>201</v>
      </c>
      <c r="K1366" s="14">
        <v>1</v>
      </c>
      <c r="L1366" s="14" t="s">
        <v>1400</v>
      </c>
      <c r="N1366" s="14">
        <v>0</v>
      </c>
      <c r="O1366" s="14" t="b">
        <v>1</v>
      </c>
      <c r="Q1366" s="14" t="b">
        <v>0</v>
      </c>
      <c r="R1366" s="14">
        <v>1</v>
      </c>
      <c r="S1366" s="14" t="s">
        <v>77</v>
      </c>
      <c r="T1366" s="14">
        <v>999</v>
      </c>
      <c r="U1366" s="14" t="s">
        <v>1401</v>
      </c>
      <c r="V1366" s="14">
        <v>31932044</v>
      </c>
      <c r="X1366" s="14" t="s">
        <v>1698</v>
      </c>
      <c r="Y1366" s="14" t="s">
        <v>215</v>
      </c>
      <c r="Z1366" s="14">
        <v>20129</v>
      </c>
      <c r="AA1366" s="14" t="s">
        <v>1699</v>
      </c>
      <c r="AB1366" s="14">
        <v>40001</v>
      </c>
      <c r="AE1366" s="14" t="s">
        <v>1400</v>
      </c>
      <c r="AF1366" s="14" t="s">
        <v>1400</v>
      </c>
      <c r="AG1366" s="14" t="s">
        <v>86</v>
      </c>
    </row>
    <row r="1367" spans="2:33">
      <c r="B1367" s="14">
        <f>10000000+INDEX(编号表!$B:$B,MATCH(H1367,编号表!$A:$A,0))*100000+INDEX(编号表!$F:$F,MATCH(D1367,编号表!$E:$E,0))*10000+INDEX(编号表!$D:$D,MATCH(AG1367,编号表!$C:$C,0))*1000+F1367</f>
        <v>11912043</v>
      </c>
      <c r="C1367" s="14" t="s">
        <v>1700</v>
      </c>
      <c r="D1367" s="14" t="s">
        <v>72</v>
      </c>
      <c r="E1367" s="14" t="s">
        <v>86</v>
      </c>
      <c r="F1367" s="14">
        <v>43</v>
      </c>
      <c r="G1367" s="14">
        <v>60</v>
      </c>
      <c r="H1367" s="14" t="s">
        <v>1400</v>
      </c>
      <c r="I1367" s="14" t="s">
        <v>75</v>
      </c>
      <c r="J1367" s="14" t="s">
        <v>201</v>
      </c>
      <c r="K1367" s="14">
        <v>1</v>
      </c>
      <c r="L1367" s="14" t="s">
        <v>1400</v>
      </c>
      <c r="N1367" s="14">
        <v>0</v>
      </c>
      <c r="O1367" s="14" t="b">
        <v>1</v>
      </c>
      <c r="Q1367" s="14" t="b">
        <v>0</v>
      </c>
      <c r="R1367" s="14">
        <v>1</v>
      </c>
      <c r="S1367" s="14" t="s">
        <v>77</v>
      </c>
      <c r="T1367" s="14">
        <v>999</v>
      </c>
      <c r="U1367" s="14" t="s">
        <v>1401</v>
      </c>
      <c r="V1367" s="14">
        <v>31912043</v>
      </c>
      <c r="X1367" s="14" t="s">
        <v>1701</v>
      </c>
      <c r="Y1367" s="14" t="s">
        <v>215</v>
      </c>
      <c r="Z1367" s="14">
        <v>20130</v>
      </c>
      <c r="AA1367" s="14" t="s">
        <v>1702</v>
      </c>
      <c r="AB1367" s="14">
        <v>40001</v>
      </c>
      <c r="AE1367" s="14" t="s">
        <v>1400</v>
      </c>
      <c r="AF1367" s="14" t="s">
        <v>1400</v>
      </c>
      <c r="AG1367" s="14" t="s">
        <v>86</v>
      </c>
    </row>
    <row r="1368" spans="2:33">
      <c r="B1368" s="14">
        <f>10000000+INDEX(编号表!$B:$B,MATCH(H1368,编号表!$A:$A,0))*100000+INDEX(编号表!$F:$F,MATCH(D1368,编号表!$E:$E,0))*10000+INDEX(编号表!$D:$D,MATCH(AG1368,编号表!$C:$C,0))*1000+F1368</f>
        <v>11922044</v>
      </c>
      <c r="C1368" s="14" t="s">
        <v>1700</v>
      </c>
      <c r="D1368" s="14" t="s">
        <v>112</v>
      </c>
      <c r="E1368" s="14" t="s">
        <v>86</v>
      </c>
      <c r="F1368" s="14">
        <v>44</v>
      </c>
      <c r="G1368" s="14">
        <v>60</v>
      </c>
      <c r="H1368" s="14" t="s">
        <v>1400</v>
      </c>
      <c r="I1368" s="14" t="s">
        <v>75</v>
      </c>
      <c r="J1368" s="14" t="s">
        <v>201</v>
      </c>
      <c r="K1368" s="14">
        <v>1</v>
      </c>
      <c r="L1368" s="14" t="s">
        <v>1400</v>
      </c>
      <c r="N1368" s="14">
        <v>0</v>
      </c>
      <c r="O1368" s="14" t="b">
        <v>1</v>
      </c>
      <c r="Q1368" s="14" t="b">
        <v>0</v>
      </c>
      <c r="R1368" s="14">
        <v>1</v>
      </c>
      <c r="S1368" s="14" t="s">
        <v>77</v>
      </c>
      <c r="T1368" s="14">
        <v>999</v>
      </c>
      <c r="U1368" s="14" t="s">
        <v>1401</v>
      </c>
      <c r="V1368" s="14">
        <v>31922044</v>
      </c>
      <c r="X1368" s="14" t="s">
        <v>1703</v>
      </c>
      <c r="Y1368" s="14" t="s">
        <v>215</v>
      </c>
      <c r="Z1368" s="14">
        <v>20131</v>
      </c>
      <c r="AA1368" s="14" t="s">
        <v>1704</v>
      </c>
      <c r="AB1368" s="14">
        <v>40001</v>
      </c>
      <c r="AE1368" s="14" t="s">
        <v>1400</v>
      </c>
      <c r="AF1368" s="14" t="s">
        <v>1400</v>
      </c>
      <c r="AG1368" s="14" t="s">
        <v>86</v>
      </c>
    </row>
    <row r="1369" spans="2:33">
      <c r="B1369" s="14">
        <f>10000000+INDEX(编号表!$B:$B,MATCH(H1369,编号表!$A:$A,0))*100000+INDEX(编号表!$F:$F,MATCH(D1369,编号表!$E:$E,0))*10000+INDEX(编号表!$D:$D,MATCH(AG1369,编号表!$C:$C,0))*1000+F1369</f>
        <v>11932045</v>
      </c>
      <c r="C1369" s="14" t="s">
        <v>1700</v>
      </c>
      <c r="D1369" s="14" t="s">
        <v>276</v>
      </c>
      <c r="E1369" s="14" t="s">
        <v>86</v>
      </c>
      <c r="F1369" s="14">
        <v>45</v>
      </c>
      <c r="G1369" s="14">
        <v>60</v>
      </c>
      <c r="H1369" s="14" t="s">
        <v>1400</v>
      </c>
      <c r="I1369" s="14" t="s">
        <v>75</v>
      </c>
      <c r="J1369" s="14" t="s">
        <v>201</v>
      </c>
      <c r="K1369" s="14">
        <v>1</v>
      </c>
      <c r="L1369" s="14" t="s">
        <v>1400</v>
      </c>
      <c r="N1369" s="14">
        <v>0</v>
      </c>
      <c r="O1369" s="14" t="b">
        <v>1</v>
      </c>
      <c r="Q1369" s="14" t="b">
        <v>0</v>
      </c>
      <c r="R1369" s="14">
        <v>1</v>
      </c>
      <c r="S1369" s="14" t="s">
        <v>77</v>
      </c>
      <c r="T1369" s="14">
        <v>999</v>
      </c>
      <c r="U1369" s="14" t="s">
        <v>1401</v>
      </c>
      <c r="V1369" s="14">
        <v>31932045</v>
      </c>
      <c r="X1369" s="14" t="s">
        <v>1705</v>
      </c>
      <c r="Y1369" s="14" t="s">
        <v>215</v>
      </c>
      <c r="Z1369" s="14">
        <v>20132</v>
      </c>
      <c r="AA1369" s="14" t="s">
        <v>1706</v>
      </c>
      <c r="AB1369" s="14">
        <v>40001</v>
      </c>
      <c r="AE1369" s="14" t="s">
        <v>1400</v>
      </c>
      <c r="AF1369" s="14" t="s">
        <v>1400</v>
      </c>
      <c r="AG1369" s="14" t="s">
        <v>86</v>
      </c>
    </row>
    <row r="1370" spans="2:33">
      <c r="B1370" s="14">
        <f>10000000+INDEX(编号表!$B:$B,MATCH(H1370,编号表!$A:$A,0))*100000+INDEX(编号表!$F:$F,MATCH(D1370,编号表!$E:$E,0))*10000+INDEX(编号表!$D:$D,MATCH(AG1370,编号表!$C:$C,0))*1000+F1370</f>
        <v>11912044</v>
      </c>
      <c r="C1370" s="14" t="s">
        <v>1707</v>
      </c>
      <c r="D1370" s="14" t="s">
        <v>72</v>
      </c>
      <c r="E1370" s="14" t="s">
        <v>86</v>
      </c>
      <c r="F1370" s="14">
        <v>44</v>
      </c>
      <c r="G1370" s="14">
        <v>60</v>
      </c>
      <c r="H1370" s="14" t="s">
        <v>1400</v>
      </c>
      <c r="I1370" s="14" t="s">
        <v>75</v>
      </c>
      <c r="J1370" s="14" t="s">
        <v>201</v>
      </c>
      <c r="K1370" s="14">
        <v>1</v>
      </c>
      <c r="L1370" s="14" t="s">
        <v>1400</v>
      </c>
      <c r="N1370" s="14">
        <v>0</v>
      </c>
      <c r="O1370" s="14" t="b">
        <v>1</v>
      </c>
      <c r="Q1370" s="14" t="b">
        <v>0</v>
      </c>
      <c r="R1370" s="14">
        <v>1</v>
      </c>
      <c r="S1370" s="14" t="s">
        <v>77</v>
      </c>
      <c r="T1370" s="14">
        <v>999</v>
      </c>
      <c r="U1370" s="14" t="s">
        <v>1401</v>
      </c>
      <c r="V1370" s="14">
        <v>31912044</v>
      </c>
      <c r="X1370" s="14" t="s">
        <v>1708</v>
      </c>
      <c r="Y1370" s="14" t="s">
        <v>215</v>
      </c>
      <c r="Z1370" s="14">
        <v>20133</v>
      </c>
      <c r="AA1370" s="14" t="s">
        <v>1709</v>
      </c>
      <c r="AB1370" s="14">
        <v>40001</v>
      </c>
      <c r="AE1370" s="14" t="s">
        <v>1400</v>
      </c>
      <c r="AF1370" s="14" t="s">
        <v>1400</v>
      </c>
      <c r="AG1370" s="14" t="s">
        <v>86</v>
      </c>
    </row>
    <row r="1371" spans="2:33">
      <c r="B1371" s="14">
        <f>10000000+INDEX(编号表!$B:$B,MATCH(H1371,编号表!$A:$A,0))*100000+INDEX(编号表!$F:$F,MATCH(D1371,编号表!$E:$E,0))*10000+INDEX(编号表!$D:$D,MATCH(AG1371,编号表!$C:$C,0))*1000+F1371</f>
        <v>11922045</v>
      </c>
      <c r="C1371" s="14" t="s">
        <v>1707</v>
      </c>
      <c r="D1371" s="14" t="s">
        <v>112</v>
      </c>
      <c r="E1371" s="14" t="s">
        <v>86</v>
      </c>
      <c r="F1371" s="14">
        <v>45</v>
      </c>
      <c r="G1371" s="14">
        <v>60</v>
      </c>
      <c r="H1371" s="14" t="s">
        <v>1400</v>
      </c>
      <c r="I1371" s="14" t="s">
        <v>75</v>
      </c>
      <c r="J1371" s="14" t="s">
        <v>201</v>
      </c>
      <c r="K1371" s="14">
        <v>1</v>
      </c>
      <c r="L1371" s="14" t="s">
        <v>1400</v>
      </c>
      <c r="N1371" s="14">
        <v>0</v>
      </c>
      <c r="O1371" s="14" t="b">
        <v>1</v>
      </c>
      <c r="Q1371" s="14" t="b">
        <v>0</v>
      </c>
      <c r="R1371" s="14">
        <v>1</v>
      </c>
      <c r="S1371" s="14" t="s">
        <v>77</v>
      </c>
      <c r="T1371" s="14">
        <v>999</v>
      </c>
      <c r="U1371" s="14" t="s">
        <v>1401</v>
      </c>
      <c r="V1371" s="14">
        <v>31922045</v>
      </c>
      <c r="X1371" s="14" t="s">
        <v>1710</v>
      </c>
      <c r="Y1371" s="14" t="s">
        <v>215</v>
      </c>
      <c r="Z1371" s="14">
        <v>20134</v>
      </c>
      <c r="AA1371" s="14" t="s">
        <v>1711</v>
      </c>
      <c r="AB1371" s="14">
        <v>40001</v>
      </c>
      <c r="AE1371" s="14" t="s">
        <v>1400</v>
      </c>
      <c r="AF1371" s="14" t="s">
        <v>1400</v>
      </c>
      <c r="AG1371" s="14" t="s">
        <v>86</v>
      </c>
    </row>
    <row r="1372" spans="2:33">
      <c r="B1372" s="14">
        <f>10000000+INDEX(编号表!$B:$B,MATCH(H1372,编号表!$A:$A,0))*100000+INDEX(编号表!$F:$F,MATCH(D1372,编号表!$E:$E,0))*10000+INDEX(编号表!$D:$D,MATCH(AG1372,编号表!$C:$C,0))*1000+F1372</f>
        <v>11932046</v>
      </c>
      <c r="C1372" s="14" t="s">
        <v>1707</v>
      </c>
      <c r="D1372" s="14" t="s">
        <v>276</v>
      </c>
      <c r="E1372" s="14" t="s">
        <v>86</v>
      </c>
      <c r="F1372" s="14">
        <v>46</v>
      </c>
      <c r="G1372" s="14">
        <v>60</v>
      </c>
      <c r="H1372" s="14" t="s">
        <v>1400</v>
      </c>
      <c r="I1372" s="14" t="s">
        <v>75</v>
      </c>
      <c r="J1372" s="14" t="s">
        <v>201</v>
      </c>
      <c r="K1372" s="14">
        <v>1</v>
      </c>
      <c r="L1372" s="14" t="s">
        <v>1400</v>
      </c>
      <c r="N1372" s="14">
        <v>0</v>
      </c>
      <c r="O1372" s="14" t="b">
        <v>1</v>
      </c>
      <c r="Q1372" s="14" t="b">
        <v>0</v>
      </c>
      <c r="R1372" s="14">
        <v>1</v>
      </c>
      <c r="S1372" s="14" t="s">
        <v>77</v>
      </c>
      <c r="T1372" s="14">
        <v>999</v>
      </c>
      <c r="U1372" s="14" t="s">
        <v>1401</v>
      </c>
      <c r="V1372" s="14">
        <v>31932046</v>
      </c>
      <c r="X1372" s="14" t="s">
        <v>1712</v>
      </c>
      <c r="Y1372" s="14" t="s">
        <v>215</v>
      </c>
      <c r="Z1372" s="14">
        <v>20135</v>
      </c>
      <c r="AA1372" s="14" t="s">
        <v>1713</v>
      </c>
      <c r="AB1372" s="14">
        <v>40001</v>
      </c>
      <c r="AE1372" s="14" t="s">
        <v>1400</v>
      </c>
      <c r="AF1372" s="14" t="s">
        <v>1400</v>
      </c>
      <c r="AG1372" s="14" t="s">
        <v>86</v>
      </c>
    </row>
    <row r="1373" spans="2:33">
      <c r="B1373" s="14">
        <f>10000000+INDEX(编号表!$B:$B,MATCH(H1373,编号表!$A:$A,0))*100000+INDEX(编号表!$F:$F,MATCH(D1373,编号表!$E:$E,0))*10000+INDEX(编号表!$D:$D,MATCH(AG1373,编号表!$C:$C,0))*1000+F1373</f>
        <v>11912045</v>
      </c>
      <c r="C1373" s="14" t="s">
        <v>1714</v>
      </c>
      <c r="D1373" s="14" t="s">
        <v>72</v>
      </c>
      <c r="E1373" s="14" t="s">
        <v>86</v>
      </c>
      <c r="F1373" s="14">
        <v>45</v>
      </c>
      <c r="G1373" s="14">
        <v>60</v>
      </c>
      <c r="H1373" s="14" t="s">
        <v>1400</v>
      </c>
      <c r="I1373" s="14" t="s">
        <v>75</v>
      </c>
      <c r="J1373" s="14" t="s">
        <v>201</v>
      </c>
      <c r="K1373" s="14">
        <v>1</v>
      </c>
      <c r="L1373" s="14" t="s">
        <v>1400</v>
      </c>
      <c r="N1373" s="14">
        <v>0</v>
      </c>
      <c r="O1373" s="14" t="b">
        <v>1</v>
      </c>
      <c r="Q1373" s="14" t="b">
        <v>0</v>
      </c>
      <c r="R1373" s="14">
        <v>1</v>
      </c>
      <c r="S1373" s="14" t="s">
        <v>77</v>
      </c>
      <c r="T1373" s="14">
        <v>999</v>
      </c>
      <c r="U1373" s="14" t="s">
        <v>1401</v>
      </c>
      <c r="V1373" s="14">
        <v>31912045</v>
      </c>
      <c r="X1373" s="14" t="s">
        <v>1715</v>
      </c>
      <c r="Y1373" s="14" t="s">
        <v>215</v>
      </c>
      <c r="Z1373" s="14">
        <v>20136</v>
      </c>
      <c r="AA1373" s="14" t="s">
        <v>1716</v>
      </c>
      <c r="AB1373" s="14">
        <v>40001</v>
      </c>
      <c r="AE1373" s="14" t="s">
        <v>1400</v>
      </c>
      <c r="AF1373" s="14" t="s">
        <v>1400</v>
      </c>
      <c r="AG1373" s="14" t="s">
        <v>86</v>
      </c>
    </row>
    <row r="1374" spans="2:33">
      <c r="B1374" s="14">
        <f>10000000+INDEX(编号表!$B:$B,MATCH(H1374,编号表!$A:$A,0))*100000+INDEX(编号表!$F:$F,MATCH(D1374,编号表!$E:$E,0))*10000+INDEX(编号表!$D:$D,MATCH(AG1374,编号表!$C:$C,0))*1000+F1374</f>
        <v>11922046</v>
      </c>
      <c r="C1374" s="14" t="s">
        <v>1714</v>
      </c>
      <c r="D1374" s="14" t="s">
        <v>112</v>
      </c>
      <c r="E1374" s="14" t="s">
        <v>86</v>
      </c>
      <c r="F1374" s="14">
        <v>46</v>
      </c>
      <c r="G1374" s="14">
        <v>60</v>
      </c>
      <c r="H1374" s="14" t="s">
        <v>1400</v>
      </c>
      <c r="I1374" s="14" t="s">
        <v>75</v>
      </c>
      <c r="J1374" s="14" t="s">
        <v>201</v>
      </c>
      <c r="K1374" s="14">
        <v>1</v>
      </c>
      <c r="L1374" s="14" t="s">
        <v>1400</v>
      </c>
      <c r="N1374" s="14">
        <v>0</v>
      </c>
      <c r="O1374" s="14" t="b">
        <v>1</v>
      </c>
      <c r="Q1374" s="14" t="b">
        <v>0</v>
      </c>
      <c r="R1374" s="14">
        <v>1</v>
      </c>
      <c r="S1374" s="14" t="s">
        <v>77</v>
      </c>
      <c r="T1374" s="14">
        <v>999</v>
      </c>
      <c r="U1374" s="14" t="s">
        <v>1401</v>
      </c>
      <c r="V1374" s="14">
        <v>31922046</v>
      </c>
      <c r="X1374" s="14" t="s">
        <v>1717</v>
      </c>
      <c r="Y1374" s="14" t="s">
        <v>215</v>
      </c>
      <c r="Z1374" s="14">
        <v>20137</v>
      </c>
      <c r="AA1374" s="14" t="s">
        <v>1718</v>
      </c>
      <c r="AB1374" s="14">
        <v>40001</v>
      </c>
      <c r="AE1374" s="14" t="s">
        <v>1400</v>
      </c>
      <c r="AF1374" s="14" t="s">
        <v>1400</v>
      </c>
      <c r="AG1374" s="14" t="s">
        <v>86</v>
      </c>
    </row>
    <row r="1375" spans="2:33">
      <c r="B1375" s="14">
        <f>10000000+INDEX(编号表!$B:$B,MATCH(H1375,编号表!$A:$A,0))*100000+INDEX(编号表!$F:$F,MATCH(D1375,编号表!$E:$E,0))*10000+INDEX(编号表!$D:$D,MATCH(AG1375,编号表!$C:$C,0))*1000+F1375</f>
        <v>11932047</v>
      </c>
      <c r="C1375" s="14" t="s">
        <v>1714</v>
      </c>
      <c r="D1375" s="14" t="s">
        <v>276</v>
      </c>
      <c r="E1375" s="14" t="s">
        <v>86</v>
      </c>
      <c r="F1375" s="14">
        <v>47</v>
      </c>
      <c r="G1375" s="14">
        <v>60</v>
      </c>
      <c r="H1375" s="14" t="s">
        <v>1400</v>
      </c>
      <c r="I1375" s="14" t="s">
        <v>75</v>
      </c>
      <c r="J1375" s="14" t="s">
        <v>201</v>
      </c>
      <c r="K1375" s="14">
        <v>1</v>
      </c>
      <c r="L1375" s="14" t="s">
        <v>1400</v>
      </c>
      <c r="N1375" s="14">
        <v>0</v>
      </c>
      <c r="O1375" s="14" t="b">
        <v>1</v>
      </c>
      <c r="Q1375" s="14" t="b">
        <v>0</v>
      </c>
      <c r="R1375" s="14">
        <v>1</v>
      </c>
      <c r="S1375" s="14" t="s">
        <v>77</v>
      </c>
      <c r="T1375" s="14">
        <v>999</v>
      </c>
      <c r="U1375" s="14" t="s">
        <v>1401</v>
      </c>
      <c r="V1375" s="14">
        <v>31932047</v>
      </c>
      <c r="X1375" s="14" t="s">
        <v>1719</v>
      </c>
      <c r="Y1375" s="14" t="s">
        <v>215</v>
      </c>
      <c r="Z1375" s="14">
        <v>20138</v>
      </c>
      <c r="AA1375" s="14" t="s">
        <v>1720</v>
      </c>
      <c r="AB1375" s="14">
        <v>40001</v>
      </c>
      <c r="AE1375" s="14" t="s">
        <v>1400</v>
      </c>
      <c r="AF1375" s="14" t="s">
        <v>1400</v>
      </c>
      <c r="AG1375" s="14" t="s">
        <v>86</v>
      </c>
    </row>
    <row r="1376" spans="2:33">
      <c r="B1376" s="14">
        <f>10000000+INDEX(编号表!$B:$B,MATCH(H1376,编号表!$A:$A,0))*100000+INDEX(编号表!$F:$F,MATCH(D1376,编号表!$E:$E,0))*10000+INDEX(编号表!$D:$D,MATCH(AG1376,编号表!$C:$C,0))*1000+F1376</f>
        <v>11912046</v>
      </c>
      <c r="C1376" s="14" t="s">
        <v>1721</v>
      </c>
      <c r="D1376" s="14" t="s">
        <v>72</v>
      </c>
      <c r="E1376" s="14" t="s">
        <v>86</v>
      </c>
      <c r="F1376" s="14">
        <v>46</v>
      </c>
      <c r="G1376" s="14">
        <v>60</v>
      </c>
      <c r="H1376" s="14" t="s">
        <v>1400</v>
      </c>
      <c r="I1376" s="14" t="s">
        <v>75</v>
      </c>
      <c r="J1376" s="14" t="s">
        <v>201</v>
      </c>
      <c r="K1376" s="14">
        <v>1</v>
      </c>
      <c r="L1376" s="14" t="s">
        <v>1400</v>
      </c>
      <c r="N1376" s="14">
        <v>0</v>
      </c>
      <c r="O1376" s="14" t="b">
        <v>1</v>
      </c>
      <c r="Q1376" s="14" t="b">
        <v>0</v>
      </c>
      <c r="R1376" s="14">
        <v>1</v>
      </c>
      <c r="S1376" s="14" t="s">
        <v>77</v>
      </c>
      <c r="T1376" s="14">
        <v>999</v>
      </c>
      <c r="U1376" s="14" t="s">
        <v>1401</v>
      </c>
      <c r="V1376" s="14">
        <v>31912046</v>
      </c>
      <c r="X1376" s="14" t="s">
        <v>1722</v>
      </c>
      <c r="Y1376" s="14" t="s">
        <v>215</v>
      </c>
      <c r="Z1376" s="14">
        <v>20139</v>
      </c>
      <c r="AA1376" s="14" t="s">
        <v>1723</v>
      </c>
      <c r="AB1376" s="14">
        <v>40001</v>
      </c>
      <c r="AE1376" s="14" t="s">
        <v>1400</v>
      </c>
      <c r="AF1376" s="14" t="s">
        <v>1400</v>
      </c>
      <c r="AG1376" s="14" t="s">
        <v>86</v>
      </c>
    </row>
    <row r="1377" spans="2:33">
      <c r="B1377" s="14">
        <f>10000000+INDEX(编号表!$B:$B,MATCH(H1377,编号表!$A:$A,0))*100000+INDEX(编号表!$F:$F,MATCH(D1377,编号表!$E:$E,0))*10000+INDEX(编号表!$D:$D,MATCH(AG1377,编号表!$C:$C,0))*1000+F1377</f>
        <v>11922047</v>
      </c>
      <c r="C1377" s="14" t="s">
        <v>1721</v>
      </c>
      <c r="D1377" s="14" t="s">
        <v>112</v>
      </c>
      <c r="E1377" s="14" t="s">
        <v>86</v>
      </c>
      <c r="F1377" s="14">
        <v>47</v>
      </c>
      <c r="G1377" s="14">
        <v>60</v>
      </c>
      <c r="H1377" s="14" t="s">
        <v>1400</v>
      </c>
      <c r="I1377" s="14" t="s">
        <v>75</v>
      </c>
      <c r="J1377" s="14" t="s">
        <v>201</v>
      </c>
      <c r="K1377" s="14">
        <v>1</v>
      </c>
      <c r="L1377" s="14" t="s">
        <v>1400</v>
      </c>
      <c r="N1377" s="14">
        <v>0</v>
      </c>
      <c r="O1377" s="14" t="b">
        <v>1</v>
      </c>
      <c r="Q1377" s="14" t="b">
        <v>0</v>
      </c>
      <c r="R1377" s="14">
        <v>1</v>
      </c>
      <c r="S1377" s="14" t="s">
        <v>77</v>
      </c>
      <c r="T1377" s="14">
        <v>999</v>
      </c>
      <c r="U1377" s="14" t="s">
        <v>1401</v>
      </c>
      <c r="V1377" s="14">
        <v>31922047</v>
      </c>
      <c r="X1377" s="14" t="s">
        <v>1724</v>
      </c>
      <c r="Y1377" s="14" t="s">
        <v>215</v>
      </c>
      <c r="Z1377" s="14">
        <v>20140</v>
      </c>
      <c r="AA1377" s="14" t="s">
        <v>1725</v>
      </c>
      <c r="AB1377" s="14">
        <v>40001</v>
      </c>
      <c r="AE1377" s="14" t="s">
        <v>1400</v>
      </c>
      <c r="AF1377" s="14" t="s">
        <v>1400</v>
      </c>
      <c r="AG1377" s="14" t="s">
        <v>86</v>
      </c>
    </row>
    <row r="1378" spans="2:33">
      <c r="B1378" s="14">
        <f>10000000+INDEX(编号表!$B:$B,MATCH(H1378,编号表!$A:$A,0))*100000+INDEX(编号表!$F:$F,MATCH(D1378,编号表!$E:$E,0))*10000+INDEX(编号表!$D:$D,MATCH(AG1378,编号表!$C:$C,0))*1000+F1378</f>
        <v>11932048</v>
      </c>
      <c r="C1378" s="14" t="s">
        <v>1721</v>
      </c>
      <c r="D1378" s="14" t="s">
        <v>276</v>
      </c>
      <c r="E1378" s="14" t="s">
        <v>86</v>
      </c>
      <c r="F1378" s="14">
        <v>48</v>
      </c>
      <c r="G1378" s="14">
        <v>60</v>
      </c>
      <c r="H1378" s="14" t="s">
        <v>1400</v>
      </c>
      <c r="I1378" s="14" t="s">
        <v>75</v>
      </c>
      <c r="J1378" s="14" t="s">
        <v>201</v>
      </c>
      <c r="K1378" s="14">
        <v>1</v>
      </c>
      <c r="L1378" s="14" t="s">
        <v>1400</v>
      </c>
      <c r="N1378" s="14">
        <v>0</v>
      </c>
      <c r="O1378" s="14" t="b">
        <v>1</v>
      </c>
      <c r="Q1378" s="14" t="b">
        <v>0</v>
      </c>
      <c r="R1378" s="14">
        <v>1</v>
      </c>
      <c r="S1378" s="14" t="s">
        <v>77</v>
      </c>
      <c r="T1378" s="14">
        <v>999</v>
      </c>
      <c r="U1378" s="14" t="s">
        <v>1401</v>
      </c>
      <c r="V1378" s="14">
        <v>31932048</v>
      </c>
      <c r="X1378" s="14" t="s">
        <v>1726</v>
      </c>
      <c r="Y1378" s="14" t="s">
        <v>215</v>
      </c>
      <c r="Z1378" s="14">
        <v>20141</v>
      </c>
      <c r="AA1378" s="14" t="s">
        <v>1727</v>
      </c>
      <c r="AB1378" s="14">
        <v>40001</v>
      </c>
      <c r="AE1378" s="14" t="s">
        <v>1400</v>
      </c>
      <c r="AF1378" s="14" t="s">
        <v>1400</v>
      </c>
      <c r="AG1378" s="14" t="s">
        <v>86</v>
      </c>
    </row>
    <row r="1379" spans="2:33">
      <c r="B1379" s="14">
        <f>10000000+INDEX(编号表!$B:$B,MATCH(H1379,编号表!$A:$A,0))*100000+INDEX(编号表!$F:$F,MATCH(D1379,编号表!$E:$E,0))*10000+INDEX(编号表!$D:$D,MATCH(AG1379,编号表!$C:$C,0))*1000+F1379</f>
        <v>11912047</v>
      </c>
      <c r="C1379" s="14" t="s">
        <v>1728</v>
      </c>
      <c r="D1379" s="14" t="s">
        <v>72</v>
      </c>
      <c r="E1379" s="14" t="s">
        <v>86</v>
      </c>
      <c r="F1379" s="14">
        <v>47</v>
      </c>
      <c r="G1379" s="14">
        <v>60</v>
      </c>
      <c r="H1379" s="14" t="s">
        <v>1400</v>
      </c>
      <c r="I1379" s="14" t="s">
        <v>75</v>
      </c>
      <c r="J1379" s="14" t="s">
        <v>201</v>
      </c>
      <c r="K1379" s="14">
        <v>1</v>
      </c>
      <c r="L1379" s="14" t="s">
        <v>1400</v>
      </c>
      <c r="N1379" s="14">
        <v>0</v>
      </c>
      <c r="O1379" s="14" t="b">
        <v>1</v>
      </c>
      <c r="Q1379" s="14" t="b">
        <v>0</v>
      </c>
      <c r="R1379" s="14">
        <v>1</v>
      </c>
      <c r="S1379" s="14" t="s">
        <v>77</v>
      </c>
      <c r="T1379" s="14">
        <v>999</v>
      </c>
      <c r="U1379" s="14" t="s">
        <v>1401</v>
      </c>
      <c r="V1379" s="14">
        <v>31912047</v>
      </c>
      <c r="X1379" s="14" t="s">
        <v>1729</v>
      </c>
      <c r="Y1379" s="14" t="s">
        <v>215</v>
      </c>
      <c r="Z1379" s="14">
        <v>20142</v>
      </c>
      <c r="AA1379" s="14" t="s">
        <v>1730</v>
      </c>
      <c r="AB1379" s="14">
        <v>40001</v>
      </c>
      <c r="AE1379" s="14" t="s">
        <v>1400</v>
      </c>
      <c r="AF1379" s="14" t="s">
        <v>1400</v>
      </c>
      <c r="AG1379" s="14" t="s">
        <v>86</v>
      </c>
    </row>
    <row r="1380" spans="2:33">
      <c r="B1380" s="14">
        <f>10000000+INDEX(编号表!$B:$B,MATCH(H1380,编号表!$A:$A,0))*100000+INDEX(编号表!$F:$F,MATCH(D1380,编号表!$E:$E,0))*10000+INDEX(编号表!$D:$D,MATCH(AG1380,编号表!$C:$C,0))*1000+F1380</f>
        <v>11922048</v>
      </c>
      <c r="C1380" s="14" t="s">
        <v>1728</v>
      </c>
      <c r="D1380" s="14" t="s">
        <v>112</v>
      </c>
      <c r="E1380" s="14" t="s">
        <v>86</v>
      </c>
      <c r="F1380" s="14">
        <v>48</v>
      </c>
      <c r="G1380" s="14">
        <v>60</v>
      </c>
      <c r="H1380" s="14" t="s">
        <v>1400</v>
      </c>
      <c r="I1380" s="14" t="s">
        <v>75</v>
      </c>
      <c r="J1380" s="14" t="s">
        <v>201</v>
      </c>
      <c r="K1380" s="14">
        <v>1</v>
      </c>
      <c r="L1380" s="14" t="s">
        <v>1400</v>
      </c>
      <c r="N1380" s="14">
        <v>0</v>
      </c>
      <c r="O1380" s="14" t="b">
        <v>1</v>
      </c>
      <c r="Q1380" s="14" t="b">
        <v>0</v>
      </c>
      <c r="R1380" s="14">
        <v>1</v>
      </c>
      <c r="S1380" s="14" t="s">
        <v>77</v>
      </c>
      <c r="T1380" s="14">
        <v>999</v>
      </c>
      <c r="U1380" s="14" t="s">
        <v>1401</v>
      </c>
      <c r="V1380" s="14">
        <v>31922048</v>
      </c>
      <c r="X1380" s="14" t="s">
        <v>1731</v>
      </c>
      <c r="Y1380" s="14" t="s">
        <v>215</v>
      </c>
      <c r="Z1380" s="14">
        <v>20143</v>
      </c>
      <c r="AA1380" s="14" t="s">
        <v>1732</v>
      </c>
      <c r="AB1380" s="14">
        <v>40001</v>
      </c>
      <c r="AE1380" s="14" t="s">
        <v>1400</v>
      </c>
      <c r="AF1380" s="14" t="s">
        <v>1400</v>
      </c>
      <c r="AG1380" s="14" t="s">
        <v>86</v>
      </c>
    </row>
    <row r="1381" spans="2:33">
      <c r="B1381" s="14">
        <f>10000000+INDEX(编号表!$B:$B,MATCH(H1381,编号表!$A:$A,0))*100000+INDEX(编号表!$F:$F,MATCH(D1381,编号表!$E:$E,0))*10000+INDEX(编号表!$D:$D,MATCH(AG1381,编号表!$C:$C,0))*1000+F1381</f>
        <v>11932049</v>
      </c>
      <c r="C1381" s="14" t="s">
        <v>1728</v>
      </c>
      <c r="D1381" s="14" t="s">
        <v>276</v>
      </c>
      <c r="E1381" s="14" t="s">
        <v>86</v>
      </c>
      <c r="F1381" s="14">
        <v>49</v>
      </c>
      <c r="G1381" s="14">
        <v>60</v>
      </c>
      <c r="H1381" s="14" t="s">
        <v>1400</v>
      </c>
      <c r="I1381" s="14" t="s">
        <v>75</v>
      </c>
      <c r="J1381" s="14" t="s">
        <v>201</v>
      </c>
      <c r="K1381" s="14">
        <v>1</v>
      </c>
      <c r="L1381" s="14" t="s">
        <v>1400</v>
      </c>
      <c r="N1381" s="14">
        <v>0</v>
      </c>
      <c r="O1381" s="14" t="b">
        <v>1</v>
      </c>
      <c r="Q1381" s="14" t="b">
        <v>0</v>
      </c>
      <c r="R1381" s="14">
        <v>1</v>
      </c>
      <c r="S1381" s="14" t="s">
        <v>77</v>
      </c>
      <c r="T1381" s="14">
        <v>999</v>
      </c>
      <c r="U1381" s="14" t="s">
        <v>1401</v>
      </c>
      <c r="V1381" s="14">
        <v>31932049</v>
      </c>
      <c r="X1381" s="14" t="s">
        <v>1733</v>
      </c>
      <c r="Y1381" s="14" t="s">
        <v>215</v>
      </c>
      <c r="Z1381" s="14">
        <v>20144</v>
      </c>
      <c r="AA1381" s="14" t="s">
        <v>1734</v>
      </c>
      <c r="AB1381" s="14">
        <v>40001</v>
      </c>
      <c r="AE1381" s="14" t="s">
        <v>1400</v>
      </c>
      <c r="AF1381" s="14" t="s">
        <v>1400</v>
      </c>
      <c r="AG1381" s="14" t="s">
        <v>86</v>
      </c>
    </row>
    <row r="1382" spans="2:33">
      <c r="B1382" s="14">
        <f>10000000+INDEX(编号表!$B:$B,MATCH(H1382,编号表!$A:$A,0))*100000+INDEX(编号表!$F:$F,MATCH(D1382,编号表!$E:$E,0))*10000+INDEX(编号表!$D:$D,MATCH(AG1382,编号表!$C:$C,0))*1000+F1382</f>
        <v>11912048</v>
      </c>
      <c r="C1382" s="14" t="s">
        <v>1735</v>
      </c>
      <c r="D1382" s="14" t="s">
        <v>72</v>
      </c>
      <c r="E1382" s="14" t="s">
        <v>86</v>
      </c>
      <c r="F1382" s="14">
        <v>48</v>
      </c>
      <c r="G1382" s="14">
        <v>60</v>
      </c>
      <c r="H1382" s="14" t="s">
        <v>1400</v>
      </c>
      <c r="I1382" s="14" t="s">
        <v>75</v>
      </c>
      <c r="J1382" s="14" t="s">
        <v>201</v>
      </c>
      <c r="K1382" s="14">
        <v>1</v>
      </c>
      <c r="L1382" s="14" t="s">
        <v>1400</v>
      </c>
      <c r="N1382" s="14">
        <v>0</v>
      </c>
      <c r="O1382" s="14" t="b">
        <v>1</v>
      </c>
      <c r="Q1382" s="14" t="b">
        <v>0</v>
      </c>
      <c r="R1382" s="14">
        <v>1</v>
      </c>
      <c r="S1382" s="14" t="s">
        <v>77</v>
      </c>
      <c r="T1382" s="14">
        <v>999</v>
      </c>
      <c r="U1382" s="14" t="s">
        <v>1401</v>
      </c>
      <c r="V1382" s="14">
        <v>31912048</v>
      </c>
      <c r="X1382" s="14" t="s">
        <v>1736</v>
      </c>
      <c r="Y1382" s="14" t="s">
        <v>215</v>
      </c>
      <c r="Z1382" s="14">
        <v>20145</v>
      </c>
      <c r="AA1382" s="14" t="s">
        <v>1737</v>
      </c>
      <c r="AB1382" s="14">
        <v>40001</v>
      </c>
      <c r="AE1382" s="14" t="s">
        <v>1400</v>
      </c>
      <c r="AF1382" s="14" t="s">
        <v>1400</v>
      </c>
      <c r="AG1382" s="14" t="s">
        <v>86</v>
      </c>
    </row>
    <row r="1383" spans="2:33">
      <c r="B1383" s="14">
        <f>10000000+INDEX(编号表!$B:$B,MATCH(H1383,编号表!$A:$A,0))*100000+INDEX(编号表!$F:$F,MATCH(D1383,编号表!$E:$E,0))*10000+INDEX(编号表!$D:$D,MATCH(AG1383,编号表!$C:$C,0))*1000+F1383</f>
        <v>11922049</v>
      </c>
      <c r="C1383" s="14" t="s">
        <v>1735</v>
      </c>
      <c r="D1383" s="14" t="s">
        <v>112</v>
      </c>
      <c r="E1383" s="14" t="s">
        <v>86</v>
      </c>
      <c r="F1383" s="14">
        <v>49</v>
      </c>
      <c r="G1383" s="14">
        <v>60</v>
      </c>
      <c r="H1383" s="14" t="s">
        <v>1400</v>
      </c>
      <c r="I1383" s="14" t="s">
        <v>75</v>
      </c>
      <c r="J1383" s="14" t="s">
        <v>201</v>
      </c>
      <c r="K1383" s="14">
        <v>1</v>
      </c>
      <c r="L1383" s="14" t="s">
        <v>1400</v>
      </c>
      <c r="N1383" s="14">
        <v>0</v>
      </c>
      <c r="O1383" s="14" t="b">
        <v>1</v>
      </c>
      <c r="Q1383" s="14" t="b">
        <v>0</v>
      </c>
      <c r="R1383" s="14">
        <v>1</v>
      </c>
      <c r="S1383" s="14" t="s">
        <v>77</v>
      </c>
      <c r="T1383" s="14">
        <v>999</v>
      </c>
      <c r="U1383" s="14" t="s">
        <v>1401</v>
      </c>
      <c r="V1383" s="14">
        <v>31922049</v>
      </c>
      <c r="X1383" s="14" t="s">
        <v>1738</v>
      </c>
      <c r="Y1383" s="14" t="s">
        <v>215</v>
      </c>
      <c r="Z1383" s="14">
        <v>20146</v>
      </c>
      <c r="AA1383" s="14" t="s">
        <v>1739</v>
      </c>
      <c r="AB1383" s="14">
        <v>40001</v>
      </c>
      <c r="AE1383" s="14" t="s">
        <v>1400</v>
      </c>
      <c r="AF1383" s="14" t="s">
        <v>1400</v>
      </c>
      <c r="AG1383" s="14" t="s">
        <v>86</v>
      </c>
    </row>
    <row r="1384" spans="2:33">
      <c r="B1384" s="14">
        <f>10000000+INDEX(编号表!$B:$B,MATCH(H1384,编号表!$A:$A,0))*100000+INDEX(编号表!$F:$F,MATCH(D1384,编号表!$E:$E,0))*10000+INDEX(编号表!$D:$D,MATCH(AG1384,编号表!$C:$C,0))*1000+F1384</f>
        <v>11932050</v>
      </c>
      <c r="C1384" s="14" t="s">
        <v>1735</v>
      </c>
      <c r="D1384" s="14" t="s">
        <v>276</v>
      </c>
      <c r="E1384" s="14" t="s">
        <v>86</v>
      </c>
      <c r="F1384" s="14">
        <v>50</v>
      </c>
      <c r="G1384" s="14">
        <v>60</v>
      </c>
      <c r="H1384" s="14" t="s">
        <v>1400</v>
      </c>
      <c r="I1384" s="14" t="s">
        <v>75</v>
      </c>
      <c r="J1384" s="14" t="s">
        <v>201</v>
      </c>
      <c r="K1384" s="14">
        <v>1</v>
      </c>
      <c r="L1384" s="14" t="s">
        <v>1400</v>
      </c>
      <c r="N1384" s="14">
        <v>0</v>
      </c>
      <c r="O1384" s="14" t="b">
        <v>1</v>
      </c>
      <c r="Q1384" s="14" t="b">
        <v>0</v>
      </c>
      <c r="R1384" s="14">
        <v>1</v>
      </c>
      <c r="S1384" s="14" t="s">
        <v>77</v>
      </c>
      <c r="T1384" s="14">
        <v>999</v>
      </c>
      <c r="U1384" s="14" t="s">
        <v>1401</v>
      </c>
      <c r="V1384" s="14">
        <v>31932050</v>
      </c>
      <c r="X1384" s="14" t="s">
        <v>1740</v>
      </c>
      <c r="Y1384" s="14" t="s">
        <v>215</v>
      </c>
      <c r="Z1384" s="14">
        <v>20147</v>
      </c>
      <c r="AA1384" s="14" t="s">
        <v>1741</v>
      </c>
      <c r="AB1384" s="14">
        <v>40001</v>
      </c>
      <c r="AE1384" s="14" t="s">
        <v>1400</v>
      </c>
      <c r="AF1384" s="14" t="s">
        <v>1400</v>
      </c>
      <c r="AG1384" s="14" t="s">
        <v>86</v>
      </c>
    </row>
    <row r="1385" spans="2:33">
      <c r="B1385" s="14">
        <f>10000000+INDEX(编号表!$B:$B,MATCH(H1385,编号表!$A:$A,0))*100000+INDEX(编号表!$F:$F,MATCH(D1385,编号表!$E:$E,0))*10000+INDEX(编号表!$D:$D,MATCH(AG1385,编号表!$C:$C,0))*1000+F1385</f>
        <v>11912049</v>
      </c>
      <c r="C1385" s="14" t="s">
        <v>1742</v>
      </c>
      <c r="D1385" s="14" t="s">
        <v>72</v>
      </c>
      <c r="E1385" s="14" t="s">
        <v>86</v>
      </c>
      <c r="F1385" s="14">
        <v>49</v>
      </c>
      <c r="G1385" s="14">
        <v>60</v>
      </c>
      <c r="H1385" s="14" t="s">
        <v>1400</v>
      </c>
      <c r="I1385" s="14" t="s">
        <v>75</v>
      </c>
      <c r="J1385" s="14" t="s">
        <v>201</v>
      </c>
      <c r="K1385" s="14">
        <v>1</v>
      </c>
      <c r="L1385" s="14" t="s">
        <v>1400</v>
      </c>
      <c r="N1385" s="14">
        <v>0</v>
      </c>
      <c r="O1385" s="14" t="b">
        <v>1</v>
      </c>
      <c r="Q1385" s="14" t="b">
        <v>0</v>
      </c>
      <c r="R1385" s="14">
        <v>1</v>
      </c>
      <c r="S1385" s="14" t="s">
        <v>77</v>
      </c>
      <c r="T1385" s="14">
        <v>999</v>
      </c>
      <c r="U1385" s="14" t="s">
        <v>1401</v>
      </c>
      <c r="V1385" s="14">
        <v>31912049</v>
      </c>
      <c r="X1385" s="14" t="s">
        <v>1743</v>
      </c>
      <c r="Y1385" s="14" t="s">
        <v>215</v>
      </c>
      <c r="Z1385" s="14">
        <v>20148</v>
      </c>
      <c r="AA1385" s="14" t="s">
        <v>1744</v>
      </c>
      <c r="AB1385" s="14">
        <v>40001</v>
      </c>
      <c r="AE1385" s="14" t="s">
        <v>1400</v>
      </c>
      <c r="AF1385" s="14" t="s">
        <v>1400</v>
      </c>
      <c r="AG1385" s="14" t="s">
        <v>86</v>
      </c>
    </row>
    <row r="1386" spans="2:33">
      <c r="B1386" s="14">
        <f>10000000+INDEX(编号表!$B:$B,MATCH(H1386,编号表!$A:$A,0))*100000+INDEX(编号表!$F:$F,MATCH(D1386,编号表!$E:$E,0))*10000+INDEX(编号表!$D:$D,MATCH(AG1386,编号表!$C:$C,0))*1000+F1386</f>
        <v>11922050</v>
      </c>
      <c r="C1386" s="14" t="s">
        <v>1742</v>
      </c>
      <c r="D1386" s="14" t="s">
        <v>112</v>
      </c>
      <c r="E1386" s="14" t="s">
        <v>86</v>
      </c>
      <c r="F1386" s="14">
        <v>50</v>
      </c>
      <c r="G1386" s="14">
        <v>60</v>
      </c>
      <c r="H1386" s="14" t="s">
        <v>1400</v>
      </c>
      <c r="I1386" s="14" t="s">
        <v>75</v>
      </c>
      <c r="J1386" s="14" t="s">
        <v>201</v>
      </c>
      <c r="K1386" s="14">
        <v>1</v>
      </c>
      <c r="L1386" s="14" t="s">
        <v>1400</v>
      </c>
      <c r="N1386" s="14">
        <v>0</v>
      </c>
      <c r="O1386" s="14" t="b">
        <v>1</v>
      </c>
      <c r="Q1386" s="14" t="b">
        <v>0</v>
      </c>
      <c r="R1386" s="14">
        <v>1</v>
      </c>
      <c r="S1386" s="14" t="s">
        <v>77</v>
      </c>
      <c r="T1386" s="14">
        <v>999</v>
      </c>
      <c r="U1386" s="14" t="s">
        <v>1401</v>
      </c>
      <c r="V1386" s="14">
        <v>31922050</v>
      </c>
      <c r="X1386" s="14" t="s">
        <v>1745</v>
      </c>
      <c r="Y1386" s="14" t="s">
        <v>215</v>
      </c>
      <c r="Z1386" s="14">
        <v>20149</v>
      </c>
      <c r="AA1386" s="14" t="s">
        <v>1746</v>
      </c>
      <c r="AB1386" s="14">
        <v>40001</v>
      </c>
      <c r="AE1386" s="14" t="s">
        <v>1400</v>
      </c>
      <c r="AF1386" s="14" t="s">
        <v>1400</v>
      </c>
      <c r="AG1386" s="14" t="s">
        <v>86</v>
      </c>
    </row>
    <row r="1387" spans="2:33">
      <c r="B1387" s="14">
        <f>10000000+INDEX(编号表!$B:$B,MATCH(H1387,编号表!$A:$A,0))*100000+INDEX(编号表!$F:$F,MATCH(D1387,编号表!$E:$E,0))*10000+INDEX(编号表!$D:$D,MATCH(AG1387,编号表!$C:$C,0))*1000+F1387</f>
        <v>11932051</v>
      </c>
      <c r="C1387" s="14" t="s">
        <v>1742</v>
      </c>
      <c r="D1387" s="14" t="s">
        <v>276</v>
      </c>
      <c r="E1387" s="14" t="s">
        <v>86</v>
      </c>
      <c r="F1387" s="14">
        <v>51</v>
      </c>
      <c r="G1387" s="14">
        <v>60</v>
      </c>
      <c r="H1387" s="14" t="s">
        <v>1400</v>
      </c>
      <c r="I1387" s="14" t="s">
        <v>75</v>
      </c>
      <c r="J1387" s="14" t="s">
        <v>201</v>
      </c>
      <c r="K1387" s="14">
        <v>1</v>
      </c>
      <c r="L1387" s="14" t="s">
        <v>1400</v>
      </c>
      <c r="N1387" s="14">
        <v>0</v>
      </c>
      <c r="O1387" s="14" t="b">
        <v>1</v>
      </c>
      <c r="Q1387" s="14" t="b">
        <v>0</v>
      </c>
      <c r="R1387" s="14">
        <v>1</v>
      </c>
      <c r="S1387" s="14" t="s">
        <v>77</v>
      </c>
      <c r="T1387" s="14">
        <v>999</v>
      </c>
      <c r="U1387" s="14" t="s">
        <v>1401</v>
      </c>
      <c r="V1387" s="14">
        <v>31932051</v>
      </c>
      <c r="X1387" s="14" t="s">
        <v>1747</v>
      </c>
      <c r="Y1387" s="14" t="s">
        <v>215</v>
      </c>
      <c r="Z1387" s="14">
        <v>20150</v>
      </c>
      <c r="AA1387" s="14" t="s">
        <v>1748</v>
      </c>
      <c r="AB1387" s="14">
        <v>40001</v>
      </c>
      <c r="AE1387" s="14" t="s">
        <v>1400</v>
      </c>
      <c r="AF1387" s="14" t="s">
        <v>1400</v>
      </c>
      <c r="AG1387" s="14" t="s">
        <v>86</v>
      </c>
    </row>
    <row r="1388" spans="2:33">
      <c r="B1388" s="14">
        <f>10000000+INDEX(编号表!$B:$B,MATCH(H1388,编号表!$A:$A,0))*100000+INDEX(编号表!$F:$F,MATCH(D1388,编号表!$E:$E,0))*10000+INDEX(编号表!$D:$D,MATCH(AG1388,编号表!$C:$C,0))*1000+F1388</f>
        <v>11912050</v>
      </c>
      <c r="C1388" s="14" t="s">
        <v>1749</v>
      </c>
      <c r="D1388" s="14" t="s">
        <v>72</v>
      </c>
      <c r="E1388" s="14" t="s">
        <v>86</v>
      </c>
      <c r="F1388" s="14">
        <v>50</v>
      </c>
      <c r="G1388" s="14">
        <v>60</v>
      </c>
      <c r="H1388" s="14" t="s">
        <v>1400</v>
      </c>
      <c r="I1388" s="14" t="s">
        <v>75</v>
      </c>
      <c r="J1388" s="14" t="s">
        <v>201</v>
      </c>
      <c r="K1388" s="14">
        <v>1</v>
      </c>
      <c r="L1388" s="14" t="s">
        <v>1400</v>
      </c>
      <c r="N1388" s="14">
        <v>0</v>
      </c>
      <c r="O1388" s="14" t="b">
        <v>1</v>
      </c>
      <c r="Q1388" s="14" t="b">
        <v>0</v>
      </c>
      <c r="R1388" s="14">
        <v>1</v>
      </c>
      <c r="S1388" s="14" t="s">
        <v>77</v>
      </c>
      <c r="T1388" s="14">
        <v>999</v>
      </c>
      <c r="U1388" s="14" t="s">
        <v>1401</v>
      </c>
      <c r="V1388" s="14">
        <v>31912050</v>
      </c>
      <c r="X1388" s="14" t="s">
        <v>1750</v>
      </c>
      <c r="Y1388" s="14" t="s">
        <v>215</v>
      </c>
      <c r="Z1388" s="14">
        <v>20151</v>
      </c>
      <c r="AA1388" s="14" t="s">
        <v>1751</v>
      </c>
      <c r="AB1388" s="14">
        <v>40001</v>
      </c>
      <c r="AE1388" s="14" t="s">
        <v>1400</v>
      </c>
      <c r="AF1388" s="14" t="s">
        <v>1400</v>
      </c>
      <c r="AG1388" s="14" t="s">
        <v>86</v>
      </c>
    </row>
    <row r="1389" spans="2:33">
      <c r="B1389" s="14">
        <f>10000000+INDEX(编号表!$B:$B,MATCH(H1389,编号表!$A:$A,0))*100000+INDEX(编号表!$F:$F,MATCH(D1389,编号表!$E:$E,0))*10000+INDEX(编号表!$D:$D,MATCH(AG1389,编号表!$C:$C,0))*1000+F1389</f>
        <v>11922051</v>
      </c>
      <c r="C1389" s="14" t="s">
        <v>1749</v>
      </c>
      <c r="D1389" s="14" t="s">
        <v>112</v>
      </c>
      <c r="E1389" s="14" t="s">
        <v>86</v>
      </c>
      <c r="F1389" s="14">
        <v>51</v>
      </c>
      <c r="G1389" s="14">
        <v>60</v>
      </c>
      <c r="H1389" s="14" t="s">
        <v>1400</v>
      </c>
      <c r="I1389" s="14" t="s">
        <v>75</v>
      </c>
      <c r="J1389" s="14" t="s">
        <v>201</v>
      </c>
      <c r="K1389" s="14">
        <v>1</v>
      </c>
      <c r="L1389" s="14" t="s">
        <v>1400</v>
      </c>
      <c r="N1389" s="14">
        <v>0</v>
      </c>
      <c r="O1389" s="14" t="b">
        <v>1</v>
      </c>
      <c r="Q1389" s="14" t="b">
        <v>0</v>
      </c>
      <c r="R1389" s="14">
        <v>1</v>
      </c>
      <c r="S1389" s="14" t="s">
        <v>77</v>
      </c>
      <c r="T1389" s="14">
        <v>999</v>
      </c>
      <c r="U1389" s="14" t="s">
        <v>1401</v>
      </c>
      <c r="V1389" s="14">
        <v>31922051</v>
      </c>
      <c r="X1389" s="14" t="s">
        <v>1752</v>
      </c>
      <c r="Y1389" s="14" t="s">
        <v>215</v>
      </c>
      <c r="Z1389" s="14">
        <v>20152</v>
      </c>
      <c r="AA1389" s="14" t="s">
        <v>1753</v>
      </c>
      <c r="AB1389" s="14">
        <v>40001</v>
      </c>
      <c r="AE1389" s="14" t="s">
        <v>1400</v>
      </c>
      <c r="AF1389" s="14" t="s">
        <v>1400</v>
      </c>
      <c r="AG1389" s="14" t="s">
        <v>86</v>
      </c>
    </row>
    <row r="1390" spans="2:33">
      <c r="B1390" s="14">
        <f>10000000+INDEX(编号表!$B:$B,MATCH(H1390,编号表!$A:$A,0))*100000+INDEX(编号表!$F:$F,MATCH(D1390,编号表!$E:$E,0))*10000+INDEX(编号表!$D:$D,MATCH(AG1390,编号表!$C:$C,0))*1000+F1390</f>
        <v>11932052</v>
      </c>
      <c r="C1390" s="14" t="s">
        <v>1749</v>
      </c>
      <c r="D1390" s="14" t="s">
        <v>276</v>
      </c>
      <c r="E1390" s="14" t="s">
        <v>86</v>
      </c>
      <c r="F1390" s="14">
        <v>52</v>
      </c>
      <c r="G1390" s="14">
        <v>60</v>
      </c>
      <c r="H1390" s="14" t="s">
        <v>1400</v>
      </c>
      <c r="I1390" s="14" t="s">
        <v>75</v>
      </c>
      <c r="J1390" s="14" t="s">
        <v>201</v>
      </c>
      <c r="K1390" s="14">
        <v>1</v>
      </c>
      <c r="L1390" s="14" t="s">
        <v>1400</v>
      </c>
      <c r="N1390" s="14">
        <v>0</v>
      </c>
      <c r="O1390" s="14" t="b">
        <v>1</v>
      </c>
      <c r="Q1390" s="14" t="b">
        <v>0</v>
      </c>
      <c r="R1390" s="14">
        <v>1</v>
      </c>
      <c r="S1390" s="14" t="s">
        <v>77</v>
      </c>
      <c r="T1390" s="14">
        <v>999</v>
      </c>
      <c r="U1390" s="14" t="s">
        <v>1401</v>
      </c>
      <c r="V1390" s="14">
        <v>31932052</v>
      </c>
      <c r="X1390" s="14" t="s">
        <v>1754</v>
      </c>
      <c r="Y1390" s="14" t="s">
        <v>215</v>
      </c>
      <c r="Z1390" s="14">
        <v>20153</v>
      </c>
      <c r="AA1390" s="14" t="s">
        <v>1755</v>
      </c>
      <c r="AB1390" s="14">
        <v>40001</v>
      </c>
      <c r="AE1390" s="14" t="s">
        <v>1400</v>
      </c>
      <c r="AF1390" s="14" t="s">
        <v>1400</v>
      </c>
      <c r="AG1390" s="14" t="s">
        <v>86</v>
      </c>
    </row>
    <row r="1391" spans="2:33">
      <c r="B1391" s="14">
        <f>10000000+INDEX(编号表!$B:$B,MATCH(H1391,编号表!$A:$A,0))*100000+INDEX(编号表!$F:$F,MATCH(D1391,编号表!$E:$E,0))*10000+INDEX(编号表!$D:$D,MATCH(AG1391,编号表!$C:$C,0))*1000+F1391</f>
        <v>11912051</v>
      </c>
      <c r="C1391" s="14" t="s">
        <v>1756</v>
      </c>
      <c r="D1391" s="14" t="s">
        <v>72</v>
      </c>
      <c r="E1391" s="14" t="s">
        <v>86</v>
      </c>
      <c r="F1391" s="14">
        <v>51</v>
      </c>
      <c r="G1391" s="14">
        <v>60</v>
      </c>
      <c r="H1391" s="14" t="s">
        <v>1400</v>
      </c>
      <c r="I1391" s="14" t="s">
        <v>75</v>
      </c>
      <c r="J1391" s="14" t="s">
        <v>201</v>
      </c>
      <c r="K1391" s="14">
        <v>1</v>
      </c>
      <c r="L1391" s="14" t="s">
        <v>1400</v>
      </c>
      <c r="N1391" s="14">
        <v>0</v>
      </c>
      <c r="O1391" s="14" t="b">
        <v>1</v>
      </c>
      <c r="Q1391" s="14" t="b">
        <v>0</v>
      </c>
      <c r="R1391" s="14">
        <v>1</v>
      </c>
      <c r="S1391" s="14" t="s">
        <v>77</v>
      </c>
      <c r="T1391" s="14">
        <v>999</v>
      </c>
      <c r="U1391" s="14" t="s">
        <v>1401</v>
      </c>
      <c r="V1391" s="14">
        <v>31912051</v>
      </c>
      <c r="X1391" s="14" t="s">
        <v>1757</v>
      </c>
      <c r="Y1391" s="14" t="s">
        <v>215</v>
      </c>
      <c r="Z1391" s="14">
        <v>20154</v>
      </c>
      <c r="AA1391" s="14" t="s">
        <v>1758</v>
      </c>
      <c r="AB1391" s="14">
        <v>40001</v>
      </c>
      <c r="AE1391" s="14" t="s">
        <v>1400</v>
      </c>
      <c r="AF1391" s="14" t="s">
        <v>1400</v>
      </c>
      <c r="AG1391" s="14" t="s">
        <v>86</v>
      </c>
    </row>
    <row r="1392" spans="2:33">
      <c r="B1392" s="14">
        <f>10000000+INDEX(编号表!$B:$B,MATCH(H1392,编号表!$A:$A,0))*100000+INDEX(编号表!$F:$F,MATCH(D1392,编号表!$E:$E,0))*10000+INDEX(编号表!$D:$D,MATCH(AG1392,编号表!$C:$C,0))*1000+F1392</f>
        <v>11922052</v>
      </c>
      <c r="C1392" s="14" t="s">
        <v>1756</v>
      </c>
      <c r="D1392" s="14" t="s">
        <v>112</v>
      </c>
      <c r="E1392" s="14" t="s">
        <v>86</v>
      </c>
      <c r="F1392" s="14">
        <v>52</v>
      </c>
      <c r="G1392" s="14">
        <v>60</v>
      </c>
      <c r="H1392" s="14" t="s">
        <v>1400</v>
      </c>
      <c r="I1392" s="14" t="s">
        <v>75</v>
      </c>
      <c r="J1392" s="14" t="s">
        <v>201</v>
      </c>
      <c r="K1392" s="14">
        <v>1</v>
      </c>
      <c r="L1392" s="14" t="s">
        <v>1400</v>
      </c>
      <c r="N1392" s="14">
        <v>0</v>
      </c>
      <c r="O1392" s="14" t="b">
        <v>1</v>
      </c>
      <c r="Q1392" s="14" t="b">
        <v>0</v>
      </c>
      <c r="R1392" s="14">
        <v>1</v>
      </c>
      <c r="S1392" s="14" t="s">
        <v>77</v>
      </c>
      <c r="T1392" s="14">
        <v>999</v>
      </c>
      <c r="U1392" s="14" t="s">
        <v>1401</v>
      </c>
      <c r="V1392" s="14">
        <v>31922052</v>
      </c>
      <c r="X1392" s="14" t="s">
        <v>1759</v>
      </c>
      <c r="Y1392" s="14" t="s">
        <v>215</v>
      </c>
      <c r="Z1392" s="14">
        <v>20155</v>
      </c>
      <c r="AA1392" s="14" t="s">
        <v>1760</v>
      </c>
      <c r="AB1392" s="14">
        <v>40001</v>
      </c>
      <c r="AE1392" s="14" t="s">
        <v>1400</v>
      </c>
      <c r="AF1392" s="14" t="s">
        <v>1400</v>
      </c>
      <c r="AG1392" s="14" t="s">
        <v>86</v>
      </c>
    </row>
    <row r="1393" spans="2:33">
      <c r="B1393" s="14">
        <f>10000000+INDEX(编号表!$B:$B,MATCH(H1393,编号表!$A:$A,0))*100000+INDEX(编号表!$F:$F,MATCH(D1393,编号表!$E:$E,0))*10000+INDEX(编号表!$D:$D,MATCH(AG1393,编号表!$C:$C,0))*1000+F1393</f>
        <v>11932053</v>
      </c>
      <c r="C1393" s="14" t="s">
        <v>1756</v>
      </c>
      <c r="D1393" s="14" t="s">
        <v>276</v>
      </c>
      <c r="E1393" s="14" t="s">
        <v>86</v>
      </c>
      <c r="F1393" s="14">
        <v>53</v>
      </c>
      <c r="G1393" s="14">
        <v>60</v>
      </c>
      <c r="H1393" s="14" t="s">
        <v>1400</v>
      </c>
      <c r="I1393" s="14" t="s">
        <v>75</v>
      </c>
      <c r="J1393" s="14" t="s">
        <v>201</v>
      </c>
      <c r="K1393" s="14">
        <v>1</v>
      </c>
      <c r="L1393" s="14" t="s">
        <v>1400</v>
      </c>
      <c r="N1393" s="14">
        <v>0</v>
      </c>
      <c r="O1393" s="14" t="b">
        <v>1</v>
      </c>
      <c r="Q1393" s="14" t="b">
        <v>0</v>
      </c>
      <c r="R1393" s="14">
        <v>1</v>
      </c>
      <c r="S1393" s="14" t="s">
        <v>77</v>
      </c>
      <c r="T1393" s="14">
        <v>999</v>
      </c>
      <c r="U1393" s="14" t="s">
        <v>1401</v>
      </c>
      <c r="V1393" s="14">
        <v>31932053</v>
      </c>
      <c r="X1393" s="14" t="s">
        <v>1761</v>
      </c>
      <c r="Y1393" s="14" t="s">
        <v>215</v>
      </c>
      <c r="Z1393" s="14">
        <v>20156</v>
      </c>
      <c r="AA1393" s="14" t="s">
        <v>1762</v>
      </c>
      <c r="AB1393" s="14">
        <v>40001</v>
      </c>
      <c r="AE1393" s="14" t="s">
        <v>1400</v>
      </c>
      <c r="AF1393" s="14" t="s">
        <v>1400</v>
      </c>
      <c r="AG1393" s="14" t="s">
        <v>86</v>
      </c>
    </row>
    <row r="1394" spans="2:33">
      <c r="B1394" s="14">
        <f>10000000+INDEX(编号表!$B:$B,MATCH(H1394,编号表!$A:$A,0))*100000+INDEX(编号表!$F:$F,MATCH(D1394,编号表!$E:$E,0))*10000+INDEX(编号表!$D:$D,MATCH(AG1394,编号表!$C:$C,0))*1000+F1394</f>
        <v>11912052</v>
      </c>
      <c r="C1394" s="14" t="s">
        <v>1763</v>
      </c>
      <c r="D1394" s="14" t="s">
        <v>72</v>
      </c>
      <c r="E1394" s="14" t="s">
        <v>86</v>
      </c>
      <c r="F1394" s="14">
        <v>52</v>
      </c>
      <c r="G1394" s="14">
        <v>60</v>
      </c>
      <c r="H1394" s="14" t="s">
        <v>1400</v>
      </c>
      <c r="I1394" s="14" t="s">
        <v>75</v>
      </c>
      <c r="J1394" s="14" t="s">
        <v>201</v>
      </c>
      <c r="K1394" s="14">
        <v>1</v>
      </c>
      <c r="L1394" s="14" t="s">
        <v>1400</v>
      </c>
      <c r="N1394" s="14">
        <v>0</v>
      </c>
      <c r="O1394" s="14" t="b">
        <v>1</v>
      </c>
      <c r="Q1394" s="14" t="b">
        <v>0</v>
      </c>
      <c r="R1394" s="14">
        <v>1</v>
      </c>
      <c r="S1394" s="14" t="s">
        <v>77</v>
      </c>
      <c r="T1394" s="14">
        <v>999</v>
      </c>
      <c r="U1394" s="14" t="s">
        <v>1401</v>
      </c>
      <c r="V1394" s="14">
        <v>31912052</v>
      </c>
      <c r="X1394" s="14" t="s">
        <v>1764</v>
      </c>
      <c r="Y1394" s="14" t="s">
        <v>215</v>
      </c>
      <c r="Z1394" s="14">
        <v>20157</v>
      </c>
      <c r="AA1394" s="14" t="s">
        <v>1765</v>
      </c>
      <c r="AB1394" s="14">
        <v>40001</v>
      </c>
      <c r="AE1394" s="14" t="s">
        <v>1400</v>
      </c>
      <c r="AF1394" s="14" t="s">
        <v>1400</v>
      </c>
      <c r="AG1394" s="14" t="s">
        <v>86</v>
      </c>
    </row>
    <row r="1395" spans="2:33">
      <c r="B1395" s="14">
        <f>10000000+INDEX(编号表!$B:$B,MATCH(H1395,编号表!$A:$A,0))*100000+INDEX(编号表!$F:$F,MATCH(D1395,编号表!$E:$E,0))*10000+INDEX(编号表!$D:$D,MATCH(AG1395,编号表!$C:$C,0))*1000+F1395</f>
        <v>11922053</v>
      </c>
      <c r="C1395" s="14" t="s">
        <v>1763</v>
      </c>
      <c r="D1395" s="14" t="s">
        <v>112</v>
      </c>
      <c r="E1395" s="14" t="s">
        <v>86</v>
      </c>
      <c r="F1395" s="14">
        <v>53</v>
      </c>
      <c r="G1395" s="14">
        <v>60</v>
      </c>
      <c r="H1395" s="14" t="s">
        <v>1400</v>
      </c>
      <c r="I1395" s="14" t="s">
        <v>75</v>
      </c>
      <c r="J1395" s="14" t="s">
        <v>201</v>
      </c>
      <c r="K1395" s="14">
        <v>1</v>
      </c>
      <c r="L1395" s="14" t="s">
        <v>1400</v>
      </c>
      <c r="N1395" s="14">
        <v>0</v>
      </c>
      <c r="O1395" s="14" t="b">
        <v>1</v>
      </c>
      <c r="Q1395" s="14" t="b">
        <v>0</v>
      </c>
      <c r="R1395" s="14">
        <v>1</v>
      </c>
      <c r="S1395" s="14" t="s">
        <v>77</v>
      </c>
      <c r="T1395" s="14">
        <v>999</v>
      </c>
      <c r="U1395" s="14" t="s">
        <v>1401</v>
      </c>
      <c r="V1395" s="14">
        <v>31922053</v>
      </c>
      <c r="X1395" s="14" t="s">
        <v>1766</v>
      </c>
      <c r="Y1395" s="14" t="s">
        <v>215</v>
      </c>
      <c r="Z1395" s="14">
        <v>20158</v>
      </c>
      <c r="AA1395" s="14" t="s">
        <v>1767</v>
      </c>
      <c r="AB1395" s="14">
        <v>40001</v>
      </c>
      <c r="AE1395" s="14" t="s">
        <v>1400</v>
      </c>
      <c r="AF1395" s="14" t="s">
        <v>1400</v>
      </c>
      <c r="AG1395" s="14" t="s">
        <v>86</v>
      </c>
    </row>
    <row r="1396" spans="2:33">
      <c r="B1396" s="14">
        <f>10000000+INDEX(编号表!$B:$B,MATCH(H1396,编号表!$A:$A,0))*100000+INDEX(编号表!$F:$F,MATCH(D1396,编号表!$E:$E,0))*10000+INDEX(编号表!$D:$D,MATCH(AG1396,编号表!$C:$C,0))*1000+F1396</f>
        <v>11932054</v>
      </c>
      <c r="C1396" s="14" t="s">
        <v>1763</v>
      </c>
      <c r="D1396" s="14" t="s">
        <v>276</v>
      </c>
      <c r="E1396" s="14" t="s">
        <v>86</v>
      </c>
      <c r="F1396" s="14">
        <v>54</v>
      </c>
      <c r="G1396" s="14">
        <v>60</v>
      </c>
      <c r="H1396" s="14" t="s">
        <v>1400</v>
      </c>
      <c r="I1396" s="14" t="s">
        <v>75</v>
      </c>
      <c r="J1396" s="14" t="s">
        <v>201</v>
      </c>
      <c r="K1396" s="14">
        <v>1</v>
      </c>
      <c r="L1396" s="14" t="s">
        <v>1400</v>
      </c>
      <c r="N1396" s="14">
        <v>0</v>
      </c>
      <c r="O1396" s="14" t="b">
        <v>1</v>
      </c>
      <c r="Q1396" s="14" t="b">
        <v>0</v>
      </c>
      <c r="R1396" s="14">
        <v>1</v>
      </c>
      <c r="S1396" s="14" t="s">
        <v>77</v>
      </c>
      <c r="T1396" s="14">
        <v>999</v>
      </c>
      <c r="U1396" s="14" t="s">
        <v>1401</v>
      </c>
      <c r="V1396" s="14">
        <v>31932054</v>
      </c>
      <c r="X1396" s="14" t="s">
        <v>1768</v>
      </c>
      <c r="Y1396" s="14" t="s">
        <v>215</v>
      </c>
      <c r="Z1396" s="14">
        <v>20159</v>
      </c>
      <c r="AA1396" s="14" t="s">
        <v>1769</v>
      </c>
      <c r="AB1396" s="14">
        <v>40001</v>
      </c>
      <c r="AE1396" s="14" t="s">
        <v>1400</v>
      </c>
      <c r="AF1396" s="14" t="s">
        <v>1400</v>
      </c>
      <c r="AG1396" s="14" t="s">
        <v>86</v>
      </c>
    </row>
    <row r="1397" spans="2:33">
      <c r="B1397" s="14">
        <f>10000000+INDEX(编号表!$B:$B,MATCH(H1397,编号表!$A:$A,0))*100000+INDEX(编号表!$F:$F,MATCH(D1397,编号表!$E:$E,0))*10000+INDEX(编号表!$D:$D,MATCH(AG1397,编号表!$C:$C,0))*1000+F1397</f>
        <v>11912053</v>
      </c>
      <c r="C1397" s="14" t="s">
        <v>1770</v>
      </c>
      <c r="D1397" s="14" t="s">
        <v>72</v>
      </c>
      <c r="E1397" s="14" t="s">
        <v>86</v>
      </c>
      <c r="F1397" s="14">
        <v>53</v>
      </c>
      <c r="G1397" s="14">
        <v>60</v>
      </c>
      <c r="H1397" s="14" t="s">
        <v>1400</v>
      </c>
      <c r="I1397" s="14" t="s">
        <v>75</v>
      </c>
      <c r="J1397" s="14" t="s">
        <v>201</v>
      </c>
      <c r="K1397" s="14">
        <v>1</v>
      </c>
      <c r="L1397" s="14" t="s">
        <v>1400</v>
      </c>
      <c r="N1397" s="14">
        <v>0</v>
      </c>
      <c r="O1397" s="14" t="b">
        <v>1</v>
      </c>
      <c r="Q1397" s="14" t="b">
        <v>0</v>
      </c>
      <c r="R1397" s="14">
        <v>1</v>
      </c>
      <c r="S1397" s="14" t="s">
        <v>77</v>
      </c>
      <c r="T1397" s="14">
        <v>999</v>
      </c>
      <c r="U1397" s="14" t="s">
        <v>1401</v>
      </c>
      <c r="V1397" s="14">
        <v>31912053</v>
      </c>
      <c r="X1397" s="14" t="s">
        <v>1771</v>
      </c>
      <c r="Y1397" s="14" t="s">
        <v>215</v>
      </c>
      <c r="Z1397" s="14">
        <v>20160</v>
      </c>
      <c r="AA1397" s="14" t="s">
        <v>1772</v>
      </c>
      <c r="AB1397" s="14">
        <v>40001</v>
      </c>
      <c r="AE1397" s="14" t="s">
        <v>1400</v>
      </c>
      <c r="AF1397" s="14" t="s">
        <v>1400</v>
      </c>
      <c r="AG1397" s="14" t="s">
        <v>86</v>
      </c>
    </row>
    <row r="1398" spans="2:33">
      <c r="B1398" s="14">
        <f>10000000+INDEX(编号表!$B:$B,MATCH(H1398,编号表!$A:$A,0))*100000+INDEX(编号表!$F:$F,MATCH(D1398,编号表!$E:$E,0))*10000+INDEX(编号表!$D:$D,MATCH(AG1398,编号表!$C:$C,0))*1000+F1398</f>
        <v>11922054</v>
      </c>
      <c r="C1398" s="14" t="s">
        <v>1770</v>
      </c>
      <c r="D1398" s="14" t="s">
        <v>112</v>
      </c>
      <c r="E1398" s="14" t="s">
        <v>86</v>
      </c>
      <c r="F1398" s="14">
        <v>54</v>
      </c>
      <c r="G1398" s="14">
        <v>60</v>
      </c>
      <c r="H1398" s="14" t="s">
        <v>1400</v>
      </c>
      <c r="I1398" s="14" t="s">
        <v>75</v>
      </c>
      <c r="J1398" s="14" t="s">
        <v>201</v>
      </c>
      <c r="K1398" s="14">
        <v>1</v>
      </c>
      <c r="L1398" s="14" t="s">
        <v>1400</v>
      </c>
      <c r="N1398" s="14">
        <v>0</v>
      </c>
      <c r="O1398" s="14" t="b">
        <v>1</v>
      </c>
      <c r="Q1398" s="14" t="b">
        <v>0</v>
      </c>
      <c r="R1398" s="14">
        <v>1</v>
      </c>
      <c r="S1398" s="14" t="s">
        <v>77</v>
      </c>
      <c r="T1398" s="14">
        <v>999</v>
      </c>
      <c r="U1398" s="14" t="s">
        <v>1401</v>
      </c>
      <c r="V1398" s="14">
        <v>31922054</v>
      </c>
      <c r="X1398" s="14" t="s">
        <v>1773</v>
      </c>
      <c r="Y1398" s="14" t="s">
        <v>215</v>
      </c>
      <c r="Z1398" s="14">
        <v>20161</v>
      </c>
      <c r="AA1398" s="14" t="s">
        <v>1774</v>
      </c>
      <c r="AB1398" s="14">
        <v>40001</v>
      </c>
      <c r="AE1398" s="14" t="s">
        <v>1400</v>
      </c>
      <c r="AF1398" s="14" t="s">
        <v>1400</v>
      </c>
      <c r="AG1398" s="14" t="s">
        <v>86</v>
      </c>
    </row>
    <row r="1399" spans="2:33">
      <c r="B1399" s="14">
        <f>10000000+INDEX(编号表!$B:$B,MATCH(H1399,编号表!$A:$A,0))*100000+INDEX(编号表!$F:$F,MATCH(D1399,编号表!$E:$E,0))*10000+INDEX(编号表!$D:$D,MATCH(AG1399,编号表!$C:$C,0))*1000+F1399</f>
        <v>11932055</v>
      </c>
      <c r="C1399" s="14" t="s">
        <v>1770</v>
      </c>
      <c r="D1399" s="14" t="s">
        <v>276</v>
      </c>
      <c r="E1399" s="14" t="s">
        <v>86</v>
      </c>
      <c r="F1399" s="14">
        <v>55</v>
      </c>
      <c r="G1399" s="14">
        <v>60</v>
      </c>
      <c r="H1399" s="14" t="s">
        <v>1400</v>
      </c>
      <c r="I1399" s="14" t="s">
        <v>75</v>
      </c>
      <c r="J1399" s="14" t="s">
        <v>201</v>
      </c>
      <c r="K1399" s="14">
        <v>1</v>
      </c>
      <c r="L1399" s="14" t="s">
        <v>1400</v>
      </c>
      <c r="N1399" s="14">
        <v>0</v>
      </c>
      <c r="O1399" s="14" t="b">
        <v>1</v>
      </c>
      <c r="Q1399" s="14" t="b">
        <v>0</v>
      </c>
      <c r="R1399" s="14">
        <v>1</v>
      </c>
      <c r="S1399" s="14" t="s">
        <v>77</v>
      </c>
      <c r="T1399" s="14">
        <v>999</v>
      </c>
      <c r="U1399" s="14" t="s">
        <v>1401</v>
      </c>
      <c r="V1399" s="14">
        <v>31932055</v>
      </c>
      <c r="X1399" s="14" t="s">
        <v>1775</v>
      </c>
      <c r="Y1399" s="14" t="s">
        <v>215</v>
      </c>
      <c r="Z1399" s="14">
        <v>20162</v>
      </c>
      <c r="AA1399" s="14" t="s">
        <v>1776</v>
      </c>
      <c r="AB1399" s="14">
        <v>40001</v>
      </c>
      <c r="AE1399" s="14" t="s">
        <v>1400</v>
      </c>
      <c r="AF1399" s="14" t="s">
        <v>1400</v>
      </c>
      <c r="AG1399" s="14" t="s">
        <v>86</v>
      </c>
    </row>
    <row r="1400" spans="2:33">
      <c r="B1400" s="14">
        <f>10000000+INDEX(编号表!$B:$B,MATCH(H1400,编号表!$A:$A,0))*100000+INDEX(编号表!$F:$F,MATCH(D1400,编号表!$E:$E,0))*10000+INDEX(编号表!$D:$D,MATCH(AG1400,编号表!$C:$C,0))*1000+F1400</f>
        <v>11912054</v>
      </c>
      <c r="C1400" s="14" t="s">
        <v>1777</v>
      </c>
      <c r="D1400" s="14" t="s">
        <v>72</v>
      </c>
      <c r="E1400" s="14" t="s">
        <v>86</v>
      </c>
      <c r="F1400" s="14">
        <v>54</v>
      </c>
      <c r="G1400" s="14">
        <v>60</v>
      </c>
      <c r="H1400" s="14" t="s">
        <v>1400</v>
      </c>
      <c r="I1400" s="14" t="s">
        <v>75</v>
      </c>
      <c r="J1400" s="14" t="s">
        <v>201</v>
      </c>
      <c r="K1400" s="14">
        <v>1</v>
      </c>
      <c r="L1400" s="14" t="s">
        <v>1400</v>
      </c>
      <c r="N1400" s="14">
        <v>0</v>
      </c>
      <c r="O1400" s="14" t="b">
        <v>1</v>
      </c>
      <c r="Q1400" s="14" t="b">
        <v>0</v>
      </c>
      <c r="R1400" s="14">
        <v>1</v>
      </c>
      <c r="S1400" s="14" t="s">
        <v>77</v>
      </c>
      <c r="T1400" s="14">
        <v>999</v>
      </c>
      <c r="U1400" s="14" t="s">
        <v>1401</v>
      </c>
      <c r="V1400" s="14">
        <v>31912054</v>
      </c>
      <c r="X1400" s="14" t="s">
        <v>1778</v>
      </c>
      <c r="Y1400" s="14" t="s">
        <v>215</v>
      </c>
      <c r="Z1400" s="14">
        <v>20163</v>
      </c>
      <c r="AA1400" s="14" t="s">
        <v>1779</v>
      </c>
      <c r="AB1400" s="14">
        <v>40001</v>
      </c>
      <c r="AE1400" s="14" t="s">
        <v>1400</v>
      </c>
      <c r="AF1400" s="14" t="s">
        <v>1400</v>
      </c>
      <c r="AG1400" s="14" t="s">
        <v>86</v>
      </c>
    </row>
    <row r="1401" spans="2:33">
      <c r="B1401" s="14">
        <f>10000000+INDEX(编号表!$B:$B,MATCH(H1401,编号表!$A:$A,0))*100000+INDEX(编号表!$F:$F,MATCH(D1401,编号表!$E:$E,0))*10000+INDEX(编号表!$D:$D,MATCH(AG1401,编号表!$C:$C,0))*1000+F1401</f>
        <v>11922055</v>
      </c>
      <c r="C1401" s="14" t="s">
        <v>1777</v>
      </c>
      <c r="D1401" s="14" t="s">
        <v>112</v>
      </c>
      <c r="E1401" s="14" t="s">
        <v>86</v>
      </c>
      <c r="F1401" s="14">
        <v>55</v>
      </c>
      <c r="G1401" s="14">
        <v>60</v>
      </c>
      <c r="H1401" s="14" t="s">
        <v>1400</v>
      </c>
      <c r="I1401" s="14" t="s">
        <v>75</v>
      </c>
      <c r="J1401" s="14" t="s">
        <v>201</v>
      </c>
      <c r="K1401" s="14">
        <v>1</v>
      </c>
      <c r="L1401" s="14" t="s">
        <v>1400</v>
      </c>
      <c r="N1401" s="14">
        <v>0</v>
      </c>
      <c r="O1401" s="14" t="b">
        <v>1</v>
      </c>
      <c r="Q1401" s="14" t="b">
        <v>0</v>
      </c>
      <c r="R1401" s="14">
        <v>1</v>
      </c>
      <c r="S1401" s="14" t="s">
        <v>77</v>
      </c>
      <c r="T1401" s="14">
        <v>999</v>
      </c>
      <c r="U1401" s="14" t="s">
        <v>1401</v>
      </c>
      <c r="V1401" s="14">
        <v>31922055</v>
      </c>
      <c r="X1401" s="14" t="s">
        <v>1780</v>
      </c>
      <c r="Y1401" s="14" t="s">
        <v>215</v>
      </c>
      <c r="Z1401" s="14">
        <v>20164</v>
      </c>
      <c r="AA1401" s="14" t="s">
        <v>1781</v>
      </c>
      <c r="AB1401" s="14">
        <v>40001</v>
      </c>
      <c r="AE1401" s="14" t="s">
        <v>1400</v>
      </c>
      <c r="AF1401" s="14" t="s">
        <v>1400</v>
      </c>
      <c r="AG1401" s="14" t="s">
        <v>86</v>
      </c>
    </row>
    <row r="1402" spans="2:33">
      <c r="B1402" s="14">
        <f>10000000+INDEX(编号表!$B:$B,MATCH(H1402,编号表!$A:$A,0))*100000+INDEX(编号表!$F:$F,MATCH(D1402,编号表!$E:$E,0))*10000+INDEX(编号表!$D:$D,MATCH(AG1402,编号表!$C:$C,0))*1000+F1402</f>
        <v>11932056</v>
      </c>
      <c r="C1402" s="14" t="s">
        <v>1777</v>
      </c>
      <c r="D1402" s="14" t="s">
        <v>276</v>
      </c>
      <c r="E1402" s="14" t="s">
        <v>86</v>
      </c>
      <c r="F1402" s="14">
        <v>56</v>
      </c>
      <c r="G1402" s="14">
        <v>60</v>
      </c>
      <c r="H1402" s="14" t="s">
        <v>1400</v>
      </c>
      <c r="I1402" s="14" t="s">
        <v>75</v>
      </c>
      <c r="J1402" s="14" t="s">
        <v>201</v>
      </c>
      <c r="K1402" s="14">
        <v>1</v>
      </c>
      <c r="L1402" s="14" t="s">
        <v>1400</v>
      </c>
      <c r="N1402" s="14">
        <v>0</v>
      </c>
      <c r="O1402" s="14" t="b">
        <v>1</v>
      </c>
      <c r="Q1402" s="14" t="b">
        <v>0</v>
      </c>
      <c r="R1402" s="14">
        <v>1</v>
      </c>
      <c r="S1402" s="14" t="s">
        <v>77</v>
      </c>
      <c r="T1402" s="14">
        <v>999</v>
      </c>
      <c r="U1402" s="14" t="s">
        <v>1401</v>
      </c>
      <c r="V1402" s="14">
        <v>31932056</v>
      </c>
      <c r="X1402" s="14" t="s">
        <v>1782</v>
      </c>
      <c r="Y1402" s="14" t="s">
        <v>215</v>
      </c>
      <c r="Z1402" s="14">
        <v>20165</v>
      </c>
      <c r="AA1402" s="14" t="s">
        <v>1783</v>
      </c>
      <c r="AB1402" s="14">
        <v>40001</v>
      </c>
      <c r="AE1402" s="14" t="s">
        <v>1400</v>
      </c>
      <c r="AF1402" s="14" t="s">
        <v>1400</v>
      </c>
      <c r="AG1402" s="14" t="s">
        <v>86</v>
      </c>
    </row>
    <row r="1403" spans="2:33">
      <c r="B1403" s="14">
        <f>10000000+INDEX(编号表!$B:$B,MATCH(H1403,编号表!$A:$A,0))*100000+INDEX(编号表!$F:$F,MATCH(D1403,编号表!$E:$E,0))*10000+INDEX(编号表!$D:$D,MATCH(AG1403,编号表!$C:$C,0))*1000+F1403</f>
        <v>11912055</v>
      </c>
      <c r="C1403" s="14" t="s">
        <v>1784</v>
      </c>
      <c r="D1403" s="14" t="s">
        <v>72</v>
      </c>
      <c r="E1403" s="14" t="s">
        <v>86</v>
      </c>
      <c r="F1403" s="14">
        <v>55</v>
      </c>
      <c r="G1403" s="14">
        <v>60</v>
      </c>
      <c r="H1403" s="14" t="s">
        <v>1400</v>
      </c>
      <c r="I1403" s="14" t="s">
        <v>75</v>
      </c>
      <c r="J1403" s="14" t="s">
        <v>201</v>
      </c>
      <c r="K1403" s="14">
        <v>1</v>
      </c>
      <c r="L1403" s="14" t="s">
        <v>1400</v>
      </c>
      <c r="N1403" s="14">
        <v>0</v>
      </c>
      <c r="O1403" s="14" t="b">
        <v>1</v>
      </c>
      <c r="Q1403" s="14" t="b">
        <v>0</v>
      </c>
      <c r="R1403" s="14">
        <v>1</v>
      </c>
      <c r="S1403" s="14" t="s">
        <v>77</v>
      </c>
      <c r="T1403" s="14">
        <v>999</v>
      </c>
      <c r="U1403" s="14" t="s">
        <v>1401</v>
      </c>
      <c r="V1403" s="14">
        <v>31912055</v>
      </c>
      <c r="X1403" s="14" t="s">
        <v>1785</v>
      </c>
      <c r="Y1403" s="14" t="s">
        <v>215</v>
      </c>
      <c r="Z1403" s="14">
        <v>20166</v>
      </c>
      <c r="AA1403" s="14" t="s">
        <v>1786</v>
      </c>
      <c r="AB1403" s="14">
        <v>40001</v>
      </c>
      <c r="AE1403" s="14" t="s">
        <v>1400</v>
      </c>
      <c r="AF1403" s="14" t="s">
        <v>1400</v>
      </c>
      <c r="AG1403" s="14" t="s">
        <v>86</v>
      </c>
    </row>
    <row r="1404" spans="2:33">
      <c r="B1404" s="14">
        <f>10000000+INDEX(编号表!$B:$B,MATCH(H1404,编号表!$A:$A,0))*100000+INDEX(编号表!$F:$F,MATCH(D1404,编号表!$E:$E,0))*10000+INDEX(编号表!$D:$D,MATCH(AG1404,编号表!$C:$C,0))*1000+F1404</f>
        <v>11922056</v>
      </c>
      <c r="C1404" s="14" t="s">
        <v>1784</v>
      </c>
      <c r="D1404" s="14" t="s">
        <v>112</v>
      </c>
      <c r="E1404" s="14" t="s">
        <v>86</v>
      </c>
      <c r="F1404" s="14">
        <v>56</v>
      </c>
      <c r="G1404" s="14">
        <v>60</v>
      </c>
      <c r="H1404" s="14" t="s">
        <v>1400</v>
      </c>
      <c r="I1404" s="14" t="s">
        <v>75</v>
      </c>
      <c r="J1404" s="14" t="s">
        <v>201</v>
      </c>
      <c r="K1404" s="14">
        <v>1</v>
      </c>
      <c r="L1404" s="14" t="s">
        <v>1400</v>
      </c>
      <c r="N1404" s="14">
        <v>0</v>
      </c>
      <c r="O1404" s="14" t="b">
        <v>1</v>
      </c>
      <c r="Q1404" s="14" t="b">
        <v>0</v>
      </c>
      <c r="R1404" s="14">
        <v>1</v>
      </c>
      <c r="S1404" s="14" t="s">
        <v>77</v>
      </c>
      <c r="T1404" s="14">
        <v>999</v>
      </c>
      <c r="U1404" s="14" t="s">
        <v>1401</v>
      </c>
      <c r="V1404" s="14">
        <v>31922056</v>
      </c>
      <c r="X1404" s="14" t="s">
        <v>1787</v>
      </c>
      <c r="Y1404" s="14" t="s">
        <v>215</v>
      </c>
      <c r="Z1404" s="14">
        <v>20167</v>
      </c>
      <c r="AA1404" s="14" t="s">
        <v>1788</v>
      </c>
      <c r="AB1404" s="14">
        <v>40001</v>
      </c>
      <c r="AE1404" s="14" t="s">
        <v>1400</v>
      </c>
      <c r="AF1404" s="14" t="s">
        <v>1400</v>
      </c>
      <c r="AG1404" s="14" t="s">
        <v>86</v>
      </c>
    </row>
    <row r="1405" spans="2:33">
      <c r="B1405" s="14">
        <f>10000000+INDEX(编号表!$B:$B,MATCH(H1405,编号表!$A:$A,0))*100000+INDEX(编号表!$F:$F,MATCH(D1405,编号表!$E:$E,0))*10000+INDEX(编号表!$D:$D,MATCH(AG1405,编号表!$C:$C,0))*1000+F1405</f>
        <v>11932057</v>
      </c>
      <c r="C1405" s="14" t="s">
        <v>1784</v>
      </c>
      <c r="D1405" s="14" t="s">
        <v>276</v>
      </c>
      <c r="E1405" s="14" t="s">
        <v>86</v>
      </c>
      <c r="F1405" s="14">
        <v>57</v>
      </c>
      <c r="G1405" s="14">
        <v>60</v>
      </c>
      <c r="H1405" s="14" t="s">
        <v>1400</v>
      </c>
      <c r="I1405" s="14" t="s">
        <v>75</v>
      </c>
      <c r="J1405" s="14" t="s">
        <v>201</v>
      </c>
      <c r="K1405" s="14">
        <v>1</v>
      </c>
      <c r="L1405" s="14" t="s">
        <v>1400</v>
      </c>
      <c r="N1405" s="14">
        <v>0</v>
      </c>
      <c r="O1405" s="14" t="b">
        <v>1</v>
      </c>
      <c r="Q1405" s="14" t="b">
        <v>0</v>
      </c>
      <c r="R1405" s="14">
        <v>1</v>
      </c>
      <c r="S1405" s="14" t="s">
        <v>77</v>
      </c>
      <c r="T1405" s="14">
        <v>999</v>
      </c>
      <c r="U1405" s="14" t="s">
        <v>1401</v>
      </c>
      <c r="V1405" s="14">
        <v>31932057</v>
      </c>
      <c r="X1405" s="14" t="s">
        <v>1789</v>
      </c>
      <c r="Y1405" s="14" t="s">
        <v>215</v>
      </c>
      <c r="Z1405" s="14">
        <v>20168</v>
      </c>
      <c r="AA1405" s="14" t="s">
        <v>1790</v>
      </c>
      <c r="AB1405" s="14">
        <v>40001</v>
      </c>
      <c r="AE1405" s="14" t="s">
        <v>1400</v>
      </c>
      <c r="AF1405" s="14" t="s">
        <v>1400</v>
      </c>
      <c r="AG1405" s="14" t="s">
        <v>86</v>
      </c>
    </row>
    <row r="1406" spans="2:33">
      <c r="B1406" s="14">
        <f>10000000+INDEX(编号表!$B:$B,MATCH(H1406,编号表!$A:$A,0))*100000+INDEX(编号表!$F:$F,MATCH(D1406,编号表!$E:$E,0))*10000+INDEX(编号表!$D:$D,MATCH(AG1406,编号表!$C:$C,0))*1000+F1406</f>
        <v>11912056</v>
      </c>
      <c r="C1406" s="14" t="s">
        <v>1791</v>
      </c>
      <c r="D1406" s="14" t="s">
        <v>72</v>
      </c>
      <c r="E1406" s="14" t="s">
        <v>86</v>
      </c>
      <c r="F1406" s="14">
        <v>56</v>
      </c>
      <c r="G1406" s="14">
        <v>60</v>
      </c>
      <c r="H1406" s="14" t="s">
        <v>1400</v>
      </c>
      <c r="I1406" s="14" t="s">
        <v>75</v>
      </c>
      <c r="J1406" s="14" t="s">
        <v>201</v>
      </c>
      <c r="K1406" s="14">
        <v>1</v>
      </c>
      <c r="L1406" s="14" t="s">
        <v>1400</v>
      </c>
      <c r="N1406" s="14">
        <v>0</v>
      </c>
      <c r="O1406" s="14" t="b">
        <v>1</v>
      </c>
      <c r="Q1406" s="14" t="b">
        <v>0</v>
      </c>
      <c r="R1406" s="14">
        <v>1</v>
      </c>
      <c r="S1406" s="14" t="s">
        <v>77</v>
      </c>
      <c r="T1406" s="14">
        <v>999</v>
      </c>
      <c r="U1406" s="14" t="s">
        <v>1401</v>
      </c>
      <c r="V1406" s="14">
        <v>31912056</v>
      </c>
      <c r="X1406" s="14" t="s">
        <v>1792</v>
      </c>
      <c r="Y1406" s="14" t="s">
        <v>215</v>
      </c>
      <c r="Z1406" s="14">
        <v>20169</v>
      </c>
      <c r="AA1406" s="14" t="s">
        <v>1793</v>
      </c>
      <c r="AB1406" s="14">
        <v>40001</v>
      </c>
      <c r="AE1406" s="14" t="s">
        <v>1400</v>
      </c>
      <c r="AF1406" s="14" t="s">
        <v>1400</v>
      </c>
      <c r="AG1406" s="14" t="s">
        <v>86</v>
      </c>
    </row>
    <row r="1407" spans="2:33">
      <c r="B1407" s="14">
        <f>10000000+INDEX(编号表!$B:$B,MATCH(H1407,编号表!$A:$A,0))*100000+INDEX(编号表!$F:$F,MATCH(D1407,编号表!$E:$E,0))*10000+INDEX(编号表!$D:$D,MATCH(AG1407,编号表!$C:$C,0))*1000+F1407</f>
        <v>11922057</v>
      </c>
      <c r="C1407" s="14" t="s">
        <v>1791</v>
      </c>
      <c r="D1407" s="14" t="s">
        <v>112</v>
      </c>
      <c r="E1407" s="14" t="s">
        <v>86</v>
      </c>
      <c r="F1407" s="14">
        <v>57</v>
      </c>
      <c r="G1407" s="14">
        <v>60</v>
      </c>
      <c r="H1407" s="14" t="s">
        <v>1400</v>
      </c>
      <c r="I1407" s="14" t="s">
        <v>75</v>
      </c>
      <c r="J1407" s="14" t="s">
        <v>201</v>
      </c>
      <c r="K1407" s="14">
        <v>1</v>
      </c>
      <c r="L1407" s="14" t="s">
        <v>1400</v>
      </c>
      <c r="N1407" s="14">
        <v>0</v>
      </c>
      <c r="O1407" s="14" t="b">
        <v>1</v>
      </c>
      <c r="Q1407" s="14" t="b">
        <v>0</v>
      </c>
      <c r="R1407" s="14">
        <v>1</v>
      </c>
      <c r="S1407" s="14" t="s">
        <v>77</v>
      </c>
      <c r="T1407" s="14">
        <v>999</v>
      </c>
      <c r="U1407" s="14" t="s">
        <v>1401</v>
      </c>
      <c r="V1407" s="14">
        <v>31922057</v>
      </c>
      <c r="X1407" s="14" t="s">
        <v>1794</v>
      </c>
      <c r="Y1407" s="14" t="s">
        <v>215</v>
      </c>
      <c r="Z1407" s="14">
        <v>20170</v>
      </c>
      <c r="AA1407" s="14" t="s">
        <v>1795</v>
      </c>
      <c r="AB1407" s="14">
        <v>40001</v>
      </c>
      <c r="AE1407" s="14" t="s">
        <v>1400</v>
      </c>
      <c r="AF1407" s="14" t="s">
        <v>1400</v>
      </c>
      <c r="AG1407" s="14" t="s">
        <v>86</v>
      </c>
    </row>
    <row r="1408" spans="2:33">
      <c r="B1408" s="14">
        <f>10000000+INDEX(编号表!$B:$B,MATCH(H1408,编号表!$A:$A,0))*100000+INDEX(编号表!$F:$F,MATCH(D1408,编号表!$E:$E,0))*10000+INDEX(编号表!$D:$D,MATCH(AG1408,编号表!$C:$C,0))*1000+F1408</f>
        <v>11932058</v>
      </c>
      <c r="C1408" s="14" t="s">
        <v>1791</v>
      </c>
      <c r="D1408" s="14" t="s">
        <v>276</v>
      </c>
      <c r="E1408" s="14" t="s">
        <v>86</v>
      </c>
      <c r="F1408" s="14">
        <v>58</v>
      </c>
      <c r="G1408" s="14">
        <v>60</v>
      </c>
      <c r="H1408" s="14" t="s">
        <v>1400</v>
      </c>
      <c r="I1408" s="14" t="s">
        <v>75</v>
      </c>
      <c r="J1408" s="14" t="s">
        <v>201</v>
      </c>
      <c r="K1408" s="14">
        <v>1</v>
      </c>
      <c r="L1408" s="14" t="s">
        <v>1400</v>
      </c>
      <c r="N1408" s="14">
        <v>0</v>
      </c>
      <c r="O1408" s="14" t="b">
        <v>1</v>
      </c>
      <c r="Q1408" s="14" t="b">
        <v>0</v>
      </c>
      <c r="R1408" s="14">
        <v>1</v>
      </c>
      <c r="S1408" s="14" t="s">
        <v>77</v>
      </c>
      <c r="T1408" s="14">
        <v>999</v>
      </c>
      <c r="U1408" s="14" t="s">
        <v>1401</v>
      </c>
      <c r="V1408" s="14">
        <v>31932058</v>
      </c>
      <c r="X1408" s="14" t="s">
        <v>1796</v>
      </c>
      <c r="Y1408" s="14" t="s">
        <v>215</v>
      </c>
      <c r="Z1408" s="14">
        <v>20171</v>
      </c>
      <c r="AA1408" s="14" t="s">
        <v>1797</v>
      </c>
      <c r="AB1408" s="14">
        <v>40001</v>
      </c>
      <c r="AE1408" s="14" t="s">
        <v>1400</v>
      </c>
      <c r="AF1408" s="14" t="s">
        <v>1400</v>
      </c>
      <c r="AG1408" s="14" t="s">
        <v>86</v>
      </c>
    </row>
    <row r="1409" spans="2:33">
      <c r="B1409" s="14">
        <f>10000000+INDEX(编号表!$B:$B,MATCH(H1409,编号表!$A:$A,0))*100000+INDEX(编号表!$F:$F,MATCH(D1409,编号表!$E:$E,0))*10000+INDEX(编号表!$D:$D,MATCH(AG1409,编号表!$C:$C,0))*1000+F1409</f>
        <v>11912057</v>
      </c>
      <c r="C1409" s="14" t="s">
        <v>1798</v>
      </c>
      <c r="D1409" s="14" t="s">
        <v>72</v>
      </c>
      <c r="E1409" s="14" t="s">
        <v>86</v>
      </c>
      <c r="F1409" s="14">
        <v>57</v>
      </c>
      <c r="G1409" s="14">
        <v>60</v>
      </c>
      <c r="H1409" s="14" t="s">
        <v>1400</v>
      </c>
      <c r="I1409" s="14" t="s">
        <v>75</v>
      </c>
      <c r="J1409" s="14" t="s">
        <v>201</v>
      </c>
      <c r="K1409" s="14">
        <v>1</v>
      </c>
      <c r="L1409" s="14" t="s">
        <v>1400</v>
      </c>
      <c r="N1409" s="14">
        <v>0</v>
      </c>
      <c r="O1409" s="14" t="b">
        <v>1</v>
      </c>
      <c r="Q1409" s="14" t="b">
        <v>0</v>
      </c>
      <c r="R1409" s="14">
        <v>1</v>
      </c>
      <c r="S1409" s="14" t="s">
        <v>77</v>
      </c>
      <c r="T1409" s="14">
        <v>999</v>
      </c>
      <c r="U1409" s="14" t="s">
        <v>1401</v>
      </c>
      <c r="V1409" s="14">
        <v>31912057</v>
      </c>
      <c r="X1409" s="14" t="s">
        <v>1799</v>
      </c>
      <c r="Y1409" s="14" t="s">
        <v>215</v>
      </c>
      <c r="Z1409" s="14">
        <v>20172</v>
      </c>
      <c r="AA1409" s="14" t="s">
        <v>1800</v>
      </c>
      <c r="AB1409" s="14">
        <v>40001</v>
      </c>
      <c r="AE1409" s="14" t="s">
        <v>1400</v>
      </c>
      <c r="AF1409" s="14" t="s">
        <v>1400</v>
      </c>
      <c r="AG1409" s="14" t="s">
        <v>86</v>
      </c>
    </row>
    <row r="1410" spans="2:33">
      <c r="B1410" s="14">
        <f>10000000+INDEX(编号表!$B:$B,MATCH(H1410,编号表!$A:$A,0))*100000+INDEX(编号表!$F:$F,MATCH(D1410,编号表!$E:$E,0))*10000+INDEX(编号表!$D:$D,MATCH(AG1410,编号表!$C:$C,0))*1000+F1410</f>
        <v>11922058</v>
      </c>
      <c r="C1410" s="14" t="s">
        <v>1798</v>
      </c>
      <c r="D1410" s="14" t="s">
        <v>112</v>
      </c>
      <c r="E1410" s="14" t="s">
        <v>86</v>
      </c>
      <c r="F1410" s="14">
        <v>58</v>
      </c>
      <c r="G1410" s="14">
        <v>60</v>
      </c>
      <c r="H1410" s="14" t="s">
        <v>1400</v>
      </c>
      <c r="I1410" s="14" t="s">
        <v>75</v>
      </c>
      <c r="J1410" s="14" t="s">
        <v>201</v>
      </c>
      <c r="K1410" s="14">
        <v>1</v>
      </c>
      <c r="L1410" s="14" t="s">
        <v>1400</v>
      </c>
      <c r="N1410" s="14">
        <v>0</v>
      </c>
      <c r="O1410" s="14" t="b">
        <v>1</v>
      </c>
      <c r="Q1410" s="14" t="b">
        <v>0</v>
      </c>
      <c r="R1410" s="14">
        <v>1</v>
      </c>
      <c r="S1410" s="14" t="s">
        <v>77</v>
      </c>
      <c r="T1410" s="14">
        <v>999</v>
      </c>
      <c r="U1410" s="14" t="s">
        <v>1401</v>
      </c>
      <c r="V1410" s="14">
        <v>31922058</v>
      </c>
      <c r="X1410" s="14" t="s">
        <v>1801</v>
      </c>
      <c r="Y1410" s="14" t="s">
        <v>215</v>
      </c>
      <c r="Z1410" s="14">
        <v>20173</v>
      </c>
      <c r="AA1410" s="14" t="s">
        <v>1802</v>
      </c>
      <c r="AB1410" s="14">
        <v>40001</v>
      </c>
      <c r="AE1410" s="14" t="s">
        <v>1400</v>
      </c>
      <c r="AF1410" s="14" t="s">
        <v>1400</v>
      </c>
      <c r="AG1410" s="14" t="s">
        <v>86</v>
      </c>
    </row>
    <row r="1411" spans="2:33">
      <c r="B1411" s="14">
        <f>10000000+INDEX(编号表!$B:$B,MATCH(H1411,编号表!$A:$A,0))*100000+INDEX(编号表!$F:$F,MATCH(D1411,编号表!$E:$E,0))*10000+INDEX(编号表!$D:$D,MATCH(AG1411,编号表!$C:$C,0))*1000+F1411</f>
        <v>11932059</v>
      </c>
      <c r="C1411" s="14" t="s">
        <v>1798</v>
      </c>
      <c r="D1411" s="14" t="s">
        <v>276</v>
      </c>
      <c r="E1411" s="14" t="s">
        <v>86</v>
      </c>
      <c r="F1411" s="14">
        <v>59</v>
      </c>
      <c r="G1411" s="14">
        <v>60</v>
      </c>
      <c r="H1411" s="14" t="s">
        <v>1400</v>
      </c>
      <c r="I1411" s="14" t="s">
        <v>75</v>
      </c>
      <c r="J1411" s="14" t="s">
        <v>201</v>
      </c>
      <c r="K1411" s="14">
        <v>1</v>
      </c>
      <c r="L1411" s="14" t="s">
        <v>1400</v>
      </c>
      <c r="N1411" s="14">
        <v>0</v>
      </c>
      <c r="O1411" s="14" t="b">
        <v>1</v>
      </c>
      <c r="Q1411" s="14" t="b">
        <v>0</v>
      </c>
      <c r="R1411" s="14">
        <v>1</v>
      </c>
      <c r="S1411" s="14" t="s">
        <v>77</v>
      </c>
      <c r="T1411" s="14">
        <v>999</v>
      </c>
      <c r="U1411" s="14" t="s">
        <v>1401</v>
      </c>
      <c r="V1411" s="14">
        <v>31932059</v>
      </c>
      <c r="X1411" s="14" t="s">
        <v>1803</v>
      </c>
      <c r="Y1411" s="14" t="s">
        <v>215</v>
      </c>
      <c r="Z1411" s="14">
        <v>20174</v>
      </c>
      <c r="AA1411" s="14" t="s">
        <v>1804</v>
      </c>
      <c r="AB1411" s="14">
        <v>40001</v>
      </c>
      <c r="AE1411" s="14" t="s">
        <v>1400</v>
      </c>
      <c r="AF1411" s="14" t="s">
        <v>1400</v>
      </c>
      <c r="AG1411" s="14" t="s">
        <v>86</v>
      </c>
    </row>
    <row r="1412" spans="2:33">
      <c r="B1412" s="14">
        <f>10000000+INDEX(编号表!$B:$B,MATCH(H1412,编号表!$A:$A,0))*100000+INDEX(编号表!$F:$F,MATCH(D1412,编号表!$E:$E,0))*10000+INDEX(编号表!$D:$D,MATCH(AG1412,编号表!$C:$C,0))*1000+F1412</f>
        <v>11912058</v>
      </c>
      <c r="C1412" s="14" t="s">
        <v>1805</v>
      </c>
      <c r="D1412" s="14" t="s">
        <v>72</v>
      </c>
      <c r="E1412" s="14" t="s">
        <v>86</v>
      </c>
      <c r="F1412" s="14">
        <v>58</v>
      </c>
      <c r="G1412" s="14">
        <v>60</v>
      </c>
      <c r="H1412" s="14" t="s">
        <v>1400</v>
      </c>
      <c r="I1412" s="14" t="s">
        <v>75</v>
      </c>
      <c r="J1412" s="14" t="s">
        <v>201</v>
      </c>
      <c r="K1412" s="14">
        <v>1</v>
      </c>
      <c r="L1412" s="14" t="s">
        <v>1400</v>
      </c>
      <c r="N1412" s="14">
        <v>0</v>
      </c>
      <c r="O1412" s="14" t="b">
        <v>1</v>
      </c>
      <c r="Q1412" s="14" t="b">
        <v>0</v>
      </c>
      <c r="R1412" s="14">
        <v>1</v>
      </c>
      <c r="S1412" s="14" t="s">
        <v>77</v>
      </c>
      <c r="T1412" s="14">
        <v>999</v>
      </c>
      <c r="U1412" s="14" t="s">
        <v>1401</v>
      </c>
      <c r="V1412" s="14">
        <v>31912058</v>
      </c>
      <c r="X1412" s="14" t="s">
        <v>1806</v>
      </c>
      <c r="Y1412" s="14" t="s">
        <v>215</v>
      </c>
      <c r="Z1412" s="14">
        <v>20175</v>
      </c>
      <c r="AA1412" s="14" t="s">
        <v>1807</v>
      </c>
      <c r="AB1412" s="14">
        <v>40001</v>
      </c>
      <c r="AE1412" s="14" t="s">
        <v>1400</v>
      </c>
      <c r="AF1412" s="14" t="s">
        <v>1400</v>
      </c>
      <c r="AG1412" s="14" t="s">
        <v>86</v>
      </c>
    </row>
    <row r="1413" spans="2:33">
      <c r="B1413" s="14">
        <f>10000000+INDEX(编号表!$B:$B,MATCH(H1413,编号表!$A:$A,0))*100000+INDEX(编号表!$F:$F,MATCH(D1413,编号表!$E:$E,0))*10000+INDEX(编号表!$D:$D,MATCH(AG1413,编号表!$C:$C,0))*1000+F1413</f>
        <v>11922059</v>
      </c>
      <c r="C1413" s="14" t="s">
        <v>1805</v>
      </c>
      <c r="D1413" s="14" t="s">
        <v>112</v>
      </c>
      <c r="E1413" s="14" t="s">
        <v>86</v>
      </c>
      <c r="F1413" s="14">
        <v>59</v>
      </c>
      <c r="G1413" s="14">
        <v>60</v>
      </c>
      <c r="H1413" s="14" t="s">
        <v>1400</v>
      </c>
      <c r="I1413" s="14" t="s">
        <v>75</v>
      </c>
      <c r="J1413" s="14" t="s">
        <v>201</v>
      </c>
      <c r="K1413" s="14">
        <v>1</v>
      </c>
      <c r="L1413" s="14" t="s">
        <v>1400</v>
      </c>
      <c r="N1413" s="14">
        <v>0</v>
      </c>
      <c r="O1413" s="14" t="b">
        <v>1</v>
      </c>
      <c r="Q1413" s="14" t="b">
        <v>0</v>
      </c>
      <c r="R1413" s="14">
        <v>1</v>
      </c>
      <c r="S1413" s="14" t="s">
        <v>77</v>
      </c>
      <c r="T1413" s="14">
        <v>999</v>
      </c>
      <c r="U1413" s="14" t="s">
        <v>1401</v>
      </c>
      <c r="V1413" s="14">
        <v>31922059</v>
      </c>
      <c r="X1413" s="14" t="s">
        <v>1808</v>
      </c>
      <c r="Y1413" s="14" t="s">
        <v>215</v>
      </c>
      <c r="Z1413" s="14">
        <v>20176</v>
      </c>
      <c r="AA1413" s="14" t="s">
        <v>1809</v>
      </c>
      <c r="AB1413" s="14">
        <v>40001</v>
      </c>
      <c r="AE1413" s="14" t="s">
        <v>1400</v>
      </c>
      <c r="AF1413" s="14" t="s">
        <v>1400</v>
      </c>
      <c r="AG1413" s="14" t="s">
        <v>86</v>
      </c>
    </row>
    <row r="1414" spans="2:33">
      <c r="B1414" s="14">
        <f>10000000+INDEX(编号表!$B:$B,MATCH(H1414,编号表!$A:$A,0))*100000+INDEX(编号表!$F:$F,MATCH(D1414,编号表!$E:$E,0))*10000+INDEX(编号表!$D:$D,MATCH(AG1414,编号表!$C:$C,0))*1000+F1414</f>
        <v>11932060</v>
      </c>
      <c r="C1414" s="14" t="s">
        <v>1805</v>
      </c>
      <c r="D1414" s="14" t="s">
        <v>276</v>
      </c>
      <c r="E1414" s="14" t="s">
        <v>86</v>
      </c>
      <c r="F1414" s="14">
        <v>60</v>
      </c>
      <c r="G1414" s="14">
        <v>60</v>
      </c>
      <c r="H1414" s="14" t="s">
        <v>1400</v>
      </c>
      <c r="I1414" s="14" t="s">
        <v>75</v>
      </c>
      <c r="J1414" s="14" t="s">
        <v>201</v>
      </c>
      <c r="K1414" s="14">
        <v>1</v>
      </c>
      <c r="L1414" s="14" t="s">
        <v>1400</v>
      </c>
      <c r="N1414" s="14">
        <v>0</v>
      </c>
      <c r="O1414" s="14" t="b">
        <v>1</v>
      </c>
      <c r="Q1414" s="14" t="b">
        <v>0</v>
      </c>
      <c r="R1414" s="14">
        <v>1</v>
      </c>
      <c r="S1414" s="14" t="s">
        <v>77</v>
      </c>
      <c r="T1414" s="14">
        <v>999</v>
      </c>
      <c r="U1414" s="14" t="s">
        <v>1401</v>
      </c>
      <c r="V1414" s="14">
        <v>31932060</v>
      </c>
      <c r="X1414" s="14" t="s">
        <v>1810</v>
      </c>
      <c r="Y1414" s="14" t="s">
        <v>215</v>
      </c>
      <c r="Z1414" s="14">
        <v>20177</v>
      </c>
      <c r="AA1414" s="14" t="s">
        <v>1811</v>
      </c>
      <c r="AB1414" s="14">
        <v>40001</v>
      </c>
      <c r="AE1414" s="14" t="s">
        <v>1400</v>
      </c>
      <c r="AF1414" s="14" t="s">
        <v>1400</v>
      </c>
      <c r="AG1414" s="14" t="s">
        <v>86</v>
      </c>
    </row>
    <row r="1415" spans="2:33">
      <c r="B1415" s="14">
        <f>10000000+INDEX(编号表!$B:$B,MATCH(H1415,编号表!$A:$A,0))*100000+INDEX(编号表!$F:$F,MATCH(D1415,编号表!$E:$E,0))*10000+INDEX(编号表!$D:$D,MATCH(AG1415,编号表!$C:$C,0))*1000+F1415</f>
        <v>11912059</v>
      </c>
      <c r="C1415" s="14" t="s">
        <v>1812</v>
      </c>
      <c r="D1415" s="14" t="s">
        <v>72</v>
      </c>
      <c r="E1415" s="14" t="s">
        <v>86</v>
      </c>
      <c r="F1415" s="14">
        <v>59</v>
      </c>
      <c r="G1415" s="14">
        <v>60</v>
      </c>
      <c r="H1415" s="14" t="s">
        <v>1400</v>
      </c>
      <c r="I1415" s="14" t="s">
        <v>75</v>
      </c>
      <c r="J1415" s="14" t="s">
        <v>201</v>
      </c>
      <c r="K1415" s="14">
        <v>1</v>
      </c>
      <c r="L1415" s="14" t="s">
        <v>1400</v>
      </c>
      <c r="N1415" s="14">
        <v>0</v>
      </c>
      <c r="O1415" s="14" t="b">
        <v>1</v>
      </c>
      <c r="Q1415" s="14" t="b">
        <v>0</v>
      </c>
      <c r="R1415" s="14">
        <v>1</v>
      </c>
      <c r="S1415" s="14" t="s">
        <v>77</v>
      </c>
      <c r="T1415" s="14">
        <v>999</v>
      </c>
      <c r="U1415" s="14" t="s">
        <v>1401</v>
      </c>
      <c r="V1415" s="14">
        <v>31912059</v>
      </c>
      <c r="X1415" s="14" t="s">
        <v>1813</v>
      </c>
      <c r="Y1415" s="14" t="s">
        <v>215</v>
      </c>
      <c r="Z1415" s="14">
        <v>20178</v>
      </c>
      <c r="AA1415" s="14" t="s">
        <v>1814</v>
      </c>
      <c r="AB1415" s="14">
        <v>40001</v>
      </c>
      <c r="AE1415" s="14" t="s">
        <v>1400</v>
      </c>
      <c r="AF1415" s="14" t="s">
        <v>1400</v>
      </c>
      <c r="AG1415" s="14" t="s">
        <v>86</v>
      </c>
    </row>
    <row r="1416" spans="2:33">
      <c r="B1416" s="14">
        <f>10000000+INDEX(编号表!$B:$B,MATCH(H1416,编号表!$A:$A,0))*100000+INDEX(编号表!$F:$F,MATCH(D1416,编号表!$E:$E,0))*10000+INDEX(编号表!$D:$D,MATCH(AG1416,编号表!$C:$C,0))*1000+F1416</f>
        <v>11922060</v>
      </c>
      <c r="C1416" s="14" t="s">
        <v>1812</v>
      </c>
      <c r="D1416" s="14" t="s">
        <v>112</v>
      </c>
      <c r="E1416" s="14" t="s">
        <v>86</v>
      </c>
      <c r="F1416" s="14">
        <v>60</v>
      </c>
      <c r="G1416" s="14">
        <v>60</v>
      </c>
      <c r="H1416" s="14" t="s">
        <v>1400</v>
      </c>
      <c r="I1416" s="14" t="s">
        <v>75</v>
      </c>
      <c r="J1416" s="14" t="s">
        <v>201</v>
      </c>
      <c r="K1416" s="14">
        <v>1</v>
      </c>
      <c r="L1416" s="14" t="s">
        <v>1400</v>
      </c>
      <c r="N1416" s="14">
        <v>0</v>
      </c>
      <c r="O1416" s="14" t="b">
        <v>1</v>
      </c>
      <c r="Q1416" s="14" t="b">
        <v>0</v>
      </c>
      <c r="R1416" s="14">
        <v>1</v>
      </c>
      <c r="S1416" s="14" t="s">
        <v>77</v>
      </c>
      <c r="T1416" s="14">
        <v>999</v>
      </c>
      <c r="U1416" s="14" t="s">
        <v>1401</v>
      </c>
      <c r="V1416" s="14">
        <v>31922060</v>
      </c>
      <c r="X1416" s="14" t="s">
        <v>1815</v>
      </c>
      <c r="Y1416" s="14" t="s">
        <v>215</v>
      </c>
      <c r="Z1416" s="14">
        <v>20179</v>
      </c>
      <c r="AA1416" s="14" t="s">
        <v>1816</v>
      </c>
      <c r="AB1416" s="14">
        <v>40001</v>
      </c>
      <c r="AE1416" s="14" t="s">
        <v>1400</v>
      </c>
      <c r="AF1416" s="14" t="s">
        <v>1400</v>
      </c>
      <c r="AG1416" s="14" t="s">
        <v>86</v>
      </c>
    </row>
    <row r="1417" spans="2:33">
      <c r="B1417" s="14">
        <f>10000000+INDEX(编号表!$B:$B,MATCH(H1417,编号表!$A:$A,0))*100000+INDEX(编号表!$F:$F,MATCH(D1417,编号表!$E:$E,0))*10000+INDEX(编号表!$D:$D,MATCH(AG1417,编号表!$C:$C,0))*1000+F1417</f>
        <v>11932061</v>
      </c>
      <c r="C1417" s="14" t="s">
        <v>1812</v>
      </c>
      <c r="D1417" s="14" t="s">
        <v>276</v>
      </c>
      <c r="E1417" s="14" t="s">
        <v>86</v>
      </c>
      <c r="F1417" s="14">
        <v>61</v>
      </c>
      <c r="G1417" s="14">
        <v>60</v>
      </c>
      <c r="H1417" s="14" t="s">
        <v>1400</v>
      </c>
      <c r="I1417" s="14" t="s">
        <v>75</v>
      </c>
      <c r="J1417" s="14" t="s">
        <v>201</v>
      </c>
      <c r="K1417" s="14">
        <v>1</v>
      </c>
      <c r="L1417" s="14" t="s">
        <v>1400</v>
      </c>
      <c r="N1417" s="14">
        <v>0</v>
      </c>
      <c r="O1417" s="14" t="b">
        <v>1</v>
      </c>
      <c r="Q1417" s="14" t="b">
        <v>0</v>
      </c>
      <c r="R1417" s="14">
        <v>1</v>
      </c>
      <c r="S1417" s="14" t="s">
        <v>77</v>
      </c>
      <c r="T1417" s="14">
        <v>999</v>
      </c>
      <c r="U1417" s="14" t="s">
        <v>1401</v>
      </c>
      <c r="V1417" s="14">
        <v>31932061</v>
      </c>
      <c r="X1417" s="14" t="s">
        <v>1817</v>
      </c>
      <c r="Y1417" s="14" t="s">
        <v>215</v>
      </c>
      <c r="Z1417" s="14">
        <v>20180</v>
      </c>
      <c r="AA1417" s="14" t="s">
        <v>1818</v>
      </c>
      <c r="AB1417" s="14">
        <v>40001</v>
      </c>
      <c r="AE1417" s="14" t="s">
        <v>1400</v>
      </c>
      <c r="AF1417" s="14" t="s">
        <v>1400</v>
      </c>
      <c r="AG1417" s="14" t="s">
        <v>86</v>
      </c>
    </row>
    <row r="1418" spans="2:33">
      <c r="B1418" s="14">
        <f>10000000+INDEX(编号表!$B:$B,MATCH(H1418,编号表!$A:$A,0))*100000+INDEX(编号表!$F:$F,MATCH(D1418,编号表!$E:$E,0))*10000+INDEX(编号表!$D:$D,MATCH(AG1418,编号表!$C:$C,0))*1000+F1418</f>
        <v>11912060</v>
      </c>
      <c r="C1418" s="14" t="s">
        <v>1819</v>
      </c>
      <c r="D1418" s="14" t="s">
        <v>72</v>
      </c>
      <c r="E1418" s="14" t="s">
        <v>86</v>
      </c>
      <c r="F1418" s="14">
        <v>60</v>
      </c>
      <c r="G1418" s="14">
        <v>60</v>
      </c>
      <c r="H1418" s="14" t="s">
        <v>1400</v>
      </c>
      <c r="I1418" s="14" t="s">
        <v>75</v>
      </c>
      <c r="J1418" s="14" t="s">
        <v>201</v>
      </c>
      <c r="K1418" s="14">
        <v>1</v>
      </c>
      <c r="L1418" s="14" t="s">
        <v>1400</v>
      </c>
      <c r="N1418" s="14">
        <v>0</v>
      </c>
      <c r="O1418" s="14" t="b">
        <v>1</v>
      </c>
      <c r="Q1418" s="14" t="b">
        <v>0</v>
      </c>
      <c r="R1418" s="14">
        <v>1</v>
      </c>
      <c r="S1418" s="14" t="s">
        <v>77</v>
      </c>
      <c r="T1418" s="14">
        <v>999</v>
      </c>
      <c r="U1418" s="14" t="s">
        <v>1401</v>
      </c>
      <c r="V1418" s="14">
        <v>31912060</v>
      </c>
      <c r="X1418" s="14" t="s">
        <v>1820</v>
      </c>
      <c r="Y1418" s="14" t="s">
        <v>215</v>
      </c>
      <c r="Z1418" s="14">
        <v>20181</v>
      </c>
      <c r="AA1418" s="14" t="s">
        <v>1821</v>
      </c>
      <c r="AB1418" s="14">
        <v>40001</v>
      </c>
      <c r="AE1418" s="14" t="s">
        <v>1400</v>
      </c>
      <c r="AF1418" s="14" t="s">
        <v>1400</v>
      </c>
      <c r="AG1418" s="14" t="s">
        <v>86</v>
      </c>
    </row>
    <row r="1419" spans="2:33">
      <c r="B1419" s="14">
        <f>10000000+INDEX(编号表!$B:$B,MATCH(H1419,编号表!$A:$A,0))*100000+INDEX(编号表!$F:$F,MATCH(D1419,编号表!$E:$E,0))*10000+INDEX(编号表!$D:$D,MATCH(AG1419,编号表!$C:$C,0))*1000+F1419</f>
        <v>11922061</v>
      </c>
      <c r="C1419" s="14" t="s">
        <v>1819</v>
      </c>
      <c r="D1419" s="14" t="s">
        <v>112</v>
      </c>
      <c r="E1419" s="14" t="s">
        <v>86</v>
      </c>
      <c r="F1419" s="14">
        <v>61</v>
      </c>
      <c r="G1419" s="14">
        <v>60</v>
      </c>
      <c r="H1419" s="14" t="s">
        <v>1400</v>
      </c>
      <c r="I1419" s="14" t="s">
        <v>75</v>
      </c>
      <c r="J1419" s="14" t="s">
        <v>201</v>
      </c>
      <c r="K1419" s="14">
        <v>1</v>
      </c>
      <c r="L1419" s="14" t="s">
        <v>1400</v>
      </c>
      <c r="N1419" s="14">
        <v>0</v>
      </c>
      <c r="O1419" s="14" t="b">
        <v>1</v>
      </c>
      <c r="Q1419" s="14" t="b">
        <v>0</v>
      </c>
      <c r="R1419" s="14">
        <v>1</v>
      </c>
      <c r="S1419" s="14" t="s">
        <v>77</v>
      </c>
      <c r="T1419" s="14">
        <v>999</v>
      </c>
      <c r="U1419" s="14" t="s">
        <v>1401</v>
      </c>
      <c r="V1419" s="14">
        <v>31922061</v>
      </c>
      <c r="X1419" s="14" t="s">
        <v>1822</v>
      </c>
      <c r="Y1419" s="14" t="s">
        <v>215</v>
      </c>
      <c r="Z1419" s="14">
        <v>20182</v>
      </c>
      <c r="AA1419" s="14" t="s">
        <v>1823</v>
      </c>
      <c r="AB1419" s="14">
        <v>40001</v>
      </c>
      <c r="AE1419" s="14" t="s">
        <v>1400</v>
      </c>
      <c r="AF1419" s="14" t="s">
        <v>1400</v>
      </c>
      <c r="AG1419" s="14" t="s">
        <v>86</v>
      </c>
    </row>
    <row r="1420" spans="2:33">
      <c r="B1420" s="14">
        <f>10000000+INDEX(编号表!$B:$B,MATCH(H1420,编号表!$A:$A,0))*100000+INDEX(编号表!$F:$F,MATCH(D1420,编号表!$E:$E,0))*10000+INDEX(编号表!$D:$D,MATCH(AG1420,编号表!$C:$C,0))*1000+F1420</f>
        <v>11932062</v>
      </c>
      <c r="C1420" s="14" t="s">
        <v>1819</v>
      </c>
      <c r="D1420" s="14" t="s">
        <v>276</v>
      </c>
      <c r="E1420" s="14" t="s">
        <v>86</v>
      </c>
      <c r="F1420" s="14">
        <v>62</v>
      </c>
      <c r="G1420" s="14">
        <v>60</v>
      </c>
      <c r="H1420" s="14" t="s">
        <v>1400</v>
      </c>
      <c r="I1420" s="14" t="s">
        <v>75</v>
      </c>
      <c r="J1420" s="14" t="s">
        <v>201</v>
      </c>
      <c r="K1420" s="14">
        <v>1</v>
      </c>
      <c r="L1420" s="14" t="s">
        <v>1400</v>
      </c>
      <c r="N1420" s="14">
        <v>0</v>
      </c>
      <c r="O1420" s="14" t="b">
        <v>1</v>
      </c>
      <c r="Q1420" s="14" t="b">
        <v>0</v>
      </c>
      <c r="R1420" s="14">
        <v>1</v>
      </c>
      <c r="S1420" s="14" t="s">
        <v>77</v>
      </c>
      <c r="T1420" s="14">
        <v>999</v>
      </c>
      <c r="U1420" s="14" t="s">
        <v>1401</v>
      </c>
      <c r="V1420" s="14">
        <v>31932062</v>
      </c>
      <c r="X1420" s="14" t="s">
        <v>1824</v>
      </c>
      <c r="Y1420" s="14" t="s">
        <v>215</v>
      </c>
      <c r="Z1420" s="14">
        <v>20183</v>
      </c>
      <c r="AA1420" s="14" t="s">
        <v>1825</v>
      </c>
      <c r="AB1420" s="14">
        <v>40001</v>
      </c>
      <c r="AE1420" s="14" t="s">
        <v>1400</v>
      </c>
      <c r="AF1420" s="14" t="s">
        <v>1400</v>
      </c>
      <c r="AG1420" s="14" t="s">
        <v>86</v>
      </c>
    </row>
    <row r="1421" spans="2:33">
      <c r="B1421" s="14">
        <f>10000000+INDEX(编号表!$B:$B,MATCH(H1421,编号表!$A:$A,0))*100000+INDEX(编号表!$F:$F,MATCH(D1421,编号表!$E:$E,0))*10000+INDEX(编号表!$D:$D,MATCH(AG1421,编号表!$C:$C,0))*1000+F1421</f>
        <v>11912061</v>
      </c>
      <c r="C1421" s="14" t="s">
        <v>1826</v>
      </c>
      <c r="D1421" s="14" t="s">
        <v>72</v>
      </c>
      <c r="E1421" s="14" t="s">
        <v>86</v>
      </c>
      <c r="F1421" s="14">
        <v>61</v>
      </c>
      <c r="G1421" s="14">
        <v>60</v>
      </c>
      <c r="H1421" s="14" t="s">
        <v>1400</v>
      </c>
      <c r="I1421" s="14" t="s">
        <v>75</v>
      </c>
      <c r="J1421" s="14" t="s">
        <v>201</v>
      </c>
      <c r="K1421" s="14">
        <v>1</v>
      </c>
      <c r="L1421" s="14" t="s">
        <v>1400</v>
      </c>
      <c r="N1421" s="14">
        <v>0</v>
      </c>
      <c r="O1421" s="14" t="b">
        <v>1</v>
      </c>
      <c r="Q1421" s="14" t="b">
        <v>0</v>
      </c>
      <c r="R1421" s="14">
        <v>1</v>
      </c>
      <c r="S1421" s="14" t="s">
        <v>77</v>
      </c>
      <c r="T1421" s="14">
        <v>999</v>
      </c>
      <c r="U1421" s="14" t="s">
        <v>1401</v>
      </c>
      <c r="V1421" s="14">
        <v>31912061</v>
      </c>
      <c r="X1421" s="14" t="s">
        <v>1827</v>
      </c>
      <c r="Y1421" s="14" t="s">
        <v>215</v>
      </c>
      <c r="Z1421" s="14">
        <v>20184</v>
      </c>
      <c r="AA1421" s="14" t="s">
        <v>1828</v>
      </c>
      <c r="AB1421" s="14">
        <v>40001</v>
      </c>
      <c r="AE1421" s="14" t="s">
        <v>1400</v>
      </c>
      <c r="AF1421" s="14" t="s">
        <v>1400</v>
      </c>
      <c r="AG1421" s="14" t="s">
        <v>86</v>
      </c>
    </row>
    <row r="1422" spans="2:33">
      <c r="B1422" s="14">
        <f>10000000+INDEX(编号表!$B:$B,MATCH(H1422,编号表!$A:$A,0))*100000+INDEX(编号表!$F:$F,MATCH(D1422,编号表!$E:$E,0))*10000+INDEX(编号表!$D:$D,MATCH(AG1422,编号表!$C:$C,0))*1000+F1422</f>
        <v>11922062</v>
      </c>
      <c r="C1422" s="14" t="s">
        <v>1826</v>
      </c>
      <c r="D1422" s="14" t="s">
        <v>112</v>
      </c>
      <c r="E1422" s="14" t="s">
        <v>86</v>
      </c>
      <c r="F1422" s="14">
        <v>62</v>
      </c>
      <c r="G1422" s="14">
        <v>60</v>
      </c>
      <c r="H1422" s="14" t="s">
        <v>1400</v>
      </c>
      <c r="I1422" s="14" t="s">
        <v>75</v>
      </c>
      <c r="J1422" s="14" t="s">
        <v>201</v>
      </c>
      <c r="K1422" s="14">
        <v>1</v>
      </c>
      <c r="L1422" s="14" t="s">
        <v>1400</v>
      </c>
      <c r="N1422" s="14">
        <v>0</v>
      </c>
      <c r="O1422" s="14" t="b">
        <v>1</v>
      </c>
      <c r="Q1422" s="14" t="b">
        <v>0</v>
      </c>
      <c r="R1422" s="14">
        <v>1</v>
      </c>
      <c r="S1422" s="14" t="s">
        <v>77</v>
      </c>
      <c r="T1422" s="14">
        <v>999</v>
      </c>
      <c r="U1422" s="14" t="s">
        <v>1401</v>
      </c>
      <c r="V1422" s="14">
        <v>31922062</v>
      </c>
      <c r="X1422" s="14" t="s">
        <v>1829</v>
      </c>
      <c r="Y1422" s="14" t="s">
        <v>215</v>
      </c>
      <c r="Z1422" s="14">
        <v>20185</v>
      </c>
      <c r="AA1422" s="14" t="s">
        <v>1830</v>
      </c>
      <c r="AB1422" s="14">
        <v>40001</v>
      </c>
      <c r="AE1422" s="14" t="s">
        <v>1400</v>
      </c>
      <c r="AF1422" s="14" t="s">
        <v>1400</v>
      </c>
      <c r="AG1422" s="14" t="s">
        <v>86</v>
      </c>
    </row>
    <row r="1423" spans="2:33">
      <c r="B1423" s="14">
        <f>10000000+INDEX(编号表!$B:$B,MATCH(H1423,编号表!$A:$A,0))*100000+INDEX(编号表!$F:$F,MATCH(D1423,编号表!$E:$E,0))*10000+INDEX(编号表!$D:$D,MATCH(AG1423,编号表!$C:$C,0))*1000+F1423</f>
        <v>11932063</v>
      </c>
      <c r="C1423" s="14" t="s">
        <v>1826</v>
      </c>
      <c r="D1423" s="14" t="s">
        <v>276</v>
      </c>
      <c r="E1423" s="14" t="s">
        <v>86</v>
      </c>
      <c r="F1423" s="14">
        <v>63</v>
      </c>
      <c r="G1423" s="14">
        <v>60</v>
      </c>
      <c r="H1423" s="14" t="s">
        <v>1400</v>
      </c>
      <c r="I1423" s="14" t="s">
        <v>75</v>
      </c>
      <c r="J1423" s="14" t="s">
        <v>201</v>
      </c>
      <c r="K1423" s="14">
        <v>1</v>
      </c>
      <c r="L1423" s="14" t="s">
        <v>1400</v>
      </c>
      <c r="N1423" s="14">
        <v>0</v>
      </c>
      <c r="O1423" s="14" t="b">
        <v>1</v>
      </c>
      <c r="Q1423" s="14" t="b">
        <v>0</v>
      </c>
      <c r="R1423" s="14">
        <v>1</v>
      </c>
      <c r="S1423" s="14" t="s">
        <v>77</v>
      </c>
      <c r="T1423" s="14">
        <v>999</v>
      </c>
      <c r="U1423" s="14" t="s">
        <v>1401</v>
      </c>
      <c r="V1423" s="14">
        <v>31932063</v>
      </c>
      <c r="X1423" s="14" t="s">
        <v>1831</v>
      </c>
      <c r="Y1423" s="14" t="s">
        <v>215</v>
      </c>
      <c r="Z1423" s="14">
        <v>20186</v>
      </c>
      <c r="AA1423" s="14" t="s">
        <v>1832</v>
      </c>
      <c r="AB1423" s="14">
        <v>40001</v>
      </c>
      <c r="AE1423" s="14" t="s">
        <v>1400</v>
      </c>
      <c r="AF1423" s="14" t="s">
        <v>1400</v>
      </c>
      <c r="AG1423" s="14" t="s">
        <v>86</v>
      </c>
    </row>
    <row r="1424" spans="2:33">
      <c r="B1424" s="14">
        <f>10000000+INDEX(编号表!$B:$B,MATCH(H1424,编号表!$A:$A,0))*100000+INDEX(编号表!$F:$F,MATCH(D1424,编号表!$E:$E,0))*10000+INDEX(编号表!$D:$D,MATCH(AG1424,编号表!$C:$C,0))*1000+F1424</f>
        <v>11912062</v>
      </c>
      <c r="C1424" s="14" t="s">
        <v>1833</v>
      </c>
      <c r="D1424" s="14" t="s">
        <v>72</v>
      </c>
      <c r="E1424" s="14" t="s">
        <v>86</v>
      </c>
      <c r="F1424" s="14">
        <v>62</v>
      </c>
      <c r="G1424" s="14">
        <v>60</v>
      </c>
      <c r="H1424" s="14" t="s">
        <v>1400</v>
      </c>
      <c r="I1424" s="14" t="s">
        <v>75</v>
      </c>
      <c r="J1424" s="14" t="s">
        <v>201</v>
      </c>
      <c r="K1424" s="14">
        <v>1</v>
      </c>
      <c r="L1424" s="14" t="s">
        <v>1400</v>
      </c>
      <c r="N1424" s="14">
        <v>0</v>
      </c>
      <c r="O1424" s="14" t="b">
        <v>1</v>
      </c>
      <c r="Q1424" s="14" t="b">
        <v>0</v>
      </c>
      <c r="R1424" s="14">
        <v>1</v>
      </c>
      <c r="S1424" s="14" t="s">
        <v>77</v>
      </c>
      <c r="T1424" s="14">
        <v>999</v>
      </c>
      <c r="U1424" s="14" t="s">
        <v>1401</v>
      </c>
      <c r="V1424" s="14">
        <v>31912062</v>
      </c>
      <c r="X1424" s="14" t="s">
        <v>1834</v>
      </c>
      <c r="Y1424" s="14" t="s">
        <v>215</v>
      </c>
      <c r="Z1424" s="14">
        <v>20187</v>
      </c>
      <c r="AA1424" s="14" t="s">
        <v>1835</v>
      </c>
      <c r="AB1424" s="14">
        <v>40001</v>
      </c>
      <c r="AE1424" s="14" t="s">
        <v>1400</v>
      </c>
      <c r="AF1424" s="14" t="s">
        <v>1400</v>
      </c>
      <c r="AG1424" s="14" t="s">
        <v>86</v>
      </c>
    </row>
    <row r="1425" spans="2:33">
      <c r="B1425" s="14">
        <f>10000000+INDEX(编号表!$B:$B,MATCH(H1425,编号表!$A:$A,0))*100000+INDEX(编号表!$F:$F,MATCH(D1425,编号表!$E:$E,0))*10000+INDEX(编号表!$D:$D,MATCH(AG1425,编号表!$C:$C,0))*1000+F1425</f>
        <v>11922063</v>
      </c>
      <c r="C1425" s="14" t="s">
        <v>1833</v>
      </c>
      <c r="D1425" s="14" t="s">
        <v>112</v>
      </c>
      <c r="E1425" s="14" t="s">
        <v>86</v>
      </c>
      <c r="F1425" s="14">
        <v>63</v>
      </c>
      <c r="G1425" s="14">
        <v>60</v>
      </c>
      <c r="H1425" s="14" t="s">
        <v>1400</v>
      </c>
      <c r="I1425" s="14" t="s">
        <v>75</v>
      </c>
      <c r="J1425" s="14" t="s">
        <v>201</v>
      </c>
      <c r="K1425" s="14">
        <v>1</v>
      </c>
      <c r="L1425" s="14" t="s">
        <v>1400</v>
      </c>
      <c r="N1425" s="14">
        <v>0</v>
      </c>
      <c r="O1425" s="14" t="b">
        <v>1</v>
      </c>
      <c r="Q1425" s="14" t="b">
        <v>0</v>
      </c>
      <c r="R1425" s="14">
        <v>1</v>
      </c>
      <c r="S1425" s="14" t="s">
        <v>77</v>
      </c>
      <c r="T1425" s="14">
        <v>999</v>
      </c>
      <c r="U1425" s="14" t="s">
        <v>1401</v>
      </c>
      <c r="V1425" s="14">
        <v>31922063</v>
      </c>
      <c r="X1425" s="14" t="s">
        <v>1836</v>
      </c>
      <c r="Y1425" s="14" t="s">
        <v>215</v>
      </c>
      <c r="Z1425" s="14">
        <v>20188</v>
      </c>
      <c r="AA1425" s="14" t="s">
        <v>1837</v>
      </c>
      <c r="AB1425" s="14">
        <v>40001</v>
      </c>
      <c r="AE1425" s="14" t="s">
        <v>1400</v>
      </c>
      <c r="AF1425" s="14" t="s">
        <v>1400</v>
      </c>
      <c r="AG1425" s="14" t="s">
        <v>86</v>
      </c>
    </row>
    <row r="1426" spans="2:33">
      <c r="B1426" s="14">
        <f>10000000+INDEX(编号表!$B:$B,MATCH(H1426,编号表!$A:$A,0))*100000+INDEX(编号表!$F:$F,MATCH(D1426,编号表!$E:$E,0))*10000+INDEX(编号表!$D:$D,MATCH(AG1426,编号表!$C:$C,0))*1000+F1426</f>
        <v>11932064</v>
      </c>
      <c r="C1426" s="14" t="s">
        <v>1833</v>
      </c>
      <c r="D1426" s="14" t="s">
        <v>276</v>
      </c>
      <c r="E1426" s="14" t="s">
        <v>86</v>
      </c>
      <c r="F1426" s="14">
        <v>64</v>
      </c>
      <c r="G1426" s="14">
        <v>60</v>
      </c>
      <c r="H1426" s="14" t="s">
        <v>1400</v>
      </c>
      <c r="I1426" s="14" t="s">
        <v>75</v>
      </c>
      <c r="J1426" s="14" t="s">
        <v>201</v>
      </c>
      <c r="K1426" s="14">
        <v>1</v>
      </c>
      <c r="L1426" s="14" t="s">
        <v>1400</v>
      </c>
      <c r="N1426" s="14">
        <v>0</v>
      </c>
      <c r="O1426" s="14" t="b">
        <v>1</v>
      </c>
      <c r="Q1426" s="14" t="b">
        <v>0</v>
      </c>
      <c r="R1426" s="14">
        <v>1</v>
      </c>
      <c r="S1426" s="14" t="s">
        <v>77</v>
      </c>
      <c r="T1426" s="14">
        <v>999</v>
      </c>
      <c r="U1426" s="14" t="s">
        <v>1401</v>
      </c>
      <c r="V1426" s="14">
        <v>31932064</v>
      </c>
      <c r="X1426" s="14" t="s">
        <v>1838</v>
      </c>
      <c r="Y1426" s="14" t="s">
        <v>215</v>
      </c>
      <c r="Z1426" s="14">
        <v>20189</v>
      </c>
      <c r="AA1426" s="14" t="s">
        <v>1839</v>
      </c>
      <c r="AB1426" s="14">
        <v>40001</v>
      </c>
      <c r="AE1426" s="14" t="s">
        <v>1400</v>
      </c>
      <c r="AF1426" s="14" t="s">
        <v>1400</v>
      </c>
      <c r="AG1426" s="14" t="s">
        <v>86</v>
      </c>
    </row>
    <row r="1427" spans="2:33">
      <c r="B1427" s="14">
        <f>10000000+INDEX(编号表!$B:$B,MATCH(H1427,编号表!$A:$A,0))*100000+INDEX(编号表!$F:$F,MATCH(D1427,编号表!$E:$E,0))*10000+INDEX(编号表!$D:$D,MATCH(AG1427,编号表!$C:$C,0))*1000+F1427</f>
        <v>11912063</v>
      </c>
      <c r="C1427" s="14" t="s">
        <v>1840</v>
      </c>
      <c r="D1427" s="14" t="s">
        <v>72</v>
      </c>
      <c r="E1427" s="14" t="s">
        <v>86</v>
      </c>
      <c r="F1427" s="14">
        <v>63</v>
      </c>
      <c r="G1427" s="14">
        <v>60</v>
      </c>
      <c r="H1427" s="14" t="s">
        <v>1400</v>
      </c>
      <c r="I1427" s="14" t="s">
        <v>75</v>
      </c>
      <c r="J1427" s="14" t="s">
        <v>201</v>
      </c>
      <c r="K1427" s="14">
        <v>1</v>
      </c>
      <c r="L1427" s="14" t="s">
        <v>1400</v>
      </c>
      <c r="N1427" s="14">
        <v>0</v>
      </c>
      <c r="O1427" s="14" t="b">
        <v>1</v>
      </c>
      <c r="Q1427" s="14" t="b">
        <v>0</v>
      </c>
      <c r="R1427" s="14">
        <v>1</v>
      </c>
      <c r="S1427" s="14" t="s">
        <v>77</v>
      </c>
      <c r="T1427" s="14">
        <v>999</v>
      </c>
      <c r="U1427" s="14" t="s">
        <v>1401</v>
      </c>
      <c r="V1427" s="14">
        <v>31912063</v>
      </c>
      <c r="X1427" s="14" t="s">
        <v>1841</v>
      </c>
      <c r="Y1427" s="14" t="s">
        <v>215</v>
      </c>
      <c r="Z1427" s="14">
        <v>20190</v>
      </c>
      <c r="AA1427" s="14" t="s">
        <v>1842</v>
      </c>
      <c r="AB1427" s="14">
        <v>40001</v>
      </c>
      <c r="AE1427" s="14" t="s">
        <v>1400</v>
      </c>
      <c r="AF1427" s="14" t="s">
        <v>1400</v>
      </c>
      <c r="AG1427" s="14" t="s">
        <v>86</v>
      </c>
    </row>
    <row r="1428" spans="2:33">
      <c r="B1428" s="14">
        <f>10000000+INDEX(编号表!$B:$B,MATCH(H1428,编号表!$A:$A,0))*100000+INDEX(编号表!$F:$F,MATCH(D1428,编号表!$E:$E,0))*10000+INDEX(编号表!$D:$D,MATCH(AG1428,编号表!$C:$C,0))*1000+F1428</f>
        <v>11922064</v>
      </c>
      <c r="C1428" s="14" t="s">
        <v>1840</v>
      </c>
      <c r="D1428" s="14" t="s">
        <v>112</v>
      </c>
      <c r="E1428" s="14" t="s">
        <v>86</v>
      </c>
      <c r="F1428" s="14">
        <v>64</v>
      </c>
      <c r="G1428" s="14">
        <v>60</v>
      </c>
      <c r="H1428" s="14" t="s">
        <v>1400</v>
      </c>
      <c r="I1428" s="14" t="s">
        <v>75</v>
      </c>
      <c r="J1428" s="14" t="s">
        <v>201</v>
      </c>
      <c r="K1428" s="14">
        <v>1</v>
      </c>
      <c r="L1428" s="14" t="s">
        <v>1400</v>
      </c>
      <c r="N1428" s="14">
        <v>0</v>
      </c>
      <c r="O1428" s="14" t="b">
        <v>1</v>
      </c>
      <c r="Q1428" s="14" t="b">
        <v>0</v>
      </c>
      <c r="R1428" s="14">
        <v>1</v>
      </c>
      <c r="S1428" s="14" t="s">
        <v>77</v>
      </c>
      <c r="T1428" s="14">
        <v>999</v>
      </c>
      <c r="U1428" s="14" t="s">
        <v>1401</v>
      </c>
      <c r="V1428" s="14">
        <v>31922064</v>
      </c>
      <c r="X1428" s="14" t="s">
        <v>1843</v>
      </c>
      <c r="Y1428" s="14" t="s">
        <v>215</v>
      </c>
      <c r="Z1428" s="14">
        <v>20191</v>
      </c>
      <c r="AA1428" s="14" t="s">
        <v>1844</v>
      </c>
      <c r="AB1428" s="14">
        <v>40001</v>
      </c>
      <c r="AE1428" s="14" t="s">
        <v>1400</v>
      </c>
      <c r="AF1428" s="14" t="s">
        <v>1400</v>
      </c>
      <c r="AG1428" s="14" t="s">
        <v>86</v>
      </c>
    </row>
    <row r="1429" spans="2:33">
      <c r="B1429" s="14">
        <f>10000000+INDEX(编号表!$B:$B,MATCH(H1429,编号表!$A:$A,0))*100000+INDEX(编号表!$F:$F,MATCH(D1429,编号表!$E:$E,0))*10000+INDEX(编号表!$D:$D,MATCH(AG1429,编号表!$C:$C,0))*1000+F1429</f>
        <v>11932065</v>
      </c>
      <c r="C1429" s="14" t="s">
        <v>1840</v>
      </c>
      <c r="D1429" s="14" t="s">
        <v>276</v>
      </c>
      <c r="E1429" s="14" t="s">
        <v>86</v>
      </c>
      <c r="F1429" s="14">
        <v>65</v>
      </c>
      <c r="G1429" s="14">
        <v>60</v>
      </c>
      <c r="H1429" s="14" t="s">
        <v>1400</v>
      </c>
      <c r="I1429" s="14" t="s">
        <v>75</v>
      </c>
      <c r="J1429" s="14" t="s">
        <v>201</v>
      </c>
      <c r="K1429" s="14">
        <v>1</v>
      </c>
      <c r="L1429" s="14" t="s">
        <v>1400</v>
      </c>
      <c r="N1429" s="14">
        <v>0</v>
      </c>
      <c r="O1429" s="14" t="b">
        <v>1</v>
      </c>
      <c r="Q1429" s="14" t="b">
        <v>0</v>
      </c>
      <c r="R1429" s="14">
        <v>1</v>
      </c>
      <c r="S1429" s="14" t="s">
        <v>77</v>
      </c>
      <c r="T1429" s="14">
        <v>999</v>
      </c>
      <c r="U1429" s="14" t="s">
        <v>1401</v>
      </c>
      <c r="V1429" s="14">
        <v>31932065</v>
      </c>
      <c r="X1429" s="14" t="s">
        <v>1845</v>
      </c>
      <c r="Y1429" s="14" t="s">
        <v>215</v>
      </c>
      <c r="Z1429" s="14">
        <v>20192</v>
      </c>
      <c r="AA1429" s="14" t="s">
        <v>1846</v>
      </c>
      <c r="AB1429" s="14">
        <v>40001</v>
      </c>
      <c r="AE1429" s="14" t="s">
        <v>1400</v>
      </c>
      <c r="AF1429" s="14" t="s">
        <v>1400</v>
      </c>
      <c r="AG1429" s="14" t="s">
        <v>86</v>
      </c>
    </row>
    <row r="1430" spans="2:33">
      <c r="B1430" s="14">
        <f>10000000+INDEX(编号表!$B:$B,MATCH(H1430,编号表!$A:$A,0))*100000+INDEX(编号表!$F:$F,MATCH(D1430,编号表!$E:$E,0))*10000+INDEX(编号表!$D:$D,MATCH(AG1430,编号表!$C:$C,0))*1000+F1430</f>
        <v>11912064</v>
      </c>
      <c r="C1430" s="14" t="s">
        <v>1847</v>
      </c>
      <c r="D1430" s="14" t="s">
        <v>72</v>
      </c>
      <c r="E1430" s="14" t="s">
        <v>86</v>
      </c>
      <c r="F1430" s="14">
        <v>64</v>
      </c>
      <c r="G1430" s="14">
        <v>60</v>
      </c>
      <c r="H1430" s="14" t="s">
        <v>1400</v>
      </c>
      <c r="I1430" s="14" t="s">
        <v>75</v>
      </c>
      <c r="J1430" s="14" t="s">
        <v>201</v>
      </c>
      <c r="K1430" s="14">
        <v>1</v>
      </c>
      <c r="L1430" s="14" t="s">
        <v>1400</v>
      </c>
      <c r="N1430" s="14">
        <v>0</v>
      </c>
      <c r="O1430" s="14" t="b">
        <v>1</v>
      </c>
      <c r="Q1430" s="14" t="b">
        <v>0</v>
      </c>
      <c r="R1430" s="14">
        <v>1</v>
      </c>
      <c r="S1430" s="14" t="s">
        <v>77</v>
      </c>
      <c r="T1430" s="14">
        <v>999</v>
      </c>
      <c r="U1430" s="14" t="s">
        <v>1401</v>
      </c>
      <c r="V1430" s="14">
        <v>31912064</v>
      </c>
      <c r="X1430" s="14" t="s">
        <v>1848</v>
      </c>
      <c r="Y1430" s="14" t="s">
        <v>215</v>
      </c>
      <c r="Z1430" s="14">
        <v>20193</v>
      </c>
      <c r="AA1430" s="14" t="s">
        <v>1849</v>
      </c>
      <c r="AB1430" s="14">
        <v>40001</v>
      </c>
      <c r="AE1430" s="14" t="s">
        <v>1400</v>
      </c>
      <c r="AF1430" s="14" t="s">
        <v>1400</v>
      </c>
      <c r="AG1430" s="14" t="s">
        <v>86</v>
      </c>
    </row>
    <row r="1431" spans="2:33">
      <c r="B1431" s="14">
        <f>10000000+INDEX(编号表!$B:$B,MATCH(H1431,编号表!$A:$A,0))*100000+INDEX(编号表!$F:$F,MATCH(D1431,编号表!$E:$E,0))*10000+INDEX(编号表!$D:$D,MATCH(AG1431,编号表!$C:$C,0))*1000+F1431</f>
        <v>11922065</v>
      </c>
      <c r="C1431" s="14" t="s">
        <v>1847</v>
      </c>
      <c r="D1431" s="14" t="s">
        <v>112</v>
      </c>
      <c r="E1431" s="14" t="s">
        <v>86</v>
      </c>
      <c r="F1431" s="14">
        <v>65</v>
      </c>
      <c r="G1431" s="14">
        <v>60</v>
      </c>
      <c r="H1431" s="14" t="s">
        <v>1400</v>
      </c>
      <c r="I1431" s="14" t="s">
        <v>75</v>
      </c>
      <c r="J1431" s="14" t="s">
        <v>201</v>
      </c>
      <c r="K1431" s="14">
        <v>1</v>
      </c>
      <c r="L1431" s="14" t="s">
        <v>1400</v>
      </c>
      <c r="N1431" s="14">
        <v>0</v>
      </c>
      <c r="O1431" s="14" t="b">
        <v>1</v>
      </c>
      <c r="Q1431" s="14" t="b">
        <v>0</v>
      </c>
      <c r="R1431" s="14">
        <v>1</v>
      </c>
      <c r="S1431" s="14" t="s">
        <v>77</v>
      </c>
      <c r="T1431" s="14">
        <v>999</v>
      </c>
      <c r="U1431" s="14" t="s">
        <v>1401</v>
      </c>
      <c r="V1431" s="14">
        <v>31922065</v>
      </c>
      <c r="X1431" s="14" t="s">
        <v>1850</v>
      </c>
      <c r="Y1431" s="14" t="s">
        <v>215</v>
      </c>
      <c r="Z1431" s="14">
        <v>20194</v>
      </c>
      <c r="AA1431" s="14" t="s">
        <v>1851</v>
      </c>
      <c r="AB1431" s="14">
        <v>40001</v>
      </c>
      <c r="AE1431" s="14" t="s">
        <v>1400</v>
      </c>
      <c r="AF1431" s="14" t="s">
        <v>1400</v>
      </c>
      <c r="AG1431" s="14" t="s">
        <v>86</v>
      </c>
    </row>
    <row r="1432" spans="2:33">
      <c r="B1432" s="14">
        <f>10000000+INDEX(编号表!$B:$B,MATCH(H1432,编号表!$A:$A,0))*100000+INDEX(编号表!$F:$F,MATCH(D1432,编号表!$E:$E,0))*10000+INDEX(编号表!$D:$D,MATCH(AG1432,编号表!$C:$C,0))*1000+F1432</f>
        <v>11932066</v>
      </c>
      <c r="C1432" s="14" t="s">
        <v>1847</v>
      </c>
      <c r="D1432" s="14" t="s">
        <v>276</v>
      </c>
      <c r="E1432" s="14" t="s">
        <v>86</v>
      </c>
      <c r="F1432" s="14">
        <v>66</v>
      </c>
      <c r="G1432" s="14">
        <v>60</v>
      </c>
      <c r="H1432" s="14" t="s">
        <v>1400</v>
      </c>
      <c r="I1432" s="14" t="s">
        <v>75</v>
      </c>
      <c r="J1432" s="14" t="s">
        <v>201</v>
      </c>
      <c r="K1432" s="14">
        <v>1</v>
      </c>
      <c r="L1432" s="14" t="s">
        <v>1400</v>
      </c>
      <c r="N1432" s="14">
        <v>0</v>
      </c>
      <c r="O1432" s="14" t="b">
        <v>1</v>
      </c>
      <c r="Q1432" s="14" t="b">
        <v>0</v>
      </c>
      <c r="R1432" s="14">
        <v>1</v>
      </c>
      <c r="S1432" s="14" t="s">
        <v>77</v>
      </c>
      <c r="T1432" s="14">
        <v>999</v>
      </c>
      <c r="U1432" s="14" t="s">
        <v>1401</v>
      </c>
      <c r="V1432" s="14">
        <v>31932066</v>
      </c>
      <c r="X1432" s="14" t="s">
        <v>1852</v>
      </c>
      <c r="Y1432" s="14" t="s">
        <v>215</v>
      </c>
      <c r="Z1432" s="14">
        <v>20195</v>
      </c>
      <c r="AA1432" s="14" t="s">
        <v>1853</v>
      </c>
      <c r="AB1432" s="14">
        <v>40001</v>
      </c>
      <c r="AE1432" s="14" t="s">
        <v>1400</v>
      </c>
      <c r="AF1432" s="14" t="s">
        <v>1400</v>
      </c>
      <c r="AG1432" s="14" t="s">
        <v>86</v>
      </c>
    </row>
    <row r="1433" spans="2:33">
      <c r="B1433" s="14">
        <f>10000000+INDEX(编号表!$B:$B,MATCH(H1433,编号表!$A:$A,0))*100000+INDEX(编号表!$F:$F,MATCH(D1433,编号表!$E:$E,0))*10000+INDEX(编号表!$D:$D,MATCH(AG1433,编号表!$C:$C,0))*1000+F1433</f>
        <v>11912065</v>
      </c>
      <c r="C1433" s="14" t="s">
        <v>1854</v>
      </c>
      <c r="D1433" s="14" t="s">
        <v>72</v>
      </c>
      <c r="E1433" s="14" t="s">
        <v>86</v>
      </c>
      <c r="F1433" s="14">
        <v>65</v>
      </c>
      <c r="G1433" s="14">
        <v>60</v>
      </c>
      <c r="H1433" s="14" t="s">
        <v>1400</v>
      </c>
      <c r="I1433" s="14" t="s">
        <v>75</v>
      </c>
      <c r="J1433" s="14" t="s">
        <v>201</v>
      </c>
      <c r="K1433" s="14">
        <v>1</v>
      </c>
      <c r="L1433" s="14" t="s">
        <v>1400</v>
      </c>
      <c r="N1433" s="14">
        <v>0</v>
      </c>
      <c r="O1433" s="14" t="b">
        <v>1</v>
      </c>
      <c r="Q1433" s="14" t="b">
        <v>0</v>
      </c>
      <c r="R1433" s="14">
        <v>1</v>
      </c>
      <c r="S1433" s="14" t="s">
        <v>77</v>
      </c>
      <c r="T1433" s="14">
        <v>999</v>
      </c>
      <c r="U1433" s="14" t="s">
        <v>1401</v>
      </c>
      <c r="V1433" s="14">
        <v>31912065</v>
      </c>
      <c r="X1433" s="14" t="s">
        <v>1855</v>
      </c>
      <c r="Y1433" s="14" t="s">
        <v>215</v>
      </c>
      <c r="Z1433" s="14">
        <v>20196</v>
      </c>
      <c r="AA1433" s="14" t="s">
        <v>1856</v>
      </c>
      <c r="AB1433" s="14">
        <v>40001</v>
      </c>
      <c r="AE1433" s="14" t="s">
        <v>1400</v>
      </c>
      <c r="AF1433" s="14" t="s">
        <v>1400</v>
      </c>
      <c r="AG1433" s="14" t="s">
        <v>86</v>
      </c>
    </row>
    <row r="1434" spans="2:33">
      <c r="B1434" s="14">
        <f>10000000+INDEX(编号表!$B:$B,MATCH(H1434,编号表!$A:$A,0))*100000+INDEX(编号表!$F:$F,MATCH(D1434,编号表!$E:$E,0))*10000+INDEX(编号表!$D:$D,MATCH(AG1434,编号表!$C:$C,0))*1000+F1434</f>
        <v>11922066</v>
      </c>
      <c r="C1434" s="14" t="s">
        <v>1854</v>
      </c>
      <c r="D1434" s="14" t="s">
        <v>112</v>
      </c>
      <c r="E1434" s="14" t="s">
        <v>86</v>
      </c>
      <c r="F1434" s="14">
        <v>66</v>
      </c>
      <c r="G1434" s="14">
        <v>60</v>
      </c>
      <c r="H1434" s="14" t="s">
        <v>1400</v>
      </c>
      <c r="I1434" s="14" t="s">
        <v>75</v>
      </c>
      <c r="J1434" s="14" t="s">
        <v>201</v>
      </c>
      <c r="K1434" s="14">
        <v>1</v>
      </c>
      <c r="L1434" s="14" t="s">
        <v>1400</v>
      </c>
      <c r="N1434" s="14">
        <v>0</v>
      </c>
      <c r="O1434" s="14" t="b">
        <v>1</v>
      </c>
      <c r="Q1434" s="14" t="b">
        <v>0</v>
      </c>
      <c r="R1434" s="14">
        <v>1</v>
      </c>
      <c r="S1434" s="14" t="s">
        <v>77</v>
      </c>
      <c r="T1434" s="14">
        <v>999</v>
      </c>
      <c r="U1434" s="14" t="s">
        <v>1401</v>
      </c>
      <c r="V1434" s="14">
        <v>31922066</v>
      </c>
      <c r="X1434" s="14" t="s">
        <v>1857</v>
      </c>
      <c r="Y1434" s="14" t="s">
        <v>215</v>
      </c>
      <c r="Z1434" s="14">
        <v>20197</v>
      </c>
      <c r="AA1434" s="14" t="s">
        <v>1858</v>
      </c>
      <c r="AB1434" s="14">
        <v>40001</v>
      </c>
      <c r="AE1434" s="14" t="s">
        <v>1400</v>
      </c>
      <c r="AF1434" s="14" t="s">
        <v>1400</v>
      </c>
      <c r="AG1434" s="14" t="s">
        <v>86</v>
      </c>
    </row>
    <row r="1435" spans="2:33">
      <c r="B1435" s="14">
        <f>10000000+INDEX(编号表!$B:$B,MATCH(H1435,编号表!$A:$A,0))*100000+INDEX(编号表!$F:$F,MATCH(D1435,编号表!$E:$E,0))*10000+INDEX(编号表!$D:$D,MATCH(AG1435,编号表!$C:$C,0))*1000+F1435</f>
        <v>11932067</v>
      </c>
      <c r="C1435" s="14" t="s">
        <v>1854</v>
      </c>
      <c r="D1435" s="14" t="s">
        <v>276</v>
      </c>
      <c r="E1435" s="14" t="s">
        <v>86</v>
      </c>
      <c r="F1435" s="14">
        <v>67</v>
      </c>
      <c r="G1435" s="14">
        <v>60</v>
      </c>
      <c r="H1435" s="14" t="s">
        <v>1400</v>
      </c>
      <c r="I1435" s="14" t="s">
        <v>75</v>
      </c>
      <c r="J1435" s="14" t="s">
        <v>201</v>
      </c>
      <c r="K1435" s="14">
        <v>1</v>
      </c>
      <c r="L1435" s="14" t="s">
        <v>1400</v>
      </c>
      <c r="N1435" s="14">
        <v>0</v>
      </c>
      <c r="O1435" s="14" t="b">
        <v>1</v>
      </c>
      <c r="Q1435" s="14" t="b">
        <v>0</v>
      </c>
      <c r="R1435" s="14">
        <v>1</v>
      </c>
      <c r="S1435" s="14" t="s">
        <v>77</v>
      </c>
      <c r="T1435" s="14">
        <v>999</v>
      </c>
      <c r="U1435" s="14" t="s">
        <v>1401</v>
      </c>
      <c r="V1435" s="14">
        <v>31932067</v>
      </c>
      <c r="X1435" s="14" t="s">
        <v>1859</v>
      </c>
      <c r="Y1435" s="14" t="s">
        <v>215</v>
      </c>
      <c r="Z1435" s="14">
        <v>20198</v>
      </c>
      <c r="AA1435" s="14" t="s">
        <v>1860</v>
      </c>
      <c r="AB1435" s="14">
        <v>40001</v>
      </c>
      <c r="AE1435" s="14" t="s">
        <v>1400</v>
      </c>
      <c r="AF1435" s="14" t="s">
        <v>1400</v>
      </c>
      <c r="AG1435" s="14" t="s">
        <v>86</v>
      </c>
    </row>
    <row r="1436" spans="2:33">
      <c r="B1436" s="14">
        <f>10000000+INDEX(编号表!$B:$B,MATCH(H1436,编号表!$A:$A,0))*100000+INDEX(编号表!$F:$F,MATCH(D1436,编号表!$E:$E,0))*10000+INDEX(编号表!$D:$D,MATCH(AG1436,编号表!$C:$C,0))*1000+F1436</f>
        <v>11912066</v>
      </c>
      <c r="C1436" s="14" t="s">
        <v>1861</v>
      </c>
      <c r="D1436" s="14" t="s">
        <v>72</v>
      </c>
      <c r="E1436" s="14" t="s">
        <v>86</v>
      </c>
      <c r="F1436" s="14">
        <v>66</v>
      </c>
      <c r="G1436" s="14">
        <v>60</v>
      </c>
      <c r="H1436" s="14" t="s">
        <v>1400</v>
      </c>
      <c r="I1436" s="14" t="s">
        <v>75</v>
      </c>
      <c r="J1436" s="14" t="s">
        <v>201</v>
      </c>
      <c r="K1436" s="14">
        <v>1</v>
      </c>
      <c r="L1436" s="14" t="s">
        <v>1400</v>
      </c>
      <c r="N1436" s="14">
        <v>0</v>
      </c>
      <c r="O1436" s="14" t="b">
        <v>1</v>
      </c>
      <c r="Q1436" s="14" t="b">
        <v>0</v>
      </c>
      <c r="R1436" s="14">
        <v>1</v>
      </c>
      <c r="S1436" s="14" t="s">
        <v>77</v>
      </c>
      <c r="T1436" s="14">
        <v>999</v>
      </c>
      <c r="U1436" s="14" t="s">
        <v>1401</v>
      </c>
      <c r="V1436" s="14">
        <v>31912066</v>
      </c>
      <c r="X1436" s="14" t="s">
        <v>1862</v>
      </c>
      <c r="Y1436" s="14" t="s">
        <v>215</v>
      </c>
      <c r="Z1436" s="14">
        <v>20199</v>
      </c>
      <c r="AA1436" s="14" t="s">
        <v>1863</v>
      </c>
      <c r="AB1436" s="14">
        <v>40001</v>
      </c>
      <c r="AE1436" s="14" t="s">
        <v>1400</v>
      </c>
      <c r="AF1436" s="14" t="s">
        <v>1400</v>
      </c>
      <c r="AG1436" s="14" t="s">
        <v>86</v>
      </c>
    </row>
    <row r="1437" spans="2:33">
      <c r="B1437" s="14">
        <f>10000000+INDEX(编号表!$B:$B,MATCH(H1437,编号表!$A:$A,0))*100000+INDEX(编号表!$F:$F,MATCH(D1437,编号表!$E:$E,0))*10000+INDEX(编号表!$D:$D,MATCH(AG1437,编号表!$C:$C,0))*1000+F1437</f>
        <v>11922067</v>
      </c>
      <c r="C1437" s="14" t="s">
        <v>1861</v>
      </c>
      <c r="D1437" s="14" t="s">
        <v>112</v>
      </c>
      <c r="E1437" s="14" t="s">
        <v>86</v>
      </c>
      <c r="F1437" s="14">
        <v>67</v>
      </c>
      <c r="G1437" s="14">
        <v>60</v>
      </c>
      <c r="H1437" s="14" t="s">
        <v>1400</v>
      </c>
      <c r="I1437" s="14" t="s">
        <v>75</v>
      </c>
      <c r="J1437" s="14" t="s">
        <v>201</v>
      </c>
      <c r="K1437" s="14">
        <v>1</v>
      </c>
      <c r="L1437" s="14" t="s">
        <v>1400</v>
      </c>
      <c r="N1437" s="14">
        <v>0</v>
      </c>
      <c r="O1437" s="14" t="b">
        <v>1</v>
      </c>
      <c r="Q1437" s="14" t="b">
        <v>0</v>
      </c>
      <c r="R1437" s="14">
        <v>1</v>
      </c>
      <c r="S1437" s="14" t="s">
        <v>77</v>
      </c>
      <c r="T1437" s="14">
        <v>999</v>
      </c>
      <c r="U1437" s="14" t="s">
        <v>1401</v>
      </c>
      <c r="V1437" s="14">
        <v>31922067</v>
      </c>
      <c r="X1437" s="14" t="s">
        <v>1864</v>
      </c>
      <c r="Y1437" s="14" t="s">
        <v>215</v>
      </c>
      <c r="Z1437" s="14">
        <v>20200</v>
      </c>
      <c r="AA1437" s="14" t="s">
        <v>1865</v>
      </c>
      <c r="AB1437" s="14">
        <v>40001</v>
      </c>
      <c r="AE1437" s="14" t="s">
        <v>1400</v>
      </c>
      <c r="AF1437" s="14" t="s">
        <v>1400</v>
      </c>
      <c r="AG1437" s="14" t="s">
        <v>86</v>
      </c>
    </row>
    <row r="1438" spans="2:33">
      <c r="B1438" s="14">
        <f>10000000+INDEX(编号表!$B:$B,MATCH(H1438,编号表!$A:$A,0))*100000+INDEX(编号表!$F:$F,MATCH(D1438,编号表!$E:$E,0))*10000+INDEX(编号表!$D:$D,MATCH(AG1438,编号表!$C:$C,0))*1000+F1438</f>
        <v>11932068</v>
      </c>
      <c r="C1438" s="14" t="s">
        <v>1861</v>
      </c>
      <c r="D1438" s="14" t="s">
        <v>276</v>
      </c>
      <c r="E1438" s="14" t="s">
        <v>86</v>
      </c>
      <c r="F1438" s="14">
        <v>68</v>
      </c>
      <c r="G1438" s="14">
        <v>60</v>
      </c>
      <c r="H1438" s="14" t="s">
        <v>1400</v>
      </c>
      <c r="I1438" s="14" t="s">
        <v>75</v>
      </c>
      <c r="J1438" s="14" t="s">
        <v>201</v>
      </c>
      <c r="K1438" s="14">
        <v>1</v>
      </c>
      <c r="L1438" s="14" t="s">
        <v>1400</v>
      </c>
      <c r="N1438" s="14">
        <v>0</v>
      </c>
      <c r="O1438" s="14" t="b">
        <v>1</v>
      </c>
      <c r="Q1438" s="14" t="b">
        <v>0</v>
      </c>
      <c r="R1438" s="14">
        <v>1</v>
      </c>
      <c r="S1438" s="14" t="s">
        <v>77</v>
      </c>
      <c r="T1438" s="14">
        <v>999</v>
      </c>
      <c r="U1438" s="14" t="s">
        <v>1401</v>
      </c>
      <c r="V1438" s="14">
        <v>31932068</v>
      </c>
      <c r="X1438" s="14" t="s">
        <v>1866</v>
      </c>
      <c r="Y1438" s="14" t="s">
        <v>215</v>
      </c>
      <c r="Z1438" s="14">
        <v>20201</v>
      </c>
      <c r="AA1438" s="14" t="s">
        <v>1867</v>
      </c>
      <c r="AB1438" s="14">
        <v>40001</v>
      </c>
      <c r="AE1438" s="14" t="s">
        <v>1400</v>
      </c>
      <c r="AF1438" s="14" t="s">
        <v>1400</v>
      </c>
      <c r="AG1438" s="14" t="s">
        <v>86</v>
      </c>
    </row>
    <row r="1439" spans="2:33">
      <c r="B1439" s="14">
        <f>10000000+INDEX(编号表!$B:$B,MATCH(H1439,编号表!$A:$A,0))*100000+INDEX(编号表!$F:$F,MATCH(D1439,编号表!$E:$E,0))*10000+INDEX(编号表!$D:$D,MATCH(AG1439,编号表!$C:$C,0))*1000+F1439</f>
        <v>11912067</v>
      </c>
      <c r="C1439" s="14" t="s">
        <v>1868</v>
      </c>
      <c r="D1439" s="14" t="s">
        <v>72</v>
      </c>
      <c r="E1439" s="14" t="s">
        <v>86</v>
      </c>
      <c r="F1439" s="14">
        <v>67</v>
      </c>
      <c r="G1439" s="14">
        <v>60</v>
      </c>
      <c r="H1439" s="14" t="s">
        <v>1400</v>
      </c>
      <c r="I1439" s="14" t="s">
        <v>75</v>
      </c>
      <c r="J1439" s="14" t="s">
        <v>201</v>
      </c>
      <c r="K1439" s="14">
        <v>1</v>
      </c>
      <c r="L1439" s="14" t="s">
        <v>1400</v>
      </c>
      <c r="N1439" s="14">
        <v>0</v>
      </c>
      <c r="O1439" s="14" t="b">
        <v>1</v>
      </c>
      <c r="Q1439" s="14" t="b">
        <v>0</v>
      </c>
      <c r="R1439" s="14">
        <v>1</v>
      </c>
      <c r="S1439" s="14" t="s">
        <v>77</v>
      </c>
      <c r="T1439" s="14">
        <v>999</v>
      </c>
      <c r="U1439" s="14" t="s">
        <v>1401</v>
      </c>
      <c r="V1439" s="14">
        <v>31912067</v>
      </c>
      <c r="X1439" s="14" t="s">
        <v>1869</v>
      </c>
      <c r="Y1439" s="14" t="s">
        <v>215</v>
      </c>
      <c r="Z1439" s="14">
        <v>20202</v>
      </c>
      <c r="AA1439" s="14" t="s">
        <v>1870</v>
      </c>
      <c r="AB1439" s="14">
        <v>40001</v>
      </c>
      <c r="AE1439" s="14" t="s">
        <v>1400</v>
      </c>
      <c r="AF1439" s="14" t="s">
        <v>1400</v>
      </c>
      <c r="AG1439" s="14" t="s">
        <v>86</v>
      </c>
    </row>
    <row r="1440" spans="2:33">
      <c r="B1440" s="14">
        <f>10000000+INDEX(编号表!$B:$B,MATCH(H1440,编号表!$A:$A,0))*100000+INDEX(编号表!$F:$F,MATCH(D1440,编号表!$E:$E,0))*10000+INDEX(编号表!$D:$D,MATCH(AG1440,编号表!$C:$C,0))*1000+F1440</f>
        <v>11922068</v>
      </c>
      <c r="C1440" s="14" t="s">
        <v>1868</v>
      </c>
      <c r="D1440" s="14" t="s">
        <v>112</v>
      </c>
      <c r="E1440" s="14" t="s">
        <v>86</v>
      </c>
      <c r="F1440" s="14">
        <v>68</v>
      </c>
      <c r="G1440" s="14">
        <v>60</v>
      </c>
      <c r="H1440" s="14" t="s">
        <v>1400</v>
      </c>
      <c r="I1440" s="14" t="s">
        <v>75</v>
      </c>
      <c r="J1440" s="14" t="s">
        <v>201</v>
      </c>
      <c r="K1440" s="14">
        <v>1</v>
      </c>
      <c r="L1440" s="14" t="s">
        <v>1400</v>
      </c>
      <c r="N1440" s="14">
        <v>0</v>
      </c>
      <c r="O1440" s="14" t="b">
        <v>1</v>
      </c>
      <c r="Q1440" s="14" t="b">
        <v>0</v>
      </c>
      <c r="R1440" s="14">
        <v>1</v>
      </c>
      <c r="S1440" s="14" t="s">
        <v>77</v>
      </c>
      <c r="T1440" s="14">
        <v>999</v>
      </c>
      <c r="U1440" s="14" t="s">
        <v>1401</v>
      </c>
      <c r="V1440" s="14">
        <v>31922068</v>
      </c>
      <c r="X1440" s="14" t="s">
        <v>1871</v>
      </c>
      <c r="Y1440" s="14" t="s">
        <v>215</v>
      </c>
      <c r="Z1440" s="14">
        <v>20203</v>
      </c>
      <c r="AA1440" s="14" t="s">
        <v>1872</v>
      </c>
      <c r="AB1440" s="14">
        <v>40001</v>
      </c>
      <c r="AE1440" s="14" t="s">
        <v>1400</v>
      </c>
      <c r="AF1440" s="14" t="s">
        <v>1400</v>
      </c>
      <c r="AG1440" s="14" t="s">
        <v>86</v>
      </c>
    </row>
    <row r="1441" spans="2:33">
      <c r="B1441" s="14">
        <f>10000000+INDEX(编号表!$B:$B,MATCH(H1441,编号表!$A:$A,0))*100000+INDEX(编号表!$F:$F,MATCH(D1441,编号表!$E:$E,0))*10000+INDEX(编号表!$D:$D,MATCH(AG1441,编号表!$C:$C,0))*1000+F1441</f>
        <v>11932069</v>
      </c>
      <c r="C1441" s="14" t="s">
        <v>1868</v>
      </c>
      <c r="D1441" s="14" t="s">
        <v>276</v>
      </c>
      <c r="E1441" s="14" t="s">
        <v>86</v>
      </c>
      <c r="F1441" s="14">
        <v>69</v>
      </c>
      <c r="G1441" s="14">
        <v>60</v>
      </c>
      <c r="H1441" s="14" t="s">
        <v>1400</v>
      </c>
      <c r="I1441" s="14" t="s">
        <v>75</v>
      </c>
      <c r="J1441" s="14" t="s">
        <v>201</v>
      </c>
      <c r="K1441" s="14">
        <v>1</v>
      </c>
      <c r="L1441" s="14" t="s">
        <v>1400</v>
      </c>
      <c r="N1441" s="14">
        <v>0</v>
      </c>
      <c r="O1441" s="14" t="b">
        <v>1</v>
      </c>
      <c r="Q1441" s="14" t="b">
        <v>0</v>
      </c>
      <c r="R1441" s="14">
        <v>1</v>
      </c>
      <c r="S1441" s="14" t="s">
        <v>77</v>
      </c>
      <c r="T1441" s="14">
        <v>999</v>
      </c>
      <c r="U1441" s="14" t="s">
        <v>1401</v>
      </c>
      <c r="V1441" s="14">
        <v>31932069</v>
      </c>
      <c r="X1441" s="14" t="s">
        <v>1873</v>
      </c>
      <c r="Y1441" s="14" t="s">
        <v>215</v>
      </c>
      <c r="Z1441" s="14">
        <v>20204</v>
      </c>
      <c r="AA1441" s="14" t="s">
        <v>1874</v>
      </c>
      <c r="AB1441" s="14">
        <v>40001</v>
      </c>
      <c r="AE1441" s="14" t="s">
        <v>1400</v>
      </c>
      <c r="AF1441" s="14" t="s">
        <v>1400</v>
      </c>
      <c r="AG1441" s="14" t="s">
        <v>86</v>
      </c>
    </row>
    <row r="1442" spans="2:33">
      <c r="B1442" s="14">
        <f>10000000+INDEX(编号表!$B:$B,MATCH(H1442,编号表!$A:$A,0))*100000+INDEX(编号表!$F:$F,MATCH(D1442,编号表!$E:$E,0))*10000+INDEX(编号表!$D:$D,MATCH(AG1442,编号表!$C:$C,0))*1000+F1442</f>
        <v>11912068</v>
      </c>
      <c r="C1442" s="14" t="s">
        <v>1875</v>
      </c>
      <c r="D1442" s="14" t="s">
        <v>72</v>
      </c>
      <c r="E1442" s="14" t="s">
        <v>86</v>
      </c>
      <c r="F1442" s="14">
        <v>68</v>
      </c>
      <c r="G1442" s="14">
        <v>60</v>
      </c>
      <c r="H1442" s="14" t="s">
        <v>1400</v>
      </c>
      <c r="I1442" s="14" t="s">
        <v>75</v>
      </c>
      <c r="J1442" s="14" t="s">
        <v>201</v>
      </c>
      <c r="K1442" s="14">
        <v>1</v>
      </c>
      <c r="L1442" s="14" t="s">
        <v>1400</v>
      </c>
      <c r="N1442" s="14">
        <v>0</v>
      </c>
      <c r="O1442" s="14" t="b">
        <v>1</v>
      </c>
      <c r="Q1442" s="14" t="b">
        <v>0</v>
      </c>
      <c r="R1442" s="14">
        <v>1</v>
      </c>
      <c r="S1442" s="14" t="s">
        <v>77</v>
      </c>
      <c r="T1442" s="14">
        <v>999</v>
      </c>
      <c r="U1442" s="14" t="s">
        <v>1401</v>
      </c>
      <c r="V1442" s="14">
        <v>31912068</v>
      </c>
      <c r="X1442" s="14" t="s">
        <v>1876</v>
      </c>
      <c r="Y1442" s="14" t="s">
        <v>215</v>
      </c>
      <c r="Z1442" s="14">
        <v>20205</v>
      </c>
      <c r="AA1442" s="14" t="s">
        <v>1877</v>
      </c>
      <c r="AB1442" s="14">
        <v>40001</v>
      </c>
      <c r="AE1442" s="14" t="s">
        <v>1400</v>
      </c>
      <c r="AF1442" s="14" t="s">
        <v>1400</v>
      </c>
      <c r="AG1442" s="14" t="s">
        <v>86</v>
      </c>
    </row>
    <row r="1443" spans="2:33">
      <c r="B1443" s="14">
        <f>10000000+INDEX(编号表!$B:$B,MATCH(H1443,编号表!$A:$A,0))*100000+INDEX(编号表!$F:$F,MATCH(D1443,编号表!$E:$E,0))*10000+INDEX(编号表!$D:$D,MATCH(AG1443,编号表!$C:$C,0))*1000+F1443</f>
        <v>11922069</v>
      </c>
      <c r="C1443" s="14" t="s">
        <v>1875</v>
      </c>
      <c r="D1443" s="14" t="s">
        <v>112</v>
      </c>
      <c r="E1443" s="14" t="s">
        <v>86</v>
      </c>
      <c r="F1443" s="14">
        <v>69</v>
      </c>
      <c r="G1443" s="14">
        <v>60</v>
      </c>
      <c r="H1443" s="14" t="s">
        <v>1400</v>
      </c>
      <c r="I1443" s="14" t="s">
        <v>75</v>
      </c>
      <c r="J1443" s="14" t="s">
        <v>201</v>
      </c>
      <c r="K1443" s="14">
        <v>1</v>
      </c>
      <c r="L1443" s="14" t="s">
        <v>1400</v>
      </c>
      <c r="N1443" s="14">
        <v>0</v>
      </c>
      <c r="O1443" s="14" t="b">
        <v>1</v>
      </c>
      <c r="Q1443" s="14" t="b">
        <v>0</v>
      </c>
      <c r="R1443" s="14">
        <v>1</v>
      </c>
      <c r="S1443" s="14" t="s">
        <v>77</v>
      </c>
      <c r="T1443" s="14">
        <v>999</v>
      </c>
      <c r="U1443" s="14" t="s">
        <v>1401</v>
      </c>
      <c r="V1443" s="14">
        <v>31922069</v>
      </c>
      <c r="X1443" s="14" t="s">
        <v>1878</v>
      </c>
      <c r="Y1443" s="14" t="s">
        <v>215</v>
      </c>
      <c r="Z1443" s="14">
        <v>20206</v>
      </c>
      <c r="AA1443" s="14" t="s">
        <v>1879</v>
      </c>
      <c r="AB1443" s="14">
        <v>40001</v>
      </c>
      <c r="AE1443" s="14" t="s">
        <v>1400</v>
      </c>
      <c r="AF1443" s="14" t="s">
        <v>1400</v>
      </c>
      <c r="AG1443" s="14" t="s">
        <v>86</v>
      </c>
    </row>
    <row r="1444" spans="2:33">
      <c r="B1444" s="14">
        <f>10000000+INDEX(编号表!$B:$B,MATCH(H1444,编号表!$A:$A,0))*100000+INDEX(编号表!$F:$F,MATCH(D1444,编号表!$E:$E,0))*10000+INDEX(编号表!$D:$D,MATCH(AG1444,编号表!$C:$C,0))*1000+F1444</f>
        <v>11932070</v>
      </c>
      <c r="C1444" s="14" t="s">
        <v>1875</v>
      </c>
      <c r="D1444" s="14" t="s">
        <v>276</v>
      </c>
      <c r="E1444" s="14" t="s">
        <v>86</v>
      </c>
      <c r="F1444" s="14">
        <v>70</v>
      </c>
      <c r="G1444" s="14">
        <v>60</v>
      </c>
      <c r="H1444" s="14" t="s">
        <v>1400</v>
      </c>
      <c r="I1444" s="14" t="s">
        <v>75</v>
      </c>
      <c r="J1444" s="14" t="s">
        <v>201</v>
      </c>
      <c r="K1444" s="14">
        <v>1</v>
      </c>
      <c r="L1444" s="14" t="s">
        <v>1400</v>
      </c>
      <c r="N1444" s="14">
        <v>0</v>
      </c>
      <c r="O1444" s="14" t="b">
        <v>1</v>
      </c>
      <c r="Q1444" s="14" t="b">
        <v>0</v>
      </c>
      <c r="R1444" s="14">
        <v>1</v>
      </c>
      <c r="S1444" s="14" t="s">
        <v>77</v>
      </c>
      <c r="T1444" s="14">
        <v>999</v>
      </c>
      <c r="U1444" s="14" t="s">
        <v>1401</v>
      </c>
      <c r="V1444" s="14">
        <v>31932070</v>
      </c>
      <c r="X1444" s="14" t="s">
        <v>1880</v>
      </c>
      <c r="Y1444" s="14" t="s">
        <v>215</v>
      </c>
      <c r="Z1444" s="14">
        <v>20207</v>
      </c>
      <c r="AA1444" s="14" t="s">
        <v>1881</v>
      </c>
      <c r="AB1444" s="14">
        <v>40001</v>
      </c>
      <c r="AE1444" s="14" t="s">
        <v>1400</v>
      </c>
      <c r="AF1444" s="14" t="s">
        <v>1400</v>
      </c>
      <c r="AG1444" s="14" t="s">
        <v>86</v>
      </c>
    </row>
    <row r="1445" spans="2:33">
      <c r="B1445" s="14">
        <f>10000000+INDEX(编号表!$B:$B,MATCH(H1445,编号表!$A:$A,0))*100000+INDEX(编号表!$F:$F,MATCH(D1445,编号表!$E:$E,0))*10000+INDEX(编号表!$D:$D,MATCH(AG1445,编号表!$C:$C,0))*1000+F1445</f>
        <v>11912069</v>
      </c>
      <c r="C1445" s="14" t="s">
        <v>1882</v>
      </c>
      <c r="D1445" s="14" t="s">
        <v>72</v>
      </c>
      <c r="E1445" s="14" t="s">
        <v>86</v>
      </c>
      <c r="F1445" s="14">
        <v>69</v>
      </c>
      <c r="G1445" s="14">
        <v>60</v>
      </c>
      <c r="H1445" s="14" t="s">
        <v>1400</v>
      </c>
      <c r="I1445" s="14" t="s">
        <v>75</v>
      </c>
      <c r="J1445" s="14" t="s">
        <v>201</v>
      </c>
      <c r="K1445" s="14">
        <v>1</v>
      </c>
      <c r="L1445" s="14" t="s">
        <v>1400</v>
      </c>
      <c r="N1445" s="14">
        <v>0</v>
      </c>
      <c r="O1445" s="14" t="b">
        <v>1</v>
      </c>
      <c r="Q1445" s="14" t="b">
        <v>0</v>
      </c>
      <c r="R1445" s="14">
        <v>1</v>
      </c>
      <c r="S1445" s="14" t="s">
        <v>77</v>
      </c>
      <c r="T1445" s="14">
        <v>999</v>
      </c>
      <c r="U1445" s="14" t="s">
        <v>1401</v>
      </c>
      <c r="V1445" s="14">
        <v>31912069</v>
      </c>
      <c r="X1445" s="14" t="s">
        <v>1883</v>
      </c>
      <c r="Y1445" s="14" t="s">
        <v>215</v>
      </c>
      <c r="Z1445" s="14">
        <v>20208</v>
      </c>
      <c r="AA1445" s="14" t="s">
        <v>1884</v>
      </c>
      <c r="AB1445" s="14">
        <v>40001</v>
      </c>
      <c r="AE1445" s="14" t="s">
        <v>1400</v>
      </c>
      <c r="AF1445" s="14" t="s">
        <v>1400</v>
      </c>
      <c r="AG1445" s="14" t="s">
        <v>86</v>
      </c>
    </row>
    <row r="1446" spans="2:33">
      <c r="B1446" s="14">
        <f>10000000+INDEX(编号表!$B:$B,MATCH(H1446,编号表!$A:$A,0))*100000+INDEX(编号表!$F:$F,MATCH(D1446,编号表!$E:$E,0))*10000+INDEX(编号表!$D:$D,MATCH(AG1446,编号表!$C:$C,0))*1000+F1446</f>
        <v>11922070</v>
      </c>
      <c r="C1446" s="14" t="s">
        <v>1882</v>
      </c>
      <c r="D1446" s="14" t="s">
        <v>112</v>
      </c>
      <c r="E1446" s="14" t="s">
        <v>86</v>
      </c>
      <c r="F1446" s="14">
        <v>70</v>
      </c>
      <c r="G1446" s="14">
        <v>60</v>
      </c>
      <c r="H1446" s="14" t="s">
        <v>1400</v>
      </c>
      <c r="I1446" s="14" t="s">
        <v>75</v>
      </c>
      <c r="J1446" s="14" t="s">
        <v>201</v>
      </c>
      <c r="K1446" s="14">
        <v>1</v>
      </c>
      <c r="L1446" s="14" t="s">
        <v>1400</v>
      </c>
      <c r="N1446" s="14">
        <v>0</v>
      </c>
      <c r="O1446" s="14" t="b">
        <v>1</v>
      </c>
      <c r="Q1446" s="14" t="b">
        <v>0</v>
      </c>
      <c r="R1446" s="14">
        <v>1</v>
      </c>
      <c r="S1446" s="14" t="s">
        <v>77</v>
      </c>
      <c r="T1446" s="14">
        <v>999</v>
      </c>
      <c r="U1446" s="14" t="s">
        <v>1401</v>
      </c>
      <c r="V1446" s="14">
        <v>31922070</v>
      </c>
      <c r="X1446" s="14" t="s">
        <v>1885</v>
      </c>
      <c r="Y1446" s="14" t="s">
        <v>215</v>
      </c>
      <c r="Z1446" s="14">
        <v>20209</v>
      </c>
      <c r="AA1446" s="14" t="s">
        <v>1886</v>
      </c>
      <c r="AB1446" s="14">
        <v>40001</v>
      </c>
      <c r="AE1446" s="14" t="s">
        <v>1400</v>
      </c>
      <c r="AF1446" s="14" t="s">
        <v>1400</v>
      </c>
      <c r="AG1446" s="14" t="s">
        <v>86</v>
      </c>
    </row>
    <row r="1447" spans="2:33">
      <c r="B1447" s="14">
        <f>10000000+INDEX(编号表!$B:$B,MATCH(H1447,编号表!$A:$A,0))*100000+INDEX(编号表!$F:$F,MATCH(D1447,编号表!$E:$E,0))*10000+INDEX(编号表!$D:$D,MATCH(AG1447,编号表!$C:$C,0))*1000+F1447</f>
        <v>11932071</v>
      </c>
      <c r="C1447" s="14" t="s">
        <v>1882</v>
      </c>
      <c r="D1447" s="14" t="s">
        <v>276</v>
      </c>
      <c r="E1447" s="14" t="s">
        <v>86</v>
      </c>
      <c r="F1447" s="14">
        <v>71</v>
      </c>
      <c r="G1447" s="14">
        <v>60</v>
      </c>
      <c r="H1447" s="14" t="s">
        <v>1400</v>
      </c>
      <c r="I1447" s="14" t="s">
        <v>75</v>
      </c>
      <c r="J1447" s="14" t="s">
        <v>201</v>
      </c>
      <c r="K1447" s="14">
        <v>1</v>
      </c>
      <c r="L1447" s="14" t="s">
        <v>1400</v>
      </c>
      <c r="N1447" s="14">
        <v>0</v>
      </c>
      <c r="O1447" s="14" t="b">
        <v>1</v>
      </c>
      <c r="Q1447" s="14" t="b">
        <v>0</v>
      </c>
      <c r="R1447" s="14">
        <v>1</v>
      </c>
      <c r="S1447" s="14" t="s">
        <v>77</v>
      </c>
      <c r="T1447" s="14">
        <v>999</v>
      </c>
      <c r="U1447" s="14" t="s">
        <v>1401</v>
      </c>
      <c r="V1447" s="14">
        <v>31932071</v>
      </c>
      <c r="X1447" s="14" t="s">
        <v>1887</v>
      </c>
      <c r="Y1447" s="14" t="s">
        <v>215</v>
      </c>
      <c r="Z1447" s="14">
        <v>20210</v>
      </c>
      <c r="AA1447" s="14" t="s">
        <v>1888</v>
      </c>
      <c r="AB1447" s="14">
        <v>40001</v>
      </c>
      <c r="AE1447" s="14" t="s">
        <v>1400</v>
      </c>
      <c r="AF1447" s="14" t="s">
        <v>1400</v>
      </c>
      <c r="AG1447" s="14" t="s">
        <v>86</v>
      </c>
    </row>
    <row r="1448" spans="2:33">
      <c r="B1448" s="14">
        <f>10000000+INDEX(编号表!$B:$B,MATCH(H1448,编号表!$A:$A,0))*100000+INDEX(编号表!$F:$F,MATCH(D1448,编号表!$E:$E,0))*10000+INDEX(编号表!$D:$D,MATCH(AG1448,编号表!$C:$C,0))*1000+F1448</f>
        <v>11912070</v>
      </c>
      <c r="C1448" s="14" t="s">
        <v>1889</v>
      </c>
      <c r="D1448" s="14" t="s">
        <v>72</v>
      </c>
      <c r="E1448" s="14" t="s">
        <v>86</v>
      </c>
      <c r="F1448" s="14">
        <v>70</v>
      </c>
      <c r="G1448" s="14">
        <v>60</v>
      </c>
      <c r="H1448" s="14" t="s">
        <v>1400</v>
      </c>
      <c r="I1448" s="14" t="s">
        <v>75</v>
      </c>
      <c r="J1448" s="14" t="s">
        <v>201</v>
      </c>
      <c r="K1448" s="14">
        <v>1</v>
      </c>
      <c r="L1448" s="14" t="s">
        <v>1400</v>
      </c>
      <c r="N1448" s="14">
        <v>0</v>
      </c>
      <c r="O1448" s="14" t="b">
        <v>1</v>
      </c>
      <c r="Q1448" s="14" t="b">
        <v>0</v>
      </c>
      <c r="R1448" s="14">
        <v>1</v>
      </c>
      <c r="S1448" s="14" t="s">
        <v>77</v>
      </c>
      <c r="T1448" s="14">
        <v>999</v>
      </c>
      <c r="U1448" s="14" t="s">
        <v>1401</v>
      </c>
      <c r="V1448" s="14">
        <v>31912070</v>
      </c>
      <c r="X1448" s="14" t="s">
        <v>1890</v>
      </c>
      <c r="Y1448" s="14" t="s">
        <v>215</v>
      </c>
      <c r="Z1448" s="14">
        <v>20211</v>
      </c>
      <c r="AA1448" s="14" t="s">
        <v>1891</v>
      </c>
      <c r="AB1448" s="14">
        <v>40001</v>
      </c>
      <c r="AE1448" s="14" t="s">
        <v>1400</v>
      </c>
      <c r="AF1448" s="14" t="s">
        <v>1400</v>
      </c>
      <c r="AG1448" s="14" t="s">
        <v>86</v>
      </c>
    </row>
    <row r="1449" spans="2:33">
      <c r="B1449" s="14">
        <f>10000000+INDEX(编号表!$B:$B,MATCH(H1449,编号表!$A:$A,0))*100000+INDEX(编号表!$F:$F,MATCH(D1449,编号表!$E:$E,0))*10000+INDEX(编号表!$D:$D,MATCH(AG1449,编号表!$C:$C,0))*1000+F1449</f>
        <v>11922071</v>
      </c>
      <c r="C1449" s="14" t="s">
        <v>1889</v>
      </c>
      <c r="D1449" s="14" t="s">
        <v>112</v>
      </c>
      <c r="E1449" s="14" t="s">
        <v>86</v>
      </c>
      <c r="F1449" s="14">
        <v>71</v>
      </c>
      <c r="G1449" s="14">
        <v>60</v>
      </c>
      <c r="H1449" s="14" t="s">
        <v>1400</v>
      </c>
      <c r="I1449" s="14" t="s">
        <v>75</v>
      </c>
      <c r="J1449" s="14" t="s">
        <v>201</v>
      </c>
      <c r="K1449" s="14">
        <v>1</v>
      </c>
      <c r="L1449" s="14" t="s">
        <v>1400</v>
      </c>
      <c r="N1449" s="14">
        <v>0</v>
      </c>
      <c r="O1449" s="14" t="b">
        <v>1</v>
      </c>
      <c r="Q1449" s="14" t="b">
        <v>0</v>
      </c>
      <c r="R1449" s="14">
        <v>1</v>
      </c>
      <c r="S1449" s="14" t="s">
        <v>77</v>
      </c>
      <c r="T1449" s="14">
        <v>999</v>
      </c>
      <c r="U1449" s="14" t="s">
        <v>1401</v>
      </c>
      <c r="V1449" s="14">
        <v>31922071</v>
      </c>
      <c r="X1449" s="14" t="s">
        <v>1892</v>
      </c>
      <c r="Y1449" s="14" t="s">
        <v>215</v>
      </c>
      <c r="Z1449" s="14">
        <v>20212</v>
      </c>
      <c r="AA1449" s="14" t="s">
        <v>1893</v>
      </c>
      <c r="AB1449" s="14">
        <v>40001</v>
      </c>
      <c r="AE1449" s="14" t="s">
        <v>1400</v>
      </c>
      <c r="AF1449" s="14" t="s">
        <v>1400</v>
      </c>
      <c r="AG1449" s="14" t="s">
        <v>86</v>
      </c>
    </row>
    <row r="1450" spans="2:33">
      <c r="B1450" s="14">
        <f>10000000+INDEX(编号表!$B:$B,MATCH(H1450,编号表!$A:$A,0))*100000+INDEX(编号表!$F:$F,MATCH(D1450,编号表!$E:$E,0))*10000+INDEX(编号表!$D:$D,MATCH(AG1450,编号表!$C:$C,0))*1000+F1450</f>
        <v>11932072</v>
      </c>
      <c r="C1450" s="14" t="s">
        <v>1889</v>
      </c>
      <c r="D1450" s="14" t="s">
        <v>276</v>
      </c>
      <c r="E1450" s="14" t="s">
        <v>86</v>
      </c>
      <c r="F1450" s="14">
        <v>72</v>
      </c>
      <c r="G1450" s="14">
        <v>60</v>
      </c>
      <c r="H1450" s="14" t="s">
        <v>1400</v>
      </c>
      <c r="I1450" s="14" t="s">
        <v>75</v>
      </c>
      <c r="J1450" s="14" t="s">
        <v>201</v>
      </c>
      <c r="K1450" s="14">
        <v>1</v>
      </c>
      <c r="L1450" s="14" t="s">
        <v>1400</v>
      </c>
      <c r="N1450" s="14">
        <v>0</v>
      </c>
      <c r="O1450" s="14" t="b">
        <v>1</v>
      </c>
      <c r="Q1450" s="14" t="b">
        <v>0</v>
      </c>
      <c r="R1450" s="14">
        <v>1</v>
      </c>
      <c r="S1450" s="14" t="s">
        <v>77</v>
      </c>
      <c r="T1450" s="14">
        <v>999</v>
      </c>
      <c r="U1450" s="14" t="s">
        <v>1401</v>
      </c>
      <c r="V1450" s="14">
        <v>31932072</v>
      </c>
      <c r="X1450" s="14" t="s">
        <v>1894</v>
      </c>
      <c r="Y1450" s="14" t="s">
        <v>215</v>
      </c>
      <c r="Z1450" s="14">
        <v>20213</v>
      </c>
      <c r="AA1450" s="14" t="s">
        <v>1895</v>
      </c>
      <c r="AB1450" s="14">
        <v>40001</v>
      </c>
      <c r="AE1450" s="14" t="s">
        <v>1400</v>
      </c>
      <c r="AF1450" s="14" t="s">
        <v>1400</v>
      </c>
      <c r="AG1450" s="14" t="s">
        <v>86</v>
      </c>
    </row>
    <row r="1451" spans="2:33">
      <c r="B1451" s="14">
        <f>10000000+INDEX(编号表!$B:$B,MATCH(H1451,编号表!$A:$A,0))*100000+INDEX(编号表!$F:$F,MATCH(D1451,编号表!$E:$E,0))*10000+INDEX(编号表!$D:$D,MATCH(AG1451,编号表!$C:$C,0))*1000+F1451</f>
        <v>11912071</v>
      </c>
      <c r="C1451" s="14" t="s">
        <v>1896</v>
      </c>
      <c r="D1451" s="14" t="s">
        <v>72</v>
      </c>
      <c r="E1451" s="14" t="s">
        <v>86</v>
      </c>
      <c r="F1451" s="14">
        <v>71</v>
      </c>
      <c r="G1451" s="14">
        <v>60</v>
      </c>
      <c r="H1451" s="14" t="s">
        <v>1400</v>
      </c>
      <c r="I1451" s="14" t="s">
        <v>75</v>
      </c>
      <c r="J1451" s="14" t="s">
        <v>201</v>
      </c>
      <c r="K1451" s="14">
        <v>1</v>
      </c>
      <c r="L1451" s="14" t="s">
        <v>1400</v>
      </c>
      <c r="N1451" s="14">
        <v>0</v>
      </c>
      <c r="O1451" s="14" t="b">
        <v>1</v>
      </c>
      <c r="Q1451" s="14" t="b">
        <v>0</v>
      </c>
      <c r="R1451" s="14">
        <v>1</v>
      </c>
      <c r="S1451" s="14" t="s">
        <v>77</v>
      </c>
      <c r="T1451" s="14">
        <v>999</v>
      </c>
      <c r="U1451" s="14" t="s">
        <v>1401</v>
      </c>
      <c r="V1451" s="14">
        <v>31912071</v>
      </c>
      <c r="X1451" s="14" t="s">
        <v>1897</v>
      </c>
      <c r="Y1451" s="14" t="s">
        <v>215</v>
      </c>
      <c r="Z1451" s="14">
        <v>20214</v>
      </c>
      <c r="AA1451" s="14" t="s">
        <v>1898</v>
      </c>
      <c r="AB1451" s="14">
        <v>40001</v>
      </c>
      <c r="AE1451" s="14" t="s">
        <v>1400</v>
      </c>
      <c r="AF1451" s="14" t="s">
        <v>1400</v>
      </c>
      <c r="AG1451" s="14" t="s">
        <v>86</v>
      </c>
    </row>
    <row r="1452" spans="2:33">
      <c r="B1452" s="14">
        <f>10000000+INDEX(编号表!$B:$B,MATCH(H1452,编号表!$A:$A,0))*100000+INDEX(编号表!$F:$F,MATCH(D1452,编号表!$E:$E,0))*10000+INDEX(编号表!$D:$D,MATCH(AG1452,编号表!$C:$C,0))*1000+F1452</f>
        <v>11922072</v>
      </c>
      <c r="C1452" s="14" t="s">
        <v>1896</v>
      </c>
      <c r="D1452" s="14" t="s">
        <v>112</v>
      </c>
      <c r="E1452" s="14" t="s">
        <v>86</v>
      </c>
      <c r="F1452" s="14">
        <v>72</v>
      </c>
      <c r="G1452" s="14">
        <v>60</v>
      </c>
      <c r="H1452" s="14" t="s">
        <v>1400</v>
      </c>
      <c r="I1452" s="14" t="s">
        <v>75</v>
      </c>
      <c r="J1452" s="14" t="s">
        <v>201</v>
      </c>
      <c r="K1452" s="14">
        <v>1</v>
      </c>
      <c r="L1452" s="14" t="s">
        <v>1400</v>
      </c>
      <c r="N1452" s="14">
        <v>0</v>
      </c>
      <c r="O1452" s="14" t="b">
        <v>1</v>
      </c>
      <c r="Q1452" s="14" t="b">
        <v>0</v>
      </c>
      <c r="R1452" s="14">
        <v>1</v>
      </c>
      <c r="S1452" s="14" t="s">
        <v>77</v>
      </c>
      <c r="T1452" s="14">
        <v>999</v>
      </c>
      <c r="U1452" s="14" t="s">
        <v>1401</v>
      </c>
      <c r="V1452" s="14">
        <v>31922072</v>
      </c>
      <c r="X1452" s="14" t="s">
        <v>1899</v>
      </c>
      <c r="Y1452" s="14" t="s">
        <v>215</v>
      </c>
      <c r="Z1452" s="14">
        <v>20215</v>
      </c>
      <c r="AA1452" s="14" t="s">
        <v>1900</v>
      </c>
      <c r="AB1452" s="14">
        <v>40001</v>
      </c>
      <c r="AE1452" s="14" t="s">
        <v>1400</v>
      </c>
      <c r="AF1452" s="14" t="s">
        <v>1400</v>
      </c>
      <c r="AG1452" s="14" t="s">
        <v>86</v>
      </c>
    </row>
    <row r="1453" spans="2:33">
      <c r="B1453" s="14">
        <f>10000000+INDEX(编号表!$B:$B,MATCH(H1453,编号表!$A:$A,0))*100000+INDEX(编号表!$F:$F,MATCH(D1453,编号表!$E:$E,0))*10000+INDEX(编号表!$D:$D,MATCH(AG1453,编号表!$C:$C,0))*1000+F1453</f>
        <v>11932073</v>
      </c>
      <c r="C1453" s="14" t="s">
        <v>1896</v>
      </c>
      <c r="D1453" s="14" t="s">
        <v>276</v>
      </c>
      <c r="E1453" s="14" t="s">
        <v>86</v>
      </c>
      <c r="F1453" s="14">
        <v>73</v>
      </c>
      <c r="G1453" s="14">
        <v>60</v>
      </c>
      <c r="H1453" s="14" t="s">
        <v>1400</v>
      </c>
      <c r="I1453" s="14" t="s">
        <v>75</v>
      </c>
      <c r="J1453" s="14" t="s">
        <v>201</v>
      </c>
      <c r="K1453" s="14">
        <v>1</v>
      </c>
      <c r="L1453" s="14" t="s">
        <v>1400</v>
      </c>
      <c r="N1453" s="14">
        <v>0</v>
      </c>
      <c r="O1453" s="14" t="b">
        <v>1</v>
      </c>
      <c r="Q1453" s="14" t="b">
        <v>0</v>
      </c>
      <c r="R1453" s="14">
        <v>1</v>
      </c>
      <c r="S1453" s="14" t="s">
        <v>77</v>
      </c>
      <c r="T1453" s="14">
        <v>999</v>
      </c>
      <c r="U1453" s="14" t="s">
        <v>1401</v>
      </c>
      <c r="V1453" s="14">
        <v>31932073</v>
      </c>
      <c r="X1453" s="14" t="s">
        <v>1901</v>
      </c>
      <c r="Y1453" s="14" t="s">
        <v>215</v>
      </c>
      <c r="Z1453" s="14">
        <v>20216</v>
      </c>
      <c r="AA1453" s="14" t="s">
        <v>1902</v>
      </c>
      <c r="AB1453" s="14">
        <v>40001</v>
      </c>
      <c r="AE1453" s="14" t="s">
        <v>1400</v>
      </c>
      <c r="AF1453" s="14" t="s">
        <v>1400</v>
      </c>
      <c r="AG1453" s="14" t="s">
        <v>86</v>
      </c>
    </row>
    <row r="1454" spans="2:33">
      <c r="B1454" s="14">
        <f>10000000+INDEX(编号表!$B:$B,MATCH(H1454,编号表!$A:$A,0))*100000+INDEX(编号表!$F:$F,MATCH(D1454,编号表!$E:$E,0))*10000+INDEX(编号表!$D:$D,MATCH(AG1454,编号表!$C:$C,0))*1000+F1454</f>
        <v>11912072</v>
      </c>
      <c r="C1454" s="14" t="s">
        <v>1903</v>
      </c>
      <c r="D1454" s="14" t="s">
        <v>72</v>
      </c>
      <c r="E1454" s="14" t="s">
        <v>86</v>
      </c>
      <c r="F1454" s="14">
        <v>72</v>
      </c>
      <c r="G1454" s="14">
        <v>60</v>
      </c>
      <c r="H1454" s="14" t="s">
        <v>1400</v>
      </c>
      <c r="I1454" s="14" t="s">
        <v>75</v>
      </c>
      <c r="J1454" s="14" t="s">
        <v>201</v>
      </c>
      <c r="K1454" s="14">
        <v>1</v>
      </c>
      <c r="L1454" s="14" t="s">
        <v>1400</v>
      </c>
      <c r="N1454" s="14">
        <v>0</v>
      </c>
      <c r="O1454" s="14" t="b">
        <v>1</v>
      </c>
      <c r="Q1454" s="14" t="b">
        <v>0</v>
      </c>
      <c r="R1454" s="14">
        <v>1</v>
      </c>
      <c r="S1454" s="14" t="s">
        <v>77</v>
      </c>
      <c r="T1454" s="14">
        <v>999</v>
      </c>
      <c r="U1454" s="14" t="s">
        <v>1401</v>
      </c>
      <c r="V1454" s="14">
        <v>31912072</v>
      </c>
      <c r="X1454" s="14" t="s">
        <v>1904</v>
      </c>
      <c r="Y1454" s="14" t="s">
        <v>215</v>
      </c>
      <c r="Z1454" s="14">
        <v>20217</v>
      </c>
      <c r="AA1454" s="14" t="s">
        <v>1905</v>
      </c>
      <c r="AB1454" s="14">
        <v>40001</v>
      </c>
      <c r="AE1454" s="14" t="s">
        <v>1400</v>
      </c>
      <c r="AF1454" s="14" t="s">
        <v>1400</v>
      </c>
      <c r="AG1454" s="14" t="s">
        <v>86</v>
      </c>
    </row>
    <row r="1455" spans="2:33">
      <c r="B1455" s="14">
        <f>10000000+INDEX(编号表!$B:$B,MATCH(H1455,编号表!$A:$A,0))*100000+INDEX(编号表!$F:$F,MATCH(D1455,编号表!$E:$E,0))*10000+INDEX(编号表!$D:$D,MATCH(AG1455,编号表!$C:$C,0))*1000+F1455</f>
        <v>11922073</v>
      </c>
      <c r="C1455" s="14" t="s">
        <v>1903</v>
      </c>
      <c r="D1455" s="14" t="s">
        <v>112</v>
      </c>
      <c r="E1455" s="14" t="s">
        <v>86</v>
      </c>
      <c r="F1455" s="14">
        <v>73</v>
      </c>
      <c r="G1455" s="14">
        <v>60</v>
      </c>
      <c r="H1455" s="14" t="s">
        <v>1400</v>
      </c>
      <c r="I1455" s="14" t="s">
        <v>75</v>
      </c>
      <c r="J1455" s="14" t="s">
        <v>201</v>
      </c>
      <c r="K1455" s="14">
        <v>1</v>
      </c>
      <c r="L1455" s="14" t="s">
        <v>1400</v>
      </c>
      <c r="N1455" s="14">
        <v>0</v>
      </c>
      <c r="O1455" s="14" t="b">
        <v>1</v>
      </c>
      <c r="Q1455" s="14" t="b">
        <v>0</v>
      </c>
      <c r="R1455" s="14">
        <v>1</v>
      </c>
      <c r="S1455" s="14" t="s">
        <v>77</v>
      </c>
      <c r="T1455" s="14">
        <v>999</v>
      </c>
      <c r="U1455" s="14" t="s">
        <v>1401</v>
      </c>
      <c r="V1455" s="14">
        <v>31922073</v>
      </c>
      <c r="X1455" s="14" t="s">
        <v>1906</v>
      </c>
      <c r="Y1455" s="14" t="s">
        <v>215</v>
      </c>
      <c r="Z1455" s="14">
        <v>20218</v>
      </c>
      <c r="AA1455" s="14" t="s">
        <v>1907</v>
      </c>
      <c r="AB1455" s="14">
        <v>40001</v>
      </c>
      <c r="AE1455" s="14" t="s">
        <v>1400</v>
      </c>
      <c r="AF1455" s="14" t="s">
        <v>1400</v>
      </c>
      <c r="AG1455" s="14" t="s">
        <v>86</v>
      </c>
    </row>
    <row r="1456" spans="2:33">
      <c r="B1456" s="14">
        <f>10000000+INDEX(编号表!$B:$B,MATCH(H1456,编号表!$A:$A,0))*100000+INDEX(编号表!$F:$F,MATCH(D1456,编号表!$E:$E,0))*10000+INDEX(编号表!$D:$D,MATCH(AG1456,编号表!$C:$C,0))*1000+F1456</f>
        <v>11932074</v>
      </c>
      <c r="C1456" s="14" t="s">
        <v>1903</v>
      </c>
      <c r="D1456" s="14" t="s">
        <v>276</v>
      </c>
      <c r="E1456" s="14" t="s">
        <v>86</v>
      </c>
      <c r="F1456" s="14">
        <v>74</v>
      </c>
      <c r="G1456" s="14">
        <v>60</v>
      </c>
      <c r="H1456" s="14" t="s">
        <v>1400</v>
      </c>
      <c r="I1456" s="14" t="s">
        <v>75</v>
      </c>
      <c r="J1456" s="14" t="s">
        <v>201</v>
      </c>
      <c r="K1456" s="14">
        <v>1</v>
      </c>
      <c r="L1456" s="14" t="s">
        <v>1400</v>
      </c>
      <c r="N1456" s="14">
        <v>0</v>
      </c>
      <c r="O1456" s="14" t="b">
        <v>1</v>
      </c>
      <c r="Q1456" s="14" t="b">
        <v>0</v>
      </c>
      <c r="R1456" s="14">
        <v>1</v>
      </c>
      <c r="S1456" s="14" t="s">
        <v>77</v>
      </c>
      <c r="T1456" s="14">
        <v>999</v>
      </c>
      <c r="U1456" s="14" t="s">
        <v>1401</v>
      </c>
      <c r="V1456" s="14">
        <v>31932074</v>
      </c>
      <c r="X1456" s="14" t="s">
        <v>1908</v>
      </c>
      <c r="Y1456" s="14" t="s">
        <v>215</v>
      </c>
      <c r="Z1456" s="14">
        <v>20219</v>
      </c>
      <c r="AA1456" s="14" t="s">
        <v>1909</v>
      </c>
      <c r="AB1456" s="14">
        <v>40001</v>
      </c>
      <c r="AE1456" s="14" t="s">
        <v>1400</v>
      </c>
      <c r="AF1456" s="14" t="s">
        <v>1400</v>
      </c>
      <c r="AG1456" s="14" t="s">
        <v>86</v>
      </c>
    </row>
    <row r="1457" spans="2:33">
      <c r="B1457" s="14">
        <f>10000000+INDEX(编号表!$B:$B,MATCH(H1457,编号表!$A:$A,0))*100000+INDEX(编号表!$F:$F,MATCH(D1457,编号表!$E:$E,0))*10000+INDEX(编号表!$D:$D,MATCH(AG1457,编号表!$C:$C,0))*1000+F1457</f>
        <v>11912073</v>
      </c>
      <c r="C1457" s="14" t="s">
        <v>1910</v>
      </c>
      <c r="D1457" s="14" t="s">
        <v>72</v>
      </c>
      <c r="E1457" s="14" t="s">
        <v>86</v>
      </c>
      <c r="F1457" s="14">
        <v>73</v>
      </c>
      <c r="G1457" s="14">
        <v>60</v>
      </c>
      <c r="H1457" s="14" t="s">
        <v>1400</v>
      </c>
      <c r="I1457" s="14" t="s">
        <v>75</v>
      </c>
      <c r="J1457" s="14" t="s">
        <v>201</v>
      </c>
      <c r="K1457" s="14">
        <v>1</v>
      </c>
      <c r="L1457" s="14" t="s">
        <v>1400</v>
      </c>
      <c r="N1457" s="14">
        <v>0</v>
      </c>
      <c r="O1457" s="14" t="b">
        <v>1</v>
      </c>
      <c r="Q1457" s="14" t="b">
        <v>0</v>
      </c>
      <c r="R1457" s="14">
        <v>1</v>
      </c>
      <c r="S1457" s="14" t="s">
        <v>77</v>
      </c>
      <c r="T1457" s="14">
        <v>999</v>
      </c>
      <c r="U1457" s="14" t="s">
        <v>1401</v>
      </c>
      <c r="V1457" s="14">
        <v>31912073</v>
      </c>
      <c r="X1457" s="14" t="s">
        <v>1911</v>
      </c>
      <c r="Y1457" s="14" t="s">
        <v>215</v>
      </c>
      <c r="Z1457" s="14">
        <v>20220</v>
      </c>
      <c r="AA1457" s="14" t="s">
        <v>1912</v>
      </c>
      <c r="AB1457" s="14">
        <v>40001</v>
      </c>
      <c r="AE1457" s="14" t="s">
        <v>1400</v>
      </c>
      <c r="AF1457" s="14" t="s">
        <v>1400</v>
      </c>
      <c r="AG1457" s="14" t="s">
        <v>86</v>
      </c>
    </row>
    <row r="1458" spans="2:33">
      <c r="B1458" s="14">
        <f>10000000+INDEX(编号表!$B:$B,MATCH(H1458,编号表!$A:$A,0))*100000+INDEX(编号表!$F:$F,MATCH(D1458,编号表!$E:$E,0))*10000+INDEX(编号表!$D:$D,MATCH(AG1458,编号表!$C:$C,0))*1000+F1458</f>
        <v>11922074</v>
      </c>
      <c r="C1458" s="14" t="s">
        <v>1910</v>
      </c>
      <c r="D1458" s="14" t="s">
        <v>112</v>
      </c>
      <c r="E1458" s="14" t="s">
        <v>86</v>
      </c>
      <c r="F1458" s="14">
        <v>74</v>
      </c>
      <c r="G1458" s="14">
        <v>60</v>
      </c>
      <c r="H1458" s="14" t="s">
        <v>1400</v>
      </c>
      <c r="I1458" s="14" t="s">
        <v>75</v>
      </c>
      <c r="J1458" s="14" t="s">
        <v>201</v>
      </c>
      <c r="K1458" s="14">
        <v>1</v>
      </c>
      <c r="L1458" s="14" t="s">
        <v>1400</v>
      </c>
      <c r="N1458" s="14">
        <v>0</v>
      </c>
      <c r="O1458" s="14" t="b">
        <v>1</v>
      </c>
      <c r="Q1458" s="14" t="b">
        <v>0</v>
      </c>
      <c r="R1458" s="14">
        <v>1</v>
      </c>
      <c r="S1458" s="14" t="s">
        <v>77</v>
      </c>
      <c r="T1458" s="14">
        <v>999</v>
      </c>
      <c r="U1458" s="14" t="s">
        <v>1401</v>
      </c>
      <c r="V1458" s="14">
        <v>31922074</v>
      </c>
      <c r="X1458" s="14" t="s">
        <v>1913</v>
      </c>
      <c r="Y1458" s="14" t="s">
        <v>215</v>
      </c>
      <c r="Z1458" s="14">
        <v>20221</v>
      </c>
      <c r="AA1458" s="14" t="s">
        <v>1914</v>
      </c>
      <c r="AB1458" s="14">
        <v>40001</v>
      </c>
      <c r="AE1458" s="14" t="s">
        <v>1400</v>
      </c>
      <c r="AF1458" s="14" t="s">
        <v>1400</v>
      </c>
      <c r="AG1458" s="14" t="s">
        <v>86</v>
      </c>
    </row>
    <row r="1459" spans="2:33">
      <c r="B1459" s="14">
        <f>10000000+INDEX(编号表!$B:$B,MATCH(H1459,编号表!$A:$A,0))*100000+INDEX(编号表!$F:$F,MATCH(D1459,编号表!$E:$E,0))*10000+INDEX(编号表!$D:$D,MATCH(AG1459,编号表!$C:$C,0))*1000+F1459</f>
        <v>11932075</v>
      </c>
      <c r="C1459" s="14" t="s">
        <v>1910</v>
      </c>
      <c r="D1459" s="14" t="s">
        <v>276</v>
      </c>
      <c r="E1459" s="14" t="s">
        <v>86</v>
      </c>
      <c r="F1459" s="14">
        <v>75</v>
      </c>
      <c r="G1459" s="14">
        <v>60</v>
      </c>
      <c r="H1459" s="14" t="s">
        <v>1400</v>
      </c>
      <c r="I1459" s="14" t="s">
        <v>75</v>
      </c>
      <c r="J1459" s="14" t="s">
        <v>201</v>
      </c>
      <c r="K1459" s="14">
        <v>1</v>
      </c>
      <c r="L1459" s="14" t="s">
        <v>1400</v>
      </c>
      <c r="N1459" s="14">
        <v>0</v>
      </c>
      <c r="O1459" s="14" t="b">
        <v>1</v>
      </c>
      <c r="Q1459" s="14" t="b">
        <v>0</v>
      </c>
      <c r="R1459" s="14">
        <v>1</v>
      </c>
      <c r="S1459" s="14" t="s">
        <v>77</v>
      </c>
      <c r="T1459" s="14">
        <v>999</v>
      </c>
      <c r="U1459" s="14" t="s">
        <v>1401</v>
      </c>
      <c r="V1459" s="14">
        <v>31932075</v>
      </c>
      <c r="X1459" s="14" t="s">
        <v>1915</v>
      </c>
      <c r="Y1459" s="14" t="s">
        <v>215</v>
      </c>
      <c r="Z1459" s="14">
        <v>20222</v>
      </c>
      <c r="AA1459" s="14" t="s">
        <v>1916</v>
      </c>
      <c r="AB1459" s="14">
        <v>40001</v>
      </c>
      <c r="AE1459" s="14" t="s">
        <v>1400</v>
      </c>
      <c r="AF1459" s="14" t="s">
        <v>1400</v>
      </c>
      <c r="AG1459" s="14" t="s">
        <v>86</v>
      </c>
    </row>
    <row r="1460" spans="2:33">
      <c r="B1460" s="14">
        <f>10000000+INDEX(编号表!$B:$B,MATCH(H1460,编号表!$A:$A,0))*100000+INDEX(编号表!$F:$F,MATCH(D1460,编号表!$E:$E,0))*10000+INDEX(编号表!$D:$D,MATCH(AG1460,编号表!$C:$C,0))*1000+F1460</f>
        <v>11912074</v>
      </c>
      <c r="C1460" s="14" t="s">
        <v>1917</v>
      </c>
      <c r="D1460" s="14" t="s">
        <v>72</v>
      </c>
      <c r="E1460" s="14" t="s">
        <v>86</v>
      </c>
      <c r="F1460" s="14">
        <v>74</v>
      </c>
      <c r="G1460" s="14">
        <v>60</v>
      </c>
      <c r="H1460" s="14" t="s">
        <v>1400</v>
      </c>
      <c r="I1460" s="14" t="s">
        <v>75</v>
      </c>
      <c r="J1460" s="14" t="s">
        <v>201</v>
      </c>
      <c r="K1460" s="14">
        <v>1</v>
      </c>
      <c r="L1460" s="14" t="s">
        <v>1400</v>
      </c>
      <c r="N1460" s="14">
        <v>0</v>
      </c>
      <c r="O1460" s="14" t="b">
        <v>1</v>
      </c>
      <c r="Q1460" s="14" t="b">
        <v>0</v>
      </c>
      <c r="R1460" s="14">
        <v>1</v>
      </c>
      <c r="S1460" s="14" t="s">
        <v>77</v>
      </c>
      <c r="T1460" s="14">
        <v>999</v>
      </c>
      <c r="U1460" s="14" t="s">
        <v>1401</v>
      </c>
      <c r="V1460" s="14">
        <v>31912074</v>
      </c>
      <c r="X1460" s="14" t="s">
        <v>1918</v>
      </c>
      <c r="Y1460" s="14" t="s">
        <v>215</v>
      </c>
      <c r="Z1460" s="14">
        <v>20223</v>
      </c>
      <c r="AA1460" s="14" t="s">
        <v>1919</v>
      </c>
      <c r="AB1460" s="14">
        <v>40001</v>
      </c>
      <c r="AE1460" s="14" t="s">
        <v>1400</v>
      </c>
      <c r="AF1460" s="14" t="s">
        <v>1400</v>
      </c>
      <c r="AG1460" s="14" t="s">
        <v>86</v>
      </c>
    </row>
    <row r="1461" spans="2:33">
      <c r="B1461" s="14">
        <f>10000000+INDEX(编号表!$B:$B,MATCH(H1461,编号表!$A:$A,0))*100000+INDEX(编号表!$F:$F,MATCH(D1461,编号表!$E:$E,0))*10000+INDEX(编号表!$D:$D,MATCH(AG1461,编号表!$C:$C,0))*1000+F1461</f>
        <v>11922075</v>
      </c>
      <c r="C1461" s="14" t="s">
        <v>1917</v>
      </c>
      <c r="D1461" s="14" t="s">
        <v>112</v>
      </c>
      <c r="E1461" s="14" t="s">
        <v>86</v>
      </c>
      <c r="F1461" s="14">
        <v>75</v>
      </c>
      <c r="G1461" s="14">
        <v>60</v>
      </c>
      <c r="H1461" s="14" t="s">
        <v>1400</v>
      </c>
      <c r="I1461" s="14" t="s">
        <v>75</v>
      </c>
      <c r="J1461" s="14" t="s">
        <v>201</v>
      </c>
      <c r="K1461" s="14">
        <v>1</v>
      </c>
      <c r="L1461" s="14" t="s">
        <v>1400</v>
      </c>
      <c r="N1461" s="14">
        <v>0</v>
      </c>
      <c r="O1461" s="14" t="b">
        <v>1</v>
      </c>
      <c r="Q1461" s="14" t="b">
        <v>0</v>
      </c>
      <c r="R1461" s="14">
        <v>1</v>
      </c>
      <c r="S1461" s="14" t="s">
        <v>77</v>
      </c>
      <c r="T1461" s="14">
        <v>999</v>
      </c>
      <c r="U1461" s="14" t="s">
        <v>1401</v>
      </c>
      <c r="V1461" s="14">
        <v>31922075</v>
      </c>
      <c r="X1461" s="14" t="s">
        <v>1920</v>
      </c>
      <c r="Y1461" s="14" t="s">
        <v>215</v>
      </c>
      <c r="Z1461" s="14">
        <v>20224</v>
      </c>
      <c r="AA1461" s="14" t="s">
        <v>1921</v>
      </c>
      <c r="AB1461" s="14">
        <v>40001</v>
      </c>
      <c r="AE1461" s="14" t="s">
        <v>1400</v>
      </c>
      <c r="AF1461" s="14" t="s">
        <v>1400</v>
      </c>
      <c r="AG1461" s="14" t="s">
        <v>86</v>
      </c>
    </row>
    <row r="1462" spans="2:33">
      <c r="B1462" s="14">
        <f>10000000+INDEX(编号表!$B:$B,MATCH(H1462,编号表!$A:$A,0))*100000+INDEX(编号表!$F:$F,MATCH(D1462,编号表!$E:$E,0))*10000+INDEX(编号表!$D:$D,MATCH(AG1462,编号表!$C:$C,0))*1000+F1462</f>
        <v>11932076</v>
      </c>
      <c r="C1462" s="14" t="s">
        <v>1917</v>
      </c>
      <c r="D1462" s="14" t="s">
        <v>276</v>
      </c>
      <c r="E1462" s="14" t="s">
        <v>86</v>
      </c>
      <c r="F1462" s="14">
        <v>76</v>
      </c>
      <c r="G1462" s="14">
        <v>60</v>
      </c>
      <c r="H1462" s="14" t="s">
        <v>1400</v>
      </c>
      <c r="I1462" s="14" t="s">
        <v>75</v>
      </c>
      <c r="J1462" s="14" t="s">
        <v>201</v>
      </c>
      <c r="K1462" s="14">
        <v>1</v>
      </c>
      <c r="L1462" s="14" t="s">
        <v>1400</v>
      </c>
      <c r="N1462" s="14">
        <v>0</v>
      </c>
      <c r="O1462" s="14" t="b">
        <v>1</v>
      </c>
      <c r="Q1462" s="14" t="b">
        <v>0</v>
      </c>
      <c r="R1462" s="14">
        <v>1</v>
      </c>
      <c r="S1462" s="14" t="s">
        <v>77</v>
      </c>
      <c r="T1462" s="14">
        <v>999</v>
      </c>
      <c r="U1462" s="14" t="s">
        <v>1401</v>
      </c>
      <c r="V1462" s="14">
        <v>31932076</v>
      </c>
      <c r="X1462" s="14" t="s">
        <v>1922</v>
      </c>
      <c r="Y1462" s="14" t="s">
        <v>215</v>
      </c>
      <c r="Z1462" s="14">
        <v>20225</v>
      </c>
      <c r="AA1462" s="14" t="s">
        <v>1923</v>
      </c>
      <c r="AB1462" s="14">
        <v>40001</v>
      </c>
      <c r="AE1462" s="14" t="s">
        <v>1400</v>
      </c>
      <c r="AF1462" s="14" t="s">
        <v>1400</v>
      </c>
      <c r="AG1462" s="14" t="s">
        <v>86</v>
      </c>
    </row>
    <row r="1463" spans="2:33">
      <c r="B1463" s="14">
        <f>10000000+INDEX(编号表!$B:$B,MATCH(H1463,编号表!$A:$A,0))*100000+INDEX(编号表!$F:$F,MATCH(D1463,编号表!$E:$E,0))*10000+INDEX(编号表!$D:$D,MATCH(AG1463,编号表!$C:$C,0))*1000+F1463</f>
        <v>11912075</v>
      </c>
      <c r="C1463" s="14" t="s">
        <v>1924</v>
      </c>
      <c r="D1463" s="14" t="s">
        <v>72</v>
      </c>
      <c r="E1463" s="14" t="s">
        <v>86</v>
      </c>
      <c r="F1463" s="14">
        <v>75</v>
      </c>
      <c r="G1463" s="14">
        <v>60</v>
      </c>
      <c r="H1463" s="14" t="s">
        <v>1400</v>
      </c>
      <c r="I1463" s="14" t="s">
        <v>75</v>
      </c>
      <c r="J1463" s="14" t="s">
        <v>201</v>
      </c>
      <c r="K1463" s="14">
        <v>1</v>
      </c>
      <c r="L1463" s="14" t="s">
        <v>1400</v>
      </c>
      <c r="N1463" s="14">
        <v>0</v>
      </c>
      <c r="O1463" s="14" t="b">
        <v>1</v>
      </c>
      <c r="Q1463" s="14" t="b">
        <v>0</v>
      </c>
      <c r="R1463" s="14">
        <v>1</v>
      </c>
      <c r="S1463" s="14" t="s">
        <v>77</v>
      </c>
      <c r="T1463" s="14">
        <v>999</v>
      </c>
      <c r="U1463" s="14" t="s">
        <v>1401</v>
      </c>
      <c r="V1463" s="14">
        <v>31912075</v>
      </c>
      <c r="X1463" s="14" t="s">
        <v>1925</v>
      </c>
      <c r="Y1463" s="14" t="s">
        <v>215</v>
      </c>
      <c r="Z1463" s="14">
        <v>20226</v>
      </c>
      <c r="AA1463" s="14" t="s">
        <v>1926</v>
      </c>
      <c r="AB1463" s="14">
        <v>40001</v>
      </c>
      <c r="AE1463" s="14" t="s">
        <v>1400</v>
      </c>
      <c r="AF1463" s="14" t="s">
        <v>1400</v>
      </c>
      <c r="AG1463" s="14" t="s">
        <v>86</v>
      </c>
    </row>
    <row r="1464" spans="2:33">
      <c r="B1464" s="14">
        <f>10000000+INDEX(编号表!$B:$B,MATCH(H1464,编号表!$A:$A,0))*100000+INDEX(编号表!$F:$F,MATCH(D1464,编号表!$E:$E,0))*10000+INDEX(编号表!$D:$D,MATCH(AG1464,编号表!$C:$C,0))*1000+F1464</f>
        <v>11922076</v>
      </c>
      <c r="C1464" s="14" t="s">
        <v>1924</v>
      </c>
      <c r="D1464" s="14" t="s">
        <v>112</v>
      </c>
      <c r="E1464" s="14" t="s">
        <v>86</v>
      </c>
      <c r="F1464" s="14">
        <v>76</v>
      </c>
      <c r="G1464" s="14">
        <v>60</v>
      </c>
      <c r="H1464" s="14" t="s">
        <v>1400</v>
      </c>
      <c r="I1464" s="14" t="s">
        <v>75</v>
      </c>
      <c r="J1464" s="14" t="s">
        <v>201</v>
      </c>
      <c r="K1464" s="14">
        <v>1</v>
      </c>
      <c r="L1464" s="14" t="s">
        <v>1400</v>
      </c>
      <c r="N1464" s="14">
        <v>0</v>
      </c>
      <c r="O1464" s="14" t="b">
        <v>1</v>
      </c>
      <c r="Q1464" s="14" t="b">
        <v>0</v>
      </c>
      <c r="R1464" s="14">
        <v>1</v>
      </c>
      <c r="S1464" s="14" t="s">
        <v>77</v>
      </c>
      <c r="T1464" s="14">
        <v>999</v>
      </c>
      <c r="U1464" s="14" t="s">
        <v>1401</v>
      </c>
      <c r="V1464" s="14">
        <v>31922076</v>
      </c>
      <c r="X1464" s="14" t="s">
        <v>1927</v>
      </c>
      <c r="Y1464" s="14" t="s">
        <v>215</v>
      </c>
      <c r="Z1464" s="14">
        <v>20227</v>
      </c>
      <c r="AA1464" s="14" t="s">
        <v>1928</v>
      </c>
      <c r="AB1464" s="14">
        <v>40001</v>
      </c>
      <c r="AE1464" s="14" t="s">
        <v>1400</v>
      </c>
      <c r="AF1464" s="14" t="s">
        <v>1400</v>
      </c>
      <c r="AG1464" s="14" t="s">
        <v>86</v>
      </c>
    </row>
    <row r="1465" spans="2:33">
      <c r="B1465" s="14">
        <f>10000000+INDEX(编号表!$B:$B,MATCH(H1465,编号表!$A:$A,0))*100000+INDEX(编号表!$F:$F,MATCH(D1465,编号表!$E:$E,0))*10000+INDEX(编号表!$D:$D,MATCH(AG1465,编号表!$C:$C,0))*1000+F1465</f>
        <v>11932077</v>
      </c>
      <c r="C1465" s="14" t="s">
        <v>1924</v>
      </c>
      <c r="D1465" s="14" t="s">
        <v>276</v>
      </c>
      <c r="E1465" s="14" t="s">
        <v>86</v>
      </c>
      <c r="F1465" s="14">
        <v>77</v>
      </c>
      <c r="G1465" s="14">
        <v>60</v>
      </c>
      <c r="H1465" s="14" t="s">
        <v>1400</v>
      </c>
      <c r="I1465" s="14" t="s">
        <v>75</v>
      </c>
      <c r="J1465" s="14" t="s">
        <v>201</v>
      </c>
      <c r="K1465" s="14">
        <v>1</v>
      </c>
      <c r="L1465" s="14" t="s">
        <v>1400</v>
      </c>
      <c r="N1465" s="14">
        <v>0</v>
      </c>
      <c r="O1465" s="14" t="b">
        <v>1</v>
      </c>
      <c r="Q1465" s="14" t="b">
        <v>0</v>
      </c>
      <c r="R1465" s="14">
        <v>1</v>
      </c>
      <c r="S1465" s="14" t="s">
        <v>77</v>
      </c>
      <c r="T1465" s="14">
        <v>999</v>
      </c>
      <c r="U1465" s="14" t="s">
        <v>1401</v>
      </c>
      <c r="V1465" s="14">
        <v>31932077</v>
      </c>
      <c r="X1465" s="14" t="s">
        <v>1929</v>
      </c>
      <c r="Y1465" s="14" t="s">
        <v>215</v>
      </c>
      <c r="Z1465" s="14">
        <v>20228</v>
      </c>
      <c r="AA1465" s="14" t="s">
        <v>1930</v>
      </c>
      <c r="AB1465" s="14">
        <v>40001</v>
      </c>
      <c r="AE1465" s="14" t="s">
        <v>1400</v>
      </c>
      <c r="AF1465" s="14" t="s">
        <v>1400</v>
      </c>
      <c r="AG1465" s="14" t="s">
        <v>86</v>
      </c>
    </row>
    <row r="1466" spans="2:33">
      <c r="B1466" s="14">
        <f>10000000+INDEX(编号表!$B:$B,MATCH(H1466,编号表!$A:$A,0))*100000+INDEX(编号表!$F:$F,MATCH(D1466,编号表!$E:$E,0))*10000+INDEX(编号表!$D:$D,MATCH(AG1466,编号表!$C:$C,0))*1000+F1466</f>
        <v>11912076</v>
      </c>
      <c r="C1466" s="14" t="s">
        <v>1931</v>
      </c>
      <c r="D1466" s="14" t="s">
        <v>72</v>
      </c>
      <c r="E1466" s="14" t="s">
        <v>86</v>
      </c>
      <c r="F1466" s="14">
        <v>76</v>
      </c>
      <c r="G1466" s="14">
        <v>60</v>
      </c>
      <c r="H1466" s="14" t="s">
        <v>1400</v>
      </c>
      <c r="I1466" s="14" t="s">
        <v>75</v>
      </c>
      <c r="J1466" s="14" t="s">
        <v>201</v>
      </c>
      <c r="K1466" s="14">
        <v>1</v>
      </c>
      <c r="L1466" s="14" t="s">
        <v>1400</v>
      </c>
      <c r="N1466" s="14">
        <v>0</v>
      </c>
      <c r="O1466" s="14" t="b">
        <v>1</v>
      </c>
      <c r="Q1466" s="14" t="b">
        <v>0</v>
      </c>
      <c r="R1466" s="14">
        <v>1</v>
      </c>
      <c r="S1466" s="14" t="s">
        <v>77</v>
      </c>
      <c r="T1466" s="14">
        <v>999</v>
      </c>
      <c r="U1466" s="14" t="s">
        <v>1401</v>
      </c>
      <c r="V1466" s="14">
        <v>31912076</v>
      </c>
      <c r="X1466" s="14" t="s">
        <v>1932</v>
      </c>
      <c r="Y1466" s="14" t="s">
        <v>215</v>
      </c>
      <c r="Z1466" s="14">
        <v>20229</v>
      </c>
      <c r="AA1466" s="14" t="s">
        <v>1933</v>
      </c>
      <c r="AB1466" s="14">
        <v>40001</v>
      </c>
      <c r="AE1466" s="14" t="s">
        <v>1400</v>
      </c>
      <c r="AF1466" s="14" t="s">
        <v>1400</v>
      </c>
      <c r="AG1466" s="14" t="s">
        <v>86</v>
      </c>
    </row>
    <row r="1467" spans="2:33">
      <c r="B1467" s="14">
        <f>10000000+INDEX(编号表!$B:$B,MATCH(H1467,编号表!$A:$A,0))*100000+INDEX(编号表!$F:$F,MATCH(D1467,编号表!$E:$E,0))*10000+INDEX(编号表!$D:$D,MATCH(AG1467,编号表!$C:$C,0))*1000+F1467</f>
        <v>11922077</v>
      </c>
      <c r="C1467" s="14" t="s">
        <v>1931</v>
      </c>
      <c r="D1467" s="14" t="s">
        <v>112</v>
      </c>
      <c r="E1467" s="14" t="s">
        <v>86</v>
      </c>
      <c r="F1467" s="14">
        <v>77</v>
      </c>
      <c r="G1467" s="14">
        <v>60</v>
      </c>
      <c r="H1467" s="14" t="s">
        <v>1400</v>
      </c>
      <c r="I1467" s="14" t="s">
        <v>75</v>
      </c>
      <c r="J1467" s="14" t="s">
        <v>201</v>
      </c>
      <c r="K1467" s="14">
        <v>1</v>
      </c>
      <c r="L1467" s="14" t="s">
        <v>1400</v>
      </c>
      <c r="N1467" s="14">
        <v>0</v>
      </c>
      <c r="O1467" s="14" t="b">
        <v>1</v>
      </c>
      <c r="Q1467" s="14" t="b">
        <v>0</v>
      </c>
      <c r="R1467" s="14">
        <v>1</v>
      </c>
      <c r="S1467" s="14" t="s">
        <v>77</v>
      </c>
      <c r="T1467" s="14">
        <v>999</v>
      </c>
      <c r="U1467" s="14" t="s">
        <v>1401</v>
      </c>
      <c r="V1467" s="14">
        <v>31922077</v>
      </c>
      <c r="X1467" s="14" t="s">
        <v>1934</v>
      </c>
      <c r="Y1467" s="14" t="s">
        <v>215</v>
      </c>
      <c r="Z1467" s="14">
        <v>20230</v>
      </c>
      <c r="AA1467" s="14" t="s">
        <v>1935</v>
      </c>
      <c r="AB1467" s="14">
        <v>40001</v>
      </c>
      <c r="AE1467" s="14" t="s">
        <v>1400</v>
      </c>
      <c r="AF1467" s="14" t="s">
        <v>1400</v>
      </c>
      <c r="AG1467" s="14" t="s">
        <v>86</v>
      </c>
    </row>
    <row r="1468" spans="2:33">
      <c r="B1468" s="14">
        <f>10000000+INDEX(编号表!$B:$B,MATCH(H1468,编号表!$A:$A,0))*100000+INDEX(编号表!$F:$F,MATCH(D1468,编号表!$E:$E,0))*10000+INDEX(编号表!$D:$D,MATCH(AG1468,编号表!$C:$C,0))*1000+F1468</f>
        <v>11932078</v>
      </c>
      <c r="C1468" s="14" t="s">
        <v>1931</v>
      </c>
      <c r="D1468" s="14" t="s">
        <v>276</v>
      </c>
      <c r="E1468" s="14" t="s">
        <v>86</v>
      </c>
      <c r="F1468" s="14">
        <v>78</v>
      </c>
      <c r="G1468" s="14">
        <v>60</v>
      </c>
      <c r="H1468" s="14" t="s">
        <v>1400</v>
      </c>
      <c r="I1468" s="14" t="s">
        <v>75</v>
      </c>
      <c r="J1468" s="14" t="s">
        <v>201</v>
      </c>
      <c r="K1468" s="14">
        <v>1</v>
      </c>
      <c r="L1468" s="14" t="s">
        <v>1400</v>
      </c>
      <c r="N1468" s="14">
        <v>0</v>
      </c>
      <c r="O1468" s="14" t="b">
        <v>1</v>
      </c>
      <c r="Q1468" s="14" t="b">
        <v>0</v>
      </c>
      <c r="R1468" s="14">
        <v>1</v>
      </c>
      <c r="S1468" s="14" t="s">
        <v>77</v>
      </c>
      <c r="T1468" s="14">
        <v>999</v>
      </c>
      <c r="U1468" s="14" t="s">
        <v>1401</v>
      </c>
      <c r="V1468" s="14">
        <v>31932078</v>
      </c>
      <c r="X1468" s="14" t="s">
        <v>1936</v>
      </c>
      <c r="Y1468" s="14" t="s">
        <v>215</v>
      </c>
      <c r="Z1468" s="14">
        <v>20231</v>
      </c>
      <c r="AA1468" s="14" t="s">
        <v>1937</v>
      </c>
      <c r="AB1468" s="14">
        <v>40001</v>
      </c>
      <c r="AE1468" s="14" t="s">
        <v>1400</v>
      </c>
      <c r="AF1468" s="14" t="s">
        <v>1400</v>
      </c>
      <c r="AG1468" s="14" t="s">
        <v>86</v>
      </c>
    </row>
    <row r="1469" spans="2:33">
      <c r="B1469" s="14">
        <f>10000000+INDEX(编号表!$B:$B,MATCH(H1469,编号表!$A:$A,0))*100000+INDEX(编号表!$F:$F,MATCH(D1469,编号表!$E:$E,0))*10000+INDEX(编号表!$D:$D,MATCH(AG1469,编号表!$C:$C,0))*1000+F1469</f>
        <v>11912077</v>
      </c>
      <c r="C1469" s="14" t="s">
        <v>1938</v>
      </c>
      <c r="D1469" s="14" t="s">
        <v>72</v>
      </c>
      <c r="E1469" s="14" t="s">
        <v>86</v>
      </c>
      <c r="F1469" s="14">
        <v>77</v>
      </c>
      <c r="G1469" s="14">
        <v>60</v>
      </c>
      <c r="H1469" s="14" t="s">
        <v>1400</v>
      </c>
      <c r="I1469" s="14" t="s">
        <v>75</v>
      </c>
      <c r="J1469" s="14" t="s">
        <v>201</v>
      </c>
      <c r="K1469" s="14">
        <v>1</v>
      </c>
      <c r="L1469" s="14" t="s">
        <v>1400</v>
      </c>
      <c r="N1469" s="14">
        <v>0</v>
      </c>
      <c r="O1469" s="14" t="b">
        <v>1</v>
      </c>
      <c r="Q1469" s="14" t="b">
        <v>0</v>
      </c>
      <c r="R1469" s="14">
        <v>1</v>
      </c>
      <c r="S1469" s="14" t="s">
        <v>77</v>
      </c>
      <c r="T1469" s="14">
        <v>999</v>
      </c>
      <c r="U1469" s="14" t="s">
        <v>1401</v>
      </c>
      <c r="V1469" s="14">
        <v>31912077</v>
      </c>
      <c r="X1469" s="14" t="s">
        <v>1939</v>
      </c>
      <c r="Y1469" s="14" t="s">
        <v>215</v>
      </c>
      <c r="Z1469" s="14">
        <v>20232</v>
      </c>
      <c r="AA1469" s="14" t="s">
        <v>1940</v>
      </c>
      <c r="AB1469" s="14">
        <v>40001</v>
      </c>
      <c r="AE1469" s="14" t="s">
        <v>1400</v>
      </c>
      <c r="AF1469" s="14" t="s">
        <v>1400</v>
      </c>
      <c r="AG1469" s="14" t="s">
        <v>86</v>
      </c>
    </row>
    <row r="1470" spans="2:33">
      <c r="B1470" s="14">
        <f>10000000+INDEX(编号表!$B:$B,MATCH(H1470,编号表!$A:$A,0))*100000+INDEX(编号表!$F:$F,MATCH(D1470,编号表!$E:$E,0))*10000+INDEX(编号表!$D:$D,MATCH(AG1470,编号表!$C:$C,0))*1000+F1470</f>
        <v>11922078</v>
      </c>
      <c r="C1470" s="14" t="s">
        <v>1938</v>
      </c>
      <c r="D1470" s="14" t="s">
        <v>112</v>
      </c>
      <c r="E1470" s="14" t="s">
        <v>86</v>
      </c>
      <c r="F1470" s="14">
        <v>78</v>
      </c>
      <c r="G1470" s="14">
        <v>60</v>
      </c>
      <c r="H1470" s="14" t="s">
        <v>1400</v>
      </c>
      <c r="I1470" s="14" t="s">
        <v>75</v>
      </c>
      <c r="J1470" s="14" t="s">
        <v>201</v>
      </c>
      <c r="K1470" s="14">
        <v>1</v>
      </c>
      <c r="L1470" s="14" t="s">
        <v>1400</v>
      </c>
      <c r="N1470" s="14">
        <v>0</v>
      </c>
      <c r="O1470" s="14" t="b">
        <v>1</v>
      </c>
      <c r="Q1470" s="14" t="b">
        <v>0</v>
      </c>
      <c r="R1470" s="14">
        <v>1</v>
      </c>
      <c r="S1470" s="14" t="s">
        <v>77</v>
      </c>
      <c r="T1470" s="14">
        <v>999</v>
      </c>
      <c r="U1470" s="14" t="s">
        <v>1401</v>
      </c>
      <c r="V1470" s="14">
        <v>31922078</v>
      </c>
      <c r="X1470" s="14" t="s">
        <v>1941</v>
      </c>
      <c r="Y1470" s="14" t="s">
        <v>215</v>
      </c>
      <c r="Z1470" s="14">
        <v>20233</v>
      </c>
      <c r="AA1470" s="14" t="s">
        <v>1942</v>
      </c>
      <c r="AB1470" s="14">
        <v>40001</v>
      </c>
      <c r="AE1470" s="14" t="s">
        <v>1400</v>
      </c>
      <c r="AF1470" s="14" t="s">
        <v>1400</v>
      </c>
      <c r="AG1470" s="14" t="s">
        <v>86</v>
      </c>
    </row>
    <row r="1471" spans="2:33">
      <c r="B1471" s="14">
        <f>10000000+INDEX(编号表!$B:$B,MATCH(H1471,编号表!$A:$A,0))*100000+INDEX(编号表!$F:$F,MATCH(D1471,编号表!$E:$E,0))*10000+INDEX(编号表!$D:$D,MATCH(AG1471,编号表!$C:$C,0))*1000+F1471</f>
        <v>11932079</v>
      </c>
      <c r="C1471" s="14" t="s">
        <v>1938</v>
      </c>
      <c r="D1471" s="14" t="s">
        <v>276</v>
      </c>
      <c r="E1471" s="14" t="s">
        <v>86</v>
      </c>
      <c r="F1471" s="14">
        <v>79</v>
      </c>
      <c r="G1471" s="14">
        <v>60</v>
      </c>
      <c r="H1471" s="14" t="s">
        <v>1400</v>
      </c>
      <c r="I1471" s="14" t="s">
        <v>75</v>
      </c>
      <c r="J1471" s="14" t="s">
        <v>201</v>
      </c>
      <c r="K1471" s="14">
        <v>1</v>
      </c>
      <c r="L1471" s="14" t="s">
        <v>1400</v>
      </c>
      <c r="N1471" s="14">
        <v>0</v>
      </c>
      <c r="O1471" s="14" t="b">
        <v>1</v>
      </c>
      <c r="Q1471" s="14" t="b">
        <v>0</v>
      </c>
      <c r="R1471" s="14">
        <v>1</v>
      </c>
      <c r="S1471" s="14" t="s">
        <v>77</v>
      </c>
      <c r="T1471" s="14">
        <v>999</v>
      </c>
      <c r="U1471" s="14" t="s">
        <v>1401</v>
      </c>
      <c r="V1471" s="14">
        <v>31932079</v>
      </c>
      <c r="X1471" s="14" t="s">
        <v>1943</v>
      </c>
      <c r="Y1471" s="14" t="s">
        <v>215</v>
      </c>
      <c r="Z1471" s="14">
        <v>20234</v>
      </c>
      <c r="AA1471" s="14" t="s">
        <v>1944</v>
      </c>
      <c r="AB1471" s="14">
        <v>40001</v>
      </c>
      <c r="AE1471" s="14" t="s">
        <v>1400</v>
      </c>
      <c r="AF1471" s="14" t="s">
        <v>1400</v>
      </c>
      <c r="AG1471" s="14" t="s">
        <v>86</v>
      </c>
    </row>
    <row r="1472" spans="2:33">
      <c r="B1472" s="14">
        <f>10000000+INDEX(编号表!$B:$B,MATCH(H1472,编号表!$A:$A,0))*100000+INDEX(编号表!$F:$F,MATCH(D1472,编号表!$E:$E,0))*10000+INDEX(编号表!$D:$D,MATCH(AG1472,编号表!$C:$C,0))*1000+F1472</f>
        <v>11912078</v>
      </c>
      <c r="C1472" s="14" t="s">
        <v>1945</v>
      </c>
      <c r="D1472" s="14" t="s">
        <v>72</v>
      </c>
      <c r="E1472" s="14" t="s">
        <v>86</v>
      </c>
      <c r="F1472" s="14">
        <v>78</v>
      </c>
      <c r="G1472" s="14">
        <v>60</v>
      </c>
      <c r="H1472" s="14" t="s">
        <v>1400</v>
      </c>
      <c r="I1472" s="14" t="s">
        <v>75</v>
      </c>
      <c r="J1472" s="14" t="s">
        <v>201</v>
      </c>
      <c r="K1472" s="14">
        <v>1</v>
      </c>
      <c r="L1472" s="14" t="s">
        <v>1400</v>
      </c>
      <c r="N1472" s="14">
        <v>0</v>
      </c>
      <c r="O1472" s="14" t="b">
        <v>1</v>
      </c>
      <c r="Q1472" s="14" t="b">
        <v>0</v>
      </c>
      <c r="R1472" s="14">
        <v>1</v>
      </c>
      <c r="S1472" s="14" t="s">
        <v>77</v>
      </c>
      <c r="T1472" s="14">
        <v>999</v>
      </c>
      <c r="U1472" s="14" t="s">
        <v>1401</v>
      </c>
      <c r="V1472" s="14">
        <v>31912078</v>
      </c>
      <c r="X1472" s="14" t="s">
        <v>1946</v>
      </c>
      <c r="Y1472" s="14" t="s">
        <v>215</v>
      </c>
      <c r="Z1472" s="14">
        <v>20235</v>
      </c>
      <c r="AA1472" s="14" t="s">
        <v>1947</v>
      </c>
      <c r="AB1472" s="14">
        <v>40001</v>
      </c>
      <c r="AE1472" s="14" t="s">
        <v>1400</v>
      </c>
      <c r="AF1472" s="14" t="s">
        <v>1400</v>
      </c>
      <c r="AG1472" s="14" t="s">
        <v>86</v>
      </c>
    </row>
    <row r="1473" spans="2:33">
      <c r="B1473" s="14">
        <f>10000000+INDEX(编号表!$B:$B,MATCH(H1473,编号表!$A:$A,0))*100000+INDEX(编号表!$F:$F,MATCH(D1473,编号表!$E:$E,0))*10000+INDEX(编号表!$D:$D,MATCH(AG1473,编号表!$C:$C,0))*1000+F1473</f>
        <v>11922079</v>
      </c>
      <c r="C1473" s="14" t="s">
        <v>1945</v>
      </c>
      <c r="D1473" s="14" t="s">
        <v>112</v>
      </c>
      <c r="E1473" s="14" t="s">
        <v>86</v>
      </c>
      <c r="F1473" s="14">
        <v>79</v>
      </c>
      <c r="G1473" s="14">
        <v>60</v>
      </c>
      <c r="H1473" s="14" t="s">
        <v>1400</v>
      </c>
      <c r="I1473" s="14" t="s">
        <v>75</v>
      </c>
      <c r="J1473" s="14" t="s">
        <v>201</v>
      </c>
      <c r="K1473" s="14">
        <v>1</v>
      </c>
      <c r="L1473" s="14" t="s">
        <v>1400</v>
      </c>
      <c r="N1473" s="14">
        <v>0</v>
      </c>
      <c r="O1473" s="14" t="b">
        <v>1</v>
      </c>
      <c r="Q1473" s="14" t="b">
        <v>0</v>
      </c>
      <c r="R1473" s="14">
        <v>1</v>
      </c>
      <c r="S1473" s="14" t="s">
        <v>77</v>
      </c>
      <c r="T1473" s="14">
        <v>999</v>
      </c>
      <c r="U1473" s="14" t="s">
        <v>1401</v>
      </c>
      <c r="V1473" s="14">
        <v>31922079</v>
      </c>
      <c r="X1473" s="14" t="s">
        <v>1948</v>
      </c>
      <c r="Y1473" s="14" t="s">
        <v>215</v>
      </c>
      <c r="Z1473" s="14">
        <v>20236</v>
      </c>
      <c r="AA1473" s="14" t="s">
        <v>1949</v>
      </c>
      <c r="AB1473" s="14">
        <v>40001</v>
      </c>
      <c r="AE1473" s="14" t="s">
        <v>1400</v>
      </c>
      <c r="AF1473" s="14" t="s">
        <v>1400</v>
      </c>
      <c r="AG1473" s="14" t="s">
        <v>86</v>
      </c>
    </row>
    <row r="1474" spans="2:33">
      <c r="B1474" s="14">
        <f>10000000+INDEX(编号表!$B:$B,MATCH(H1474,编号表!$A:$A,0))*100000+INDEX(编号表!$F:$F,MATCH(D1474,编号表!$E:$E,0))*10000+INDEX(编号表!$D:$D,MATCH(AG1474,编号表!$C:$C,0))*1000+F1474</f>
        <v>11932080</v>
      </c>
      <c r="C1474" s="14" t="s">
        <v>1945</v>
      </c>
      <c r="D1474" s="14" t="s">
        <v>276</v>
      </c>
      <c r="E1474" s="14" t="s">
        <v>86</v>
      </c>
      <c r="F1474" s="14">
        <v>80</v>
      </c>
      <c r="G1474" s="14">
        <v>60</v>
      </c>
      <c r="H1474" s="14" t="s">
        <v>1400</v>
      </c>
      <c r="I1474" s="14" t="s">
        <v>75</v>
      </c>
      <c r="J1474" s="14" t="s">
        <v>201</v>
      </c>
      <c r="K1474" s="14">
        <v>1</v>
      </c>
      <c r="L1474" s="14" t="s">
        <v>1400</v>
      </c>
      <c r="N1474" s="14">
        <v>0</v>
      </c>
      <c r="O1474" s="14" t="b">
        <v>1</v>
      </c>
      <c r="Q1474" s="14" t="b">
        <v>0</v>
      </c>
      <c r="R1474" s="14">
        <v>1</v>
      </c>
      <c r="S1474" s="14" t="s">
        <v>77</v>
      </c>
      <c r="T1474" s="14">
        <v>999</v>
      </c>
      <c r="U1474" s="14" t="s">
        <v>1401</v>
      </c>
      <c r="V1474" s="14">
        <v>31932080</v>
      </c>
      <c r="X1474" s="14" t="s">
        <v>1950</v>
      </c>
      <c r="Y1474" s="14" t="s">
        <v>215</v>
      </c>
      <c r="Z1474" s="14">
        <v>20237</v>
      </c>
      <c r="AA1474" s="14" t="s">
        <v>1951</v>
      </c>
      <c r="AB1474" s="14">
        <v>40001</v>
      </c>
      <c r="AE1474" s="14" t="s">
        <v>1400</v>
      </c>
      <c r="AF1474" s="14" t="s">
        <v>1400</v>
      </c>
      <c r="AG1474" s="14" t="s">
        <v>86</v>
      </c>
    </row>
    <row r="1475" spans="2:33">
      <c r="B1475" s="14">
        <f>10000000+INDEX(编号表!$B:$B,MATCH(H1475,编号表!$A:$A,0))*100000+INDEX(编号表!$F:$F,MATCH(D1475,编号表!$E:$E,0))*10000+INDEX(编号表!$D:$D,MATCH(AG1475,编号表!$C:$C,0))*1000+F1475</f>
        <v>11912079</v>
      </c>
      <c r="C1475" s="14" t="s">
        <v>1952</v>
      </c>
      <c r="D1475" s="14" t="s">
        <v>72</v>
      </c>
      <c r="E1475" s="14" t="s">
        <v>86</v>
      </c>
      <c r="F1475" s="14">
        <v>79</v>
      </c>
      <c r="G1475" s="14">
        <v>60</v>
      </c>
      <c r="H1475" s="14" t="s">
        <v>1400</v>
      </c>
      <c r="I1475" s="14" t="s">
        <v>75</v>
      </c>
      <c r="J1475" s="14" t="s">
        <v>201</v>
      </c>
      <c r="K1475" s="14">
        <v>1</v>
      </c>
      <c r="L1475" s="14" t="s">
        <v>1400</v>
      </c>
      <c r="N1475" s="14">
        <v>0</v>
      </c>
      <c r="O1475" s="14" t="b">
        <v>1</v>
      </c>
      <c r="Q1475" s="14" t="b">
        <v>0</v>
      </c>
      <c r="R1475" s="14">
        <v>1</v>
      </c>
      <c r="S1475" s="14" t="s">
        <v>77</v>
      </c>
      <c r="T1475" s="14">
        <v>999</v>
      </c>
      <c r="U1475" s="14" t="s">
        <v>1401</v>
      </c>
      <c r="V1475" s="14">
        <v>31912079</v>
      </c>
      <c r="X1475" s="14" t="s">
        <v>1953</v>
      </c>
      <c r="Y1475" s="14" t="s">
        <v>215</v>
      </c>
      <c r="Z1475" s="14">
        <v>20238</v>
      </c>
      <c r="AA1475" s="14" t="s">
        <v>1954</v>
      </c>
      <c r="AB1475" s="14">
        <v>40001</v>
      </c>
      <c r="AE1475" s="14" t="s">
        <v>1400</v>
      </c>
      <c r="AF1475" s="14" t="s">
        <v>1400</v>
      </c>
      <c r="AG1475" s="14" t="s">
        <v>86</v>
      </c>
    </row>
    <row r="1476" spans="2:33">
      <c r="B1476" s="14">
        <f>10000000+INDEX(编号表!$B:$B,MATCH(H1476,编号表!$A:$A,0))*100000+INDEX(编号表!$F:$F,MATCH(D1476,编号表!$E:$E,0))*10000+INDEX(编号表!$D:$D,MATCH(AG1476,编号表!$C:$C,0))*1000+F1476</f>
        <v>11922080</v>
      </c>
      <c r="C1476" s="14" t="s">
        <v>1952</v>
      </c>
      <c r="D1476" s="14" t="s">
        <v>112</v>
      </c>
      <c r="E1476" s="14" t="s">
        <v>86</v>
      </c>
      <c r="F1476" s="14">
        <v>80</v>
      </c>
      <c r="G1476" s="14">
        <v>60</v>
      </c>
      <c r="H1476" s="14" t="s">
        <v>1400</v>
      </c>
      <c r="I1476" s="14" t="s">
        <v>75</v>
      </c>
      <c r="J1476" s="14" t="s">
        <v>201</v>
      </c>
      <c r="K1476" s="14">
        <v>1</v>
      </c>
      <c r="L1476" s="14" t="s">
        <v>1400</v>
      </c>
      <c r="N1476" s="14">
        <v>0</v>
      </c>
      <c r="O1476" s="14" t="b">
        <v>1</v>
      </c>
      <c r="Q1476" s="14" t="b">
        <v>0</v>
      </c>
      <c r="R1476" s="14">
        <v>1</v>
      </c>
      <c r="S1476" s="14" t="s">
        <v>77</v>
      </c>
      <c r="T1476" s="14">
        <v>999</v>
      </c>
      <c r="U1476" s="14" t="s">
        <v>1401</v>
      </c>
      <c r="V1476" s="14">
        <v>31922080</v>
      </c>
      <c r="X1476" s="14" t="s">
        <v>1955</v>
      </c>
      <c r="Y1476" s="14" t="s">
        <v>215</v>
      </c>
      <c r="Z1476" s="14">
        <v>20239</v>
      </c>
      <c r="AA1476" s="14" t="s">
        <v>1956</v>
      </c>
      <c r="AB1476" s="14">
        <v>40001</v>
      </c>
      <c r="AE1476" s="14" t="s">
        <v>1400</v>
      </c>
      <c r="AF1476" s="14" t="s">
        <v>1400</v>
      </c>
      <c r="AG1476" s="14" t="s">
        <v>86</v>
      </c>
    </row>
    <row r="1477" spans="2:33">
      <c r="B1477" s="14">
        <f>10000000+INDEX(编号表!$B:$B,MATCH(H1477,编号表!$A:$A,0))*100000+INDEX(编号表!$F:$F,MATCH(D1477,编号表!$E:$E,0))*10000+INDEX(编号表!$D:$D,MATCH(AG1477,编号表!$C:$C,0))*1000+F1477</f>
        <v>11932081</v>
      </c>
      <c r="C1477" s="14" t="s">
        <v>1952</v>
      </c>
      <c r="D1477" s="14" t="s">
        <v>276</v>
      </c>
      <c r="E1477" s="14" t="s">
        <v>86</v>
      </c>
      <c r="F1477" s="14">
        <v>81</v>
      </c>
      <c r="G1477" s="14">
        <v>60</v>
      </c>
      <c r="H1477" s="14" t="s">
        <v>1400</v>
      </c>
      <c r="I1477" s="14" t="s">
        <v>75</v>
      </c>
      <c r="J1477" s="14" t="s">
        <v>201</v>
      </c>
      <c r="K1477" s="14">
        <v>1</v>
      </c>
      <c r="L1477" s="14" t="s">
        <v>1400</v>
      </c>
      <c r="N1477" s="14">
        <v>0</v>
      </c>
      <c r="O1477" s="14" t="b">
        <v>1</v>
      </c>
      <c r="Q1477" s="14" t="b">
        <v>0</v>
      </c>
      <c r="R1477" s="14">
        <v>1</v>
      </c>
      <c r="S1477" s="14" t="s">
        <v>77</v>
      </c>
      <c r="T1477" s="14">
        <v>999</v>
      </c>
      <c r="U1477" s="14" t="s">
        <v>1401</v>
      </c>
      <c r="V1477" s="14">
        <v>31932081</v>
      </c>
      <c r="X1477" s="14" t="s">
        <v>1957</v>
      </c>
      <c r="Y1477" s="14" t="s">
        <v>215</v>
      </c>
      <c r="Z1477" s="14">
        <v>20240</v>
      </c>
      <c r="AA1477" s="14" t="s">
        <v>1958</v>
      </c>
      <c r="AB1477" s="14">
        <v>40001</v>
      </c>
      <c r="AE1477" s="14" t="s">
        <v>1400</v>
      </c>
      <c r="AF1477" s="14" t="s">
        <v>1400</v>
      </c>
      <c r="AG1477" s="14" t="s">
        <v>86</v>
      </c>
    </row>
    <row r="1478" spans="2:33">
      <c r="B1478" s="14">
        <f>10000000+INDEX(编号表!$B:$B,MATCH(H1478,编号表!$A:$A,0))*100000+INDEX(编号表!$F:$F,MATCH(D1478,编号表!$E:$E,0))*10000+INDEX(编号表!$D:$D,MATCH(AG1478,编号表!$C:$C,0))*1000+F1478</f>
        <v>11912080</v>
      </c>
      <c r="C1478" s="14" t="s">
        <v>1959</v>
      </c>
      <c r="D1478" s="14" t="s">
        <v>72</v>
      </c>
      <c r="E1478" s="14" t="s">
        <v>86</v>
      </c>
      <c r="F1478" s="14">
        <v>80</v>
      </c>
      <c r="G1478" s="14">
        <v>60</v>
      </c>
      <c r="H1478" s="14" t="s">
        <v>1400</v>
      </c>
      <c r="I1478" s="14" t="s">
        <v>75</v>
      </c>
      <c r="J1478" s="14" t="s">
        <v>201</v>
      </c>
      <c r="K1478" s="14">
        <v>1</v>
      </c>
      <c r="L1478" s="14" t="s">
        <v>1400</v>
      </c>
      <c r="N1478" s="14">
        <v>0</v>
      </c>
      <c r="O1478" s="14" t="b">
        <v>1</v>
      </c>
      <c r="Q1478" s="14" t="b">
        <v>0</v>
      </c>
      <c r="R1478" s="14">
        <v>1</v>
      </c>
      <c r="S1478" s="14" t="s">
        <v>77</v>
      </c>
      <c r="T1478" s="14">
        <v>999</v>
      </c>
      <c r="U1478" s="14" t="s">
        <v>1401</v>
      </c>
      <c r="V1478" s="14">
        <v>31912080</v>
      </c>
      <c r="X1478" s="14" t="s">
        <v>1960</v>
      </c>
      <c r="Y1478" s="14" t="s">
        <v>215</v>
      </c>
      <c r="Z1478" s="14">
        <v>20241</v>
      </c>
      <c r="AA1478" s="14" t="s">
        <v>1961</v>
      </c>
      <c r="AB1478" s="14">
        <v>40001</v>
      </c>
      <c r="AE1478" s="14" t="s">
        <v>1400</v>
      </c>
      <c r="AF1478" s="14" t="s">
        <v>1400</v>
      </c>
      <c r="AG1478" s="14" t="s">
        <v>86</v>
      </c>
    </row>
    <row r="1479" spans="2:33">
      <c r="B1479" s="14">
        <f>10000000+INDEX(编号表!$B:$B,MATCH(H1479,编号表!$A:$A,0))*100000+INDEX(编号表!$F:$F,MATCH(D1479,编号表!$E:$E,0))*10000+INDEX(编号表!$D:$D,MATCH(AG1479,编号表!$C:$C,0))*1000+F1479</f>
        <v>11922081</v>
      </c>
      <c r="C1479" s="14" t="s">
        <v>1959</v>
      </c>
      <c r="D1479" s="14" t="s">
        <v>112</v>
      </c>
      <c r="E1479" s="14" t="s">
        <v>86</v>
      </c>
      <c r="F1479" s="14">
        <v>81</v>
      </c>
      <c r="G1479" s="14">
        <v>60</v>
      </c>
      <c r="H1479" s="14" t="s">
        <v>1400</v>
      </c>
      <c r="I1479" s="14" t="s">
        <v>75</v>
      </c>
      <c r="J1479" s="14" t="s">
        <v>201</v>
      </c>
      <c r="K1479" s="14">
        <v>1</v>
      </c>
      <c r="L1479" s="14" t="s">
        <v>1400</v>
      </c>
      <c r="N1479" s="14">
        <v>0</v>
      </c>
      <c r="O1479" s="14" t="b">
        <v>1</v>
      </c>
      <c r="Q1479" s="14" t="b">
        <v>0</v>
      </c>
      <c r="R1479" s="14">
        <v>1</v>
      </c>
      <c r="S1479" s="14" t="s">
        <v>77</v>
      </c>
      <c r="T1479" s="14">
        <v>999</v>
      </c>
      <c r="U1479" s="14" t="s">
        <v>1401</v>
      </c>
      <c r="V1479" s="14">
        <v>31922081</v>
      </c>
      <c r="X1479" s="14" t="s">
        <v>1962</v>
      </c>
      <c r="Y1479" s="14" t="s">
        <v>215</v>
      </c>
      <c r="Z1479" s="14">
        <v>20242</v>
      </c>
      <c r="AA1479" s="14" t="s">
        <v>1963</v>
      </c>
      <c r="AB1479" s="14">
        <v>40001</v>
      </c>
      <c r="AE1479" s="14" t="s">
        <v>1400</v>
      </c>
      <c r="AF1479" s="14" t="s">
        <v>1400</v>
      </c>
      <c r="AG1479" s="14" t="s">
        <v>86</v>
      </c>
    </row>
    <row r="1480" spans="2:33">
      <c r="B1480" s="14">
        <f>10000000+INDEX(编号表!$B:$B,MATCH(H1480,编号表!$A:$A,0))*100000+INDEX(编号表!$F:$F,MATCH(D1480,编号表!$E:$E,0))*10000+INDEX(编号表!$D:$D,MATCH(AG1480,编号表!$C:$C,0))*1000+F1480</f>
        <v>11932082</v>
      </c>
      <c r="C1480" s="14" t="s">
        <v>1959</v>
      </c>
      <c r="D1480" s="14" t="s">
        <v>276</v>
      </c>
      <c r="E1480" s="14" t="s">
        <v>86</v>
      </c>
      <c r="F1480" s="14">
        <v>82</v>
      </c>
      <c r="G1480" s="14">
        <v>60</v>
      </c>
      <c r="H1480" s="14" t="s">
        <v>1400</v>
      </c>
      <c r="I1480" s="14" t="s">
        <v>75</v>
      </c>
      <c r="J1480" s="14" t="s">
        <v>201</v>
      </c>
      <c r="K1480" s="14">
        <v>1</v>
      </c>
      <c r="L1480" s="14" t="s">
        <v>1400</v>
      </c>
      <c r="N1480" s="14">
        <v>0</v>
      </c>
      <c r="O1480" s="14" t="b">
        <v>1</v>
      </c>
      <c r="Q1480" s="14" t="b">
        <v>0</v>
      </c>
      <c r="R1480" s="14">
        <v>1</v>
      </c>
      <c r="S1480" s="14" t="s">
        <v>77</v>
      </c>
      <c r="T1480" s="14">
        <v>999</v>
      </c>
      <c r="U1480" s="14" t="s">
        <v>1401</v>
      </c>
      <c r="V1480" s="14">
        <v>31932082</v>
      </c>
      <c r="X1480" s="14" t="s">
        <v>1964</v>
      </c>
      <c r="Y1480" s="14" t="s">
        <v>215</v>
      </c>
      <c r="Z1480" s="14">
        <v>20243</v>
      </c>
      <c r="AA1480" s="14" t="s">
        <v>1965</v>
      </c>
      <c r="AB1480" s="14">
        <v>40001</v>
      </c>
      <c r="AE1480" s="14" t="s">
        <v>1400</v>
      </c>
      <c r="AF1480" s="14" t="s">
        <v>1400</v>
      </c>
      <c r="AG1480" s="14" t="s">
        <v>86</v>
      </c>
    </row>
    <row r="1481" spans="2:33">
      <c r="B1481" s="14">
        <f>10000000+INDEX(编号表!$B:$B,MATCH(H1481,编号表!$A:$A,0))*100000+INDEX(编号表!$F:$F,MATCH(D1481,编号表!$E:$E,0))*10000+INDEX(编号表!$D:$D,MATCH(AG1481,编号表!$C:$C,0))*1000+F1481</f>
        <v>11912081</v>
      </c>
      <c r="C1481" s="14" t="s">
        <v>1966</v>
      </c>
      <c r="D1481" s="14" t="s">
        <v>72</v>
      </c>
      <c r="E1481" s="14" t="s">
        <v>86</v>
      </c>
      <c r="F1481" s="14">
        <v>81</v>
      </c>
      <c r="G1481" s="14">
        <v>60</v>
      </c>
      <c r="H1481" s="14" t="s">
        <v>1400</v>
      </c>
      <c r="I1481" s="14" t="s">
        <v>75</v>
      </c>
      <c r="J1481" s="14" t="s">
        <v>201</v>
      </c>
      <c r="K1481" s="14">
        <v>1</v>
      </c>
      <c r="L1481" s="14" t="s">
        <v>1400</v>
      </c>
      <c r="N1481" s="14">
        <v>0</v>
      </c>
      <c r="O1481" s="14" t="b">
        <v>1</v>
      </c>
      <c r="Q1481" s="14" t="b">
        <v>0</v>
      </c>
      <c r="R1481" s="14">
        <v>1</v>
      </c>
      <c r="S1481" s="14" t="s">
        <v>77</v>
      </c>
      <c r="T1481" s="14">
        <v>999</v>
      </c>
      <c r="U1481" s="14" t="s">
        <v>1401</v>
      </c>
      <c r="V1481" s="14">
        <v>31912081</v>
      </c>
      <c r="X1481" s="14" t="s">
        <v>1967</v>
      </c>
      <c r="Y1481" s="14" t="s">
        <v>215</v>
      </c>
      <c r="Z1481" s="14">
        <v>20244</v>
      </c>
      <c r="AA1481" s="14" t="s">
        <v>1968</v>
      </c>
      <c r="AB1481" s="14">
        <v>40001</v>
      </c>
      <c r="AE1481" s="14" t="s">
        <v>1400</v>
      </c>
      <c r="AF1481" s="14" t="s">
        <v>1400</v>
      </c>
      <c r="AG1481" s="14" t="s">
        <v>86</v>
      </c>
    </row>
    <row r="1482" spans="2:33">
      <c r="B1482" s="14">
        <f>10000000+INDEX(编号表!$B:$B,MATCH(H1482,编号表!$A:$A,0))*100000+INDEX(编号表!$F:$F,MATCH(D1482,编号表!$E:$E,0))*10000+INDEX(编号表!$D:$D,MATCH(AG1482,编号表!$C:$C,0))*1000+F1482</f>
        <v>11922082</v>
      </c>
      <c r="C1482" s="14" t="s">
        <v>1966</v>
      </c>
      <c r="D1482" s="14" t="s">
        <v>112</v>
      </c>
      <c r="E1482" s="14" t="s">
        <v>86</v>
      </c>
      <c r="F1482" s="14">
        <v>82</v>
      </c>
      <c r="G1482" s="14">
        <v>60</v>
      </c>
      <c r="H1482" s="14" t="s">
        <v>1400</v>
      </c>
      <c r="I1482" s="14" t="s">
        <v>75</v>
      </c>
      <c r="J1482" s="14" t="s">
        <v>201</v>
      </c>
      <c r="K1482" s="14">
        <v>1</v>
      </c>
      <c r="L1482" s="14" t="s">
        <v>1400</v>
      </c>
      <c r="N1482" s="14">
        <v>0</v>
      </c>
      <c r="O1482" s="14" t="b">
        <v>1</v>
      </c>
      <c r="Q1482" s="14" t="b">
        <v>0</v>
      </c>
      <c r="R1482" s="14">
        <v>1</v>
      </c>
      <c r="S1482" s="14" t="s">
        <v>77</v>
      </c>
      <c r="T1482" s="14">
        <v>999</v>
      </c>
      <c r="U1482" s="14" t="s">
        <v>1401</v>
      </c>
      <c r="V1482" s="14">
        <v>31922082</v>
      </c>
      <c r="X1482" s="14" t="s">
        <v>1969</v>
      </c>
      <c r="Y1482" s="14" t="s">
        <v>215</v>
      </c>
      <c r="Z1482" s="14">
        <v>20245</v>
      </c>
      <c r="AA1482" s="14" t="s">
        <v>1970</v>
      </c>
      <c r="AB1482" s="14">
        <v>40001</v>
      </c>
      <c r="AE1482" s="14" t="s">
        <v>1400</v>
      </c>
      <c r="AF1482" s="14" t="s">
        <v>1400</v>
      </c>
      <c r="AG1482" s="14" t="s">
        <v>86</v>
      </c>
    </row>
    <row r="1483" spans="2:33">
      <c r="B1483" s="14">
        <f>10000000+INDEX(编号表!$B:$B,MATCH(H1483,编号表!$A:$A,0))*100000+INDEX(编号表!$F:$F,MATCH(D1483,编号表!$E:$E,0))*10000+INDEX(编号表!$D:$D,MATCH(AG1483,编号表!$C:$C,0))*1000+F1483</f>
        <v>11932083</v>
      </c>
      <c r="C1483" s="14" t="s">
        <v>1966</v>
      </c>
      <c r="D1483" s="14" t="s">
        <v>276</v>
      </c>
      <c r="E1483" s="14" t="s">
        <v>86</v>
      </c>
      <c r="F1483" s="14">
        <v>83</v>
      </c>
      <c r="G1483" s="14">
        <v>60</v>
      </c>
      <c r="H1483" s="14" t="s">
        <v>1400</v>
      </c>
      <c r="I1483" s="14" t="s">
        <v>75</v>
      </c>
      <c r="J1483" s="14" t="s">
        <v>201</v>
      </c>
      <c r="K1483" s="14">
        <v>1</v>
      </c>
      <c r="L1483" s="14" t="s">
        <v>1400</v>
      </c>
      <c r="N1483" s="14">
        <v>0</v>
      </c>
      <c r="O1483" s="14" t="b">
        <v>1</v>
      </c>
      <c r="Q1483" s="14" t="b">
        <v>0</v>
      </c>
      <c r="R1483" s="14">
        <v>1</v>
      </c>
      <c r="S1483" s="14" t="s">
        <v>77</v>
      </c>
      <c r="T1483" s="14">
        <v>999</v>
      </c>
      <c r="U1483" s="14" t="s">
        <v>1401</v>
      </c>
      <c r="V1483" s="14">
        <v>31932083</v>
      </c>
      <c r="X1483" s="14" t="s">
        <v>1971</v>
      </c>
      <c r="Y1483" s="14" t="s">
        <v>215</v>
      </c>
      <c r="Z1483" s="14">
        <v>20246</v>
      </c>
      <c r="AA1483" s="14" t="s">
        <v>1972</v>
      </c>
      <c r="AB1483" s="14">
        <v>40001</v>
      </c>
      <c r="AE1483" s="14" t="s">
        <v>1400</v>
      </c>
      <c r="AF1483" s="14" t="s">
        <v>1400</v>
      </c>
      <c r="AG1483" s="14" t="s">
        <v>86</v>
      </c>
    </row>
    <row r="1484" spans="2:33">
      <c r="B1484" s="14">
        <f>10000000+INDEX(编号表!$B:$B,MATCH(H1484,编号表!$A:$A,0))*100000+INDEX(编号表!$F:$F,MATCH(D1484,编号表!$E:$E,0))*10000+INDEX(编号表!$D:$D,MATCH(AG1484,编号表!$C:$C,0))*1000+F1484</f>
        <v>11912082</v>
      </c>
      <c r="C1484" s="14" t="s">
        <v>1973</v>
      </c>
      <c r="D1484" s="14" t="s">
        <v>72</v>
      </c>
      <c r="E1484" s="14" t="s">
        <v>86</v>
      </c>
      <c r="F1484" s="14">
        <v>82</v>
      </c>
      <c r="G1484" s="14">
        <v>60</v>
      </c>
      <c r="H1484" s="14" t="s">
        <v>1400</v>
      </c>
      <c r="I1484" s="14" t="s">
        <v>75</v>
      </c>
      <c r="J1484" s="14" t="s">
        <v>201</v>
      </c>
      <c r="K1484" s="14">
        <v>1</v>
      </c>
      <c r="L1484" s="14" t="s">
        <v>1400</v>
      </c>
      <c r="N1484" s="14">
        <v>0</v>
      </c>
      <c r="O1484" s="14" t="b">
        <v>1</v>
      </c>
      <c r="Q1484" s="14" t="b">
        <v>0</v>
      </c>
      <c r="R1484" s="14">
        <v>1</v>
      </c>
      <c r="S1484" s="14" t="s">
        <v>77</v>
      </c>
      <c r="T1484" s="14">
        <v>999</v>
      </c>
      <c r="U1484" s="14" t="s">
        <v>1401</v>
      </c>
      <c r="V1484" s="14">
        <v>31912082</v>
      </c>
      <c r="X1484" s="14" t="s">
        <v>1974</v>
      </c>
      <c r="Y1484" s="14" t="s">
        <v>215</v>
      </c>
      <c r="Z1484" s="14">
        <v>20247</v>
      </c>
      <c r="AA1484" s="14" t="s">
        <v>1975</v>
      </c>
      <c r="AB1484" s="14">
        <v>40001</v>
      </c>
      <c r="AE1484" s="14" t="s">
        <v>1400</v>
      </c>
      <c r="AF1484" s="14" t="s">
        <v>1400</v>
      </c>
      <c r="AG1484" s="14" t="s">
        <v>86</v>
      </c>
    </row>
    <row r="1485" spans="2:33">
      <c r="B1485" s="14">
        <f>10000000+INDEX(编号表!$B:$B,MATCH(H1485,编号表!$A:$A,0))*100000+INDEX(编号表!$F:$F,MATCH(D1485,编号表!$E:$E,0))*10000+INDEX(编号表!$D:$D,MATCH(AG1485,编号表!$C:$C,0))*1000+F1485</f>
        <v>11922083</v>
      </c>
      <c r="C1485" s="14" t="s">
        <v>1973</v>
      </c>
      <c r="D1485" s="14" t="s">
        <v>112</v>
      </c>
      <c r="E1485" s="14" t="s">
        <v>86</v>
      </c>
      <c r="F1485" s="14">
        <v>83</v>
      </c>
      <c r="G1485" s="14">
        <v>60</v>
      </c>
      <c r="H1485" s="14" t="s">
        <v>1400</v>
      </c>
      <c r="I1485" s="14" t="s">
        <v>75</v>
      </c>
      <c r="J1485" s="14" t="s">
        <v>201</v>
      </c>
      <c r="K1485" s="14">
        <v>1</v>
      </c>
      <c r="L1485" s="14" t="s">
        <v>1400</v>
      </c>
      <c r="N1485" s="14">
        <v>0</v>
      </c>
      <c r="O1485" s="14" t="b">
        <v>1</v>
      </c>
      <c r="Q1485" s="14" t="b">
        <v>0</v>
      </c>
      <c r="R1485" s="14">
        <v>1</v>
      </c>
      <c r="S1485" s="14" t="s">
        <v>77</v>
      </c>
      <c r="T1485" s="14">
        <v>999</v>
      </c>
      <c r="U1485" s="14" t="s">
        <v>1401</v>
      </c>
      <c r="V1485" s="14">
        <v>31922083</v>
      </c>
      <c r="X1485" s="14" t="s">
        <v>1976</v>
      </c>
      <c r="Y1485" s="14" t="s">
        <v>215</v>
      </c>
      <c r="Z1485" s="14">
        <v>20248</v>
      </c>
      <c r="AA1485" s="14" t="s">
        <v>1977</v>
      </c>
      <c r="AB1485" s="14">
        <v>40001</v>
      </c>
      <c r="AE1485" s="14" t="s">
        <v>1400</v>
      </c>
      <c r="AF1485" s="14" t="s">
        <v>1400</v>
      </c>
      <c r="AG1485" s="14" t="s">
        <v>86</v>
      </c>
    </row>
    <row r="1486" spans="2:33">
      <c r="B1486" s="14">
        <f>10000000+INDEX(编号表!$B:$B,MATCH(H1486,编号表!$A:$A,0))*100000+INDEX(编号表!$F:$F,MATCH(D1486,编号表!$E:$E,0))*10000+INDEX(编号表!$D:$D,MATCH(AG1486,编号表!$C:$C,0))*1000+F1486</f>
        <v>11932084</v>
      </c>
      <c r="C1486" s="14" t="s">
        <v>1973</v>
      </c>
      <c r="D1486" s="14" t="s">
        <v>276</v>
      </c>
      <c r="E1486" s="14" t="s">
        <v>86</v>
      </c>
      <c r="F1486" s="14">
        <v>84</v>
      </c>
      <c r="G1486" s="14">
        <v>60</v>
      </c>
      <c r="H1486" s="14" t="s">
        <v>1400</v>
      </c>
      <c r="I1486" s="14" t="s">
        <v>75</v>
      </c>
      <c r="J1486" s="14" t="s">
        <v>201</v>
      </c>
      <c r="K1486" s="14">
        <v>1</v>
      </c>
      <c r="L1486" s="14" t="s">
        <v>1400</v>
      </c>
      <c r="N1486" s="14">
        <v>0</v>
      </c>
      <c r="O1486" s="14" t="b">
        <v>1</v>
      </c>
      <c r="Q1486" s="14" t="b">
        <v>0</v>
      </c>
      <c r="R1486" s="14">
        <v>1</v>
      </c>
      <c r="S1486" s="14" t="s">
        <v>77</v>
      </c>
      <c r="T1486" s="14">
        <v>999</v>
      </c>
      <c r="U1486" s="14" t="s">
        <v>1401</v>
      </c>
      <c r="V1486" s="14">
        <v>31932084</v>
      </c>
      <c r="X1486" s="14" t="s">
        <v>1978</v>
      </c>
      <c r="Y1486" s="14" t="s">
        <v>215</v>
      </c>
      <c r="Z1486" s="14">
        <v>20249</v>
      </c>
      <c r="AA1486" s="14" t="s">
        <v>1979</v>
      </c>
      <c r="AB1486" s="14">
        <v>40001</v>
      </c>
      <c r="AE1486" s="14" t="s">
        <v>1400</v>
      </c>
      <c r="AF1486" s="14" t="s">
        <v>1400</v>
      </c>
      <c r="AG1486" s="14" t="s">
        <v>86</v>
      </c>
    </row>
    <row r="1487" spans="2:33">
      <c r="B1487" s="14">
        <f>10000000+INDEX(编号表!$B:$B,MATCH(H1487,编号表!$A:$A,0))*100000+INDEX(编号表!$F:$F,MATCH(D1487,编号表!$E:$E,0))*10000+INDEX(编号表!$D:$D,MATCH(AG1487,编号表!$C:$C,0))*1000+F1487</f>
        <v>11912083</v>
      </c>
      <c r="C1487" s="14" t="s">
        <v>1980</v>
      </c>
      <c r="D1487" s="14" t="s">
        <v>72</v>
      </c>
      <c r="E1487" s="14" t="s">
        <v>86</v>
      </c>
      <c r="F1487" s="14">
        <v>83</v>
      </c>
      <c r="G1487" s="14">
        <v>60</v>
      </c>
      <c r="H1487" s="14" t="s">
        <v>1400</v>
      </c>
      <c r="I1487" s="14" t="s">
        <v>75</v>
      </c>
      <c r="J1487" s="14" t="s">
        <v>201</v>
      </c>
      <c r="K1487" s="14">
        <v>1</v>
      </c>
      <c r="L1487" s="14" t="s">
        <v>1400</v>
      </c>
      <c r="N1487" s="14">
        <v>0</v>
      </c>
      <c r="O1487" s="14" t="b">
        <v>1</v>
      </c>
      <c r="Q1487" s="14" t="b">
        <v>0</v>
      </c>
      <c r="R1487" s="14">
        <v>1</v>
      </c>
      <c r="S1487" s="14" t="s">
        <v>77</v>
      </c>
      <c r="T1487" s="14">
        <v>999</v>
      </c>
      <c r="U1487" s="14" t="s">
        <v>1401</v>
      </c>
      <c r="V1487" s="14">
        <v>31912083</v>
      </c>
      <c r="X1487" s="14" t="s">
        <v>1981</v>
      </c>
      <c r="Y1487" s="14" t="s">
        <v>215</v>
      </c>
      <c r="Z1487" s="14">
        <v>20250</v>
      </c>
      <c r="AA1487" s="14" t="s">
        <v>1982</v>
      </c>
      <c r="AB1487" s="14">
        <v>40001</v>
      </c>
      <c r="AE1487" s="14" t="s">
        <v>1400</v>
      </c>
      <c r="AF1487" s="14" t="s">
        <v>1400</v>
      </c>
      <c r="AG1487" s="14" t="s">
        <v>86</v>
      </c>
    </row>
    <row r="1488" spans="2:33">
      <c r="B1488" s="14">
        <f>10000000+INDEX(编号表!$B:$B,MATCH(H1488,编号表!$A:$A,0))*100000+INDEX(编号表!$F:$F,MATCH(D1488,编号表!$E:$E,0))*10000+INDEX(编号表!$D:$D,MATCH(AG1488,编号表!$C:$C,0))*1000+F1488</f>
        <v>11922084</v>
      </c>
      <c r="C1488" s="14" t="s">
        <v>1980</v>
      </c>
      <c r="D1488" s="14" t="s">
        <v>112</v>
      </c>
      <c r="E1488" s="14" t="s">
        <v>86</v>
      </c>
      <c r="F1488" s="14">
        <v>84</v>
      </c>
      <c r="G1488" s="14">
        <v>60</v>
      </c>
      <c r="H1488" s="14" t="s">
        <v>1400</v>
      </c>
      <c r="I1488" s="14" t="s">
        <v>75</v>
      </c>
      <c r="J1488" s="14" t="s">
        <v>201</v>
      </c>
      <c r="K1488" s="14">
        <v>1</v>
      </c>
      <c r="L1488" s="14" t="s">
        <v>1400</v>
      </c>
      <c r="N1488" s="14">
        <v>0</v>
      </c>
      <c r="O1488" s="14" t="b">
        <v>1</v>
      </c>
      <c r="Q1488" s="14" t="b">
        <v>0</v>
      </c>
      <c r="R1488" s="14">
        <v>1</v>
      </c>
      <c r="S1488" s="14" t="s">
        <v>77</v>
      </c>
      <c r="T1488" s="14">
        <v>999</v>
      </c>
      <c r="U1488" s="14" t="s">
        <v>1401</v>
      </c>
      <c r="V1488" s="14">
        <v>31922084</v>
      </c>
      <c r="X1488" s="14" t="s">
        <v>1983</v>
      </c>
      <c r="Y1488" s="14" t="s">
        <v>215</v>
      </c>
      <c r="Z1488" s="14">
        <v>20251</v>
      </c>
      <c r="AA1488" s="14" t="s">
        <v>1984</v>
      </c>
      <c r="AB1488" s="14">
        <v>40001</v>
      </c>
      <c r="AE1488" s="14" t="s">
        <v>1400</v>
      </c>
      <c r="AF1488" s="14" t="s">
        <v>1400</v>
      </c>
      <c r="AG1488" s="14" t="s">
        <v>86</v>
      </c>
    </row>
    <row r="1489" spans="2:33">
      <c r="B1489" s="14">
        <f>10000000+INDEX(编号表!$B:$B,MATCH(H1489,编号表!$A:$A,0))*100000+INDEX(编号表!$F:$F,MATCH(D1489,编号表!$E:$E,0))*10000+INDEX(编号表!$D:$D,MATCH(AG1489,编号表!$C:$C,0))*1000+F1489</f>
        <v>11932085</v>
      </c>
      <c r="C1489" s="14" t="s">
        <v>1980</v>
      </c>
      <c r="D1489" s="14" t="s">
        <v>276</v>
      </c>
      <c r="E1489" s="14" t="s">
        <v>86</v>
      </c>
      <c r="F1489" s="14">
        <v>85</v>
      </c>
      <c r="G1489" s="14">
        <v>60</v>
      </c>
      <c r="H1489" s="14" t="s">
        <v>1400</v>
      </c>
      <c r="I1489" s="14" t="s">
        <v>75</v>
      </c>
      <c r="J1489" s="14" t="s">
        <v>201</v>
      </c>
      <c r="K1489" s="14">
        <v>1</v>
      </c>
      <c r="L1489" s="14" t="s">
        <v>1400</v>
      </c>
      <c r="N1489" s="14">
        <v>0</v>
      </c>
      <c r="O1489" s="14" t="b">
        <v>1</v>
      </c>
      <c r="Q1489" s="14" t="b">
        <v>0</v>
      </c>
      <c r="R1489" s="14">
        <v>1</v>
      </c>
      <c r="S1489" s="14" t="s">
        <v>77</v>
      </c>
      <c r="T1489" s="14">
        <v>999</v>
      </c>
      <c r="U1489" s="14" t="s">
        <v>1401</v>
      </c>
      <c r="V1489" s="14">
        <v>31932085</v>
      </c>
      <c r="X1489" s="14" t="s">
        <v>1985</v>
      </c>
      <c r="Y1489" s="14" t="s">
        <v>215</v>
      </c>
      <c r="Z1489" s="14">
        <v>20252</v>
      </c>
      <c r="AA1489" s="14" t="s">
        <v>1986</v>
      </c>
      <c r="AB1489" s="14">
        <v>40001</v>
      </c>
      <c r="AE1489" s="14" t="s">
        <v>1400</v>
      </c>
      <c r="AF1489" s="14" t="s">
        <v>1400</v>
      </c>
      <c r="AG1489" s="14" t="s">
        <v>86</v>
      </c>
    </row>
    <row r="1490" spans="2:33">
      <c r="B1490" s="14">
        <f>10000000+INDEX(编号表!$B:$B,MATCH(H1490,编号表!$A:$A,0))*100000+INDEX(编号表!$F:$F,MATCH(D1490,编号表!$E:$E,0))*10000+INDEX(编号表!$D:$D,MATCH(AG1490,编号表!$C:$C,0))*1000+F1490</f>
        <v>11912084</v>
      </c>
      <c r="C1490" s="14" t="s">
        <v>1987</v>
      </c>
      <c r="D1490" s="14" t="s">
        <v>72</v>
      </c>
      <c r="E1490" s="14" t="s">
        <v>86</v>
      </c>
      <c r="F1490" s="14">
        <v>84</v>
      </c>
      <c r="G1490" s="14">
        <v>60</v>
      </c>
      <c r="H1490" s="14" t="s">
        <v>1400</v>
      </c>
      <c r="I1490" s="14" t="s">
        <v>75</v>
      </c>
      <c r="J1490" s="14" t="s">
        <v>201</v>
      </c>
      <c r="K1490" s="14">
        <v>1</v>
      </c>
      <c r="L1490" s="14" t="s">
        <v>1400</v>
      </c>
      <c r="N1490" s="14">
        <v>0</v>
      </c>
      <c r="O1490" s="14" t="b">
        <v>1</v>
      </c>
      <c r="Q1490" s="14" t="b">
        <v>0</v>
      </c>
      <c r="R1490" s="14">
        <v>1</v>
      </c>
      <c r="S1490" s="14" t="s">
        <v>77</v>
      </c>
      <c r="T1490" s="14">
        <v>999</v>
      </c>
      <c r="U1490" s="14" t="s">
        <v>1401</v>
      </c>
      <c r="V1490" s="14">
        <v>31912084</v>
      </c>
      <c r="X1490" s="14" t="s">
        <v>1988</v>
      </c>
      <c r="Y1490" s="14" t="s">
        <v>215</v>
      </c>
      <c r="Z1490" s="14">
        <v>20253</v>
      </c>
      <c r="AA1490" s="14" t="s">
        <v>1989</v>
      </c>
      <c r="AB1490" s="14">
        <v>40001</v>
      </c>
      <c r="AE1490" s="14" t="s">
        <v>1400</v>
      </c>
      <c r="AF1490" s="14" t="s">
        <v>1400</v>
      </c>
      <c r="AG1490" s="14" t="s">
        <v>86</v>
      </c>
    </row>
    <row r="1491" spans="2:33">
      <c r="B1491" s="14">
        <f>10000000+INDEX(编号表!$B:$B,MATCH(H1491,编号表!$A:$A,0))*100000+INDEX(编号表!$F:$F,MATCH(D1491,编号表!$E:$E,0))*10000+INDEX(编号表!$D:$D,MATCH(AG1491,编号表!$C:$C,0))*1000+F1491</f>
        <v>11922085</v>
      </c>
      <c r="C1491" s="14" t="s">
        <v>1987</v>
      </c>
      <c r="D1491" s="14" t="s">
        <v>112</v>
      </c>
      <c r="E1491" s="14" t="s">
        <v>86</v>
      </c>
      <c r="F1491" s="14">
        <v>85</v>
      </c>
      <c r="G1491" s="14">
        <v>60</v>
      </c>
      <c r="H1491" s="14" t="s">
        <v>1400</v>
      </c>
      <c r="I1491" s="14" t="s">
        <v>75</v>
      </c>
      <c r="J1491" s="14" t="s">
        <v>201</v>
      </c>
      <c r="K1491" s="14">
        <v>1</v>
      </c>
      <c r="L1491" s="14" t="s">
        <v>1400</v>
      </c>
      <c r="N1491" s="14">
        <v>0</v>
      </c>
      <c r="O1491" s="14" t="b">
        <v>1</v>
      </c>
      <c r="Q1491" s="14" t="b">
        <v>0</v>
      </c>
      <c r="R1491" s="14">
        <v>1</v>
      </c>
      <c r="S1491" s="14" t="s">
        <v>77</v>
      </c>
      <c r="T1491" s="14">
        <v>999</v>
      </c>
      <c r="U1491" s="14" t="s">
        <v>1401</v>
      </c>
      <c r="V1491" s="14">
        <v>31922085</v>
      </c>
      <c r="X1491" s="14" t="s">
        <v>1990</v>
      </c>
      <c r="Y1491" s="14" t="s">
        <v>215</v>
      </c>
      <c r="Z1491" s="14">
        <v>20254</v>
      </c>
      <c r="AA1491" s="14" t="s">
        <v>1991</v>
      </c>
      <c r="AB1491" s="14">
        <v>40001</v>
      </c>
      <c r="AE1491" s="14" t="s">
        <v>1400</v>
      </c>
      <c r="AF1491" s="14" t="s">
        <v>1400</v>
      </c>
      <c r="AG1491" s="14" t="s">
        <v>86</v>
      </c>
    </row>
    <row r="1492" spans="2:33">
      <c r="B1492" s="14">
        <f>10000000+INDEX(编号表!$B:$B,MATCH(H1492,编号表!$A:$A,0))*100000+INDEX(编号表!$F:$F,MATCH(D1492,编号表!$E:$E,0))*10000+INDEX(编号表!$D:$D,MATCH(AG1492,编号表!$C:$C,0))*1000+F1492</f>
        <v>11932086</v>
      </c>
      <c r="C1492" s="14" t="s">
        <v>1987</v>
      </c>
      <c r="D1492" s="14" t="s">
        <v>276</v>
      </c>
      <c r="E1492" s="14" t="s">
        <v>86</v>
      </c>
      <c r="F1492" s="14">
        <v>86</v>
      </c>
      <c r="G1492" s="14">
        <v>60</v>
      </c>
      <c r="H1492" s="14" t="s">
        <v>1400</v>
      </c>
      <c r="I1492" s="14" t="s">
        <v>75</v>
      </c>
      <c r="J1492" s="14" t="s">
        <v>201</v>
      </c>
      <c r="K1492" s="14">
        <v>1</v>
      </c>
      <c r="L1492" s="14" t="s">
        <v>1400</v>
      </c>
      <c r="N1492" s="14">
        <v>0</v>
      </c>
      <c r="O1492" s="14" t="b">
        <v>1</v>
      </c>
      <c r="Q1492" s="14" t="b">
        <v>0</v>
      </c>
      <c r="R1492" s="14">
        <v>1</v>
      </c>
      <c r="S1492" s="14" t="s">
        <v>77</v>
      </c>
      <c r="T1492" s="14">
        <v>999</v>
      </c>
      <c r="U1492" s="14" t="s">
        <v>1401</v>
      </c>
      <c r="V1492" s="14">
        <v>31932086</v>
      </c>
      <c r="X1492" s="14" t="s">
        <v>1992</v>
      </c>
      <c r="Y1492" s="14" t="s">
        <v>215</v>
      </c>
      <c r="Z1492" s="14">
        <v>20255</v>
      </c>
      <c r="AA1492" s="14" t="s">
        <v>1993</v>
      </c>
      <c r="AB1492" s="14">
        <v>40001</v>
      </c>
      <c r="AE1492" s="14" t="s">
        <v>1400</v>
      </c>
      <c r="AF1492" s="14" t="s">
        <v>1400</v>
      </c>
      <c r="AG1492" s="14" t="s">
        <v>86</v>
      </c>
    </row>
    <row r="1493" spans="2:33">
      <c r="B1493" s="14">
        <f>10000000+INDEX(编号表!$B:$B,MATCH(H1493,编号表!$A:$A,0))*100000+INDEX(编号表!$F:$F,MATCH(D1493,编号表!$E:$E,0))*10000+INDEX(编号表!$D:$D,MATCH(AG1493,编号表!$C:$C,0))*1000+F1493</f>
        <v>11912085</v>
      </c>
      <c r="C1493" s="14" t="s">
        <v>1994</v>
      </c>
      <c r="D1493" s="14" t="s">
        <v>72</v>
      </c>
      <c r="E1493" s="14" t="s">
        <v>86</v>
      </c>
      <c r="F1493" s="14">
        <v>85</v>
      </c>
      <c r="G1493" s="14">
        <v>60</v>
      </c>
      <c r="H1493" s="14" t="s">
        <v>1400</v>
      </c>
      <c r="I1493" s="14" t="s">
        <v>75</v>
      </c>
      <c r="J1493" s="14" t="s">
        <v>201</v>
      </c>
      <c r="K1493" s="14">
        <v>1</v>
      </c>
      <c r="L1493" s="14" t="s">
        <v>1400</v>
      </c>
      <c r="N1493" s="14">
        <v>0</v>
      </c>
      <c r="O1493" s="14" t="b">
        <v>1</v>
      </c>
      <c r="Q1493" s="14" t="b">
        <v>0</v>
      </c>
      <c r="R1493" s="14">
        <v>1</v>
      </c>
      <c r="S1493" s="14" t="s">
        <v>77</v>
      </c>
      <c r="T1493" s="14">
        <v>999</v>
      </c>
      <c r="U1493" s="14" t="s">
        <v>1401</v>
      </c>
      <c r="V1493" s="14">
        <v>31912085</v>
      </c>
      <c r="X1493" s="14" t="s">
        <v>1995</v>
      </c>
      <c r="Y1493" s="14" t="s">
        <v>215</v>
      </c>
      <c r="Z1493" s="14">
        <v>20256</v>
      </c>
      <c r="AA1493" s="14" t="s">
        <v>1996</v>
      </c>
      <c r="AB1493" s="14">
        <v>40001</v>
      </c>
      <c r="AE1493" s="14" t="s">
        <v>1400</v>
      </c>
      <c r="AF1493" s="14" t="s">
        <v>1400</v>
      </c>
      <c r="AG1493" s="14" t="s">
        <v>86</v>
      </c>
    </row>
    <row r="1494" spans="2:33">
      <c r="B1494" s="14">
        <f>10000000+INDEX(编号表!$B:$B,MATCH(H1494,编号表!$A:$A,0))*100000+INDEX(编号表!$F:$F,MATCH(D1494,编号表!$E:$E,0))*10000+INDEX(编号表!$D:$D,MATCH(AG1494,编号表!$C:$C,0))*1000+F1494</f>
        <v>11922086</v>
      </c>
      <c r="C1494" s="14" t="s">
        <v>1994</v>
      </c>
      <c r="D1494" s="14" t="s">
        <v>112</v>
      </c>
      <c r="E1494" s="14" t="s">
        <v>86</v>
      </c>
      <c r="F1494" s="14">
        <v>86</v>
      </c>
      <c r="G1494" s="14">
        <v>60</v>
      </c>
      <c r="H1494" s="14" t="s">
        <v>1400</v>
      </c>
      <c r="I1494" s="14" t="s">
        <v>75</v>
      </c>
      <c r="J1494" s="14" t="s">
        <v>201</v>
      </c>
      <c r="K1494" s="14">
        <v>1</v>
      </c>
      <c r="L1494" s="14" t="s">
        <v>1400</v>
      </c>
      <c r="N1494" s="14">
        <v>0</v>
      </c>
      <c r="O1494" s="14" t="b">
        <v>1</v>
      </c>
      <c r="Q1494" s="14" t="b">
        <v>0</v>
      </c>
      <c r="R1494" s="14">
        <v>1</v>
      </c>
      <c r="S1494" s="14" t="s">
        <v>77</v>
      </c>
      <c r="T1494" s="14">
        <v>999</v>
      </c>
      <c r="U1494" s="14" t="s">
        <v>1401</v>
      </c>
      <c r="V1494" s="14">
        <v>31922086</v>
      </c>
      <c r="X1494" s="14" t="s">
        <v>1997</v>
      </c>
      <c r="Y1494" s="14" t="s">
        <v>215</v>
      </c>
      <c r="Z1494" s="14">
        <v>20257</v>
      </c>
      <c r="AA1494" s="14" t="s">
        <v>1998</v>
      </c>
      <c r="AB1494" s="14">
        <v>40001</v>
      </c>
      <c r="AE1494" s="14" t="s">
        <v>1400</v>
      </c>
      <c r="AF1494" s="14" t="s">
        <v>1400</v>
      </c>
      <c r="AG1494" s="14" t="s">
        <v>86</v>
      </c>
    </row>
    <row r="1495" spans="2:33">
      <c r="B1495" s="14">
        <f>10000000+INDEX(编号表!$B:$B,MATCH(H1495,编号表!$A:$A,0))*100000+INDEX(编号表!$F:$F,MATCH(D1495,编号表!$E:$E,0))*10000+INDEX(编号表!$D:$D,MATCH(AG1495,编号表!$C:$C,0))*1000+F1495</f>
        <v>11932087</v>
      </c>
      <c r="C1495" s="14" t="s">
        <v>1994</v>
      </c>
      <c r="D1495" s="14" t="s">
        <v>276</v>
      </c>
      <c r="E1495" s="14" t="s">
        <v>86</v>
      </c>
      <c r="F1495" s="14">
        <v>87</v>
      </c>
      <c r="G1495" s="14">
        <v>60</v>
      </c>
      <c r="H1495" s="14" t="s">
        <v>1400</v>
      </c>
      <c r="I1495" s="14" t="s">
        <v>75</v>
      </c>
      <c r="J1495" s="14" t="s">
        <v>201</v>
      </c>
      <c r="K1495" s="14">
        <v>1</v>
      </c>
      <c r="L1495" s="14" t="s">
        <v>1400</v>
      </c>
      <c r="N1495" s="14">
        <v>0</v>
      </c>
      <c r="O1495" s="14" t="b">
        <v>1</v>
      </c>
      <c r="Q1495" s="14" t="b">
        <v>0</v>
      </c>
      <c r="R1495" s="14">
        <v>1</v>
      </c>
      <c r="S1495" s="14" t="s">
        <v>77</v>
      </c>
      <c r="T1495" s="14">
        <v>999</v>
      </c>
      <c r="U1495" s="14" t="s">
        <v>1401</v>
      </c>
      <c r="V1495" s="14">
        <v>31932087</v>
      </c>
      <c r="X1495" s="14" t="s">
        <v>1999</v>
      </c>
      <c r="Y1495" s="14" t="s">
        <v>215</v>
      </c>
      <c r="Z1495" s="14">
        <v>20258</v>
      </c>
      <c r="AA1495" s="14" t="s">
        <v>2000</v>
      </c>
      <c r="AB1495" s="14">
        <v>40001</v>
      </c>
      <c r="AE1495" s="14" t="s">
        <v>1400</v>
      </c>
      <c r="AF1495" s="14" t="s">
        <v>1400</v>
      </c>
      <c r="AG1495" s="14" t="s">
        <v>86</v>
      </c>
    </row>
    <row r="1496" spans="2:33">
      <c r="B1496" s="14">
        <f>10000000+INDEX(编号表!$B:$B,MATCH(H1496,编号表!$A:$A,0))*100000+INDEX(编号表!$F:$F,MATCH(D1496,编号表!$E:$E,0))*10000+INDEX(编号表!$D:$D,MATCH(AG1496,编号表!$C:$C,0))*1000+F1496</f>
        <v>11912086</v>
      </c>
      <c r="C1496" s="14" t="s">
        <v>2001</v>
      </c>
      <c r="D1496" s="14" t="s">
        <v>72</v>
      </c>
      <c r="E1496" s="14" t="s">
        <v>86</v>
      </c>
      <c r="F1496" s="14">
        <v>86</v>
      </c>
      <c r="G1496" s="14">
        <v>60</v>
      </c>
      <c r="H1496" s="14" t="s">
        <v>1400</v>
      </c>
      <c r="I1496" s="14" t="s">
        <v>75</v>
      </c>
      <c r="J1496" s="14" t="s">
        <v>201</v>
      </c>
      <c r="K1496" s="14">
        <v>1</v>
      </c>
      <c r="L1496" s="14" t="s">
        <v>1400</v>
      </c>
      <c r="N1496" s="14">
        <v>0</v>
      </c>
      <c r="O1496" s="14" t="b">
        <v>1</v>
      </c>
      <c r="Q1496" s="14" t="b">
        <v>0</v>
      </c>
      <c r="R1496" s="14">
        <v>1</v>
      </c>
      <c r="S1496" s="14" t="s">
        <v>77</v>
      </c>
      <c r="T1496" s="14">
        <v>999</v>
      </c>
      <c r="U1496" s="14" t="s">
        <v>1401</v>
      </c>
      <c r="V1496" s="14">
        <v>31912086</v>
      </c>
      <c r="X1496" s="14" t="s">
        <v>2002</v>
      </c>
      <c r="Y1496" s="14" t="s">
        <v>215</v>
      </c>
      <c r="Z1496" s="14">
        <v>20259</v>
      </c>
      <c r="AA1496" s="14" t="s">
        <v>2003</v>
      </c>
      <c r="AB1496" s="14">
        <v>40001</v>
      </c>
      <c r="AE1496" s="14" t="s">
        <v>1400</v>
      </c>
      <c r="AF1496" s="14" t="s">
        <v>1400</v>
      </c>
      <c r="AG1496" s="14" t="s">
        <v>86</v>
      </c>
    </row>
    <row r="1497" spans="2:33">
      <c r="B1497" s="14">
        <f>10000000+INDEX(编号表!$B:$B,MATCH(H1497,编号表!$A:$A,0))*100000+INDEX(编号表!$F:$F,MATCH(D1497,编号表!$E:$E,0))*10000+INDEX(编号表!$D:$D,MATCH(AG1497,编号表!$C:$C,0))*1000+F1497</f>
        <v>11922087</v>
      </c>
      <c r="C1497" s="14" t="s">
        <v>2001</v>
      </c>
      <c r="D1497" s="14" t="s">
        <v>112</v>
      </c>
      <c r="E1497" s="14" t="s">
        <v>86</v>
      </c>
      <c r="F1497" s="14">
        <v>87</v>
      </c>
      <c r="G1497" s="14">
        <v>60</v>
      </c>
      <c r="H1497" s="14" t="s">
        <v>1400</v>
      </c>
      <c r="I1497" s="14" t="s">
        <v>75</v>
      </c>
      <c r="J1497" s="14" t="s">
        <v>201</v>
      </c>
      <c r="K1497" s="14">
        <v>1</v>
      </c>
      <c r="L1497" s="14" t="s">
        <v>1400</v>
      </c>
      <c r="N1497" s="14">
        <v>0</v>
      </c>
      <c r="O1497" s="14" t="b">
        <v>1</v>
      </c>
      <c r="Q1497" s="14" t="b">
        <v>0</v>
      </c>
      <c r="R1497" s="14">
        <v>1</v>
      </c>
      <c r="S1497" s="14" t="s">
        <v>77</v>
      </c>
      <c r="T1497" s="14">
        <v>999</v>
      </c>
      <c r="U1497" s="14" t="s">
        <v>1401</v>
      </c>
      <c r="V1497" s="14">
        <v>31922087</v>
      </c>
      <c r="X1497" s="14" t="s">
        <v>2004</v>
      </c>
      <c r="Y1497" s="14" t="s">
        <v>215</v>
      </c>
      <c r="Z1497" s="14">
        <v>20260</v>
      </c>
      <c r="AA1497" s="14" t="s">
        <v>2005</v>
      </c>
      <c r="AB1497" s="14">
        <v>40001</v>
      </c>
      <c r="AE1497" s="14" t="s">
        <v>1400</v>
      </c>
      <c r="AF1497" s="14" t="s">
        <v>1400</v>
      </c>
      <c r="AG1497" s="14" t="s">
        <v>86</v>
      </c>
    </row>
    <row r="1498" spans="2:33">
      <c r="B1498" s="14">
        <f>10000000+INDEX(编号表!$B:$B,MATCH(H1498,编号表!$A:$A,0))*100000+INDEX(编号表!$F:$F,MATCH(D1498,编号表!$E:$E,0))*10000+INDEX(编号表!$D:$D,MATCH(AG1498,编号表!$C:$C,0))*1000+F1498</f>
        <v>11932088</v>
      </c>
      <c r="C1498" s="14" t="s">
        <v>2001</v>
      </c>
      <c r="D1498" s="14" t="s">
        <v>276</v>
      </c>
      <c r="E1498" s="14" t="s">
        <v>86</v>
      </c>
      <c r="F1498" s="14">
        <v>88</v>
      </c>
      <c r="G1498" s="14">
        <v>60</v>
      </c>
      <c r="H1498" s="14" t="s">
        <v>1400</v>
      </c>
      <c r="I1498" s="14" t="s">
        <v>75</v>
      </c>
      <c r="J1498" s="14" t="s">
        <v>201</v>
      </c>
      <c r="K1498" s="14">
        <v>1</v>
      </c>
      <c r="L1498" s="14" t="s">
        <v>1400</v>
      </c>
      <c r="N1498" s="14">
        <v>0</v>
      </c>
      <c r="O1498" s="14" t="b">
        <v>1</v>
      </c>
      <c r="Q1498" s="14" t="b">
        <v>0</v>
      </c>
      <c r="R1498" s="14">
        <v>1</v>
      </c>
      <c r="S1498" s="14" t="s">
        <v>77</v>
      </c>
      <c r="T1498" s="14">
        <v>999</v>
      </c>
      <c r="U1498" s="14" t="s">
        <v>1401</v>
      </c>
      <c r="V1498" s="14">
        <v>31932088</v>
      </c>
      <c r="X1498" s="14" t="s">
        <v>2006</v>
      </c>
      <c r="Y1498" s="14" t="s">
        <v>215</v>
      </c>
      <c r="Z1498" s="14">
        <v>20261</v>
      </c>
      <c r="AA1498" s="14" t="s">
        <v>2007</v>
      </c>
      <c r="AB1498" s="14">
        <v>40001</v>
      </c>
      <c r="AE1498" s="14" t="s">
        <v>1400</v>
      </c>
      <c r="AF1498" s="14" t="s">
        <v>1400</v>
      </c>
      <c r="AG1498" s="14" t="s">
        <v>86</v>
      </c>
    </row>
    <row r="1499" spans="2:33">
      <c r="B1499" s="14">
        <f>10000000+INDEX(编号表!$B:$B,MATCH(H1499,编号表!$A:$A,0))*100000+INDEX(编号表!$F:$F,MATCH(D1499,编号表!$E:$E,0))*10000+INDEX(编号表!$D:$D,MATCH(AG1499,编号表!$C:$C,0))*1000+F1499</f>
        <v>11912087</v>
      </c>
      <c r="C1499" s="14" t="s">
        <v>2008</v>
      </c>
      <c r="D1499" s="14" t="s">
        <v>72</v>
      </c>
      <c r="E1499" s="14" t="s">
        <v>86</v>
      </c>
      <c r="F1499" s="14">
        <v>87</v>
      </c>
      <c r="G1499" s="14">
        <v>60</v>
      </c>
      <c r="H1499" s="14" t="s">
        <v>1400</v>
      </c>
      <c r="I1499" s="14" t="s">
        <v>75</v>
      </c>
      <c r="J1499" s="14" t="s">
        <v>201</v>
      </c>
      <c r="K1499" s="14">
        <v>1</v>
      </c>
      <c r="L1499" s="14" t="s">
        <v>1400</v>
      </c>
      <c r="N1499" s="14">
        <v>0</v>
      </c>
      <c r="O1499" s="14" t="b">
        <v>1</v>
      </c>
      <c r="Q1499" s="14" t="b">
        <v>0</v>
      </c>
      <c r="R1499" s="14">
        <v>1</v>
      </c>
      <c r="S1499" s="14" t="s">
        <v>77</v>
      </c>
      <c r="T1499" s="14">
        <v>999</v>
      </c>
      <c r="U1499" s="14" t="s">
        <v>1401</v>
      </c>
      <c r="V1499" s="14">
        <v>31912087</v>
      </c>
      <c r="X1499" s="14" t="s">
        <v>2009</v>
      </c>
      <c r="Y1499" s="14" t="s">
        <v>215</v>
      </c>
      <c r="Z1499" s="14">
        <v>20262</v>
      </c>
      <c r="AA1499" s="14" t="s">
        <v>2010</v>
      </c>
      <c r="AB1499" s="14">
        <v>40001</v>
      </c>
      <c r="AE1499" s="14" t="s">
        <v>1400</v>
      </c>
      <c r="AF1499" s="14" t="s">
        <v>1400</v>
      </c>
      <c r="AG1499" s="14" t="s">
        <v>86</v>
      </c>
    </row>
    <row r="1500" spans="2:33">
      <c r="B1500" s="14">
        <f>10000000+INDEX(编号表!$B:$B,MATCH(H1500,编号表!$A:$A,0))*100000+INDEX(编号表!$F:$F,MATCH(D1500,编号表!$E:$E,0))*10000+INDEX(编号表!$D:$D,MATCH(AG1500,编号表!$C:$C,0))*1000+F1500</f>
        <v>11922088</v>
      </c>
      <c r="C1500" s="14" t="s">
        <v>2008</v>
      </c>
      <c r="D1500" s="14" t="s">
        <v>112</v>
      </c>
      <c r="E1500" s="14" t="s">
        <v>86</v>
      </c>
      <c r="F1500" s="14">
        <v>88</v>
      </c>
      <c r="G1500" s="14">
        <v>60</v>
      </c>
      <c r="H1500" s="14" t="s">
        <v>1400</v>
      </c>
      <c r="I1500" s="14" t="s">
        <v>75</v>
      </c>
      <c r="J1500" s="14" t="s">
        <v>201</v>
      </c>
      <c r="K1500" s="14">
        <v>1</v>
      </c>
      <c r="L1500" s="14" t="s">
        <v>1400</v>
      </c>
      <c r="N1500" s="14">
        <v>0</v>
      </c>
      <c r="O1500" s="14" t="b">
        <v>1</v>
      </c>
      <c r="Q1500" s="14" t="b">
        <v>0</v>
      </c>
      <c r="R1500" s="14">
        <v>1</v>
      </c>
      <c r="S1500" s="14" t="s">
        <v>77</v>
      </c>
      <c r="T1500" s="14">
        <v>999</v>
      </c>
      <c r="U1500" s="14" t="s">
        <v>1401</v>
      </c>
      <c r="V1500" s="14">
        <v>31922088</v>
      </c>
      <c r="X1500" s="14" t="s">
        <v>2011</v>
      </c>
      <c r="Y1500" s="14" t="s">
        <v>215</v>
      </c>
      <c r="Z1500" s="14">
        <v>20263</v>
      </c>
      <c r="AA1500" s="14" t="s">
        <v>2012</v>
      </c>
      <c r="AB1500" s="14">
        <v>40001</v>
      </c>
      <c r="AE1500" s="14" t="s">
        <v>1400</v>
      </c>
      <c r="AF1500" s="14" t="s">
        <v>1400</v>
      </c>
      <c r="AG1500" s="14" t="s">
        <v>86</v>
      </c>
    </row>
    <row r="1501" spans="2:33">
      <c r="B1501" s="14">
        <f>10000000+INDEX(编号表!$B:$B,MATCH(H1501,编号表!$A:$A,0))*100000+INDEX(编号表!$F:$F,MATCH(D1501,编号表!$E:$E,0))*10000+INDEX(编号表!$D:$D,MATCH(AG1501,编号表!$C:$C,0))*1000+F1501</f>
        <v>11932089</v>
      </c>
      <c r="C1501" s="14" t="s">
        <v>2008</v>
      </c>
      <c r="D1501" s="14" t="s">
        <v>276</v>
      </c>
      <c r="E1501" s="14" t="s">
        <v>86</v>
      </c>
      <c r="F1501" s="14">
        <v>89</v>
      </c>
      <c r="G1501" s="14">
        <v>60</v>
      </c>
      <c r="H1501" s="14" t="s">
        <v>1400</v>
      </c>
      <c r="I1501" s="14" t="s">
        <v>75</v>
      </c>
      <c r="J1501" s="14" t="s">
        <v>201</v>
      </c>
      <c r="K1501" s="14">
        <v>1</v>
      </c>
      <c r="L1501" s="14" t="s">
        <v>1400</v>
      </c>
      <c r="N1501" s="14">
        <v>0</v>
      </c>
      <c r="O1501" s="14" t="b">
        <v>1</v>
      </c>
      <c r="Q1501" s="14" t="b">
        <v>0</v>
      </c>
      <c r="R1501" s="14">
        <v>1</v>
      </c>
      <c r="S1501" s="14" t="s">
        <v>77</v>
      </c>
      <c r="T1501" s="14">
        <v>999</v>
      </c>
      <c r="U1501" s="14" t="s">
        <v>1401</v>
      </c>
      <c r="V1501" s="14">
        <v>31932089</v>
      </c>
      <c r="X1501" s="14" t="s">
        <v>2013</v>
      </c>
      <c r="Y1501" s="14" t="s">
        <v>215</v>
      </c>
      <c r="Z1501" s="14">
        <v>20264</v>
      </c>
      <c r="AA1501" s="14" t="s">
        <v>2014</v>
      </c>
      <c r="AB1501" s="14">
        <v>40001</v>
      </c>
      <c r="AE1501" s="14" t="s">
        <v>1400</v>
      </c>
      <c r="AF1501" s="14" t="s">
        <v>1400</v>
      </c>
      <c r="AG1501" s="14" t="s">
        <v>86</v>
      </c>
    </row>
    <row r="1502" spans="2:33">
      <c r="B1502" s="14">
        <f>10000000+INDEX(编号表!$B:$B,MATCH(H1502,编号表!$A:$A,0))*100000+INDEX(编号表!$F:$F,MATCH(D1502,编号表!$E:$E,0))*10000+INDEX(编号表!$D:$D,MATCH(AG1502,编号表!$C:$C,0))*1000+F1502</f>
        <v>11912088</v>
      </c>
      <c r="C1502" s="14" t="s">
        <v>2015</v>
      </c>
      <c r="D1502" s="14" t="s">
        <v>72</v>
      </c>
      <c r="E1502" s="14" t="s">
        <v>86</v>
      </c>
      <c r="F1502" s="14">
        <v>88</v>
      </c>
      <c r="G1502" s="14">
        <v>60</v>
      </c>
      <c r="H1502" s="14" t="s">
        <v>1400</v>
      </c>
      <c r="I1502" s="14" t="s">
        <v>75</v>
      </c>
      <c r="J1502" s="14" t="s">
        <v>201</v>
      </c>
      <c r="K1502" s="14">
        <v>1</v>
      </c>
      <c r="L1502" s="14" t="s">
        <v>1400</v>
      </c>
      <c r="N1502" s="14">
        <v>0</v>
      </c>
      <c r="O1502" s="14" t="b">
        <v>1</v>
      </c>
      <c r="Q1502" s="14" t="b">
        <v>0</v>
      </c>
      <c r="R1502" s="14">
        <v>1</v>
      </c>
      <c r="S1502" s="14" t="s">
        <v>77</v>
      </c>
      <c r="T1502" s="14">
        <v>999</v>
      </c>
      <c r="U1502" s="14" t="s">
        <v>1401</v>
      </c>
      <c r="V1502" s="14">
        <v>31912088</v>
      </c>
      <c r="X1502" s="14" t="s">
        <v>2016</v>
      </c>
      <c r="Y1502" s="14" t="s">
        <v>215</v>
      </c>
      <c r="Z1502" s="14">
        <v>20265</v>
      </c>
      <c r="AA1502" s="14" t="s">
        <v>2017</v>
      </c>
      <c r="AB1502" s="14">
        <v>40001</v>
      </c>
      <c r="AE1502" s="14" t="s">
        <v>1400</v>
      </c>
      <c r="AF1502" s="14" t="s">
        <v>1400</v>
      </c>
      <c r="AG1502" s="14" t="s">
        <v>86</v>
      </c>
    </row>
    <row r="1503" spans="2:33">
      <c r="B1503" s="14">
        <f>10000000+INDEX(编号表!$B:$B,MATCH(H1503,编号表!$A:$A,0))*100000+INDEX(编号表!$F:$F,MATCH(D1503,编号表!$E:$E,0))*10000+INDEX(编号表!$D:$D,MATCH(AG1503,编号表!$C:$C,0))*1000+F1503</f>
        <v>11922089</v>
      </c>
      <c r="C1503" s="14" t="s">
        <v>2015</v>
      </c>
      <c r="D1503" s="14" t="s">
        <v>112</v>
      </c>
      <c r="E1503" s="14" t="s">
        <v>86</v>
      </c>
      <c r="F1503" s="14">
        <v>89</v>
      </c>
      <c r="G1503" s="14">
        <v>60</v>
      </c>
      <c r="H1503" s="14" t="s">
        <v>1400</v>
      </c>
      <c r="I1503" s="14" t="s">
        <v>75</v>
      </c>
      <c r="J1503" s="14" t="s">
        <v>201</v>
      </c>
      <c r="K1503" s="14">
        <v>1</v>
      </c>
      <c r="L1503" s="14" t="s">
        <v>1400</v>
      </c>
      <c r="N1503" s="14">
        <v>0</v>
      </c>
      <c r="O1503" s="14" t="b">
        <v>1</v>
      </c>
      <c r="Q1503" s="14" t="b">
        <v>0</v>
      </c>
      <c r="R1503" s="14">
        <v>1</v>
      </c>
      <c r="S1503" s="14" t="s">
        <v>77</v>
      </c>
      <c r="T1503" s="14">
        <v>999</v>
      </c>
      <c r="U1503" s="14" t="s">
        <v>1401</v>
      </c>
      <c r="V1503" s="14">
        <v>31922089</v>
      </c>
      <c r="X1503" s="14" t="s">
        <v>2018</v>
      </c>
      <c r="Y1503" s="14" t="s">
        <v>215</v>
      </c>
      <c r="Z1503" s="14">
        <v>20266</v>
      </c>
      <c r="AA1503" s="14" t="s">
        <v>2019</v>
      </c>
      <c r="AB1503" s="14">
        <v>40001</v>
      </c>
      <c r="AE1503" s="14" t="s">
        <v>1400</v>
      </c>
      <c r="AF1503" s="14" t="s">
        <v>1400</v>
      </c>
      <c r="AG1503" s="14" t="s">
        <v>86</v>
      </c>
    </row>
    <row r="1504" spans="2:33">
      <c r="B1504" s="14">
        <f>10000000+INDEX(编号表!$B:$B,MATCH(H1504,编号表!$A:$A,0))*100000+INDEX(编号表!$F:$F,MATCH(D1504,编号表!$E:$E,0))*10000+INDEX(编号表!$D:$D,MATCH(AG1504,编号表!$C:$C,0))*1000+F1504</f>
        <v>11932090</v>
      </c>
      <c r="C1504" s="14" t="s">
        <v>2015</v>
      </c>
      <c r="D1504" s="14" t="s">
        <v>276</v>
      </c>
      <c r="E1504" s="14" t="s">
        <v>86</v>
      </c>
      <c r="F1504" s="14">
        <v>90</v>
      </c>
      <c r="G1504" s="14">
        <v>60</v>
      </c>
      <c r="H1504" s="14" t="s">
        <v>1400</v>
      </c>
      <c r="I1504" s="14" t="s">
        <v>75</v>
      </c>
      <c r="J1504" s="14" t="s">
        <v>201</v>
      </c>
      <c r="K1504" s="14">
        <v>1</v>
      </c>
      <c r="L1504" s="14" t="s">
        <v>1400</v>
      </c>
      <c r="N1504" s="14">
        <v>0</v>
      </c>
      <c r="O1504" s="14" t="b">
        <v>1</v>
      </c>
      <c r="Q1504" s="14" t="b">
        <v>0</v>
      </c>
      <c r="R1504" s="14">
        <v>1</v>
      </c>
      <c r="S1504" s="14" t="s">
        <v>77</v>
      </c>
      <c r="T1504" s="14">
        <v>999</v>
      </c>
      <c r="U1504" s="14" t="s">
        <v>1401</v>
      </c>
      <c r="V1504" s="14">
        <v>31932090</v>
      </c>
      <c r="X1504" s="14" t="s">
        <v>2020</v>
      </c>
      <c r="Y1504" s="14" t="s">
        <v>215</v>
      </c>
      <c r="Z1504" s="14">
        <v>20267</v>
      </c>
      <c r="AA1504" s="14" t="s">
        <v>2021</v>
      </c>
      <c r="AB1504" s="14">
        <v>40001</v>
      </c>
      <c r="AE1504" s="14" t="s">
        <v>1400</v>
      </c>
      <c r="AF1504" s="14" t="s">
        <v>1400</v>
      </c>
      <c r="AG1504" s="14" t="s">
        <v>86</v>
      </c>
    </row>
    <row r="1505" spans="2:33">
      <c r="B1505" s="14">
        <f>10000000+INDEX(编号表!$B:$B,MATCH(H1505,编号表!$A:$A,0))*100000+INDEX(编号表!$F:$F,MATCH(D1505,编号表!$E:$E,0))*10000+INDEX(编号表!$D:$D,MATCH(AG1505,编号表!$C:$C,0))*1000+F1505</f>
        <v>11912089</v>
      </c>
      <c r="C1505" s="14" t="s">
        <v>2022</v>
      </c>
      <c r="D1505" s="14" t="s">
        <v>72</v>
      </c>
      <c r="E1505" s="14" t="s">
        <v>86</v>
      </c>
      <c r="F1505" s="14">
        <v>89</v>
      </c>
      <c r="G1505" s="14">
        <v>60</v>
      </c>
      <c r="H1505" s="14" t="s">
        <v>1400</v>
      </c>
      <c r="I1505" s="14" t="s">
        <v>75</v>
      </c>
      <c r="J1505" s="14" t="s">
        <v>201</v>
      </c>
      <c r="K1505" s="14">
        <v>1</v>
      </c>
      <c r="L1505" s="14" t="s">
        <v>1400</v>
      </c>
      <c r="N1505" s="14">
        <v>0</v>
      </c>
      <c r="O1505" s="14" t="b">
        <v>1</v>
      </c>
      <c r="Q1505" s="14" t="b">
        <v>0</v>
      </c>
      <c r="R1505" s="14">
        <v>1</v>
      </c>
      <c r="S1505" s="14" t="s">
        <v>77</v>
      </c>
      <c r="T1505" s="14">
        <v>999</v>
      </c>
      <c r="U1505" s="14" t="s">
        <v>1401</v>
      </c>
      <c r="V1505" s="14">
        <v>31912089</v>
      </c>
      <c r="X1505" s="14" t="s">
        <v>2023</v>
      </c>
      <c r="Y1505" s="14" t="s">
        <v>215</v>
      </c>
      <c r="Z1505" s="14">
        <v>20268</v>
      </c>
      <c r="AA1505" s="14" t="s">
        <v>2024</v>
      </c>
      <c r="AB1505" s="14">
        <v>40001</v>
      </c>
      <c r="AE1505" s="14" t="s">
        <v>1400</v>
      </c>
      <c r="AF1505" s="14" t="s">
        <v>1400</v>
      </c>
      <c r="AG1505" s="14" t="s">
        <v>86</v>
      </c>
    </row>
    <row r="1506" spans="2:33">
      <c r="B1506" s="14">
        <f>10000000+INDEX(编号表!$B:$B,MATCH(H1506,编号表!$A:$A,0))*100000+INDEX(编号表!$F:$F,MATCH(D1506,编号表!$E:$E,0))*10000+INDEX(编号表!$D:$D,MATCH(AG1506,编号表!$C:$C,0))*1000+F1506</f>
        <v>11922090</v>
      </c>
      <c r="C1506" s="14" t="s">
        <v>2022</v>
      </c>
      <c r="D1506" s="14" t="s">
        <v>112</v>
      </c>
      <c r="E1506" s="14" t="s">
        <v>86</v>
      </c>
      <c r="F1506" s="14">
        <v>90</v>
      </c>
      <c r="G1506" s="14">
        <v>60</v>
      </c>
      <c r="H1506" s="14" t="s">
        <v>1400</v>
      </c>
      <c r="I1506" s="14" t="s">
        <v>75</v>
      </c>
      <c r="J1506" s="14" t="s">
        <v>201</v>
      </c>
      <c r="K1506" s="14">
        <v>1</v>
      </c>
      <c r="L1506" s="14" t="s">
        <v>1400</v>
      </c>
      <c r="N1506" s="14">
        <v>0</v>
      </c>
      <c r="O1506" s="14" t="b">
        <v>1</v>
      </c>
      <c r="Q1506" s="14" t="b">
        <v>0</v>
      </c>
      <c r="R1506" s="14">
        <v>1</v>
      </c>
      <c r="S1506" s="14" t="s">
        <v>77</v>
      </c>
      <c r="T1506" s="14">
        <v>999</v>
      </c>
      <c r="U1506" s="14" t="s">
        <v>1401</v>
      </c>
      <c r="V1506" s="14">
        <v>31922090</v>
      </c>
      <c r="X1506" s="14" t="s">
        <v>2025</v>
      </c>
      <c r="Y1506" s="14" t="s">
        <v>215</v>
      </c>
      <c r="Z1506" s="14">
        <v>20269</v>
      </c>
      <c r="AA1506" s="14" t="s">
        <v>2026</v>
      </c>
      <c r="AB1506" s="14">
        <v>40001</v>
      </c>
      <c r="AE1506" s="14" t="s">
        <v>1400</v>
      </c>
      <c r="AF1506" s="14" t="s">
        <v>1400</v>
      </c>
      <c r="AG1506" s="14" t="s">
        <v>86</v>
      </c>
    </row>
    <row r="1507" spans="2:33">
      <c r="B1507" s="14">
        <f>10000000+INDEX(编号表!$B:$B,MATCH(H1507,编号表!$A:$A,0))*100000+INDEX(编号表!$F:$F,MATCH(D1507,编号表!$E:$E,0))*10000+INDEX(编号表!$D:$D,MATCH(AG1507,编号表!$C:$C,0))*1000+F1507</f>
        <v>11932091</v>
      </c>
      <c r="C1507" s="14" t="s">
        <v>2022</v>
      </c>
      <c r="D1507" s="14" t="s">
        <v>276</v>
      </c>
      <c r="E1507" s="14" t="s">
        <v>86</v>
      </c>
      <c r="F1507" s="14">
        <v>91</v>
      </c>
      <c r="G1507" s="14">
        <v>60</v>
      </c>
      <c r="H1507" s="14" t="s">
        <v>1400</v>
      </c>
      <c r="I1507" s="14" t="s">
        <v>75</v>
      </c>
      <c r="J1507" s="14" t="s">
        <v>201</v>
      </c>
      <c r="K1507" s="14">
        <v>1</v>
      </c>
      <c r="L1507" s="14" t="s">
        <v>1400</v>
      </c>
      <c r="N1507" s="14">
        <v>0</v>
      </c>
      <c r="O1507" s="14" t="b">
        <v>1</v>
      </c>
      <c r="Q1507" s="14" t="b">
        <v>0</v>
      </c>
      <c r="R1507" s="14">
        <v>1</v>
      </c>
      <c r="S1507" s="14" t="s">
        <v>77</v>
      </c>
      <c r="T1507" s="14">
        <v>999</v>
      </c>
      <c r="U1507" s="14" t="s">
        <v>1401</v>
      </c>
      <c r="V1507" s="14">
        <v>31932091</v>
      </c>
      <c r="X1507" s="14" t="s">
        <v>2027</v>
      </c>
      <c r="Y1507" s="14" t="s">
        <v>215</v>
      </c>
      <c r="Z1507" s="14">
        <v>20270</v>
      </c>
      <c r="AA1507" s="14" t="s">
        <v>2028</v>
      </c>
      <c r="AB1507" s="14">
        <v>40001</v>
      </c>
      <c r="AE1507" s="14" t="s">
        <v>1400</v>
      </c>
      <c r="AF1507" s="14" t="s">
        <v>1400</v>
      </c>
      <c r="AG1507" s="14" t="s">
        <v>86</v>
      </c>
    </row>
    <row r="1508" spans="2:33">
      <c r="B1508" s="14">
        <f>10000000+INDEX(编号表!$B:$B,MATCH(H1508,编号表!$A:$A,0))*100000+INDEX(编号表!$F:$F,MATCH(D1508,编号表!$E:$E,0))*10000+INDEX(编号表!$D:$D,MATCH(AG1508,编号表!$C:$C,0))*1000+F1508</f>
        <v>11912090</v>
      </c>
      <c r="C1508" s="14" t="s">
        <v>2029</v>
      </c>
      <c r="D1508" s="14" t="s">
        <v>72</v>
      </c>
      <c r="E1508" s="14" t="s">
        <v>86</v>
      </c>
      <c r="F1508" s="14">
        <v>90</v>
      </c>
      <c r="G1508" s="14">
        <v>60</v>
      </c>
      <c r="H1508" s="14" t="s">
        <v>1400</v>
      </c>
      <c r="I1508" s="14" t="s">
        <v>75</v>
      </c>
      <c r="J1508" s="14" t="s">
        <v>201</v>
      </c>
      <c r="K1508" s="14">
        <v>1</v>
      </c>
      <c r="L1508" s="14" t="s">
        <v>1400</v>
      </c>
      <c r="N1508" s="14">
        <v>0</v>
      </c>
      <c r="O1508" s="14" t="b">
        <v>1</v>
      </c>
      <c r="Q1508" s="14" t="b">
        <v>0</v>
      </c>
      <c r="R1508" s="14">
        <v>1</v>
      </c>
      <c r="S1508" s="14" t="s">
        <v>77</v>
      </c>
      <c r="T1508" s="14">
        <v>999</v>
      </c>
      <c r="U1508" s="14" t="s">
        <v>1401</v>
      </c>
      <c r="V1508" s="14">
        <v>31912090</v>
      </c>
      <c r="X1508" s="14" t="s">
        <v>2030</v>
      </c>
      <c r="Y1508" s="14" t="s">
        <v>215</v>
      </c>
      <c r="Z1508" s="14">
        <v>20271</v>
      </c>
      <c r="AA1508" s="14" t="s">
        <v>2031</v>
      </c>
      <c r="AB1508" s="14">
        <v>40001</v>
      </c>
      <c r="AE1508" s="14" t="s">
        <v>1400</v>
      </c>
      <c r="AF1508" s="14" t="s">
        <v>1400</v>
      </c>
      <c r="AG1508" s="14" t="s">
        <v>86</v>
      </c>
    </row>
    <row r="1509" spans="2:33">
      <c r="B1509" s="14">
        <f>10000000+INDEX(编号表!$B:$B,MATCH(H1509,编号表!$A:$A,0))*100000+INDEX(编号表!$F:$F,MATCH(D1509,编号表!$E:$E,0))*10000+INDEX(编号表!$D:$D,MATCH(AG1509,编号表!$C:$C,0))*1000+F1509</f>
        <v>11922091</v>
      </c>
      <c r="C1509" s="14" t="s">
        <v>2029</v>
      </c>
      <c r="D1509" s="14" t="s">
        <v>112</v>
      </c>
      <c r="E1509" s="14" t="s">
        <v>86</v>
      </c>
      <c r="F1509" s="14">
        <v>91</v>
      </c>
      <c r="G1509" s="14">
        <v>60</v>
      </c>
      <c r="H1509" s="14" t="s">
        <v>1400</v>
      </c>
      <c r="I1509" s="14" t="s">
        <v>75</v>
      </c>
      <c r="J1509" s="14" t="s">
        <v>201</v>
      </c>
      <c r="K1509" s="14">
        <v>1</v>
      </c>
      <c r="L1509" s="14" t="s">
        <v>1400</v>
      </c>
      <c r="N1509" s="14">
        <v>0</v>
      </c>
      <c r="O1509" s="14" t="b">
        <v>1</v>
      </c>
      <c r="Q1509" s="14" t="b">
        <v>0</v>
      </c>
      <c r="R1509" s="14">
        <v>1</v>
      </c>
      <c r="S1509" s="14" t="s">
        <v>77</v>
      </c>
      <c r="T1509" s="14">
        <v>999</v>
      </c>
      <c r="U1509" s="14" t="s">
        <v>1401</v>
      </c>
      <c r="V1509" s="14">
        <v>31922091</v>
      </c>
      <c r="X1509" s="14" t="s">
        <v>2032</v>
      </c>
      <c r="Y1509" s="14" t="s">
        <v>215</v>
      </c>
      <c r="Z1509" s="14">
        <v>20272</v>
      </c>
      <c r="AA1509" s="14" t="s">
        <v>2033</v>
      </c>
      <c r="AB1509" s="14">
        <v>40001</v>
      </c>
      <c r="AE1509" s="14" t="s">
        <v>1400</v>
      </c>
      <c r="AF1509" s="14" t="s">
        <v>1400</v>
      </c>
      <c r="AG1509" s="14" t="s">
        <v>86</v>
      </c>
    </row>
    <row r="1510" spans="2:33">
      <c r="B1510" s="14">
        <f>10000000+INDEX(编号表!$B:$B,MATCH(H1510,编号表!$A:$A,0))*100000+INDEX(编号表!$F:$F,MATCH(D1510,编号表!$E:$E,0))*10000+INDEX(编号表!$D:$D,MATCH(AG1510,编号表!$C:$C,0))*1000+F1510</f>
        <v>11932092</v>
      </c>
      <c r="C1510" s="14" t="s">
        <v>2029</v>
      </c>
      <c r="D1510" s="14" t="s">
        <v>276</v>
      </c>
      <c r="E1510" s="14" t="s">
        <v>86</v>
      </c>
      <c r="F1510" s="14">
        <v>92</v>
      </c>
      <c r="G1510" s="14">
        <v>60</v>
      </c>
      <c r="H1510" s="14" t="s">
        <v>1400</v>
      </c>
      <c r="I1510" s="14" t="s">
        <v>75</v>
      </c>
      <c r="J1510" s="14" t="s">
        <v>201</v>
      </c>
      <c r="K1510" s="14">
        <v>1</v>
      </c>
      <c r="L1510" s="14" t="s">
        <v>1400</v>
      </c>
      <c r="N1510" s="14">
        <v>0</v>
      </c>
      <c r="O1510" s="14" t="b">
        <v>1</v>
      </c>
      <c r="Q1510" s="14" t="b">
        <v>0</v>
      </c>
      <c r="R1510" s="14">
        <v>1</v>
      </c>
      <c r="S1510" s="14" t="s">
        <v>77</v>
      </c>
      <c r="T1510" s="14">
        <v>999</v>
      </c>
      <c r="U1510" s="14" t="s">
        <v>1401</v>
      </c>
      <c r="V1510" s="14">
        <v>31932092</v>
      </c>
      <c r="X1510" s="14" t="s">
        <v>2034</v>
      </c>
      <c r="Y1510" s="14" t="s">
        <v>215</v>
      </c>
      <c r="Z1510" s="14">
        <v>20273</v>
      </c>
      <c r="AA1510" s="14" t="s">
        <v>2035</v>
      </c>
      <c r="AB1510" s="14">
        <v>40001</v>
      </c>
      <c r="AE1510" s="14" t="s">
        <v>1400</v>
      </c>
      <c r="AF1510" s="14" t="s">
        <v>1400</v>
      </c>
      <c r="AG1510" s="14" t="s">
        <v>86</v>
      </c>
    </row>
    <row r="1511" spans="2:33">
      <c r="B1511" s="14">
        <f>10000000+INDEX(编号表!$B:$B,MATCH(H1511,编号表!$A:$A,0))*100000+INDEX(编号表!$F:$F,MATCH(D1511,编号表!$E:$E,0))*10000+INDEX(编号表!$D:$D,MATCH(AG1511,编号表!$C:$C,0))*1000+F1511</f>
        <v>11912091</v>
      </c>
      <c r="C1511" s="14" t="s">
        <v>2036</v>
      </c>
      <c r="D1511" s="14" t="s">
        <v>72</v>
      </c>
      <c r="E1511" s="14" t="s">
        <v>86</v>
      </c>
      <c r="F1511" s="14">
        <v>91</v>
      </c>
      <c r="G1511" s="14">
        <v>60</v>
      </c>
      <c r="H1511" s="14" t="s">
        <v>1400</v>
      </c>
      <c r="I1511" s="14" t="s">
        <v>75</v>
      </c>
      <c r="J1511" s="14" t="s">
        <v>201</v>
      </c>
      <c r="K1511" s="14">
        <v>1</v>
      </c>
      <c r="L1511" s="14" t="s">
        <v>1400</v>
      </c>
      <c r="N1511" s="14">
        <v>0</v>
      </c>
      <c r="O1511" s="14" t="b">
        <v>1</v>
      </c>
      <c r="Q1511" s="14" t="b">
        <v>0</v>
      </c>
      <c r="R1511" s="14">
        <v>1</v>
      </c>
      <c r="S1511" s="14" t="s">
        <v>77</v>
      </c>
      <c r="T1511" s="14">
        <v>999</v>
      </c>
      <c r="U1511" s="14" t="s">
        <v>1401</v>
      </c>
      <c r="V1511" s="14">
        <v>31912091</v>
      </c>
      <c r="X1511" s="14" t="s">
        <v>2037</v>
      </c>
      <c r="Y1511" s="14" t="s">
        <v>215</v>
      </c>
      <c r="Z1511" s="14">
        <v>20274</v>
      </c>
      <c r="AA1511" s="14" t="s">
        <v>2038</v>
      </c>
      <c r="AB1511" s="14">
        <v>40001</v>
      </c>
      <c r="AE1511" s="14" t="s">
        <v>1400</v>
      </c>
      <c r="AF1511" s="14" t="s">
        <v>1400</v>
      </c>
      <c r="AG1511" s="14" t="s">
        <v>86</v>
      </c>
    </row>
    <row r="1512" spans="2:33">
      <c r="B1512" s="14">
        <f>10000000+INDEX(编号表!$B:$B,MATCH(H1512,编号表!$A:$A,0))*100000+INDEX(编号表!$F:$F,MATCH(D1512,编号表!$E:$E,0))*10000+INDEX(编号表!$D:$D,MATCH(AG1512,编号表!$C:$C,0))*1000+F1512</f>
        <v>11922092</v>
      </c>
      <c r="C1512" s="14" t="s">
        <v>2036</v>
      </c>
      <c r="D1512" s="14" t="s">
        <v>112</v>
      </c>
      <c r="E1512" s="14" t="s">
        <v>86</v>
      </c>
      <c r="F1512" s="14">
        <v>92</v>
      </c>
      <c r="G1512" s="14">
        <v>60</v>
      </c>
      <c r="H1512" s="14" t="s">
        <v>1400</v>
      </c>
      <c r="I1512" s="14" t="s">
        <v>75</v>
      </c>
      <c r="J1512" s="14" t="s">
        <v>201</v>
      </c>
      <c r="K1512" s="14">
        <v>1</v>
      </c>
      <c r="L1512" s="14" t="s">
        <v>1400</v>
      </c>
      <c r="N1512" s="14">
        <v>0</v>
      </c>
      <c r="O1512" s="14" t="b">
        <v>1</v>
      </c>
      <c r="Q1512" s="14" t="b">
        <v>0</v>
      </c>
      <c r="R1512" s="14">
        <v>1</v>
      </c>
      <c r="S1512" s="14" t="s">
        <v>77</v>
      </c>
      <c r="T1512" s="14">
        <v>999</v>
      </c>
      <c r="U1512" s="14" t="s">
        <v>1401</v>
      </c>
      <c r="V1512" s="14">
        <v>31922092</v>
      </c>
      <c r="X1512" s="14" t="s">
        <v>2039</v>
      </c>
      <c r="Y1512" s="14" t="s">
        <v>215</v>
      </c>
      <c r="Z1512" s="14">
        <v>20275</v>
      </c>
      <c r="AA1512" s="14" t="s">
        <v>2040</v>
      </c>
      <c r="AB1512" s="14">
        <v>40001</v>
      </c>
      <c r="AE1512" s="14" t="s">
        <v>1400</v>
      </c>
      <c r="AF1512" s="14" t="s">
        <v>1400</v>
      </c>
      <c r="AG1512" s="14" t="s">
        <v>86</v>
      </c>
    </row>
    <row r="1513" spans="2:33">
      <c r="B1513" s="14">
        <f>10000000+INDEX(编号表!$B:$B,MATCH(H1513,编号表!$A:$A,0))*100000+INDEX(编号表!$F:$F,MATCH(D1513,编号表!$E:$E,0))*10000+INDEX(编号表!$D:$D,MATCH(AG1513,编号表!$C:$C,0))*1000+F1513</f>
        <v>11932093</v>
      </c>
      <c r="C1513" s="14" t="s">
        <v>2036</v>
      </c>
      <c r="D1513" s="14" t="s">
        <v>276</v>
      </c>
      <c r="E1513" s="14" t="s">
        <v>86</v>
      </c>
      <c r="F1513" s="14">
        <v>93</v>
      </c>
      <c r="G1513" s="14">
        <v>60</v>
      </c>
      <c r="H1513" s="14" t="s">
        <v>1400</v>
      </c>
      <c r="I1513" s="14" t="s">
        <v>75</v>
      </c>
      <c r="J1513" s="14" t="s">
        <v>201</v>
      </c>
      <c r="K1513" s="14">
        <v>1</v>
      </c>
      <c r="L1513" s="14" t="s">
        <v>1400</v>
      </c>
      <c r="N1513" s="14">
        <v>0</v>
      </c>
      <c r="O1513" s="14" t="b">
        <v>1</v>
      </c>
      <c r="Q1513" s="14" t="b">
        <v>0</v>
      </c>
      <c r="R1513" s="14">
        <v>1</v>
      </c>
      <c r="S1513" s="14" t="s">
        <v>77</v>
      </c>
      <c r="T1513" s="14">
        <v>999</v>
      </c>
      <c r="U1513" s="14" t="s">
        <v>1401</v>
      </c>
      <c r="V1513" s="14">
        <v>31932093</v>
      </c>
      <c r="X1513" s="14" t="s">
        <v>2041</v>
      </c>
      <c r="Y1513" s="14" t="s">
        <v>215</v>
      </c>
      <c r="Z1513" s="14">
        <v>20276</v>
      </c>
      <c r="AA1513" s="14" t="s">
        <v>2042</v>
      </c>
      <c r="AB1513" s="14">
        <v>40001</v>
      </c>
      <c r="AE1513" s="14" t="s">
        <v>1400</v>
      </c>
      <c r="AF1513" s="14" t="s">
        <v>1400</v>
      </c>
      <c r="AG1513" s="14" t="s">
        <v>86</v>
      </c>
    </row>
    <row r="1514" spans="2:33">
      <c r="B1514" s="14">
        <f>10000000+INDEX(编号表!$B:$B,MATCH(H1514,编号表!$A:$A,0))*100000+INDEX(编号表!$F:$F,MATCH(D1514,编号表!$E:$E,0))*10000+INDEX(编号表!$D:$D,MATCH(AG1514,编号表!$C:$C,0))*1000+F1514</f>
        <v>11912092</v>
      </c>
      <c r="C1514" s="14" t="s">
        <v>2043</v>
      </c>
      <c r="D1514" s="14" t="s">
        <v>72</v>
      </c>
      <c r="E1514" s="14" t="s">
        <v>86</v>
      </c>
      <c r="F1514" s="14">
        <v>92</v>
      </c>
      <c r="G1514" s="14">
        <v>60</v>
      </c>
      <c r="H1514" s="14" t="s">
        <v>1400</v>
      </c>
      <c r="I1514" s="14" t="s">
        <v>75</v>
      </c>
      <c r="J1514" s="14" t="s">
        <v>201</v>
      </c>
      <c r="K1514" s="14">
        <v>1</v>
      </c>
      <c r="L1514" s="14" t="s">
        <v>1400</v>
      </c>
      <c r="N1514" s="14">
        <v>0</v>
      </c>
      <c r="O1514" s="14" t="b">
        <v>1</v>
      </c>
      <c r="Q1514" s="14" t="b">
        <v>0</v>
      </c>
      <c r="R1514" s="14">
        <v>1</v>
      </c>
      <c r="S1514" s="14" t="s">
        <v>77</v>
      </c>
      <c r="T1514" s="14">
        <v>999</v>
      </c>
      <c r="U1514" s="14" t="s">
        <v>1401</v>
      </c>
      <c r="V1514" s="14">
        <v>31912092</v>
      </c>
      <c r="X1514" s="14" t="s">
        <v>2044</v>
      </c>
      <c r="Y1514" s="14" t="s">
        <v>215</v>
      </c>
      <c r="Z1514" s="14">
        <v>20277</v>
      </c>
      <c r="AA1514" s="14" t="s">
        <v>2045</v>
      </c>
      <c r="AB1514" s="14">
        <v>40001</v>
      </c>
      <c r="AE1514" s="14" t="s">
        <v>1400</v>
      </c>
      <c r="AF1514" s="14" t="s">
        <v>1400</v>
      </c>
      <c r="AG1514" s="14" t="s">
        <v>86</v>
      </c>
    </row>
    <row r="1515" spans="2:33">
      <c r="B1515" s="14">
        <f>10000000+INDEX(编号表!$B:$B,MATCH(H1515,编号表!$A:$A,0))*100000+INDEX(编号表!$F:$F,MATCH(D1515,编号表!$E:$E,0))*10000+INDEX(编号表!$D:$D,MATCH(AG1515,编号表!$C:$C,0))*1000+F1515</f>
        <v>11922093</v>
      </c>
      <c r="C1515" s="14" t="s">
        <v>2043</v>
      </c>
      <c r="D1515" s="14" t="s">
        <v>112</v>
      </c>
      <c r="E1515" s="14" t="s">
        <v>86</v>
      </c>
      <c r="F1515" s="14">
        <v>93</v>
      </c>
      <c r="G1515" s="14">
        <v>60</v>
      </c>
      <c r="H1515" s="14" t="s">
        <v>1400</v>
      </c>
      <c r="I1515" s="14" t="s">
        <v>75</v>
      </c>
      <c r="J1515" s="14" t="s">
        <v>201</v>
      </c>
      <c r="K1515" s="14">
        <v>1</v>
      </c>
      <c r="L1515" s="14" t="s">
        <v>1400</v>
      </c>
      <c r="N1515" s="14">
        <v>0</v>
      </c>
      <c r="O1515" s="14" t="b">
        <v>1</v>
      </c>
      <c r="Q1515" s="14" t="b">
        <v>0</v>
      </c>
      <c r="R1515" s="14">
        <v>1</v>
      </c>
      <c r="S1515" s="14" t="s">
        <v>77</v>
      </c>
      <c r="T1515" s="14">
        <v>999</v>
      </c>
      <c r="U1515" s="14" t="s">
        <v>1401</v>
      </c>
      <c r="V1515" s="14">
        <v>31922093</v>
      </c>
      <c r="X1515" s="14" t="s">
        <v>2046</v>
      </c>
      <c r="Y1515" s="14" t="s">
        <v>215</v>
      </c>
      <c r="Z1515" s="14">
        <v>20278</v>
      </c>
      <c r="AA1515" s="14" t="s">
        <v>2047</v>
      </c>
      <c r="AB1515" s="14">
        <v>40001</v>
      </c>
      <c r="AE1515" s="14" t="s">
        <v>1400</v>
      </c>
      <c r="AF1515" s="14" t="s">
        <v>1400</v>
      </c>
      <c r="AG1515" s="14" t="s">
        <v>86</v>
      </c>
    </row>
    <row r="1516" spans="2:33">
      <c r="B1516" s="14">
        <f>10000000+INDEX(编号表!$B:$B,MATCH(H1516,编号表!$A:$A,0))*100000+INDEX(编号表!$F:$F,MATCH(D1516,编号表!$E:$E,0))*10000+INDEX(编号表!$D:$D,MATCH(AG1516,编号表!$C:$C,0))*1000+F1516</f>
        <v>11932094</v>
      </c>
      <c r="C1516" s="14" t="s">
        <v>2043</v>
      </c>
      <c r="D1516" s="14" t="s">
        <v>276</v>
      </c>
      <c r="E1516" s="14" t="s">
        <v>86</v>
      </c>
      <c r="F1516" s="14">
        <v>94</v>
      </c>
      <c r="G1516" s="14">
        <v>60</v>
      </c>
      <c r="H1516" s="14" t="s">
        <v>1400</v>
      </c>
      <c r="I1516" s="14" t="s">
        <v>75</v>
      </c>
      <c r="J1516" s="14" t="s">
        <v>201</v>
      </c>
      <c r="K1516" s="14">
        <v>1</v>
      </c>
      <c r="L1516" s="14" t="s">
        <v>1400</v>
      </c>
      <c r="N1516" s="14">
        <v>0</v>
      </c>
      <c r="O1516" s="14" t="b">
        <v>1</v>
      </c>
      <c r="Q1516" s="14" t="b">
        <v>0</v>
      </c>
      <c r="R1516" s="14">
        <v>1</v>
      </c>
      <c r="S1516" s="14" t="s">
        <v>77</v>
      </c>
      <c r="T1516" s="14">
        <v>999</v>
      </c>
      <c r="U1516" s="14" t="s">
        <v>1401</v>
      </c>
      <c r="V1516" s="14">
        <v>31932094</v>
      </c>
      <c r="X1516" s="14" t="s">
        <v>2048</v>
      </c>
      <c r="Y1516" s="14" t="s">
        <v>215</v>
      </c>
      <c r="Z1516" s="14">
        <v>20279</v>
      </c>
      <c r="AA1516" s="14" t="s">
        <v>2049</v>
      </c>
      <c r="AB1516" s="14">
        <v>40001</v>
      </c>
      <c r="AE1516" s="14" t="s">
        <v>1400</v>
      </c>
      <c r="AF1516" s="14" t="s">
        <v>1400</v>
      </c>
      <c r="AG1516" s="14" t="s">
        <v>86</v>
      </c>
    </row>
    <row r="1517" spans="2:33">
      <c r="B1517" s="14">
        <f>10000000+INDEX(编号表!$B:$B,MATCH(H1517,编号表!$A:$A,0))*100000+INDEX(编号表!$F:$F,MATCH(D1517,编号表!$E:$E,0))*10000+INDEX(编号表!$D:$D,MATCH(AG1517,编号表!$C:$C,0))*1000+F1517</f>
        <v>11912093</v>
      </c>
      <c r="C1517" s="14" t="s">
        <v>2050</v>
      </c>
      <c r="D1517" s="14" t="s">
        <v>72</v>
      </c>
      <c r="E1517" s="14" t="s">
        <v>86</v>
      </c>
      <c r="F1517" s="14">
        <v>93</v>
      </c>
      <c r="G1517" s="14">
        <v>60</v>
      </c>
      <c r="H1517" s="14" t="s">
        <v>1400</v>
      </c>
      <c r="I1517" s="14" t="s">
        <v>75</v>
      </c>
      <c r="J1517" s="14" t="s">
        <v>201</v>
      </c>
      <c r="K1517" s="14">
        <v>1</v>
      </c>
      <c r="L1517" s="14" t="s">
        <v>1400</v>
      </c>
      <c r="N1517" s="14">
        <v>0</v>
      </c>
      <c r="O1517" s="14" t="b">
        <v>1</v>
      </c>
      <c r="Q1517" s="14" t="b">
        <v>0</v>
      </c>
      <c r="R1517" s="14">
        <v>1</v>
      </c>
      <c r="S1517" s="14" t="s">
        <v>77</v>
      </c>
      <c r="T1517" s="14">
        <v>999</v>
      </c>
      <c r="U1517" s="14" t="s">
        <v>1401</v>
      </c>
      <c r="V1517" s="14">
        <v>31912093</v>
      </c>
      <c r="X1517" s="14" t="s">
        <v>2051</v>
      </c>
      <c r="Y1517" s="14" t="s">
        <v>215</v>
      </c>
      <c r="Z1517" s="14">
        <v>20280</v>
      </c>
      <c r="AA1517" s="14" t="s">
        <v>2052</v>
      </c>
      <c r="AB1517" s="14">
        <v>40001</v>
      </c>
      <c r="AE1517" s="14" t="s">
        <v>1400</v>
      </c>
      <c r="AF1517" s="14" t="s">
        <v>1400</v>
      </c>
      <c r="AG1517" s="14" t="s">
        <v>86</v>
      </c>
    </row>
    <row r="1518" spans="2:33">
      <c r="B1518" s="14">
        <f>10000000+INDEX(编号表!$B:$B,MATCH(H1518,编号表!$A:$A,0))*100000+INDEX(编号表!$F:$F,MATCH(D1518,编号表!$E:$E,0))*10000+INDEX(编号表!$D:$D,MATCH(AG1518,编号表!$C:$C,0))*1000+F1518</f>
        <v>11922094</v>
      </c>
      <c r="C1518" s="14" t="s">
        <v>2050</v>
      </c>
      <c r="D1518" s="14" t="s">
        <v>112</v>
      </c>
      <c r="E1518" s="14" t="s">
        <v>86</v>
      </c>
      <c r="F1518" s="14">
        <v>94</v>
      </c>
      <c r="G1518" s="14">
        <v>60</v>
      </c>
      <c r="H1518" s="14" t="s">
        <v>1400</v>
      </c>
      <c r="I1518" s="14" t="s">
        <v>75</v>
      </c>
      <c r="J1518" s="14" t="s">
        <v>201</v>
      </c>
      <c r="K1518" s="14">
        <v>1</v>
      </c>
      <c r="L1518" s="14" t="s">
        <v>1400</v>
      </c>
      <c r="N1518" s="14">
        <v>0</v>
      </c>
      <c r="O1518" s="14" t="b">
        <v>1</v>
      </c>
      <c r="Q1518" s="14" t="b">
        <v>0</v>
      </c>
      <c r="R1518" s="14">
        <v>1</v>
      </c>
      <c r="S1518" s="14" t="s">
        <v>77</v>
      </c>
      <c r="T1518" s="14">
        <v>999</v>
      </c>
      <c r="U1518" s="14" t="s">
        <v>1401</v>
      </c>
      <c r="V1518" s="14">
        <v>31922094</v>
      </c>
      <c r="X1518" s="14" t="s">
        <v>2053</v>
      </c>
      <c r="Y1518" s="14" t="s">
        <v>215</v>
      </c>
      <c r="Z1518" s="14">
        <v>20281</v>
      </c>
      <c r="AA1518" s="14" t="s">
        <v>2054</v>
      </c>
      <c r="AB1518" s="14">
        <v>40001</v>
      </c>
      <c r="AE1518" s="14" t="s">
        <v>1400</v>
      </c>
      <c r="AF1518" s="14" t="s">
        <v>1400</v>
      </c>
      <c r="AG1518" s="14" t="s">
        <v>86</v>
      </c>
    </row>
    <row r="1519" spans="2:33">
      <c r="B1519" s="14">
        <f>10000000+INDEX(编号表!$B:$B,MATCH(H1519,编号表!$A:$A,0))*100000+INDEX(编号表!$F:$F,MATCH(D1519,编号表!$E:$E,0))*10000+INDEX(编号表!$D:$D,MATCH(AG1519,编号表!$C:$C,0))*1000+F1519</f>
        <v>11932095</v>
      </c>
      <c r="C1519" s="14" t="s">
        <v>2050</v>
      </c>
      <c r="D1519" s="14" t="s">
        <v>276</v>
      </c>
      <c r="E1519" s="14" t="s">
        <v>86</v>
      </c>
      <c r="F1519" s="14">
        <v>95</v>
      </c>
      <c r="G1519" s="14">
        <v>60</v>
      </c>
      <c r="H1519" s="14" t="s">
        <v>1400</v>
      </c>
      <c r="I1519" s="14" t="s">
        <v>75</v>
      </c>
      <c r="J1519" s="14" t="s">
        <v>201</v>
      </c>
      <c r="K1519" s="14">
        <v>1</v>
      </c>
      <c r="L1519" s="14" t="s">
        <v>1400</v>
      </c>
      <c r="N1519" s="14">
        <v>0</v>
      </c>
      <c r="O1519" s="14" t="b">
        <v>1</v>
      </c>
      <c r="Q1519" s="14" t="b">
        <v>0</v>
      </c>
      <c r="R1519" s="14">
        <v>1</v>
      </c>
      <c r="S1519" s="14" t="s">
        <v>77</v>
      </c>
      <c r="T1519" s="14">
        <v>999</v>
      </c>
      <c r="U1519" s="14" t="s">
        <v>1401</v>
      </c>
      <c r="V1519" s="14">
        <v>31932095</v>
      </c>
      <c r="X1519" s="14" t="s">
        <v>2055</v>
      </c>
      <c r="Y1519" s="14" t="s">
        <v>215</v>
      </c>
      <c r="Z1519" s="14">
        <v>20282</v>
      </c>
      <c r="AA1519" s="14" t="s">
        <v>2056</v>
      </c>
      <c r="AB1519" s="14">
        <v>40001</v>
      </c>
      <c r="AE1519" s="14" t="s">
        <v>1400</v>
      </c>
      <c r="AF1519" s="14" t="s">
        <v>1400</v>
      </c>
      <c r="AG1519" s="14" t="s">
        <v>86</v>
      </c>
    </row>
    <row r="1520" spans="2:33">
      <c r="B1520" s="14">
        <f>10000000+INDEX(编号表!$B:$B,MATCH(H1520,编号表!$A:$A,0))*100000+INDEX(编号表!$F:$F,MATCH(D1520,编号表!$E:$E,0))*10000+INDEX(编号表!$D:$D,MATCH(AG1520,编号表!$C:$C,0))*1000+F1520</f>
        <v>11912094</v>
      </c>
      <c r="C1520" s="14" t="s">
        <v>2057</v>
      </c>
      <c r="D1520" s="14" t="s">
        <v>72</v>
      </c>
      <c r="E1520" s="14" t="s">
        <v>86</v>
      </c>
      <c r="F1520" s="14">
        <v>94</v>
      </c>
      <c r="G1520" s="14">
        <v>60</v>
      </c>
      <c r="H1520" s="14" t="s">
        <v>1400</v>
      </c>
      <c r="I1520" s="14" t="s">
        <v>75</v>
      </c>
      <c r="J1520" s="14" t="s">
        <v>201</v>
      </c>
      <c r="K1520" s="14">
        <v>1</v>
      </c>
      <c r="L1520" s="14" t="s">
        <v>1400</v>
      </c>
      <c r="N1520" s="14">
        <v>0</v>
      </c>
      <c r="O1520" s="14" t="b">
        <v>1</v>
      </c>
      <c r="Q1520" s="14" t="b">
        <v>0</v>
      </c>
      <c r="R1520" s="14">
        <v>1</v>
      </c>
      <c r="S1520" s="14" t="s">
        <v>77</v>
      </c>
      <c r="T1520" s="14">
        <v>999</v>
      </c>
      <c r="U1520" s="14" t="s">
        <v>1401</v>
      </c>
      <c r="V1520" s="14">
        <v>31912094</v>
      </c>
      <c r="X1520" s="14" t="s">
        <v>2058</v>
      </c>
      <c r="Y1520" s="14" t="s">
        <v>215</v>
      </c>
      <c r="Z1520" s="14">
        <v>20283</v>
      </c>
      <c r="AA1520" s="14" t="s">
        <v>2059</v>
      </c>
      <c r="AB1520" s="14">
        <v>40001</v>
      </c>
      <c r="AE1520" s="14" t="s">
        <v>1400</v>
      </c>
      <c r="AF1520" s="14" t="s">
        <v>1400</v>
      </c>
      <c r="AG1520" s="14" t="s">
        <v>86</v>
      </c>
    </row>
    <row r="1521" spans="2:33">
      <c r="B1521" s="14">
        <f>10000000+INDEX(编号表!$B:$B,MATCH(H1521,编号表!$A:$A,0))*100000+INDEX(编号表!$F:$F,MATCH(D1521,编号表!$E:$E,0))*10000+INDEX(编号表!$D:$D,MATCH(AG1521,编号表!$C:$C,0))*1000+F1521</f>
        <v>11922095</v>
      </c>
      <c r="C1521" s="14" t="s">
        <v>2057</v>
      </c>
      <c r="D1521" s="14" t="s">
        <v>112</v>
      </c>
      <c r="E1521" s="14" t="s">
        <v>86</v>
      </c>
      <c r="F1521" s="14">
        <v>95</v>
      </c>
      <c r="G1521" s="14">
        <v>60</v>
      </c>
      <c r="H1521" s="14" t="s">
        <v>1400</v>
      </c>
      <c r="I1521" s="14" t="s">
        <v>75</v>
      </c>
      <c r="J1521" s="14" t="s">
        <v>201</v>
      </c>
      <c r="K1521" s="14">
        <v>1</v>
      </c>
      <c r="L1521" s="14" t="s">
        <v>1400</v>
      </c>
      <c r="N1521" s="14">
        <v>0</v>
      </c>
      <c r="O1521" s="14" t="b">
        <v>1</v>
      </c>
      <c r="Q1521" s="14" t="b">
        <v>0</v>
      </c>
      <c r="R1521" s="14">
        <v>1</v>
      </c>
      <c r="S1521" s="14" t="s">
        <v>77</v>
      </c>
      <c r="T1521" s="14">
        <v>999</v>
      </c>
      <c r="U1521" s="14" t="s">
        <v>1401</v>
      </c>
      <c r="V1521" s="14">
        <v>31922095</v>
      </c>
      <c r="X1521" s="14" t="s">
        <v>2060</v>
      </c>
      <c r="Y1521" s="14" t="s">
        <v>215</v>
      </c>
      <c r="Z1521" s="14">
        <v>20284</v>
      </c>
      <c r="AA1521" s="14" t="s">
        <v>2061</v>
      </c>
      <c r="AB1521" s="14">
        <v>40001</v>
      </c>
      <c r="AE1521" s="14" t="s">
        <v>1400</v>
      </c>
      <c r="AF1521" s="14" t="s">
        <v>1400</v>
      </c>
      <c r="AG1521" s="14" t="s">
        <v>86</v>
      </c>
    </row>
    <row r="1522" spans="2:33">
      <c r="B1522" s="14">
        <f>10000000+INDEX(编号表!$B:$B,MATCH(H1522,编号表!$A:$A,0))*100000+INDEX(编号表!$F:$F,MATCH(D1522,编号表!$E:$E,0))*10000+INDEX(编号表!$D:$D,MATCH(AG1522,编号表!$C:$C,0))*1000+F1522</f>
        <v>11932096</v>
      </c>
      <c r="C1522" s="14" t="s">
        <v>2057</v>
      </c>
      <c r="D1522" s="14" t="s">
        <v>276</v>
      </c>
      <c r="E1522" s="14" t="s">
        <v>86</v>
      </c>
      <c r="F1522" s="14">
        <v>96</v>
      </c>
      <c r="G1522" s="14">
        <v>60</v>
      </c>
      <c r="H1522" s="14" t="s">
        <v>1400</v>
      </c>
      <c r="I1522" s="14" t="s">
        <v>75</v>
      </c>
      <c r="J1522" s="14" t="s">
        <v>201</v>
      </c>
      <c r="K1522" s="14">
        <v>1</v>
      </c>
      <c r="L1522" s="14" t="s">
        <v>1400</v>
      </c>
      <c r="N1522" s="14">
        <v>0</v>
      </c>
      <c r="O1522" s="14" t="b">
        <v>1</v>
      </c>
      <c r="Q1522" s="14" t="b">
        <v>0</v>
      </c>
      <c r="R1522" s="14">
        <v>1</v>
      </c>
      <c r="S1522" s="14" t="s">
        <v>77</v>
      </c>
      <c r="T1522" s="14">
        <v>999</v>
      </c>
      <c r="U1522" s="14" t="s">
        <v>1401</v>
      </c>
      <c r="V1522" s="14">
        <v>31932096</v>
      </c>
      <c r="X1522" s="14" t="s">
        <v>2062</v>
      </c>
      <c r="Y1522" s="14" t="s">
        <v>215</v>
      </c>
      <c r="Z1522" s="14">
        <v>20285</v>
      </c>
      <c r="AA1522" s="14" t="s">
        <v>2063</v>
      </c>
      <c r="AB1522" s="14">
        <v>40001</v>
      </c>
      <c r="AE1522" s="14" t="s">
        <v>1400</v>
      </c>
      <c r="AF1522" s="14" t="s">
        <v>1400</v>
      </c>
      <c r="AG1522" s="14" t="s">
        <v>86</v>
      </c>
    </row>
    <row r="1523" spans="2:33">
      <c r="B1523" s="14">
        <f>10000000+INDEX(编号表!$B:$B,MATCH(H1523,编号表!$A:$A,0))*100000+INDEX(编号表!$F:$F,MATCH(D1523,编号表!$E:$E,0))*10000+INDEX(编号表!$D:$D,MATCH(AG1523,编号表!$C:$C,0))*1000+F1523</f>
        <v>11912095</v>
      </c>
      <c r="C1523" s="14" t="s">
        <v>2064</v>
      </c>
      <c r="D1523" s="14" t="s">
        <v>72</v>
      </c>
      <c r="E1523" s="14" t="s">
        <v>86</v>
      </c>
      <c r="F1523" s="14">
        <v>95</v>
      </c>
      <c r="G1523" s="14">
        <v>60</v>
      </c>
      <c r="H1523" s="14" t="s">
        <v>1400</v>
      </c>
      <c r="I1523" s="14" t="s">
        <v>75</v>
      </c>
      <c r="J1523" s="14" t="s">
        <v>201</v>
      </c>
      <c r="K1523" s="14">
        <v>1</v>
      </c>
      <c r="L1523" s="14" t="s">
        <v>1400</v>
      </c>
      <c r="N1523" s="14">
        <v>0</v>
      </c>
      <c r="O1523" s="14" t="b">
        <v>1</v>
      </c>
      <c r="Q1523" s="14" t="b">
        <v>0</v>
      </c>
      <c r="R1523" s="14">
        <v>1</v>
      </c>
      <c r="S1523" s="14" t="s">
        <v>77</v>
      </c>
      <c r="T1523" s="14">
        <v>999</v>
      </c>
      <c r="U1523" s="14" t="s">
        <v>1401</v>
      </c>
      <c r="V1523" s="14">
        <v>31912095</v>
      </c>
      <c r="X1523" s="14" t="s">
        <v>2065</v>
      </c>
      <c r="Y1523" s="14" t="s">
        <v>215</v>
      </c>
      <c r="Z1523" s="14">
        <v>20286</v>
      </c>
      <c r="AA1523" s="14" t="s">
        <v>2066</v>
      </c>
      <c r="AB1523" s="14">
        <v>40001</v>
      </c>
      <c r="AE1523" s="14" t="s">
        <v>1400</v>
      </c>
      <c r="AF1523" s="14" t="s">
        <v>1400</v>
      </c>
      <c r="AG1523" s="14" t="s">
        <v>86</v>
      </c>
    </row>
    <row r="1524" spans="2:33">
      <c r="B1524" s="14">
        <f>10000000+INDEX(编号表!$B:$B,MATCH(H1524,编号表!$A:$A,0))*100000+INDEX(编号表!$F:$F,MATCH(D1524,编号表!$E:$E,0))*10000+INDEX(编号表!$D:$D,MATCH(AG1524,编号表!$C:$C,0))*1000+F1524</f>
        <v>11922096</v>
      </c>
      <c r="C1524" s="14" t="s">
        <v>2064</v>
      </c>
      <c r="D1524" s="14" t="s">
        <v>112</v>
      </c>
      <c r="E1524" s="14" t="s">
        <v>86</v>
      </c>
      <c r="F1524" s="14">
        <v>96</v>
      </c>
      <c r="G1524" s="14">
        <v>60</v>
      </c>
      <c r="H1524" s="14" t="s">
        <v>1400</v>
      </c>
      <c r="I1524" s="14" t="s">
        <v>75</v>
      </c>
      <c r="J1524" s="14" t="s">
        <v>201</v>
      </c>
      <c r="K1524" s="14">
        <v>1</v>
      </c>
      <c r="L1524" s="14" t="s">
        <v>1400</v>
      </c>
      <c r="N1524" s="14">
        <v>0</v>
      </c>
      <c r="O1524" s="14" t="b">
        <v>1</v>
      </c>
      <c r="Q1524" s="14" t="b">
        <v>0</v>
      </c>
      <c r="R1524" s="14">
        <v>1</v>
      </c>
      <c r="S1524" s="14" t="s">
        <v>77</v>
      </c>
      <c r="T1524" s="14">
        <v>999</v>
      </c>
      <c r="U1524" s="14" t="s">
        <v>1401</v>
      </c>
      <c r="V1524" s="14">
        <v>31922096</v>
      </c>
      <c r="X1524" s="14" t="s">
        <v>2067</v>
      </c>
      <c r="Y1524" s="14" t="s">
        <v>215</v>
      </c>
      <c r="Z1524" s="14">
        <v>20287</v>
      </c>
      <c r="AA1524" s="14" t="s">
        <v>2068</v>
      </c>
      <c r="AB1524" s="14">
        <v>40001</v>
      </c>
      <c r="AE1524" s="14" t="s">
        <v>1400</v>
      </c>
      <c r="AF1524" s="14" t="s">
        <v>1400</v>
      </c>
      <c r="AG1524" s="14" t="s">
        <v>86</v>
      </c>
    </row>
    <row r="1525" spans="2:33">
      <c r="B1525" s="14">
        <f>10000000+INDEX(编号表!$B:$B,MATCH(H1525,编号表!$A:$A,0))*100000+INDEX(编号表!$F:$F,MATCH(D1525,编号表!$E:$E,0))*10000+INDEX(编号表!$D:$D,MATCH(AG1525,编号表!$C:$C,0))*1000+F1525</f>
        <v>11932097</v>
      </c>
      <c r="C1525" s="14" t="s">
        <v>2064</v>
      </c>
      <c r="D1525" s="14" t="s">
        <v>276</v>
      </c>
      <c r="E1525" s="14" t="s">
        <v>86</v>
      </c>
      <c r="F1525" s="14">
        <v>97</v>
      </c>
      <c r="G1525" s="14">
        <v>60</v>
      </c>
      <c r="H1525" s="14" t="s">
        <v>1400</v>
      </c>
      <c r="I1525" s="14" t="s">
        <v>75</v>
      </c>
      <c r="J1525" s="14" t="s">
        <v>201</v>
      </c>
      <c r="K1525" s="14">
        <v>1</v>
      </c>
      <c r="L1525" s="14" t="s">
        <v>1400</v>
      </c>
      <c r="N1525" s="14">
        <v>0</v>
      </c>
      <c r="O1525" s="14" t="b">
        <v>1</v>
      </c>
      <c r="Q1525" s="14" t="b">
        <v>0</v>
      </c>
      <c r="R1525" s="14">
        <v>1</v>
      </c>
      <c r="S1525" s="14" t="s">
        <v>77</v>
      </c>
      <c r="T1525" s="14">
        <v>999</v>
      </c>
      <c r="U1525" s="14" t="s">
        <v>1401</v>
      </c>
      <c r="V1525" s="14">
        <v>31932097</v>
      </c>
      <c r="X1525" s="14" t="s">
        <v>2069</v>
      </c>
      <c r="Y1525" s="14" t="s">
        <v>215</v>
      </c>
      <c r="Z1525" s="14">
        <v>20288</v>
      </c>
      <c r="AA1525" s="14" t="s">
        <v>2070</v>
      </c>
      <c r="AB1525" s="14">
        <v>40001</v>
      </c>
      <c r="AE1525" s="14" t="s">
        <v>1400</v>
      </c>
      <c r="AF1525" s="14" t="s">
        <v>1400</v>
      </c>
      <c r="AG1525" s="14" t="s">
        <v>86</v>
      </c>
    </row>
    <row r="1526" spans="2:33">
      <c r="B1526" s="14">
        <f>10000000+INDEX(编号表!$B:$B,MATCH(H1526,编号表!$A:$A,0))*100000+INDEX(编号表!$F:$F,MATCH(D1526,编号表!$E:$E,0))*10000+INDEX(编号表!$D:$D,MATCH(AG1526,编号表!$C:$C,0))*1000+F1526</f>
        <v>11912096</v>
      </c>
      <c r="C1526" s="14" t="s">
        <v>2071</v>
      </c>
      <c r="D1526" s="14" t="s">
        <v>72</v>
      </c>
      <c r="E1526" s="14" t="s">
        <v>86</v>
      </c>
      <c r="F1526" s="14">
        <v>96</v>
      </c>
      <c r="G1526" s="14">
        <v>60</v>
      </c>
      <c r="H1526" s="14" t="s">
        <v>1400</v>
      </c>
      <c r="I1526" s="14" t="s">
        <v>75</v>
      </c>
      <c r="J1526" s="14" t="s">
        <v>201</v>
      </c>
      <c r="K1526" s="14">
        <v>1</v>
      </c>
      <c r="L1526" s="14" t="s">
        <v>1400</v>
      </c>
      <c r="N1526" s="14">
        <v>0</v>
      </c>
      <c r="O1526" s="14" t="b">
        <v>1</v>
      </c>
      <c r="Q1526" s="14" t="b">
        <v>0</v>
      </c>
      <c r="R1526" s="14">
        <v>1</v>
      </c>
      <c r="S1526" s="14" t="s">
        <v>77</v>
      </c>
      <c r="T1526" s="14">
        <v>999</v>
      </c>
      <c r="U1526" s="14" t="s">
        <v>1401</v>
      </c>
      <c r="V1526" s="14">
        <v>31912096</v>
      </c>
      <c r="X1526" s="14" t="s">
        <v>2072</v>
      </c>
      <c r="Y1526" s="14" t="s">
        <v>215</v>
      </c>
      <c r="Z1526" s="14">
        <v>20289</v>
      </c>
      <c r="AA1526" s="14" t="s">
        <v>2073</v>
      </c>
      <c r="AB1526" s="14">
        <v>40001</v>
      </c>
      <c r="AE1526" s="14" t="s">
        <v>1400</v>
      </c>
      <c r="AF1526" s="14" t="s">
        <v>1400</v>
      </c>
      <c r="AG1526" s="14" t="s">
        <v>86</v>
      </c>
    </row>
    <row r="1527" spans="2:33">
      <c r="B1527" s="14">
        <f>10000000+INDEX(编号表!$B:$B,MATCH(H1527,编号表!$A:$A,0))*100000+INDEX(编号表!$F:$F,MATCH(D1527,编号表!$E:$E,0))*10000+INDEX(编号表!$D:$D,MATCH(AG1527,编号表!$C:$C,0))*1000+F1527</f>
        <v>11922097</v>
      </c>
      <c r="C1527" s="14" t="s">
        <v>2071</v>
      </c>
      <c r="D1527" s="14" t="s">
        <v>112</v>
      </c>
      <c r="E1527" s="14" t="s">
        <v>86</v>
      </c>
      <c r="F1527" s="14">
        <v>97</v>
      </c>
      <c r="G1527" s="14">
        <v>60</v>
      </c>
      <c r="H1527" s="14" t="s">
        <v>1400</v>
      </c>
      <c r="I1527" s="14" t="s">
        <v>75</v>
      </c>
      <c r="J1527" s="14" t="s">
        <v>201</v>
      </c>
      <c r="K1527" s="14">
        <v>1</v>
      </c>
      <c r="L1527" s="14" t="s">
        <v>1400</v>
      </c>
      <c r="N1527" s="14">
        <v>0</v>
      </c>
      <c r="O1527" s="14" t="b">
        <v>1</v>
      </c>
      <c r="Q1527" s="14" t="b">
        <v>0</v>
      </c>
      <c r="R1527" s="14">
        <v>1</v>
      </c>
      <c r="S1527" s="14" t="s">
        <v>77</v>
      </c>
      <c r="T1527" s="14">
        <v>999</v>
      </c>
      <c r="U1527" s="14" t="s">
        <v>1401</v>
      </c>
      <c r="V1527" s="14">
        <v>31922097</v>
      </c>
      <c r="X1527" s="14" t="s">
        <v>2074</v>
      </c>
      <c r="Y1527" s="14" t="s">
        <v>215</v>
      </c>
      <c r="Z1527" s="14">
        <v>20290</v>
      </c>
      <c r="AA1527" s="14" t="s">
        <v>2075</v>
      </c>
      <c r="AB1527" s="14">
        <v>40001</v>
      </c>
      <c r="AE1527" s="14" t="s">
        <v>1400</v>
      </c>
      <c r="AF1527" s="14" t="s">
        <v>1400</v>
      </c>
      <c r="AG1527" s="14" t="s">
        <v>86</v>
      </c>
    </row>
    <row r="1528" spans="2:33">
      <c r="B1528" s="14">
        <f>10000000+INDEX(编号表!$B:$B,MATCH(H1528,编号表!$A:$A,0))*100000+INDEX(编号表!$F:$F,MATCH(D1528,编号表!$E:$E,0))*10000+INDEX(编号表!$D:$D,MATCH(AG1528,编号表!$C:$C,0))*1000+F1528</f>
        <v>11932098</v>
      </c>
      <c r="C1528" s="14" t="s">
        <v>2071</v>
      </c>
      <c r="D1528" s="14" t="s">
        <v>276</v>
      </c>
      <c r="E1528" s="14" t="s">
        <v>86</v>
      </c>
      <c r="F1528" s="14">
        <v>98</v>
      </c>
      <c r="G1528" s="14">
        <v>60</v>
      </c>
      <c r="H1528" s="14" t="s">
        <v>1400</v>
      </c>
      <c r="I1528" s="14" t="s">
        <v>75</v>
      </c>
      <c r="J1528" s="14" t="s">
        <v>201</v>
      </c>
      <c r="K1528" s="14">
        <v>1</v>
      </c>
      <c r="L1528" s="14" t="s">
        <v>1400</v>
      </c>
      <c r="N1528" s="14">
        <v>0</v>
      </c>
      <c r="O1528" s="14" t="b">
        <v>1</v>
      </c>
      <c r="Q1528" s="14" t="b">
        <v>0</v>
      </c>
      <c r="R1528" s="14">
        <v>1</v>
      </c>
      <c r="S1528" s="14" t="s">
        <v>77</v>
      </c>
      <c r="T1528" s="14">
        <v>999</v>
      </c>
      <c r="U1528" s="14" t="s">
        <v>1401</v>
      </c>
      <c r="V1528" s="14">
        <v>31932098</v>
      </c>
      <c r="X1528" s="14" t="s">
        <v>2076</v>
      </c>
      <c r="Y1528" s="14" t="s">
        <v>215</v>
      </c>
      <c r="Z1528" s="14">
        <v>20291</v>
      </c>
      <c r="AA1528" s="14" t="s">
        <v>2077</v>
      </c>
      <c r="AB1528" s="14">
        <v>40001</v>
      </c>
      <c r="AE1528" s="14" t="s">
        <v>1400</v>
      </c>
      <c r="AF1528" s="14" t="s">
        <v>1400</v>
      </c>
      <c r="AG1528" s="14" t="s">
        <v>86</v>
      </c>
    </row>
    <row r="1529" spans="2:33">
      <c r="B1529" s="14">
        <f>10000000+INDEX(编号表!$B:$B,MATCH(H1529,编号表!$A:$A,0))*100000+INDEX(编号表!$F:$F,MATCH(D1529,编号表!$E:$E,0))*10000+INDEX(编号表!$D:$D,MATCH(AG1529,编号表!$C:$C,0))*1000+F1529</f>
        <v>11912097</v>
      </c>
      <c r="C1529" s="14" t="s">
        <v>2078</v>
      </c>
      <c r="D1529" s="14" t="s">
        <v>72</v>
      </c>
      <c r="E1529" s="14" t="s">
        <v>86</v>
      </c>
      <c r="F1529" s="14">
        <v>97</v>
      </c>
      <c r="G1529" s="14">
        <v>60</v>
      </c>
      <c r="H1529" s="14" t="s">
        <v>1400</v>
      </c>
      <c r="I1529" s="14" t="s">
        <v>75</v>
      </c>
      <c r="J1529" s="14" t="s">
        <v>201</v>
      </c>
      <c r="K1529" s="14">
        <v>1</v>
      </c>
      <c r="L1529" s="14" t="s">
        <v>1400</v>
      </c>
      <c r="N1529" s="14">
        <v>0</v>
      </c>
      <c r="O1529" s="14" t="b">
        <v>1</v>
      </c>
      <c r="Q1529" s="14" t="b">
        <v>0</v>
      </c>
      <c r="R1529" s="14">
        <v>1</v>
      </c>
      <c r="S1529" s="14" t="s">
        <v>77</v>
      </c>
      <c r="T1529" s="14">
        <v>999</v>
      </c>
      <c r="U1529" s="14" t="s">
        <v>1401</v>
      </c>
      <c r="V1529" s="14">
        <v>31912097</v>
      </c>
      <c r="X1529" s="14" t="s">
        <v>2079</v>
      </c>
      <c r="Y1529" s="14" t="s">
        <v>215</v>
      </c>
      <c r="Z1529" s="14">
        <v>20292</v>
      </c>
      <c r="AA1529" s="14" t="s">
        <v>2080</v>
      </c>
      <c r="AB1529" s="14">
        <v>40001</v>
      </c>
      <c r="AE1529" s="14" t="s">
        <v>1400</v>
      </c>
      <c r="AF1529" s="14" t="s">
        <v>1400</v>
      </c>
      <c r="AG1529" s="14" t="s">
        <v>86</v>
      </c>
    </row>
    <row r="1530" spans="2:33">
      <c r="B1530" s="14">
        <f>10000000+INDEX(编号表!$B:$B,MATCH(H1530,编号表!$A:$A,0))*100000+INDEX(编号表!$F:$F,MATCH(D1530,编号表!$E:$E,0))*10000+INDEX(编号表!$D:$D,MATCH(AG1530,编号表!$C:$C,0))*1000+F1530</f>
        <v>11922098</v>
      </c>
      <c r="C1530" s="14" t="s">
        <v>2078</v>
      </c>
      <c r="D1530" s="14" t="s">
        <v>112</v>
      </c>
      <c r="E1530" s="14" t="s">
        <v>86</v>
      </c>
      <c r="F1530" s="14">
        <v>98</v>
      </c>
      <c r="G1530" s="14">
        <v>60</v>
      </c>
      <c r="H1530" s="14" t="s">
        <v>1400</v>
      </c>
      <c r="I1530" s="14" t="s">
        <v>75</v>
      </c>
      <c r="J1530" s="14" t="s">
        <v>201</v>
      </c>
      <c r="K1530" s="14">
        <v>1</v>
      </c>
      <c r="L1530" s="14" t="s">
        <v>1400</v>
      </c>
      <c r="N1530" s="14">
        <v>0</v>
      </c>
      <c r="O1530" s="14" t="b">
        <v>1</v>
      </c>
      <c r="Q1530" s="14" t="b">
        <v>0</v>
      </c>
      <c r="R1530" s="14">
        <v>1</v>
      </c>
      <c r="S1530" s="14" t="s">
        <v>77</v>
      </c>
      <c r="T1530" s="14">
        <v>999</v>
      </c>
      <c r="U1530" s="14" t="s">
        <v>1401</v>
      </c>
      <c r="V1530" s="14">
        <v>31922098</v>
      </c>
      <c r="X1530" s="14" t="s">
        <v>2081</v>
      </c>
      <c r="Y1530" s="14" t="s">
        <v>215</v>
      </c>
      <c r="Z1530" s="14">
        <v>20293</v>
      </c>
      <c r="AA1530" s="14" t="s">
        <v>2082</v>
      </c>
      <c r="AB1530" s="14">
        <v>40001</v>
      </c>
      <c r="AE1530" s="14" t="s">
        <v>1400</v>
      </c>
      <c r="AF1530" s="14" t="s">
        <v>1400</v>
      </c>
      <c r="AG1530" s="14" t="s">
        <v>86</v>
      </c>
    </row>
    <row r="1531" spans="2:33">
      <c r="B1531" s="14">
        <f>10000000+INDEX(编号表!$B:$B,MATCH(H1531,编号表!$A:$A,0))*100000+INDEX(编号表!$F:$F,MATCH(D1531,编号表!$E:$E,0))*10000+INDEX(编号表!$D:$D,MATCH(AG1531,编号表!$C:$C,0))*1000+F1531</f>
        <v>11932099</v>
      </c>
      <c r="C1531" s="14" t="s">
        <v>2078</v>
      </c>
      <c r="D1531" s="14" t="s">
        <v>276</v>
      </c>
      <c r="E1531" s="14" t="s">
        <v>86</v>
      </c>
      <c r="F1531" s="14">
        <v>99</v>
      </c>
      <c r="G1531" s="14">
        <v>60</v>
      </c>
      <c r="H1531" s="14" t="s">
        <v>1400</v>
      </c>
      <c r="I1531" s="14" t="s">
        <v>75</v>
      </c>
      <c r="J1531" s="14" t="s">
        <v>201</v>
      </c>
      <c r="K1531" s="14">
        <v>1</v>
      </c>
      <c r="L1531" s="14" t="s">
        <v>1400</v>
      </c>
      <c r="N1531" s="14">
        <v>0</v>
      </c>
      <c r="O1531" s="14" t="b">
        <v>1</v>
      </c>
      <c r="Q1531" s="14" t="b">
        <v>0</v>
      </c>
      <c r="R1531" s="14">
        <v>1</v>
      </c>
      <c r="S1531" s="14" t="s">
        <v>77</v>
      </c>
      <c r="T1531" s="14">
        <v>999</v>
      </c>
      <c r="U1531" s="14" t="s">
        <v>1401</v>
      </c>
      <c r="V1531" s="14">
        <v>31932099</v>
      </c>
      <c r="X1531" s="14" t="s">
        <v>2083</v>
      </c>
      <c r="Y1531" s="14" t="s">
        <v>215</v>
      </c>
      <c r="Z1531" s="14">
        <v>20294</v>
      </c>
      <c r="AA1531" s="14" t="s">
        <v>2084</v>
      </c>
      <c r="AB1531" s="14">
        <v>40001</v>
      </c>
      <c r="AE1531" s="14" t="s">
        <v>1400</v>
      </c>
      <c r="AF1531" s="14" t="s">
        <v>1400</v>
      </c>
      <c r="AG1531" s="14" t="s">
        <v>86</v>
      </c>
    </row>
    <row r="1532" spans="2:33">
      <c r="B1532" s="14">
        <f>10000000+INDEX(编号表!$B:$B,MATCH(H1532,编号表!$A:$A,0))*100000+INDEX(编号表!$F:$F,MATCH(D1532,编号表!$E:$E,0))*10000+INDEX(编号表!$D:$D,MATCH(AG1532,编号表!$C:$C,0))*1000+F1532</f>
        <v>11912098</v>
      </c>
      <c r="C1532" s="14" t="s">
        <v>2085</v>
      </c>
      <c r="D1532" s="14" t="s">
        <v>72</v>
      </c>
      <c r="E1532" s="14" t="s">
        <v>86</v>
      </c>
      <c r="F1532" s="14">
        <v>98</v>
      </c>
      <c r="G1532" s="14">
        <v>60</v>
      </c>
      <c r="H1532" s="14" t="s">
        <v>1400</v>
      </c>
      <c r="I1532" s="14" t="s">
        <v>75</v>
      </c>
      <c r="J1532" s="14" t="s">
        <v>201</v>
      </c>
      <c r="K1532" s="14">
        <v>1</v>
      </c>
      <c r="L1532" s="14" t="s">
        <v>1400</v>
      </c>
      <c r="N1532" s="14">
        <v>0</v>
      </c>
      <c r="O1532" s="14" t="b">
        <v>1</v>
      </c>
      <c r="Q1532" s="14" t="b">
        <v>0</v>
      </c>
      <c r="R1532" s="14">
        <v>1</v>
      </c>
      <c r="S1532" s="14" t="s">
        <v>77</v>
      </c>
      <c r="T1532" s="14">
        <v>999</v>
      </c>
      <c r="U1532" s="14" t="s">
        <v>1401</v>
      </c>
      <c r="V1532" s="14">
        <v>31912098</v>
      </c>
      <c r="X1532" s="14" t="s">
        <v>2086</v>
      </c>
      <c r="Y1532" s="14" t="s">
        <v>215</v>
      </c>
      <c r="Z1532" s="14">
        <v>20295</v>
      </c>
      <c r="AA1532" s="14" t="s">
        <v>2087</v>
      </c>
      <c r="AB1532" s="14">
        <v>40001</v>
      </c>
      <c r="AE1532" s="14" t="s">
        <v>1400</v>
      </c>
      <c r="AF1532" s="14" t="s">
        <v>1400</v>
      </c>
      <c r="AG1532" s="14" t="s">
        <v>86</v>
      </c>
    </row>
    <row r="1533" spans="2:33">
      <c r="B1533" s="14">
        <f>10000000+INDEX(编号表!$B:$B,MATCH(H1533,编号表!$A:$A,0))*100000+INDEX(编号表!$F:$F,MATCH(D1533,编号表!$E:$E,0))*10000+INDEX(编号表!$D:$D,MATCH(AG1533,编号表!$C:$C,0))*1000+F1533</f>
        <v>11922099</v>
      </c>
      <c r="C1533" s="14" t="s">
        <v>2085</v>
      </c>
      <c r="D1533" s="14" t="s">
        <v>112</v>
      </c>
      <c r="E1533" s="14" t="s">
        <v>86</v>
      </c>
      <c r="F1533" s="14">
        <v>99</v>
      </c>
      <c r="G1533" s="14">
        <v>60</v>
      </c>
      <c r="H1533" s="14" t="s">
        <v>1400</v>
      </c>
      <c r="I1533" s="14" t="s">
        <v>75</v>
      </c>
      <c r="J1533" s="14" t="s">
        <v>201</v>
      </c>
      <c r="K1533" s="14">
        <v>1</v>
      </c>
      <c r="L1533" s="14" t="s">
        <v>1400</v>
      </c>
      <c r="N1533" s="14">
        <v>0</v>
      </c>
      <c r="O1533" s="14" t="b">
        <v>1</v>
      </c>
      <c r="Q1533" s="14" t="b">
        <v>0</v>
      </c>
      <c r="R1533" s="14">
        <v>1</v>
      </c>
      <c r="S1533" s="14" t="s">
        <v>77</v>
      </c>
      <c r="T1533" s="14">
        <v>999</v>
      </c>
      <c r="U1533" s="14" t="s">
        <v>1401</v>
      </c>
      <c r="V1533" s="14">
        <v>31922099</v>
      </c>
      <c r="X1533" s="14" t="s">
        <v>2088</v>
      </c>
      <c r="Y1533" s="14" t="s">
        <v>215</v>
      </c>
      <c r="Z1533" s="14">
        <v>20296</v>
      </c>
      <c r="AA1533" s="14" t="s">
        <v>2089</v>
      </c>
      <c r="AB1533" s="14">
        <v>40001</v>
      </c>
      <c r="AE1533" s="14" t="s">
        <v>1400</v>
      </c>
      <c r="AF1533" s="14" t="s">
        <v>1400</v>
      </c>
      <c r="AG1533" s="14" t="s">
        <v>86</v>
      </c>
    </row>
    <row r="1534" spans="2:33">
      <c r="B1534" s="14">
        <f>10000000+INDEX(编号表!$B:$B,MATCH(H1534,编号表!$A:$A,0))*100000+INDEX(编号表!$F:$F,MATCH(D1534,编号表!$E:$E,0))*10000+INDEX(编号表!$D:$D,MATCH(AG1534,编号表!$C:$C,0))*1000+F1534</f>
        <v>11932100</v>
      </c>
      <c r="C1534" s="14" t="s">
        <v>2085</v>
      </c>
      <c r="D1534" s="14" t="s">
        <v>276</v>
      </c>
      <c r="E1534" s="14" t="s">
        <v>86</v>
      </c>
      <c r="F1534" s="14">
        <v>100</v>
      </c>
      <c r="G1534" s="14">
        <v>60</v>
      </c>
      <c r="H1534" s="14" t="s">
        <v>1400</v>
      </c>
      <c r="I1534" s="14" t="s">
        <v>75</v>
      </c>
      <c r="J1534" s="14" t="s">
        <v>201</v>
      </c>
      <c r="K1534" s="14">
        <v>1</v>
      </c>
      <c r="L1534" s="14" t="s">
        <v>1400</v>
      </c>
      <c r="N1534" s="14">
        <v>0</v>
      </c>
      <c r="O1534" s="14" t="b">
        <v>1</v>
      </c>
      <c r="Q1534" s="14" t="b">
        <v>0</v>
      </c>
      <c r="R1534" s="14">
        <v>1</v>
      </c>
      <c r="S1534" s="14" t="s">
        <v>77</v>
      </c>
      <c r="T1534" s="14">
        <v>999</v>
      </c>
      <c r="U1534" s="14" t="s">
        <v>1401</v>
      </c>
      <c r="V1534" s="14">
        <v>31932100</v>
      </c>
      <c r="X1534" s="14" t="s">
        <v>2090</v>
      </c>
      <c r="Y1534" s="14" t="s">
        <v>215</v>
      </c>
      <c r="Z1534" s="14">
        <v>20297</v>
      </c>
      <c r="AA1534" s="14" t="s">
        <v>2091</v>
      </c>
      <c r="AB1534" s="14">
        <v>40001</v>
      </c>
      <c r="AE1534" s="14" t="s">
        <v>1400</v>
      </c>
      <c r="AF1534" s="14" t="s">
        <v>1400</v>
      </c>
      <c r="AG1534" s="14" t="s">
        <v>86</v>
      </c>
    </row>
    <row r="1535" spans="2:33">
      <c r="B1535" s="14">
        <f>10000000+INDEX(编号表!$B:$B,MATCH(H1535,编号表!$A:$A,0))*100000+INDEX(编号表!$F:$F,MATCH(D1535,编号表!$E:$E,0))*10000+INDEX(编号表!$D:$D,MATCH(AG1535,编号表!$C:$C,0))*1000+F1535</f>
        <v>11912099</v>
      </c>
      <c r="C1535" s="14" t="s">
        <v>2092</v>
      </c>
      <c r="D1535" s="14" t="s">
        <v>72</v>
      </c>
      <c r="E1535" s="14" t="s">
        <v>86</v>
      </c>
      <c r="F1535" s="14">
        <v>99</v>
      </c>
      <c r="G1535" s="14">
        <v>60</v>
      </c>
      <c r="H1535" s="14" t="s">
        <v>1400</v>
      </c>
      <c r="I1535" s="14" t="s">
        <v>75</v>
      </c>
      <c r="J1535" s="14" t="s">
        <v>201</v>
      </c>
      <c r="K1535" s="14">
        <v>1</v>
      </c>
      <c r="L1535" s="14" t="s">
        <v>1400</v>
      </c>
      <c r="N1535" s="14">
        <v>0</v>
      </c>
      <c r="O1535" s="14" t="b">
        <v>1</v>
      </c>
      <c r="Q1535" s="14" t="b">
        <v>0</v>
      </c>
      <c r="R1535" s="14">
        <v>1</v>
      </c>
      <c r="S1535" s="14" t="s">
        <v>77</v>
      </c>
      <c r="T1535" s="14">
        <v>999</v>
      </c>
      <c r="U1535" s="14" t="s">
        <v>1401</v>
      </c>
      <c r="V1535" s="14">
        <v>31912099</v>
      </c>
      <c r="X1535" s="14" t="s">
        <v>2093</v>
      </c>
      <c r="Y1535" s="14" t="s">
        <v>215</v>
      </c>
      <c r="Z1535" s="14">
        <v>20298</v>
      </c>
      <c r="AA1535" s="14" t="s">
        <v>2094</v>
      </c>
      <c r="AB1535" s="14">
        <v>40001</v>
      </c>
      <c r="AE1535" s="14" t="s">
        <v>1400</v>
      </c>
      <c r="AF1535" s="14" t="s">
        <v>1400</v>
      </c>
      <c r="AG1535" s="14" t="s">
        <v>86</v>
      </c>
    </row>
    <row r="1536" spans="2:33">
      <c r="B1536" s="14">
        <f>10000000+INDEX(编号表!$B:$B,MATCH(H1536,编号表!$A:$A,0))*100000+INDEX(编号表!$F:$F,MATCH(D1536,编号表!$E:$E,0))*10000+INDEX(编号表!$D:$D,MATCH(AG1536,编号表!$C:$C,0))*1000+F1536</f>
        <v>11922100</v>
      </c>
      <c r="C1536" s="14" t="s">
        <v>2092</v>
      </c>
      <c r="D1536" s="14" t="s">
        <v>112</v>
      </c>
      <c r="E1536" s="14" t="s">
        <v>86</v>
      </c>
      <c r="F1536" s="14">
        <v>100</v>
      </c>
      <c r="G1536" s="14">
        <v>60</v>
      </c>
      <c r="H1536" s="14" t="s">
        <v>1400</v>
      </c>
      <c r="I1536" s="14" t="s">
        <v>75</v>
      </c>
      <c r="J1536" s="14" t="s">
        <v>201</v>
      </c>
      <c r="K1536" s="14">
        <v>1</v>
      </c>
      <c r="L1536" s="14" t="s">
        <v>1400</v>
      </c>
      <c r="N1536" s="14">
        <v>0</v>
      </c>
      <c r="O1536" s="14" t="b">
        <v>1</v>
      </c>
      <c r="Q1536" s="14" t="b">
        <v>0</v>
      </c>
      <c r="R1536" s="14">
        <v>1</v>
      </c>
      <c r="S1536" s="14" t="s">
        <v>77</v>
      </c>
      <c r="T1536" s="14">
        <v>999</v>
      </c>
      <c r="U1536" s="14" t="s">
        <v>1401</v>
      </c>
      <c r="V1536" s="14">
        <v>31922100</v>
      </c>
      <c r="X1536" s="14" t="s">
        <v>2095</v>
      </c>
      <c r="Y1536" s="14" t="s">
        <v>215</v>
      </c>
      <c r="Z1536" s="14">
        <v>20299</v>
      </c>
      <c r="AA1536" s="14" t="s">
        <v>2096</v>
      </c>
      <c r="AB1536" s="14">
        <v>40001</v>
      </c>
      <c r="AE1536" s="14" t="s">
        <v>1400</v>
      </c>
      <c r="AF1536" s="14" t="s">
        <v>1400</v>
      </c>
      <c r="AG1536" s="14" t="s">
        <v>86</v>
      </c>
    </row>
    <row r="1537" spans="2:33">
      <c r="B1537" s="14">
        <f>10000000+INDEX(编号表!$B:$B,MATCH(H1537,编号表!$A:$A,0))*100000+INDEX(编号表!$F:$F,MATCH(D1537,编号表!$E:$E,0))*10000+INDEX(编号表!$D:$D,MATCH(AG1537,编号表!$C:$C,0))*1000+F1537</f>
        <v>11932101</v>
      </c>
      <c r="C1537" s="14" t="s">
        <v>2092</v>
      </c>
      <c r="D1537" s="14" t="s">
        <v>276</v>
      </c>
      <c r="E1537" s="14" t="s">
        <v>86</v>
      </c>
      <c r="F1537" s="14">
        <v>101</v>
      </c>
      <c r="G1537" s="14">
        <v>60</v>
      </c>
      <c r="H1537" s="14" t="s">
        <v>1400</v>
      </c>
      <c r="I1537" s="14" t="s">
        <v>75</v>
      </c>
      <c r="J1537" s="14" t="s">
        <v>201</v>
      </c>
      <c r="K1537" s="14">
        <v>1</v>
      </c>
      <c r="L1537" s="14" t="s">
        <v>1400</v>
      </c>
      <c r="N1537" s="14">
        <v>0</v>
      </c>
      <c r="O1537" s="14" t="b">
        <v>1</v>
      </c>
      <c r="Q1537" s="14" t="b">
        <v>0</v>
      </c>
      <c r="R1537" s="14">
        <v>1</v>
      </c>
      <c r="S1537" s="14" t="s">
        <v>77</v>
      </c>
      <c r="T1537" s="14">
        <v>999</v>
      </c>
      <c r="U1537" s="14" t="s">
        <v>1401</v>
      </c>
      <c r="V1537" s="14">
        <v>31932101</v>
      </c>
      <c r="X1537" s="14" t="s">
        <v>2097</v>
      </c>
      <c r="Y1537" s="14" t="s">
        <v>215</v>
      </c>
      <c r="Z1537" s="14">
        <v>20300</v>
      </c>
      <c r="AA1537" s="14" t="s">
        <v>2098</v>
      </c>
      <c r="AB1537" s="14">
        <v>40001</v>
      </c>
      <c r="AE1537" s="14" t="s">
        <v>1400</v>
      </c>
      <c r="AF1537" s="14" t="s">
        <v>1400</v>
      </c>
      <c r="AG1537" s="14" t="s">
        <v>86</v>
      </c>
    </row>
    <row r="1538" spans="2:33">
      <c r="B1538" s="14">
        <f>10000000+INDEX(编号表!$B:$B,MATCH(H1538,编号表!$A:$A,0))*100000+INDEX(编号表!$F:$F,MATCH(D1538,编号表!$E:$E,0))*10000+INDEX(编号表!$D:$D,MATCH(AG1538,编号表!$C:$C,0))*1000+F1538</f>
        <v>11912100</v>
      </c>
      <c r="C1538" s="14" t="s">
        <v>2099</v>
      </c>
      <c r="D1538" s="14" t="s">
        <v>72</v>
      </c>
      <c r="E1538" s="14" t="s">
        <v>86</v>
      </c>
      <c r="F1538" s="14">
        <v>100</v>
      </c>
      <c r="G1538" s="14">
        <v>60</v>
      </c>
      <c r="H1538" s="14" t="s">
        <v>1400</v>
      </c>
      <c r="I1538" s="14" t="s">
        <v>75</v>
      </c>
      <c r="J1538" s="14" t="s">
        <v>201</v>
      </c>
      <c r="K1538" s="14">
        <v>1</v>
      </c>
      <c r="L1538" s="14" t="s">
        <v>1400</v>
      </c>
      <c r="N1538" s="14">
        <v>0</v>
      </c>
      <c r="O1538" s="14" t="b">
        <v>1</v>
      </c>
      <c r="Q1538" s="14" t="b">
        <v>0</v>
      </c>
      <c r="R1538" s="14">
        <v>1</v>
      </c>
      <c r="S1538" s="14" t="s">
        <v>77</v>
      </c>
      <c r="T1538" s="14">
        <v>999</v>
      </c>
      <c r="U1538" s="14" t="s">
        <v>1401</v>
      </c>
      <c r="V1538" s="14">
        <v>31912100</v>
      </c>
      <c r="X1538" s="14" t="s">
        <v>2100</v>
      </c>
      <c r="Y1538" s="14" t="s">
        <v>215</v>
      </c>
      <c r="Z1538" s="14">
        <v>20301</v>
      </c>
      <c r="AA1538" s="14" t="s">
        <v>2101</v>
      </c>
      <c r="AB1538" s="14">
        <v>40001</v>
      </c>
      <c r="AE1538" s="14" t="s">
        <v>1400</v>
      </c>
      <c r="AF1538" s="14" t="s">
        <v>1400</v>
      </c>
      <c r="AG1538" s="14" t="s">
        <v>86</v>
      </c>
    </row>
    <row r="1539" spans="2:33">
      <c r="B1539" s="14">
        <f>10000000+INDEX(编号表!$B:$B,MATCH(H1539,编号表!$A:$A,0))*100000+INDEX(编号表!$F:$F,MATCH(D1539,编号表!$E:$E,0))*10000+INDEX(编号表!$D:$D,MATCH(AG1539,编号表!$C:$C,0))*1000+F1539</f>
        <v>11922101</v>
      </c>
      <c r="C1539" s="14" t="s">
        <v>2099</v>
      </c>
      <c r="D1539" s="14" t="s">
        <v>112</v>
      </c>
      <c r="E1539" s="14" t="s">
        <v>86</v>
      </c>
      <c r="F1539" s="14">
        <v>101</v>
      </c>
      <c r="G1539" s="14">
        <v>60</v>
      </c>
      <c r="H1539" s="14" t="s">
        <v>1400</v>
      </c>
      <c r="I1539" s="14" t="s">
        <v>75</v>
      </c>
      <c r="J1539" s="14" t="s">
        <v>201</v>
      </c>
      <c r="K1539" s="14">
        <v>1</v>
      </c>
      <c r="L1539" s="14" t="s">
        <v>1400</v>
      </c>
      <c r="N1539" s="14">
        <v>0</v>
      </c>
      <c r="O1539" s="14" t="b">
        <v>1</v>
      </c>
      <c r="Q1539" s="14" t="b">
        <v>0</v>
      </c>
      <c r="R1539" s="14">
        <v>1</v>
      </c>
      <c r="S1539" s="14" t="s">
        <v>77</v>
      </c>
      <c r="T1539" s="14">
        <v>999</v>
      </c>
      <c r="U1539" s="14" t="s">
        <v>1401</v>
      </c>
      <c r="V1539" s="14">
        <v>31922101</v>
      </c>
      <c r="X1539" s="14" t="s">
        <v>2102</v>
      </c>
      <c r="Y1539" s="14" t="s">
        <v>215</v>
      </c>
      <c r="Z1539" s="14">
        <v>20302</v>
      </c>
      <c r="AA1539" s="14" t="s">
        <v>2103</v>
      </c>
      <c r="AB1539" s="14">
        <v>40001</v>
      </c>
      <c r="AE1539" s="14" t="s">
        <v>1400</v>
      </c>
      <c r="AF1539" s="14" t="s">
        <v>1400</v>
      </c>
      <c r="AG1539" s="14" t="s">
        <v>86</v>
      </c>
    </row>
    <row r="1540" spans="2:33">
      <c r="B1540" s="14">
        <f>10000000+INDEX(编号表!$B:$B,MATCH(H1540,编号表!$A:$A,0))*100000+INDEX(编号表!$F:$F,MATCH(D1540,编号表!$E:$E,0))*10000+INDEX(编号表!$D:$D,MATCH(AG1540,编号表!$C:$C,0))*1000+F1540</f>
        <v>11932102</v>
      </c>
      <c r="C1540" s="14" t="s">
        <v>2099</v>
      </c>
      <c r="D1540" s="14" t="s">
        <v>276</v>
      </c>
      <c r="E1540" s="14" t="s">
        <v>86</v>
      </c>
      <c r="F1540" s="14">
        <v>102</v>
      </c>
      <c r="G1540" s="14">
        <v>60</v>
      </c>
      <c r="H1540" s="14" t="s">
        <v>1400</v>
      </c>
      <c r="I1540" s="14" t="s">
        <v>75</v>
      </c>
      <c r="J1540" s="14" t="s">
        <v>201</v>
      </c>
      <c r="K1540" s="14">
        <v>1</v>
      </c>
      <c r="L1540" s="14" t="s">
        <v>1400</v>
      </c>
      <c r="N1540" s="14">
        <v>0</v>
      </c>
      <c r="O1540" s="14" t="b">
        <v>1</v>
      </c>
      <c r="Q1540" s="14" t="b">
        <v>0</v>
      </c>
      <c r="R1540" s="14">
        <v>1</v>
      </c>
      <c r="S1540" s="14" t="s">
        <v>77</v>
      </c>
      <c r="T1540" s="14">
        <v>999</v>
      </c>
      <c r="U1540" s="14" t="s">
        <v>1401</v>
      </c>
      <c r="V1540" s="14">
        <v>31932102</v>
      </c>
      <c r="X1540" s="14" t="s">
        <v>2104</v>
      </c>
      <c r="Y1540" s="14" t="s">
        <v>215</v>
      </c>
      <c r="Z1540" s="14">
        <v>20303</v>
      </c>
      <c r="AA1540" s="14" t="s">
        <v>2105</v>
      </c>
      <c r="AB1540" s="14">
        <v>40001</v>
      </c>
      <c r="AE1540" s="14" t="s">
        <v>1400</v>
      </c>
      <c r="AF1540" s="14" t="s">
        <v>1400</v>
      </c>
      <c r="AG1540" s="14" t="s">
        <v>86</v>
      </c>
    </row>
    <row r="1541" spans="2:33">
      <c r="B1541" s="14">
        <f>10000000+INDEX(编号表!$B:$B,MATCH(H1541,编号表!$A:$A,0))*100000+INDEX(编号表!$F:$F,MATCH(D1541,编号表!$E:$E,0))*10000+INDEX(编号表!$D:$D,MATCH(AG1541,编号表!$C:$C,0))*1000+F1541</f>
        <v>11912101</v>
      </c>
      <c r="C1541" s="14" t="s">
        <v>2106</v>
      </c>
      <c r="D1541" s="14" t="s">
        <v>72</v>
      </c>
      <c r="E1541" s="14" t="s">
        <v>86</v>
      </c>
      <c r="F1541" s="14">
        <v>101</v>
      </c>
      <c r="G1541" s="14">
        <v>60</v>
      </c>
      <c r="H1541" s="14" t="s">
        <v>1400</v>
      </c>
      <c r="I1541" s="14" t="s">
        <v>75</v>
      </c>
      <c r="J1541" s="14" t="s">
        <v>201</v>
      </c>
      <c r="K1541" s="14">
        <v>1</v>
      </c>
      <c r="L1541" s="14" t="s">
        <v>1400</v>
      </c>
      <c r="N1541" s="14">
        <v>0</v>
      </c>
      <c r="O1541" s="14" t="b">
        <v>1</v>
      </c>
      <c r="Q1541" s="14" t="b">
        <v>0</v>
      </c>
      <c r="R1541" s="14">
        <v>1</v>
      </c>
      <c r="S1541" s="14" t="s">
        <v>77</v>
      </c>
      <c r="T1541" s="14">
        <v>999</v>
      </c>
      <c r="U1541" s="14" t="s">
        <v>1401</v>
      </c>
      <c r="V1541" s="14">
        <v>31912101</v>
      </c>
      <c r="X1541" s="14" t="s">
        <v>2107</v>
      </c>
      <c r="Y1541" s="14" t="s">
        <v>215</v>
      </c>
      <c r="Z1541" s="14">
        <v>20304</v>
      </c>
      <c r="AA1541" s="14" t="s">
        <v>2108</v>
      </c>
      <c r="AB1541" s="14">
        <v>40001</v>
      </c>
      <c r="AE1541" s="14" t="s">
        <v>1400</v>
      </c>
      <c r="AF1541" s="14" t="s">
        <v>1400</v>
      </c>
      <c r="AG1541" s="14" t="s">
        <v>86</v>
      </c>
    </row>
    <row r="1542" spans="2:33">
      <c r="B1542" s="14">
        <f>10000000+INDEX(编号表!$B:$B,MATCH(H1542,编号表!$A:$A,0))*100000+INDEX(编号表!$F:$F,MATCH(D1542,编号表!$E:$E,0))*10000+INDEX(编号表!$D:$D,MATCH(AG1542,编号表!$C:$C,0))*1000+F1542</f>
        <v>11922102</v>
      </c>
      <c r="C1542" s="14" t="s">
        <v>2106</v>
      </c>
      <c r="D1542" s="14" t="s">
        <v>112</v>
      </c>
      <c r="E1542" s="14" t="s">
        <v>86</v>
      </c>
      <c r="F1542" s="14">
        <v>102</v>
      </c>
      <c r="G1542" s="14">
        <v>60</v>
      </c>
      <c r="H1542" s="14" t="s">
        <v>1400</v>
      </c>
      <c r="I1542" s="14" t="s">
        <v>75</v>
      </c>
      <c r="J1542" s="14" t="s">
        <v>201</v>
      </c>
      <c r="K1542" s="14">
        <v>1</v>
      </c>
      <c r="L1542" s="14" t="s">
        <v>1400</v>
      </c>
      <c r="N1542" s="14">
        <v>0</v>
      </c>
      <c r="O1542" s="14" t="b">
        <v>1</v>
      </c>
      <c r="Q1542" s="14" t="b">
        <v>0</v>
      </c>
      <c r="R1542" s="14">
        <v>1</v>
      </c>
      <c r="S1542" s="14" t="s">
        <v>77</v>
      </c>
      <c r="T1542" s="14">
        <v>999</v>
      </c>
      <c r="U1542" s="14" t="s">
        <v>1401</v>
      </c>
      <c r="V1542" s="14">
        <v>31922102</v>
      </c>
      <c r="X1542" s="14" t="s">
        <v>2109</v>
      </c>
      <c r="Y1542" s="14" t="s">
        <v>215</v>
      </c>
      <c r="Z1542" s="14">
        <v>20305</v>
      </c>
      <c r="AA1542" s="14" t="s">
        <v>2110</v>
      </c>
      <c r="AB1542" s="14">
        <v>40001</v>
      </c>
      <c r="AE1542" s="14" t="s">
        <v>1400</v>
      </c>
      <c r="AF1542" s="14" t="s">
        <v>1400</v>
      </c>
      <c r="AG1542" s="14" t="s">
        <v>86</v>
      </c>
    </row>
    <row r="1543" spans="2:33">
      <c r="B1543" s="14">
        <f>10000000+INDEX(编号表!$B:$B,MATCH(H1543,编号表!$A:$A,0))*100000+INDEX(编号表!$F:$F,MATCH(D1543,编号表!$E:$E,0))*10000+INDEX(编号表!$D:$D,MATCH(AG1543,编号表!$C:$C,0))*1000+F1543</f>
        <v>11932103</v>
      </c>
      <c r="C1543" s="14" t="s">
        <v>2106</v>
      </c>
      <c r="D1543" s="14" t="s">
        <v>276</v>
      </c>
      <c r="E1543" s="14" t="s">
        <v>86</v>
      </c>
      <c r="F1543" s="14">
        <v>103</v>
      </c>
      <c r="G1543" s="14">
        <v>60</v>
      </c>
      <c r="H1543" s="14" t="s">
        <v>1400</v>
      </c>
      <c r="I1543" s="14" t="s">
        <v>75</v>
      </c>
      <c r="J1543" s="14" t="s">
        <v>201</v>
      </c>
      <c r="K1543" s="14">
        <v>1</v>
      </c>
      <c r="L1543" s="14" t="s">
        <v>1400</v>
      </c>
      <c r="N1543" s="14">
        <v>0</v>
      </c>
      <c r="O1543" s="14" t="b">
        <v>1</v>
      </c>
      <c r="Q1543" s="14" t="b">
        <v>0</v>
      </c>
      <c r="R1543" s="14">
        <v>1</v>
      </c>
      <c r="S1543" s="14" t="s">
        <v>77</v>
      </c>
      <c r="T1543" s="14">
        <v>999</v>
      </c>
      <c r="U1543" s="14" t="s">
        <v>1401</v>
      </c>
      <c r="V1543" s="14">
        <v>31932103</v>
      </c>
      <c r="X1543" s="14" t="s">
        <v>2111</v>
      </c>
      <c r="Y1543" s="14" t="s">
        <v>215</v>
      </c>
      <c r="Z1543" s="14">
        <v>20306</v>
      </c>
      <c r="AA1543" s="14" t="s">
        <v>2112</v>
      </c>
      <c r="AB1543" s="14">
        <v>40001</v>
      </c>
      <c r="AE1543" s="14" t="s">
        <v>1400</v>
      </c>
      <c r="AF1543" s="14" t="s">
        <v>1400</v>
      </c>
      <c r="AG1543" s="14" t="s">
        <v>86</v>
      </c>
    </row>
    <row r="1544" spans="2:33">
      <c r="B1544" s="14">
        <f>10000000+INDEX(编号表!$B:$B,MATCH(H1544,编号表!$A:$A,0))*100000+INDEX(编号表!$F:$F,MATCH(D1544,编号表!$E:$E,0))*10000+INDEX(编号表!$D:$D,MATCH(AG1544,编号表!$C:$C,0))*1000+F1544</f>
        <v>11912102</v>
      </c>
      <c r="C1544" s="14" t="s">
        <v>2113</v>
      </c>
      <c r="D1544" s="14" t="s">
        <v>72</v>
      </c>
      <c r="E1544" s="14" t="s">
        <v>86</v>
      </c>
      <c r="F1544" s="14">
        <v>102</v>
      </c>
      <c r="G1544" s="14">
        <v>60</v>
      </c>
      <c r="H1544" s="14" t="s">
        <v>1400</v>
      </c>
      <c r="I1544" s="14" t="s">
        <v>75</v>
      </c>
      <c r="J1544" s="14" t="s">
        <v>201</v>
      </c>
      <c r="K1544" s="14">
        <v>1</v>
      </c>
      <c r="L1544" s="14" t="s">
        <v>1400</v>
      </c>
      <c r="N1544" s="14">
        <v>0</v>
      </c>
      <c r="O1544" s="14" t="b">
        <v>1</v>
      </c>
      <c r="Q1544" s="14" t="b">
        <v>0</v>
      </c>
      <c r="R1544" s="14">
        <v>1</v>
      </c>
      <c r="S1544" s="14" t="s">
        <v>77</v>
      </c>
      <c r="T1544" s="14">
        <v>999</v>
      </c>
      <c r="U1544" s="14" t="s">
        <v>1401</v>
      </c>
      <c r="V1544" s="14">
        <v>31912102</v>
      </c>
      <c r="X1544" s="14" t="s">
        <v>2114</v>
      </c>
      <c r="Y1544" s="14" t="s">
        <v>215</v>
      </c>
      <c r="Z1544" s="14">
        <v>20307</v>
      </c>
      <c r="AA1544" s="14" t="s">
        <v>2115</v>
      </c>
      <c r="AB1544" s="14">
        <v>40001</v>
      </c>
      <c r="AE1544" s="14" t="s">
        <v>1400</v>
      </c>
      <c r="AF1544" s="14" t="s">
        <v>1400</v>
      </c>
      <c r="AG1544" s="14" t="s">
        <v>86</v>
      </c>
    </row>
    <row r="1545" spans="2:33">
      <c r="B1545" s="14">
        <f>10000000+INDEX(编号表!$B:$B,MATCH(H1545,编号表!$A:$A,0))*100000+INDEX(编号表!$F:$F,MATCH(D1545,编号表!$E:$E,0))*10000+INDEX(编号表!$D:$D,MATCH(AG1545,编号表!$C:$C,0))*1000+F1545</f>
        <v>11922103</v>
      </c>
      <c r="C1545" s="14" t="s">
        <v>2113</v>
      </c>
      <c r="D1545" s="14" t="s">
        <v>112</v>
      </c>
      <c r="E1545" s="14" t="s">
        <v>86</v>
      </c>
      <c r="F1545" s="14">
        <v>103</v>
      </c>
      <c r="G1545" s="14">
        <v>60</v>
      </c>
      <c r="H1545" s="14" t="s">
        <v>1400</v>
      </c>
      <c r="I1545" s="14" t="s">
        <v>75</v>
      </c>
      <c r="J1545" s="14" t="s">
        <v>201</v>
      </c>
      <c r="K1545" s="14">
        <v>1</v>
      </c>
      <c r="L1545" s="14" t="s">
        <v>1400</v>
      </c>
      <c r="N1545" s="14">
        <v>0</v>
      </c>
      <c r="O1545" s="14" t="b">
        <v>1</v>
      </c>
      <c r="Q1545" s="14" t="b">
        <v>0</v>
      </c>
      <c r="R1545" s="14">
        <v>1</v>
      </c>
      <c r="S1545" s="14" t="s">
        <v>77</v>
      </c>
      <c r="T1545" s="14">
        <v>999</v>
      </c>
      <c r="U1545" s="14" t="s">
        <v>1401</v>
      </c>
      <c r="V1545" s="14">
        <v>31922103</v>
      </c>
      <c r="X1545" s="14" t="s">
        <v>2116</v>
      </c>
      <c r="Y1545" s="14" t="s">
        <v>215</v>
      </c>
      <c r="Z1545" s="14">
        <v>20308</v>
      </c>
      <c r="AA1545" s="14" t="s">
        <v>2117</v>
      </c>
      <c r="AB1545" s="14">
        <v>40001</v>
      </c>
      <c r="AE1545" s="14" t="s">
        <v>1400</v>
      </c>
      <c r="AF1545" s="14" t="s">
        <v>1400</v>
      </c>
      <c r="AG1545" s="14" t="s">
        <v>86</v>
      </c>
    </row>
    <row r="1546" spans="2:33">
      <c r="B1546" s="14">
        <f>10000000+INDEX(编号表!$B:$B,MATCH(H1546,编号表!$A:$A,0))*100000+INDEX(编号表!$F:$F,MATCH(D1546,编号表!$E:$E,0))*10000+INDEX(编号表!$D:$D,MATCH(AG1546,编号表!$C:$C,0))*1000+F1546</f>
        <v>11932104</v>
      </c>
      <c r="C1546" s="14" t="s">
        <v>2113</v>
      </c>
      <c r="D1546" s="14" t="s">
        <v>276</v>
      </c>
      <c r="E1546" s="14" t="s">
        <v>86</v>
      </c>
      <c r="F1546" s="14">
        <v>104</v>
      </c>
      <c r="G1546" s="14">
        <v>60</v>
      </c>
      <c r="H1546" s="14" t="s">
        <v>1400</v>
      </c>
      <c r="I1546" s="14" t="s">
        <v>75</v>
      </c>
      <c r="J1546" s="14" t="s">
        <v>201</v>
      </c>
      <c r="K1546" s="14">
        <v>1</v>
      </c>
      <c r="L1546" s="14" t="s">
        <v>1400</v>
      </c>
      <c r="N1546" s="14">
        <v>0</v>
      </c>
      <c r="O1546" s="14" t="b">
        <v>1</v>
      </c>
      <c r="Q1546" s="14" t="b">
        <v>0</v>
      </c>
      <c r="R1546" s="14">
        <v>1</v>
      </c>
      <c r="S1546" s="14" t="s">
        <v>77</v>
      </c>
      <c r="T1546" s="14">
        <v>999</v>
      </c>
      <c r="U1546" s="14" t="s">
        <v>1401</v>
      </c>
      <c r="V1546" s="14">
        <v>31932104</v>
      </c>
      <c r="X1546" s="14" t="s">
        <v>2118</v>
      </c>
      <c r="Y1546" s="14" t="s">
        <v>215</v>
      </c>
      <c r="Z1546" s="14">
        <v>20309</v>
      </c>
      <c r="AA1546" s="14" t="s">
        <v>2119</v>
      </c>
      <c r="AB1546" s="14">
        <v>40001</v>
      </c>
      <c r="AE1546" s="14" t="s">
        <v>1400</v>
      </c>
      <c r="AF1546" s="14" t="s">
        <v>1400</v>
      </c>
      <c r="AG1546" s="14" t="s">
        <v>86</v>
      </c>
    </row>
    <row r="1547" spans="2:33">
      <c r="B1547" s="14">
        <f>10000000+INDEX(编号表!$B:$B,MATCH(H1547,编号表!$A:$A,0))*100000+INDEX(编号表!$F:$F,MATCH(D1547,编号表!$E:$E,0))*10000+INDEX(编号表!$D:$D,MATCH(AG1547,编号表!$C:$C,0))*1000+F1547</f>
        <v>11912103</v>
      </c>
      <c r="C1547" s="14" t="s">
        <v>2120</v>
      </c>
      <c r="D1547" s="14" t="s">
        <v>72</v>
      </c>
      <c r="E1547" s="14" t="s">
        <v>86</v>
      </c>
      <c r="F1547" s="14">
        <v>103</v>
      </c>
      <c r="G1547" s="14">
        <v>60</v>
      </c>
      <c r="H1547" s="14" t="s">
        <v>1400</v>
      </c>
      <c r="I1547" s="14" t="s">
        <v>75</v>
      </c>
      <c r="J1547" s="14" t="s">
        <v>201</v>
      </c>
      <c r="K1547" s="14">
        <v>1</v>
      </c>
      <c r="L1547" s="14" t="s">
        <v>1400</v>
      </c>
      <c r="N1547" s="14">
        <v>0</v>
      </c>
      <c r="O1547" s="14" t="b">
        <v>1</v>
      </c>
      <c r="Q1547" s="14" t="b">
        <v>0</v>
      </c>
      <c r="R1547" s="14">
        <v>1</v>
      </c>
      <c r="S1547" s="14" t="s">
        <v>77</v>
      </c>
      <c r="T1547" s="14">
        <v>999</v>
      </c>
      <c r="U1547" s="14" t="s">
        <v>1401</v>
      </c>
      <c r="V1547" s="14">
        <v>31912103</v>
      </c>
      <c r="X1547" s="14" t="s">
        <v>2121</v>
      </c>
      <c r="Y1547" s="14" t="s">
        <v>215</v>
      </c>
      <c r="Z1547" s="14">
        <v>20310</v>
      </c>
      <c r="AA1547" s="14" t="s">
        <v>2122</v>
      </c>
      <c r="AB1547" s="14">
        <v>40001</v>
      </c>
      <c r="AE1547" s="14" t="s">
        <v>1400</v>
      </c>
      <c r="AF1547" s="14" t="s">
        <v>1400</v>
      </c>
      <c r="AG1547" s="14" t="s">
        <v>86</v>
      </c>
    </row>
    <row r="1548" spans="2:33">
      <c r="B1548" s="14">
        <f>10000000+INDEX(编号表!$B:$B,MATCH(H1548,编号表!$A:$A,0))*100000+INDEX(编号表!$F:$F,MATCH(D1548,编号表!$E:$E,0))*10000+INDEX(编号表!$D:$D,MATCH(AG1548,编号表!$C:$C,0))*1000+F1548</f>
        <v>11922104</v>
      </c>
      <c r="C1548" s="14" t="s">
        <v>2120</v>
      </c>
      <c r="D1548" s="14" t="s">
        <v>112</v>
      </c>
      <c r="E1548" s="14" t="s">
        <v>86</v>
      </c>
      <c r="F1548" s="14">
        <v>104</v>
      </c>
      <c r="G1548" s="14">
        <v>60</v>
      </c>
      <c r="H1548" s="14" t="s">
        <v>1400</v>
      </c>
      <c r="I1548" s="14" t="s">
        <v>75</v>
      </c>
      <c r="J1548" s="14" t="s">
        <v>201</v>
      </c>
      <c r="K1548" s="14">
        <v>1</v>
      </c>
      <c r="L1548" s="14" t="s">
        <v>1400</v>
      </c>
      <c r="N1548" s="14">
        <v>0</v>
      </c>
      <c r="O1548" s="14" t="b">
        <v>1</v>
      </c>
      <c r="Q1548" s="14" t="b">
        <v>0</v>
      </c>
      <c r="R1548" s="14">
        <v>1</v>
      </c>
      <c r="S1548" s="14" t="s">
        <v>77</v>
      </c>
      <c r="T1548" s="14">
        <v>999</v>
      </c>
      <c r="U1548" s="14" t="s">
        <v>1401</v>
      </c>
      <c r="V1548" s="14">
        <v>31922104</v>
      </c>
      <c r="X1548" s="14" t="s">
        <v>2123</v>
      </c>
      <c r="Y1548" s="14" t="s">
        <v>215</v>
      </c>
      <c r="Z1548" s="14">
        <v>20311</v>
      </c>
      <c r="AA1548" s="14" t="s">
        <v>2124</v>
      </c>
      <c r="AB1548" s="14">
        <v>40001</v>
      </c>
      <c r="AE1548" s="14" t="s">
        <v>1400</v>
      </c>
      <c r="AF1548" s="14" t="s">
        <v>1400</v>
      </c>
      <c r="AG1548" s="14" t="s">
        <v>86</v>
      </c>
    </row>
    <row r="1549" spans="2:33">
      <c r="B1549" s="14">
        <f>10000000+INDEX(编号表!$B:$B,MATCH(H1549,编号表!$A:$A,0))*100000+INDEX(编号表!$F:$F,MATCH(D1549,编号表!$E:$E,0))*10000+INDEX(编号表!$D:$D,MATCH(AG1549,编号表!$C:$C,0))*1000+F1549</f>
        <v>11932105</v>
      </c>
      <c r="C1549" s="14" t="s">
        <v>2120</v>
      </c>
      <c r="D1549" s="14" t="s">
        <v>276</v>
      </c>
      <c r="E1549" s="14" t="s">
        <v>86</v>
      </c>
      <c r="F1549" s="14">
        <v>105</v>
      </c>
      <c r="G1549" s="14">
        <v>60</v>
      </c>
      <c r="H1549" s="14" t="s">
        <v>1400</v>
      </c>
      <c r="I1549" s="14" t="s">
        <v>75</v>
      </c>
      <c r="J1549" s="14" t="s">
        <v>201</v>
      </c>
      <c r="K1549" s="14">
        <v>1</v>
      </c>
      <c r="L1549" s="14" t="s">
        <v>1400</v>
      </c>
      <c r="N1549" s="14">
        <v>0</v>
      </c>
      <c r="O1549" s="14" t="b">
        <v>1</v>
      </c>
      <c r="Q1549" s="14" t="b">
        <v>0</v>
      </c>
      <c r="R1549" s="14">
        <v>1</v>
      </c>
      <c r="S1549" s="14" t="s">
        <v>77</v>
      </c>
      <c r="T1549" s="14">
        <v>999</v>
      </c>
      <c r="U1549" s="14" t="s">
        <v>1401</v>
      </c>
      <c r="V1549" s="14">
        <v>31932105</v>
      </c>
      <c r="X1549" s="14" t="s">
        <v>2125</v>
      </c>
      <c r="Y1549" s="14" t="s">
        <v>215</v>
      </c>
      <c r="Z1549" s="14">
        <v>20312</v>
      </c>
      <c r="AA1549" s="14" t="s">
        <v>2126</v>
      </c>
      <c r="AB1549" s="14">
        <v>40001</v>
      </c>
      <c r="AE1549" s="14" t="s">
        <v>1400</v>
      </c>
      <c r="AF1549" s="14" t="s">
        <v>1400</v>
      </c>
      <c r="AG1549" s="14" t="s">
        <v>86</v>
      </c>
    </row>
    <row r="1550" spans="2:33">
      <c r="B1550" s="14">
        <f>10000000+INDEX(编号表!$B:$B,MATCH(H1550,编号表!$A:$A,0))*100000+INDEX(编号表!$F:$F,MATCH(D1550,编号表!$E:$E,0))*10000+INDEX(编号表!$D:$D,MATCH(AG1550,编号表!$C:$C,0))*1000+F1550</f>
        <v>11912104</v>
      </c>
      <c r="C1550" s="14" t="s">
        <v>2127</v>
      </c>
      <c r="D1550" s="14" t="s">
        <v>72</v>
      </c>
      <c r="E1550" s="14" t="s">
        <v>86</v>
      </c>
      <c r="F1550" s="14">
        <v>104</v>
      </c>
      <c r="G1550" s="14">
        <v>60</v>
      </c>
      <c r="H1550" s="14" t="s">
        <v>1400</v>
      </c>
      <c r="I1550" s="14" t="s">
        <v>75</v>
      </c>
      <c r="J1550" s="14" t="s">
        <v>201</v>
      </c>
      <c r="K1550" s="14">
        <v>1</v>
      </c>
      <c r="L1550" s="14" t="s">
        <v>1400</v>
      </c>
      <c r="N1550" s="14">
        <v>0</v>
      </c>
      <c r="O1550" s="14" t="b">
        <v>1</v>
      </c>
      <c r="Q1550" s="14" t="b">
        <v>0</v>
      </c>
      <c r="R1550" s="14">
        <v>1</v>
      </c>
      <c r="S1550" s="14" t="s">
        <v>77</v>
      </c>
      <c r="T1550" s="14">
        <v>999</v>
      </c>
      <c r="U1550" s="14" t="s">
        <v>1401</v>
      </c>
      <c r="V1550" s="14">
        <v>31912104</v>
      </c>
      <c r="X1550" s="14" t="s">
        <v>2128</v>
      </c>
      <c r="Y1550" s="14" t="s">
        <v>215</v>
      </c>
      <c r="Z1550" s="14">
        <v>20313</v>
      </c>
      <c r="AA1550" s="14" t="s">
        <v>2129</v>
      </c>
      <c r="AB1550" s="14">
        <v>40001</v>
      </c>
      <c r="AE1550" s="14" t="s">
        <v>1400</v>
      </c>
      <c r="AF1550" s="14" t="s">
        <v>1400</v>
      </c>
      <c r="AG1550" s="14" t="s">
        <v>86</v>
      </c>
    </row>
    <row r="1551" spans="2:33">
      <c r="B1551" s="14">
        <f>10000000+INDEX(编号表!$B:$B,MATCH(H1551,编号表!$A:$A,0))*100000+INDEX(编号表!$F:$F,MATCH(D1551,编号表!$E:$E,0))*10000+INDEX(编号表!$D:$D,MATCH(AG1551,编号表!$C:$C,0))*1000+F1551</f>
        <v>11922105</v>
      </c>
      <c r="C1551" s="14" t="s">
        <v>2127</v>
      </c>
      <c r="D1551" s="14" t="s">
        <v>112</v>
      </c>
      <c r="E1551" s="14" t="s">
        <v>86</v>
      </c>
      <c r="F1551" s="14">
        <v>105</v>
      </c>
      <c r="G1551" s="14">
        <v>60</v>
      </c>
      <c r="H1551" s="14" t="s">
        <v>1400</v>
      </c>
      <c r="I1551" s="14" t="s">
        <v>75</v>
      </c>
      <c r="J1551" s="14" t="s">
        <v>201</v>
      </c>
      <c r="K1551" s="14">
        <v>1</v>
      </c>
      <c r="L1551" s="14" t="s">
        <v>1400</v>
      </c>
      <c r="N1551" s="14">
        <v>0</v>
      </c>
      <c r="O1551" s="14" t="b">
        <v>1</v>
      </c>
      <c r="Q1551" s="14" t="b">
        <v>0</v>
      </c>
      <c r="R1551" s="14">
        <v>1</v>
      </c>
      <c r="S1551" s="14" t="s">
        <v>77</v>
      </c>
      <c r="T1551" s="14">
        <v>999</v>
      </c>
      <c r="U1551" s="14" t="s">
        <v>1401</v>
      </c>
      <c r="V1551" s="14">
        <v>31922105</v>
      </c>
      <c r="X1551" s="14" t="s">
        <v>2130</v>
      </c>
      <c r="Y1551" s="14" t="s">
        <v>215</v>
      </c>
      <c r="Z1551" s="14">
        <v>20314</v>
      </c>
      <c r="AA1551" s="14" t="s">
        <v>2131</v>
      </c>
      <c r="AB1551" s="14">
        <v>40001</v>
      </c>
      <c r="AE1551" s="14" t="s">
        <v>1400</v>
      </c>
      <c r="AF1551" s="14" t="s">
        <v>1400</v>
      </c>
      <c r="AG1551" s="14" t="s">
        <v>86</v>
      </c>
    </row>
    <row r="1552" spans="2:33">
      <c r="B1552" s="14">
        <f>10000000+INDEX(编号表!$B:$B,MATCH(H1552,编号表!$A:$A,0))*100000+INDEX(编号表!$F:$F,MATCH(D1552,编号表!$E:$E,0))*10000+INDEX(编号表!$D:$D,MATCH(AG1552,编号表!$C:$C,0))*1000+F1552</f>
        <v>11932106</v>
      </c>
      <c r="C1552" s="14" t="s">
        <v>2127</v>
      </c>
      <c r="D1552" s="14" t="s">
        <v>276</v>
      </c>
      <c r="E1552" s="14" t="s">
        <v>86</v>
      </c>
      <c r="F1552" s="14">
        <v>106</v>
      </c>
      <c r="G1552" s="14">
        <v>60</v>
      </c>
      <c r="H1552" s="14" t="s">
        <v>1400</v>
      </c>
      <c r="I1552" s="14" t="s">
        <v>75</v>
      </c>
      <c r="J1552" s="14" t="s">
        <v>201</v>
      </c>
      <c r="K1552" s="14">
        <v>1</v>
      </c>
      <c r="L1552" s="14" t="s">
        <v>1400</v>
      </c>
      <c r="N1552" s="14">
        <v>0</v>
      </c>
      <c r="O1552" s="14" t="b">
        <v>1</v>
      </c>
      <c r="Q1552" s="14" t="b">
        <v>0</v>
      </c>
      <c r="R1552" s="14">
        <v>1</v>
      </c>
      <c r="S1552" s="14" t="s">
        <v>77</v>
      </c>
      <c r="T1552" s="14">
        <v>999</v>
      </c>
      <c r="U1552" s="14" t="s">
        <v>1401</v>
      </c>
      <c r="V1552" s="14">
        <v>31932106</v>
      </c>
      <c r="X1552" s="14" t="s">
        <v>2132</v>
      </c>
      <c r="Y1552" s="14" t="s">
        <v>215</v>
      </c>
      <c r="Z1552" s="14">
        <v>20315</v>
      </c>
      <c r="AA1552" s="14" t="s">
        <v>2133</v>
      </c>
      <c r="AB1552" s="14">
        <v>40001</v>
      </c>
      <c r="AE1552" s="14" t="s">
        <v>1400</v>
      </c>
      <c r="AF1552" s="14" t="s">
        <v>1400</v>
      </c>
      <c r="AG1552" s="14" t="s">
        <v>86</v>
      </c>
    </row>
    <row r="1553" spans="2:33">
      <c r="B1553" s="14">
        <f>10000000+INDEX(编号表!$B:$B,MATCH(H1553,编号表!$A:$A,0))*100000+INDEX(编号表!$F:$F,MATCH(D1553,编号表!$E:$E,0))*10000+INDEX(编号表!$D:$D,MATCH(AG1553,编号表!$C:$C,0))*1000+F1553</f>
        <v>11912105</v>
      </c>
      <c r="C1553" s="14" t="s">
        <v>2134</v>
      </c>
      <c r="D1553" s="14" t="s">
        <v>72</v>
      </c>
      <c r="E1553" s="14" t="s">
        <v>86</v>
      </c>
      <c r="F1553" s="14">
        <v>105</v>
      </c>
      <c r="G1553" s="14">
        <v>60</v>
      </c>
      <c r="H1553" s="14" t="s">
        <v>1400</v>
      </c>
      <c r="I1553" s="14" t="s">
        <v>75</v>
      </c>
      <c r="J1553" s="14" t="s">
        <v>201</v>
      </c>
      <c r="K1553" s="14">
        <v>1</v>
      </c>
      <c r="L1553" s="14" t="s">
        <v>1400</v>
      </c>
      <c r="N1553" s="14">
        <v>0</v>
      </c>
      <c r="O1553" s="14" t="b">
        <v>1</v>
      </c>
      <c r="Q1553" s="14" t="b">
        <v>0</v>
      </c>
      <c r="R1553" s="14">
        <v>1</v>
      </c>
      <c r="S1553" s="14" t="s">
        <v>77</v>
      </c>
      <c r="T1553" s="14">
        <v>999</v>
      </c>
      <c r="U1553" s="14" t="s">
        <v>1401</v>
      </c>
      <c r="V1553" s="14">
        <v>31912105</v>
      </c>
      <c r="X1553" s="14" t="s">
        <v>2135</v>
      </c>
      <c r="Y1553" s="14" t="s">
        <v>215</v>
      </c>
      <c r="Z1553" s="14">
        <v>20316</v>
      </c>
      <c r="AA1553" s="14" t="s">
        <v>2136</v>
      </c>
      <c r="AB1553" s="14">
        <v>40001</v>
      </c>
      <c r="AE1553" s="14" t="s">
        <v>1400</v>
      </c>
      <c r="AF1553" s="14" t="s">
        <v>1400</v>
      </c>
      <c r="AG1553" s="14" t="s">
        <v>86</v>
      </c>
    </row>
    <row r="1554" spans="2:33">
      <c r="B1554" s="14">
        <f>10000000+INDEX(编号表!$B:$B,MATCH(H1554,编号表!$A:$A,0))*100000+INDEX(编号表!$F:$F,MATCH(D1554,编号表!$E:$E,0))*10000+INDEX(编号表!$D:$D,MATCH(AG1554,编号表!$C:$C,0))*1000+F1554</f>
        <v>11922106</v>
      </c>
      <c r="C1554" s="14" t="s">
        <v>2134</v>
      </c>
      <c r="D1554" s="14" t="s">
        <v>112</v>
      </c>
      <c r="E1554" s="14" t="s">
        <v>86</v>
      </c>
      <c r="F1554" s="14">
        <v>106</v>
      </c>
      <c r="G1554" s="14">
        <v>60</v>
      </c>
      <c r="H1554" s="14" t="s">
        <v>1400</v>
      </c>
      <c r="I1554" s="14" t="s">
        <v>75</v>
      </c>
      <c r="J1554" s="14" t="s">
        <v>201</v>
      </c>
      <c r="K1554" s="14">
        <v>1</v>
      </c>
      <c r="L1554" s="14" t="s">
        <v>1400</v>
      </c>
      <c r="N1554" s="14">
        <v>0</v>
      </c>
      <c r="O1554" s="14" t="b">
        <v>1</v>
      </c>
      <c r="Q1554" s="14" t="b">
        <v>0</v>
      </c>
      <c r="R1554" s="14">
        <v>1</v>
      </c>
      <c r="S1554" s="14" t="s">
        <v>77</v>
      </c>
      <c r="T1554" s="14">
        <v>999</v>
      </c>
      <c r="U1554" s="14" t="s">
        <v>1401</v>
      </c>
      <c r="V1554" s="14">
        <v>31922106</v>
      </c>
      <c r="X1554" s="14" t="s">
        <v>2137</v>
      </c>
      <c r="Y1554" s="14" t="s">
        <v>215</v>
      </c>
      <c r="Z1554" s="14">
        <v>20317</v>
      </c>
      <c r="AA1554" s="14" t="s">
        <v>2138</v>
      </c>
      <c r="AB1554" s="14">
        <v>40001</v>
      </c>
      <c r="AE1554" s="14" t="s">
        <v>1400</v>
      </c>
      <c r="AF1554" s="14" t="s">
        <v>1400</v>
      </c>
      <c r="AG1554" s="14" t="s">
        <v>86</v>
      </c>
    </row>
    <row r="1555" spans="2:33">
      <c r="B1555" s="14">
        <f>10000000+INDEX(编号表!$B:$B,MATCH(H1555,编号表!$A:$A,0))*100000+INDEX(编号表!$F:$F,MATCH(D1555,编号表!$E:$E,0))*10000+INDEX(编号表!$D:$D,MATCH(AG1555,编号表!$C:$C,0))*1000+F1555</f>
        <v>11932107</v>
      </c>
      <c r="C1555" s="14" t="s">
        <v>2134</v>
      </c>
      <c r="D1555" s="14" t="s">
        <v>276</v>
      </c>
      <c r="E1555" s="14" t="s">
        <v>86</v>
      </c>
      <c r="F1555" s="14">
        <v>107</v>
      </c>
      <c r="G1555" s="14">
        <v>60</v>
      </c>
      <c r="H1555" s="14" t="s">
        <v>1400</v>
      </c>
      <c r="I1555" s="14" t="s">
        <v>75</v>
      </c>
      <c r="J1555" s="14" t="s">
        <v>201</v>
      </c>
      <c r="K1555" s="14">
        <v>1</v>
      </c>
      <c r="L1555" s="14" t="s">
        <v>1400</v>
      </c>
      <c r="N1555" s="14">
        <v>0</v>
      </c>
      <c r="O1555" s="14" t="b">
        <v>1</v>
      </c>
      <c r="Q1555" s="14" t="b">
        <v>0</v>
      </c>
      <c r="R1555" s="14">
        <v>1</v>
      </c>
      <c r="S1555" s="14" t="s">
        <v>77</v>
      </c>
      <c r="T1555" s="14">
        <v>999</v>
      </c>
      <c r="U1555" s="14" t="s">
        <v>1401</v>
      </c>
      <c r="V1555" s="14">
        <v>31932107</v>
      </c>
      <c r="X1555" s="14" t="s">
        <v>2139</v>
      </c>
      <c r="Y1555" s="14" t="s">
        <v>215</v>
      </c>
      <c r="Z1555" s="14">
        <v>20318</v>
      </c>
      <c r="AA1555" s="14" t="s">
        <v>2140</v>
      </c>
      <c r="AB1555" s="14">
        <v>40001</v>
      </c>
      <c r="AE1555" s="14" t="s">
        <v>1400</v>
      </c>
      <c r="AF1555" s="14" t="s">
        <v>1400</v>
      </c>
      <c r="AG1555" s="14" t="s">
        <v>86</v>
      </c>
    </row>
    <row r="1556" spans="2:33">
      <c r="B1556" s="14">
        <f>10000000+INDEX(编号表!$B:$B,MATCH(H1556,编号表!$A:$A,0))*100000+INDEX(编号表!$F:$F,MATCH(D1556,编号表!$E:$E,0))*10000+INDEX(编号表!$D:$D,MATCH(AG1556,编号表!$C:$C,0))*1000+F1556</f>
        <v>11912106</v>
      </c>
      <c r="C1556" s="14" t="s">
        <v>2141</v>
      </c>
      <c r="D1556" s="14" t="s">
        <v>72</v>
      </c>
      <c r="E1556" s="14" t="s">
        <v>86</v>
      </c>
      <c r="F1556" s="14">
        <v>106</v>
      </c>
      <c r="G1556" s="14">
        <v>60</v>
      </c>
      <c r="H1556" s="14" t="s">
        <v>1400</v>
      </c>
      <c r="I1556" s="14" t="s">
        <v>75</v>
      </c>
      <c r="J1556" s="14" t="s">
        <v>201</v>
      </c>
      <c r="K1556" s="14">
        <v>1</v>
      </c>
      <c r="L1556" s="14" t="s">
        <v>1400</v>
      </c>
      <c r="N1556" s="14">
        <v>0</v>
      </c>
      <c r="O1556" s="14" t="b">
        <v>1</v>
      </c>
      <c r="Q1556" s="14" t="b">
        <v>0</v>
      </c>
      <c r="R1556" s="14">
        <v>1</v>
      </c>
      <c r="S1556" s="14" t="s">
        <v>77</v>
      </c>
      <c r="T1556" s="14">
        <v>999</v>
      </c>
      <c r="U1556" s="14" t="s">
        <v>1401</v>
      </c>
      <c r="V1556" s="14">
        <v>31912106</v>
      </c>
      <c r="X1556" s="14" t="s">
        <v>2142</v>
      </c>
      <c r="Y1556" s="14" t="s">
        <v>215</v>
      </c>
      <c r="Z1556" s="14">
        <v>20319</v>
      </c>
      <c r="AA1556" s="14" t="s">
        <v>2143</v>
      </c>
      <c r="AB1556" s="14">
        <v>40001</v>
      </c>
      <c r="AE1556" s="14" t="s">
        <v>1400</v>
      </c>
      <c r="AF1556" s="14" t="s">
        <v>1400</v>
      </c>
      <c r="AG1556" s="14" t="s">
        <v>86</v>
      </c>
    </row>
    <row r="1557" spans="2:33">
      <c r="B1557" s="14">
        <f>10000000+INDEX(编号表!$B:$B,MATCH(H1557,编号表!$A:$A,0))*100000+INDEX(编号表!$F:$F,MATCH(D1557,编号表!$E:$E,0))*10000+INDEX(编号表!$D:$D,MATCH(AG1557,编号表!$C:$C,0))*1000+F1557</f>
        <v>11922107</v>
      </c>
      <c r="C1557" s="14" t="s">
        <v>2141</v>
      </c>
      <c r="D1557" s="14" t="s">
        <v>112</v>
      </c>
      <c r="E1557" s="14" t="s">
        <v>86</v>
      </c>
      <c r="F1557" s="14">
        <v>107</v>
      </c>
      <c r="G1557" s="14">
        <v>60</v>
      </c>
      <c r="H1557" s="14" t="s">
        <v>1400</v>
      </c>
      <c r="I1557" s="14" t="s">
        <v>75</v>
      </c>
      <c r="J1557" s="14" t="s">
        <v>201</v>
      </c>
      <c r="K1557" s="14">
        <v>1</v>
      </c>
      <c r="L1557" s="14" t="s">
        <v>1400</v>
      </c>
      <c r="N1557" s="14">
        <v>0</v>
      </c>
      <c r="O1557" s="14" t="b">
        <v>1</v>
      </c>
      <c r="Q1557" s="14" t="b">
        <v>0</v>
      </c>
      <c r="R1557" s="14">
        <v>1</v>
      </c>
      <c r="S1557" s="14" t="s">
        <v>77</v>
      </c>
      <c r="T1557" s="14">
        <v>999</v>
      </c>
      <c r="U1557" s="14" t="s">
        <v>1401</v>
      </c>
      <c r="V1557" s="14">
        <v>31922107</v>
      </c>
      <c r="X1557" s="14" t="s">
        <v>2144</v>
      </c>
      <c r="Y1557" s="14" t="s">
        <v>215</v>
      </c>
      <c r="Z1557" s="14">
        <v>20320</v>
      </c>
      <c r="AA1557" s="14" t="s">
        <v>2145</v>
      </c>
      <c r="AB1557" s="14">
        <v>40001</v>
      </c>
      <c r="AE1557" s="14" t="s">
        <v>1400</v>
      </c>
      <c r="AF1557" s="14" t="s">
        <v>1400</v>
      </c>
      <c r="AG1557" s="14" t="s">
        <v>86</v>
      </c>
    </row>
    <row r="1558" spans="2:33">
      <c r="B1558" s="14">
        <f>10000000+INDEX(编号表!$B:$B,MATCH(H1558,编号表!$A:$A,0))*100000+INDEX(编号表!$F:$F,MATCH(D1558,编号表!$E:$E,0))*10000+INDEX(编号表!$D:$D,MATCH(AG1558,编号表!$C:$C,0))*1000+F1558</f>
        <v>11932108</v>
      </c>
      <c r="C1558" s="14" t="s">
        <v>2141</v>
      </c>
      <c r="D1558" s="14" t="s">
        <v>276</v>
      </c>
      <c r="E1558" s="14" t="s">
        <v>86</v>
      </c>
      <c r="F1558" s="14">
        <v>108</v>
      </c>
      <c r="G1558" s="14">
        <v>60</v>
      </c>
      <c r="H1558" s="14" t="s">
        <v>1400</v>
      </c>
      <c r="I1558" s="14" t="s">
        <v>75</v>
      </c>
      <c r="J1558" s="14" t="s">
        <v>201</v>
      </c>
      <c r="K1558" s="14">
        <v>1</v>
      </c>
      <c r="L1558" s="14" t="s">
        <v>1400</v>
      </c>
      <c r="N1558" s="14">
        <v>0</v>
      </c>
      <c r="O1558" s="14" t="b">
        <v>1</v>
      </c>
      <c r="Q1558" s="14" t="b">
        <v>0</v>
      </c>
      <c r="R1558" s="14">
        <v>1</v>
      </c>
      <c r="S1558" s="14" t="s">
        <v>77</v>
      </c>
      <c r="T1558" s="14">
        <v>999</v>
      </c>
      <c r="U1558" s="14" t="s">
        <v>1401</v>
      </c>
      <c r="V1558" s="14">
        <v>31932108</v>
      </c>
      <c r="X1558" s="14" t="s">
        <v>2146</v>
      </c>
      <c r="Y1558" s="14" t="s">
        <v>215</v>
      </c>
      <c r="Z1558" s="14">
        <v>20321</v>
      </c>
      <c r="AA1558" s="14" t="s">
        <v>2147</v>
      </c>
      <c r="AB1558" s="14">
        <v>40001</v>
      </c>
      <c r="AE1558" s="14" t="s">
        <v>1400</v>
      </c>
      <c r="AF1558" s="14" t="s">
        <v>1400</v>
      </c>
      <c r="AG1558" s="14" t="s">
        <v>86</v>
      </c>
    </row>
    <row r="1559" spans="2:33">
      <c r="B1559" s="14">
        <f>10000000+INDEX(编号表!$B:$B,MATCH(H1559,编号表!$A:$A,0))*100000+INDEX(编号表!$F:$F,MATCH(D1559,编号表!$E:$E,0))*10000+INDEX(编号表!$D:$D,MATCH(AG1559,编号表!$C:$C,0))*1000+F1559</f>
        <v>11912107</v>
      </c>
      <c r="C1559" s="14" t="s">
        <v>2148</v>
      </c>
      <c r="D1559" s="14" t="s">
        <v>72</v>
      </c>
      <c r="E1559" s="14" t="s">
        <v>86</v>
      </c>
      <c r="F1559" s="14">
        <v>107</v>
      </c>
      <c r="G1559" s="14">
        <v>60</v>
      </c>
      <c r="H1559" s="14" t="s">
        <v>1400</v>
      </c>
      <c r="I1559" s="14" t="s">
        <v>75</v>
      </c>
      <c r="J1559" s="14" t="s">
        <v>201</v>
      </c>
      <c r="K1559" s="14">
        <v>1</v>
      </c>
      <c r="L1559" s="14" t="s">
        <v>1400</v>
      </c>
      <c r="N1559" s="14">
        <v>0</v>
      </c>
      <c r="O1559" s="14" t="b">
        <v>1</v>
      </c>
      <c r="Q1559" s="14" t="b">
        <v>0</v>
      </c>
      <c r="R1559" s="14">
        <v>1</v>
      </c>
      <c r="S1559" s="14" t="s">
        <v>77</v>
      </c>
      <c r="T1559" s="14">
        <v>999</v>
      </c>
      <c r="U1559" s="14" t="s">
        <v>1401</v>
      </c>
      <c r="V1559" s="14">
        <v>31912107</v>
      </c>
      <c r="X1559" s="14" t="s">
        <v>2149</v>
      </c>
      <c r="Y1559" s="14" t="s">
        <v>215</v>
      </c>
      <c r="Z1559" s="14">
        <v>20322</v>
      </c>
      <c r="AA1559" s="14" t="s">
        <v>2150</v>
      </c>
      <c r="AB1559" s="14">
        <v>40001</v>
      </c>
      <c r="AE1559" s="14" t="s">
        <v>1400</v>
      </c>
      <c r="AF1559" s="14" t="s">
        <v>1400</v>
      </c>
      <c r="AG1559" s="14" t="s">
        <v>86</v>
      </c>
    </row>
    <row r="1560" spans="2:33">
      <c r="B1560" s="14">
        <f>10000000+INDEX(编号表!$B:$B,MATCH(H1560,编号表!$A:$A,0))*100000+INDEX(编号表!$F:$F,MATCH(D1560,编号表!$E:$E,0))*10000+INDEX(编号表!$D:$D,MATCH(AG1560,编号表!$C:$C,0))*1000+F1560</f>
        <v>11922108</v>
      </c>
      <c r="C1560" s="14" t="s">
        <v>2148</v>
      </c>
      <c r="D1560" s="14" t="s">
        <v>112</v>
      </c>
      <c r="E1560" s="14" t="s">
        <v>86</v>
      </c>
      <c r="F1560" s="14">
        <v>108</v>
      </c>
      <c r="G1560" s="14">
        <v>60</v>
      </c>
      <c r="H1560" s="14" t="s">
        <v>1400</v>
      </c>
      <c r="I1560" s="14" t="s">
        <v>75</v>
      </c>
      <c r="J1560" s="14" t="s">
        <v>201</v>
      </c>
      <c r="K1560" s="14">
        <v>1</v>
      </c>
      <c r="L1560" s="14" t="s">
        <v>1400</v>
      </c>
      <c r="N1560" s="14">
        <v>0</v>
      </c>
      <c r="O1560" s="14" t="b">
        <v>1</v>
      </c>
      <c r="Q1560" s="14" t="b">
        <v>0</v>
      </c>
      <c r="R1560" s="14">
        <v>1</v>
      </c>
      <c r="S1560" s="14" t="s">
        <v>77</v>
      </c>
      <c r="T1560" s="14">
        <v>999</v>
      </c>
      <c r="U1560" s="14" t="s">
        <v>1401</v>
      </c>
      <c r="V1560" s="14">
        <v>31922108</v>
      </c>
      <c r="X1560" s="14" t="s">
        <v>2151</v>
      </c>
      <c r="Y1560" s="14" t="s">
        <v>215</v>
      </c>
      <c r="Z1560" s="14">
        <v>20323</v>
      </c>
      <c r="AA1560" s="14" t="s">
        <v>2152</v>
      </c>
      <c r="AB1560" s="14">
        <v>40001</v>
      </c>
      <c r="AE1560" s="14" t="s">
        <v>1400</v>
      </c>
      <c r="AF1560" s="14" t="s">
        <v>1400</v>
      </c>
      <c r="AG1560" s="14" t="s">
        <v>86</v>
      </c>
    </row>
    <row r="1561" spans="2:33">
      <c r="B1561" s="14">
        <f>10000000+INDEX(编号表!$B:$B,MATCH(H1561,编号表!$A:$A,0))*100000+INDEX(编号表!$F:$F,MATCH(D1561,编号表!$E:$E,0))*10000+INDEX(编号表!$D:$D,MATCH(AG1561,编号表!$C:$C,0))*1000+F1561</f>
        <v>11932109</v>
      </c>
      <c r="C1561" s="14" t="s">
        <v>2148</v>
      </c>
      <c r="D1561" s="14" t="s">
        <v>276</v>
      </c>
      <c r="E1561" s="14" t="s">
        <v>86</v>
      </c>
      <c r="F1561" s="14">
        <v>109</v>
      </c>
      <c r="G1561" s="14">
        <v>60</v>
      </c>
      <c r="H1561" s="14" t="s">
        <v>1400</v>
      </c>
      <c r="I1561" s="14" t="s">
        <v>75</v>
      </c>
      <c r="J1561" s="14" t="s">
        <v>201</v>
      </c>
      <c r="K1561" s="14">
        <v>1</v>
      </c>
      <c r="L1561" s="14" t="s">
        <v>1400</v>
      </c>
      <c r="N1561" s="14">
        <v>0</v>
      </c>
      <c r="O1561" s="14" t="b">
        <v>1</v>
      </c>
      <c r="Q1561" s="14" t="b">
        <v>0</v>
      </c>
      <c r="R1561" s="14">
        <v>1</v>
      </c>
      <c r="S1561" s="14" t="s">
        <v>77</v>
      </c>
      <c r="T1561" s="14">
        <v>999</v>
      </c>
      <c r="U1561" s="14" t="s">
        <v>1401</v>
      </c>
      <c r="V1561" s="14">
        <v>31932109</v>
      </c>
      <c r="X1561" s="14" t="s">
        <v>2153</v>
      </c>
      <c r="Y1561" s="14" t="s">
        <v>215</v>
      </c>
      <c r="Z1561" s="14">
        <v>20324</v>
      </c>
      <c r="AA1561" s="14" t="s">
        <v>2154</v>
      </c>
      <c r="AB1561" s="14">
        <v>40001</v>
      </c>
      <c r="AE1561" s="14" t="s">
        <v>1400</v>
      </c>
      <c r="AF1561" s="14" t="s">
        <v>1400</v>
      </c>
      <c r="AG1561" s="14" t="s">
        <v>86</v>
      </c>
    </row>
    <row r="1562" spans="2:33">
      <c r="B1562" s="14">
        <f>10000000+INDEX(编号表!$B:$B,MATCH(H1562,编号表!$A:$A,0))*100000+INDEX(编号表!$F:$F,MATCH(D1562,编号表!$E:$E,0))*10000+INDEX(编号表!$D:$D,MATCH(AG1562,编号表!$C:$C,0))*1000+F1562</f>
        <v>11912108</v>
      </c>
      <c r="C1562" s="14" t="s">
        <v>2155</v>
      </c>
      <c r="D1562" s="14" t="s">
        <v>72</v>
      </c>
      <c r="E1562" s="14" t="s">
        <v>86</v>
      </c>
      <c r="F1562" s="14">
        <v>108</v>
      </c>
      <c r="G1562" s="14">
        <v>60</v>
      </c>
      <c r="H1562" s="14" t="s">
        <v>1400</v>
      </c>
      <c r="I1562" s="14" t="s">
        <v>75</v>
      </c>
      <c r="J1562" s="14" t="s">
        <v>201</v>
      </c>
      <c r="K1562" s="14">
        <v>1</v>
      </c>
      <c r="L1562" s="14" t="s">
        <v>1400</v>
      </c>
      <c r="N1562" s="14">
        <v>0</v>
      </c>
      <c r="O1562" s="14" t="b">
        <v>1</v>
      </c>
      <c r="Q1562" s="14" t="b">
        <v>0</v>
      </c>
      <c r="R1562" s="14">
        <v>1</v>
      </c>
      <c r="S1562" s="14" t="s">
        <v>77</v>
      </c>
      <c r="T1562" s="14">
        <v>999</v>
      </c>
      <c r="U1562" s="14" t="s">
        <v>1401</v>
      </c>
      <c r="V1562" s="14">
        <v>31912108</v>
      </c>
      <c r="X1562" s="14" t="s">
        <v>2156</v>
      </c>
      <c r="Y1562" s="14" t="s">
        <v>215</v>
      </c>
      <c r="Z1562" s="14">
        <v>20325</v>
      </c>
      <c r="AA1562" s="14" t="s">
        <v>2157</v>
      </c>
      <c r="AB1562" s="14">
        <v>40001</v>
      </c>
      <c r="AE1562" s="14" t="s">
        <v>1400</v>
      </c>
      <c r="AF1562" s="14" t="s">
        <v>1400</v>
      </c>
      <c r="AG1562" s="14" t="s">
        <v>86</v>
      </c>
    </row>
    <row r="1563" spans="2:33">
      <c r="B1563" s="14">
        <f>10000000+INDEX(编号表!$B:$B,MATCH(H1563,编号表!$A:$A,0))*100000+INDEX(编号表!$F:$F,MATCH(D1563,编号表!$E:$E,0))*10000+INDEX(编号表!$D:$D,MATCH(AG1563,编号表!$C:$C,0))*1000+F1563</f>
        <v>11922109</v>
      </c>
      <c r="C1563" s="14" t="s">
        <v>2155</v>
      </c>
      <c r="D1563" s="14" t="s">
        <v>112</v>
      </c>
      <c r="E1563" s="14" t="s">
        <v>86</v>
      </c>
      <c r="F1563" s="14">
        <v>109</v>
      </c>
      <c r="G1563" s="14">
        <v>60</v>
      </c>
      <c r="H1563" s="14" t="s">
        <v>1400</v>
      </c>
      <c r="I1563" s="14" t="s">
        <v>75</v>
      </c>
      <c r="J1563" s="14" t="s">
        <v>201</v>
      </c>
      <c r="K1563" s="14">
        <v>1</v>
      </c>
      <c r="L1563" s="14" t="s">
        <v>1400</v>
      </c>
      <c r="N1563" s="14">
        <v>0</v>
      </c>
      <c r="O1563" s="14" t="b">
        <v>1</v>
      </c>
      <c r="Q1563" s="14" t="b">
        <v>0</v>
      </c>
      <c r="R1563" s="14">
        <v>1</v>
      </c>
      <c r="S1563" s="14" t="s">
        <v>77</v>
      </c>
      <c r="T1563" s="14">
        <v>999</v>
      </c>
      <c r="U1563" s="14" t="s">
        <v>1401</v>
      </c>
      <c r="V1563" s="14">
        <v>31922109</v>
      </c>
      <c r="X1563" s="14" t="s">
        <v>2158</v>
      </c>
      <c r="Y1563" s="14" t="s">
        <v>215</v>
      </c>
      <c r="Z1563" s="14">
        <v>20326</v>
      </c>
      <c r="AA1563" s="14" t="s">
        <v>2159</v>
      </c>
      <c r="AB1563" s="14">
        <v>40001</v>
      </c>
      <c r="AE1563" s="14" t="s">
        <v>1400</v>
      </c>
      <c r="AF1563" s="14" t="s">
        <v>1400</v>
      </c>
      <c r="AG1563" s="14" t="s">
        <v>86</v>
      </c>
    </row>
    <row r="1564" spans="2:33">
      <c r="B1564" s="14">
        <f>10000000+INDEX(编号表!$B:$B,MATCH(H1564,编号表!$A:$A,0))*100000+INDEX(编号表!$F:$F,MATCH(D1564,编号表!$E:$E,0))*10000+INDEX(编号表!$D:$D,MATCH(AG1564,编号表!$C:$C,0))*1000+F1564</f>
        <v>11932110</v>
      </c>
      <c r="C1564" s="14" t="s">
        <v>2155</v>
      </c>
      <c r="D1564" s="14" t="s">
        <v>276</v>
      </c>
      <c r="E1564" s="14" t="s">
        <v>86</v>
      </c>
      <c r="F1564" s="14">
        <v>110</v>
      </c>
      <c r="G1564" s="14">
        <v>60</v>
      </c>
      <c r="H1564" s="14" t="s">
        <v>1400</v>
      </c>
      <c r="I1564" s="14" t="s">
        <v>75</v>
      </c>
      <c r="J1564" s="14" t="s">
        <v>201</v>
      </c>
      <c r="K1564" s="14">
        <v>1</v>
      </c>
      <c r="L1564" s="14" t="s">
        <v>1400</v>
      </c>
      <c r="N1564" s="14">
        <v>0</v>
      </c>
      <c r="O1564" s="14" t="b">
        <v>1</v>
      </c>
      <c r="Q1564" s="14" t="b">
        <v>0</v>
      </c>
      <c r="R1564" s="14">
        <v>1</v>
      </c>
      <c r="S1564" s="14" t="s">
        <v>77</v>
      </c>
      <c r="T1564" s="14">
        <v>999</v>
      </c>
      <c r="U1564" s="14" t="s">
        <v>1401</v>
      </c>
      <c r="V1564" s="14">
        <v>31932110</v>
      </c>
      <c r="X1564" s="14" t="s">
        <v>2160</v>
      </c>
      <c r="Y1564" s="14" t="s">
        <v>215</v>
      </c>
      <c r="Z1564" s="14">
        <v>20327</v>
      </c>
      <c r="AA1564" s="14" t="s">
        <v>2161</v>
      </c>
      <c r="AB1564" s="14">
        <v>40001</v>
      </c>
      <c r="AE1564" s="14" t="s">
        <v>1400</v>
      </c>
      <c r="AF1564" s="14" t="s">
        <v>1400</v>
      </c>
      <c r="AG1564" s="14" t="s">
        <v>86</v>
      </c>
    </row>
    <row r="1565" spans="2:33">
      <c r="B1565" s="14">
        <f>10000000+INDEX(编号表!$B:$B,MATCH(H1565,编号表!$A:$A,0))*100000+INDEX(编号表!$F:$F,MATCH(D1565,编号表!$E:$E,0))*10000+INDEX(编号表!$D:$D,MATCH(AG1565,编号表!$C:$C,0))*1000+F1565</f>
        <v>11912109</v>
      </c>
      <c r="C1565" s="14" t="s">
        <v>2162</v>
      </c>
      <c r="D1565" s="14" t="s">
        <v>72</v>
      </c>
      <c r="E1565" s="14" t="s">
        <v>86</v>
      </c>
      <c r="F1565" s="14">
        <v>109</v>
      </c>
      <c r="G1565" s="14">
        <v>60</v>
      </c>
      <c r="H1565" s="14" t="s">
        <v>1400</v>
      </c>
      <c r="I1565" s="14" t="s">
        <v>75</v>
      </c>
      <c r="J1565" s="14" t="s">
        <v>201</v>
      </c>
      <c r="K1565" s="14">
        <v>1</v>
      </c>
      <c r="L1565" s="14" t="s">
        <v>1400</v>
      </c>
      <c r="N1565" s="14">
        <v>0</v>
      </c>
      <c r="O1565" s="14" t="b">
        <v>1</v>
      </c>
      <c r="Q1565" s="14" t="b">
        <v>0</v>
      </c>
      <c r="R1565" s="14">
        <v>1</v>
      </c>
      <c r="S1565" s="14" t="s">
        <v>77</v>
      </c>
      <c r="T1565" s="14">
        <v>999</v>
      </c>
      <c r="U1565" s="14" t="s">
        <v>1401</v>
      </c>
      <c r="V1565" s="14">
        <v>31912109</v>
      </c>
      <c r="X1565" s="14" t="s">
        <v>2163</v>
      </c>
      <c r="Y1565" s="14" t="s">
        <v>215</v>
      </c>
      <c r="Z1565" s="14">
        <v>20328</v>
      </c>
      <c r="AA1565" s="14" t="s">
        <v>2164</v>
      </c>
      <c r="AB1565" s="14">
        <v>40001</v>
      </c>
      <c r="AE1565" s="14" t="s">
        <v>1400</v>
      </c>
      <c r="AF1565" s="14" t="s">
        <v>1400</v>
      </c>
      <c r="AG1565" s="14" t="s">
        <v>86</v>
      </c>
    </row>
    <row r="1566" spans="2:33">
      <c r="B1566" s="14">
        <f>10000000+INDEX(编号表!$B:$B,MATCH(H1566,编号表!$A:$A,0))*100000+INDEX(编号表!$F:$F,MATCH(D1566,编号表!$E:$E,0))*10000+INDEX(编号表!$D:$D,MATCH(AG1566,编号表!$C:$C,0))*1000+F1566</f>
        <v>11922110</v>
      </c>
      <c r="C1566" s="14" t="s">
        <v>2162</v>
      </c>
      <c r="D1566" s="14" t="s">
        <v>112</v>
      </c>
      <c r="E1566" s="14" t="s">
        <v>86</v>
      </c>
      <c r="F1566" s="14">
        <v>110</v>
      </c>
      <c r="G1566" s="14">
        <v>60</v>
      </c>
      <c r="H1566" s="14" t="s">
        <v>1400</v>
      </c>
      <c r="I1566" s="14" t="s">
        <v>75</v>
      </c>
      <c r="J1566" s="14" t="s">
        <v>201</v>
      </c>
      <c r="K1566" s="14">
        <v>1</v>
      </c>
      <c r="L1566" s="14" t="s">
        <v>1400</v>
      </c>
      <c r="N1566" s="14">
        <v>0</v>
      </c>
      <c r="O1566" s="14" t="b">
        <v>1</v>
      </c>
      <c r="Q1566" s="14" t="b">
        <v>0</v>
      </c>
      <c r="R1566" s="14">
        <v>1</v>
      </c>
      <c r="S1566" s="14" t="s">
        <v>77</v>
      </c>
      <c r="T1566" s="14">
        <v>999</v>
      </c>
      <c r="U1566" s="14" t="s">
        <v>1401</v>
      </c>
      <c r="V1566" s="14">
        <v>31922110</v>
      </c>
      <c r="X1566" s="14" t="s">
        <v>2165</v>
      </c>
      <c r="Y1566" s="14" t="s">
        <v>215</v>
      </c>
      <c r="Z1566" s="14">
        <v>20329</v>
      </c>
      <c r="AA1566" s="14" t="s">
        <v>2166</v>
      </c>
      <c r="AB1566" s="14">
        <v>40001</v>
      </c>
      <c r="AE1566" s="14" t="s">
        <v>1400</v>
      </c>
      <c r="AF1566" s="14" t="s">
        <v>1400</v>
      </c>
      <c r="AG1566" s="14" t="s">
        <v>86</v>
      </c>
    </row>
    <row r="1567" spans="2:33">
      <c r="B1567" s="14">
        <f>10000000+INDEX(编号表!$B:$B,MATCH(H1567,编号表!$A:$A,0))*100000+INDEX(编号表!$F:$F,MATCH(D1567,编号表!$E:$E,0))*10000+INDEX(编号表!$D:$D,MATCH(AG1567,编号表!$C:$C,0))*1000+F1567</f>
        <v>11932111</v>
      </c>
      <c r="C1567" s="14" t="s">
        <v>2162</v>
      </c>
      <c r="D1567" s="14" t="s">
        <v>276</v>
      </c>
      <c r="E1567" s="14" t="s">
        <v>86</v>
      </c>
      <c r="F1567" s="14">
        <v>111</v>
      </c>
      <c r="G1567" s="14">
        <v>60</v>
      </c>
      <c r="H1567" s="14" t="s">
        <v>1400</v>
      </c>
      <c r="I1567" s="14" t="s">
        <v>75</v>
      </c>
      <c r="J1567" s="14" t="s">
        <v>201</v>
      </c>
      <c r="K1567" s="14">
        <v>1</v>
      </c>
      <c r="L1567" s="14" t="s">
        <v>1400</v>
      </c>
      <c r="N1567" s="14">
        <v>0</v>
      </c>
      <c r="O1567" s="14" t="b">
        <v>1</v>
      </c>
      <c r="Q1567" s="14" t="b">
        <v>0</v>
      </c>
      <c r="R1567" s="14">
        <v>1</v>
      </c>
      <c r="S1567" s="14" t="s">
        <v>77</v>
      </c>
      <c r="T1567" s="14">
        <v>999</v>
      </c>
      <c r="U1567" s="14" t="s">
        <v>1401</v>
      </c>
      <c r="V1567" s="14">
        <v>31932111</v>
      </c>
      <c r="X1567" s="14" t="s">
        <v>2167</v>
      </c>
      <c r="Y1567" s="14" t="s">
        <v>215</v>
      </c>
      <c r="Z1567" s="14">
        <v>20330</v>
      </c>
      <c r="AA1567" s="14" t="s">
        <v>2168</v>
      </c>
      <c r="AB1567" s="14">
        <v>40001</v>
      </c>
      <c r="AE1567" s="14" t="s">
        <v>1400</v>
      </c>
      <c r="AF1567" s="14" t="s">
        <v>1400</v>
      </c>
      <c r="AG1567" s="14" t="s">
        <v>86</v>
      </c>
    </row>
    <row r="1568" spans="2:33">
      <c r="B1568" s="14">
        <f>10000000+INDEX(编号表!$B:$B,MATCH(H1568,编号表!$A:$A,0))*100000+INDEX(编号表!$F:$F,MATCH(D1568,编号表!$E:$E,0))*10000+INDEX(编号表!$D:$D,MATCH(AG1568,编号表!$C:$C,0))*1000+F1568</f>
        <v>11912110</v>
      </c>
      <c r="C1568" s="14" t="s">
        <v>2169</v>
      </c>
      <c r="D1568" s="14" t="s">
        <v>72</v>
      </c>
      <c r="E1568" s="14" t="s">
        <v>86</v>
      </c>
      <c r="F1568" s="14">
        <v>110</v>
      </c>
      <c r="G1568" s="14">
        <v>60</v>
      </c>
      <c r="H1568" s="14" t="s">
        <v>1400</v>
      </c>
      <c r="I1568" s="14" t="s">
        <v>75</v>
      </c>
      <c r="J1568" s="14" t="s">
        <v>201</v>
      </c>
      <c r="K1568" s="14">
        <v>1</v>
      </c>
      <c r="L1568" s="14" t="s">
        <v>1400</v>
      </c>
      <c r="N1568" s="14">
        <v>0</v>
      </c>
      <c r="O1568" s="14" t="b">
        <v>1</v>
      </c>
      <c r="Q1568" s="14" t="b">
        <v>0</v>
      </c>
      <c r="R1568" s="14">
        <v>1</v>
      </c>
      <c r="S1568" s="14" t="s">
        <v>77</v>
      </c>
      <c r="T1568" s="14">
        <v>999</v>
      </c>
      <c r="U1568" s="14" t="s">
        <v>1401</v>
      </c>
      <c r="V1568" s="14">
        <v>31912110</v>
      </c>
      <c r="X1568" s="14" t="s">
        <v>2170</v>
      </c>
      <c r="Y1568" s="14" t="s">
        <v>215</v>
      </c>
      <c r="Z1568" s="14">
        <v>20331</v>
      </c>
      <c r="AA1568" s="14" t="s">
        <v>2171</v>
      </c>
      <c r="AB1568" s="14">
        <v>40001</v>
      </c>
      <c r="AE1568" s="14" t="s">
        <v>1400</v>
      </c>
      <c r="AF1568" s="14" t="s">
        <v>1400</v>
      </c>
      <c r="AG1568" s="14" t="s">
        <v>86</v>
      </c>
    </row>
    <row r="1569" spans="2:33">
      <c r="B1569" s="14">
        <f>10000000+INDEX(编号表!$B:$B,MATCH(H1569,编号表!$A:$A,0))*100000+INDEX(编号表!$F:$F,MATCH(D1569,编号表!$E:$E,0))*10000+INDEX(编号表!$D:$D,MATCH(AG1569,编号表!$C:$C,0))*1000+F1569</f>
        <v>11922111</v>
      </c>
      <c r="C1569" s="14" t="s">
        <v>2169</v>
      </c>
      <c r="D1569" s="14" t="s">
        <v>112</v>
      </c>
      <c r="E1569" s="14" t="s">
        <v>86</v>
      </c>
      <c r="F1569" s="14">
        <v>111</v>
      </c>
      <c r="G1569" s="14">
        <v>60</v>
      </c>
      <c r="H1569" s="14" t="s">
        <v>1400</v>
      </c>
      <c r="I1569" s="14" t="s">
        <v>75</v>
      </c>
      <c r="J1569" s="14" t="s">
        <v>201</v>
      </c>
      <c r="K1569" s="14">
        <v>1</v>
      </c>
      <c r="L1569" s="14" t="s">
        <v>1400</v>
      </c>
      <c r="N1569" s="14">
        <v>0</v>
      </c>
      <c r="O1569" s="14" t="b">
        <v>1</v>
      </c>
      <c r="Q1569" s="14" t="b">
        <v>0</v>
      </c>
      <c r="R1569" s="14">
        <v>1</v>
      </c>
      <c r="S1569" s="14" t="s">
        <v>77</v>
      </c>
      <c r="T1569" s="14">
        <v>999</v>
      </c>
      <c r="U1569" s="14" t="s">
        <v>1401</v>
      </c>
      <c r="V1569" s="14">
        <v>31922111</v>
      </c>
      <c r="X1569" s="14" t="s">
        <v>2172</v>
      </c>
      <c r="Y1569" s="14" t="s">
        <v>215</v>
      </c>
      <c r="Z1569" s="14">
        <v>20332</v>
      </c>
      <c r="AA1569" s="14" t="s">
        <v>2173</v>
      </c>
      <c r="AB1569" s="14">
        <v>40001</v>
      </c>
      <c r="AE1569" s="14" t="s">
        <v>1400</v>
      </c>
      <c r="AF1569" s="14" t="s">
        <v>1400</v>
      </c>
      <c r="AG1569" s="14" t="s">
        <v>86</v>
      </c>
    </row>
    <row r="1570" spans="2:33">
      <c r="B1570" s="14">
        <f>10000000+INDEX(编号表!$B:$B,MATCH(H1570,编号表!$A:$A,0))*100000+INDEX(编号表!$F:$F,MATCH(D1570,编号表!$E:$E,0))*10000+INDEX(编号表!$D:$D,MATCH(AG1570,编号表!$C:$C,0))*1000+F1570</f>
        <v>11932112</v>
      </c>
      <c r="C1570" s="14" t="s">
        <v>2169</v>
      </c>
      <c r="D1570" s="14" t="s">
        <v>276</v>
      </c>
      <c r="E1570" s="14" t="s">
        <v>86</v>
      </c>
      <c r="F1570" s="14">
        <v>112</v>
      </c>
      <c r="G1570" s="14">
        <v>60</v>
      </c>
      <c r="H1570" s="14" t="s">
        <v>1400</v>
      </c>
      <c r="I1570" s="14" t="s">
        <v>75</v>
      </c>
      <c r="J1570" s="14" t="s">
        <v>201</v>
      </c>
      <c r="K1570" s="14">
        <v>1</v>
      </c>
      <c r="L1570" s="14" t="s">
        <v>1400</v>
      </c>
      <c r="N1570" s="14">
        <v>0</v>
      </c>
      <c r="O1570" s="14" t="b">
        <v>1</v>
      </c>
      <c r="Q1570" s="14" t="b">
        <v>0</v>
      </c>
      <c r="R1570" s="14">
        <v>1</v>
      </c>
      <c r="S1570" s="14" t="s">
        <v>77</v>
      </c>
      <c r="T1570" s="14">
        <v>999</v>
      </c>
      <c r="U1570" s="14" t="s">
        <v>1401</v>
      </c>
      <c r="V1570" s="14">
        <v>31932112</v>
      </c>
      <c r="X1570" s="14" t="s">
        <v>2174</v>
      </c>
      <c r="Y1570" s="14" t="s">
        <v>215</v>
      </c>
      <c r="Z1570" s="14">
        <v>20333</v>
      </c>
      <c r="AA1570" s="14" t="s">
        <v>2175</v>
      </c>
      <c r="AB1570" s="14">
        <v>40001</v>
      </c>
      <c r="AE1570" s="14" t="s">
        <v>1400</v>
      </c>
      <c r="AF1570" s="14" t="s">
        <v>1400</v>
      </c>
      <c r="AG1570" s="14" t="s">
        <v>86</v>
      </c>
    </row>
    <row r="1571" spans="2:33">
      <c r="B1571" s="14">
        <f>10000000+INDEX(编号表!$B:$B,MATCH(H1571,编号表!$A:$A,0))*100000+INDEX(编号表!$F:$F,MATCH(D1571,编号表!$E:$E,0))*10000+INDEX(编号表!$D:$D,MATCH(AG1571,编号表!$C:$C,0))*1000+F1571</f>
        <v>11912111</v>
      </c>
      <c r="C1571" s="14" t="s">
        <v>2176</v>
      </c>
      <c r="D1571" s="14" t="s">
        <v>72</v>
      </c>
      <c r="E1571" s="14" t="s">
        <v>86</v>
      </c>
      <c r="F1571" s="14">
        <v>111</v>
      </c>
      <c r="G1571" s="14">
        <v>60</v>
      </c>
      <c r="H1571" s="14" t="s">
        <v>1400</v>
      </c>
      <c r="I1571" s="14" t="s">
        <v>75</v>
      </c>
      <c r="J1571" s="14" t="s">
        <v>201</v>
      </c>
      <c r="K1571" s="14">
        <v>1</v>
      </c>
      <c r="L1571" s="14" t="s">
        <v>1400</v>
      </c>
      <c r="N1571" s="14">
        <v>0</v>
      </c>
      <c r="O1571" s="14" t="b">
        <v>1</v>
      </c>
      <c r="Q1571" s="14" t="b">
        <v>0</v>
      </c>
      <c r="R1571" s="14">
        <v>1</v>
      </c>
      <c r="S1571" s="14" t="s">
        <v>77</v>
      </c>
      <c r="T1571" s="14">
        <v>999</v>
      </c>
      <c r="U1571" s="14" t="s">
        <v>1401</v>
      </c>
      <c r="V1571" s="14">
        <v>31912111</v>
      </c>
      <c r="X1571" s="14" t="s">
        <v>2177</v>
      </c>
      <c r="Y1571" s="14" t="s">
        <v>215</v>
      </c>
      <c r="Z1571" s="14">
        <v>20334</v>
      </c>
      <c r="AA1571" s="14" t="s">
        <v>2178</v>
      </c>
      <c r="AB1571" s="14">
        <v>40001</v>
      </c>
      <c r="AE1571" s="14" t="s">
        <v>1400</v>
      </c>
      <c r="AF1571" s="14" t="s">
        <v>1400</v>
      </c>
      <c r="AG1571" s="14" t="s">
        <v>86</v>
      </c>
    </row>
    <row r="1572" spans="2:33">
      <c r="B1572" s="14">
        <f>10000000+INDEX(编号表!$B:$B,MATCH(H1572,编号表!$A:$A,0))*100000+INDEX(编号表!$F:$F,MATCH(D1572,编号表!$E:$E,0))*10000+INDEX(编号表!$D:$D,MATCH(AG1572,编号表!$C:$C,0))*1000+F1572</f>
        <v>11922112</v>
      </c>
      <c r="C1572" s="14" t="s">
        <v>2176</v>
      </c>
      <c r="D1572" s="14" t="s">
        <v>112</v>
      </c>
      <c r="E1572" s="14" t="s">
        <v>86</v>
      </c>
      <c r="F1572" s="14">
        <v>112</v>
      </c>
      <c r="G1572" s="14">
        <v>60</v>
      </c>
      <c r="H1572" s="14" t="s">
        <v>1400</v>
      </c>
      <c r="I1572" s="14" t="s">
        <v>75</v>
      </c>
      <c r="J1572" s="14" t="s">
        <v>201</v>
      </c>
      <c r="K1572" s="14">
        <v>1</v>
      </c>
      <c r="L1572" s="14" t="s">
        <v>1400</v>
      </c>
      <c r="N1572" s="14">
        <v>0</v>
      </c>
      <c r="O1572" s="14" t="b">
        <v>1</v>
      </c>
      <c r="Q1572" s="14" t="b">
        <v>0</v>
      </c>
      <c r="R1572" s="14">
        <v>1</v>
      </c>
      <c r="S1572" s="14" t="s">
        <v>77</v>
      </c>
      <c r="T1572" s="14">
        <v>999</v>
      </c>
      <c r="U1572" s="14" t="s">
        <v>1401</v>
      </c>
      <c r="V1572" s="14">
        <v>31922112</v>
      </c>
      <c r="X1572" s="14" t="s">
        <v>2179</v>
      </c>
      <c r="Y1572" s="14" t="s">
        <v>215</v>
      </c>
      <c r="Z1572" s="14">
        <v>20335</v>
      </c>
      <c r="AA1572" s="14" t="s">
        <v>2180</v>
      </c>
      <c r="AB1572" s="14">
        <v>40001</v>
      </c>
      <c r="AE1572" s="14" t="s">
        <v>1400</v>
      </c>
      <c r="AF1572" s="14" t="s">
        <v>1400</v>
      </c>
      <c r="AG1572" s="14" t="s">
        <v>86</v>
      </c>
    </row>
    <row r="1573" spans="2:33">
      <c r="B1573" s="14">
        <f>10000000+INDEX(编号表!$B:$B,MATCH(H1573,编号表!$A:$A,0))*100000+INDEX(编号表!$F:$F,MATCH(D1573,编号表!$E:$E,0))*10000+INDEX(编号表!$D:$D,MATCH(AG1573,编号表!$C:$C,0))*1000+F1573</f>
        <v>11932113</v>
      </c>
      <c r="C1573" s="14" t="s">
        <v>2176</v>
      </c>
      <c r="D1573" s="14" t="s">
        <v>276</v>
      </c>
      <c r="E1573" s="14" t="s">
        <v>86</v>
      </c>
      <c r="F1573" s="14">
        <v>113</v>
      </c>
      <c r="G1573" s="14">
        <v>60</v>
      </c>
      <c r="H1573" s="14" t="s">
        <v>1400</v>
      </c>
      <c r="I1573" s="14" t="s">
        <v>75</v>
      </c>
      <c r="J1573" s="14" t="s">
        <v>201</v>
      </c>
      <c r="K1573" s="14">
        <v>1</v>
      </c>
      <c r="L1573" s="14" t="s">
        <v>1400</v>
      </c>
      <c r="N1573" s="14">
        <v>0</v>
      </c>
      <c r="O1573" s="14" t="b">
        <v>1</v>
      </c>
      <c r="Q1573" s="14" t="b">
        <v>0</v>
      </c>
      <c r="R1573" s="14">
        <v>1</v>
      </c>
      <c r="S1573" s="14" t="s">
        <v>77</v>
      </c>
      <c r="T1573" s="14">
        <v>999</v>
      </c>
      <c r="U1573" s="14" t="s">
        <v>1401</v>
      </c>
      <c r="V1573" s="14">
        <v>31932113</v>
      </c>
      <c r="X1573" s="14" t="s">
        <v>2181</v>
      </c>
      <c r="Y1573" s="14" t="s">
        <v>215</v>
      </c>
      <c r="Z1573" s="14">
        <v>20336</v>
      </c>
      <c r="AA1573" s="14" t="s">
        <v>2182</v>
      </c>
      <c r="AB1573" s="14">
        <v>40001</v>
      </c>
      <c r="AE1573" s="14" t="s">
        <v>1400</v>
      </c>
      <c r="AF1573" s="14" t="s">
        <v>1400</v>
      </c>
      <c r="AG1573" s="14" t="s">
        <v>86</v>
      </c>
    </row>
    <row r="1574" spans="2:33">
      <c r="B1574" s="14">
        <f>10000000+INDEX(编号表!$B:$B,MATCH(H1574,编号表!$A:$A,0))*100000+INDEX(编号表!$F:$F,MATCH(D1574,编号表!$E:$E,0))*10000+INDEX(编号表!$D:$D,MATCH(AG1574,编号表!$C:$C,0))*1000+F1574</f>
        <v>11912112</v>
      </c>
      <c r="C1574" s="14" t="s">
        <v>2183</v>
      </c>
      <c r="D1574" s="14" t="s">
        <v>72</v>
      </c>
      <c r="E1574" s="14" t="s">
        <v>86</v>
      </c>
      <c r="F1574" s="14">
        <v>112</v>
      </c>
      <c r="G1574" s="14">
        <v>60</v>
      </c>
      <c r="H1574" s="14" t="s">
        <v>1400</v>
      </c>
      <c r="I1574" s="14" t="s">
        <v>75</v>
      </c>
      <c r="J1574" s="14" t="s">
        <v>201</v>
      </c>
      <c r="K1574" s="14">
        <v>1</v>
      </c>
      <c r="L1574" s="14" t="s">
        <v>1400</v>
      </c>
      <c r="N1574" s="14">
        <v>0</v>
      </c>
      <c r="O1574" s="14" t="b">
        <v>1</v>
      </c>
      <c r="Q1574" s="14" t="b">
        <v>0</v>
      </c>
      <c r="R1574" s="14">
        <v>1</v>
      </c>
      <c r="S1574" s="14" t="s">
        <v>77</v>
      </c>
      <c r="T1574" s="14">
        <v>999</v>
      </c>
      <c r="U1574" s="14" t="s">
        <v>1401</v>
      </c>
      <c r="V1574" s="14">
        <v>31912112</v>
      </c>
      <c r="X1574" s="14" t="s">
        <v>2184</v>
      </c>
      <c r="Y1574" s="14" t="s">
        <v>215</v>
      </c>
      <c r="Z1574" s="14">
        <v>20337</v>
      </c>
      <c r="AA1574" s="14" t="s">
        <v>2185</v>
      </c>
      <c r="AB1574" s="14">
        <v>40001</v>
      </c>
      <c r="AE1574" s="14" t="s">
        <v>1400</v>
      </c>
      <c r="AF1574" s="14" t="s">
        <v>1400</v>
      </c>
      <c r="AG1574" s="14" t="s">
        <v>86</v>
      </c>
    </row>
    <row r="1575" spans="2:33">
      <c r="B1575" s="14">
        <f>10000000+INDEX(编号表!$B:$B,MATCH(H1575,编号表!$A:$A,0))*100000+INDEX(编号表!$F:$F,MATCH(D1575,编号表!$E:$E,0))*10000+INDEX(编号表!$D:$D,MATCH(AG1575,编号表!$C:$C,0))*1000+F1575</f>
        <v>11922113</v>
      </c>
      <c r="C1575" s="14" t="s">
        <v>2183</v>
      </c>
      <c r="D1575" s="14" t="s">
        <v>112</v>
      </c>
      <c r="E1575" s="14" t="s">
        <v>86</v>
      </c>
      <c r="F1575" s="14">
        <v>113</v>
      </c>
      <c r="G1575" s="14">
        <v>60</v>
      </c>
      <c r="H1575" s="14" t="s">
        <v>1400</v>
      </c>
      <c r="I1575" s="14" t="s">
        <v>75</v>
      </c>
      <c r="J1575" s="14" t="s">
        <v>201</v>
      </c>
      <c r="K1575" s="14">
        <v>1</v>
      </c>
      <c r="L1575" s="14" t="s">
        <v>1400</v>
      </c>
      <c r="N1575" s="14">
        <v>0</v>
      </c>
      <c r="O1575" s="14" t="b">
        <v>1</v>
      </c>
      <c r="Q1575" s="14" t="b">
        <v>0</v>
      </c>
      <c r="R1575" s="14">
        <v>1</v>
      </c>
      <c r="S1575" s="14" t="s">
        <v>77</v>
      </c>
      <c r="T1575" s="14">
        <v>999</v>
      </c>
      <c r="U1575" s="14" t="s">
        <v>1401</v>
      </c>
      <c r="V1575" s="14">
        <v>31922113</v>
      </c>
      <c r="X1575" s="14" t="s">
        <v>2186</v>
      </c>
      <c r="Y1575" s="14" t="s">
        <v>215</v>
      </c>
      <c r="Z1575" s="14">
        <v>20338</v>
      </c>
      <c r="AA1575" s="14" t="s">
        <v>2187</v>
      </c>
      <c r="AB1575" s="14">
        <v>40001</v>
      </c>
      <c r="AE1575" s="14" t="s">
        <v>1400</v>
      </c>
      <c r="AF1575" s="14" t="s">
        <v>1400</v>
      </c>
      <c r="AG1575" s="14" t="s">
        <v>86</v>
      </c>
    </row>
    <row r="1576" spans="2:33">
      <c r="B1576" s="14">
        <f>10000000+INDEX(编号表!$B:$B,MATCH(H1576,编号表!$A:$A,0))*100000+INDEX(编号表!$F:$F,MATCH(D1576,编号表!$E:$E,0))*10000+INDEX(编号表!$D:$D,MATCH(AG1576,编号表!$C:$C,0))*1000+F1576</f>
        <v>11932114</v>
      </c>
      <c r="C1576" s="14" t="s">
        <v>2183</v>
      </c>
      <c r="D1576" s="14" t="s">
        <v>276</v>
      </c>
      <c r="E1576" s="14" t="s">
        <v>86</v>
      </c>
      <c r="F1576" s="14">
        <v>114</v>
      </c>
      <c r="G1576" s="14">
        <v>60</v>
      </c>
      <c r="H1576" s="14" t="s">
        <v>1400</v>
      </c>
      <c r="I1576" s="14" t="s">
        <v>75</v>
      </c>
      <c r="J1576" s="14" t="s">
        <v>201</v>
      </c>
      <c r="K1576" s="14">
        <v>1</v>
      </c>
      <c r="L1576" s="14" t="s">
        <v>1400</v>
      </c>
      <c r="N1576" s="14">
        <v>0</v>
      </c>
      <c r="O1576" s="14" t="b">
        <v>1</v>
      </c>
      <c r="Q1576" s="14" t="b">
        <v>0</v>
      </c>
      <c r="R1576" s="14">
        <v>1</v>
      </c>
      <c r="S1576" s="14" t="s">
        <v>77</v>
      </c>
      <c r="T1576" s="14">
        <v>999</v>
      </c>
      <c r="U1576" s="14" t="s">
        <v>1401</v>
      </c>
      <c r="V1576" s="14">
        <v>31932114</v>
      </c>
      <c r="X1576" s="14" t="s">
        <v>2188</v>
      </c>
      <c r="Y1576" s="14" t="s">
        <v>215</v>
      </c>
      <c r="Z1576" s="14">
        <v>20339</v>
      </c>
      <c r="AA1576" s="14" t="s">
        <v>2189</v>
      </c>
      <c r="AB1576" s="14">
        <v>40001</v>
      </c>
      <c r="AE1576" s="14" t="s">
        <v>1400</v>
      </c>
      <c r="AF1576" s="14" t="s">
        <v>1400</v>
      </c>
      <c r="AG1576" s="14" t="s">
        <v>86</v>
      </c>
    </row>
    <row r="1577" spans="2:33">
      <c r="B1577" s="14">
        <f>10000000+INDEX(编号表!$B:$B,MATCH(H1577,编号表!$A:$A,0))*100000+INDEX(编号表!$F:$F,MATCH(D1577,编号表!$E:$E,0))*10000+INDEX(编号表!$D:$D,MATCH(AG1577,编号表!$C:$C,0))*1000+F1577</f>
        <v>11912113</v>
      </c>
      <c r="C1577" s="14" t="s">
        <v>2190</v>
      </c>
      <c r="D1577" s="14" t="s">
        <v>72</v>
      </c>
      <c r="E1577" s="14" t="s">
        <v>86</v>
      </c>
      <c r="F1577" s="14">
        <v>113</v>
      </c>
      <c r="G1577" s="14">
        <v>60</v>
      </c>
      <c r="H1577" s="14" t="s">
        <v>1400</v>
      </c>
      <c r="I1577" s="14" t="s">
        <v>75</v>
      </c>
      <c r="J1577" s="14" t="s">
        <v>201</v>
      </c>
      <c r="K1577" s="14">
        <v>1</v>
      </c>
      <c r="L1577" s="14" t="s">
        <v>1400</v>
      </c>
      <c r="N1577" s="14">
        <v>0</v>
      </c>
      <c r="O1577" s="14" t="b">
        <v>1</v>
      </c>
      <c r="Q1577" s="14" t="b">
        <v>0</v>
      </c>
      <c r="R1577" s="14">
        <v>1</v>
      </c>
      <c r="S1577" s="14" t="s">
        <v>77</v>
      </c>
      <c r="T1577" s="14">
        <v>999</v>
      </c>
      <c r="U1577" s="14" t="s">
        <v>1401</v>
      </c>
      <c r="V1577" s="14">
        <v>31912113</v>
      </c>
      <c r="X1577" s="14" t="s">
        <v>2191</v>
      </c>
      <c r="Y1577" s="14" t="s">
        <v>215</v>
      </c>
      <c r="Z1577" s="14">
        <v>20340</v>
      </c>
      <c r="AA1577" s="14" t="s">
        <v>2192</v>
      </c>
      <c r="AB1577" s="14">
        <v>40001</v>
      </c>
      <c r="AE1577" s="14" t="s">
        <v>1400</v>
      </c>
      <c r="AF1577" s="14" t="s">
        <v>1400</v>
      </c>
      <c r="AG1577" s="14" t="s">
        <v>86</v>
      </c>
    </row>
    <row r="1578" spans="2:33">
      <c r="B1578" s="14">
        <f>10000000+INDEX(编号表!$B:$B,MATCH(H1578,编号表!$A:$A,0))*100000+INDEX(编号表!$F:$F,MATCH(D1578,编号表!$E:$E,0))*10000+INDEX(编号表!$D:$D,MATCH(AG1578,编号表!$C:$C,0))*1000+F1578</f>
        <v>11922114</v>
      </c>
      <c r="C1578" s="14" t="s">
        <v>2190</v>
      </c>
      <c r="D1578" s="14" t="s">
        <v>112</v>
      </c>
      <c r="E1578" s="14" t="s">
        <v>86</v>
      </c>
      <c r="F1578" s="14">
        <v>114</v>
      </c>
      <c r="G1578" s="14">
        <v>60</v>
      </c>
      <c r="H1578" s="14" t="s">
        <v>1400</v>
      </c>
      <c r="I1578" s="14" t="s">
        <v>75</v>
      </c>
      <c r="J1578" s="14" t="s">
        <v>201</v>
      </c>
      <c r="K1578" s="14">
        <v>1</v>
      </c>
      <c r="L1578" s="14" t="s">
        <v>1400</v>
      </c>
      <c r="N1578" s="14">
        <v>0</v>
      </c>
      <c r="O1578" s="14" t="b">
        <v>1</v>
      </c>
      <c r="Q1578" s="14" t="b">
        <v>0</v>
      </c>
      <c r="R1578" s="14">
        <v>1</v>
      </c>
      <c r="S1578" s="14" t="s">
        <v>77</v>
      </c>
      <c r="T1578" s="14">
        <v>999</v>
      </c>
      <c r="U1578" s="14" t="s">
        <v>1401</v>
      </c>
      <c r="V1578" s="14">
        <v>31922114</v>
      </c>
      <c r="X1578" s="14" t="s">
        <v>2193</v>
      </c>
      <c r="Y1578" s="14" t="s">
        <v>215</v>
      </c>
      <c r="Z1578" s="14">
        <v>20341</v>
      </c>
      <c r="AA1578" s="14" t="s">
        <v>2194</v>
      </c>
      <c r="AB1578" s="14">
        <v>40001</v>
      </c>
      <c r="AE1578" s="14" t="s">
        <v>1400</v>
      </c>
      <c r="AF1578" s="14" t="s">
        <v>1400</v>
      </c>
      <c r="AG1578" s="14" t="s">
        <v>86</v>
      </c>
    </row>
    <row r="1579" spans="2:33">
      <c r="B1579" s="14">
        <f>10000000+INDEX(编号表!$B:$B,MATCH(H1579,编号表!$A:$A,0))*100000+INDEX(编号表!$F:$F,MATCH(D1579,编号表!$E:$E,0))*10000+INDEX(编号表!$D:$D,MATCH(AG1579,编号表!$C:$C,0))*1000+F1579</f>
        <v>11932115</v>
      </c>
      <c r="C1579" s="14" t="s">
        <v>2190</v>
      </c>
      <c r="D1579" s="14" t="s">
        <v>276</v>
      </c>
      <c r="E1579" s="14" t="s">
        <v>86</v>
      </c>
      <c r="F1579" s="14">
        <v>115</v>
      </c>
      <c r="G1579" s="14">
        <v>60</v>
      </c>
      <c r="H1579" s="14" t="s">
        <v>1400</v>
      </c>
      <c r="I1579" s="14" t="s">
        <v>75</v>
      </c>
      <c r="J1579" s="14" t="s">
        <v>201</v>
      </c>
      <c r="K1579" s="14">
        <v>1</v>
      </c>
      <c r="L1579" s="14" t="s">
        <v>1400</v>
      </c>
      <c r="N1579" s="14">
        <v>0</v>
      </c>
      <c r="O1579" s="14" t="b">
        <v>1</v>
      </c>
      <c r="Q1579" s="14" t="b">
        <v>0</v>
      </c>
      <c r="R1579" s="14">
        <v>1</v>
      </c>
      <c r="S1579" s="14" t="s">
        <v>77</v>
      </c>
      <c r="T1579" s="14">
        <v>999</v>
      </c>
      <c r="U1579" s="14" t="s">
        <v>1401</v>
      </c>
      <c r="V1579" s="14">
        <v>31932115</v>
      </c>
      <c r="X1579" s="14" t="s">
        <v>2195</v>
      </c>
      <c r="Y1579" s="14" t="s">
        <v>215</v>
      </c>
      <c r="Z1579" s="14">
        <v>20342</v>
      </c>
      <c r="AA1579" s="14" t="s">
        <v>2196</v>
      </c>
      <c r="AB1579" s="14">
        <v>40001</v>
      </c>
      <c r="AE1579" s="14" t="s">
        <v>1400</v>
      </c>
      <c r="AF1579" s="14" t="s">
        <v>1400</v>
      </c>
      <c r="AG1579" s="14" t="s">
        <v>86</v>
      </c>
    </row>
    <row r="1580" spans="2:33">
      <c r="B1580" s="14">
        <f>10000000+INDEX(编号表!$B:$B,MATCH(H1580,编号表!$A:$A,0))*100000+INDEX(编号表!$F:$F,MATCH(D1580,编号表!$E:$E,0))*10000+INDEX(编号表!$D:$D,MATCH(AG1580,编号表!$C:$C,0))*1000+F1580</f>
        <v>11912114</v>
      </c>
      <c r="C1580" s="14" t="s">
        <v>2197</v>
      </c>
      <c r="D1580" s="14" t="s">
        <v>72</v>
      </c>
      <c r="E1580" s="14" t="s">
        <v>86</v>
      </c>
      <c r="F1580" s="14">
        <v>114</v>
      </c>
      <c r="G1580" s="14">
        <v>60</v>
      </c>
      <c r="H1580" s="14" t="s">
        <v>1400</v>
      </c>
      <c r="I1580" s="14" t="s">
        <v>75</v>
      </c>
      <c r="J1580" s="14" t="s">
        <v>201</v>
      </c>
      <c r="K1580" s="14">
        <v>1</v>
      </c>
      <c r="L1580" s="14" t="s">
        <v>1400</v>
      </c>
      <c r="N1580" s="14">
        <v>0</v>
      </c>
      <c r="O1580" s="14" t="b">
        <v>1</v>
      </c>
      <c r="Q1580" s="14" t="b">
        <v>0</v>
      </c>
      <c r="R1580" s="14">
        <v>1</v>
      </c>
      <c r="S1580" s="14" t="s">
        <v>77</v>
      </c>
      <c r="T1580" s="14">
        <v>999</v>
      </c>
      <c r="U1580" s="14" t="s">
        <v>1401</v>
      </c>
      <c r="V1580" s="14">
        <v>31912114</v>
      </c>
      <c r="X1580" s="14" t="s">
        <v>2198</v>
      </c>
      <c r="Y1580" s="14" t="s">
        <v>215</v>
      </c>
      <c r="Z1580" s="14">
        <v>20343</v>
      </c>
      <c r="AA1580" s="14" t="s">
        <v>2199</v>
      </c>
      <c r="AB1580" s="14">
        <v>40001</v>
      </c>
      <c r="AE1580" s="14" t="s">
        <v>1400</v>
      </c>
      <c r="AF1580" s="14" t="s">
        <v>1400</v>
      </c>
      <c r="AG1580" s="14" t="s">
        <v>86</v>
      </c>
    </row>
    <row r="1581" spans="2:33">
      <c r="B1581" s="14">
        <f>10000000+INDEX(编号表!$B:$B,MATCH(H1581,编号表!$A:$A,0))*100000+INDEX(编号表!$F:$F,MATCH(D1581,编号表!$E:$E,0))*10000+INDEX(编号表!$D:$D,MATCH(AG1581,编号表!$C:$C,0))*1000+F1581</f>
        <v>11922115</v>
      </c>
      <c r="C1581" s="14" t="s">
        <v>2197</v>
      </c>
      <c r="D1581" s="14" t="s">
        <v>112</v>
      </c>
      <c r="E1581" s="14" t="s">
        <v>86</v>
      </c>
      <c r="F1581" s="14">
        <v>115</v>
      </c>
      <c r="G1581" s="14">
        <v>60</v>
      </c>
      <c r="H1581" s="14" t="s">
        <v>1400</v>
      </c>
      <c r="I1581" s="14" t="s">
        <v>75</v>
      </c>
      <c r="J1581" s="14" t="s">
        <v>201</v>
      </c>
      <c r="K1581" s="14">
        <v>1</v>
      </c>
      <c r="L1581" s="14" t="s">
        <v>1400</v>
      </c>
      <c r="N1581" s="14">
        <v>0</v>
      </c>
      <c r="O1581" s="14" t="b">
        <v>1</v>
      </c>
      <c r="Q1581" s="14" t="b">
        <v>0</v>
      </c>
      <c r="R1581" s="14">
        <v>1</v>
      </c>
      <c r="S1581" s="14" t="s">
        <v>77</v>
      </c>
      <c r="T1581" s="14">
        <v>999</v>
      </c>
      <c r="U1581" s="14" t="s">
        <v>1401</v>
      </c>
      <c r="V1581" s="14">
        <v>31922115</v>
      </c>
      <c r="X1581" s="14" t="s">
        <v>2200</v>
      </c>
      <c r="Y1581" s="14" t="s">
        <v>215</v>
      </c>
      <c r="Z1581" s="14">
        <v>20344</v>
      </c>
      <c r="AA1581" s="14" t="s">
        <v>2201</v>
      </c>
      <c r="AB1581" s="14">
        <v>40001</v>
      </c>
      <c r="AE1581" s="14" t="s">
        <v>1400</v>
      </c>
      <c r="AF1581" s="14" t="s">
        <v>1400</v>
      </c>
      <c r="AG1581" s="14" t="s">
        <v>86</v>
      </c>
    </row>
    <row r="1582" spans="2:33">
      <c r="B1582" s="14">
        <f>10000000+INDEX(编号表!$B:$B,MATCH(H1582,编号表!$A:$A,0))*100000+INDEX(编号表!$F:$F,MATCH(D1582,编号表!$E:$E,0))*10000+INDEX(编号表!$D:$D,MATCH(AG1582,编号表!$C:$C,0))*1000+F1582</f>
        <v>11932116</v>
      </c>
      <c r="C1582" s="14" t="s">
        <v>2197</v>
      </c>
      <c r="D1582" s="14" t="s">
        <v>276</v>
      </c>
      <c r="E1582" s="14" t="s">
        <v>86</v>
      </c>
      <c r="F1582" s="14">
        <v>116</v>
      </c>
      <c r="G1582" s="14">
        <v>60</v>
      </c>
      <c r="H1582" s="14" t="s">
        <v>1400</v>
      </c>
      <c r="I1582" s="14" t="s">
        <v>75</v>
      </c>
      <c r="J1582" s="14" t="s">
        <v>201</v>
      </c>
      <c r="K1582" s="14">
        <v>1</v>
      </c>
      <c r="L1582" s="14" t="s">
        <v>1400</v>
      </c>
      <c r="N1582" s="14">
        <v>0</v>
      </c>
      <c r="O1582" s="14" t="b">
        <v>1</v>
      </c>
      <c r="Q1582" s="14" t="b">
        <v>0</v>
      </c>
      <c r="R1582" s="14">
        <v>1</v>
      </c>
      <c r="S1582" s="14" t="s">
        <v>77</v>
      </c>
      <c r="T1582" s="14">
        <v>999</v>
      </c>
      <c r="U1582" s="14" t="s">
        <v>1401</v>
      </c>
      <c r="V1582" s="14">
        <v>31932116</v>
      </c>
      <c r="X1582" s="14" t="s">
        <v>2202</v>
      </c>
      <c r="Y1582" s="14" t="s">
        <v>215</v>
      </c>
      <c r="Z1582" s="14">
        <v>20345</v>
      </c>
      <c r="AA1582" s="14" t="s">
        <v>2203</v>
      </c>
      <c r="AB1582" s="14">
        <v>40001</v>
      </c>
      <c r="AE1582" s="14" t="s">
        <v>1400</v>
      </c>
      <c r="AF1582" s="14" t="s">
        <v>1400</v>
      </c>
      <c r="AG1582" s="14" t="s">
        <v>86</v>
      </c>
    </row>
    <row r="1583" spans="2:33">
      <c r="B1583" s="14">
        <f>10000000+INDEX(编号表!$B:$B,MATCH(H1583,编号表!$A:$A,0))*100000+INDEX(编号表!$F:$F,MATCH(D1583,编号表!$E:$E,0))*10000+INDEX(编号表!$D:$D,MATCH(AG1583,编号表!$C:$C,0))*1000+F1583</f>
        <v>11912115</v>
      </c>
      <c r="C1583" s="14" t="s">
        <v>2204</v>
      </c>
      <c r="D1583" s="14" t="s">
        <v>72</v>
      </c>
      <c r="E1583" s="14" t="s">
        <v>86</v>
      </c>
      <c r="F1583" s="14">
        <v>115</v>
      </c>
      <c r="G1583" s="14">
        <v>60</v>
      </c>
      <c r="H1583" s="14" t="s">
        <v>1400</v>
      </c>
      <c r="I1583" s="14" t="s">
        <v>75</v>
      </c>
      <c r="J1583" s="14" t="s">
        <v>201</v>
      </c>
      <c r="K1583" s="14">
        <v>1</v>
      </c>
      <c r="L1583" s="14" t="s">
        <v>1400</v>
      </c>
      <c r="N1583" s="14">
        <v>0</v>
      </c>
      <c r="O1583" s="14" t="b">
        <v>1</v>
      </c>
      <c r="Q1583" s="14" t="b">
        <v>0</v>
      </c>
      <c r="R1583" s="14">
        <v>1</v>
      </c>
      <c r="S1583" s="14" t="s">
        <v>77</v>
      </c>
      <c r="T1583" s="14">
        <v>999</v>
      </c>
      <c r="U1583" s="14" t="s">
        <v>1401</v>
      </c>
      <c r="V1583" s="14">
        <v>31912115</v>
      </c>
      <c r="X1583" s="14" t="s">
        <v>2205</v>
      </c>
      <c r="Y1583" s="14" t="s">
        <v>215</v>
      </c>
      <c r="Z1583" s="14">
        <v>20346</v>
      </c>
      <c r="AA1583" s="14" t="s">
        <v>2206</v>
      </c>
      <c r="AB1583" s="14">
        <v>40001</v>
      </c>
      <c r="AE1583" s="14" t="s">
        <v>1400</v>
      </c>
      <c r="AF1583" s="14" t="s">
        <v>1400</v>
      </c>
      <c r="AG1583" s="14" t="s">
        <v>86</v>
      </c>
    </row>
    <row r="1584" spans="2:33">
      <c r="B1584" s="14">
        <f>10000000+INDEX(编号表!$B:$B,MATCH(H1584,编号表!$A:$A,0))*100000+INDEX(编号表!$F:$F,MATCH(D1584,编号表!$E:$E,0))*10000+INDEX(编号表!$D:$D,MATCH(AG1584,编号表!$C:$C,0))*1000+F1584</f>
        <v>11922116</v>
      </c>
      <c r="C1584" s="14" t="s">
        <v>2204</v>
      </c>
      <c r="D1584" s="14" t="s">
        <v>112</v>
      </c>
      <c r="E1584" s="14" t="s">
        <v>86</v>
      </c>
      <c r="F1584" s="14">
        <v>116</v>
      </c>
      <c r="G1584" s="14">
        <v>60</v>
      </c>
      <c r="H1584" s="14" t="s">
        <v>1400</v>
      </c>
      <c r="I1584" s="14" t="s">
        <v>75</v>
      </c>
      <c r="J1584" s="14" t="s">
        <v>201</v>
      </c>
      <c r="K1584" s="14">
        <v>1</v>
      </c>
      <c r="L1584" s="14" t="s">
        <v>1400</v>
      </c>
      <c r="N1584" s="14">
        <v>0</v>
      </c>
      <c r="O1584" s="14" t="b">
        <v>1</v>
      </c>
      <c r="Q1584" s="14" t="b">
        <v>0</v>
      </c>
      <c r="R1584" s="14">
        <v>1</v>
      </c>
      <c r="S1584" s="14" t="s">
        <v>77</v>
      </c>
      <c r="T1584" s="14">
        <v>999</v>
      </c>
      <c r="U1584" s="14" t="s">
        <v>1401</v>
      </c>
      <c r="V1584" s="14">
        <v>31922116</v>
      </c>
      <c r="X1584" s="14" t="s">
        <v>2207</v>
      </c>
      <c r="Y1584" s="14" t="s">
        <v>215</v>
      </c>
      <c r="Z1584" s="14">
        <v>20347</v>
      </c>
      <c r="AA1584" s="14" t="s">
        <v>2208</v>
      </c>
      <c r="AB1584" s="14">
        <v>40001</v>
      </c>
      <c r="AE1584" s="14" t="s">
        <v>1400</v>
      </c>
      <c r="AF1584" s="14" t="s">
        <v>1400</v>
      </c>
      <c r="AG1584" s="14" t="s">
        <v>86</v>
      </c>
    </row>
    <row r="1585" spans="2:33">
      <c r="B1585" s="14">
        <f>10000000+INDEX(编号表!$B:$B,MATCH(H1585,编号表!$A:$A,0))*100000+INDEX(编号表!$F:$F,MATCH(D1585,编号表!$E:$E,0))*10000+INDEX(编号表!$D:$D,MATCH(AG1585,编号表!$C:$C,0))*1000+F1585</f>
        <v>11932117</v>
      </c>
      <c r="C1585" s="14" t="s">
        <v>2204</v>
      </c>
      <c r="D1585" s="14" t="s">
        <v>276</v>
      </c>
      <c r="E1585" s="14" t="s">
        <v>86</v>
      </c>
      <c r="F1585" s="14">
        <v>117</v>
      </c>
      <c r="G1585" s="14">
        <v>60</v>
      </c>
      <c r="H1585" s="14" t="s">
        <v>1400</v>
      </c>
      <c r="I1585" s="14" t="s">
        <v>75</v>
      </c>
      <c r="J1585" s="14" t="s">
        <v>201</v>
      </c>
      <c r="K1585" s="14">
        <v>1</v>
      </c>
      <c r="L1585" s="14" t="s">
        <v>1400</v>
      </c>
      <c r="N1585" s="14">
        <v>0</v>
      </c>
      <c r="O1585" s="14" t="b">
        <v>1</v>
      </c>
      <c r="Q1585" s="14" t="b">
        <v>0</v>
      </c>
      <c r="R1585" s="14">
        <v>1</v>
      </c>
      <c r="S1585" s="14" t="s">
        <v>77</v>
      </c>
      <c r="T1585" s="14">
        <v>999</v>
      </c>
      <c r="U1585" s="14" t="s">
        <v>1401</v>
      </c>
      <c r="V1585" s="14">
        <v>31932117</v>
      </c>
      <c r="X1585" s="14" t="s">
        <v>2209</v>
      </c>
      <c r="Y1585" s="14" t="s">
        <v>215</v>
      </c>
      <c r="Z1585" s="14">
        <v>20348</v>
      </c>
      <c r="AA1585" s="14" t="s">
        <v>2210</v>
      </c>
      <c r="AB1585" s="14">
        <v>40001</v>
      </c>
      <c r="AE1585" s="14" t="s">
        <v>1400</v>
      </c>
      <c r="AF1585" s="14" t="s">
        <v>1400</v>
      </c>
      <c r="AG1585" s="14" t="s">
        <v>86</v>
      </c>
    </row>
    <row r="1586" spans="2:33">
      <c r="B1586" s="14">
        <f>10000000+INDEX(编号表!$B:$B,MATCH(H1586,编号表!$A:$A,0))*100000+INDEX(编号表!$F:$F,MATCH(D1586,编号表!$E:$E,0))*10000+INDEX(编号表!$D:$D,MATCH(AG1586,编号表!$C:$C,0))*1000+F1586</f>
        <v>11912116</v>
      </c>
      <c r="C1586" s="14" t="s">
        <v>2211</v>
      </c>
      <c r="D1586" s="14" t="s">
        <v>72</v>
      </c>
      <c r="E1586" s="14" t="s">
        <v>86</v>
      </c>
      <c r="F1586" s="14">
        <v>116</v>
      </c>
      <c r="G1586" s="14">
        <v>60</v>
      </c>
      <c r="H1586" s="14" t="s">
        <v>1400</v>
      </c>
      <c r="I1586" s="14" t="s">
        <v>75</v>
      </c>
      <c r="J1586" s="14" t="s">
        <v>201</v>
      </c>
      <c r="K1586" s="14">
        <v>1</v>
      </c>
      <c r="L1586" s="14" t="s">
        <v>1400</v>
      </c>
      <c r="N1586" s="14">
        <v>0</v>
      </c>
      <c r="O1586" s="14" t="b">
        <v>1</v>
      </c>
      <c r="Q1586" s="14" t="b">
        <v>0</v>
      </c>
      <c r="R1586" s="14">
        <v>1</v>
      </c>
      <c r="S1586" s="14" t="s">
        <v>77</v>
      </c>
      <c r="T1586" s="14">
        <v>999</v>
      </c>
      <c r="U1586" s="14" t="s">
        <v>1401</v>
      </c>
      <c r="V1586" s="14">
        <v>31912116</v>
      </c>
      <c r="X1586" s="14" t="s">
        <v>2212</v>
      </c>
      <c r="Y1586" s="14" t="s">
        <v>215</v>
      </c>
      <c r="Z1586" s="14">
        <v>20349</v>
      </c>
      <c r="AA1586" s="14" t="s">
        <v>2213</v>
      </c>
      <c r="AB1586" s="14">
        <v>40001</v>
      </c>
      <c r="AE1586" s="14" t="s">
        <v>1400</v>
      </c>
      <c r="AF1586" s="14" t="s">
        <v>1400</v>
      </c>
      <c r="AG1586" s="14" t="s">
        <v>86</v>
      </c>
    </row>
    <row r="1587" spans="2:33">
      <c r="B1587" s="14">
        <f>10000000+INDEX(编号表!$B:$B,MATCH(H1587,编号表!$A:$A,0))*100000+INDEX(编号表!$F:$F,MATCH(D1587,编号表!$E:$E,0))*10000+INDEX(编号表!$D:$D,MATCH(AG1587,编号表!$C:$C,0))*1000+F1587</f>
        <v>11922117</v>
      </c>
      <c r="C1587" s="14" t="s">
        <v>2211</v>
      </c>
      <c r="D1587" s="14" t="s">
        <v>112</v>
      </c>
      <c r="E1587" s="14" t="s">
        <v>86</v>
      </c>
      <c r="F1587" s="14">
        <v>117</v>
      </c>
      <c r="G1587" s="14">
        <v>60</v>
      </c>
      <c r="H1587" s="14" t="s">
        <v>1400</v>
      </c>
      <c r="I1587" s="14" t="s">
        <v>75</v>
      </c>
      <c r="J1587" s="14" t="s">
        <v>201</v>
      </c>
      <c r="K1587" s="14">
        <v>1</v>
      </c>
      <c r="L1587" s="14" t="s">
        <v>1400</v>
      </c>
      <c r="N1587" s="14">
        <v>0</v>
      </c>
      <c r="O1587" s="14" t="b">
        <v>1</v>
      </c>
      <c r="Q1587" s="14" t="b">
        <v>0</v>
      </c>
      <c r="R1587" s="14">
        <v>1</v>
      </c>
      <c r="S1587" s="14" t="s">
        <v>77</v>
      </c>
      <c r="T1587" s="14">
        <v>999</v>
      </c>
      <c r="U1587" s="14" t="s">
        <v>1401</v>
      </c>
      <c r="V1587" s="14">
        <v>31922117</v>
      </c>
      <c r="X1587" s="14" t="s">
        <v>2214</v>
      </c>
      <c r="Y1587" s="14" t="s">
        <v>215</v>
      </c>
      <c r="Z1587" s="14">
        <v>20350</v>
      </c>
      <c r="AA1587" s="14" t="s">
        <v>2215</v>
      </c>
      <c r="AB1587" s="14">
        <v>40001</v>
      </c>
      <c r="AE1587" s="14" t="s">
        <v>1400</v>
      </c>
      <c r="AF1587" s="14" t="s">
        <v>1400</v>
      </c>
      <c r="AG1587" s="14" t="s">
        <v>86</v>
      </c>
    </row>
    <row r="1588" spans="2:33">
      <c r="B1588" s="14">
        <f>10000000+INDEX(编号表!$B:$B,MATCH(H1588,编号表!$A:$A,0))*100000+INDEX(编号表!$F:$F,MATCH(D1588,编号表!$E:$E,0))*10000+INDEX(编号表!$D:$D,MATCH(AG1588,编号表!$C:$C,0))*1000+F1588</f>
        <v>11932118</v>
      </c>
      <c r="C1588" s="14" t="s">
        <v>2211</v>
      </c>
      <c r="D1588" s="14" t="s">
        <v>276</v>
      </c>
      <c r="E1588" s="14" t="s">
        <v>86</v>
      </c>
      <c r="F1588" s="14">
        <v>118</v>
      </c>
      <c r="G1588" s="14">
        <v>60</v>
      </c>
      <c r="H1588" s="14" t="s">
        <v>1400</v>
      </c>
      <c r="I1588" s="14" t="s">
        <v>75</v>
      </c>
      <c r="J1588" s="14" t="s">
        <v>201</v>
      </c>
      <c r="K1588" s="14">
        <v>1</v>
      </c>
      <c r="L1588" s="14" t="s">
        <v>1400</v>
      </c>
      <c r="N1588" s="14">
        <v>0</v>
      </c>
      <c r="O1588" s="14" t="b">
        <v>1</v>
      </c>
      <c r="Q1588" s="14" t="b">
        <v>0</v>
      </c>
      <c r="R1588" s="14">
        <v>1</v>
      </c>
      <c r="S1588" s="14" t="s">
        <v>77</v>
      </c>
      <c r="T1588" s="14">
        <v>999</v>
      </c>
      <c r="U1588" s="14" t="s">
        <v>1401</v>
      </c>
      <c r="V1588" s="14">
        <v>31932118</v>
      </c>
      <c r="X1588" s="14" t="s">
        <v>2216</v>
      </c>
      <c r="Y1588" s="14" t="s">
        <v>215</v>
      </c>
      <c r="Z1588" s="14">
        <v>20351</v>
      </c>
      <c r="AA1588" s="14" t="s">
        <v>2217</v>
      </c>
      <c r="AB1588" s="14">
        <v>40001</v>
      </c>
      <c r="AE1588" s="14" t="s">
        <v>1400</v>
      </c>
      <c r="AF1588" s="14" t="s">
        <v>1400</v>
      </c>
      <c r="AG1588" s="14" t="s">
        <v>86</v>
      </c>
    </row>
    <row r="1589" spans="2:33">
      <c r="B1589" s="14">
        <f>10000000+INDEX(编号表!$B:$B,MATCH(H1589,编号表!$A:$A,0))*100000+INDEX(编号表!$F:$F,MATCH(D1589,编号表!$E:$E,0))*10000+INDEX(编号表!$D:$D,MATCH(AG1589,编号表!$C:$C,0))*1000+F1589</f>
        <v>11912117</v>
      </c>
      <c r="C1589" s="14" t="s">
        <v>2218</v>
      </c>
      <c r="D1589" s="14" t="s">
        <v>72</v>
      </c>
      <c r="E1589" s="14" t="s">
        <v>86</v>
      </c>
      <c r="F1589" s="14">
        <v>117</v>
      </c>
      <c r="G1589" s="14">
        <v>60</v>
      </c>
      <c r="H1589" s="14" t="s">
        <v>1400</v>
      </c>
      <c r="I1589" s="14" t="s">
        <v>75</v>
      </c>
      <c r="J1589" s="14" t="s">
        <v>201</v>
      </c>
      <c r="K1589" s="14">
        <v>1</v>
      </c>
      <c r="L1589" s="14" t="s">
        <v>1400</v>
      </c>
      <c r="N1589" s="14">
        <v>0</v>
      </c>
      <c r="O1589" s="14" t="b">
        <v>1</v>
      </c>
      <c r="Q1589" s="14" t="b">
        <v>0</v>
      </c>
      <c r="R1589" s="14">
        <v>1</v>
      </c>
      <c r="S1589" s="14" t="s">
        <v>77</v>
      </c>
      <c r="T1589" s="14">
        <v>999</v>
      </c>
      <c r="U1589" s="14" t="s">
        <v>1401</v>
      </c>
      <c r="V1589" s="14">
        <v>31912117</v>
      </c>
      <c r="X1589" s="14" t="s">
        <v>2219</v>
      </c>
      <c r="Y1589" s="14" t="s">
        <v>215</v>
      </c>
      <c r="Z1589" s="14">
        <v>20352</v>
      </c>
      <c r="AA1589" s="14" t="s">
        <v>2220</v>
      </c>
      <c r="AB1589" s="14">
        <v>40001</v>
      </c>
      <c r="AE1589" s="14" t="s">
        <v>1400</v>
      </c>
      <c r="AF1589" s="14" t="s">
        <v>1400</v>
      </c>
      <c r="AG1589" s="14" t="s">
        <v>86</v>
      </c>
    </row>
    <row r="1590" spans="2:33">
      <c r="B1590" s="14">
        <f>10000000+INDEX(编号表!$B:$B,MATCH(H1590,编号表!$A:$A,0))*100000+INDEX(编号表!$F:$F,MATCH(D1590,编号表!$E:$E,0))*10000+INDEX(编号表!$D:$D,MATCH(AG1590,编号表!$C:$C,0))*1000+F1590</f>
        <v>11922118</v>
      </c>
      <c r="C1590" s="14" t="s">
        <v>2218</v>
      </c>
      <c r="D1590" s="14" t="s">
        <v>112</v>
      </c>
      <c r="E1590" s="14" t="s">
        <v>86</v>
      </c>
      <c r="F1590" s="14">
        <v>118</v>
      </c>
      <c r="G1590" s="14">
        <v>60</v>
      </c>
      <c r="H1590" s="14" t="s">
        <v>1400</v>
      </c>
      <c r="I1590" s="14" t="s">
        <v>75</v>
      </c>
      <c r="J1590" s="14" t="s">
        <v>201</v>
      </c>
      <c r="K1590" s="14">
        <v>1</v>
      </c>
      <c r="L1590" s="14" t="s">
        <v>1400</v>
      </c>
      <c r="N1590" s="14">
        <v>0</v>
      </c>
      <c r="O1590" s="14" t="b">
        <v>1</v>
      </c>
      <c r="Q1590" s="14" t="b">
        <v>0</v>
      </c>
      <c r="R1590" s="14">
        <v>1</v>
      </c>
      <c r="S1590" s="14" t="s">
        <v>77</v>
      </c>
      <c r="T1590" s="14">
        <v>999</v>
      </c>
      <c r="U1590" s="14" t="s">
        <v>1401</v>
      </c>
      <c r="V1590" s="14">
        <v>31922118</v>
      </c>
      <c r="X1590" s="14" t="s">
        <v>2221</v>
      </c>
      <c r="Y1590" s="14" t="s">
        <v>215</v>
      </c>
      <c r="Z1590" s="14">
        <v>20353</v>
      </c>
      <c r="AA1590" s="14" t="s">
        <v>2222</v>
      </c>
      <c r="AB1590" s="14">
        <v>40001</v>
      </c>
      <c r="AE1590" s="14" t="s">
        <v>1400</v>
      </c>
      <c r="AF1590" s="14" t="s">
        <v>1400</v>
      </c>
      <c r="AG1590" s="14" t="s">
        <v>86</v>
      </c>
    </row>
    <row r="1591" spans="2:33">
      <c r="B1591" s="14">
        <f>10000000+INDEX(编号表!$B:$B,MATCH(H1591,编号表!$A:$A,0))*100000+INDEX(编号表!$F:$F,MATCH(D1591,编号表!$E:$E,0))*10000+INDEX(编号表!$D:$D,MATCH(AG1591,编号表!$C:$C,0))*1000+F1591</f>
        <v>11932119</v>
      </c>
      <c r="C1591" s="14" t="s">
        <v>2218</v>
      </c>
      <c r="D1591" s="14" t="s">
        <v>276</v>
      </c>
      <c r="E1591" s="14" t="s">
        <v>86</v>
      </c>
      <c r="F1591" s="14">
        <v>119</v>
      </c>
      <c r="G1591" s="14">
        <v>60</v>
      </c>
      <c r="H1591" s="14" t="s">
        <v>1400</v>
      </c>
      <c r="I1591" s="14" t="s">
        <v>75</v>
      </c>
      <c r="J1591" s="14" t="s">
        <v>201</v>
      </c>
      <c r="K1591" s="14">
        <v>1</v>
      </c>
      <c r="L1591" s="14" t="s">
        <v>1400</v>
      </c>
      <c r="N1591" s="14">
        <v>0</v>
      </c>
      <c r="O1591" s="14" t="b">
        <v>1</v>
      </c>
      <c r="Q1591" s="14" t="b">
        <v>0</v>
      </c>
      <c r="R1591" s="14">
        <v>1</v>
      </c>
      <c r="S1591" s="14" t="s">
        <v>77</v>
      </c>
      <c r="T1591" s="14">
        <v>999</v>
      </c>
      <c r="U1591" s="14" t="s">
        <v>1401</v>
      </c>
      <c r="V1591" s="14">
        <v>31932119</v>
      </c>
      <c r="X1591" s="14" t="s">
        <v>2223</v>
      </c>
      <c r="Y1591" s="14" t="s">
        <v>215</v>
      </c>
      <c r="Z1591" s="14">
        <v>20354</v>
      </c>
      <c r="AA1591" s="14" t="s">
        <v>2224</v>
      </c>
      <c r="AB1591" s="14">
        <v>40001</v>
      </c>
      <c r="AE1591" s="14" t="s">
        <v>1400</v>
      </c>
      <c r="AF1591" s="14" t="s">
        <v>1400</v>
      </c>
      <c r="AG1591" s="14" t="s">
        <v>86</v>
      </c>
    </row>
    <row r="1592" spans="2:33">
      <c r="B1592" s="14">
        <f>10000000+INDEX(编号表!$B:$B,MATCH(H1592,编号表!$A:$A,0))*100000+INDEX(编号表!$F:$F,MATCH(D1592,编号表!$E:$E,0))*10000+INDEX(编号表!$D:$D,MATCH(AG1592,编号表!$C:$C,0))*1000+F1592</f>
        <v>11912118</v>
      </c>
      <c r="C1592" s="14" t="s">
        <v>2225</v>
      </c>
      <c r="D1592" s="14" t="s">
        <v>72</v>
      </c>
      <c r="E1592" s="14" t="s">
        <v>86</v>
      </c>
      <c r="F1592" s="14">
        <v>118</v>
      </c>
      <c r="G1592" s="14">
        <v>60</v>
      </c>
      <c r="H1592" s="14" t="s">
        <v>1400</v>
      </c>
      <c r="I1592" s="14" t="s">
        <v>75</v>
      </c>
      <c r="J1592" s="14" t="s">
        <v>201</v>
      </c>
      <c r="K1592" s="14">
        <v>1</v>
      </c>
      <c r="L1592" s="14" t="s">
        <v>1400</v>
      </c>
      <c r="N1592" s="14">
        <v>0</v>
      </c>
      <c r="O1592" s="14" t="b">
        <v>1</v>
      </c>
      <c r="Q1592" s="14" t="b">
        <v>0</v>
      </c>
      <c r="R1592" s="14">
        <v>1</v>
      </c>
      <c r="S1592" s="14" t="s">
        <v>77</v>
      </c>
      <c r="T1592" s="14">
        <v>999</v>
      </c>
      <c r="U1592" s="14" t="s">
        <v>1401</v>
      </c>
      <c r="V1592" s="14">
        <v>31912118</v>
      </c>
      <c r="X1592" s="14" t="s">
        <v>2226</v>
      </c>
      <c r="Y1592" s="14" t="s">
        <v>215</v>
      </c>
      <c r="Z1592" s="14">
        <v>20355</v>
      </c>
      <c r="AA1592" s="14" t="s">
        <v>2227</v>
      </c>
      <c r="AB1592" s="14">
        <v>40001</v>
      </c>
      <c r="AE1592" s="14" t="s">
        <v>1400</v>
      </c>
      <c r="AF1592" s="14" t="s">
        <v>1400</v>
      </c>
      <c r="AG1592" s="14" t="s">
        <v>86</v>
      </c>
    </row>
    <row r="1593" spans="2:33">
      <c r="B1593" s="14">
        <f>10000000+INDEX(编号表!$B:$B,MATCH(H1593,编号表!$A:$A,0))*100000+INDEX(编号表!$F:$F,MATCH(D1593,编号表!$E:$E,0))*10000+INDEX(编号表!$D:$D,MATCH(AG1593,编号表!$C:$C,0))*1000+F1593</f>
        <v>11922119</v>
      </c>
      <c r="C1593" s="14" t="s">
        <v>2225</v>
      </c>
      <c r="D1593" s="14" t="s">
        <v>112</v>
      </c>
      <c r="E1593" s="14" t="s">
        <v>86</v>
      </c>
      <c r="F1593" s="14">
        <v>119</v>
      </c>
      <c r="G1593" s="14">
        <v>60</v>
      </c>
      <c r="H1593" s="14" t="s">
        <v>1400</v>
      </c>
      <c r="I1593" s="14" t="s">
        <v>75</v>
      </c>
      <c r="J1593" s="14" t="s">
        <v>201</v>
      </c>
      <c r="K1593" s="14">
        <v>1</v>
      </c>
      <c r="L1593" s="14" t="s">
        <v>1400</v>
      </c>
      <c r="N1593" s="14">
        <v>0</v>
      </c>
      <c r="O1593" s="14" t="b">
        <v>1</v>
      </c>
      <c r="Q1593" s="14" t="b">
        <v>0</v>
      </c>
      <c r="R1593" s="14">
        <v>1</v>
      </c>
      <c r="S1593" s="14" t="s">
        <v>77</v>
      </c>
      <c r="T1593" s="14">
        <v>999</v>
      </c>
      <c r="U1593" s="14" t="s">
        <v>1401</v>
      </c>
      <c r="V1593" s="14">
        <v>31922119</v>
      </c>
      <c r="X1593" s="14" t="s">
        <v>2228</v>
      </c>
      <c r="Y1593" s="14" t="s">
        <v>215</v>
      </c>
      <c r="Z1593" s="14">
        <v>20356</v>
      </c>
      <c r="AA1593" s="14" t="s">
        <v>2229</v>
      </c>
      <c r="AB1593" s="14">
        <v>40001</v>
      </c>
      <c r="AE1593" s="14" t="s">
        <v>1400</v>
      </c>
      <c r="AF1593" s="14" t="s">
        <v>1400</v>
      </c>
      <c r="AG1593" s="14" t="s">
        <v>86</v>
      </c>
    </row>
    <row r="1594" spans="2:33">
      <c r="B1594" s="14">
        <f>10000000+INDEX(编号表!$B:$B,MATCH(H1594,编号表!$A:$A,0))*100000+INDEX(编号表!$F:$F,MATCH(D1594,编号表!$E:$E,0))*10000+INDEX(编号表!$D:$D,MATCH(AG1594,编号表!$C:$C,0))*1000+F1594</f>
        <v>11932120</v>
      </c>
      <c r="C1594" s="14" t="s">
        <v>2225</v>
      </c>
      <c r="D1594" s="14" t="s">
        <v>276</v>
      </c>
      <c r="E1594" s="14" t="s">
        <v>86</v>
      </c>
      <c r="F1594" s="14">
        <v>120</v>
      </c>
      <c r="G1594" s="14">
        <v>60</v>
      </c>
      <c r="H1594" s="14" t="s">
        <v>1400</v>
      </c>
      <c r="I1594" s="14" t="s">
        <v>75</v>
      </c>
      <c r="J1594" s="14" t="s">
        <v>201</v>
      </c>
      <c r="K1594" s="14">
        <v>1</v>
      </c>
      <c r="L1594" s="14" t="s">
        <v>1400</v>
      </c>
      <c r="N1594" s="14">
        <v>0</v>
      </c>
      <c r="O1594" s="14" t="b">
        <v>1</v>
      </c>
      <c r="Q1594" s="14" t="b">
        <v>0</v>
      </c>
      <c r="R1594" s="14">
        <v>1</v>
      </c>
      <c r="S1594" s="14" t="s">
        <v>77</v>
      </c>
      <c r="T1594" s="14">
        <v>999</v>
      </c>
      <c r="U1594" s="14" t="s">
        <v>1401</v>
      </c>
      <c r="V1594" s="14">
        <v>31932120</v>
      </c>
      <c r="X1594" s="14" t="s">
        <v>2230</v>
      </c>
      <c r="Y1594" s="14" t="s">
        <v>215</v>
      </c>
      <c r="Z1594" s="14">
        <v>20357</v>
      </c>
      <c r="AA1594" s="14" t="s">
        <v>2231</v>
      </c>
      <c r="AB1594" s="14">
        <v>40001</v>
      </c>
      <c r="AE1594" s="14" t="s">
        <v>1400</v>
      </c>
      <c r="AF1594" s="14" t="s">
        <v>1400</v>
      </c>
      <c r="AG1594" s="14" t="s">
        <v>86</v>
      </c>
    </row>
    <row r="1595" spans="2:33">
      <c r="B1595" s="14">
        <f>10000000+INDEX(编号表!$B:$B,MATCH(H1595,编号表!$A:$A,0))*100000+INDEX(编号表!$F:$F,MATCH(D1595,编号表!$E:$E,0))*10000+INDEX(编号表!$D:$D,MATCH(AG1595,编号表!$C:$C,0))*1000+F1595</f>
        <v>11912119</v>
      </c>
      <c r="C1595" s="14" t="s">
        <v>2232</v>
      </c>
      <c r="D1595" s="14" t="s">
        <v>72</v>
      </c>
      <c r="E1595" s="14" t="s">
        <v>86</v>
      </c>
      <c r="F1595" s="14">
        <v>119</v>
      </c>
      <c r="G1595" s="14">
        <v>60</v>
      </c>
      <c r="H1595" s="14" t="s">
        <v>1400</v>
      </c>
      <c r="I1595" s="14" t="s">
        <v>75</v>
      </c>
      <c r="J1595" s="14" t="s">
        <v>201</v>
      </c>
      <c r="K1595" s="14">
        <v>1</v>
      </c>
      <c r="L1595" s="14" t="s">
        <v>1400</v>
      </c>
      <c r="N1595" s="14">
        <v>0</v>
      </c>
      <c r="O1595" s="14" t="b">
        <v>1</v>
      </c>
      <c r="Q1595" s="14" t="b">
        <v>0</v>
      </c>
      <c r="R1595" s="14">
        <v>1</v>
      </c>
      <c r="S1595" s="14" t="s">
        <v>77</v>
      </c>
      <c r="T1595" s="14">
        <v>999</v>
      </c>
      <c r="U1595" s="14" t="s">
        <v>1401</v>
      </c>
      <c r="V1595" s="14">
        <v>31912119</v>
      </c>
      <c r="X1595" s="14" t="s">
        <v>2233</v>
      </c>
      <c r="Y1595" s="14" t="s">
        <v>215</v>
      </c>
      <c r="Z1595" s="14">
        <v>20358</v>
      </c>
      <c r="AA1595" s="14" t="s">
        <v>2234</v>
      </c>
      <c r="AB1595" s="14">
        <v>40001</v>
      </c>
      <c r="AE1595" s="14" t="s">
        <v>1400</v>
      </c>
      <c r="AF1595" s="14" t="s">
        <v>1400</v>
      </c>
      <c r="AG1595" s="14" t="s">
        <v>86</v>
      </c>
    </row>
    <row r="1596" spans="2:33">
      <c r="B1596" s="14">
        <f>10000000+INDEX(编号表!$B:$B,MATCH(H1596,编号表!$A:$A,0))*100000+INDEX(编号表!$F:$F,MATCH(D1596,编号表!$E:$E,0))*10000+INDEX(编号表!$D:$D,MATCH(AG1596,编号表!$C:$C,0))*1000+F1596</f>
        <v>11922120</v>
      </c>
      <c r="C1596" s="14" t="s">
        <v>2232</v>
      </c>
      <c r="D1596" s="14" t="s">
        <v>112</v>
      </c>
      <c r="E1596" s="14" t="s">
        <v>86</v>
      </c>
      <c r="F1596" s="14">
        <v>120</v>
      </c>
      <c r="G1596" s="14">
        <v>60</v>
      </c>
      <c r="H1596" s="14" t="s">
        <v>1400</v>
      </c>
      <c r="I1596" s="14" t="s">
        <v>75</v>
      </c>
      <c r="J1596" s="14" t="s">
        <v>201</v>
      </c>
      <c r="K1596" s="14">
        <v>1</v>
      </c>
      <c r="L1596" s="14" t="s">
        <v>1400</v>
      </c>
      <c r="N1596" s="14">
        <v>0</v>
      </c>
      <c r="O1596" s="14" t="b">
        <v>1</v>
      </c>
      <c r="Q1596" s="14" t="b">
        <v>0</v>
      </c>
      <c r="R1596" s="14">
        <v>1</v>
      </c>
      <c r="S1596" s="14" t="s">
        <v>77</v>
      </c>
      <c r="T1596" s="14">
        <v>999</v>
      </c>
      <c r="U1596" s="14" t="s">
        <v>1401</v>
      </c>
      <c r="V1596" s="14">
        <v>31922120</v>
      </c>
      <c r="X1596" s="14" t="s">
        <v>2235</v>
      </c>
      <c r="Y1596" s="14" t="s">
        <v>215</v>
      </c>
      <c r="Z1596" s="14">
        <v>20359</v>
      </c>
      <c r="AA1596" s="14" t="s">
        <v>2236</v>
      </c>
      <c r="AB1596" s="14">
        <v>40001</v>
      </c>
      <c r="AE1596" s="14" t="s">
        <v>1400</v>
      </c>
      <c r="AF1596" s="14" t="s">
        <v>1400</v>
      </c>
      <c r="AG1596" s="14" t="s">
        <v>86</v>
      </c>
    </row>
    <row r="1597" spans="2:33">
      <c r="B1597" s="14">
        <f>10000000+INDEX(编号表!$B:$B,MATCH(H1597,编号表!$A:$A,0))*100000+INDEX(编号表!$F:$F,MATCH(D1597,编号表!$E:$E,0))*10000+INDEX(编号表!$D:$D,MATCH(AG1597,编号表!$C:$C,0))*1000+F1597</f>
        <v>11932121</v>
      </c>
      <c r="C1597" s="14" t="s">
        <v>2232</v>
      </c>
      <c r="D1597" s="14" t="s">
        <v>276</v>
      </c>
      <c r="E1597" s="14" t="s">
        <v>86</v>
      </c>
      <c r="F1597" s="14">
        <v>121</v>
      </c>
      <c r="G1597" s="14">
        <v>60</v>
      </c>
      <c r="H1597" s="14" t="s">
        <v>1400</v>
      </c>
      <c r="I1597" s="14" t="s">
        <v>75</v>
      </c>
      <c r="J1597" s="14" t="s">
        <v>201</v>
      </c>
      <c r="K1597" s="14">
        <v>1</v>
      </c>
      <c r="L1597" s="14" t="s">
        <v>1400</v>
      </c>
      <c r="N1597" s="14">
        <v>0</v>
      </c>
      <c r="O1597" s="14" t="b">
        <v>1</v>
      </c>
      <c r="Q1597" s="14" t="b">
        <v>0</v>
      </c>
      <c r="R1597" s="14">
        <v>1</v>
      </c>
      <c r="S1597" s="14" t="s">
        <v>77</v>
      </c>
      <c r="T1597" s="14">
        <v>999</v>
      </c>
      <c r="U1597" s="14" t="s">
        <v>1401</v>
      </c>
      <c r="V1597" s="14">
        <v>31932121</v>
      </c>
      <c r="X1597" s="14" t="s">
        <v>2237</v>
      </c>
      <c r="Y1597" s="14" t="s">
        <v>215</v>
      </c>
      <c r="Z1597" s="14">
        <v>20360</v>
      </c>
      <c r="AA1597" s="14" t="s">
        <v>2238</v>
      </c>
      <c r="AB1597" s="14">
        <v>40001</v>
      </c>
      <c r="AE1597" s="14" t="s">
        <v>1400</v>
      </c>
      <c r="AF1597" s="14" t="s">
        <v>1400</v>
      </c>
      <c r="AG1597" s="14" t="s">
        <v>86</v>
      </c>
    </row>
    <row r="1598" spans="2:33">
      <c r="B1598" s="14">
        <f>10000000+INDEX(编号表!$B:$B,MATCH(H1598,编号表!$A:$A,0))*100000+INDEX(编号表!$F:$F,MATCH(D1598,编号表!$E:$E,0))*10000+INDEX(编号表!$D:$D,MATCH(AG1598,编号表!$C:$C,0))*1000+F1598</f>
        <v>11912120</v>
      </c>
      <c r="C1598" s="14" t="s">
        <v>2239</v>
      </c>
      <c r="D1598" s="14" t="s">
        <v>72</v>
      </c>
      <c r="E1598" s="14" t="s">
        <v>86</v>
      </c>
      <c r="F1598" s="14">
        <v>120</v>
      </c>
      <c r="G1598" s="14">
        <v>60</v>
      </c>
      <c r="H1598" s="14" t="s">
        <v>1400</v>
      </c>
      <c r="I1598" s="14" t="s">
        <v>75</v>
      </c>
      <c r="J1598" s="14" t="s">
        <v>201</v>
      </c>
      <c r="K1598" s="14">
        <v>1</v>
      </c>
      <c r="L1598" s="14" t="s">
        <v>1400</v>
      </c>
      <c r="N1598" s="14">
        <v>0</v>
      </c>
      <c r="O1598" s="14" t="b">
        <v>1</v>
      </c>
      <c r="Q1598" s="14" t="b">
        <v>0</v>
      </c>
      <c r="R1598" s="14">
        <v>1</v>
      </c>
      <c r="S1598" s="14" t="s">
        <v>77</v>
      </c>
      <c r="T1598" s="14">
        <v>999</v>
      </c>
      <c r="U1598" s="14" t="s">
        <v>1401</v>
      </c>
      <c r="V1598" s="14">
        <v>31912120</v>
      </c>
      <c r="X1598" s="14" t="s">
        <v>2240</v>
      </c>
      <c r="Y1598" s="14" t="s">
        <v>215</v>
      </c>
      <c r="Z1598" s="14">
        <v>20361</v>
      </c>
      <c r="AA1598" s="14" t="s">
        <v>2241</v>
      </c>
      <c r="AB1598" s="14">
        <v>40001</v>
      </c>
      <c r="AE1598" s="14" t="s">
        <v>1400</v>
      </c>
      <c r="AF1598" s="14" t="s">
        <v>1400</v>
      </c>
      <c r="AG1598" s="14" t="s">
        <v>86</v>
      </c>
    </row>
    <row r="1599" spans="2:33">
      <c r="B1599" s="14">
        <f>10000000+INDEX(编号表!$B:$B,MATCH(H1599,编号表!$A:$A,0))*100000+INDEX(编号表!$F:$F,MATCH(D1599,编号表!$E:$E,0))*10000+INDEX(编号表!$D:$D,MATCH(AG1599,编号表!$C:$C,0))*1000+F1599</f>
        <v>11922121</v>
      </c>
      <c r="C1599" s="14" t="s">
        <v>2239</v>
      </c>
      <c r="D1599" s="14" t="s">
        <v>112</v>
      </c>
      <c r="E1599" s="14" t="s">
        <v>86</v>
      </c>
      <c r="F1599" s="14">
        <v>121</v>
      </c>
      <c r="G1599" s="14">
        <v>60</v>
      </c>
      <c r="H1599" s="14" t="s">
        <v>1400</v>
      </c>
      <c r="I1599" s="14" t="s">
        <v>75</v>
      </c>
      <c r="J1599" s="14" t="s">
        <v>201</v>
      </c>
      <c r="K1599" s="14">
        <v>1</v>
      </c>
      <c r="L1599" s="14" t="s">
        <v>1400</v>
      </c>
      <c r="N1599" s="14">
        <v>0</v>
      </c>
      <c r="O1599" s="14" t="b">
        <v>1</v>
      </c>
      <c r="Q1599" s="14" t="b">
        <v>0</v>
      </c>
      <c r="R1599" s="14">
        <v>1</v>
      </c>
      <c r="S1599" s="14" t="s">
        <v>77</v>
      </c>
      <c r="T1599" s="14">
        <v>999</v>
      </c>
      <c r="U1599" s="14" t="s">
        <v>1401</v>
      </c>
      <c r="V1599" s="14">
        <v>31922121</v>
      </c>
      <c r="X1599" s="14" t="s">
        <v>2242</v>
      </c>
      <c r="Y1599" s="14" t="s">
        <v>215</v>
      </c>
      <c r="Z1599" s="14">
        <v>20362</v>
      </c>
      <c r="AA1599" s="14" t="s">
        <v>2243</v>
      </c>
      <c r="AB1599" s="14">
        <v>40001</v>
      </c>
      <c r="AE1599" s="14" t="s">
        <v>1400</v>
      </c>
      <c r="AF1599" s="14" t="s">
        <v>1400</v>
      </c>
      <c r="AG1599" s="14" t="s">
        <v>86</v>
      </c>
    </row>
    <row r="1600" spans="2:33">
      <c r="B1600" s="14">
        <f>10000000+INDEX(编号表!$B:$B,MATCH(H1600,编号表!$A:$A,0))*100000+INDEX(编号表!$F:$F,MATCH(D1600,编号表!$E:$E,0))*10000+INDEX(编号表!$D:$D,MATCH(AG1600,编号表!$C:$C,0))*1000+F1600</f>
        <v>11932122</v>
      </c>
      <c r="C1600" s="14" t="s">
        <v>2239</v>
      </c>
      <c r="D1600" s="14" t="s">
        <v>276</v>
      </c>
      <c r="E1600" s="14" t="s">
        <v>86</v>
      </c>
      <c r="F1600" s="14">
        <v>122</v>
      </c>
      <c r="G1600" s="14">
        <v>60</v>
      </c>
      <c r="H1600" s="14" t="s">
        <v>1400</v>
      </c>
      <c r="I1600" s="14" t="s">
        <v>75</v>
      </c>
      <c r="J1600" s="14" t="s">
        <v>201</v>
      </c>
      <c r="K1600" s="14">
        <v>1</v>
      </c>
      <c r="L1600" s="14" t="s">
        <v>1400</v>
      </c>
      <c r="N1600" s="14">
        <v>0</v>
      </c>
      <c r="O1600" s="14" t="b">
        <v>1</v>
      </c>
      <c r="Q1600" s="14" t="b">
        <v>0</v>
      </c>
      <c r="R1600" s="14">
        <v>1</v>
      </c>
      <c r="S1600" s="14" t="s">
        <v>77</v>
      </c>
      <c r="T1600" s="14">
        <v>999</v>
      </c>
      <c r="U1600" s="14" t="s">
        <v>1401</v>
      </c>
      <c r="V1600" s="14">
        <v>31932122</v>
      </c>
      <c r="X1600" s="14" t="s">
        <v>2244</v>
      </c>
      <c r="Y1600" s="14" t="s">
        <v>215</v>
      </c>
      <c r="Z1600" s="14">
        <v>20363</v>
      </c>
      <c r="AA1600" s="14" t="s">
        <v>2245</v>
      </c>
      <c r="AB1600" s="14">
        <v>40001</v>
      </c>
      <c r="AE1600" s="14" t="s">
        <v>1400</v>
      </c>
      <c r="AF1600" s="14" t="s">
        <v>1400</v>
      </c>
      <c r="AG1600" s="14" t="s">
        <v>86</v>
      </c>
    </row>
    <row r="1601" spans="2:33">
      <c r="B1601" s="14">
        <f>10000000+INDEX(编号表!$B:$B,MATCH(H1601,编号表!$A:$A,0))*100000+INDEX(编号表!$F:$F,MATCH(D1601,编号表!$E:$E,0))*10000+INDEX(编号表!$D:$D,MATCH(AG1601,编号表!$C:$C,0))*1000+F1601</f>
        <v>11912121</v>
      </c>
      <c r="C1601" s="14" t="s">
        <v>2246</v>
      </c>
      <c r="D1601" s="14" t="s">
        <v>72</v>
      </c>
      <c r="E1601" s="14" t="s">
        <v>86</v>
      </c>
      <c r="F1601" s="14">
        <v>121</v>
      </c>
      <c r="G1601" s="14">
        <v>60</v>
      </c>
      <c r="H1601" s="14" t="s">
        <v>1400</v>
      </c>
      <c r="I1601" s="14" t="s">
        <v>75</v>
      </c>
      <c r="J1601" s="14" t="s">
        <v>201</v>
      </c>
      <c r="K1601" s="14">
        <v>1</v>
      </c>
      <c r="L1601" s="14" t="s">
        <v>1400</v>
      </c>
      <c r="N1601" s="14">
        <v>0</v>
      </c>
      <c r="O1601" s="14" t="b">
        <v>1</v>
      </c>
      <c r="Q1601" s="14" t="b">
        <v>0</v>
      </c>
      <c r="R1601" s="14">
        <v>1</v>
      </c>
      <c r="S1601" s="14" t="s">
        <v>77</v>
      </c>
      <c r="T1601" s="14">
        <v>999</v>
      </c>
      <c r="U1601" s="14" t="s">
        <v>1401</v>
      </c>
      <c r="V1601" s="14">
        <v>31912121</v>
      </c>
      <c r="X1601" s="14" t="s">
        <v>2247</v>
      </c>
      <c r="Y1601" s="14" t="s">
        <v>215</v>
      </c>
      <c r="Z1601" s="14">
        <v>20364</v>
      </c>
      <c r="AA1601" s="14" t="s">
        <v>2248</v>
      </c>
      <c r="AB1601" s="14">
        <v>40001</v>
      </c>
      <c r="AE1601" s="14" t="s">
        <v>1400</v>
      </c>
      <c r="AF1601" s="14" t="s">
        <v>1400</v>
      </c>
      <c r="AG1601" s="14" t="s">
        <v>86</v>
      </c>
    </row>
    <row r="1602" spans="2:33">
      <c r="B1602" s="14">
        <f>10000000+INDEX(编号表!$B:$B,MATCH(H1602,编号表!$A:$A,0))*100000+INDEX(编号表!$F:$F,MATCH(D1602,编号表!$E:$E,0))*10000+INDEX(编号表!$D:$D,MATCH(AG1602,编号表!$C:$C,0))*1000+F1602</f>
        <v>11922122</v>
      </c>
      <c r="C1602" s="14" t="s">
        <v>2246</v>
      </c>
      <c r="D1602" s="14" t="s">
        <v>112</v>
      </c>
      <c r="E1602" s="14" t="s">
        <v>86</v>
      </c>
      <c r="F1602" s="14">
        <v>122</v>
      </c>
      <c r="G1602" s="14">
        <v>60</v>
      </c>
      <c r="H1602" s="14" t="s">
        <v>1400</v>
      </c>
      <c r="I1602" s="14" t="s">
        <v>75</v>
      </c>
      <c r="J1602" s="14" t="s">
        <v>201</v>
      </c>
      <c r="K1602" s="14">
        <v>1</v>
      </c>
      <c r="L1602" s="14" t="s">
        <v>1400</v>
      </c>
      <c r="N1602" s="14">
        <v>0</v>
      </c>
      <c r="O1602" s="14" t="b">
        <v>1</v>
      </c>
      <c r="Q1602" s="14" t="b">
        <v>0</v>
      </c>
      <c r="R1602" s="14">
        <v>1</v>
      </c>
      <c r="S1602" s="14" t="s">
        <v>77</v>
      </c>
      <c r="T1602" s="14">
        <v>999</v>
      </c>
      <c r="U1602" s="14" t="s">
        <v>1401</v>
      </c>
      <c r="V1602" s="14">
        <v>31922122</v>
      </c>
      <c r="X1602" s="14" t="s">
        <v>2249</v>
      </c>
      <c r="Y1602" s="14" t="s">
        <v>215</v>
      </c>
      <c r="Z1602" s="14">
        <v>20365</v>
      </c>
      <c r="AA1602" s="14" t="s">
        <v>2250</v>
      </c>
      <c r="AB1602" s="14">
        <v>40001</v>
      </c>
      <c r="AE1602" s="14" t="s">
        <v>1400</v>
      </c>
      <c r="AF1602" s="14" t="s">
        <v>1400</v>
      </c>
      <c r="AG1602" s="14" t="s">
        <v>86</v>
      </c>
    </row>
    <row r="1603" spans="2:33">
      <c r="B1603" s="14">
        <f>10000000+INDEX(编号表!$B:$B,MATCH(H1603,编号表!$A:$A,0))*100000+INDEX(编号表!$F:$F,MATCH(D1603,编号表!$E:$E,0))*10000+INDEX(编号表!$D:$D,MATCH(AG1603,编号表!$C:$C,0))*1000+F1603</f>
        <v>11932123</v>
      </c>
      <c r="C1603" s="14" t="s">
        <v>2246</v>
      </c>
      <c r="D1603" s="14" t="s">
        <v>276</v>
      </c>
      <c r="E1603" s="14" t="s">
        <v>86</v>
      </c>
      <c r="F1603" s="14">
        <v>123</v>
      </c>
      <c r="G1603" s="14">
        <v>60</v>
      </c>
      <c r="H1603" s="14" t="s">
        <v>1400</v>
      </c>
      <c r="I1603" s="14" t="s">
        <v>75</v>
      </c>
      <c r="J1603" s="14" t="s">
        <v>201</v>
      </c>
      <c r="K1603" s="14">
        <v>1</v>
      </c>
      <c r="L1603" s="14" t="s">
        <v>1400</v>
      </c>
      <c r="N1603" s="14">
        <v>0</v>
      </c>
      <c r="O1603" s="14" t="b">
        <v>1</v>
      </c>
      <c r="Q1603" s="14" t="b">
        <v>0</v>
      </c>
      <c r="R1603" s="14">
        <v>1</v>
      </c>
      <c r="S1603" s="14" t="s">
        <v>77</v>
      </c>
      <c r="T1603" s="14">
        <v>999</v>
      </c>
      <c r="U1603" s="14" t="s">
        <v>1401</v>
      </c>
      <c r="V1603" s="14">
        <v>31932123</v>
      </c>
      <c r="X1603" s="14" t="s">
        <v>2251</v>
      </c>
      <c r="Y1603" s="14" t="s">
        <v>215</v>
      </c>
      <c r="Z1603" s="14">
        <v>20366</v>
      </c>
      <c r="AA1603" s="14" t="s">
        <v>2252</v>
      </c>
      <c r="AB1603" s="14">
        <v>40001</v>
      </c>
      <c r="AE1603" s="14" t="s">
        <v>1400</v>
      </c>
      <c r="AF1603" s="14" t="s">
        <v>1400</v>
      </c>
      <c r="AG1603" s="14" t="s">
        <v>86</v>
      </c>
    </row>
    <row r="1604" spans="2:33">
      <c r="B1604" s="14">
        <f>10000000+INDEX(编号表!$B:$B,MATCH(H1604,编号表!$A:$A,0))*100000+INDEX(编号表!$F:$F,MATCH(D1604,编号表!$E:$E,0))*10000+INDEX(编号表!$D:$D,MATCH(AG1604,编号表!$C:$C,0))*1000+F1604</f>
        <v>11912122</v>
      </c>
      <c r="C1604" s="14" t="s">
        <v>2253</v>
      </c>
      <c r="D1604" s="14" t="s">
        <v>72</v>
      </c>
      <c r="E1604" s="14" t="s">
        <v>86</v>
      </c>
      <c r="F1604" s="14">
        <v>122</v>
      </c>
      <c r="G1604" s="14">
        <v>60</v>
      </c>
      <c r="H1604" s="14" t="s">
        <v>1400</v>
      </c>
      <c r="I1604" s="14" t="s">
        <v>75</v>
      </c>
      <c r="J1604" s="14" t="s">
        <v>201</v>
      </c>
      <c r="K1604" s="14">
        <v>1</v>
      </c>
      <c r="L1604" s="14" t="s">
        <v>1400</v>
      </c>
      <c r="N1604" s="14">
        <v>0</v>
      </c>
      <c r="O1604" s="14" t="b">
        <v>1</v>
      </c>
      <c r="Q1604" s="14" t="b">
        <v>0</v>
      </c>
      <c r="R1604" s="14">
        <v>1</v>
      </c>
      <c r="S1604" s="14" t="s">
        <v>77</v>
      </c>
      <c r="T1604" s="14">
        <v>999</v>
      </c>
      <c r="U1604" s="14" t="s">
        <v>1401</v>
      </c>
      <c r="V1604" s="14">
        <v>31912122</v>
      </c>
      <c r="X1604" s="14" t="s">
        <v>2254</v>
      </c>
      <c r="Y1604" s="14" t="s">
        <v>215</v>
      </c>
      <c r="Z1604" s="14">
        <v>20367</v>
      </c>
      <c r="AA1604" s="14" t="s">
        <v>2255</v>
      </c>
      <c r="AB1604" s="14">
        <v>40001</v>
      </c>
      <c r="AE1604" s="14" t="s">
        <v>1400</v>
      </c>
      <c r="AF1604" s="14" t="s">
        <v>1400</v>
      </c>
      <c r="AG1604" s="14" t="s">
        <v>86</v>
      </c>
    </row>
    <row r="1605" spans="2:33">
      <c r="B1605" s="14">
        <f>10000000+INDEX(编号表!$B:$B,MATCH(H1605,编号表!$A:$A,0))*100000+INDEX(编号表!$F:$F,MATCH(D1605,编号表!$E:$E,0))*10000+INDEX(编号表!$D:$D,MATCH(AG1605,编号表!$C:$C,0))*1000+F1605</f>
        <v>11922123</v>
      </c>
      <c r="C1605" s="14" t="s">
        <v>2253</v>
      </c>
      <c r="D1605" s="14" t="s">
        <v>112</v>
      </c>
      <c r="E1605" s="14" t="s">
        <v>86</v>
      </c>
      <c r="F1605" s="14">
        <v>123</v>
      </c>
      <c r="G1605" s="14">
        <v>60</v>
      </c>
      <c r="H1605" s="14" t="s">
        <v>1400</v>
      </c>
      <c r="I1605" s="14" t="s">
        <v>75</v>
      </c>
      <c r="J1605" s="14" t="s">
        <v>201</v>
      </c>
      <c r="K1605" s="14">
        <v>1</v>
      </c>
      <c r="L1605" s="14" t="s">
        <v>1400</v>
      </c>
      <c r="N1605" s="14">
        <v>0</v>
      </c>
      <c r="O1605" s="14" t="b">
        <v>1</v>
      </c>
      <c r="Q1605" s="14" t="b">
        <v>0</v>
      </c>
      <c r="R1605" s="14">
        <v>1</v>
      </c>
      <c r="S1605" s="14" t="s">
        <v>77</v>
      </c>
      <c r="T1605" s="14">
        <v>999</v>
      </c>
      <c r="U1605" s="14" t="s">
        <v>1401</v>
      </c>
      <c r="V1605" s="14">
        <v>31922123</v>
      </c>
      <c r="X1605" s="14" t="s">
        <v>2256</v>
      </c>
      <c r="Y1605" s="14" t="s">
        <v>215</v>
      </c>
      <c r="Z1605" s="14">
        <v>20368</v>
      </c>
      <c r="AA1605" s="14" t="s">
        <v>2257</v>
      </c>
      <c r="AB1605" s="14">
        <v>40001</v>
      </c>
      <c r="AE1605" s="14" t="s">
        <v>1400</v>
      </c>
      <c r="AF1605" s="14" t="s">
        <v>1400</v>
      </c>
      <c r="AG1605" s="14" t="s">
        <v>86</v>
      </c>
    </row>
    <row r="1606" spans="2:33">
      <c r="B1606" s="14">
        <f>10000000+INDEX(编号表!$B:$B,MATCH(H1606,编号表!$A:$A,0))*100000+INDEX(编号表!$F:$F,MATCH(D1606,编号表!$E:$E,0))*10000+INDEX(编号表!$D:$D,MATCH(AG1606,编号表!$C:$C,0))*1000+F1606</f>
        <v>11932124</v>
      </c>
      <c r="C1606" s="14" t="s">
        <v>2253</v>
      </c>
      <c r="D1606" s="14" t="s">
        <v>276</v>
      </c>
      <c r="E1606" s="14" t="s">
        <v>86</v>
      </c>
      <c r="F1606" s="14">
        <v>124</v>
      </c>
      <c r="G1606" s="14">
        <v>60</v>
      </c>
      <c r="H1606" s="14" t="s">
        <v>1400</v>
      </c>
      <c r="I1606" s="14" t="s">
        <v>75</v>
      </c>
      <c r="J1606" s="14" t="s">
        <v>201</v>
      </c>
      <c r="K1606" s="14">
        <v>1</v>
      </c>
      <c r="L1606" s="14" t="s">
        <v>1400</v>
      </c>
      <c r="N1606" s="14">
        <v>0</v>
      </c>
      <c r="O1606" s="14" t="b">
        <v>1</v>
      </c>
      <c r="Q1606" s="14" t="b">
        <v>0</v>
      </c>
      <c r="R1606" s="14">
        <v>1</v>
      </c>
      <c r="S1606" s="14" t="s">
        <v>77</v>
      </c>
      <c r="T1606" s="14">
        <v>999</v>
      </c>
      <c r="U1606" s="14" t="s">
        <v>1401</v>
      </c>
      <c r="V1606" s="14">
        <v>31932124</v>
      </c>
      <c r="X1606" s="14" t="s">
        <v>2258</v>
      </c>
      <c r="Y1606" s="14" t="s">
        <v>215</v>
      </c>
      <c r="Z1606" s="14">
        <v>20369</v>
      </c>
      <c r="AA1606" s="14" t="s">
        <v>2259</v>
      </c>
      <c r="AB1606" s="14">
        <v>40001</v>
      </c>
      <c r="AE1606" s="14" t="s">
        <v>1400</v>
      </c>
      <c r="AF1606" s="14" t="s">
        <v>1400</v>
      </c>
      <c r="AG1606" s="14" t="s">
        <v>86</v>
      </c>
    </row>
    <row r="1607" spans="2:33">
      <c r="B1607" s="14">
        <f>10000000+INDEX(编号表!$B:$B,MATCH(H1607,编号表!$A:$A,0))*100000+INDEX(编号表!$F:$F,MATCH(D1607,编号表!$E:$E,0))*10000+INDEX(编号表!$D:$D,MATCH(AG1607,编号表!$C:$C,0))*1000+F1607</f>
        <v>11912123</v>
      </c>
      <c r="C1607" s="14" t="s">
        <v>2260</v>
      </c>
      <c r="D1607" s="14" t="s">
        <v>72</v>
      </c>
      <c r="E1607" s="14" t="s">
        <v>86</v>
      </c>
      <c r="F1607" s="14">
        <v>123</v>
      </c>
      <c r="G1607" s="14">
        <v>60</v>
      </c>
      <c r="H1607" s="14" t="s">
        <v>1400</v>
      </c>
      <c r="I1607" s="14" t="s">
        <v>75</v>
      </c>
      <c r="J1607" s="14" t="s">
        <v>201</v>
      </c>
      <c r="K1607" s="14">
        <v>1</v>
      </c>
      <c r="L1607" s="14" t="s">
        <v>1400</v>
      </c>
      <c r="N1607" s="14">
        <v>0</v>
      </c>
      <c r="O1607" s="14" t="b">
        <v>1</v>
      </c>
      <c r="Q1607" s="14" t="b">
        <v>0</v>
      </c>
      <c r="R1607" s="14">
        <v>1</v>
      </c>
      <c r="S1607" s="14" t="s">
        <v>77</v>
      </c>
      <c r="T1607" s="14">
        <v>999</v>
      </c>
      <c r="U1607" s="14" t="s">
        <v>1401</v>
      </c>
      <c r="V1607" s="14">
        <v>31912123</v>
      </c>
      <c r="X1607" s="14" t="s">
        <v>2261</v>
      </c>
      <c r="Y1607" s="14" t="s">
        <v>215</v>
      </c>
      <c r="Z1607" s="14">
        <v>20370</v>
      </c>
      <c r="AA1607" s="14" t="s">
        <v>2262</v>
      </c>
      <c r="AB1607" s="14">
        <v>40001</v>
      </c>
      <c r="AE1607" s="14" t="s">
        <v>1400</v>
      </c>
      <c r="AF1607" s="14" t="s">
        <v>1400</v>
      </c>
      <c r="AG1607" s="14" t="s">
        <v>86</v>
      </c>
    </row>
    <row r="1608" spans="2:33">
      <c r="B1608" s="14">
        <f>10000000+INDEX(编号表!$B:$B,MATCH(H1608,编号表!$A:$A,0))*100000+INDEX(编号表!$F:$F,MATCH(D1608,编号表!$E:$E,0))*10000+INDEX(编号表!$D:$D,MATCH(AG1608,编号表!$C:$C,0))*1000+F1608</f>
        <v>11922124</v>
      </c>
      <c r="C1608" s="14" t="s">
        <v>2260</v>
      </c>
      <c r="D1608" s="14" t="s">
        <v>112</v>
      </c>
      <c r="E1608" s="14" t="s">
        <v>86</v>
      </c>
      <c r="F1608" s="14">
        <v>124</v>
      </c>
      <c r="G1608" s="14">
        <v>60</v>
      </c>
      <c r="H1608" s="14" t="s">
        <v>1400</v>
      </c>
      <c r="I1608" s="14" t="s">
        <v>75</v>
      </c>
      <c r="J1608" s="14" t="s">
        <v>201</v>
      </c>
      <c r="K1608" s="14">
        <v>1</v>
      </c>
      <c r="L1608" s="14" t="s">
        <v>1400</v>
      </c>
      <c r="N1608" s="14">
        <v>0</v>
      </c>
      <c r="O1608" s="14" t="b">
        <v>1</v>
      </c>
      <c r="Q1608" s="14" t="b">
        <v>0</v>
      </c>
      <c r="R1608" s="14">
        <v>1</v>
      </c>
      <c r="S1608" s="14" t="s">
        <v>77</v>
      </c>
      <c r="T1608" s="14">
        <v>999</v>
      </c>
      <c r="U1608" s="14" t="s">
        <v>1401</v>
      </c>
      <c r="V1608" s="14">
        <v>31922124</v>
      </c>
      <c r="X1608" s="14" t="s">
        <v>2263</v>
      </c>
      <c r="Y1608" s="14" t="s">
        <v>215</v>
      </c>
      <c r="Z1608" s="14">
        <v>20371</v>
      </c>
      <c r="AA1608" s="14" t="s">
        <v>2264</v>
      </c>
      <c r="AB1608" s="14">
        <v>40001</v>
      </c>
      <c r="AE1608" s="14" t="s">
        <v>1400</v>
      </c>
      <c r="AF1608" s="14" t="s">
        <v>1400</v>
      </c>
      <c r="AG1608" s="14" t="s">
        <v>86</v>
      </c>
    </row>
    <row r="1609" spans="2:33">
      <c r="B1609" s="14">
        <f>10000000+INDEX(编号表!$B:$B,MATCH(H1609,编号表!$A:$A,0))*100000+INDEX(编号表!$F:$F,MATCH(D1609,编号表!$E:$E,0))*10000+INDEX(编号表!$D:$D,MATCH(AG1609,编号表!$C:$C,0))*1000+F1609</f>
        <v>11932125</v>
      </c>
      <c r="C1609" s="14" t="s">
        <v>2260</v>
      </c>
      <c r="D1609" s="14" t="s">
        <v>276</v>
      </c>
      <c r="E1609" s="14" t="s">
        <v>86</v>
      </c>
      <c r="F1609" s="14">
        <v>125</v>
      </c>
      <c r="G1609" s="14">
        <v>60</v>
      </c>
      <c r="H1609" s="14" t="s">
        <v>1400</v>
      </c>
      <c r="I1609" s="14" t="s">
        <v>75</v>
      </c>
      <c r="J1609" s="14" t="s">
        <v>201</v>
      </c>
      <c r="K1609" s="14">
        <v>1</v>
      </c>
      <c r="L1609" s="14" t="s">
        <v>1400</v>
      </c>
      <c r="N1609" s="14">
        <v>0</v>
      </c>
      <c r="O1609" s="14" t="b">
        <v>1</v>
      </c>
      <c r="Q1609" s="14" t="b">
        <v>0</v>
      </c>
      <c r="R1609" s="14">
        <v>1</v>
      </c>
      <c r="S1609" s="14" t="s">
        <v>77</v>
      </c>
      <c r="T1609" s="14">
        <v>999</v>
      </c>
      <c r="U1609" s="14" t="s">
        <v>1401</v>
      </c>
      <c r="V1609" s="14">
        <v>31932125</v>
      </c>
      <c r="X1609" s="14" t="s">
        <v>2265</v>
      </c>
      <c r="Y1609" s="14" t="s">
        <v>215</v>
      </c>
      <c r="Z1609" s="14">
        <v>20372</v>
      </c>
      <c r="AA1609" s="14" t="s">
        <v>2266</v>
      </c>
      <c r="AB1609" s="14">
        <v>40001</v>
      </c>
      <c r="AE1609" s="14" t="s">
        <v>1400</v>
      </c>
      <c r="AF1609" s="14" t="s">
        <v>1400</v>
      </c>
      <c r="AG1609" s="14" t="s">
        <v>86</v>
      </c>
    </row>
    <row r="1610" spans="2:33">
      <c r="B1610" s="14">
        <f>10000000+INDEX(编号表!$B:$B,MATCH(H1610,编号表!$A:$A,0))*100000+INDEX(编号表!$F:$F,MATCH(D1610,编号表!$E:$E,0))*10000+INDEX(编号表!$D:$D,MATCH(AG1610,编号表!$C:$C,0))*1000+F1610</f>
        <v>11912124</v>
      </c>
      <c r="C1610" s="14" t="s">
        <v>2267</v>
      </c>
      <c r="D1610" s="14" t="s">
        <v>72</v>
      </c>
      <c r="E1610" s="14" t="s">
        <v>86</v>
      </c>
      <c r="F1610" s="14">
        <v>124</v>
      </c>
      <c r="G1610" s="14">
        <v>60</v>
      </c>
      <c r="H1610" s="14" t="s">
        <v>1400</v>
      </c>
      <c r="I1610" s="14" t="s">
        <v>75</v>
      </c>
      <c r="J1610" s="14" t="s">
        <v>201</v>
      </c>
      <c r="K1610" s="14">
        <v>1</v>
      </c>
      <c r="L1610" s="14" t="s">
        <v>1400</v>
      </c>
      <c r="N1610" s="14">
        <v>0</v>
      </c>
      <c r="O1610" s="14" t="b">
        <v>1</v>
      </c>
      <c r="Q1610" s="14" t="b">
        <v>0</v>
      </c>
      <c r="R1610" s="14">
        <v>1</v>
      </c>
      <c r="S1610" s="14" t="s">
        <v>77</v>
      </c>
      <c r="T1610" s="14">
        <v>999</v>
      </c>
      <c r="U1610" s="14" t="s">
        <v>1401</v>
      </c>
      <c r="V1610" s="14">
        <v>31912124</v>
      </c>
      <c r="X1610" s="14" t="s">
        <v>2268</v>
      </c>
      <c r="Y1610" s="14" t="s">
        <v>215</v>
      </c>
      <c r="Z1610" s="14">
        <v>20373</v>
      </c>
      <c r="AA1610" s="14" t="s">
        <v>2269</v>
      </c>
      <c r="AB1610" s="14">
        <v>40001</v>
      </c>
      <c r="AE1610" s="14" t="s">
        <v>1400</v>
      </c>
      <c r="AF1610" s="14" t="s">
        <v>1400</v>
      </c>
      <c r="AG1610" s="14" t="s">
        <v>86</v>
      </c>
    </row>
    <row r="1611" spans="2:33">
      <c r="B1611" s="14">
        <f>10000000+INDEX(编号表!$B:$B,MATCH(H1611,编号表!$A:$A,0))*100000+INDEX(编号表!$F:$F,MATCH(D1611,编号表!$E:$E,0))*10000+INDEX(编号表!$D:$D,MATCH(AG1611,编号表!$C:$C,0))*1000+F1611</f>
        <v>11922125</v>
      </c>
      <c r="C1611" s="14" t="s">
        <v>2267</v>
      </c>
      <c r="D1611" s="14" t="s">
        <v>112</v>
      </c>
      <c r="E1611" s="14" t="s">
        <v>86</v>
      </c>
      <c r="F1611" s="14">
        <v>125</v>
      </c>
      <c r="G1611" s="14">
        <v>60</v>
      </c>
      <c r="H1611" s="14" t="s">
        <v>1400</v>
      </c>
      <c r="I1611" s="14" t="s">
        <v>75</v>
      </c>
      <c r="J1611" s="14" t="s">
        <v>201</v>
      </c>
      <c r="K1611" s="14">
        <v>1</v>
      </c>
      <c r="L1611" s="14" t="s">
        <v>1400</v>
      </c>
      <c r="N1611" s="14">
        <v>0</v>
      </c>
      <c r="O1611" s="14" t="b">
        <v>1</v>
      </c>
      <c r="Q1611" s="14" t="b">
        <v>0</v>
      </c>
      <c r="R1611" s="14">
        <v>1</v>
      </c>
      <c r="S1611" s="14" t="s">
        <v>77</v>
      </c>
      <c r="T1611" s="14">
        <v>999</v>
      </c>
      <c r="U1611" s="14" t="s">
        <v>1401</v>
      </c>
      <c r="V1611" s="14">
        <v>31922125</v>
      </c>
      <c r="X1611" s="14" t="s">
        <v>2270</v>
      </c>
      <c r="Y1611" s="14" t="s">
        <v>215</v>
      </c>
      <c r="Z1611" s="14">
        <v>20374</v>
      </c>
      <c r="AA1611" s="14" t="s">
        <v>2271</v>
      </c>
      <c r="AB1611" s="14">
        <v>40001</v>
      </c>
      <c r="AE1611" s="14" t="s">
        <v>1400</v>
      </c>
      <c r="AF1611" s="14" t="s">
        <v>1400</v>
      </c>
      <c r="AG1611" s="14" t="s">
        <v>86</v>
      </c>
    </row>
    <row r="1612" spans="2:33">
      <c r="B1612" s="14">
        <f>10000000+INDEX(编号表!$B:$B,MATCH(H1612,编号表!$A:$A,0))*100000+INDEX(编号表!$F:$F,MATCH(D1612,编号表!$E:$E,0))*10000+INDEX(编号表!$D:$D,MATCH(AG1612,编号表!$C:$C,0))*1000+F1612</f>
        <v>11932126</v>
      </c>
      <c r="C1612" s="14" t="s">
        <v>2267</v>
      </c>
      <c r="D1612" s="14" t="s">
        <v>276</v>
      </c>
      <c r="E1612" s="14" t="s">
        <v>86</v>
      </c>
      <c r="F1612" s="14">
        <v>126</v>
      </c>
      <c r="G1612" s="14">
        <v>60</v>
      </c>
      <c r="H1612" s="14" t="s">
        <v>1400</v>
      </c>
      <c r="I1612" s="14" t="s">
        <v>75</v>
      </c>
      <c r="J1612" s="14" t="s">
        <v>201</v>
      </c>
      <c r="K1612" s="14">
        <v>1</v>
      </c>
      <c r="L1612" s="14" t="s">
        <v>1400</v>
      </c>
      <c r="N1612" s="14">
        <v>0</v>
      </c>
      <c r="O1612" s="14" t="b">
        <v>1</v>
      </c>
      <c r="Q1612" s="14" t="b">
        <v>0</v>
      </c>
      <c r="R1612" s="14">
        <v>1</v>
      </c>
      <c r="S1612" s="14" t="s">
        <v>77</v>
      </c>
      <c r="T1612" s="14">
        <v>999</v>
      </c>
      <c r="U1612" s="14" t="s">
        <v>1401</v>
      </c>
      <c r="V1612" s="14">
        <v>31932126</v>
      </c>
      <c r="X1612" s="14" t="s">
        <v>2272</v>
      </c>
      <c r="Y1612" s="14" t="s">
        <v>215</v>
      </c>
      <c r="Z1612" s="14">
        <v>20375</v>
      </c>
      <c r="AA1612" s="14" t="s">
        <v>2273</v>
      </c>
      <c r="AB1612" s="14">
        <v>40001</v>
      </c>
      <c r="AE1612" s="14" t="s">
        <v>1400</v>
      </c>
      <c r="AF1612" s="14" t="s">
        <v>1400</v>
      </c>
      <c r="AG1612" s="14" t="s">
        <v>86</v>
      </c>
    </row>
    <row r="1613" spans="2:33">
      <c r="B1613" s="14">
        <f>10000000+INDEX(编号表!$B:$B,MATCH(H1613,编号表!$A:$A,0))*100000+INDEX(编号表!$F:$F,MATCH(D1613,编号表!$E:$E,0))*10000+INDEX(编号表!$D:$D,MATCH(AG1613,编号表!$C:$C,0))*1000+F1613</f>
        <v>11913000</v>
      </c>
      <c r="C1613" s="14" t="s">
        <v>2274</v>
      </c>
      <c r="D1613" s="14" t="s">
        <v>72</v>
      </c>
      <c r="E1613" s="14" t="s">
        <v>89</v>
      </c>
      <c r="F1613" s="14">
        <v>0</v>
      </c>
      <c r="G1613" s="14">
        <v>60</v>
      </c>
      <c r="H1613" s="14" t="s">
        <v>1400</v>
      </c>
      <c r="I1613" s="14" t="s">
        <v>75</v>
      </c>
      <c r="J1613" s="14" t="s">
        <v>201</v>
      </c>
      <c r="K1613" s="14">
        <v>1</v>
      </c>
      <c r="L1613" s="14" t="s">
        <v>1400</v>
      </c>
      <c r="N1613" s="14">
        <v>0</v>
      </c>
      <c r="O1613" s="14" t="b">
        <v>1</v>
      </c>
      <c r="Q1613" s="14" t="b">
        <v>0</v>
      </c>
      <c r="R1613" s="14">
        <v>1</v>
      </c>
      <c r="S1613" s="14" t="s">
        <v>77</v>
      </c>
      <c r="T1613" s="14">
        <v>999</v>
      </c>
      <c r="U1613" s="14" t="s">
        <v>1401</v>
      </c>
      <c r="V1613" s="14">
        <v>31913000</v>
      </c>
      <c r="X1613" s="14" t="s">
        <v>2275</v>
      </c>
      <c r="Y1613" s="14" t="s">
        <v>215</v>
      </c>
      <c r="Z1613" s="14">
        <v>20376</v>
      </c>
      <c r="AA1613" s="14" t="s">
        <v>2276</v>
      </c>
      <c r="AB1613" s="14">
        <v>40001</v>
      </c>
      <c r="AE1613" s="14" t="s">
        <v>1400</v>
      </c>
      <c r="AF1613" s="14" t="s">
        <v>1400</v>
      </c>
      <c r="AG1613" s="14" t="s">
        <v>89</v>
      </c>
    </row>
    <row r="1614" spans="2:33">
      <c r="B1614" s="14">
        <f>10000000+INDEX(编号表!$B:$B,MATCH(H1614,编号表!$A:$A,0))*100000+INDEX(编号表!$F:$F,MATCH(D1614,编号表!$E:$E,0))*10000+INDEX(编号表!$D:$D,MATCH(AG1614,编号表!$C:$C,0))*1000+F1614</f>
        <v>11923001</v>
      </c>
      <c r="C1614" s="14" t="s">
        <v>2274</v>
      </c>
      <c r="D1614" s="14" t="s">
        <v>112</v>
      </c>
      <c r="E1614" s="14" t="s">
        <v>89</v>
      </c>
      <c r="F1614" s="14">
        <v>1</v>
      </c>
      <c r="G1614" s="14">
        <v>60</v>
      </c>
      <c r="H1614" s="14" t="s">
        <v>1400</v>
      </c>
      <c r="I1614" s="14" t="s">
        <v>75</v>
      </c>
      <c r="J1614" s="14" t="s">
        <v>201</v>
      </c>
      <c r="K1614" s="14">
        <v>1</v>
      </c>
      <c r="L1614" s="14" t="s">
        <v>1400</v>
      </c>
      <c r="N1614" s="14">
        <v>0</v>
      </c>
      <c r="O1614" s="14" t="b">
        <v>1</v>
      </c>
      <c r="Q1614" s="14" t="b">
        <v>0</v>
      </c>
      <c r="R1614" s="14">
        <v>1</v>
      </c>
      <c r="S1614" s="14" t="s">
        <v>77</v>
      </c>
      <c r="T1614" s="14">
        <v>999</v>
      </c>
      <c r="U1614" s="14" t="s">
        <v>1401</v>
      </c>
      <c r="V1614" s="14">
        <v>31923001</v>
      </c>
      <c r="X1614" s="14" t="s">
        <v>2277</v>
      </c>
      <c r="Y1614" s="14" t="s">
        <v>215</v>
      </c>
      <c r="Z1614" s="14">
        <v>20377</v>
      </c>
      <c r="AA1614" s="14" t="s">
        <v>2278</v>
      </c>
      <c r="AB1614" s="14">
        <v>40001</v>
      </c>
      <c r="AE1614" s="14" t="s">
        <v>1400</v>
      </c>
      <c r="AF1614" s="14" t="s">
        <v>1400</v>
      </c>
      <c r="AG1614" s="14" t="s">
        <v>89</v>
      </c>
    </row>
    <row r="1615" spans="2:33">
      <c r="B1615" s="14">
        <f>10000000+INDEX(编号表!$B:$B,MATCH(H1615,编号表!$A:$A,0))*100000+INDEX(编号表!$F:$F,MATCH(D1615,编号表!$E:$E,0))*10000+INDEX(编号表!$D:$D,MATCH(AG1615,编号表!$C:$C,0))*1000+F1615</f>
        <v>11933002</v>
      </c>
      <c r="C1615" s="14" t="s">
        <v>2274</v>
      </c>
      <c r="D1615" s="14" t="s">
        <v>276</v>
      </c>
      <c r="E1615" s="14" t="s">
        <v>89</v>
      </c>
      <c r="F1615" s="14">
        <v>2</v>
      </c>
      <c r="G1615" s="14">
        <v>60</v>
      </c>
      <c r="H1615" s="14" t="s">
        <v>1400</v>
      </c>
      <c r="I1615" s="14" t="s">
        <v>75</v>
      </c>
      <c r="J1615" s="14" t="s">
        <v>201</v>
      </c>
      <c r="K1615" s="14">
        <v>1</v>
      </c>
      <c r="L1615" s="14" t="s">
        <v>1400</v>
      </c>
      <c r="N1615" s="14">
        <v>0</v>
      </c>
      <c r="O1615" s="14" t="b">
        <v>1</v>
      </c>
      <c r="Q1615" s="14" t="b">
        <v>0</v>
      </c>
      <c r="R1615" s="14">
        <v>1</v>
      </c>
      <c r="S1615" s="14" t="s">
        <v>77</v>
      </c>
      <c r="T1615" s="14">
        <v>999</v>
      </c>
      <c r="U1615" s="14" t="s">
        <v>1401</v>
      </c>
      <c r="V1615" s="14">
        <v>31933002</v>
      </c>
      <c r="X1615" s="14" t="s">
        <v>2279</v>
      </c>
      <c r="Y1615" s="14" t="s">
        <v>215</v>
      </c>
      <c r="Z1615" s="14">
        <v>20378</v>
      </c>
      <c r="AA1615" s="14" t="s">
        <v>2280</v>
      </c>
      <c r="AB1615" s="14">
        <v>40001</v>
      </c>
      <c r="AE1615" s="14" t="s">
        <v>1400</v>
      </c>
      <c r="AF1615" s="14" t="s">
        <v>1400</v>
      </c>
      <c r="AG1615" s="14" t="s">
        <v>89</v>
      </c>
    </row>
    <row r="1616" spans="2:33">
      <c r="B1616" s="14">
        <f>10000000+INDEX(编号表!$B:$B,MATCH(H1616,编号表!$A:$A,0))*100000+INDEX(编号表!$F:$F,MATCH(D1616,编号表!$E:$E,0))*10000+INDEX(编号表!$D:$D,MATCH(AG1616,编号表!$C:$C,0))*1000+F1616</f>
        <v>11913001</v>
      </c>
      <c r="C1616" s="14" t="s">
        <v>2281</v>
      </c>
      <c r="D1616" s="14" t="s">
        <v>72</v>
      </c>
      <c r="E1616" s="14" t="s">
        <v>89</v>
      </c>
      <c r="F1616" s="14">
        <v>1</v>
      </c>
      <c r="G1616" s="14">
        <v>60</v>
      </c>
      <c r="H1616" s="14" t="s">
        <v>1400</v>
      </c>
      <c r="I1616" s="14" t="s">
        <v>75</v>
      </c>
      <c r="J1616" s="14" t="s">
        <v>201</v>
      </c>
      <c r="K1616" s="14">
        <v>1</v>
      </c>
      <c r="L1616" s="14" t="s">
        <v>1400</v>
      </c>
      <c r="N1616" s="14">
        <v>0</v>
      </c>
      <c r="O1616" s="14" t="b">
        <v>1</v>
      </c>
      <c r="Q1616" s="14" t="b">
        <v>0</v>
      </c>
      <c r="R1616" s="14">
        <v>1</v>
      </c>
      <c r="S1616" s="14" t="s">
        <v>77</v>
      </c>
      <c r="T1616" s="14">
        <v>999</v>
      </c>
      <c r="U1616" s="14" t="s">
        <v>1401</v>
      </c>
      <c r="V1616" s="14">
        <v>31913001</v>
      </c>
      <c r="X1616" s="14" t="s">
        <v>2282</v>
      </c>
      <c r="Y1616" s="14" t="s">
        <v>215</v>
      </c>
      <c r="Z1616" s="14">
        <v>20379</v>
      </c>
      <c r="AA1616" s="14" t="s">
        <v>2283</v>
      </c>
      <c r="AB1616" s="14">
        <v>40001</v>
      </c>
      <c r="AE1616" s="14" t="s">
        <v>1400</v>
      </c>
      <c r="AF1616" s="14" t="s">
        <v>1400</v>
      </c>
      <c r="AG1616" s="14" t="s">
        <v>89</v>
      </c>
    </row>
    <row r="1617" spans="2:33">
      <c r="B1617" s="14">
        <f>10000000+INDEX(编号表!$B:$B,MATCH(H1617,编号表!$A:$A,0))*100000+INDEX(编号表!$F:$F,MATCH(D1617,编号表!$E:$E,0))*10000+INDEX(编号表!$D:$D,MATCH(AG1617,编号表!$C:$C,0))*1000+F1617</f>
        <v>11923002</v>
      </c>
      <c r="C1617" s="14" t="s">
        <v>2281</v>
      </c>
      <c r="D1617" s="14" t="s">
        <v>112</v>
      </c>
      <c r="E1617" s="14" t="s">
        <v>89</v>
      </c>
      <c r="F1617" s="14">
        <v>2</v>
      </c>
      <c r="G1617" s="14">
        <v>60</v>
      </c>
      <c r="H1617" s="14" t="s">
        <v>1400</v>
      </c>
      <c r="I1617" s="14" t="s">
        <v>75</v>
      </c>
      <c r="J1617" s="14" t="s">
        <v>201</v>
      </c>
      <c r="K1617" s="14">
        <v>1</v>
      </c>
      <c r="L1617" s="14" t="s">
        <v>1400</v>
      </c>
      <c r="N1617" s="14">
        <v>0</v>
      </c>
      <c r="O1617" s="14" t="b">
        <v>1</v>
      </c>
      <c r="Q1617" s="14" t="b">
        <v>0</v>
      </c>
      <c r="R1617" s="14">
        <v>1</v>
      </c>
      <c r="S1617" s="14" t="s">
        <v>77</v>
      </c>
      <c r="T1617" s="14">
        <v>999</v>
      </c>
      <c r="U1617" s="14" t="s">
        <v>1401</v>
      </c>
      <c r="V1617" s="14">
        <v>31923002</v>
      </c>
      <c r="X1617" s="14" t="s">
        <v>2284</v>
      </c>
      <c r="Y1617" s="14" t="s">
        <v>215</v>
      </c>
      <c r="Z1617" s="14">
        <v>20380</v>
      </c>
      <c r="AA1617" s="14" t="s">
        <v>2285</v>
      </c>
      <c r="AB1617" s="14">
        <v>40001</v>
      </c>
      <c r="AE1617" s="14" t="s">
        <v>1400</v>
      </c>
      <c r="AF1617" s="14" t="s">
        <v>1400</v>
      </c>
      <c r="AG1617" s="14" t="s">
        <v>89</v>
      </c>
    </row>
    <row r="1618" spans="2:33">
      <c r="B1618" s="14">
        <f>10000000+INDEX(编号表!$B:$B,MATCH(H1618,编号表!$A:$A,0))*100000+INDEX(编号表!$F:$F,MATCH(D1618,编号表!$E:$E,0))*10000+INDEX(编号表!$D:$D,MATCH(AG1618,编号表!$C:$C,0))*1000+F1618</f>
        <v>11933003</v>
      </c>
      <c r="C1618" s="14" t="s">
        <v>2281</v>
      </c>
      <c r="D1618" s="14" t="s">
        <v>276</v>
      </c>
      <c r="E1618" s="14" t="s">
        <v>89</v>
      </c>
      <c r="F1618" s="14">
        <v>3</v>
      </c>
      <c r="G1618" s="14">
        <v>60</v>
      </c>
      <c r="H1618" s="14" t="s">
        <v>1400</v>
      </c>
      <c r="I1618" s="14" t="s">
        <v>75</v>
      </c>
      <c r="J1618" s="14" t="s">
        <v>201</v>
      </c>
      <c r="K1618" s="14">
        <v>1</v>
      </c>
      <c r="L1618" s="14" t="s">
        <v>1400</v>
      </c>
      <c r="N1618" s="14">
        <v>0</v>
      </c>
      <c r="O1618" s="14" t="b">
        <v>1</v>
      </c>
      <c r="Q1618" s="14" t="b">
        <v>0</v>
      </c>
      <c r="R1618" s="14">
        <v>1</v>
      </c>
      <c r="S1618" s="14" t="s">
        <v>77</v>
      </c>
      <c r="T1618" s="14">
        <v>999</v>
      </c>
      <c r="U1618" s="14" t="s">
        <v>1401</v>
      </c>
      <c r="V1618" s="14">
        <v>31933003</v>
      </c>
      <c r="X1618" s="14" t="s">
        <v>2286</v>
      </c>
      <c r="Y1618" s="14" t="s">
        <v>215</v>
      </c>
      <c r="Z1618" s="14">
        <v>20381</v>
      </c>
      <c r="AA1618" s="14" t="s">
        <v>2287</v>
      </c>
      <c r="AB1618" s="14">
        <v>40001</v>
      </c>
      <c r="AE1618" s="14" t="s">
        <v>1400</v>
      </c>
      <c r="AF1618" s="14" t="s">
        <v>1400</v>
      </c>
      <c r="AG1618" s="14" t="s">
        <v>89</v>
      </c>
    </row>
    <row r="1619" spans="2:33">
      <c r="B1619" s="14">
        <f>10000000+INDEX(编号表!$B:$B,MATCH(H1619,编号表!$A:$A,0))*100000+INDEX(编号表!$F:$F,MATCH(D1619,编号表!$E:$E,0))*10000+INDEX(编号表!$D:$D,MATCH(AG1619,编号表!$C:$C,0))*1000+F1619</f>
        <v>11913002</v>
      </c>
      <c r="C1619" s="14" t="s">
        <v>2288</v>
      </c>
      <c r="D1619" s="14" t="s">
        <v>72</v>
      </c>
      <c r="E1619" s="14" t="s">
        <v>89</v>
      </c>
      <c r="F1619" s="14">
        <v>2</v>
      </c>
      <c r="G1619" s="14">
        <v>60</v>
      </c>
      <c r="H1619" s="14" t="s">
        <v>1400</v>
      </c>
      <c r="I1619" s="14" t="s">
        <v>75</v>
      </c>
      <c r="J1619" s="14" t="s">
        <v>201</v>
      </c>
      <c r="K1619" s="14">
        <v>1</v>
      </c>
      <c r="L1619" s="14" t="s">
        <v>1400</v>
      </c>
      <c r="N1619" s="14">
        <v>0</v>
      </c>
      <c r="O1619" s="14" t="b">
        <v>1</v>
      </c>
      <c r="Q1619" s="14" t="b">
        <v>0</v>
      </c>
      <c r="R1619" s="14">
        <v>1</v>
      </c>
      <c r="S1619" s="14" t="s">
        <v>77</v>
      </c>
      <c r="T1619" s="14">
        <v>999</v>
      </c>
      <c r="U1619" s="14" t="s">
        <v>1401</v>
      </c>
      <c r="V1619" s="14">
        <v>31913002</v>
      </c>
      <c r="X1619" s="14" t="s">
        <v>2289</v>
      </c>
      <c r="Y1619" s="14" t="s">
        <v>215</v>
      </c>
      <c r="Z1619" s="14">
        <v>20382</v>
      </c>
      <c r="AA1619" s="14" t="s">
        <v>2290</v>
      </c>
      <c r="AB1619" s="14">
        <v>40001</v>
      </c>
      <c r="AE1619" s="14" t="s">
        <v>1400</v>
      </c>
      <c r="AF1619" s="14" t="s">
        <v>1400</v>
      </c>
      <c r="AG1619" s="14" t="s">
        <v>89</v>
      </c>
    </row>
    <row r="1620" spans="2:33">
      <c r="B1620" s="14">
        <f>10000000+INDEX(编号表!$B:$B,MATCH(H1620,编号表!$A:$A,0))*100000+INDEX(编号表!$F:$F,MATCH(D1620,编号表!$E:$E,0))*10000+INDEX(编号表!$D:$D,MATCH(AG1620,编号表!$C:$C,0))*1000+F1620</f>
        <v>11923003</v>
      </c>
      <c r="C1620" s="14" t="s">
        <v>2288</v>
      </c>
      <c r="D1620" s="14" t="s">
        <v>112</v>
      </c>
      <c r="E1620" s="14" t="s">
        <v>89</v>
      </c>
      <c r="F1620" s="14">
        <v>3</v>
      </c>
      <c r="G1620" s="14">
        <v>60</v>
      </c>
      <c r="H1620" s="14" t="s">
        <v>1400</v>
      </c>
      <c r="I1620" s="14" t="s">
        <v>75</v>
      </c>
      <c r="J1620" s="14" t="s">
        <v>201</v>
      </c>
      <c r="K1620" s="14">
        <v>1</v>
      </c>
      <c r="L1620" s="14" t="s">
        <v>1400</v>
      </c>
      <c r="N1620" s="14">
        <v>0</v>
      </c>
      <c r="O1620" s="14" t="b">
        <v>1</v>
      </c>
      <c r="Q1620" s="14" t="b">
        <v>0</v>
      </c>
      <c r="R1620" s="14">
        <v>1</v>
      </c>
      <c r="S1620" s="14" t="s">
        <v>77</v>
      </c>
      <c r="T1620" s="14">
        <v>999</v>
      </c>
      <c r="U1620" s="14" t="s">
        <v>1401</v>
      </c>
      <c r="V1620" s="14">
        <v>31923003</v>
      </c>
      <c r="X1620" s="14" t="s">
        <v>2291</v>
      </c>
      <c r="Y1620" s="14" t="s">
        <v>215</v>
      </c>
      <c r="Z1620" s="14">
        <v>20383</v>
      </c>
      <c r="AA1620" s="14" t="s">
        <v>2292</v>
      </c>
      <c r="AB1620" s="14">
        <v>40001</v>
      </c>
      <c r="AE1620" s="14" t="s">
        <v>1400</v>
      </c>
      <c r="AF1620" s="14" t="s">
        <v>1400</v>
      </c>
      <c r="AG1620" s="14" t="s">
        <v>89</v>
      </c>
    </row>
    <row r="1621" spans="2:33">
      <c r="B1621" s="14">
        <f>10000000+INDEX(编号表!$B:$B,MATCH(H1621,编号表!$A:$A,0))*100000+INDEX(编号表!$F:$F,MATCH(D1621,编号表!$E:$E,0))*10000+INDEX(编号表!$D:$D,MATCH(AG1621,编号表!$C:$C,0))*1000+F1621</f>
        <v>11933004</v>
      </c>
      <c r="C1621" s="14" t="s">
        <v>2288</v>
      </c>
      <c r="D1621" s="14" t="s">
        <v>276</v>
      </c>
      <c r="E1621" s="14" t="s">
        <v>89</v>
      </c>
      <c r="F1621" s="14">
        <v>4</v>
      </c>
      <c r="G1621" s="14">
        <v>60</v>
      </c>
      <c r="H1621" s="14" t="s">
        <v>1400</v>
      </c>
      <c r="I1621" s="14" t="s">
        <v>75</v>
      </c>
      <c r="J1621" s="14" t="s">
        <v>201</v>
      </c>
      <c r="K1621" s="14">
        <v>1</v>
      </c>
      <c r="L1621" s="14" t="s">
        <v>1400</v>
      </c>
      <c r="N1621" s="14">
        <v>0</v>
      </c>
      <c r="O1621" s="14" t="b">
        <v>1</v>
      </c>
      <c r="Q1621" s="14" t="b">
        <v>0</v>
      </c>
      <c r="R1621" s="14">
        <v>1</v>
      </c>
      <c r="S1621" s="14" t="s">
        <v>77</v>
      </c>
      <c r="T1621" s="14">
        <v>999</v>
      </c>
      <c r="U1621" s="14" t="s">
        <v>1401</v>
      </c>
      <c r="V1621" s="14">
        <v>31933004</v>
      </c>
      <c r="X1621" s="14" t="s">
        <v>2293</v>
      </c>
      <c r="Y1621" s="14" t="s">
        <v>215</v>
      </c>
      <c r="Z1621" s="14">
        <v>20384</v>
      </c>
      <c r="AA1621" s="14" t="s">
        <v>2294</v>
      </c>
      <c r="AB1621" s="14">
        <v>40001</v>
      </c>
      <c r="AE1621" s="14" t="s">
        <v>1400</v>
      </c>
      <c r="AF1621" s="14" t="s">
        <v>1400</v>
      </c>
      <c r="AG1621" s="14" t="s">
        <v>89</v>
      </c>
    </row>
    <row r="1622" spans="2:33">
      <c r="B1622" s="14">
        <f>10000000+INDEX(编号表!$B:$B,MATCH(H1622,编号表!$A:$A,0))*100000+INDEX(编号表!$F:$F,MATCH(D1622,编号表!$E:$E,0))*10000+INDEX(编号表!$D:$D,MATCH(AG1622,编号表!$C:$C,0))*1000+F1622</f>
        <v>11913003</v>
      </c>
      <c r="C1622" s="14" t="s">
        <v>2295</v>
      </c>
      <c r="D1622" s="14" t="s">
        <v>72</v>
      </c>
      <c r="E1622" s="14" t="s">
        <v>89</v>
      </c>
      <c r="F1622" s="14">
        <v>3</v>
      </c>
      <c r="G1622" s="14">
        <v>60</v>
      </c>
      <c r="H1622" s="14" t="s">
        <v>1400</v>
      </c>
      <c r="I1622" s="14" t="s">
        <v>75</v>
      </c>
      <c r="J1622" s="14" t="s">
        <v>201</v>
      </c>
      <c r="K1622" s="14">
        <v>1</v>
      </c>
      <c r="L1622" s="14" t="s">
        <v>1400</v>
      </c>
      <c r="N1622" s="14">
        <v>0</v>
      </c>
      <c r="O1622" s="14" t="b">
        <v>1</v>
      </c>
      <c r="Q1622" s="14" t="b">
        <v>0</v>
      </c>
      <c r="R1622" s="14">
        <v>1</v>
      </c>
      <c r="S1622" s="14" t="s">
        <v>77</v>
      </c>
      <c r="T1622" s="14">
        <v>999</v>
      </c>
      <c r="U1622" s="14" t="s">
        <v>1401</v>
      </c>
      <c r="V1622" s="14">
        <v>31913003</v>
      </c>
      <c r="X1622" s="14" t="s">
        <v>2296</v>
      </c>
      <c r="Y1622" s="14" t="s">
        <v>215</v>
      </c>
      <c r="Z1622" s="14">
        <v>20385</v>
      </c>
      <c r="AA1622" s="14" t="s">
        <v>2297</v>
      </c>
      <c r="AB1622" s="14">
        <v>40001</v>
      </c>
      <c r="AE1622" s="14" t="s">
        <v>1400</v>
      </c>
      <c r="AF1622" s="14" t="s">
        <v>1400</v>
      </c>
      <c r="AG1622" s="14" t="s">
        <v>89</v>
      </c>
    </row>
    <row r="1623" spans="2:33">
      <c r="B1623" s="14">
        <f>10000000+INDEX(编号表!$B:$B,MATCH(H1623,编号表!$A:$A,0))*100000+INDEX(编号表!$F:$F,MATCH(D1623,编号表!$E:$E,0))*10000+INDEX(编号表!$D:$D,MATCH(AG1623,编号表!$C:$C,0))*1000+F1623</f>
        <v>11923004</v>
      </c>
      <c r="C1623" s="14" t="s">
        <v>2295</v>
      </c>
      <c r="D1623" s="14" t="s">
        <v>112</v>
      </c>
      <c r="E1623" s="14" t="s">
        <v>89</v>
      </c>
      <c r="F1623" s="14">
        <v>4</v>
      </c>
      <c r="G1623" s="14">
        <v>60</v>
      </c>
      <c r="H1623" s="14" t="s">
        <v>1400</v>
      </c>
      <c r="I1623" s="14" t="s">
        <v>75</v>
      </c>
      <c r="J1623" s="14" t="s">
        <v>201</v>
      </c>
      <c r="K1623" s="14">
        <v>1</v>
      </c>
      <c r="L1623" s="14" t="s">
        <v>1400</v>
      </c>
      <c r="N1623" s="14">
        <v>0</v>
      </c>
      <c r="O1623" s="14" t="b">
        <v>1</v>
      </c>
      <c r="Q1623" s="14" t="b">
        <v>0</v>
      </c>
      <c r="R1623" s="14">
        <v>1</v>
      </c>
      <c r="S1623" s="14" t="s">
        <v>77</v>
      </c>
      <c r="T1623" s="14">
        <v>999</v>
      </c>
      <c r="U1623" s="14" t="s">
        <v>1401</v>
      </c>
      <c r="V1623" s="14">
        <v>31923004</v>
      </c>
      <c r="X1623" s="14" t="s">
        <v>2298</v>
      </c>
      <c r="Y1623" s="14" t="s">
        <v>215</v>
      </c>
      <c r="Z1623" s="14">
        <v>20386</v>
      </c>
      <c r="AA1623" s="14" t="s">
        <v>2299</v>
      </c>
      <c r="AB1623" s="14">
        <v>40001</v>
      </c>
      <c r="AE1623" s="14" t="s">
        <v>1400</v>
      </c>
      <c r="AF1623" s="14" t="s">
        <v>1400</v>
      </c>
      <c r="AG1623" s="14" t="s">
        <v>89</v>
      </c>
    </row>
    <row r="1624" spans="2:33">
      <c r="B1624" s="14">
        <f>10000000+INDEX(编号表!$B:$B,MATCH(H1624,编号表!$A:$A,0))*100000+INDEX(编号表!$F:$F,MATCH(D1624,编号表!$E:$E,0))*10000+INDEX(编号表!$D:$D,MATCH(AG1624,编号表!$C:$C,0))*1000+F1624</f>
        <v>11933005</v>
      </c>
      <c r="C1624" s="14" t="s">
        <v>2295</v>
      </c>
      <c r="D1624" s="14" t="s">
        <v>276</v>
      </c>
      <c r="E1624" s="14" t="s">
        <v>89</v>
      </c>
      <c r="F1624" s="14">
        <v>5</v>
      </c>
      <c r="G1624" s="14">
        <v>60</v>
      </c>
      <c r="H1624" s="14" t="s">
        <v>1400</v>
      </c>
      <c r="I1624" s="14" t="s">
        <v>75</v>
      </c>
      <c r="J1624" s="14" t="s">
        <v>201</v>
      </c>
      <c r="K1624" s="14">
        <v>1</v>
      </c>
      <c r="L1624" s="14" t="s">
        <v>1400</v>
      </c>
      <c r="N1624" s="14">
        <v>0</v>
      </c>
      <c r="O1624" s="14" t="b">
        <v>1</v>
      </c>
      <c r="Q1624" s="14" t="b">
        <v>0</v>
      </c>
      <c r="R1624" s="14">
        <v>1</v>
      </c>
      <c r="S1624" s="14" t="s">
        <v>77</v>
      </c>
      <c r="T1624" s="14">
        <v>999</v>
      </c>
      <c r="U1624" s="14" t="s">
        <v>1401</v>
      </c>
      <c r="V1624" s="14">
        <v>31933005</v>
      </c>
      <c r="X1624" s="14" t="s">
        <v>2300</v>
      </c>
      <c r="Y1624" s="14" t="s">
        <v>215</v>
      </c>
      <c r="Z1624" s="14">
        <v>20387</v>
      </c>
      <c r="AA1624" s="14" t="s">
        <v>2301</v>
      </c>
      <c r="AB1624" s="14">
        <v>40001</v>
      </c>
      <c r="AE1624" s="14" t="s">
        <v>1400</v>
      </c>
      <c r="AF1624" s="14" t="s">
        <v>1400</v>
      </c>
      <c r="AG1624" s="14" t="s">
        <v>89</v>
      </c>
    </row>
    <row r="1625" spans="2:33">
      <c r="B1625" s="14">
        <f>10000000+INDEX(编号表!$B:$B,MATCH(H1625,编号表!$A:$A,0))*100000+INDEX(编号表!$F:$F,MATCH(D1625,编号表!$E:$E,0))*10000+INDEX(编号表!$D:$D,MATCH(AG1625,编号表!$C:$C,0))*1000+F1625</f>
        <v>11913004</v>
      </c>
      <c r="C1625" s="14" t="s">
        <v>2302</v>
      </c>
      <c r="D1625" s="14" t="s">
        <v>72</v>
      </c>
      <c r="E1625" s="14" t="s">
        <v>89</v>
      </c>
      <c r="F1625" s="14">
        <v>4</v>
      </c>
      <c r="G1625" s="14">
        <v>60</v>
      </c>
      <c r="H1625" s="14" t="s">
        <v>1400</v>
      </c>
      <c r="I1625" s="14" t="s">
        <v>75</v>
      </c>
      <c r="J1625" s="14" t="s">
        <v>201</v>
      </c>
      <c r="K1625" s="14">
        <v>1</v>
      </c>
      <c r="L1625" s="14" t="s">
        <v>1400</v>
      </c>
      <c r="N1625" s="14">
        <v>0</v>
      </c>
      <c r="O1625" s="14" t="b">
        <v>1</v>
      </c>
      <c r="Q1625" s="14" t="b">
        <v>0</v>
      </c>
      <c r="R1625" s="14">
        <v>1</v>
      </c>
      <c r="S1625" s="14" t="s">
        <v>77</v>
      </c>
      <c r="T1625" s="14">
        <v>999</v>
      </c>
      <c r="U1625" s="14" t="s">
        <v>1401</v>
      </c>
      <c r="V1625" s="14">
        <v>31913004</v>
      </c>
      <c r="X1625" s="14" t="s">
        <v>2303</v>
      </c>
      <c r="Y1625" s="14" t="s">
        <v>215</v>
      </c>
      <c r="Z1625" s="14">
        <v>20388</v>
      </c>
      <c r="AA1625" s="14" t="s">
        <v>2304</v>
      </c>
      <c r="AB1625" s="14">
        <v>40001</v>
      </c>
      <c r="AE1625" s="14" t="s">
        <v>1400</v>
      </c>
      <c r="AF1625" s="14" t="s">
        <v>1400</v>
      </c>
      <c r="AG1625" s="14" t="s">
        <v>89</v>
      </c>
    </row>
    <row r="1626" spans="2:33">
      <c r="B1626" s="14">
        <f>10000000+INDEX(编号表!$B:$B,MATCH(H1626,编号表!$A:$A,0))*100000+INDEX(编号表!$F:$F,MATCH(D1626,编号表!$E:$E,0))*10000+INDEX(编号表!$D:$D,MATCH(AG1626,编号表!$C:$C,0))*1000+F1626</f>
        <v>11923005</v>
      </c>
      <c r="C1626" s="14" t="s">
        <v>2302</v>
      </c>
      <c r="D1626" s="14" t="s">
        <v>112</v>
      </c>
      <c r="E1626" s="14" t="s">
        <v>89</v>
      </c>
      <c r="F1626" s="14">
        <v>5</v>
      </c>
      <c r="G1626" s="14">
        <v>60</v>
      </c>
      <c r="H1626" s="14" t="s">
        <v>1400</v>
      </c>
      <c r="I1626" s="14" t="s">
        <v>75</v>
      </c>
      <c r="J1626" s="14" t="s">
        <v>201</v>
      </c>
      <c r="K1626" s="14">
        <v>1</v>
      </c>
      <c r="L1626" s="14" t="s">
        <v>1400</v>
      </c>
      <c r="N1626" s="14">
        <v>0</v>
      </c>
      <c r="O1626" s="14" t="b">
        <v>1</v>
      </c>
      <c r="Q1626" s="14" t="b">
        <v>0</v>
      </c>
      <c r="R1626" s="14">
        <v>1</v>
      </c>
      <c r="S1626" s="14" t="s">
        <v>77</v>
      </c>
      <c r="T1626" s="14">
        <v>999</v>
      </c>
      <c r="U1626" s="14" t="s">
        <v>1401</v>
      </c>
      <c r="V1626" s="14">
        <v>31923005</v>
      </c>
      <c r="X1626" s="14" t="s">
        <v>2305</v>
      </c>
      <c r="Y1626" s="14" t="s">
        <v>215</v>
      </c>
      <c r="Z1626" s="14">
        <v>20389</v>
      </c>
      <c r="AA1626" s="14" t="s">
        <v>2306</v>
      </c>
      <c r="AB1626" s="14">
        <v>40001</v>
      </c>
      <c r="AE1626" s="14" t="s">
        <v>1400</v>
      </c>
      <c r="AF1626" s="14" t="s">
        <v>1400</v>
      </c>
      <c r="AG1626" s="14" t="s">
        <v>89</v>
      </c>
    </row>
    <row r="1627" spans="2:33">
      <c r="B1627" s="14">
        <f>10000000+INDEX(编号表!$B:$B,MATCH(H1627,编号表!$A:$A,0))*100000+INDEX(编号表!$F:$F,MATCH(D1627,编号表!$E:$E,0))*10000+INDEX(编号表!$D:$D,MATCH(AG1627,编号表!$C:$C,0))*1000+F1627</f>
        <v>11933006</v>
      </c>
      <c r="C1627" s="14" t="s">
        <v>2302</v>
      </c>
      <c r="D1627" s="14" t="s">
        <v>276</v>
      </c>
      <c r="E1627" s="14" t="s">
        <v>89</v>
      </c>
      <c r="F1627" s="14">
        <v>6</v>
      </c>
      <c r="G1627" s="14">
        <v>60</v>
      </c>
      <c r="H1627" s="14" t="s">
        <v>1400</v>
      </c>
      <c r="I1627" s="14" t="s">
        <v>75</v>
      </c>
      <c r="J1627" s="14" t="s">
        <v>201</v>
      </c>
      <c r="K1627" s="14">
        <v>1</v>
      </c>
      <c r="L1627" s="14" t="s">
        <v>1400</v>
      </c>
      <c r="N1627" s="14">
        <v>0</v>
      </c>
      <c r="O1627" s="14" t="b">
        <v>1</v>
      </c>
      <c r="Q1627" s="14" t="b">
        <v>0</v>
      </c>
      <c r="R1627" s="14">
        <v>1</v>
      </c>
      <c r="S1627" s="14" t="s">
        <v>77</v>
      </c>
      <c r="T1627" s="14">
        <v>999</v>
      </c>
      <c r="U1627" s="14" t="s">
        <v>1401</v>
      </c>
      <c r="V1627" s="14">
        <v>31933006</v>
      </c>
      <c r="X1627" s="14" t="s">
        <v>2307</v>
      </c>
      <c r="Y1627" s="14" t="s">
        <v>215</v>
      </c>
      <c r="Z1627" s="14">
        <v>20390</v>
      </c>
      <c r="AA1627" s="14" t="s">
        <v>2308</v>
      </c>
      <c r="AB1627" s="14">
        <v>40001</v>
      </c>
      <c r="AE1627" s="14" t="s">
        <v>1400</v>
      </c>
      <c r="AF1627" s="14" t="s">
        <v>1400</v>
      </c>
      <c r="AG1627" s="14" t="s">
        <v>89</v>
      </c>
    </row>
    <row r="1628" spans="2:33">
      <c r="B1628" s="14">
        <f>10000000+INDEX(编号表!$B:$B,MATCH(H1628,编号表!$A:$A,0))*100000+INDEX(编号表!$F:$F,MATCH(D1628,编号表!$E:$E,0))*10000+INDEX(编号表!$D:$D,MATCH(AG1628,编号表!$C:$C,0))*1000+F1628</f>
        <v>11913005</v>
      </c>
      <c r="C1628" s="14" t="s">
        <v>2309</v>
      </c>
      <c r="D1628" s="14" t="s">
        <v>72</v>
      </c>
      <c r="E1628" s="14" t="s">
        <v>89</v>
      </c>
      <c r="F1628" s="14">
        <v>5</v>
      </c>
      <c r="G1628" s="14">
        <v>60</v>
      </c>
      <c r="H1628" s="14" t="s">
        <v>1400</v>
      </c>
      <c r="I1628" s="14" t="s">
        <v>75</v>
      </c>
      <c r="J1628" s="14" t="s">
        <v>201</v>
      </c>
      <c r="K1628" s="14">
        <v>1</v>
      </c>
      <c r="L1628" s="14" t="s">
        <v>1400</v>
      </c>
      <c r="N1628" s="14">
        <v>0</v>
      </c>
      <c r="O1628" s="14" t="b">
        <v>1</v>
      </c>
      <c r="Q1628" s="14" t="b">
        <v>0</v>
      </c>
      <c r="R1628" s="14">
        <v>1</v>
      </c>
      <c r="S1628" s="14" t="s">
        <v>77</v>
      </c>
      <c r="T1628" s="14">
        <v>999</v>
      </c>
      <c r="U1628" s="14" t="s">
        <v>1401</v>
      </c>
      <c r="V1628" s="14">
        <v>31913005</v>
      </c>
      <c r="X1628" s="14" t="s">
        <v>2310</v>
      </c>
      <c r="Y1628" s="14" t="s">
        <v>215</v>
      </c>
      <c r="Z1628" s="14">
        <v>20391</v>
      </c>
      <c r="AA1628" s="14" t="s">
        <v>2311</v>
      </c>
      <c r="AB1628" s="14">
        <v>40001</v>
      </c>
      <c r="AE1628" s="14" t="s">
        <v>1400</v>
      </c>
      <c r="AF1628" s="14" t="s">
        <v>1400</v>
      </c>
      <c r="AG1628" s="14" t="s">
        <v>89</v>
      </c>
    </row>
    <row r="1629" spans="2:33">
      <c r="B1629" s="14">
        <f>10000000+INDEX(编号表!$B:$B,MATCH(H1629,编号表!$A:$A,0))*100000+INDEX(编号表!$F:$F,MATCH(D1629,编号表!$E:$E,0))*10000+INDEX(编号表!$D:$D,MATCH(AG1629,编号表!$C:$C,0))*1000+F1629</f>
        <v>11923006</v>
      </c>
      <c r="C1629" s="14" t="s">
        <v>2309</v>
      </c>
      <c r="D1629" s="14" t="s">
        <v>112</v>
      </c>
      <c r="E1629" s="14" t="s">
        <v>89</v>
      </c>
      <c r="F1629" s="14">
        <v>6</v>
      </c>
      <c r="G1629" s="14">
        <v>60</v>
      </c>
      <c r="H1629" s="14" t="s">
        <v>1400</v>
      </c>
      <c r="I1629" s="14" t="s">
        <v>75</v>
      </c>
      <c r="J1629" s="14" t="s">
        <v>201</v>
      </c>
      <c r="K1629" s="14">
        <v>1</v>
      </c>
      <c r="L1629" s="14" t="s">
        <v>1400</v>
      </c>
      <c r="N1629" s="14">
        <v>0</v>
      </c>
      <c r="O1629" s="14" t="b">
        <v>1</v>
      </c>
      <c r="Q1629" s="14" t="b">
        <v>0</v>
      </c>
      <c r="R1629" s="14">
        <v>1</v>
      </c>
      <c r="S1629" s="14" t="s">
        <v>77</v>
      </c>
      <c r="T1629" s="14">
        <v>999</v>
      </c>
      <c r="U1629" s="14" t="s">
        <v>1401</v>
      </c>
      <c r="V1629" s="14">
        <v>31923006</v>
      </c>
      <c r="X1629" s="14" t="s">
        <v>2312</v>
      </c>
      <c r="Y1629" s="14" t="s">
        <v>215</v>
      </c>
      <c r="Z1629" s="14">
        <v>20392</v>
      </c>
      <c r="AA1629" s="14" t="s">
        <v>2313</v>
      </c>
      <c r="AB1629" s="14">
        <v>40001</v>
      </c>
      <c r="AE1629" s="14" t="s">
        <v>1400</v>
      </c>
      <c r="AF1629" s="14" t="s">
        <v>1400</v>
      </c>
      <c r="AG1629" s="14" t="s">
        <v>89</v>
      </c>
    </row>
    <row r="1630" spans="2:33">
      <c r="B1630" s="14">
        <f>10000000+INDEX(编号表!$B:$B,MATCH(H1630,编号表!$A:$A,0))*100000+INDEX(编号表!$F:$F,MATCH(D1630,编号表!$E:$E,0))*10000+INDEX(编号表!$D:$D,MATCH(AG1630,编号表!$C:$C,0))*1000+F1630</f>
        <v>11933007</v>
      </c>
      <c r="C1630" s="14" t="s">
        <v>2309</v>
      </c>
      <c r="D1630" s="14" t="s">
        <v>276</v>
      </c>
      <c r="E1630" s="14" t="s">
        <v>89</v>
      </c>
      <c r="F1630" s="14">
        <v>7</v>
      </c>
      <c r="G1630" s="14">
        <v>60</v>
      </c>
      <c r="H1630" s="14" t="s">
        <v>1400</v>
      </c>
      <c r="I1630" s="14" t="s">
        <v>75</v>
      </c>
      <c r="J1630" s="14" t="s">
        <v>201</v>
      </c>
      <c r="K1630" s="14">
        <v>1</v>
      </c>
      <c r="L1630" s="14" t="s">
        <v>1400</v>
      </c>
      <c r="N1630" s="14">
        <v>0</v>
      </c>
      <c r="O1630" s="14" t="b">
        <v>1</v>
      </c>
      <c r="Q1630" s="14" t="b">
        <v>0</v>
      </c>
      <c r="R1630" s="14">
        <v>1</v>
      </c>
      <c r="S1630" s="14" t="s">
        <v>77</v>
      </c>
      <c r="T1630" s="14">
        <v>999</v>
      </c>
      <c r="U1630" s="14" t="s">
        <v>1401</v>
      </c>
      <c r="V1630" s="14">
        <v>31933007</v>
      </c>
      <c r="X1630" s="14" t="s">
        <v>2314</v>
      </c>
      <c r="Y1630" s="14" t="s">
        <v>215</v>
      </c>
      <c r="Z1630" s="14">
        <v>20393</v>
      </c>
      <c r="AA1630" s="14" t="s">
        <v>2315</v>
      </c>
      <c r="AB1630" s="14">
        <v>40001</v>
      </c>
      <c r="AE1630" s="14" t="s">
        <v>1400</v>
      </c>
      <c r="AF1630" s="14" t="s">
        <v>1400</v>
      </c>
      <c r="AG1630" s="14" t="s">
        <v>89</v>
      </c>
    </row>
    <row r="1631" spans="2:33">
      <c r="B1631" s="14">
        <f>10000000+INDEX(编号表!$B:$B,MATCH(H1631,编号表!$A:$A,0))*100000+INDEX(编号表!$F:$F,MATCH(D1631,编号表!$E:$E,0))*10000+INDEX(编号表!$D:$D,MATCH(AG1631,编号表!$C:$C,0))*1000+F1631</f>
        <v>11913006</v>
      </c>
      <c r="C1631" s="14" t="s">
        <v>2316</v>
      </c>
      <c r="D1631" s="14" t="s">
        <v>72</v>
      </c>
      <c r="E1631" s="14" t="s">
        <v>89</v>
      </c>
      <c r="F1631" s="14">
        <v>6</v>
      </c>
      <c r="G1631" s="14">
        <v>60</v>
      </c>
      <c r="H1631" s="14" t="s">
        <v>1400</v>
      </c>
      <c r="I1631" s="14" t="s">
        <v>75</v>
      </c>
      <c r="J1631" s="14" t="s">
        <v>201</v>
      </c>
      <c r="K1631" s="14">
        <v>1</v>
      </c>
      <c r="L1631" s="14" t="s">
        <v>1400</v>
      </c>
      <c r="N1631" s="14">
        <v>0</v>
      </c>
      <c r="O1631" s="14" t="b">
        <v>1</v>
      </c>
      <c r="Q1631" s="14" t="b">
        <v>0</v>
      </c>
      <c r="R1631" s="14">
        <v>1</v>
      </c>
      <c r="S1631" s="14" t="s">
        <v>77</v>
      </c>
      <c r="T1631" s="14">
        <v>999</v>
      </c>
      <c r="U1631" s="14" t="s">
        <v>1401</v>
      </c>
      <c r="V1631" s="14">
        <v>31913006</v>
      </c>
      <c r="X1631" s="14" t="s">
        <v>2317</v>
      </c>
      <c r="Y1631" s="14" t="s">
        <v>215</v>
      </c>
      <c r="Z1631" s="14">
        <v>20394</v>
      </c>
      <c r="AA1631" s="14" t="s">
        <v>2318</v>
      </c>
      <c r="AB1631" s="14">
        <v>40001</v>
      </c>
      <c r="AE1631" s="14" t="s">
        <v>1400</v>
      </c>
      <c r="AF1631" s="14" t="s">
        <v>1400</v>
      </c>
      <c r="AG1631" s="14" t="s">
        <v>89</v>
      </c>
    </row>
    <row r="1632" spans="2:33">
      <c r="B1632" s="14">
        <f>10000000+INDEX(编号表!$B:$B,MATCH(H1632,编号表!$A:$A,0))*100000+INDEX(编号表!$F:$F,MATCH(D1632,编号表!$E:$E,0))*10000+INDEX(编号表!$D:$D,MATCH(AG1632,编号表!$C:$C,0))*1000+F1632</f>
        <v>11923007</v>
      </c>
      <c r="C1632" s="14" t="s">
        <v>2316</v>
      </c>
      <c r="D1632" s="14" t="s">
        <v>112</v>
      </c>
      <c r="E1632" s="14" t="s">
        <v>89</v>
      </c>
      <c r="F1632" s="14">
        <v>7</v>
      </c>
      <c r="G1632" s="14">
        <v>60</v>
      </c>
      <c r="H1632" s="14" t="s">
        <v>1400</v>
      </c>
      <c r="I1632" s="14" t="s">
        <v>75</v>
      </c>
      <c r="J1632" s="14" t="s">
        <v>201</v>
      </c>
      <c r="K1632" s="14">
        <v>1</v>
      </c>
      <c r="L1632" s="14" t="s">
        <v>1400</v>
      </c>
      <c r="N1632" s="14">
        <v>0</v>
      </c>
      <c r="O1632" s="14" t="b">
        <v>1</v>
      </c>
      <c r="Q1632" s="14" t="b">
        <v>0</v>
      </c>
      <c r="R1632" s="14">
        <v>1</v>
      </c>
      <c r="S1632" s="14" t="s">
        <v>77</v>
      </c>
      <c r="T1632" s="14">
        <v>999</v>
      </c>
      <c r="U1632" s="14" t="s">
        <v>1401</v>
      </c>
      <c r="V1632" s="14">
        <v>31923007</v>
      </c>
      <c r="X1632" s="14" t="s">
        <v>2319</v>
      </c>
      <c r="Y1632" s="14" t="s">
        <v>215</v>
      </c>
      <c r="Z1632" s="14">
        <v>20395</v>
      </c>
      <c r="AA1632" s="14" t="s">
        <v>2320</v>
      </c>
      <c r="AB1632" s="14">
        <v>40001</v>
      </c>
      <c r="AE1632" s="14" t="s">
        <v>1400</v>
      </c>
      <c r="AF1632" s="14" t="s">
        <v>1400</v>
      </c>
      <c r="AG1632" s="14" t="s">
        <v>89</v>
      </c>
    </row>
    <row r="1633" spans="2:33">
      <c r="B1633" s="14">
        <f>10000000+INDEX(编号表!$B:$B,MATCH(H1633,编号表!$A:$A,0))*100000+INDEX(编号表!$F:$F,MATCH(D1633,编号表!$E:$E,0))*10000+INDEX(编号表!$D:$D,MATCH(AG1633,编号表!$C:$C,0))*1000+F1633</f>
        <v>11933008</v>
      </c>
      <c r="C1633" s="14" t="s">
        <v>2316</v>
      </c>
      <c r="D1633" s="14" t="s">
        <v>276</v>
      </c>
      <c r="E1633" s="14" t="s">
        <v>89</v>
      </c>
      <c r="F1633" s="14">
        <v>8</v>
      </c>
      <c r="G1633" s="14">
        <v>60</v>
      </c>
      <c r="H1633" s="14" t="s">
        <v>1400</v>
      </c>
      <c r="I1633" s="14" t="s">
        <v>75</v>
      </c>
      <c r="J1633" s="14" t="s">
        <v>201</v>
      </c>
      <c r="K1633" s="14">
        <v>1</v>
      </c>
      <c r="L1633" s="14" t="s">
        <v>1400</v>
      </c>
      <c r="N1633" s="14">
        <v>0</v>
      </c>
      <c r="O1633" s="14" t="b">
        <v>1</v>
      </c>
      <c r="Q1633" s="14" t="b">
        <v>0</v>
      </c>
      <c r="R1633" s="14">
        <v>1</v>
      </c>
      <c r="S1633" s="14" t="s">
        <v>77</v>
      </c>
      <c r="T1633" s="14">
        <v>999</v>
      </c>
      <c r="U1633" s="14" t="s">
        <v>1401</v>
      </c>
      <c r="V1633" s="14">
        <v>31933008</v>
      </c>
      <c r="X1633" s="14" t="s">
        <v>2321</v>
      </c>
      <c r="Y1633" s="14" t="s">
        <v>215</v>
      </c>
      <c r="Z1633" s="14">
        <v>20396</v>
      </c>
      <c r="AA1633" s="14" t="s">
        <v>2322</v>
      </c>
      <c r="AB1633" s="14">
        <v>40001</v>
      </c>
      <c r="AE1633" s="14" t="s">
        <v>1400</v>
      </c>
      <c r="AF1633" s="14" t="s">
        <v>1400</v>
      </c>
      <c r="AG1633" s="14" t="s">
        <v>89</v>
      </c>
    </row>
    <row r="1634" spans="2:33">
      <c r="B1634" s="14">
        <f>10000000+INDEX(编号表!$B:$B,MATCH(H1634,编号表!$A:$A,0))*100000+INDEX(编号表!$F:$F,MATCH(D1634,编号表!$E:$E,0))*10000+INDEX(编号表!$D:$D,MATCH(AG1634,编号表!$C:$C,0))*1000+F1634</f>
        <v>11913007</v>
      </c>
      <c r="C1634" s="14" t="s">
        <v>2323</v>
      </c>
      <c r="D1634" s="14" t="s">
        <v>72</v>
      </c>
      <c r="E1634" s="14" t="s">
        <v>89</v>
      </c>
      <c r="F1634" s="14">
        <v>7</v>
      </c>
      <c r="G1634" s="14">
        <v>60</v>
      </c>
      <c r="H1634" s="14" t="s">
        <v>1400</v>
      </c>
      <c r="I1634" s="14" t="s">
        <v>75</v>
      </c>
      <c r="J1634" s="14" t="s">
        <v>201</v>
      </c>
      <c r="K1634" s="14">
        <v>1</v>
      </c>
      <c r="L1634" s="14" t="s">
        <v>1400</v>
      </c>
      <c r="N1634" s="14">
        <v>0</v>
      </c>
      <c r="O1634" s="14" t="b">
        <v>1</v>
      </c>
      <c r="Q1634" s="14" t="b">
        <v>0</v>
      </c>
      <c r="R1634" s="14">
        <v>1</v>
      </c>
      <c r="S1634" s="14" t="s">
        <v>77</v>
      </c>
      <c r="T1634" s="14">
        <v>999</v>
      </c>
      <c r="U1634" s="14" t="s">
        <v>1401</v>
      </c>
      <c r="V1634" s="14">
        <v>31913007</v>
      </c>
      <c r="X1634" s="14" t="s">
        <v>2324</v>
      </c>
      <c r="Y1634" s="14" t="s">
        <v>215</v>
      </c>
      <c r="Z1634" s="14">
        <v>20397</v>
      </c>
      <c r="AA1634" s="14" t="s">
        <v>2325</v>
      </c>
      <c r="AB1634" s="14">
        <v>40001</v>
      </c>
      <c r="AE1634" s="14" t="s">
        <v>1400</v>
      </c>
      <c r="AF1634" s="14" t="s">
        <v>1400</v>
      </c>
      <c r="AG1634" s="14" t="s">
        <v>89</v>
      </c>
    </row>
    <row r="1635" spans="2:33">
      <c r="B1635" s="14">
        <f>10000000+INDEX(编号表!$B:$B,MATCH(H1635,编号表!$A:$A,0))*100000+INDEX(编号表!$F:$F,MATCH(D1635,编号表!$E:$E,0))*10000+INDEX(编号表!$D:$D,MATCH(AG1635,编号表!$C:$C,0))*1000+F1635</f>
        <v>11923008</v>
      </c>
      <c r="C1635" s="14" t="s">
        <v>2323</v>
      </c>
      <c r="D1635" s="14" t="s">
        <v>112</v>
      </c>
      <c r="E1635" s="14" t="s">
        <v>89</v>
      </c>
      <c r="F1635" s="14">
        <v>8</v>
      </c>
      <c r="G1635" s="14">
        <v>60</v>
      </c>
      <c r="H1635" s="14" t="s">
        <v>1400</v>
      </c>
      <c r="I1635" s="14" t="s">
        <v>75</v>
      </c>
      <c r="J1635" s="14" t="s">
        <v>201</v>
      </c>
      <c r="K1635" s="14">
        <v>1</v>
      </c>
      <c r="L1635" s="14" t="s">
        <v>1400</v>
      </c>
      <c r="N1635" s="14">
        <v>0</v>
      </c>
      <c r="O1635" s="14" t="b">
        <v>1</v>
      </c>
      <c r="Q1635" s="14" t="b">
        <v>0</v>
      </c>
      <c r="R1635" s="14">
        <v>1</v>
      </c>
      <c r="S1635" s="14" t="s">
        <v>77</v>
      </c>
      <c r="T1635" s="14">
        <v>999</v>
      </c>
      <c r="U1635" s="14" t="s">
        <v>1401</v>
      </c>
      <c r="V1635" s="14">
        <v>31923008</v>
      </c>
      <c r="X1635" s="14" t="s">
        <v>2326</v>
      </c>
      <c r="Y1635" s="14" t="s">
        <v>215</v>
      </c>
      <c r="Z1635" s="14">
        <v>20398</v>
      </c>
      <c r="AA1635" s="14" t="s">
        <v>2327</v>
      </c>
      <c r="AB1635" s="14">
        <v>40001</v>
      </c>
      <c r="AE1635" s="14" t="s">
        <v>1400</v>
      </c>
      <c r="AF1635" s="14" t="s">
        <v>1400</v>
      </c>
      <c r="AG1635" s="14" t="s">
        <v>89</v>
      </c>
    </row>
    <row r="1636" spans="2:33">
      <c r="B1636" s="14">
        <f>10000000+INDEX(编号表!$B:$B,MATCH(H1636,编号表!$A:$A,0))*100000+INDEX(编号表!$F:$F,MATCH(D1636,编号表!$E:$E,0))*10000+INDEX(编号表!$D:$D,MATCH(AG1636,编号表!$C:$C,0))*1000+F1636</f>
        <v>11933009</v>
      </c>
      <c r="C1636" s="14" t="s">
        <v>2323</v>
      </c>
      <c r="D1636" s="14" t="s">
        <v>276</v>
      </c>
      <c r="E1636" s="14" t="s">
        <v>89</v>
      </c>
      <c r="F1636" s="14">
        <v>9</v>
      </c>
      <c r="G1636" s="14">
        <v>60</v>
      </c>
      <c r="H1636" s="14" t="s">
        <v>1400</v>
      </c>
      <c r="I1636" s="14" t="s">
        <v>75</v>
      </c>
      <c r="J1636" s="14" t="s">
        <v>201</v>
      </c>
      <c r="K1636" s="14">
        <v>1</v>
      </c>
      <c r="L1636" s="14" t="s">
        <v>1400</v>
      </c>
      <c r="N1636" s="14">
        <v>0</v>
      </c>
      <c r="O1636" s="14" t="b">
        <v>1</v>
      </c>
      <c r="Q1636" s="14" t="b">
        <v>0</v>
      </c>
      <c r="R1636" s="14">
        <v>1</v>
      </c>
      <c r="S1636" s="14" t="s">
        <v>77</v>
      </c>
      <c r="T1636" s="14">
        <v>999</v>
      </c>
      <c r="U1636" s="14" t="s">
        <v>1401</v>
      </c>
      <c r="V1636" s="14">
        <v>31933009</v>
      </c>
      <c r="X1636" s="14" t="s">
        <v>2328</v>
      </c>
      <c r="Y1636" s="14" t="s">
        <v>215</v>
      </c>
      <c r="Z1636" s="14">
        <v>20399</v>
      </c>
      <c r="AA1636" s="14" t="s">
        <v>2329</v>
      </c>
      <c r="AB1636" s="14">
        <v>40001</v>
      </c>
      <c r="AE1636" s="14" t="s">
        <v>1400</v>
      </c>
      <c r="AF1636" s="14" t="s">
        <v>1400</v>
      </c>
      <c r="AG1636" s="14" t="s">
        <v>89</v>
      </c>
    </row>
    <row r="1637" spans="2:33">
      <c r="B1637" s="14">
        <f>10000000+INDEX(编号表!$B:$B,MATCH(H1637,编号表!$A:$A,0))*100000+INDEX(编号表!$F:$F,MATCH(D1637,编号表!$E:$E,0))*10000+INDEX(编号表!$D:$D,MATCH(AG1637,编号表!$C:$C,0))*1000+F1637</f>
        <v>11913008</v>
      </c>
      <c r="C1637" s="14" t="s">
        <v>2330</v>
      </c>
      <c r="D1637" s="14" t="s">
        <v>72</v>
      </c>
      <c r="E1637" s="14" t="s">
        <v>89</v>
      </c>
      <c r="F1637" s="14">
        <v>8</v>
      </c>
      <c r="G1637" s="14">
        <v>60</v>
      </c>
      <c r="H1637" s="14" t="s">
        <v>1400</v>
      </c>
      <c r="I1637" s="14" t="s">
        <v>75</v>
      </c>
      <c r="J1637" s="14" t="s">
        <v>201</v>
      </c>
      <c r="K1637" s="14">
        <v>1</v>
      </c>
      <c r="L1637" s="14" t="s">
        <v>1400</v>
      </c>
      <c r="N1637" s="14">
        <v>0</v>
      </c>
      <c r="O1637" s="14" t="b">
        <v>1</v>
      </c>
      <c r="Q1637" s="14" t="b">
        <v>0</v>
      </c>
      <c r="R1637" s="14">
        <v>1</v>
      </c>
      <c r="S1637" s="14" t="s">
        <v>77</v>
      </c>
      <c r="T1637" s="14">
        <v>999</v>
      </c>
      <c r="U1637" s="14" t="s">
        <v>1401</v>
      </c>
      <c r="V1637" s="14">
        <v>31913008</v>
      </c>
      <c r="X1637" s="14" t="s">
        <v>2331</v>
      </c>
      <c r="Y1637" s="14" t="s">
        <v>215</v>
      </c>
      <c r="Z1637" s="14">
        <v>20400</v>
      </c>
      <c r="AA1637" s="14" t="s">
        <v>2332</v>
      </c>
      <c r="AB1637" s="14">
        <v>40001</v>
      </c>
      <c r="AE1637" s="14" t="s">
        <v>1400</v>
      </c>
      <c r="AF1637" s="14" t="s">
        <v>1400</v>
      </c>
      <c r="AG1637" s="14" t="s">
        <v>89</v>
      </c>
    </row>
    <row r="1638" spans="2:33">
      <c r="B1638" s="14">
        <f>10000000+INDEX(编号表!$B:$B,MATCH(H1638,编号表!$A:$A,0))*100000+INDEX(编号表!$F:$F,MATCH(D1638,编号表!$E:$E,0))*10000+INDEX(编号表!$D:$D,MATCH(AG1638,编号表!$C:$C,0))*1000+F1638</f>
        <v>11923009</v>
      </c>
      <c r="C1638" s="14" t="s">
        <v>2330</v>
      </c>
      <c r="D1638" s="14" t="s">
        <v>112</v>
      </c>
      <c r="E1638" s="14" t="s">
        <v>89</v>
      </c>
      <c r="F1638" s="14">
        <v>9</v>
      </c>
      <c r="G1638" s="14">
        <v>60</v>
      </c>
      <c r="H1638" s="14" t="s">
        <v>1400</v>
      </c>
      <c r="I1638" s="14" t="s">
        <v>75</v>
      </c>
      <c r="J1638" s="14" t="s">
        <v>201</v>
      </c>
      <c r="K1638" s="14">
        <v>1</v>
      </c>
      <c r="L1638" s="14" t="s">
        <v>1400</v>
      </c>
      <c r="N1638" s="14">
        <v>0</v>
      </c>
      <c r="O1638" s="14" t="b">
        <v>1</v>
      </c>
      <c r="Q1638" s="14" t="b">
        <v>0</v>
      </c>
      <c r="R1638" s="14">
        <v>1</v>
      </c>
      <c r="S1638" s="14" t="s">
        <v>77</v>
      </c>
      <c r="T1638" s="14">
        <v>999</v>
      </c>
      <c r="U1638" s="14" t="s">
        <v>1401</v>
      </c>
      <c r="V1638" s="14">
        <v>31923009</v>
      </c>
      <c r="X1638" s="14" t="s">
        <v>2333</v>
      </c>
      <c r="Y1638" s="14" t="s">
        <v>215</v>
      </c>
      <c r="Z1638" s="14">
        <v>20401</v>
      </c>
      <c r="AA1638" s="14" t="s">
        <v>2334</v>
      </c>
      <c r="AB1638" s="14">
        <v>40001</v>
      </c>
      <c r="AE1638" s="14" t="s">
        <v>1400</v>
      </c>
      <c r="AF1638" s="14" t="s">
        <v>1400</v>
      </c>
      <c r="AG1638" s="14" t="s">
        <v>89</v>
      </c>
    </row>
    <row r="1639" spans="2:33">
      <c r="B1639" s="14">
        <f>10000000+INDEX(编号表!$B:$B,MATCH(H1639,编号表!$A:$A,0))*100000+INDEX(编号表!$F:$F,MATCH(D1639,编号表!$E:$E,0))*10000+INDEX(编号表!$D:$D,MATCH(AG1639,编号表!$C:$C,0))*1000+F1639</f>
        <v>11933010</v>
      </c>
      <c r="C1639" s="14" t="s">
        <v>2330</v>
      </c>
      <c r="D1639" s="14" t="s">
        <v>276</v>
      </c>
      <c r="E1639" s="14" t="s">
        <v>89</v>
      </c>
      <c r="F1639" s="14">
        <v>10</v>
      </c>
      <c r="G1639" s="14">
        <v>60</v>
      </c>
      <c r="H1639" s="14" t="s">
        <v>1400</v>
      </c>
      <c r="I1639" s="14" t="s">
        <v>75</v>
      </c>
      <c r="J1639" s="14" t="s">
        <v>201</v>
      </c>
      <c r="K1639" s="14">
        <v>1</v>
      </c>
      <c r="L1639" s="14" t="s">
        <v>1400</v>
      </c>
      <c r="N1639" s="14">
        <v>0</v>
      </c>
      <c r="O1639" s="14" t="b">
        <v>1</v>
      </c>
      <c r="Q1639" s="14" t="b">
        <v>0</v>
      </c>
      <c r="R1639" s="14">
        <v>1</v>
      </c>
      <c r="S1639" s="14" t="s">
        <v>77</v>
      </c>
      <c r="T1639" s="14">
        <v>999</v>
      </c>
      <c r="U1639" s="14" t="s">
        <v>1401</v>
      </c>
      <c r="V1639" s="14">
        <v>31933010</v>
      </c>
      <c r="X1639" s="14" t="s">
        <v>2335</v>
      </c>
      <c r="Y1639" s="14" t="s">
        <v>215</v>
      </c>
      <c r="Z1639" s="14">
        <v>20402</v>
      </c>
      <c r="AA1639" s="14" t="s">
        <v>2336</v>
      </c>
      <c r="AB1639" s="14">
        <v>40001</v>
      </c>
      <c r="AE1639" s="14" t="s">
        <v>1400</v>
      </c>
      <c r="AF1639" s="14" t="s">
        <v>1400</v>
      </c>
      <c r="AG1639" s="14" t="s">
        <v>89</v>
      </c>
    </row>
    <row r="1640" spans="2:33">
      <c r="B1640" s="14">
        <f>10000000+INDEX(编号表!$B:$B,MATCH(H1640,编号表!$A:$A,0))*100000+INDEX(编号表!$F:$F,MATCH(D1640,编号表!$E:$E,0))*10000+INDEX(编号表!$D:$D,MATCH(AG1640,编号表!$C:$C,0))*1000+F1640</f>
        <v>11913009</v>
      </c>
      <c r="C1640" s="14" t="s">
        <v>2337</v>
      </c>
      <c r="D1640" s="14" t="s">
        <v>72</v>
      </c>
      <c r="E1640" s="14" t="s">
        <v>89</v>
      </c>
      <c r="F1640" s="14">
        <v>9</v>
      </c>
      <c r="G1640" s="14">
        <v>60</v>
      </c>
      <c r="H1640" s="14" t="s">
        <v>1400</v>
      </c>
      <c r="I1640" s="14" t="s">
        <v>75</v>
      </c>
      <c r="J1640" s="14" t="s">
        <v>201</v>
      </c>
      <c r="K1640" s="14">
        <v>1</v>
      </c>
      <c r="L1640" s="14" t="s">
        <v>1400</v>
      </c>
      <c r="N1640" s="14">
        <v>0</v>
      </c>
      <c r="O1640" s="14" t="b">
        <v>1</v>
      </c>
      <c r="Q1640" s="14" t="b">
        <v>0</v>
      </c>
      <c r="R1640" s="14">
        <v>1</v>
      </c>
      <c r="S1640" s="14" t="s">
        <v>77</v>
      </c>
      <c r="T1640" s="14">
        <v>999</v>
      </c>
      <c r="U1640" s="14" t="s">
        <v>1401</v>
      </c>
      <c r="V1640" s="14">
        <v>31913009</v>
      </c>
      <c r="X1640" s="14" t="s">
        <v>2338</v>
      </c>
      <c r="Y1640" s="14" t="s">
        <v>215</v>
      </c>
      <c r="Z1640" s="14">
        <v>20403</v>
      </c>
      <c r="AA1640" s="14" t="s">
        <v>2339</v>
      </c>
      <c r="AB1640" s="14">
        <v>40001</v>
      </c>
      <c r="AE1640" s="14" t="s">
        <v>1400</v>
      </c>
      <c r="AF1640" s="14" t="s">
        <v>1400</v>
      </c>
      <c r="AG1640" s="14" t="s">
        <v>89</v>
      </c>
    </row>
    <row r="1641" spans="2:33">
      <c r="B1641" s="14">
        <f>10000000+INDEX(编号表!$B:$B,MATCH(H1641,编号表!$A:$A,0))*100000+INDEX(编号表!$F:$F,MATCH(D1641,编号表!$E:$E,0))*10000+INDEX(编号表!$D:$D,MATCH(AG1641,编号表!$C:$C,0))*1000+F1641</f>
        <v>11923010</v>
      </c>
      <c r="C1641" s="14" t="s">
        <v>2337</v>
      </c>
      <c r="D1641" s="14" t="s">
        <v>112</v>
      </c>
      <c r="E1641" s="14" t="s">
        <v>89</v>
      </c>
      <c r="F1641" s="14">
        <v>10</v>
      </c>
      <c r="G1641" s="14">
        <v>60</v>
      </c>
      <c r="H1641" s="14" t="s">
        <v>1400</v>
      </c>
      <c r="I1641" s="14" t="s">
        <v>75</v>
      </c>
      <c r="J1641" s="14" t="s">
        <v>201</v>
      </c>
      <c r="K1641" s="14">
        <v>1</v>
      </c>
      <c r="L1641" s="14" t="s">
        <v>1400</v>
      </c>
      <c r="N1641" s="14">
        <v>0</v>
      </c>
      <c r="O1641" s="14" t="b">
        <v>1</v>
      </c>
      <c r="Q1641" s="14" t="b">
        <v>0</v>
      </c>
      <c r="R1641" s="14">
        <v>1</v>
      </c>
      <c r="S1641" s="14" t="s">
        <v>77</v>
      </c>
      <c r="T1641" s="14">
        <v>999</v>
      </c>
      <c r="U1641" s="14" t="s">
        <v>1401</v>
      </c>
      <c r="V1641" s="14">
        <v>31923010</v>
      </c>
      <c r="X1641" s="14" t="s">
        <v>2340</v>
      </c>
      <c r="Y1641" s="14" t="s">
        <v>215</v>
      </c>
      <c r="Z1641" s="14">
        <v>20404</v>
      </c>
      <c r="AA1641" s="14" t="s">
        <v>2341</v>
      </c>
      <c r="AB1641" s="14">
        <v>40001</v>
      </c>
      <c r="AE1641" s="14" t="s">
        <v>1400</v>
      </c>
      <c r="AF1641" s="14" t="s">
        <v>1400</v>
      </c>
      <c r="AG1641" s="14" t="s">
        <v>89</v>
      </c>
    </row>
    <row r="1642" spans="2:33">
      <c r="B1642" s="14">
        <f>10000000+INDEX(编号表!$B:$B,MATCH(H1642,编号表!$A:$A,0))*100000+INDEX(编号表!$F:$F,MATCH(D1642,编号表!$E:$E,0))*10000+INDEX(编号表!$D:$D,MATCH(AG1642,编号表!$C:$C,0))*1000+F1642</f>
        <v>11933011</v>
      </c>
      <c r="C1642" s="14" t="s">
        <v>2337</v>
      </c>
      <c r="D1642" s="14" t="s">
        <v>276</v>
      </c>
      <c r="E1642" s="14" t="s">
        <v>89</v>
      </c>
      <c r="F1642" s="14">
        <v>11</v>
      </c>
      <c r="G1642" s="14">
        <v>60</v>
      </c>
      <c r="H1642" s="14" t="s">
        <v>1400</v>
      </c>
      <c r="I1642" s="14" t="s">
        <v>75</v>
      </c>
      <c r="J1642" s="14" t="s">
        <v>201</v>
      </c>
      <c r="K1642" s="14">
        <v>1</v>
      </c>
      <c r="L1642" s="14" t="s">
        <v>1400</v>
      </c>
      <c r="N1642" s="14">
        <v>0</v>
      </c>
      <c r="O1642" s="14" t="b">
        <v>1</v>
      </c>
      <c r="Q1642" s="14" t="b">
        <v>0</v>
      </c>
      <c r="R1642" s="14">
        <v>1</v>
      </c>
      <c r="S1642" s="14" t="s">
        <v>77</v>
      </c>
      <c r="T1642" s="14">
        <v>999</v>
      </c>
      <c r="U1642" s="14" t="s">
        <v>1401</v>
      </c>
      <c r="V1642" s="14">
        <v>31933011</v>
      </c>
      <c r="X1642" s="14" t="s">
        <v>2342</v>
      </c>
      <c r="Y1642" s="14" t="s">
        <v>215</v>
      </c>
      <c r="Z1642" s="14">
        <v>20405</v>
      </c>
      <c r="AA1642" s="14" t="s">
        <v>2343</v>
      </c>
      <c r="AB1642" s="14">
        <v>40001</v>
      </c>
      <c r="AE1642" s="14" t="s">
        <v>1400</v>
      </c>
      <c r="AF1642" s="14" t="s">
        <v>1400</v>
      </c>
      <c r="AG1642" s="14" t="s">
        <v>89</v>
      </c>
    </row>
    <row r="1643" spans="2:33">
      <c r="B1643" s="14">
        <f>10000000+INDEX(编号表!$B:$B,MATCH(H1643,编号表!$A:$A,0))*100000+INDEX(编号表!$F:$F,MATCH(D1643,编号表!$E:$E,0))*10000+INDEX(编号表!$D:$D,MATCH(AG1643,编号表!$C:$C,0))*1000+F1643</f>
        <v>11913010</v>
      </c>
      <c r="C1643" s="14" t="s">
        <v>2344</v>
      </c>
      <c r="D1643" s="14" t="s">
        <v>72</v>
      </c>
      <c r="E1643" s="14" t="s">
        <v>89</v>
      </c>
      <c r="F1643" s="14">
        <v>10</v>
      </c>
      <c r="G1643" s="14">
        <v>60</v>
      </c>
      <c r="H1643" s="14" t="s">
        <v>1400</v>
      </c>
      <c r="I1643" s="14" t="s">
        <v>75</v>
      </c>
      <c r="J1643" s="14" t="s">
        <v>201</v>
      </c>
      <c r="K1643" s="14">
        <v>1</v>
      </c>
      <c r="L1643" s="14" t="s">
        <v>1400</v>
      </c>
      <c r="N1643" s="14">
        <v>0</v>
      </c>
      <c r="O1643" s="14" t="b">
        <v>1</v>
      </c>
      <c r="Q1643" s="14" t="b">
        <v>0</v>
      </c>
      <c r="R1643" s="14">
        <v>1</v>
      </c>
      <c r="S1643" s="14" t="s">
        <v>77</v>
      </c>
      <c r="T1643" s="14">
        <v>999</v>
      </c>
      <c r="U1643" s="14" t="s">
        <v>1401</v>
      </c>
      <c r="V1643" s="14">
        <v>31913010</v>
      </c>
      <c r="X1643" s="14" t="s">
        <v>2345</v>
      </c>
      <c r="Y1643" s="14" t="s">
        <v>215</v>
      </c>
      <c r="Z1643" s="14">
        <v>20406</v>
      </c>
      <c r="AA1643" s="14" t="s">
        <v>2346</v>
      </c>
      <c r="AB1643" s="14">
        <v>40001</v>
      </c>
      <c r="AE1643" s="14" t="s">
        <v>1400</v>
      </c>
      <c r="AF1643" s="14" t="s">
        <v>1400</v>
      </c>
      <c r="AG1643" s="14" t="s">
        <v>89</v>
      </c>
    </row>
    <row r="1644" spans="2:33">
      <c r="B1644" s="14">
        <f>10000000+INDEX(编号表!$B:$B,MATCH(H1644,编号表!$A:$A,0))*100000+INDEX(编号表!$F:$F,MATCH(D1644,编号表!$E:$E,0))*10000+INDEX(编号表!$D:$D,MATCH(AG1644,编号表!$C:$C,0))*1000+F1644</f>
        <v>11923011</v>
      </c>
      <c r="C1644" s="14" t="s">
        <v>2344</v>
      </c>
      <c r="D1644" s="14" t="s">
        <v>112</v>
      </c>
      <c r="E1644" s="14" t="s">
        <v>89</v>
      </c>
      <c r="F1644" s="14">
        <v>11</v>
      </c>
      <c r="G1644" s="14">
        <v>60</v>
      </c>
      <c r="H1644" s="14" t="s">
        <v>1400</v>
      </c>
      <c r="I1644" s="14" t="s">
        <v>75</v>
      </c>
      <c r="J1644" s="14" t="s">
        <v>201</v>
      </c>
      <c r="K1644" s="14">
        <v>1</v>
      </c>
      <c r="L1644" s="14" t="s">
        <v>1400</v>
      </c>
      <c r="N1644" s="14">
        <v>0</v>
      </c>
      <c r="O1644" s="14" t="b">
        <v>1</v>
      </c>
      <c r="Q1644" s="14" t="b">
        <v>0</v>
      </c>
      <c r="R1644" s="14">
        <v>1</v>
      </c>
      <c r="S1644" s="14" t="s">
        <v>77</v>
      </c>
      <c r="T1644" s="14">
        <v>999</v>
      </c>
      <c r="U1644" s="14" t="s">
        <v>1401</v>
      </c>
      <c r="V1644" s="14">
        <v>31923011</v>
      </c>
      <c r="X1644" s="14" t="s">
        <v>2347</v>
      </c>
      <c r="Y1644" s="14" t="s">
        <v>215</v>
      </c>
      <c r="Z1644" s="14">
        <v>20407</v>
      </c>
      <c r="AA1644" s="14" t="s">
        <v>2348</v>
      </c>
      <c r="AB1644" s="14">
        <v>40001</v>
      </c>
      <c r="AE1644" s="14" t="s">
        <v>1400</v>
      </c>
      <c r="AF1644" s="14" t="s">
        <v>1400</v>
      </c>
      <c r="AG1644" s="14" t="s">
        <v>89</v>
      </c>
    </row>
    <row r="1645" spans="2:33">
      <c r="B1645" s="14">
        <f>10000000+INDEX(编号表!$B:$B,MATCH(H1645,编号表!$A:$A,0))*100000+INDEX(编号表!$F:$F,MATCH(D1645,编号表!$E:$E,0))*10000+INDEX(编号表!$D:$D,MATCH(AG1645,编号表!$C:$C,0))*1000+F1645</f>
        <v>11933012</v>
      </c>
      <c r="C1645" s="14" t="s">
        <v>2344</v>
      </c>
      <c r="D1645" s="14" t="s">
        <v>276</v>
      </c>
      <c r="E1645" s="14" t="s">
        <v>89</v>
      </c>
      <c r="F1645" s="14">
        <v>12</v>
      </c>
      <c r="G1645" s="14">
        <v>60</v>
      </c>
      <c r="H1645" s="14" t="s">
        <v>1400</v>
      </c>
      <c r="I1645" s="14" t="s">
        <v>75</v>
      </c>
      <c r="J1645" s="14" t="s">
        <v>201</v>
      </c>
      <c r="K1645" s="14">
        <v>1</v>
      </c>
      <c r="L1645" s="14" t="s">
        <v>1400</v>
      </c>
      <c r="N1645" s="14">
        <v>0</v>
      </c>
      <c r="O1645" s="14" t="b">
        <v>1</v>
      </c>
      <c r="Q1645" s="14" t="b">
        <v>0</v>
      </c>
      <c r="R1645" s="14">
        <v>1</v>
      </c>
      <c r="S1645" s="14" t="s">
        <v>77</v>
      </c>
      <c r="T1645" s="14">
        <v>999</v>
      </c>
      <c r="U1645" s="14" t="s">
        <v>1401</v>
      </c>
      <c r="V1645" s="14">
        <v>31933012</v>
      </c>
      <c r="X1645" s="14" t="s">
        <v>2349</v>
      </c>
      <c r="Y1645" s="14" t="s">
        <v>215</v>
      </c>
      <c r="Z1645" s="14">
        <v>20408</v>
      </c>
      <c r="AA1645" s="14" t="s">
        <v>2350</v>
      </c>
      <c r="AB1645" s="14">
        <v>40001</v>
      </c>
      <c r="AE1645" s="14" t="s">
        <v>1400</v>
      </c>
      <c r="AF1645" s="14" t="s">
        <v>1400</v>
      </c>
      <c r="AG1645" s="14" t="s">
        <v>89</v>
      </c>
    </row>
    <row r="1646" spans="2:33">
      <c r="B1646" s="14">
        <f>10000000+INDEX(编号表!$B:$B,MATCH(H1646,编号表!$A:$A,0))*100000+INDEX(编号表!$F:$F,MATCH(D1646,编号表!$E:$E,0))*10000+INDEX(编号表!$D:$D,MATCH(AG1646,编号表!$C:$C,0))*1000+F1646</f>
        <v>11913011</v>
      </c>
      <c r="C1646" s="14" t="s">
        <v>2351</v>
      </c>
      <c r="D1646" s="14" t="s">
        <v>72</v>
      </c>
      <c r="E1646" s="14" t="s">
        <v>89</v>
      </c>
      <c r="F1646" s="14">
        <v>11</v>
      </c>
      <c r="G1646" s="14">
        <v>60</v>
      </c>
      <c r="H1646" s="14" t="s">
        <v>1400</v>
      </c>
      <c r="I1646" s="14" t="s">
        <v>75</v>
      </c>
      <c r="J1646" s="14" t="s">
        <v>201</v>
      </c>
      <c r="K1646" s="14">
        <v>1</v>
      </c>
      <c r="L1646" s="14" t="s">
        <v>1400</v>
      </c>
      <c r="N1646" s="14">
        <v>0</v>
      </c>
      <c r="O1646" s="14" t="b">
        <v>1</v>
      </c>
      <c r="Q1646" s="14" t="b">
        <v>0</v>
      </c>
      <c r="R1646" s="14">
        <v>1</v>
      </c>
      <c r="S1646" s="14" t="s">
        <v>77</v>
      </c>
      <c r="T1646" s="14">
        <v>999</v>
      </c>
      <c r="U1646" s="14" t="s">
        <v>1401</v>
      </c>
      <c r="V1646" s="14">
        <v>31913011</v>
      </c>
      <c r="X1646" s="14" t="s">
        <v>2352</v>
      </c>
      <c r="Y1646" s="14" t="s">
        <v>215</v>
      </c>
      <c r="Z1646" s="14">
        <v>20409</v>
      </c>
      <c r="AA1646" s="14" t="s">
        <v>2353</v>
      </c>
      <c r="AB1646" s="14">
        <v>40001</v>
      </c>
      <c r="AE1646" s="14" t="s">
        <v>1400</v>
      </c>
      <c r="AF1646" s="14" t="s">
        <v>1400</v>
      </c>
      <c r="AG1646" s="14" t="s">
        <v>89</v>
      </c>
    </row>
    <row r="1647" spans="2:33">
      <c r="B1647" s="14">
        <f>10000000+INDEX(编号表!$B:$B,MATCH(H1647,编号表!$A:$A,0))*100000+INDEX(编号表!$F:$F,MATCH(D1647,编号表!$E:$E,0))*10000+INDEX(编号表!$D:$D,MATCH(AG1647,编号表!$C:$C,0))*1000+F1647</f>
        <v>11923012</v>
      </c>
      <c r="C1647" s="14" t="s">
        <v>2351</v>
      </c>
      <c r="D1647" s="14" t="s">
        <v>112</v>
      </c>
      <c r="E1647" s="14" t="s">
        <v>89</v>
      </c>
      <c r="F1647" s="14">
        <v>12</v>
      </c>
      <c r="G1647" s="14">
        <v>60</v>
      </c>
      <c r="H1647" s="14" t="s">
        <v>1400</v>
      </c>
      <c r="I1647" s="14" t="s">
        <v>75</v>
      </c>
      <c r="J1647" s="14" t="s">
        <v>201</v>
      </c>
      <c r="K1647" s="14">
        <v>1</v>
      </c>
      <c r="L1647" s="14" t="s">
        <v>1400</v>
      </c>
      <c r="N1647" s="14">
        <v>0</v>
      </c>
      <c r="O1647" s="14" t="b">
        <v>1</v>
      </c>
      <c r="Q1647" s="14" t="b">
        <v>0</v>
      </c>
      <c r="R1647" s="14">
        <v>1</v>
      </c>
      <c r="S1647" s="14" t="s">
        <v>77</v>
      </c>
      <c r="T1647" s="14">
        <v>999</v>
      </c>
      <c r="U1647" s="14" t="s">
        <v>1401</v>
      </c>
      <c r="V1647" s="14">
        <v>31923012</v>
      </c>
      <c r="X1647" s="14" t="s">
        <v>2354</v>
      </c>
      <c r="Y1647" s="14" t="s">
        <v>215</v>
      </c>
      <c r="Z1647" s="14">
        <v>20410</v>
      </c>
      <c r="AA1647" s="14" t="s">
        <v>2355</v>
      </c>
      <c r="AB1647" s="14">
        <v>40001</v>
      </c>
      <c r="AE1647" s="14" t="s">
        <v>1400</v>
      </c>
      <c r="AF1647" s="14" t="s">
        <v>1400</v>
      </c>
      <c r="AG1647" s="14" t="s">
        <v>89</v>
      </c>
    </row>
    <row r="1648" spans="2:33">
      <c r="B1648" s="14">
        <f>10000000+INDEX(编号表!$B:$B,MATCH(H1648,编号表!$A:$A,0))*100000+INDEX(编号表!$F:$F,MATCH(D1648,编号表!$E:$E,0))*10000+INDEX(编号表!$D:$D,MATCH(AG1648,编号表!$C:$C,0))*1000+F1648</f>
        <v>11933013</v>
      </c>
      <c r="C1648" s="14" t="s">
        <v>2351</v>
      </c>
      <c r="D1648" s="14" t="s">
        <v>276</v>
      </c>
      <c r="E1648" s="14" t="s">
        <v>89</v>
      </c>
      <c r="F1648" s="14">
        <v>13</v>
      </c>
      <c r="G1648" s="14">
        <v>60</v>
      </c>
      <c r="H1648" s="14" t="s">
        <v>1400</v>
      </c>
      <c r="I1648" s="14" t="s">
        <v>75</v>
      </c>
      <c r="J1648" s="14" t="s">
        <v>201</v>
      </c>
      <c r="K1648" s="14">
        <v>1</v>
      </c>
      <c r="L1648" s="14" t="s">
        <v>1400</v>
      </c>
      <c r="N1648" s="14">
        <v>0</v>
      </c>
      <c r="O1648" s="14" t="b">
        <v>1</v>
      </c>
      <c r="Q1648" s="14" t="b">
        <v>0</v>
      </c>
      <c r="R1648" s="14">
        <v>1</v>
      </c>
      <c r="S1648" s="14" t="s">
        <v>77</v>
      </c>
      <c r="T1648" s="14">
        <v>999</v>
      </c>
      <c r="U1648" s="14" t="s">
        <v>1401</v>
      </c>
      <c r="V1648" s="14">
        <v>31933013</v>
      </c>
      <c r="X1648" s="14" t="s">
        <v>2356</v>
      </c>
      <c r="Y1648" s="14" t="s">
        <v>215</v>
      </c>
      <c r="Z1648" s="14">
        <v>20411</v>
      </c>
      <c r="AA1648" s="14" t="s">
        <v>2357</v>
      </c>
      <c r="AB1648" s="14">
        <v>40001</v>
      </c>
      <c r="AE1648" s="14" t="s">
        <v>1400</v>
      </c>
      <c r="AF1648" s="14" t="s">
        <v>1400</v>
      </c>
      <c r="AG1648" s="14" t="s">
        <v>89</v>
      </c>
    </row>
    <row r="1649" spans="2:33">
      <c r="B1649" s="14">
        <f>10000000+INDEX(编号表!$B:$B,MATCH(H1649,编号表!$A:$A,0))*100000+INDEX(编号表!$F:$F,MATCH(D1649,编号表!$E:$E,0))*10000+INDEX(编号表!$D:$D,MATCH(AG1649,编号表!$C:$C,0))*1000+F1649</f>
        <v>11913012</v>
      </c>
      <c r="C1649" s="14" t="s">
        <v>2358</v>
      </c>
      <c r="D1649" s="14" t="s">
        <v>72</v>
      </c>
      <c r="E1649" s="14" t="s">
        <v>89</v>
      </c>
      <c r="F1649" s="14">
        <v>12</v>
      </c>
      <c r="G1649" s="14">
        <v>60</v>
      </c>
      <c r="H1649" s="14" t="s">
        <v>1400</v>
      </c>
      <c r="I1649" s="14" t="s">
        <v>75</v>
      </c>
      <c r="J1649" s="14" t="s">
        <v>201</v>
      </c>
      <c r="K1649" s="14">
        <v>1</v>
      </c>
      <c r="L1649" s="14" t="s">
        <v>1400</v>
      </c>
      <c r="N1649" s="14">
        <v>0</v>
      </c>
      <c r="O1649" s="14" t="b">
        <v>1</v>
      </c>
      <c r="Q1649" s="14" t="b">
        <v>0</v>
      </c>
      <c r="R1649" s="14">
        <v>1</v>
      </c>
      <c r="S1649" s="14" t="s">
        <v>77</v>
      </c>
      <c r="T1649" s="14">
        <v>999</v>
      </c>
      <c r="U1649" s="14" t="s">
        <v>1401</v>
      </c>
      <c r="V1649" s="14">
        <v>31913012</v>
      </c>
      <c r="X1649" s="14" t="s">
        <v>2359</v>
      </c>
      <c r="Y1649" s="14" t="s">
        <v>215</v>
      </c>
      <c r="Z1649" s="14">
        <v>20412</v>
      </c>
      <c r="AA1649" s="14" t="s">
        <v>2360</v>
      </c>
      <c r="AB1649" s="14">
        <v>40001</v>
      </c>
      <c r="AE1649" s="14" t="s">
        <v>1400</v>
      </c>
      <c r="AF1649" s="14" t="s">
        <v>1400</v>
      </c>
      <c r="AG1649" s="14" t="s">
        <v>89</v>
      </c>
    </row>
    <row r="1650" spans="2:33">
      <c r="B1650" s="14">
        <f>10000000+INDEX(编号表!$B:$B,MATCH(H1650,编号表!$A:$A,0))*100000+INDEX(编号表!$F:$F,MATCH(D1650,编号表!$E:$E,0))*10000+INDEX(编号表!$D:$D,MATCH(AG1650,编号表!$C:$C,0))*1000+F1650</f>
        <v>11923013</v>
      </c>
      <c r="C1650" s="14" t="s">
        <v>2358</v>
      </c>
      <c r="D1650" s="14" t="s">
        <v>112</v>
      </c>
      <c r="E1650" s="14" t="s">
        <v>89</v>
      </c>
      <c r="F1650" s="14">
        <v>13</v>
      </c>
      <c r="G1650" s="14">
        <v>60</v>
      </c>
      <c r="H1650" s="14" t="s">
        <v>1400</v>
      </c>
      <c r="I1650" s="14" t="s">
        <v>75</v>
      </c>
      <c r="J1650" s="14" t="s">
        <v>201</v>
      </c>
      <c r="K1650" s="14">
        <v>1</v>
      </c>
      <c r="L1650" s="14" t="s">
        <v>1400</v>
      </c>
      <c r="N1650" s="14">
        <v>0</v>
      </c>
      <c r="O1650" s="14" t="b">
        <v>1</v>
      </c>
      <c r="Q1650" s="14" t="b">
        <v>0</v>
      </c>
      <c r="R1650" s="14">
        <v>1</v>
      </c>
      <c r="S1650" s="14" t="s">
        <v>77</v>
      </c>
      <c r="T1650" s="14">
        <v>999</v>
      </c>
      <c r="U1650" s="14" t="s">
        <v>1401</v>
      </c>
      <c r="V1650" s="14">
        <v>31923013</v>
      </c>
      <c r="X1650" s="14" t="s">
        <v>2361</v>
      </c>
      <c r="Y1650" s="14" t="s">
        <v>215</v>
      </c>
      <c r="Z1650" s="14">
        <v>20413</v>
      </c>
      <c r="AA1650" s="14" t="s">
        <v>2362</v>
      </c>
      <c r="AB1650" s="14">
        <v>40001</v>
      </c>
      <c r="AE1650" s="14" t="s">
        <v>1400</v>
      </c>
      <c r="AF1650" s="14" t="s">
        <v>1400</v>
      </c>
      <c r="AG1650" s="14" t="s">
        <v>89</v>
      </c>
    </row>
    <row r="1651" spans="2:33">
      <c r="B1651" s="14">
        <f>10000000+INDEX(编号表!$B:$B,MATCH(H1651,编号表!$A:$A,0))*100000+INDEX(编号表!$F:$F,MATCH(D1651,编号表!$E:$E,0))*10000+INDEX(编号表!$D:$D,MATCH(AG1651,编号表!$C:$C,0))*1000+F1651</f>
        <v>11933014</v>
      </c>
      <c r="C1651" s="14" t="s">
        <v>2358</v>
      </c>
      <c r="D1651" s="14" t="s">
        <v>276</v>
      </c>
      <c r="E1651" s="14" t="s">
        <v>89</v>
      </c>
      <c r="F1651" s="14">
        <v>14</v>
      </c>
      <c r="G1651" s="14">
        <v>60</v>
      </c>
      <c r="H1651" s="14" t="s">
        <v>1400</v>
      </c>
      <c r="I1651" s="14" t="s">
        <v>75</v>
      </c>
      <c r="J1651" s="14" t="s">
        <v>201</v>
      </c>
      <c r="K1651" s="14">
        <v>1</v>
      </c>
      <c r="L1651" s="14" t="s">
        <v>1400</v>
      </c>
      <c r="N1651" s="14">
        <v>0</v>
      </c>
      <c r="O1651" s="14" t="b">
        <v>1</v>
      </c>
      <c r="Q1651" s="14" t="b">
        <v>0</v>
      </c>
      <c r="R1651" s="14">
        <v>1</v>
      </c>
      <c r="S1651" s="14" t="s">
        <v>77</v>
      </c>
      <c r="T1651" s="14">
        <v>999</v>
      </c>
      <c r="U1651" s="14" t="s">
        <v>1401</v>
      </c>
      <c r="V1651" s="14">
        <v>31933014</v>
      </c>
      <c r="X1651" s="14" t="s">
        <v>2363</v>
      </c>
      <c r="Y1651" s="14" t="s">
        <v>215</v>
      </c>
      <c r="Z1651" s="14">
        <v>20414</v>
      </c>
      <c r="AA1651" s="14" t="s">
        <v>2364</v>
      </c>
      <c r="AB1651" s="14">
        <v>40001</v>
      </c>
      <c r="AE1651" s="14" t="s">
        <v>1400</v>
      </c>
      <c r="AF1651" s="14" t="s">
        <v>1400</v>
      </c>
      <c r="AG1651" s="14" t="s">
        <v>89</v>
      </c>
    </row>
    <row r="1652" spans="2:33">
      <c r="B1652" s="14">
        <f>10000000+INDEX(编号表!$B:$B,MATCH(H1652,编号表!$A:$A,0))*100000+INDEX(编号表!$F:$F,MATCH(D1652,编号表!$E:$E,0))*10000+INDEX(编号表!$D:$D,MATCH(AG1652,编号表!$C:$C,0))*1000+F1652</f>
        <v>11913013</v>
      </c>
      <c r="C1652" s="14" t="s">
        <v>2365</v>
      </c>
      <c r="D1652" s="14" t="s">
        <v>72</v>
      </c>
      <c r="E1652" s="14" t="s">
        <v>89</v>
      </c>
      <c r="F1652" s="14">
        <v>13</v>
      </c>
      <c r="G1652" s="14">
        <v>60</v>
      </c>
      <c r="H1652" s="14" t="s">
        <v>1400</v>
      </c>
      <c r="I1652" s="14" t="s">
        <v>75</v>
      </c>
      <c r="J1652" s="14" t="s">
        <v>201</v>
      </c>
      <c r="K1652" s="14">
        <v>1</v>
      </c>
      <c r="L1652" s="14" t="s">
        <v>1400</v>
      </c>
      <c r="N1652" s="14">
        <v>0</v>
      </c>
      <c r="O1652" s="14" t="b">
        <v>1</v>
      </c>
      <c r="Q1652" s="14" t="b">
        <v>0</v>
      </c>
      <c r="R1652" s="14">
        <v>1</v>
      </c>
      <c r="S1652" s="14" t="s">
        <v>77</v>
      </c>
      <c r="T1652" s="14">
        <v>999</v>
      </c>
      <c r="U1652" s="14" t="s">
        <v>1401</v>
      </c>
      <c r="V1652" s="14">
        <v>31913013</v>
      </c>
      <c r="X1652" s="14" t="s">
        <v>2366</v>
      </c>
      <c r="Y1652" s="14" t="s">
        <v>215</v>
      </c>
      <c r="Z1652" s="14">
        <v>20415</v>
      </c>
      <c r="AA1652" s="14" t="s">
        <v>2367</v>
      </c>
      <c r="AB1652" s="14">
        <v>40001</v>
      </c>
      <c r="AE1652" s="14" t="s">
        <v>1400</v>
      </c>
      <c r="AF1652" s="14" t="s">
        <v>1400</v>
      </c>
      <c r="AG1652" s="14" t="s">
        <v>89</v>
      </c>
    </row>
    <row r="1653" spans="2:33">
      <c r="B1653" s="14">
        <f>10000000+INDEX(编号表!$B:$B,MATCH(H1653,编号表!$A:$A,0))*100000+INDEX(编号表!$F:$F,MATCH(D1653,编号表!$E:$E,0))*10000+INDEX(编号表!$D:$D,MATCH(AG1653,编号表!$C:$C,0))*1000+F1653</f>
        <v>11923014</v>
      </c>
      <c r="C1653" s="14" t="s">
        <v>2365</v>
      </c>
      <c r="D1653" s="14" t="s">
        <v>112</v>
      </c>
      <c r="E1653" s="14" t="s">
        <v>89</v>
      </c>
      <c r="F1653" s="14">
        <v>14</v>
      </c>
      <c r="G1653" s="14">
        <v>60</v>
      </c>
      <c r="H1653" s="14" t="s">
        <v>1400</v>
      </c>
      <c r="I1653" s="14" t="s">
        <v>75</v>
      </c>
      <c r="J1653" s="14" t="s">
        <v>201</v>
      </c>
      <c r="K1653" s="14">
        <v>1</v>
      </c>
      <c r="L1653" s="14" t="s">
        <v>1400</v>
      </c>
      <c r="N1653" s="14">
        <v>0</v>
      </c>
      <c r="O1653" s="14" t="b">
        <v>1</v>
      </c>
      <c r="Q1653" s="14" t="b">
        <v>0</v>
      </c>
      <c r="R1653" s="14">
        <v>1</v>
      </c>
      <c r="S1653" s="14" t="s">
        <v>77</v>
      </c>
      <c r="T1653" s="14">
        <v>999</v>
      </c>
      <c r="U1653" s="14" t="s">
        <v>1401</v>
      </c>
      <c r="V1653" s="14">
        <v>31923014</v>
      </c>
      <c r="X1653" s="14" t="s">
        <v>2368</v>
      </c>
      <c r="Y1653" s="14" t="s">
        <v>215</v>
      </c>
      <c r="Z1653" s="14">
        <v>20416</v>
      </c>
      <c r="AA1653" s="14" t="s">
        <v>2369</v>
      </c>
      <c r="AB1653" s="14">
        <v>40001</v>
      </c>
      <c r="AE1653" s="14" t="s">
        <v>1400</v>
      </c>
      <c r="AF1653" s="14" t="s">
        <v>1400</v>
      </c>
      <c r="AG1653" s="14" t="s">
        <v>89</v>
      </c>
    </row>
    <row r="1654" spans="2:33">
      <c r="B1654" s="14">
        <f>10000000+INDEX(编号表!$B:$B,MATCH(H1654,编号表!$A:$A,0))*100000+INDEX(编号表!$F:$F,MATCH(D1654,编号表!$E:$E,0))*10000+INDEX(编号表!$D:$D,MATCH(AG1654,编号表!$C:$C,0))*1000+F1654</f>
        <v>11933015</v>
      </c>
      <c r="C1654" s="14" t="s">
        <v>2365</v>
      </c>
      <c r="D1654" s="14" t="s">
        <v>276</v>
      </c>
      <c r="E1654" s="14" t="s">
        <v>89</v>
      </c>
      <c r="F1654" s="14">
        <v>15</v>
      </c>
      <c r="G1654" s="14">
        <v>60</v>
      </c>
      <c r="H1654" s="14" t="s">
        <v>1400</v>
      </c>
      <c r="I1654" s="14" t="s">
        <v>75</v>
      </c>
      <c r="J1654" s="14" t="s">
        <v>201</v>
      </c>
      <c r="K1654" s="14">
        <v>1</v>
      </c>
      <c r="L1654" s="14" t="s">
        <v>1400</v>
      </c>
      <c r="N1654" s="14">
        <v>0</v>
      </c>
      <c r="O1654" s="14" t="b">
        <v>1</v>
      </c>
      <c r="Q1654" s="14" t="b">
        <v>0</v>
      </c>
      <c r="R1654" s="14">
        <v>1</v>
      </c>
      <c r="S1654" s="14" t="s">
        <v>77</v>
      </c>
      <c r="T1654" s="14">
        <v>999</v>
      </c>
      <c r="U1654" s="14" t="s">
        <v>1401</v>
      </c>
      <c r="V1654" s="14">
        <v>31933015</v>
      </c>
      <c r="X1654" s="14" t="s">
        <v>2370</v>
      </c>
      <c r="Y1654" s="14" t="s">
        <v>215</v>
      </c>
      <c r="Z1654" s="14">
        <v>20417</v>
      </c>
      <c r="AA1654" s="14" t="s">
        <v>2371</v>
      </c>
      <c r="AB1654" s="14">
        <v>40001</v>
      </c>
      <c r="AE1654" s="14" t="s">
        <v>1400</v>
      </c>
      <c r="AF1654" s="14" t="s">
        <v>1400</v>
      </c>
      <c r="AG1654" s="14" t="s">
        <v>89</v>
      </c>
    </row>
    <row r="1655" spans="2:33">
      <c r="B1655" s="14">
        <f>10000000+INDEX(编号表!$B:$B,MATCH(H1655,编号表!$A:$A,0))*100000+INDEX(编号表!$F:$F,MATCH(D1655,编号表!$E:$E,0))*10000+INDEX(编号表!$D:$D,MATCH(AG1655,编号表!$C:$C,0))*1000+F1655</f>
        <v>11913014</v>
      </c>
      <c r="C1655" s="14" t="s">
        <v>2372</v>
      </c>
      <c r="D1655" s="14" t="s">
        <v>72</v>
      </c>
      <c r="E1655" s="14" t="s">
        <v>89</v>
      </c>
      <c r="F1655" s="14">
        <v>14</v>
      </c>
      <c r="G1655" s="14">
        <v>60</v>
      </c>
      <c r="H1655" s="14" t="s">
        <v>1400</v>
      </c>
      <c r="I1655" s="14" t="s">
        <v>75</v>
      </c>
      <c r="J1655" s="14" t="s">
        <v>201</v>
      </c>
      <c r="K1655" s="14">
        <v>1</v>
      </c>
      <c r="L1655" s="14" t="s">
        <v>1400</v>
      </c>
      <c r="N1655" s="14">
        <v>0</v>
      </c>
      <c r="O1655" s="14" t="b">
        <v>1</v>
      </c>
      <c r="Q1655" s="14" t="b">
        <v>0</v>
      </c>
      <c r="R1655" s="14">
        <v>1</v>
      </c>
      <c r="S1655" s="14" t="s">
        <v>77</v>
      </c>
      <c r="T1655" s="14">
        <v>999</v>
      </c>
      <c r="U1655" s="14" t="s">
        <v>1401</v>
      </c>
      <c r="V1655" s="14">
        <v>31913014</v>
      </c>
      <c r="X1655" s="14" t="s">
        <v>2373</v>
      </c>
      <c r="Y1655" s="14" t="s">
        <v>215</v>
      </c>
      <c r="Z1655" s="14">
        <v>20418</v>
      </c>
      <c r="AA1655" s="14" t="s">
        <v>2374</v>
      </c>
      <c r="AB1655" s="14">
        <v>40001</v>
      </c>
      <c r="AE1655" s="14" t="s">
        <v>1400</v>
      </c>
      <c r="AF1655" s="14" t="s">
        <v>1400</v>
      </c>
      <c r="AG1655" s="14" t="s">
        <v>89</v>
      </c>
    </row>
    <row r="1656" spans="2:33">
      <c r="B1656" s="14">
        <f>10000000+INDEX(编号表!$B:$B,MATCH(H1656,编号表!$A:$A,0))*100000+INDEX(编号表!$F:$F,MATCH(D1656,编号表!$E:$E,0))*10000+INDEX(编号表!$D:$D,MATCH(AG1656,编号表!$C:$C,0))*1000+F1656</f>
        <v>11923015</v>
      </c>
      <c r="C1656" s="14" t="s">
        <v>2372</v>
      </c>
      <c r="D1656" s="14" t="s">
        <v>112</v>
      </c>
      <c r="E1656" s="14" t="s">
        <v>89</v>
      </c>
      <c r="F1656" s="14">
        <v>15</v>
      </c>
      <c r="G1656" s="14">
        <v>60</v>
      </c>
      <c r="H1656" s="14" t="s">
        <v>1400</v>
      </c>
      <c r="I1656" s="14" t="s">
        <v>75</v>
      </c>
      <c r="J1656" s="14" t="s">
        <v>201</v>
      </c>
      <c r="K1656" s="14">
        <v>1</v>
      </c>
      <c r="L1656" s="14" t="s">
        <v>1400</v>
      </c>
      <c r="N1656" s="14">
        <v>0</v>
      </c>
      <c r="O1656" s="14" t="b">
        <v>1</v>
      </c>
      <c r="Q1656" s="14" t="b">
        <v>0</v>
      </c>
      <c r="R1656" s="14">
        <v>1</v>
      </c>
      <c r="S1656" s="14" t="s">
        <v>77</v>
      </c>
      <c r="T1656" s="14">
        <v>999</v>
      </c>
      <c r="U1656" s="14" t="s">
        <v>1401</v>
      </c>
      <c r="V1656" s="14">
        <v>31923015</v>
      </c>
      <c r="X1656" s="14" t="s">
        <v>2375</v>
      </c>
      <c r="Y1656" s="14" t="s">
        <v>215</v>
      </c>
      <c r="Z1656" s="14">
        <v>20419</v>
      </c>
      <c r="AA1656" s="14" t="s">
        <v>2376</v>
      </c>
      <c r="AB1656" s="14">
        <v>40001</v>
      </c>
      <c r="AE1656" s="14" t="s">
        <v>1400</v>
      </c>
      <c r="AF1656" s="14" t="s">
        <v>1400</v>
      </c>
      <c r="AG1656" s="14" t="s">
        <v>89</v>
      </c>
    </row>
    <row r="1657" spans="2:33">
      <c r="B1657" s="14">
        <f>10000000+INDEX(编号表!$B:$B,MATCH(H1657,编号表!$A:$A,0))*100000+INDEX(编号表!$F:$F,MATCH(D1657,编号表!$E:$E,0))*10000+INDEX(编号表!$D:$D,MATCH(AG1657,编号表!$C:$C,0))*1000+F1657</f>
        <v>11933016</v>
      </c>
      <c r="C1657" s="14" t="s">
        <v>2372</v>
      </c>
      <c r="D1657" s="14" t="s">
        <v>276</v>
      </c>
      <c r="E1657" s="14" t="s">
        <v>89</v>
      </c>
      <c r="F1657" s="14">
        <v>16</v>
      </c>
      <c r="G1657" s="14">
        <v>60</v>
      </c>
      <c r="H1657" s="14" t="s">
        <v>1400</v>
      </c>
      <c r="I1657" s="14" t="s">
        <v>75</v>
      </c>
      <c r="J1657" s="14" t="s">
        <v>201</v>
      </c>
      <c r="K1657" s="14">
        <v>1</v>
      </c>
      <c r="L1657" s="14" t="s">
        <v>1400</v>
      </c>
      <c r="N1657" s="14">
        <v>0</v>
      </c>
      <c r="O1657" s="14" t="b">
        <v>1</v>
      </c>
      <c r="Q1657" s="14" t="b">
        <v>0</v>
      </c>
      <c r="R1657" s="14">
        <v>1</v>
      </c>
      <c r="S1657" s="14" t="s">
        <v>77</v>
      </c>
      <c r="T1657" s="14">
        <v>999</v>
      </c>
      <c r="U1657" s="14" t="s">
        <v>1401</v>
      </c>
      <c r="V1657" s="14">
        <v>31933016</v>
      </c>
      <c r="X1657" s="14" t="s">
        <v>2377</v>
      </c>
      <c r="Y1657" s="14" t="s">
        <v>215</v>
      </c>
      <c r="Z1657" s="14">
        <v>20420</v>
      </c>
      <c r="AA1657" s="14" t="s">
        <v>2378</v>
      </c>
      <c r="AB1657" s="14">
        <v>40001</v>
      </c>
      <c r="AE1657" s="14" t="s">
        <v>1400</v>
      </c>
      <c r="AF1657" s="14" t="s">
        <v>1400</v>
      </c>
      <c r="AG1657" s="14" t="s">
        <v>89</v>
      </c>
    </row>
    <row r="1658" spans="2:33">
      <c r="B1658" s="14">
        <f>10000000+INDEX(编号表!$B:$B,MATCH(H1658,编号表!$A:$A,0))*100000+INDEX(编号表!$F:$F,MATCH(D1658,编号表!$E:$E,0))*10000+INDEX(编号表!$D:$D,MATCH(AG1658,编号表!$C:$C,0))*1000+F1658</f>
        <v>11913015</v>
      </c>
      <c r="C1658" s="14" t="s">
        <v>2379</v>
      </c>
      <c r="D1658" s="14" t="s">
        <v>72</v>
      </c>
      <c r="E1658" s="14" t="s">
        <v>89</v>
      </c>
      <c r="F1658" s="14">
        <v>15</v>
      </c>
      <c r="G1658" s="14">
        <v>60</v>
      </c>
      <c r="H1658" s="14" t="s">
        <v>1400</v>
      </c>
      <c r="I1658" s="14" t="s">
        <v>75</v>
      </c>
      <c r="J1658" s="14" t="s">
        <v>201</v>
      </c>
      <c r="K1658" s="14">
        <v>1</v>
      </c>
      <c r="L1658" s="14" t="s">
        <v>1400</v>
      </c>
      <c r="N1658" s="14">
        <v>0</v>
      </c>
      <c r="O1658" s="14" t="b">
        <v>1</v>
      </c>
      <c r="Q1658" s="14" t="b">
        <v>0</v>
      </c>
      <c r="R1658" s="14">
        <v>1</v>
      </c>
      <c r="S1658" s="14" t="s">
        <v>77</v>
      </c>
      <c r="T1658" s="14">
        <v>999</v>
      </c>
      <c r="U1658" s="14" t="s">
        <v>1401</v>
      </c>
      <c r="V1658" s="14">
        <v>31913015</v>
      </c>
      <c r="X1658" s="14" t="s">
        <v>2380</v>
      </c>
      <c r="Y1658" s="14" t="s">
        <v>215</v>
      </c>
      <c r="Z1658" s="14">
        <v>20421</v>
      </c>
      <c r="AA1658" s="14" t="s">
        <v>2381</v>
      </c>
      <c r="AB1658" s="14">
        <v>40001</v>
      </c>
      <c r="AE1658" s="14" t="s">
        <v>1400</v>
      </c>
      <c r="AF1658" s="14" t="s">
        <v>1400</v>
      </c>
      <c r="AG1658" s="14" t="s">
        <v>89</v>
      </c>
    </row>
    <row r="1659" spans="2:33">
      <c r="B1659" s="14">
        <f>10000000+INDEX(编号表!$B:$B,MATCH(H1659,编号表!$A:$A,0))*100000+INDEX(编号表!$F:$F,MATCH(D1659,编号表!$E:$E,0))*10000+INDEX(编号表!$D:$D,MATCH(AG1659,编号表!$C:$C,0))*1000+F1659</f>
        <v>11923016</v>
      </c>
      <c r="C1659" s="14" t="s">
        <v>2379</v>
      </c>
      <c r="D1659" s="14" t="s">
        <v>112</v>
      </c>
      <c r="E1659" s="14" t="s">
        <v>89</v>
      </c>
      <c r="F1659" s="14">
        <v>16</v>
      </c>
      <c r="G1659" s="14">
        <v>60</v>
      </c>
      <c r="H1659" s="14" t="s">
        <v>1400</v>
      </c>
      <c r="I1659" s="14" t="s">
        <v>75</v>
      </c>
      <c r="J1659" s="14" t="s">
        <v>201</v>
      </c>
      <c r="K1659" s="14">
        <v>1</v>
      </c>
      <c r="L1659" s="14" t="s">
        <v>1400</v>
      </c>
      <c r="N1659" s="14">
        <v>0</v>
      </c>
      <c r="O1659" s="14" t="b">
        <v>1</v>
      </c>
      <c r="Q1659" s="14" t="b">
        <v>0</v>
      </c>
      <c r="R1659" s="14">
        <v>1</v>
      </c>
      <c r="S1659" s="14" t="s">
        <v>77</v>
      </c>
      <c r="T1659" s="14">
        <v>999</v>
      </c>
      <c r="U1659" s="14" t="s">
        <v>1401</v>
      </c>
      <c r="V1659" s="14">
        <v>31923016</v>
      </c>
      <c r="X1659" s="14" t="s">
        <v>2382</v>
      </c>
      <c r="Y1659" s="14" t="s">
        <v>215</v>
      </c>
      <c r="Z1659" s="14">
        <v>20422</v>
      </c>
      <c r="AA1659" s="14" t="s">
        <v>2383</v>
      </c>
      <c r="AB1659" s="14">
        <v>40001</v>
      </c>
      <c r="AE1659" s="14" t="s">
        <v>1400</v>
      </c>
      <c r="AF1659" s="14" t="s">
        <v>1400</v>
      </c>
      <c r="AG1659" s="14" t="s">
        <v>89</v>
      </c>
    </row>
    <row r="1660" spans="2:33">
      <c r="B1660" s="14">
        <f>10000000+INDEX(编号表!$B:$B,MATCH(H1660,编号表!$A:$A,0))*100000+INDEX(编号表!$F:$F,MATCH(D1660,编号表!$E:$E,0))*10000+INDEX(编号表!$D:$D,MATCH(AG1660,编号表!$C:$C,0))*1000+F1660</f>
        <v>11933017</v>
      </c>
      <c r="C1660" s="14" t="s">
        <v>2379</v>
      </c>
      <c r="D1660" s="14" t="s">
        <v>276</v>
      </c>
      <c r="E1660" s="14" t="s">
        <v>89</v>
      </c>
      <c r="F1660" s="14">
        <v>17</v>
      </c>
      <c r="G1660" s="14">
        <v>60</v>
      </c>
      <c r="H1660" s="14" t="s">
        <v>1400</v>
      </c>
      <c r="I1660" s="14" t="s">
        <v>75</v>
      </c>
      <c r="J1660" s="14" t="s">
        <v>201</v>
      </c>
      <c r="K1660" s="14">
        <v>1</v>
      </c>
      <c r="L1660" s="14" t="s">
        <v>1400</v>
      </c>
      <c r="N1660" s="14">
        <v>0</v>
      </c>
      <c r="O1660" s="14" t="b">
        <v>1</v>
      </c>
      <c r="Q1660" s="14" t="b">
        <v>0</v>
      </c>
      <c r="R1660" s="14">
        <v>1</v>
      </c>
      <c r="S1660" s="14" t="s">
        <v>77</v>
      </c>
      <c r="T1660" s="14">
        <v>999</v>
      </c>
      <c r="U1660" s="14" t="s">
        <v>1401</v>
      </c>
      <c r="V1660" s="14">
        <v>31933017</v>
      </c>
      <c r="X1660" s="14" t="s">
        <v>2384</v>
      </c>
      <c r="Y1660" s="14" t="s">
        <v>215</v>
      </c>
      <c r="Z1660" s="14">
        <v>20423</v>
      </c>
      <c r="AA1660" s="14" t="s">
        <v>2385</v>
      </c>
      <c r="AB1660" s="14">
        <v>40001</v>
      </c>
      <c r="AE1660" s="14" t="s">
        <v>1400</v>
      </c>
      <c r="AF1660" s="14" t="s">
        <v>1400</v>
      </c>
      <c r="AG1660" s="14" t="s">
        <v>89</v>
      </c>
    </row>
    <row r="1661" spans="2:33">
      <c r="B1661" s="14">
        <f>10000000+INDEX(编号表!$B:$B,MATCH(H1661,编号表!$A:$A,0))*100000+INDEX(编号表!$F:$F,MATCH(D1661,编号表!$E:$E,0))*10000+INDEX(编号表!$D:$D,MATCH(AG1661,编号表!$C:$C,0))*1000+F1661</f>
        <v>11913016</v>
      </c>
      <c r="C1661" s="14" t="s">
        <v>2386</v>
      </c>
      <c r="D1661" s="14" t="s">
        <v>72</v>
      </c>
      <c r="E1661" s="14" t="s">
        <v>89</v>
      </c>
      <c r="F1661" s="14">
        <v>16</v>
      </c>
      <c r="G1661" s="14">
        <v>60</v>
      </c>
      <c r="H1661" s="14" t="s">
        <v>1400</v>
      </c>
      <c r="I1661" s="14" t="s">
        <v>75</v>
      </c>
      <c r="J1661" s="14" t="s">
        <v>201</v>
      </c>
      <c r="K1661" s="14">
        <v>1</v>
      </c>
      <c r="L1661" s="14" t="s">
        <v>1400</v>
      </c>
      <c r="N1661" s="14">
        <v>0</v>
      </c>
      <c r="O1661" s="14" t="b">
        <v>1</v>
      </c>
      <c r="Q1661" s="14" t="b">
        <v>0</v>
      </c>
      <c r="R1661" s="14">
        <v>1</v>
      </c>
      <c r="S1661" s="14" t="s">
        <v>77</v>
      </c>
      <c r="T1661" s="14">
        <v>999</v>
      </c>
      <c r="U1661" s="14" t="s">
        <v>1401</v>
      </c>
      <c r="V1661" s="14">
        <v>31913016</v>
      </c>
      <c r="X1661" s="14" t="s">
        <v>2387</v>
      </c>
      <c r="Y1661" s="14" t="s">
        <v>215</v>
      </c>
      <c r="Z1661" s="14">
        <v>20424</v>
      </c>
      <c r="AA1661" s="14" t="s">
        <v>2388</v>
      </c>
      <c r="AB1661" s="14">
        <v>40001</v>
      </c>
      <c r="AE1661" s="14" t="s">
        <v>1400</v>
      </c>
      <c r="AF1661" s="14" t="s">
        <v>1400</v>
      </c>
      <c r="AG1661" s="14" t="s">
        <v>89</v>
      </c>
    </row>
    <row r="1662" spans="2:33">
      <c r="B1662" s="14">
        <f>10000000+INDEX(编号表!$B:$B,MATCH(H1662,编号表!$A:$A,0))*100000+INDEX(编号表!$F:$F,MATCH(D1662,编号表!$E:$E,0))*10000+INDEX(编号表!$D:$D,MATCH(AG1662,编号表!$C:$C,0))*1000+F1662</f>
        <v>11923017</v>
      </c>
      <c r="C1662" s="14" t="s">
        <v>2386</v>
      </c>
      <c r="D1662" s="14" t="s">
        <v>112</v>
      </c>
      <c r="E1662" s="14" t="s">
        <v>89</v>
      </c>
      <c r="F1662" s="14">
        <v>17</v>
      </c>
      <c r="G1662" s="14">
        <v>60</v>
      </c>
      <c r="H1662" s="14" t="s">
        <v>1400</v>
      </c>
      <c r="I1662" s="14" t="s">
        <v>75</v>
      </c>
      <c r="J1662" s="14" t="s">
        <v>201</v>
      </c>
      <c r="K1662" s="14">
        <v>1</v>
      </c>
      <c r="L1662" s="14" t="s">
        <v>1400</v>
      </c>
      <c r="N1662" s="14">
        <v>0</v>
      </c>
      <c r="O1662" s="14" t="b">
        <v>1</v>
      </c>
      <c r="Q1662" s="14" t="b">
        <v>0</v>
      </c>
      <c r="R1662" s="14">
        <v>1</v>
      </c>
      <c r="S1662" s="14" t="s">
        <v>77</v>
      </c>
      <c r="T1662" s="14">
        <v>999</v>
      </c>
      <c r="U1662" s="14" t="s">
        <v>1401</v>
      </c>
      <c r="V1662" s="14">
        <v>31923017</v>
      </c>
      <c r="X1662" s="14" t="s">
        <v>2389</v>
      </c>
      <c r="Y1662" s="14" t="s">
        <v>215</v>
      </c>
      <c r="Z1662" s="14">
        <v>20425</v>
      </c>
      <c r="AA1662" s="14" t="s">
        <v>2390</v>
      </c>
      <c r="AB1662" s="14">
        <v>40001</v>
      </c>
      <c r="AE1662" s="14" t="s">
        <v>1400</v>
      </c>
      <c r="AF1662" s="14" t="s">
        <v>1400</v>
      </c>
      <c r="AG1662" s="14" t="s">
        <v>89</v>
      </c>
    </row>
    <row r="1663" spans="2:33">
      <c r="B1663" s="14">
        <f>10000000+INDEX(编号表!$B:$B,MATCH(H1663,编号表!$A:$A,0))*100000+INDEX(编号表!$F:$F,MATCH(D1663,编号表!$E:$E,0))*10000+INDEX(编号表!$D:$D,MATCH(AG1663,编号表!$C:$C,0))*1000+F1663</f>
        <v>11933018</v>
      </c>
      <c r="C1663" s="14" t="s">
        <v>2386</v>
      </c>
      <c r="D1663" s="14" t="s">
        <v>276</v>
      </c>
      <c r="E1663" s="14" t="s">
        <v>89</v>
      </c>
      <c r="F1663" s="14">
        <v>18</v>
      </c>
      <c r="G1663" s="14">
        <v>60</v>
      </c>
      <c r="H1663" s="14" t="s">
        <v>1400</v>
      </c>
      <c r="I1663" s="14" t="s">
        <v>75</v>
      </c>
      <c r="J1663" s="14" t="s">
        <v>201</v>
      </c>
      <c r="K1663" s="14">
        <v>1</v>
      </c>
      <c r="L1663" s="14" t="s">
        <v>1400</v>
      </c>
      <c r="N1663" s="14">
        <v>0</v>
      </c>
      <c r="O1663" s="14" t="b">
        <v>1</v>
      </c>
      <c r="Q1663" s="14" t="b">
        <v>0</v>
      </c>
      <c r="R1663" s="14">
        <v>1</v>
      </c>
      <c r="S1663" s="14" t="s">
        <v>77</v>
      </c>
      <c r="T1663" s="14">
        <v>999</v>
      </c>
      <c r="U1663" s="14" t="s">
        <v>1401</v>
      </c>
      <c r="V1663" s="14">
        <v>31933018</v>
      </c>
      <c r="X1663" s="14" t="s">
        <v>2391</v>
      </c>
      <c r="Y1663" s="14" t="s">
        <v>215</v>
      </c>
      <c r="Z1663" s="14">
        <v>20426</v>
      </c>
      <c r="AA1663" s="14" t="s">
        <v>2392</v>
      </c>
      <c r="AB1663" s="14">
        <v>40001</v>
      </c>
      <c r="AE1663" s="14" t="s">
        <v>1400</v>
      </c>
      <c r="AF1663" s="14" t="s">
        <v>1400</v>
      </c>
      <c r="AG1663" s="14" t="s">
        <v>89</v>
      </c>
    </row>
    <row r="1664" spans="2:33">
      <c r="B1664" s="14">
        <f>10000000+INDEX(编号表!$B:$B,MATCH(H1664,编号表!$A:$A,0))*100000+INDEX(编号表!$F:$F,MATCH(D1664,编号表!$E:$E,0))*10000+INDEX(编号表!$D:$D,MATCH(AG1664,编号表!$C:$C,0))*1000+F1664</f>
        <v>11913017</v>
      </c>
      <c r="C1664" s="14" t="s">
        <v>2393</v>
      </c>
      <c r="D1664" s="14" t="s">
        <v>72</v>
      </c>
      <c r="E1664" s="14" t="s">
        <v>89</v>
      </c>
      <c r="F1664" s="14">
        <v>17</v>
      </c>
      <c r="G1664" s="14">
        <v>60</v>
      </c>
      <c r="H1664" s="14" t="s">
        <v>1400</v>
      </c>
      <c r="I1664" s="14" t="s">
        <v>75</v>
      </c>
      <c r="J1664" s="14" t="s">
        <v>201</v>
      </c>
      <c r="K1664" s="14">
        <v>1</v>
      </c>
      <c r="L1664" s="14" t="s">
        <v>1400</v>
      </c>
      <c r="N1664" s="14">
        <v>0</v>
      </c>
      <c r="O1664" s="14" t="b">
        <v>1</v>
      </c>
      <c r="Q1664" s="14" t="b">
        <v>0</v>
      </c>
      <c r="R1664" s="14">
        <v>1</v>
      </c>
      <c r="S1664" s="14" t="s">
        <v>77</v>
      </c>
      <c r="T1664" s="14">
        <v>999</v>
      </c>
      <c r="U1664" s="14" t="s">
        <v>1401</v>
      </c>
      <c r="V1664" s="14">
        <v>31913017</v>
      </c>
      <c r="X1664" s="14" t="s">
        <v>2394</v>
      </c>
      <c r="Y1664" s="14" t="s">
        <v>215</v>
      </c>
      <c r="Z1664" s="14">
        <v>20427</v>
      </c>
      <c r="AA1664" s="14" t="s">
        <v>2395</v>
      </c>
      <c r="AB1664" s="14">
        <v>40001</v>
      </c>
      <c r="AE1664" s="14" t="s">
        <v>1400</v>
      </c>
      <c r="AF1664" s="14" t="s">
        <v>1400</v>
      </c>
      <c r="AG1664" s="14" t="s">
        <v>89</v>
      </c>
    </row>
    <row r="1665" spans="2:33">
      <c r="B1665" s="14">
        <f>10000000+INDEX(编号表!$B:$B,MATCH(H1665,编号表!$A:$A,0))*100000+INDEX(编号表!$F:$F,MATCH(D1665,编号表!$E:$E,0))*10000+INDEX(编号表!$D:$D,MATCH(AG1665,编号表!$C:$C,0))*1000+F1665</f>
        <v>11923018</v>
      </c>
      <c r="C1665" s="14" t="s">
        <v>2393</v>
      </c>
      <c r="D1665" s="14" t="s">
        <v>112</v>
      </c>
      <c r="E1665" s="14" t="s">
        <v>89</v>
      </c>
      <c r="F1665" s="14">
        <v>18</v>
      </c>
      <c r="G1665" s="14">
        <v>60</v>
      </c>
      <c r="H1665" s="14" t="s">
        <v>1400</v>
      </c>
      <c r="I1665" s="14" t="s">
        <v>75</v>
      </c>
      <c r="J1665" s="14" t="s">
        <v>201</v>
      </c>
      <c r="K1665" s="14">
        <v>1</v>
      </c>
      <c r="L1665" s="14" t="s">
        <v>1400</v>
      </c>
      <c r="N1665" s="14">
        <v>0</v>
      </c>
      <c r="O1665" s="14" t="b">
        <v>1</v>
      </c>
      <c r="Q1665" s="14" t="b">
        <v>0</v>
      </c>
      <c r="R1665" s="14">
        <v>1</v>
      </c>
      <c r="S1665" s="14" t="s">
        <v>77</v>
      </c>
      <c r="T1665" s="14">
        <v>999</v>
      </c>
      <c r="U1665" s="14" t="s">
        <v>1401</v>
      </c>
      <c r="V1665" s="14">
        <v>31923018</v>
      </c>
      <c r="X1665" s="14" t="s">
        <v>2396</v>
      </c>
      <c r="Y1665" s="14" t="s">
        <v>215</v>
      </c>
      <c r="Z1665" s="14">
        <v>20428</v>
      </c>
      <c r="AA1665" s="14" t="s">
        <v>2397</v>
      </c>
      <c r="AB1665" s="14">
        <v>40001</v>
      </c>
      <c r="AE1665" s="14" t="s">
        <v>1400</v>
      </c>
      <c r="AF1665" s="14" t="s">
        <v>1400</v>
      </c>
      <c r="AG1665" s="14" t="s">
        <v>89</v>
      </c>
    </row>
    <row r="1666" spans="2:33">
      <c r="B1666" s="14">
        <f>10000000+INDEX(编号表!$B:$B,MATCH(H1666,编号表!$A:$A,0))*100000+INDEX(编号表!$F:$F,MATCH(D1666,编号表!$E:$E,0))*10000+INDEX(编号表!$D:$D,MATCH(AG1666,编号表!$C:$C,0))*1000+F1666</f>
        <v>11933019</v>
      </c>
      <c r="C1666" s="14" t="s">
        <v>2393</v>
      </c>
      <c r="D1666" s="14" t="s">
        <v>276</v>
      </c>
      <c r="E1666" s="14" t="s">
        <v>89</v>
      </c>
      <c r="F1666" s="14">
        <v>19</v>
      </c>
      <c r="G1666" s="14">
        <v>60</v>
      </c>
      <c r="H1666" s="14" t="s">
        <v>1400</v>
      </c>
      <c r="I1666" s="14" t="s">
        <v>75</v>
      </c>
      <c r="J1666" s="14" t="s">
        <v>201</v>
      </c>
      <c r="K1666" s="14">
        <v>1</v>
      </c>
      <c r="L1666" s="14" t="s">
        <v>1400</v>
      </c>
      <c r="N1666" s="14">
        <v>0</v>
      </c>
      <c r="O1666" s="14" t="b">
        <v>1</v>
      </c>
      <c r="Q1666" s="14" t="b">
        <v>0</v>
      </c>
      <c r="R1666" s="14">
        <v>1</v>
      </c>
      <c r="S1666" s="14" t="s">
        <v>77</v>
      </c>
      <c r="T1666" s="14">
        <v>999</v>
      </c>
      <c r="U1666" s="14" t="s">
        <v>1401</v>
      </c>
      <c r="V1666" s="14">
        <v>31933019</v>
      </c>
      <c r="X1666" s="14" t="s">
        <v>2398</v>
      </c>
      <c r="Y1666" s="14" t="s">
        <v>215</v>
      </c>
      <c r="Z1666" s="14">
        <v>20429</v>
      </c>
      <c r="AA1666" s="14" t="s">
        <v>2399</v>
      </c>
      <c r="AB1666" s="14">
        <v>40001</v>
      </c>
      <c r="AE1666" s="14" t="s">
        <v>1400</v>
      </c>
      <c r="AF1666" s="14" t="s">
        <v>1400</v>
      </c>
      <c r="AG1666" s="14" t="s">
        <v>89</v>
      </c>
    </row>
    <row r="1667" spans="2:33">
      <c r="B1667" s="14">
        <f>10000000+INDEX(编号表!$B:$B,MATCH(H1667,编号表!$A:$A,0))*100000+INDEX(编号表!$F:$F,MATCH(D1667,编号表!$E:$E,0))*10000+INDEX(编号表!$D:$D,MATCH(AG1667,编号表!$C:$C,0))*1000+F1667</f>
        <v>11913018</v>
      </c>
      <c r="C1667" s="14" t="s">
        <v>2400</v>
      </c>
      <c r="D1667" s="14" t="s">
        <v>72</v>
      </c>
      <c r="E1667" s="14" t="s">
        <v>89</v>
      </c>
      <c r="F1667" s="14">
        <v>18</v>
      </c>
      <c r="G1667" s="14">
        <v>60</v>
      </c>
      <c r="H1667" s="14" t="s">
        <v>1400</v>
      </c>
      <c r="I1667" s="14" t="s">
        <v>75</v>
      </c>
      <c r="J1667" s="14" t="s">
        <v>201</v>
      </c>
      <c r="K1667" s="14">
        <v>1</v>
      </c>
      <c r="L1667" s="14" t="s">
        <v>1400</v>
      </c>
      <c r="N1667" s="14">
        <v>0</v>
      </c>
      <c r="O1667" s="14" t="b">
        <v>1</v>
      </c>
      <c r="Q1667" s="14" t="b">
        <v>0</v>
      </c>
      <c r="R1667" s="14">
        <v>1</v>
      </c>
      <c r="S1667" s="14" t="s">
        <v>77</v>
      </c>
      <c r="T1667" s="14">
        <v>999</v>
      </c>
      <c r="U1667" s="14" t="s">
        <v>1401</v>
      </c>
      <c r="V1667" s="14">
        <v>31913018</v>
      </c>
      <c r="X1667" s="14" t="s">
        <v>2401</v>
      </c>
      <c r="Y1667" s="14" t="s">
        <v>215</v>
      </c>
      <c r="Z1667" s="14">
        <v>20430</v>
      </c>
      <c r="AA1667" s="14" t="s">
        <v>2402</v>
      </c>
      <c r="AB1667" s="14">
        <v>40001</v>
      </c>
      <c r="AE1667" s="14" t="s">
        <v>1400</v>
      </c>
      <c r="AF1667" s="14" t="s">
        <v>1400</v>
      </c>
      <c r="AG1667" s="14" t="s">
        <v>89</v>
      </c>
    </row>
    <row r="1668" spans="2:33">
      <c r="B1668" s="14">
        <f>10000000+INDEX(编号表!$B:$B,MATCH(H1668,编号表!$A:$A,0))*100000+INDEX(编号表!$F:$F,MATCH(D1668,编号表!$E:$E,0))*10000+INDEX(编号表!$D:$D,MATCH(AG1668,编号表!$C:$C,0))*1000+F1668</f>
        <v>11923019</v>
      </c>
      <c r="C1668" s="14" t="s">
        <v>2400</v>
      </c>
      <c r="D1668" s="14" t="s">
        <v>112</v>
      </c>
      <c r="E1668" s="14" t="s">
        <v>89</v>
      </c>
      <c r="F1668" s="14">
        <v>19</v>
      </c>
      <c r="G1668" s="14">
        <v>60</v>
      </c>
      <c r="H1668" s="14" t="s">
        <v>1400</v>
      </c>
      <c r="I1668" s="14" t="s">
        <v>75</v>
      </c>
      <c r="J1668" s="14" t="s">
        <v>201</v>
      </c>
      <c r="K1668" s="14">
        <v>1</v>
      </c>
      <c r="L1668" s="14" t="s">
        <v>1400</v>
      </c>
      <c r="N1668" s="14">
        <v>0</v>
      </c>
      <c r="O1668" s="14" t="b">
        <v>1</v>
      </c>
      <c r="Q1668" s="14" t="b">
        <v>0</v>
      </c>
      <c r="R1668" s="14">
        <v>1</v>
      </c>
      <c r="S1668" s="14" t="s">
        <v>77</v>
      </c>
      <c r="T1668" s="14">
        <v>999</v>
      </c>
      <c r="U1668" s="14" t="s">
        <v>1401</v>
      </c>
      <c r="V1668" s="14">
        <v>31923019</v>
      </c>
      <c r="X1668" s="14" t="s">
        <v>2403</v>
      </c>
      <c r="Y1668" s="14" t="s">
        <v>215</v>
      </c>
      <c r="Z1668" s="14">
        <v>20431</v>
      </c>
      <c r="AA1668" s="14" t="s">
        <v>2404</v>
      </c>
      <c r="AB1668" s="14">
        <v>40001</v>
      </c>
      <c r="AE1668" s="14" t="s">
        <v>1400</v>
      </c>
      <c r="AF1668" s="14" t="s">
        <v>1400</v>
      </c>
      <c r="AG1668" s="14" t="s">
        <v>89</v>
      </c>
    </row>
    <row r="1669" spans="2:33">
      <c r="B1669" s="14">
        <f>10000000+INDEX(编号表!$B:$B,MATCH(H1669,编号表!$A:$A,0))*100000+INDEX(编号表!$F:$F,MATCH(D1669,编号表!$E:$E,0))*10000+INDEX(编号表!$D:$D,MATCH(AG1669,编号表!$C:$C,0))*1000+F1669</f>
        <v>11933020</v>
      </c>
      <c r="C1669" s="14" t="s">
        <v>2400</v>
      </c>
      <c r="D1669" s="14" t="s">
        <v>276</v>
      </c>
      <c r="E1669" s="14" t="s">
        <v>89</v>
      </c>
      <c r="F1669" s="14">
        <v>20</v>
      </c>
      <c r="G1669" s="14">
        <v>60</v>
      </c>
      <c r="H1669" s="14" t="s">
        <v>1400</v>
      </c>
      <c r="I1669" s="14" t="s">
        <v>75</v>
      </c>
      <c r="J1669" s="14" t="s">
        <v>201</v>
      </c>
      <c r="K1669" s="14">
        <v>1</v>
      </c>
      <c r="L1669" s="14" t="s">
        <v>1400</v>
      </c>
      <c r="N1669" s="14">
        <v>0</v>
      </c>
      <c r="O1669" s="14" t="b">
        <v>1</v>
      </c>
      <c r="Q1669" s="14" t="b">
        <v>0</v>
      </c>
      <c r="R1669" s="14">
        <v>1</v>
      </c>
      <c r="S1669" s="14" t="s">
        <v>77</v>
      </c>
      <c r="T1669" s="14">
        <v>999</v>
      </c>
      <c r="U1669" s="14" t="s">
        <v>1401</v>
      </c>
      <c r="V1669" s="14">
        <v>31933020</v>
      </c>
      <c r="X1669" s="14" t="s">
        <v>2405</v>
      </c>
      <c r="Y1669" s="14" t="s">
        <v>215</v>
      </c>
      <c r="Z1669" s="14">
        <v>20432</v>
      </c>
      <c r="AA1669" s="14" t="s">
        <v>2406</v>
      </c>
      <c r="AB1669" s="14">
        <v>40001</v>
      </c>
      <c r="AE1669" s="14" t="s">
        <v>1400</v>
      </c>
      <c r="AF1669" s="14" t="s">
        <v>1400</v>
      </c>
      <c r="AG1669" s="14" t="s">
        <v>89</v>
      </c>
    </row>
    <row r="1670" spans="2:33">
      <c r="B1670" s="14">
        <f>10000000+INDEX(编号表!$B:$B,MATCH(H1670,编号表!$A:$A,0))*100000+INDEX(编号表!$F:$F,MATCH(D1670,编号表!$E:$E,0))*10000+INDEX(编号表!$D:$D,MATCH(AG1670,编号表!$C:$C,0))*1000+F1670</f>
        <v>11913019</v>
      </c>
      <c r="C1670" s="14" t="s">
        <v>2407</v>
      </c>
      <c r="D1670" s="14" t="s">
        <v>72</v>
      </c>
      <c r="E1670" s="14" t="s">
        <v>89</v>
      </c>
      <c r="F1670" s="14">
        <v>19</v>
      </c>
      <c r="G1670" s="14">
        <v>60</v>
      </c>
      <c r="H1670" s="14" t="s">
        <v>1400</v>
      </c>
      <c r="I1670" s="14" t="s">
        <v>75</v>
      </c>
      <c r="J1670" s="14" t="s">
        <v>201</v>
      </c>
      <c r="K1670" s="14">
        <v>1</v>
      </c>
      <c r="L1670" s="14" t="s">
        <v>1400</v>
      </c>
      <c r="N1670" s="14">
        <v>0</v>
      </c>
      <c r="O1670" s="14" t="b">
        <v>1</v>
      </c>
      <c r="Q1670" s="14" t="b">
        <v>0</v>
      </c>
      <c r="R1670" s="14">
        <v>1</v>
      </c>
      <c r="S1670" s="14" t="s">
        <v>77</v>
      </c>
      <c r="T1670" s="14">
        <v>999</v>
      </c>
      <c r="U1670" s="14" t="s">
        <v>1401</v>
      </c>
      <c r="V1670" s="14">
        <v>31913019</v>
      </c>
      <c r="X1670" s="14" t="s">
        <v>2408</v>
      </c>
      <c r="Y1670" s="14" t="s">
        <v>215</v>
      </c>
      <c r="Z1670" s="14">
        <v>20433</v>
      </c>
      <c r="AA1670" s="14" t="s">
        <v>2409</v>
      </c>
      <c r="AB1670" s="14">
        <v>40001</v>
      </c>
      <c r="AE1670" s="14" t="s">
        <v>1400</v>
      </c>
      <c r="AF1670" s="14" t="s">
        <v>1400</v>
      </c>
      <c r="AG1670" s="14" t="s">
        <v>89</v>
      </c>
    </row>
    <row r="1671" spans="2:33">
      <c r="B1671" s="14">
        <f>10000000+INDEX(编号表!$B:$B,MATCH(H1671,编号表!$A:$A,0))*100000+INDEX(编号表!$F:$F,MATCH(D1671,编号表!$E:$E,0))*10000+INDEX(编号表!$D:$D,MATCH(AG1671,编号表!$C:$C,0))*1000+F1671</f>
        <v>11923020</v>
      </c>
      <c r="C1671" s="14" t="s">
        <v>2407</v>
      </c>
      <c r="D1671" s="14" t="s">
        <v>112</v>
      </c>
      <c r="E1671" s="14" t="s">
        <v>89</v>
      </c>
      <c r="F1671" s="14">
        <v>20</v>
      </c>
      <c r="G1671" s="14">
        <v>60</v>
      </c>
      <c r="H1671" s="14" t="s">
        <v>1400</v>
      </c>
      <c r="I1671" s="14" t="s">
        <v>75</v>
      </c>
      <c r="J1671" s="14" t="s">
        <v>201</v>
      </c>
      <c r="K1671" s="14">
        <v>1</v>
      </c>
      <c r="L1671" s="14" t="s">
        <v>1400</v>
      </c>
      <c r="N1671" s="14">
        <v>0</v>
      </c>
      <c r="O1671" s="14" t="b">
        <v>1</v>
      </c>
      <c r="Q1671" s="14" t="b">
        <v>0</v>
      </c>
      <c r="R1671" s="14">
        <v>1</v>
      </c>
      <c r="S1671" s="14" t="s">
        <v>77</v>
      </c>
      <c r="T1671" s="14">
        <v>999</v>
      </c>
      <c r="U1671" s="14" t="s">
        <v>1401</v>
      </c>
      <c r="V1671" s="14">
        <v>31923020</v>
      </c>
      <c r="X1671" s="14" t="s">
        <v>2410</v>
      </c>
      <c r="Y1671" s="14" t="s">
        <v>215</v>
      </c>
      <c r="Z1671" s="14">
        <v>20434</v>
      </c>
      <c r="AA1671" s="14" t="s">
        <v>2411</v>
      </c>
      <c r="AB1671" s="14">
        <v>40001</v>
      </c>
      <c r="AE1671" s="14" t="s">
        <v>1400</v>
      </c>
      <c r="AF1671" s="14" t="s">
        <v>1400</v>
      </c>
      <c r="AG1671" s="14" t="s">
        <v>89</v>
      </c>
    </row>
    <row r="1672" spans="2:33">
      <c r="B1672" s="14">
        <f>10000000+INDEX(编号表!$B:$B,MATCH(H1672,编号表!$A:$A,0))*100000+INDEX(编号表!$F:$F,MATCH(D1672,编号表!$E:$E,0))*10000+INDEX(编号表!$D:$D,MATCH(AG1672,编号表!$C:$C,0))*1000+F1672</f>
        <v>11933021</v>
      </c>
      <c r="C1672" s="14" t="s">
        <v>2407</v>
      </c>
      <c r="D1672" s="14" t="s">
        <v>276</v>
      </c>
      <c r="E1672" s="14" t="s">
        <v>89</v>
      </c>
      <c r="F1672" s="14">
        <v>21</v>
      </c>
      <c r="G1672" s="14">
        <v>60</v>
      </c>
      <c r="H1672" s="14" t="s">
        <v>1400</v>
      </c>
      <c r="I1672" s="14" t="s">
        <v>75</v>
      </c>
      <c r="J1672" s="14" t="s">
        <v>201</v>
      </c>
      <c r="K1672" s="14">
        <v>1</v>
      </c>
      <c r="L1672" s="14" t="s">
        <v>1400</v>
      </c>
      <c r="N1672" s="14">
        <v>0</v>
      </c>
      <c r="O1672" s="14" t="b">
        <v>1</v>
      </c>
      <c r="Q1672" s="14" t="b">
        <v>0</v>
      </c>
      <c r="R1672" s="14">
        <v>1</v>
      </c>
      <c r="S1672" s="14" t="s">
        <v>77</v>
      </c>
      <c r="T1672" s="14">
        <v>999</v>
      </c>
      <c r="U1672" s="14" t="s">
        <v>1401</v>
      </c>
      <c r="V1672" s="14">
        <v>31933021</v>
      </c>
      <c r="X1672" s="14" t="s">
        <v>2412</v>
      </c>
      <c r="Y1672" s="14" t="s">
        <v>215</v>
      </c>
      <c r="Z1672" s="14">
        <v>20435</v>
      </c>
      <c r="AA1672" s="14" t="s">
        <v>2413</v>
      </c>
      <c r="AB1672" s="14">
        <v>40001</v>
      </c>
      <c r="AE1672" s="14" t="s">
        <v>1400</v>
      </c>
      <c r="AF1672" s="14" t="s">
        <v>1400</v>
      </c>
      <c r="AG1672" s="14" t="s">
        <v>89</v>
      </c>
    </row>
    <row r="1673" spans="2:33">
      <c r="B1673" s="14">
        <f>10000000+INDEX(编号表!$B:$B,MATCH(H1673,编号表!$A:$A,0))*100000+INDEX(编号表!$F:$F,MATCH(D1673,编号表!$E:$E,0))*10000+INDEX(编号表!$D:$D,MATCH(AG1673,编号表!$C:$C,0))*1000+F1673</f>
        <v>11913020</v>
      </c>
      <c r="C1673" s="14" t="s">
        <v>2414</v>
      </c>
      <c r="D1673" s="14" t="s">
        <v>72</v>
      </c>
      <c r="E1673" s="14" t="s">
        <v>89</v>
      </c>
      <c r="F1673" s="14">
        <v>20</v>
      </c>
      <c r="G1673" s="14">
        <v>60</v>
      </c>
      <c r="H1673" s="14" t="s">
        <v>1400</v>
      </c>
      <c r="I1673" s="14" t="s">
        <v>75</v>
      </c>
      <c r="J1673" s="14" t="s">
        <v>201</v>
      </c>
      <c r="K1673" s="14">
        <v>1</v>
      </c>
      <c r="L1673" s="14" t="s">
        <v>1400</v>
      </c>
      <c r="N1673" s="14">
        <v>0</v>
      </c>
      <c r="O1673" s="14" t="b">
        <v>1</v>
      </c>
      <c r="Q1673" s="14" t="b">
        <v>0</v>
      </c>
      <c r="R1673" s="14">
        <v>1</v>
      </c>
      <c r="S1673" s="14" t="s">
        <v>77</v>
      </c>
      <c r="T1673" s="14">
        <v>999</v>
      </c>
      <c r="U1673" s="14" t="s">
        <v>1401</v>
      </c>
      <c r="V1673" s="14">
        <v>31913020</v>
      </c>
      <c r="X1673" s="14" t="s">
        <v>2415</v>
      </c>
      <c r="Y1673" s="14" t="s">
        <v>215</v>
      </c>
      <c r="Z1673" s="14">
        <v>20436</v>
      </c>
      <c r="AA1673" s="14" t="s">
        <v>2416</v>
      </c>
      <c r="AB1673" s="14">
        <v>40001</v>
      </c>
      <c r="AE1673" s="14" t="s">
        <v>1400</v>
      </c>
      <c r="AF1673" s="14" t="s">
        <v>1400</v>
      </c>
      <c r="AG1673" s="14" t="s">
        <v>89</v>
      </c>
    </row>
    <row r="1674" spans="2:33">
      <c r="B1674" s="14">
        <f>10000000+INDEX(编号表!$B:$B,MATCH(H1674,编号表!$A:$A,0))*100000+INDEX(编号表!$F:$F,MATCH(D1674,编号表!$E:$E,0))*10000+INDEX(编号表!$D:$D,MATCH(AG1674,编号表!$C:$C,0))*1000+F1674</f>
        <v>11923021</v>
      </c>
      <c r="C1674" s="14" t="s">
        <v>2414</v>
      </c>
      <c r="D1674" s="14" t="s">
        <v>112</v>
      </c>
      <c r="E1674" s="14" t="s">
        <v>89</v>
      </c>
      <c r="F1674" s="14">
        <v>21</v>
      </c>
      <c r="G1674" s="14">
        <v>60</v>
      </c>
      <c r="H1674" s="14" t="s">
        <v>1400</v>
      </c>
      <c r="I1674" s="14" t="s">
        <v>75</v>
      </c>
      <c r="J1674" s="14" t="s">
        <v>201</v>
      </c>
      <c r="K1674" s="14">
        <v>1</v>
      </c>
      <c r="L1674" s="14" t="s">
        <v>1400</v>
      </c>
      <c r="N1674" s="14">
        <v>0</v>
      </c>
      <c r="O1674" s="14" t="b">
        <v>1</v>
      </c>
      <c r="Q1674" s="14" t="b">
        <v>0</v>
      </c>
      <c r="R1674" s="14">
        <v>1</v>
      </c>
      <c r="S1674" s="14" t="s">
        <v>77</v>
      </c>
      <c r="T1674" s="14">
        <v>999</v>
      </c>
      <c r="U1674" s="14" t="s">
        <v>1401</v>
      </c>
      <c r="V1674" s="14">
        <v>31923021</v>
      </c>
      <c r="X1674" s="14" t="s">
        <v>2417</v>
      </c>
      <c r="Y1674" s="14" t="s">
        <v>215</v>
      </c>
      <c r="Z1674" s="14">
        <v>20437</v>
      </c>
      <c r="AA1674" s="14" t="s">
        <v>2418</v>
      </c>
      <c r="AB1674" s="14">
        <v>40001</v>
      </c>
      <c r="AE1674" s="14" t="s">
        <v>1400</v>
      </c>
      <c r="AF1674" s="14" t="s">
        <v>1400</v>
      </c>
      <c r="AG1674" s="14" t="s">
        <v>89</v>
      </c>
    </row>
    <row r="1675" spans="2:33">
      <c r="B1675" s="14">
        <f>10000000+INDEX(编号表!$B:$B,MATCH(H1675,编号表!$A:$A,0))*100000+INDEX(编号表!$F:$F,MATCH(D1675,编号表!$E:$E,0))*10000+INDEX(编号表!$D:$D,MATCH(AG1675,编号表!$C:$C,0))*1000+F1675</f>
        <v>11933022</v>
      </c>
      <c r="C1675" s="14" t="s">
        <v>2414</v>
      </c>
      <c r="D1675" s="14" t="s">
        <v>276</v>
      </c>
      <c r="E1675" s="14" t="s">
        <v>89</v>
      </c>
      <c r="F1675" s="14">
        <v>22</v>
      </c>
      <c r="G1675" s="14">
        <v>60</v>
      </c>
      <c r="H1675" s="14" t="s">
        <v>1400</v>
      </c>
      <c r="I1675" s="14" t="s">
        <v>75</v>
      </c>
      <c r="J1675" s="14" t="s">
        <v>201</v>
      </c>
      <c r="K1675" s="14">
        <v>1</v>
      </c>
      <c r="L1675" s="14" t="s">
        <v>1400</v>
      </c>
      <c r="N1675" s="14">
        <v>0</v>
      </c>
      <c r="O1675" s="14" t="b">
        <v>1</v>
      </c>
      <c r="Q1675" s="14" t="b">
        <v>0</v>
      </c>
      <c r="R1675" s="14">
        <v>1</v>
      </c>
      <c r="S1675" s="14" t="s">
        <v>77</v>
      </c>
      <c r="T1675" s="14">
        <v>999</v>
      </c>
      <c r="U1675" s="14" t="s">
        <v>1401</v>
      </c>
      <c r="V1675" s="14">
        <v>31933022</v>
      </c>
      <c r="X1675" s="14" t="s">
        <v>2419</v>
      </c>
      <c r="Y1675" s="14" t="s">
        <v>215</v>
      </c>
      <c r="Z1675" s="14">
        <v>20438</v>
      </c>
      <c r="AA1675" s="14" t="s">
        <v>2420</v>
      </c>
      <c r="AB1675" s="14">
        <v>40001</v>
      </c>
      <c r="AE1675" s="14" t="s">
        <v>1400</v>
      </c>
      <c r="AF1675" s="14" t="s">
        <v>1400</v>
      </c>
      <c r="AG1675" s="14" t="s">
        <v>89</v>
      </c>
    </row>
    <row r="1676" spans="2:33">
      <c r="B1676" s="14">
        <f>10000000+INDEX(编号表!$B:$B,MATCH(H1676,编号表!$A:$A,0))*100000+INDEX(编号表!$F:$F,MATCH(D1676,编号表!$E:$E,0))*10000+INDEX(编号表!$D:$D,MATCH(AG1676,编号表!$C:$C,0))*1000+F1676</f>
        <v>11913021</v>
      </c>
      <c r="C1676" s="14" t="s">
        <v>2421</v>
      </c>
      <c r="D1676" s="14" t="s">
        <v>72</v>
      </c>
      <c r="E1676" s="14" t="s">
        <v>89</v>
      </c>
      <c r="F1676" s="14">
        <v>21</v>
      </c>
      <c r="G1676" s="14">
        <v>60</v>
      </c>
      <c r="H1676" s="14" t="s">
        <v>1400</v>
      </c>
      <c r="I1676" s="14" t="s">
        <v>75</v>
      </c>
      <c r="J1676" s="14" t="s">
        <v>201</v>
      </c>
      <c r="K1676" s="14">
        <v>1</v>
      </c>
      <c r="L1676" s="14" t="s">
        <v>1400</v>
      </c>
      <c r="N1676" s="14">
        <v>0</v>
      </c>
      <c r="O1676" s="14" t="b">
        <v>1</v>
      </c>
      <c r="Q1676" s="14" t="b">
        <v>0</v>
      </c>
      <c r="R1676" s="14">
        <v>1</v>
      </c>
      <c r="S1676" s="14" t="s">
        <v>77</v>
      </c>
      <c r="T1676" s="14">
        <v>999</v>
      </c>
      <c r="U1676" s="14" t="s">
        <v>1401</v>
      </c>
      <c r="V1676" s="14">
        <v>31913021</v>
      </c>
      <c r="X1676" s="14" t="s">
        <v>2422</v>
      </c>
      <c r="Y1676" s="14" t="s">
        <v>215</v>
      </c>
      <c r="Z1676" s="14">
        <v>20439</v>
      </c>
      <c r="AA1676" s="14" t="s">
        <v>2423</v>
      </c>
      <c r="AB1676" s="14">
        <v>40001</v>
      </c>
      <c r="AE1676" s="14" t="s">
        <v>1400</v>
      </c>
      <c r="AF1676" s="14" t="s">
        <v>1400</v>
      </c>
      <c r="AG1676" s="14" t="s">
        <v>89</v>
      </c>
    </row>
    <row r="1677" spans="2:33">
      <c r="B1677" s="14">
        <f>10000000+INDEX(编号表!$B:$B,MATCH(H1677,编号表!$A:$A,0))*100000+INDEX(编号表!$F:$F,MATCH(D1677,编号表!$E:$E,0))*10000+INDEX(编号表!$D:$D,MATCH(AG1677,编号表!$C:$C,0))*1000+F1677</f>
        <v>11923022</v>
      </c>
      <c r="C1677" s="14" t="s">
        <v>2421</v>
      </c>
      <c r="D1677" s="14" t="s">
        <v>112</v>
      </c>
      <c r="E1677" s="14" t="s">
        <v>89</v>
      </c>
      <c r="F1677" s="14">
        <v>22</v>
      </c>
      <c r="G1677" s="14">
        <v>60</v>
      </c>
      <c r="H1677" s="14" t="s">
        <v>1400</v>
      </c>
      <c r="I1677" s="14" t="s">
        <v>75</v>
      </c>
      <c r="J1677" s="14" t="s">
        <v>201</v>
      </c>
      <c r="K1677" s="14">
        <v>1</v>
      </c>
      <c r="L1677" s="14" t="s">
        <v>1400</v>
      </c>
      <c r="N1677" s="14">
        <v>0</v>
      </c>
      <c r="O1677" s="14" t="b">
        <v>1</v>
      </c>
      <c r="Q1677" s="14" t="b">
        <v>0</v>
      </c>
      <c r="R1677" s="14">
        <v>1</v>
      </c>
      <c r="S1677" s="14" t="s">
        <v>77</v>
      </c>
      <c r="T1677" s="14">
        <v>999</v>
      </c>
      <c r="U1677" s="14" t="s">
        <v>1401</v>
      </c>
      <c r="V1677" s="14">
        <v>31923022</v>
      </c>
      <c r="X1677" s="14" t="s">
        <v>2424</v>
      </c>
      <c r="Y1677" s="14" t="s">
        <v>215</v>
      </c>
      <c r="Z1677" s="14">
        <v>20440</v>
      </c>
      <c r="AA1677" s="14" t="s">
        <v>2425</v>
      </c>
      <c r="AB1677" s="14">
        <v>40001</v>
      </c>
      <c r="AE1677" s="14" t="s">
        <v>1400</v>
      </c>
      <c r="AF1677" s="14" t="s">
        <v>1400</v>
      </c>
      <c r="AG1677" s="14" t="s">
        <v>89</v>
      </c>
    </row>
    <row r="1678" spans="2:33">
      <c r="B1678" s="14">
        <f>10000000+INDEX(编号表!$B:$B,MATCH(H1678,编号表!$A:$A,0))*100000+INDEX(编号表!$F:$F,MATCH(D1678,编号表!$E:$E,0))*10000+INDEX(编号表!$D:$D,MATCH(AG1678,编号表!$C:$C,0))*1000+F1678</f>
        <v>11933023</v>
      </c>
      <c r="C1678" s="14" t="s">
        <v>2421</v>
      </c>
      <c r="D1678" s="14" t="s">
        <v>276</v>
      </c>
      <c r="E1678" s="14" t="s">
        <v>89</v>
      </c>
      <c r="F1678" s="14">
        <v>23</v>
      </c>
      <c r="G1678" s="14">
        <v>60</v>
      </c>
      <c r="H1678" s="14" t="s">
        <v>1400</v>
      </c>
      <c r="I1678" s="14" t="s">
        <v>75</v>
      </c>
      <c r="J1678" s="14" t="s">
        <v>201</v>
      </c>
      <c r="K1678" s="14">
        <v>1</v>
      </c>
      <c r="L1678" s="14" t="s">
        <v>1400</v>
      </c>
      <c r="N1678" s="14">
        <v>0</v>
      </c>
      <c r="O1678" s="14" t="b">
        <v>1</v>
      </c>
      <c r="Q1678" s="14" t="b">
        <v>0</v>
      </c>
      <c r="R1678" s="14">
        <v>1</v>
      </c>
      <c r="S1678" s="14" t="s">
        <v>77</v>
      </c>
      <c r="T1678" s="14">
        <v>999</v>
      </c>
      <c r="U1678" s="14" t="s">
        <v>1401</v>
      </c>
      <c r="V1678" s="14">
        <v>31933023</v>
      </c>
      <c r="X1678" s="14" t="s">
        <v>2426</v>
      </c>
      <c r="Y1678" s="14" t="s">
        <v>215</v>
      </c>
      <c r="Z1678" s="14">
        <v>20441</v>
      </c>
      <c r="AA1678" s="14" t="s">
        <v>2427</v>
      </c>
      <c r="AB1678" s="14">
        <v>40001</v>
      </c>
      <c r="AE1678" s="14" t="s">
        <v>1400</v>
      </c>
      <c r="AF1678" s="14" t="s">
        <v>1400</v>
      </c>
      <c r="AG1678" s="14" t="s">
        <v>89</v>
      </c>
    </row>
    <row r="1679" spans="2:33">
      <c r="B1679" s="14">
        <f>10000000+INDEX(编号表!$B:$B,MATCH(H1679,编号表!$A:$A,0))*100000+INDEX(编号表!$F:$F,MATCH(D1679,编号表!$E:$E,0))*10000+INDEX(编号表!$D:$D,MATCH(AG1679,编号表!$C:$C,0))*1000+F1679</f>
        <v>11913022</v>
      </c>
      <c r="C1679" s="14" t="s">
        <v>2428</v>
      </c>
      <c r="D1679" s="14" t="s">
        <v>72</v>
      </c>
      <c r="E1679" s="14" t="s">
        <v>89</v>
      </c>
      <c r="F1679" s="14">
        <v>22</v>
      </c>
      <c r="G1679" s="14">
        <v>60</v>
      </c>
      <c r="H1679" s="14" t="s">
        <v>1400</v>
      </c>
      <c r="I1679" s="14" t="s">
        <v>75</v>
      </c>
      <c r="J1679" s="14" t="s">
        <v>201</v>
      </c>
      <c r="K1679" s="14">
        <v>1</v>
      </c>
      <c r="L1679" s="14" t="s">
        <v>1400</v>
      </c>
      <c r="N1679" s="14">
        <v>0</v>
      </c>
      <c r="O1679" s="14" t="b">
        <v>1</v>
      </c>
      <c r="Q1679" s="14" t="b">
        <v>0</v>
      </c>
      <c r="R1679" s="14">
        <v>1</v>
      </c>
      <c r="S1679" s="14" t="s">
        <v>77</v>
      </c>
      <c r="T1679" s="14">
        <v>999</v>
      </c>
      <c r="U1679" s="14" t="s">
        <v>1401</v>
      </c>
      <c r="V1679" s="14">
        <v>31913022</v>
      </c>
      <c r="X1679" s="14" t="s">
        <v>2429</v>
      </c>
      <c r="Y1679" s="14" t="s">
        <v>215</v>
      </c>
      <c r="Z1679" s="14">
        <v>20442</v>
      </c>
      <c r="AA1679" s="14" t="s">
        <v>2430</v>
      </c>
      <c r="AB1679" s="14">
        <v>40001</v>
      </c>
      <c r="AE1679" s="14" t="s">
        <v>1400</v>
      </c>
      <c r="AF1679" s="14" t="s">
        <v>1400</v>
      </c>
      <c r="AG1679" s="14" t="s">
        <v>89</v>
      </c>
    </row>
    <row r="1680" spans="2:33">
      <c r="B1680" s="14">
        <f>10000000+INDEX(编号表!$B:$B,MATCH(H1680,编号表!$A:$A,0))*100000+INDEX(编号表!$F:$F,MATCH(D1680,编号表!$E:$E,0))*10000+INDEX(编号表!$D:$D,MATCH(AG1680,编号表!$C:$C,0))*1000+F1680</f>
        <v>11923023</v>
      </c>
      <c r="C1680" s="14" t="s">
        <v>2428</v>
      </c>
      <c r="D1680" s="14" t="s">
        <v>112</v>
      </c>
      <c r="E1680" s="14" t="s">
        <v>89</v>
      </c>
      <c r="F1680" s="14">
        <v>23</v>
      </c>
      <c r="G1680" s="14">
        <v>60</v>
      </c>
      <c r="H1680" s="14" t="s">
        <v>1400</v>
      </c>
      <c r="I1680" s="14" t="s">
        <v>75</v>
      </c>
      <c r="J1680" s="14" t="s">
        <v>201</v>
      </c>
      <c r="K1680" s="14">
        <v>1</v>
      </c>
      <c r="L1680" s="14" t="s">
        <v>1400</v>
      </c>
      <c r="N1680" s="14">
        <v>0</v>
      </c>
      <c r="O1680" s="14" t="b">
        <v>1</v>
      </c>
      <c r="Q1680" s="14" t="b">
        <v>0</v>
      </c>
      <c r="R1680" s="14">
        <v>1</v>
      </c>
      <c r="S1680" s="14" t="s">
        <v>77</v>
      </c>
      <c r="T1680" s="14">
        <v>999</v>
      </c>
      <c r="U1680" s="14" t="s">
        <v>1401</v>
      </c>
      <c r="V1680" s="14">
        <v>31923023</v>
      </c>
      <c r="X1680" s="14" t="s">
        <v>2431</v>
      </c>
      <c r="Y1680" s="14" t="s">
        <v>215</v>
      </c>
      <c r="Z1680" s="14">
        <v>20443</v>
      </c>
      <c r="AA1680" s="14" t="s">
        <v>2432</v>
      </c>
      <c r="AB1680" s="14">
        <v>40001</v>
      </c>
      <c r="AE1680" s="14" t="s">
        <v>1400</v>
      </c>
      <c r="AF1680" s="14" t="s">
        <v>1400</v>
      </c>
      <c r="AG1680" s="14" t="s">
        <v>89</v>
      </c>
    </row>
    <row r="1681" spans="2:33">
      <c r="B1681" s="14">
        <f>10000000+INDEX(编号表!$B:$B,MATCH(H1681,编号表!$A:$A,0))*100000+INDEX(编号表!$F:$F,MATCH(D1681,编号表!$E:$E,0))*10000+INDEX(编号表!$D:$D,MATCH(AG1681,编号表!$C:$C,0))*1000+F1681</f>
        <v>11933024</v>
      </c>
      <c r="C1681" s="14" t="s">
        <v>2428</v>
      </c>
      <c r="D1681" s="14" t="s">
        <v>276</v>
      </c>
      <c r="E1681" s="14" t="s">
        <v>89</v>
      </c>
      <c r="F1681" s="14">
        <v>24</v>
      </c>
      <c r="G1681" s="14">
        <v>60</v>
      </c>
      <c r="H1681" s="14" t="s">
        <v>1400</v>
      </c>
      <c r="I1681" s="14" t="s">
        <v>75</v>
      </c>
      <c r="J1681" s="14" t="s">
        <v>201</v>
      </c>
      <c r="K1681" s="14">
        <v>1</v>
      </c>
      <c r="L1681" s="14" t="s">
        <v>1400</v>
      </c>
      <c r="N1681" s="14">
        <v>0</v>
      </c>
      <c r="O1681" s="14" t="b">
        <v>1</v>
      </c>
      <c r="Q1681" s="14" t="b">
        <v>0</v>
      </c>
      <c r="R1681" s="14">
        <v>1</v>
      </c>
      <c r="S1681" s="14" t="s">
        <v>77</v>
      </c>
      <c r="T1681" s="14">
        <v>999</v>
      </c>
      <c r="U1681" s="14" t="s">
        <v>1401</v>
      </c>
      <c r="V1681" s="14">
        <v>31933024</v>
      </c>
      <c r="X1681" s="14" t="s">
        <v>2433</v>
      </c>
      <c r="Y1681" s="14" t="s">
        <v>215</v>
      </c>
      <c r="Z1681" s="14">
        <v>20444</v>
      </c>
      <c r="AA1681" s="14" t="s">
        <v>2434</v>
      </c>
      <c r="AB1681" s="14">
        <v>40001</v>
      </c>
      <c r="AE1681" s="14" t="s">
        <v>1400</v>
      </c>
      <c r="AF1681" s="14" t="s">
        <v>1400</v>
      </c>
      <c r="AG1681" s="14" t="s">
        <v>89</v>
      </c>
    </row>
    <row r="1682" spans="2:33">
      <c r="B1682" s="14">
        <f>10000000+INDEX(编号表!$B:$B,MATCH(H1682,编号表!$A:$A,0))*100000+INDEX(编号表!$F:$F,MATCH(D1682,编号表!$E:$E,0))*10000+INDEX(编号表!$D:$D,MATCH(AG1682,编号表!$C:$C,0))*1000+F1682</f>
        <v>11913023</v>
      </c>
      <c r="C1682" s="14" t="s">
        <v>2435</v>
      </c>
      <c r="D1682" s="14" t="s">
        <v>72</v>
      </c>
      <c r="E1682" s="14" t="s">
        <v>89</v>
      </c>
      <c r="F1682" s="14">
        <v>23</v>
      </c>
      <c r="G1682" s="14">
        <v>60</v>
      </c>
      <c r="H1682" s="14" t="s">
        <v>1400</v>
      </c>
      <c r="I1682" s="14" t="s">
        <v>75</v>
      </c>
      <c r="J1682" s="14" t="s">
        <v>201</v>
      </c>
      <c r="K1682" s="14">
        <v>1</v>
      </c>
      <c r="L1682" s="14" t="s">
        <v>1400</v>
      </c>
      <c r="N1682" s="14">
        <v>0</v>
      </c>
      <c r="O1682" s="14" t="b">
        <v>1</v>
      </c>
      <c r="Q1682" s="14" t="b">
        <v>0</v>
      </c>
      <c r="R1682" s="14">
        <v>1</v>
      </c>
      <c r="S1682" s="14" t="s">
        <v>77</v>
      </c>
      <c r="T1682" s="14">
        <v>999</v>
      </c>
      <c r="U1682" s="14" t="s">
        <v>1401</v>
      </c>
      <c r="V1682" s="14">
        <v>31913023</v>
      </c>
      <c r="X1682" s="14" t="s">
        <v>2436</v>
      </c>
      <c r="Y1682" s="14" t="s">
        <v>215</v>
      </c>
      <c r="Z1682" s="14">
        <v>20445</v>
      </c>
      <c r="AA1682" s="14" t="s">
        <v>2437</v>
      </c>
      <c r="AB1682" s="14">
        <v>40001</v>
      </c>
      <c r="AE1682" s="14" t="s">
        <v>1400</v>
      </c>
      <c r="AF1682" s="14" t="s">
        <v>1400</v>
      </c>
      <c r="AG1682" s="14" t="s">
        <v>89</v>
      </c>
    </row>
    <row r="1683" spans="2:33">
      <c r="B1683" s="14">
        <f>10000000+INDEX(编号表!$B:$B,MATCH(H1683,编号表!$A:$A,0))*100000+INDEX(编号表!$F:$F,MATCH(D1683,编号表!$E:$E,0))*10000+INDEX(编号表!$D:$D,MATCH(AG1683,编号表!$C:$C,0))*1000+F1683</f>
        <v>11923024</v>
      </c>
      <c r="C1683" s="14" t="s">
        <v>2435</v>
      </c>
      <c r="D1683" s="14" t="s">
        <v>112</v>
      </c>
      <c r="E1683" s="14" t="s">
        <v>89</v>
      </c>
      <c r="F1683" s="14">
        <v>24</v>
      </c>
      <c r="G1683" s="14">
        <v>60</v>
      </c>
      <c r="H1683" s="14" t="s">
        <v>1400</v>
      </c>
      <c r="I1683" s="14" t="s">
        <v>75</v>
      </c>
      <c r="J1683" s="14" t="s">
        <v>201</v>
      </c>
      <c r="K1683" s="14">
        <v>1</v>
      </c>
      <c r="L1683" s="14" t="s">
        <v>1400</v>
      </c>
      <c r="N1683" s="14">
        <v>0</v>
      </c>
      <c r="O1683" s="14" t="b">
        <v>1</v>
      </c>
      <c r="Q1683" s="14" t="b">
        <v>0</v>
      </c>
      <c r="R1683" s="14">
        <v>1</v>
      </c>
      <c r="S1683" s="14" t="s">
        <v>77</v>
      </c>
      <c r="T1683" s="14">
        <v>999</v>
      </c>
      <c r="U1683" s="14" t="s">
        <v>1401</v>
      </c>
      <c r="V1683" s="14">
        <v>31923024</v>
      </c>
      <c r="X1683" s="14" t="s">
        <v>2438</v>
      </c>
      <c r="Y1683" s="14" t="s">
        <v>215</v>
      </c>
      <c r="Z1683" s="14">
        <v>20446</v>
      </c>
      <c r="AA1683" s="14" t="s">
        <v>2439</v>
      </c>
      <c r="AB1683" s="14">
        <v>40001</v>
      </c>
      <c r="AE1683" s="14" t="s">
        <v>1400</v>
      </c>
      <c r="AF1683" s="14" t="s">
        <v>1400</v>
      </c>
      <c r="AG1683" s="14" t="s">
        <v>89</v>
      </c>
    </row>
    <row r="1684" spans="2:33">
      <c r="B1684" s="14">
        <f>10000000+INDEX(编号表!$B:$B,MATCH(H1684,编号表!$A:$A,0))*100000+INDEX(编号表!$F:$F,MATCH(D1684,编号表!$E:$E,0))*10000+INDEX(编号表!$D:$D,MATCH(AG1684,编号表!$C:$C,0))*1000+F1684</f>
        <v>11933025</v>
      </c>
      <c r="C1684" s="14" t="s">
        <v>2435</v>
      </c>
      <c r="D1684" s="14" t="s">
        <v>276</v>
      </c>
      <c r="E1684" s="14" t="s">
        <v>89</v>
      </c>
      <c r="F1684" s="14">
        <v>25</v>
      </c>
      <c r="G1684" s="14">
        <v>60</v>
      </c>
      <c r="H1684" s="14" t="s">
        <v>1400</v>
      </c>
      <c r="I1684" s="14" t="s">
        <v>75</v>
      </c>
      <c r="J1684" s="14" t="s">
        <v>201</v>
      </c>
      <c r="K1684" s="14">
        <v>1</v>
      </c>
      <c r="L1684" s="14" t="s">
        <v>1400</v>
      </c>
      <c r="N1684" s="14">
        <v>0</v>
      </c>
      <c r="O1684" s="14" t="b">
        <v>1</v>
      </c>
      <c r="Q1684" s="14" t="b">
        <v>0</v>
      </c>
      <c r="R1684" s="14">
        <v>1</v>
      </c>
      <c r="S1684" s="14" t="s">
        <v>77</v>
      </c>
      <c r="T1684" s="14">
        <v>999</v>
      </c>
      <c r="U1684" s="14" t="s">
        <v>1401</v>
      </c>
      <c r="V1684" s="14">
        <v>31933025</v>
      </c>
      <c r="X1684" s="14" t="s">
        <v>2440</v>
      </c>
      <c r="Y1684" s="14" t="s">
        <v>215</v>
      </c>
      <c r="Z1684" s="14">
        <v>20447</v>
      </c>
      <c r="AA1684" s="14" t="s">
        <v>2441</v>
      </c>
      <c r="AB1684" s="14">
        <v>40001</v>
      </c>
      <c r="AE1684" s="14" t="s">
        <v>1400</v>
      </c>
      <c r="AF1684" s="14" t="s">
        <v>1400</v>
      </c>
      <c r="AG1684" s="14" t="s">
        <v>89</v>
      </c>
    </row>
    <row r="1685" spans="2:33">
      <c r="B1685" s="14">
        <f>10000000+INDEX(编号表!$B:$B,MATCH(H1685,编号表!$A:$A,0))*100000+INDEX(编号表!$F:$F,MATCH(D1685,编号表!$E:$E,0))*10000+INDEX(编号表!$D:$D,MATCH(AG1685,编号表!$C:$C,0))*1000+F1685</f>
        <v>11913024</v>
      </c>
      <c r="C1685" s="14" t="s">
        <v>2442</v>
      </c>
      <c r="D1685" s="14" t="s">
        <v>72</v>
      </c>
      <c r="E1685" s="14" t="s">
        <v>89</v>
      </c>
      <c r="F1685" s="14">
        <v>24</v>
      </c>
      <c r="G1685" s="14">
        <v>60</v>
      </c>
      <c r="H1685" s="14" t="s">
        <v>1400</v>
      </c>
      <c r="I1685" s="14" t="s">
        <v>75</v>
      </c>
      <c r="J1685" s="14" t="s">
        <v>201</v>
      </c>
      <c r="K1685" s="14">
        <v>1</v>
      </c>
      <c r="L1685" s="14" t="s">
        <v>1400</v>
      </c>
      <c r="N1685" s="14">
        <v>0</v>
      </c>
      <c r="O1685" s="14" t="b">
        <v>1</v>
      </c>
      <c r="Q1685" s="14" t="b">
        <v>0</v>
      </c>
      <c r="R1685" s="14">
        <v>1</v>
      </c>
      <c r="S1685" s="14" t="s">
        <v>77</v>
      </c>
      <c r="T1685" s="14">
        <v>999</v>
      </c>
      <c r="U1685" s="14" t="s">
        <v>1401</v>
      </c>
      <c r="V1685" s="14">
        <v>31913024</v>
      </c>
      <c r="X1685" s="14" t="s">
        <v>2443</v>
      </c>
      <c r="Y1685" s="14" t="s">
        <v>215</v>
      </c>
      <c r="Z1685" s="14">
        <v>20448</v>
      </c>
      <c r="AA1685" s="14" t="s">
        <v>2444</v>
      </c>
      <c r="AB1685" s="14">
        <v>40001</v>
      </c>
      <c r="AE1685" s="14" t="s">
        <v>1400</v>
      </c>
      <c r="AF1685" s="14" t="s">
        <v>1400</v>
      </c>
      <c r="AG1685" s="14" t="s">
        <v>89</v>
      </c>
    </row>
    <row r="1686" spans="2:33">
      <c r="B1686" s="14">
        <f>10000000+INDEX(编号表!$B:$B,MATCH(H1686,编号表!$A:$A,0))*100000+INDEX(编号表!$F:$F,MATCH(D1686,编号表!$E:$E,0))*10000+INDEX(编号表!$D:$D,MATCH(AG1686,编号表!$C:$C,0))*1000+F1686</f>
        <v>11923025</v>
      </c>
      <c r="C1686" s="14" t="s">
        <v>2442</v>
      </c>
      <c r="D1686" s="14" t="s">
        <v>112</v>
      </c>
      <c r="E1686" s="14" t="s">
        <v>89</v>
      </c>
      <c r="F1686" s="14">
        <v>25</v>
      </c>
      <c r="G1686" s="14">
        <v>60</v>
      </c>
      <c r="H1686" s="14" t="s">
        <v>1400</v>
      </c>
      <c r="I1686" s="14" t="s">
        <v>75</v>
      </c>
      <c r="J1686" s="14" t="s">
        <v>201</v>
      </c>
      <c r="K1686" s="14">
        <v>1</v>
      </c>
      <c r="L1686" s="14" t="s">
        <v>1400</v>
      </c>
      <c r="N1686" s="14">
        <v>0</v>
      </c>
      <c r="O1686" s="14" t="b">
        <v>1</v>
      </c>
      <c r="Q1686" s="14" t="b">
        <v>0</v>
      </c>
      <c r="R1686" s="14">
        <v>1</v>
      </c>
      <c r="S1686" s="14" t="s">
        <v>77</v>
      </c>
      <c r="T1686" s="14">
        <v>999</v>
      </c>
      <c r="U1686" s="14" t="s">
        <v>1401</v>
      </c>
      <c r="V1686" s="14">
        <v>31923025</v>
      </c>
      <c r="X1686" s="14" t="s">
        <v>2445</v>
      </c>
      <c r="Y1686" s="14" t="s">
        <v>215</v>
      </c>
      <c r="Z1686" s="14">
        <v>20449</v>
      </c>
      <c r="AA1686" s="14" t="s">
        <v>2446</v>
      </c>
      <c r="AB1686" s="14">
        <v>40001</v>
      </c>
      <c r="AE1686" s="14" t="s">
        <v>1400</v>
      </c>
      <c r="AF1686" s="14" t="s">
        <v>1400</v>
      </c>
      <c r="AG1686" s="14" t="s">
        <v>89</v>
      </c>
    </row>
    <row r="1687" spans="2:33">
      <c r="B1687" s="14">
        <f>10000000+INDEX(编号表!$B:$B,MATCH(H1687,编号表!$A:$A,0))*100000+INDEX(编号表!$F:$F,MATCH(D1687,编号表!$E:$E,0))*10000+INDEX(编号表!$D:$D,MATCH(AG1687,编号表!$C:$C,0))*1000+F1687</f>
        <v>11933026</v>
      </c>
      <c r="C1687" s="14" t="s">
        <v>2442</v>
      </c>
      <c r="D1687" s="14" t="s">
        <v>276</v>
      </c>
      <c r="E1687" s="14" t="s">
        <v>89</v>
      </c>
      <c r="F1687" s="14">
        <v>26</v>
      </c>
      <c r="G1687" s="14">
        <v>60</v>
      </c>
      <c r="H1687" s="14" t="s">
        <v>1400</v>
      </c>
      <c r="I1687" s="14" t="s">
        <v>75</v>
      </c>
      <c r="J1687" s="14" t="s">
        <v>201</v>
      </c>
      <c r="K1687" s="14">
        <v>1</v>
      </c>
      <c r="L1687" s="14" t="s">
        <v>1400</v>
      </c>
      <c r="N1687" s="14">
        <v>0</v>
      </c>
      <c r="O1687" s="14" t="b">
        <v>1</v>
      </c>
      <c r="Q1687" s="14" t="b">
        <v>0</v>
      </c>
      <c r="R1687" s="14">
        <v>1</v>
      </c>
      <c r="S1687" s="14" t="s">
        <v>77</v>
      </c>
      <c r="T1687" s="14">
        <v>999</v>
      </c>
      <c r="U1687" s="14" t="s">
        <v>1401</v>
      </c>
      <c r="V1687" s="14">
        <v>31933026</v>
      </c>
      <c r="X1687" s="14" t="s">
        <v>2447</v>
      </c>
      <c r="Y1687" s="14" t="s">
        <v>215</v>
      </c>
      <c r="Z1687" s="14">
        <v>20450</v>
      </c>
      <c r="AA1687" s="14" t="s">
        <v>2448</v>
      </c>
      <c r="AB1687" s="14">
        <v>40001</v>
      </c>
      <c r="AE1687" s="14" t="s">
        <v>1400</v>
      </c>
      <c r="AF1687" s="14" t="s">
        <v>1400</v>
      </c>
      <c r="AG1687" s="14" t="s">
        <v>89</v>
      </c>
    </row>
    <row r="1688" spans="2:33">
      <c r="B1688" s="14">
        <f>10000000+INDEX(编号表!$B:$B,MATCH(H1688,编号表!$A:$A,0))*100000+INDEX(编号表!$F:$F,MATCH(D1688,编号表!$E:$E,0))*10000+INDEX(编号表!$D:$D,MATCH(AG1688,编号表!$C:$C,0))*1000+F1688</f>
        <v>11913025</v>
      </c>
      <c r="C1688" s="14" t="s">
        <v>2449</v>
      </c>
      <c r="D1688" s="14" t="s">
        <v>72</v>
      </c>
      <c r="E1688" s="14" t="s">
        <v>89</v>
      </c>
      <c r="F1688" s="14">
        <v>25</v>
      </c>
      <c r="G1688" s="14">
        <v>60</v>
      </c>
      <c r="H1688" s="14" t="s">
        <v>1400</v>
      </c>
      <c r="I1688" s="14" t="s">
        <v>75</v>
      </c>
      <c r="J1688" s="14" t="s">
        <v>201</v>
      </c>
      <c r="K1688" s="14">
        <v>1</v>
      </c>
      <c r="L1688" s="14" t="s">
        <v>1400</v>
      </c>
      <c r="N1688" s="14">
        <v>0</v>
      </c>
      <c r="O1688" s="14" t="b">
        <v>1</v>
      </c>
      <c r="Q1688" s="14" t="b">
        <v>0</v>
      </c>
      <c r="R1688" s="14">
        <v>1</v>
      </c>
      <c r="S1688" s="14" t="s">
        <v>77</v>
      </c>
      <c r="T1688" s="14">
        <v>999</v>
      </c>
      <c r="U1688" s="14" t="s">
        <v>1401</v>
      </c>
      <c r="V1688" s="14">
        <v>31913025</v>
      </c>
      <c r="X1688" s="14" t="s">
        <v>2450</v>
      </c>
      <c r="Y1688" s="14" t="s">
        <v>215</v>
      </c>
      <c r="Z1688" s="14">
        <v>20451</v>
      </c>
      <c r="AA1688" s="14" t="s">
        <v>2451</v>
      </c>
      <c r="AB1688" s="14">
        <v>40001</v>
      </c>
      <c r="AE1688" s="14" t="s">
        <v>1400</v>
      </c>
      <c r="AF1688" s="14" t="s">
        <v>1400</v>
      </c>
      <c r="AG1688" s="14" t="s">
        <v>89</v>
      </c>
    </row>
    <row r="1689" spans="2:33">
      <c r="B1689" s="14">
        <f>10000000+INDEX(编号表!$B:$B,MATCH(H1689,编号表!$A:$A,0))*100000+INDEX(编号表!$F:$F,MATCH(D1689,编号表!$E:$E,0))*10000+INDEX(编号表!$D:$D,MATCH(AG1689,编号表!$C:$C,0))*1000+F1689</f>
        <v>11923026</v>
      </c>
      <c r="C1689" s="14" t="s">
        <v>2449</v>
      </c>
      <c r="D1689" s="14" t="s">
        <v>112</v>
      </c>
      <c r="E1689" s="14" t="s">
        <v>89</v>
      </c>
      <c r="F1689" s="14">
        <v>26</v>
      </c>
      <c r="G1689" s="14">
        <v>60</v>
      </c>
      <c r="H1689" s="14" t="s">
        <v>1400</v>
      </c>
      <c r="I1689" s="14" t="s">
        <v>75</v>
      </c>
      <c r="J1689" s="14" t="s">
        <v>201</v>
      </c>
      <c r="K1689" s="14">
        <v>1</v>
      </c>
      <c r="L1689" s="14" t="s">
        <v>1400</v>
      </c>
      <c r="N1689" s="14">
        <v>0</v>
      </c>
      <c r="O1689" s="14" t="b">
        <v>1</v>
      </c>
      <c r="Q1689" s="14" t="b">
        <v>0</v>
      </c>
      <c r="R1689" s="14">
        <v>1</v>
      </c>
      <c r="S1689" s="14" t="s">
        <v>77</v>
      </c>
      <c r="T1689" s="14">
        <v>999</v>
      </c>
      <c r="U1689" s="14" t="s">
        <v>1401</v>
      </c>
      <c r="V1689" s="14">
        <v>31923026</v>
      </c>
      <c r="X1689" s="14" t="s">
        <v>2452</v>
      </c>
      <c r="Y1689" s="14" t="s">
        <v>215</v>
      </c>
      <c r="Z1689" s="14">
        <v>20452</v>
      </c>
      <c r="AA1689" s="14" t="s">
        <v>2453</v>
      </c>
      <c r="AB1689" s="14">
        <v>40001</v>
      </c>
      <c r="AE1689" s="14" t="s">
        <v>1400</v>
      </c>
      <c r="AF1689" s="14" t="s">
        <v>1400</v>
      </c>
      <c r="AG1689" s="14" t="s">
        <v>89</v>
      </c>
    </row>
    <row r="1690" spans="2:33">
      <c r="B1690" s="14">
        <f>10000000+INDEX(编号表!$B:$B,MATCH(H1690,编号表!$A:$A,0))*100000+INDEX(编号表!$F:$F,MATCH(D1690,编号表!$E:$E,0))*10000+INDEX(编号表!$D:$D,MATCH(AG1690,编号表!$C:$C,0))*1000+F1690</f>
        <v>11933027</v>
      </c>
      <c r="C1690" s="14" t="s">
        <v>2449</v>
      </c>
      <c r="D1690" s="14" t="s">
        <v>276</v>
      </c>
      <c r="E1690" s="14" t="s">
        <v>89</v>
      </c>
      <c r="F1690" s="14">
        <v>27</v>
      </c>
      <c r="G1690" s="14">
        <v>60</v>
      </c>
      <c r="H1690" s="14" t="s">
        <v>1400</v>
      </c>
      <c r="I1690" s="14" t="s">
        <v>75</v>
      </c>
      <c r="J1690" s="14" t="s">
        <v>201</v>
      </c>
      <c r="K1690" s="14">
        <v>1</v>
      </c>
      <c r="L1690" s="14" t="s">
        <v>1400</v>
      </c>
      <c r="N1690" s="14">
        <v>0</v>
      </c>
      <c r="O1690" s="14" t="b">
        <v>1</v>
      </c>
      <c r="Q1690" s="14" t="b">
        <v>0</v>
      </c>
      <c r="R1690" s="14">
        <v>1</v>
      </c>
      <c r="S1690" s="14" t="s">
        <v>77</v>
      </c>
      <c r="T1690" s="14">
        <v>999</v>
      </c>
      <c r="U1690" s="14" t="s">
        <v>1401</v>
      </c>
      <c r="V1690" s="14">
        <v>31933027</v>
      </c>
      <c r="X1690" s="14" t="s">
        <v>2454</v>
      </c>
      <c r="Y1690" s="14" t="s">
        <v>215</v>
      </c>
      <c r="Z1690" s="14">
        <v>20453</v>
      </c>
      <c r="AA1690" s="14" t="s">
        <v>2455</v>
      </c>
      <c r="AB1690" s="14">
        <v>40001</v>
      </c>
      <c r="AE1690" s="14" t="s">
        <v>1400</v>
      </c>
      <c r="AF1690" s="14" t="s">
        <v>1400</v>
      </c>
      <c r="AG1690" s="14" t="s">
        <v>89</v>
      </c>
    </row>
    <row r="1691" spans="2:33">
      <c r="B1691" s="14">
        <f>10000000+INDEX(编号表!$B:$B,MATCH(H1691,编号表!$A:$A,0))*100000+INDEX(编号表!$F:$F,MATCH(D1691,编号表!$E:$E,0))*10000+INDEX(编号表!$D:$D,MATCH(AG1691,编号表!$C:$C,0))*1000+F1691</f>
        <v>11913026</v>
      </c>
      <c r="C1691" s="14" t="s">
        <v>2456</v>
      </c>
      <c r="D1691" s="14" t="s">
        <v>72</v>
      </c>
      <c r="E1691" s="14" t="s">
        <v>89</v>
      </c>
      <c r="F1691" s="14">
        <v>26</v>
      </c>
      <c r="G1691" s="14">
        <v>60</v>
      </c>
      <c r="H1691" s="14" t="s">
        <v>1400</v>
      </c>
      <c r="I1691" s="14" t="s">
        <v>75</v>
      </c>
      <c r="J1691" s="14" t="s">
        <v>201</v>
      </c>
      <c r="K1691" s="14">
        <v>1</v>
      </c>
      <c r="L1691" s="14" t="s">
        <v>1400</v>
      </c>
      <c r="N1691" s="14">
        <v>0</v>
      </c>
      <c r="O1691" s="14" t="b">
        <v>1</v>
      </c>
      <c r="Q1691" s="14" t="b">
        <v>0</v>
      </c>
      <c r="R1691" s="14">
        <v>1</v>
      </c>
      <c r="S1691" s="14" t="s">
        <v>77</v>
      </c>
      <c r="T1691" s="14">
        <v>999</v>
      </c>
      <c r="U1691" s="14" t="s">
        <v>1401</v>
      </c>
      <c r="V1691" s="14">
        <v>31913026</v>
      </c>
      <c r="X1691" s="14" t="s">
        <v>2457</v>
      </c>
      <c r="Y1691" s="14" t="s">
        <v>215</v>
      </c>
      <c r="Z1691" s="14">
        <v>20454</v>
      </c>
      <c r="AA1691" s="14" t="s">
        <v>2458</v>
      </c>
      <c r="AB1691" s="14">
        <v>40001</v>
      </c>
      <c r="AE1691" s="14" t="s">
        <v>1400</v>
      </c>
      <c r="AF1691" s="14" t="s">
        <v>1400</v>
      </c>
      <c r="AG1691" s="14" t="s">
        <v>89</v>
      </c>
    </row>
    <row r="1692" spans="2:33">
      <c r="B1692" s="14">
        <f>10000000+INDEX(编号表!$B:$B,MATCH(H1692,编号表!$A:$A,0))*100000+INDEX(编号表!$F:$F,MATCH(D1692,编号表!$E:$E,0))*10000+INDEX(编号表!$D:$D,MATCH(AG1692,编号表!$C:$C,0))*1000+F1692</f>
        <v>11923027</v>
      </c>
      <c r="C1692" s="14" t="s">
        <v>2456</v>
      </c>
      <c r="D1692" s="14" t="s">
        <v>112</v>
      </c>
      <c r="E1692" s="14" t="s">
        <v>89</v>
      </c>
      <c r="F1692" s="14">
        <v>27</v>
      </c>
      <c r="G1692" s="14">
        <v>60</v>
      </c>
      <c r="H1692" s="14" t="s">
        <v>1400</v>
      </c>
      <c r="I1692" s="14" t="s">
        <v>75</v>
      </c>
      <c r="J1692" s="14" t="s">
        <v>201</v>
      </c>
      <c r="K1692" s="14">
        <v>1</v>
      </c>
      <c r="L1692" s="14" t="s">
        <v>1400</v>
      </c>
      <c r="N1692" s="14">
        <v>0</v>
      </c>
      <c r="O1692" s="14" t="b">
        <v>1</v>
      </c>
      <c r="Q1692" s="14" t="b">
        <v>0</v>
      </c>
      <c r="R1692" s="14">
        <v>1</v>
      </c>
      <c r="S1692" s="14" t="s">
        <v>77</v>
      </c>
      <c r="T1692" s="14">
        <v>999</v>
      </c>
      <c r="U1692" s="14" t="s">
        <v>1401</v>
      </c>
      <c r="V1692" s="14">
        <v>31923027</v>
      </c>
      <c r="X1692" s="14" t="s">
        <v>2459</v>
      </c>
      <c r="Y1692" s="14" t="s">
        <v>215</v>
      </c>
      <c r="Z1692" s="14">
        <v>20455</v>
      </c>
      <c r="AA1692" s="14" t="s">
        <v>2460</v>
      </c>
      <c r="AB1692" s="14">
        <v>40001</v>
      </c>
      <c r="AE1692" s="14" t="s">
        <v>1400</v>
      </c>
      <c r="AF1692" s="14" t="s">
        <v>1400</v>
      </c>
      <c r="AG1692" s="14" t="s">
        <v>89</v>
      </c>
    </row>
    <row r="1693" spans="2:33">
      <c r="B1693" s="14">
        <f>10000000+INDEX(编号表!$B:$B,MATCH(H1693,编号表!$A:$A,0))*100000+INDEX(编号表!$F:$F,MATCH(D1693,编号表!$E:$E,0))*10000+INDEX(编号表!$D:$D,MATCH(AG1693,编号表!$C:$C,0))*1000+F1693</f>
        <v>11933028</v>
      </c>
      <c r="C1693" s="14" t="s">
        <v>2456</v>
      </c>
      <c r="D1693" s="14" t="s">
        <v>276</v>
      </c>
      <c r="E1693" s="14" t="s">
        <v>89</v>
      </c>
      <c r="F1693" s="14">
        <v>28</v>
      </c>
      <c r="G1693" s="14">
        <v>60</v>
      </c>
      <c r="H1693" s="14" t="s">
        <v>1400</v>
      </c>
      <c r="I1693" s="14" t="s">
        <v>75</v>
      </c>
      <c r="J1693" s="14" t="s">
        <v>201</v>
      </c>
      <c r="K1693" s="14">
        <v>1</v>
      </c>
      <c r="L1693" s="14" t="s">
        <v>1400</v>
      </c>
      <c r="N1693" s="14">
        <v>0</v>
      </c>
      <c r="O1693" s="14" t="b">
        <v>1</v>
      </c>
      <c r="Q1693" s="14" t="b">
        <v>0</v>
      </c>
      <c r="R1693" s="14">
        <v>1</v>
      </c>
      <c r="S1693" s="14" t="s">
        <v>77</v>
      </c>
      <c r="T1693" s="14">
        <v>999</v>
      </c>
      <c r="U1693" s="14" t="s">
        <v>1401</v>
      </c>
      <c r="V1693" s="14">
        <v>31933028</v>
      </c>
      <c r="X1693" s="14" t="s">
        <v>2461</v>
      </c>
      <c r="Y1693" s="14" t="s">
        <v>215</v>
      </c>
      <c r="Z1693" s="14">
        <v>20456</v>
      </c>
      <c r="AA1693" s="14" t="s">
        <v>2462</v>
      </c>
      <c r="AB1693" s="14">
        <v>40001</v>
      </c>
      <c r="AE1693" s="14" t="s">
        <v>1400</v>
      </c>
      <c r="AF1693" s="14" t="s">
        <v>1400</v>
      </c>
      <c r="AG1693" s="14" t="s">
        <v>89</v>
      </c>
    </row>
    <row r="1694" spans="2:33">
      <c r="B1694" s="14">
        <f>10000000+INDEX(编号表!$B:$B,MATCH(H1694,编号表!$A:$A,0))*100000+INDEX(编号表!$F:$F,MATCH(D1694,编号表!$E:$E,0))*10000+INDEX(编号表!$D:$D,MATCH(AG1694,编号表!$C:$C,0))*1000+F1694</f>
        <v>11913027</v>
      </c>
      <c r="C1694" s="14" t="s">
        <v>2463</v>
      </c>
      <c r="D1694" s="14" t="s">
        <v>72</v>
      </c>
      <c r="E1694" s="14" t="s">
        <v>89</v>
      </c>
      <c r="F1694" s="14">
        <v>27</v>
      </c>
      <c r="G1694" s="14">
        <v>60</v>
      </c>
      <c r="H1694" s="14" t="s">
        <v>1400</v>
      </c>
      <c r="I1694" s="14" t="s">
        <v>75</v>
      </c>
      <c r="J1694" s="14" t="s">
        <v>201</v>
      </c>
      <c r="K1694" s="14">
        <v>1</v>
      </c>
      <c r="L1694" s="14" t="s">
        <v>1400</v>
      </c>
      <c r="N1694" s="14">
        <v>0</v>
      </c>
      <c r="O1694" s="14" t="b">
        <v>1</v>
      </c>
      <c r="Q1694" s="14" t="b">
        <v>0</v>
      </c>
      <c r="R1694" s="14">
        <v>1</v>
      </c>
      <c r="S1694" s="14" t="s">
        <v>77</v>
      </c>
      <c r="T1694" s="14">
        <v>999</v>
      </c>
      <c r="U1694" s="14" t="s">
        <v>1401</v>
      </c>
      <c r="V1694" s="14">
        <v>31913027</v>
      </c>
      <c r="X1694" s="14" t="s">
        <v>2464</v>
      </c>
      <c r="Y1694" s="14" t="s">
        <v>215</v>
      </c>
      <c r="Z1694" s="14">
        <v>20457</v>
      </c>
      <c r="AA1694" s="14" t="s">
        <v>2465</v>
      </c>
      <c r="AB1694" s="14">
        <v>40001</v>
      </c>
      <c r="AE1694" s="14" t="s">
        <v>1400</v>
      </c>
      <c r="AF1694" s="14" t="s">
        <v>1400</v>
      </c>
      <c r="AG1694" s="14" t="s">
        <v>89</v>
      </c>
    </row>
    <row r="1695" spans="2:33">
      <c r="B1695" s="14">
        <f>10000000+INDEX(编号表!$B:$B,MATCH(H1695,编号表!$A:$A,0))*100000+INDEX(编号表!$F:$F,MATCH(D1695,编号表!$E:$E,0))*10000+INDEX(编号表!$D:$D,MATCH(AG1695,编号表!$C:$C,0))*1000+F1695</f>
        <v>11923028</v>
      </c>
      <c r="C1695" s="14" t="s">
        <v>2463</v>
      </c>
      <c r="D1695" s="14" t="s">
        <v>112</v>
      </c>
      <c r="E1695" s="14" t="s">
        <v>89</v>
      </c>
      <c r="F1695" s="14">
        <v>28</v>
      </c>
      <c r="G1695" s="14">
        <v>60</v>
      </c>
      <c r="H1695" s="14" t="s">
        <v>1400</v>
      </c>
      <c r="I1695" s="14" t="s">
        <v>75</v>
      </c>
      <c r="J1695" s="14" t="s">
        <v>201</v>
      </c>
      <c r="K1695" s="14">
        <v>1</v>
      </c>
      <c r="L1695" s="14" t="s">
        <v>1400</v>
      </c>
      <c r="N1695" s="14">
        <v>0</v>
      </c>
      <c r="O1695" s="14" t="b">
        <v>1</v>
      </c>
      <c r="Q1695" s="14" t="b">
        <v>0</v>
      </c>
      <c r="R1695" s="14">
        <v>1</v>
      </c>
      <c r="S1695" s="14" t="s">
        <v>77</v>
      </c>
      <c r="T1695" s="14">
        <v>999</v>
      </c>
      <c r="U1695" s="14" t="s">
        <v>1401</v>
      </c>
      <c r="V1695" s="14">
        <v>31923028</v>
      </c>
      <c r="X1695" s="14" t="s">
        <v>2466</v>
      </c>
      <c r="Y1695" s="14" t="s">
        <v>215</v>
      </c>
      <c r="Z1695" s="14">
        <v>20458</v>
      </c>
      <c r="AA1695" s="14" t="s">
        <v>2467</v>
      </c>
      <c r="AB1695" s="14">
        <v>40001</v>
      </c>
      <c r="AE1695" s="14" t="s">
        <v>1400</v>
      </c>
      <c r="AF1695" s="14" t="s">
        <v>1400</v>
      </c>
      <c r="AG1695" s="14" t="s">
        <v>89</v>
      </c>
    </row>
    <row r="1696" spans="2:33">
      <c r="B1696" s="14">
        <f>10000000+INDEX(编号表!$B:$B,MATCH(H1696,编号表!$A:$A,0))*100000+INDEX(编号表!$F:$F,MATCH(D1696,编号表!$E:$E,0))*10000+INDEX(编号表!$D:$D,MATCH(AG1696,编号表!$C:$C,0))*1000+F1696</f>
        <v>11933029</v>
      </c>
      <c r="C1696" s="14" t="s">
        <v>2463</v>
      </c>
      <c r="D1696" s="14" t="s">
        <v>276</v>
      </c>
      <c r="E1696" s="14" t="s">
        <v>89</v>
      </c>
      <c r="F1696" s="14">
        <v>29</v>
      </c>
      <c r="G1696" s="14">
        <v>60</v>
      </c>
      <c r="H1696" s="14" t="s">
        <v>1400</v>
      </c>
      <c r="I1696" s="14" t="s">
        <v>75</v>
      </c>
      <c r="J1696" s="14" t="s">
        <v>201</v>
      </c>
      <c r="K1696" s="14">
        <v>1</v>
      </c>
      <c r="L1696" s="14" t="s">
        <v>1400</v>
      </c>
      <c r="N1696" s="14">
        <v>0</v>
      </c>
      <c r="O1696" s="14" t="b">
        <v>1</v>
      </c>
      <c r="Q1696" s="14" t="b">
        <v>0</v>
      </c>
      <c r="R1696" s="14">
        <v>1</v>
      </c>
      <c r="S1696" s="14" t="s">
        <v>77</v>
      </c>
      <c r="T1696" s="14">
        <v>999</v>
      </c>
      <c r="U1696" s="14" t="s">
        <v>1401</v>
      </c>
      <c r="V1696" s="14">
        <v>31933029</v>
      </c>
      <c r="X1696" s="14" t="s">
        <v>2468</v>
      </c>
      <c r="Y1696" s="14" t="s">
        <v>215</v>
      </c>
      <c r="Z1696" s="14">
        <v>20459</v>
      </c>
      <c r="AA1696" s="14" t="s">
        <v>2469</v>
      </c>
      <c r="AB1696" s="14">
        <v>40001</v>
      </c>
      <c r="AE1696" s="14" t="s">
        <v>1400</v>
      </c>
      <c r="AF1696" s="14" t="s">
        <v>1400</v>
      </c>
      <c r="AG1696" s="14" t="s">
        <v>89</v>
      </c>
    </row>
    <row r="1697" spans="2:33">
      <c r="B1697" s="14">
        <f>10000000+INDEX(编号表!$B:$B,MATCH(H1697,编号表!$A:$A,0))*100000+INDEX(编号表!$F:$F,MATCH(D1697,编号表!$E:$E,0))*10000+INDEX(编号表!$D:$D,MATCH(AG1697,编号表!$C:$C,0))*1000+F1697</f>
        <v>11913028</v>
      </c>
      <c r="C1697" s="14" t="s">
        <v>2470</v>
      </c>
      <c r="D1697" s="14" t="s">
        <v>72</v>
      </c>
      <c r="E1697" s="14" t="s">
        <v>89</v>
      </c>
      <c r="F1697" s="14">
        <v>28</v>
      </c>
      <c r="G1697" s="14">
        <v>60</v>
      </c>
      <c r="H1697" s="14" t="s">
        <v>1400</v>
      </c>
      <c r="I1697" s="14" t="s">
        <v>75</v>
      </c>
      <c r="J1697" s="14" t="s">
        <v>201</v>
      </c>
      <c r="K1697" s="14">
        <v>1</v>
      </c>
      <c r="L1697" s="14" t="s">
        <v>1400</v>
      </c>
      <c r="N1697" s="14">
        <v>0</v>
      </c>
      <c r="O1697" s="14" t="b">
        <v>1</v>
      </c>
      <c r="Q1697" s="14" t="b">
        <v>0</v>
      </c>
      <c r="R1697" s="14">
        <v>1</v>
      </c>
      <c r="S1697" s="14" t="s">
        <v>77</v>
      </c>
      <c r="T1697" s="14">
        <v>999</v>
      </c>
      <c r="U1697" s="14" t="s">
        <v>1401</v>
      </c>
      <c r="V1697" s="14">
        <v>31913028</v>
      </c>
      <c r="X1697" s="14" t="s">
        <v>2471</v>
      </c>
      <c r="Y1697" s="14" t="s">
        <v>215</v>
      </c>
      <c r="Z1697" s="14">
        <v>20460</v>
      </c>
      <c r="AA1697" s="14" t="s">
        <v>2472</v>
      </c>
      <c r="AB1697" s="14">
        <v>40001</v>
      </c>
      <c r="AE1697" s="14" t="s">
        <v>1400</v>
      </c>
      <c r="AF1697" s="14" t="s">
        <v>1400</v>
      </c>
      <c r="AG1697" s="14" t="s">
        <v>89</v>
      </c>
    </row>
    <row r="1698" spans="2:33">
      <c r="B1698" s="14">
        <f>10000000+INDEX(编号表!$B:$B,MATCH(H1698,编号表!$A:$A,0))*100000+INDEX(编号表!$F:$F,MATCH(D1698,编号表!$E:$E,0))*10000+INDEX(编号表!$D:$D,MATCH(AG1698,编号表!$C:$C,0))*1000+F1698</f>
        <v>11923029</v>
      </c>
      <c r="C1698" s="14" t="s">
        <v>2470</v>
      </c>
      <c r="D1698" s="14" t="s">
        <v>112</v>
      </c>
      <c r="E1698" s="14" t="s">
        <v>89</v>
      </c>
      <c r="F1698" s="14">
        <v>29</v>
      </c>
      <c r="G1698" s="14">
        <v>60</v>
      </c>
      <c r="H1698" s="14" t="s">
        <v>1400</v>
      </c>
      <c r="I1698" s="14" t="s">
        <v>75</v>
      </c>
      <c r="J1698" s="14" t="s">
        <v>201</v>
      </c>
      <c r="K1698" s="14">
        <v>1</v>
      </c>
      <c r="L1698" s="14" t="s">
        <v>1400</v>
      </c>
      <c r="N1698" s="14">
        <v>0</v>
      </c>
      <c r="O1698" s="14" t="b">
        <v>1</v>
      </c>
      <c r="Q1698" s="14" t="b">
        <v>0</v>
      </c>
      <c r="R1698" s="14">
        <v>1</v>
      </c>
      <c r="S1698" s="14" t="s">
        <v>77</v>
      </c>
      <c r="T1698" s="14">
        <v>999</v>
      </c>
      <c r="U1698" s="14" t="s">
        <v>1401</v>
      </c>
      <c r="V1698" s="14">
        <v>31923029</v>
      </c>
      <c r="X1698" s="14" t="s">
        <v>2473</v>
      </c>
      <c r="Y1698" s="14" t="s">
        <v>215</v>
      </c>
      <c r="Z1698" s="14">
        <v>20461</v>
      </c>
      <c r="AA1698" s="14" t="s">
        <v>2474</v>
      </c>
      <c r="AB1698" s="14">
        <v>40001</v>
      </c>
      <c r="AE1698" s="14" t="s">
        <v>1400</v>
      </c>
      <c r="AF1698" s="14" t="s">
        <v>1400</v>
      </c>
      <c r="AG1698" s="14" t="s">
        <v>89</v>
      </c>
    </row>
    <row r="1699" spans="2:33">
      <c r="B1699" s="14">
        <f>10000000+INDEX(编号表!$B:$B,MATCH(H1699,编号表!$A:$A,0))*100000+INDEX(编号表!$F:$F,MATCH(D1699,编号表!$E:$E,0))*10000+INDEX(编号表!$D:$D,MATCH(AG1699,编号表!$C:$C,0))*1000+F1699</f>
        <v>11933030</v>
      </c>
      <c r="C1699" s="14" t="s">
        <v>2470</v>
      </c>
      <c r="D1699" s="14" t="s">
        <v>276</v>
      </c>
      <c r="E1699" s="14" t="s">
        <v>89</v>
      </c>
      <c r="F1699" s="14">
        <v>30</v>
      </c>
      <c r="G1699" s="14">
        <v>60</v>
      </c>
      <c r="H1699" s="14" t="s">
        <v>1400</v>
      </c>
      <c r="I1699" s="14" t="s">
        <v>75</v>
      </c>
      <c r="J1699" s="14" t="s">
        <v>201</v>
      </c>
      <c r="K1699" s="14">
        <v>1</v>
      </c>
      <c r="L1699" s="14" t="s">
        <v>1400</v>
      </c>
      <c r="N1699" s="14">
        <v>0</v>
      </c>
      <c r="O1699" s="14" t="b">
        <v>1</v>
      </c>
      <c r="Q1699" s="14" t="b">
        <v>0</v>
      </c>
      <c r="R1699" s="14">
        <v>1</v>
      </c>
      <c r="S1699" s="14" t="s">
        <v>77</v>
      </c>
      <c r="T1699" s="14">
        <v>999</v>
      </c>
      <c r="U1699" s="14" t="s">
        <v>1401</v>
      </c>
      <c r="V1699" s="14">
        <v>31933030</v>
      </c>
      <c r="X1699" s="14" t="s">
        <v>2475</v>
      </c>
      <c r="Y1699" s="14" t="s">
        <v>215</v>
      </c>
      <c r="Z1699" s="14">
        <v>20462</v>
      </c>
      <c r="AA1699" s="14" t="s">
        <v>2476</v>
      </c>
      <c r="AB1699" s="14">
        <v>40001</v>
      </c>
      <c r="AE1699" s="14" t="s">
        <v>1400</v>
      </c>
      <c r="AF1699" s="14" t="s">
        <v>1400</v>
      </c>
      <c r="AG1699" s="14" t="s">
        <v>89</v>
      </c>
    </row>
    <row r="1700" spans="2:33">
      <c r="B1700" s="14">
        <f>10000000+INDEX(编号表!$B:$B,MATCH(H1700,编号表!$A:$A,0))*100000+INDEX(编号表!$F:$F,MATCH(D1700,编号表!$E:$E,0))*10000+INDEX(编号表!$D:$D,MATCH(AG1700,编号表!$C:$C,0))*1000+F1700</f>
        <v>11913029</v>
      </c>
      <c r="C1700" s="14" t="s">
        <v>2477</v>
      </c>
      <c r="D1700" s="14" t="s">
        <v>72</v>
      </c>
      <c r="E1700" s="14" t="s">
        <v>89</v>
      </c>
      <c r="F1700" s="14">
        <v>29</v>
      </c>
      <c r="G1700" s="14">
        <v>60</v>
      </c>
      <c r="H1700" s="14" t="s">
        <v>1400</v>
      </c>
      <c r="I1700" s="14" t="s">
        <v>75</v>
      </c>
      <c r="J1700" s="14" t="s">
        <v>201</v>
      </c>
      <c r="K1700" s="14">
        <v>1</v>
      </c>
      <c r="L1700" s="14" t="s">
        <v>1400</v>
      </c>
      <c r="N1700" s="14">
        <v>0</v>
      </c>
      <c r="O1700" s="14" t="b">
        <v>1</v>
      </c>
      <c r="Q1700" s="14" t="b">
        <v>0</v>
      </c>
      <c r="R1700" s="14">
        <v>1</v>
      </c>
      <c r="S1700" s="14" t="s">
        <v>77</v>
      </c>
      <c r="T1700" s="14">
        <v>999</v>
      </c>
      <c r="U1700" s="14" t="s">
        <v>1401</v>
      </c>
      <c r="V1700" s="14">
        <v>31913029</v>
      </c>
      <c r="X1700" s="14" t="s">
        <v>2478</v>
      </c>
      <c r="Y1700" s="14" t="s">
        <v>215</v>
      </c>
      <c r="Z1700" s="14">
        <v>20463</v>
      </c>
      <c r="AA1700" s="14" t="s">
        <v>2479</v>
      </c>
      <c r="AB1700" s="14">
        <v>40001</v>
      </c>
      <c r="AE1700" s="14" t="s">
        <v>1400</v>
      </c>
      <c r="AF1700" s="14" t="s">
        <v>1400</v>
      </c>
      <c r="AG1700" s="14" t="s">
        <v>89</v>
      </c>
    </row>
    <row r="1701" spans="2:33">
      <c r="B1701" s="14">
        <f>10000000+INDEX(编号表!$B:$B,MATCH(H1701,编号表!$A:$A,0))*100000+INDEX(编号表!$F:$F,MATCH(D1701,编号表!$E:$E,0))*10000+INDEX(编号表!$D:$D,MATCH(AG1701,编号表!$C:$C,0))*1000+F1701</f>
        <v>11923030</v>
      </c>
      <c r="C1701" s="14" t="s">
        <v>2477</v>
      </c>
      <c r="D1701" s="14" t="s">
        <v>112</v>
      </c>
      <c r="E1701" s="14" t="s">
        <v>89</v>
      </c>
      <c r="F1701" s="14">
        <v>30</v>
      </c>
      <c r="G1701" s="14">
        <v>60</v>
      </c>
      <c r="H1701" s="14" t="s">
        <v>1400</v>
      </c>
      <c r="I1701" s="14" t="s">
        <v>75</v>
      </c>
      <c r="J1701" s="14" t="s">
        <v>201</v>
      </c>
      <c r="K1701" s="14">
        <v>1</v>
      </c>
      <c r="L1701" s="14" t="s">
        <v>1400</v>
      </c>
      <c r="N1701" s="14">
        <v>0</v>
      </c>
      <c r="O1701" s="14" t="b">
        <v>1</v>
      </c>
      <c r="Q1701" s="14" t="b">
        <v>0</v>
      </c>
      <c r="R1701" s="14">
        <v>1</v>
      </c>
      <c r="S1701" s="14" t="s">
        <v>77</v>
      </c>
      <c r="T1701" s="14">
        <v>999</v>
      </c>
      <c r="U1701" s="14" t="s">
        <v>1401</v>
      </c>
      <c r="V1701" s="14">
        <v>31923030</v>
      </c>
      <c r="X1701" s="14" t="s">
        <v>2480</v>
      </c>
      <c r="Y1701" s="14" t="s">
        <v>215</v>
      </c>
      <c r="Z1701" s="14">
        <v>20464</v>
      </c>
      <c r="AA1701" s="14" t="s">
        <v>2481</v>
      </c>
      <c r="AB1701" s="14">
        <v>40001</v>
      </c>
      <c r="AE1701" s="14" t="s">
        <v>1400</v>
      </c>
      <c r="AF1701" s="14" t="s">
        <v>1400</v>
      </c>
      <c r="AG1701" s="14" t="s">
        <v>89</v>
      </c>
    </row>
    <row r="1702" spans="2:33">
      <c r="B1702" s="14">
        <f>10000000+INDEX(编号表!$B:$B,MATCH(H1702,编号表!$A:$A,0))*100000+INDEX(编号表!$F:$F,MATCH(D1702,编号表!$E:$E,0))*10000+INDEX(编号表!$D:$D,MATCH(AG1702,编号表!$C:$C,0))*1000+F1702</f>
        <v>11933031</v>
      </c>
      <c r="C1702" s="14" t="s">
        <v>2477</v>
      </c>
      <c r="D1702" s="14" t="s">
        <v>276</v>
      </c>
      <c r="E1702" s="14" t="s">
        <v>89</v>
      </c>
      <c r="F1702" s="14">
        <v>31</v>
      </c>
      <c r="G1702" s="14">
        <v>60</v>
      </c>
      <c r="H1702" s="14" t="s">
        <v>1400</v>
      </c>
      <c r="I1702" s="14" t="s">
        <v>75</v>
      </c>
      <c r="J1702" s="14" t="s">
        <v>201</v>
      </c>
      <c r="K1702" s="14">
        <v>1</v>
      </c>
      <c r="L1702" s="14" t="s">
        <v>1400</v>
      </c>
      <c r="N1702" s="14">
        <v>0</v>
      </c>
      <c r="O1702" s="14" t="b">
        <v>1</v>
      </c>
      <c r="Q1702" s="14" t="b">
        <v>0</v>
      </c>
      <c r="R1702" s="14">
        <v>1</v>
      </c>
      <c r="S1702" s="14" t="s">
        <v>77</v>
      </c>
      <c r="T1702" s="14">
        <v>999</v>
      </c>
      <c r="U1702" s="14" t="s">
        <v>1401</v>
      </c>
      <c r="V1702" s="14">
        <v>31933031</v>
      </c>
      <c r="X1702" s="14" t="s">
        <v>2482</v>
      </c>
      <c r="Y1702" s="14" t="s">
        <v>215</v>
      </c>
      <c r="Z1702" s="14">
        <v>20465</v>
      </c>
      <c r="AA1702" s="14" t="s">
        <v>2483</v>
      </c>
      <c r="AB1702" s="14">
        <v>40001</v>
      </c>
      <c r="AE1702" s="14" t="s">
        <v>1400</v>
      </c>
      <c r="AF1702" s="14" t="s">
        <v>1400</v>
      </c>
      <c r="AG1702" s="14" t="s">
        <v>89</v>
      </c>
    </row>
    <row r="1703" spans="2:33">
      <c r="B1703" s="14">
        <f>10000000+INDEX(编号表!$B:$B,MATCH(H1703,编号表!$A:$A,0))*100000+INDEX(编号表!$F:$F,MATCH(D1703,编号表!$E:$E,0))*10000+INDEX(编号表!$D:$D,MATCH(AG1703,编号表!$C:$C,0))*1000+F1703</f>
        <v>11913030</v>
      </c>
      <c r="C1703" s="14" t="s">
        <v>2484</v>
      </c>
      <c r="D1703" s="14" t="s">
        <v>72</v>
      </c>
      <c r="E1703" s="14" t="s">
        <v>89</v>
      </c>
      <c r="F1703" s="14">
        <v>30</v>
      </c>
      <c r="G1703" s="14">
        <v>60</v>
      </c>
      <c r="H1703" s="14" t="s">
        <v>1400</v>
      </c>
      <c r="I1703" s="14" t="s">
        <v>75</v>
      </c>
      <c r="J1703" s="14" t="s">
        <v>201</v>
      </c>
      <c r="K1703" s="14">
        <v>1</v>
      </c>
      <c r="L1703" s="14" t="s">
        <v>1400</v>
      </c>
      <c r="N1703" s="14">
        <v>0</v>
      </c>
      <c r="O1703" s="14" t="b">
        <v>1</v>
      </c>
      <c r="Q1703" s="14" t="b">
        <v>0</v>
      </c>
      <c r="R1703" s="14">
        <v>1</v>
      </c>
      <c r="S1703" s="14" t="s">
        <v>77</v>
      </c>
      <c r="T1703" s="14">
        <v>999</v>
      </c>
      <c r="U1703" s="14" t="s">
        <v>1401</v>
      </c>
      <c r="V1703" s="14">
        <v>31913030</v>
      </c>
      <c r="X1703" s="14" t="s">
        <v>2485</v>
      </c>
      <c r="Y1703" s="14" t="s">
        <v>215</v>
      </c>
      <c r="Z1703" s="14">
        <v>20466</v>
      </c>
      <c r="AA1703" s="14" t="s">
        <v>2486</v>
      </c>
      <c r="AB1703" s="14">
        <v>40001</v>
      </c>
      <c r="AE1703" s="14" t="s">
        <v>1400</v>
      </c>
      <c r="AF1703" s="14" t="s">
        <v>1400</v>
      </c>
      <c r="AG1703" s="14" t="s">
        <v>89</v>
      </c>
    </row>
    <row r="1704" spans="2:33">
      <c r="B1704" s="14">
        <f>10000000+INDEX(编号表!$B:$B,MATCH(H1704,编号表!$A:$A,0))*100000+INDEX(编号表!$F:$F,MATCH(D1704,编号表!$E:$E,0))*10000+INDEX(编号表!$D:$D,MATCH(AG1704,编号表!$C:$C,0))*1000+F1704</f>
        <v>11923031</v>
      </c>
      <c r="C1704" s="14" t="s">
        <v>2484</v>
      </c>
      <c r="D1704" s="14" t="s">
        <v>112</v>
      </c>
      <c r="E1704" s="14" t="s">
        <v>89</v>
      </c>
      <c r="F1704" s="14">
        <v>31</v>
      </c>
      <c r="G1704" s="14">
        <v>60</v>
      </c>
      <c r="H1704" s="14" t="s">
        <v>1400</v>
      </c>
      <c r="I1704" s="14" t="s">
        <v>75</v>
      </c>
      <c r="J1704" s="14" t="s">
        <v>201</v>
      </c>
      <c r="K1704" s="14">
        <v>1</v>
      </c>
      <c r="L1704" s="14" t="s">
        <v>1400</v>
      </c>
      <c r="N1704" s="14">
        <v>0</v>
      </c>
      <c r="O1704" s="14" t="b">
        <v>1</v>
      </c>
      <c r="Q1704" s="14" t="b">
        <v>0</v>
      </c>
      <c r="R1704" s="14">
        <v>1</v>
      </c>
      <c r="S1704" s="14" t="s">
        <v>77</v>
      </c>
      <c r="T1704" s="14">
        <v>999</v>
      </c>
      <c r="U1704" s="14" t="s">
        <v>1401</v>
      </c>
      <c r="V1704" s="14">
        <v>31923031</v>
      </c>
      <c r="X1704" s="14" t="s">
        <v>2487</v>
      </c>
      <c r="Y1704" s="14" t="s">
        <v>215</v>
      </c>
      <c r="Z1704" s="14">
        <v>20467</v>
      </c>
      <c r="AA1704" s="14" t="s">
        <v>2488</v>
      </c>
      <c r="AB1704" s="14">
        <v>40001</v>
      </c>
      <c r="AE1704" s="14" t="s">
        <v>1400</v>
      </c>
      <c r="AF1704" s="14" t="s">
        <v>1400</v>
      </c>
      <c r="AG1704" s="14" t="s">
        <v>89</v>
      </c>
    </row>
    <row r="1705" spans="2:33">
      <c r="B1705" s="14">
        <f>10000000+INDEX(编号表!$B:$B,MATCH(H1705,编号表!$A:$A,0))*100000+INDEX(编号表!$F:$F,MATCH(D1705,编号表!$E:$E,0))*10000+INDEX(编号表!$D:$D,MATCH(AG1705,编号表!$C:$C,0))*1000+F1705</f>
        <v>11933032</v>
      </c>
      <c r="C1705" s="14" t="s">
        <v>2484</v>
      </c>
      <c r="D1705" s="14" t="s">
        <v>276</v>
      </c>
      <c r="E1705" s="14" t="s">
        <v>89</v>
      </c>
      <c r="F1705" s="14">
        <v>32</v>
      </c>
      <c r="G1705" s="14">
        <v>60</v>
      </c>
      <c r="H1705" s="14" t="s">
        <v>1400</v>
      </c>
      <c r="I1705" s="14" t="s">
        <v>75</v>
      </c>
      <c r="J1705" s="14" t="s">
        <v>201</v>
      </c>
      <c r="K1705" s="14">
        <v>1</v>
      </c>
      <c r="L1705" s="14" t="s">
        <v>1400</v>
      </c>
      <c r="N1705" s="14">
        <v>0</v>
      </c>
      <c r="O1705" s="14" t="b">
        <v>1</v>
      </c>
      <c r="Q1705" s="14" t="b">
        <v>0</v>
      </c>
      <c r="R1705" s="14">
        <v>1</v>
      </c>
      <c r="S1705" s="14" t="s">
        <v>77</v>
      </c>
      <c r="T1705" s="14">
        <v>999</v>
      </c>
      <c r="U1705" s="14" t="s">
        <v>1401</v>
      </c>
      <c r="V1705" s="14">
        <v>31933032</v>
      </c>
      <c r="X1705" s="14" t="s">
        <v>2489</v>
      </c>
      <c r="Y1705" s="14" t="s">
        <v>215</v>
      </c>
      <c r="Z1705" s="14">
        <v>20468</v>
      </c>
      <c r="AA1705" s="14" t="s">
        <v>2490</v>
      </c>
      <c r="AB1705" s="14">
        <v>40001</v>
      </c>
      <c r="AE1705" s="14" t="s">
        <v>1400</v>
      </c>
      <c r="AF1705" s="14" t="s">
        <v>1400</v>
      </c>
      <c r="AG1705" s="14" t="s">
        <v>89</v>
      </c>
    </row>
    <row r="1706" spans="2:33">
      <c r="B1706" s="14">
        <f>10000000+INDEX(编号表!$B:$B,MATCH(H1706,编号表!$A:$A,0))*100000+INDEX(编号表!$F:$F,MATCH(D1706,编号表!$E:$E,0))*10000+INDEX(编号表!$D:$D,MATCH(AG1706,编号表!$C:$C,0))*1000+F1706</f>
        <v>11913031</v>
      </c>
      <c r="C1706" s="14" t="s">
        <v>2491</v>
      </c>
      <c r="D1706" s="14" t="s">
        <v>72</v>
      </c>
      <c r="E1706" s="14" t="s">
        <v>89</v>
      </c>
      <c r="F1706" s="14">
        <v>31</v>
      </c>
      <c r="G1706" s="14">
        <v>60</v>
      </c>
      <c r="H1706" s="14" t="s">
        <v>1400</v>
      </c>
      <c r="I1706" s="14" t="s">
        <v>75</v>
      </c>
      <c r="J1706" s="14" t="s">
        <v>201</v>
      </c>
      <c r="K1706" s="14">
        <v>1</v>
      </c>
      <c r="L1706" s="14" t="s">
        <v>1400</v>
      </c>
      <c r="N1706" s="14">
        <v>0</v>
      </c>
      <c r="O1706" s="14" t="b">
        <v>1</v>
      </c>
      <c r="Q1706" s="14" t="b">
        <v>0</v>
      </c>
      <c r="R1706" s="14">
        <v>1</v>
      </c>
      <c r="S1706" s="14" t="s">
        <v>77</v>
      </c>
      <c r="T1706" s="14">
        <v>999</v>
      </c>
      <c r="U1706" s="14" t="s">
        <v>1401</v>
      </c>
      <c r="V1706" s="14">
        <v>31913031</v>
      </c>
      <c r="X1706" s="14" t="s">
        <v>2492</v>
      </c>
      <c r="Y1706" s="14" t="s">
        <v>215</v>
      </c>
      <c r="Z1706" s="14">
        <v>20469</v>
      </c>
      <c r="AA1706" s="14" t="s">
        <v>2493</v>
      </c>
      <c r="AB1706" s="14">
        <v>40001</v>
      </c>
      <c r="AE1706" s="14" t="s">
        <v>1400</v>
      </c>
      <c r="AF1706" s="14" t="s">
        <v>1400</v>
      </c>
      <c r="AG1706" s="14" t="s">
        <v>89</v>
      </c>
    </row>
    <row r="1707" spans="2:33">
      <c r="B1707" s="14">
        <f>10000000+INDEX(编号表!$B:$B,MATCH(H1707,编号表!$A:$A,0))*100000+INDEX(编号表!$F:$F,MATCH(D1707,编号表!$E:$E,0))*10000+INDEX(编号表!$D:$D,MATCH(AG1707,编号表!$C:$C,0))*1000+F1707</f>
        <v>11923032</v>
      </c>
      <c r="C1707" s="14" t="s">
        <v>2491</v>
      </c>
      <c r="D1707" s="14" t="s">
        <v>112</v>
      </c>
      <c r="E1707" s="14" t="s">
        <v>89</v>
      </c>
      <c r="F1707" s="14">
        <v>32</v>
      </c>
      <c r="G1707" s="14">
        <v>60</v>
      </c>
      <c r="H1707" s="14" t="s">
        <v>1400</v>
      </c>
      <c r="I1707" s="14" t="s">
        <v>75</v>
      </c>
      <c r="J1707" s="14" t="s">
        <v>201</v>
      </c>
      <c r="K1707" s="14">
        <v>1</v>
      </c>
      <c r="L1707" s="14" t="s">
        <v>1400</v>
      </c>
      <c r="N1707" s="14">
        <v>0</v>
      </c>
      <c r="O1707" s="14" t="b">
        <v>1</v>
      </c>
      <c r="Q1707" s="14" t="b">
        <v>0</v>
      </c>
      <c r="R1707" s="14">
        <v>1</v>
      </c>
      <c r="S1707" s="14" t="s">
        <v>77</v>
      </c>
      <c r="T1707" s="14">
        <v>999</v>
      </c>
      <c r="U1707" s="14" t="s">
        <v>1401</v>
      </c>
      <c r="V1707" s="14">
        <v>31923032</v>
      </c>
      <c r="X1707" s="14" t="s">
        <v>2494</v>
      </c>
      <c r="Y1707" s="14" t="s">
        <v>215</v>
      </c>
      <c r="Z1707" s="14">
        <v>20470</v>
      </c>
      <c r="AA1707" s="14" t="s">
        <v>2495</v>
      </c>
      <c r="AB1707" s="14">
        <v>40001</v>
      </c>
      <c r="AE1707" s="14" t="s">
        <v>1400</v>
      </c>
      <c r="AF1707" s="14" t="s">
        <v>1400</v>
      </c>
      <c r="AG1707" s="14" t="s">
        <v>89</v>
      </c>
    </row>
    <row r="1708" spans="2:33">
      <c r="B1708" s="14">
        <f>10000000+INDEX(编号表!$B:$B,MATCH(H1708,编号表!$A:$A,0))*100000+INDEX(编号表!$F:$F,MATCH(D1708,编号表!$E:$E,0))*10000+INDEX(编号表!$D:$D,MATCH(AG1708,编号表!$C:$C,0))*1000+F1708</f>
        <v>11933033</v>
      </c>
      <c r="C1708" s="14" t="s">
        <v>2491</v>
      </c>
      <c r="D1708" s="14" t="s">
        <v>276</v>
      </c>
      <c r="E1708" s="14" t="s">
        <v>89</v>
      </c>
      <c r="F1708" s="14">
        <v>33</v>
      </c>
      <c r="G1708" s="14">
        <v>60</v>
      </c>
      <c r="H1708" s="14" t="s">
        <v>1400</v>
      </c>
      <c r="I1708" s="14" t="s">
        <v>75</v>
      </c>
      <c r="J1708" s="14" t="s">
        <v>201</v>
      </c>
      <c r="K1708" s="14">
        <v>1</v>
      </c>
      <c r="L1708" s="14" t="s">
        <v>1400</v>
      </c>
      <c r="N1708" s="14">
        <v>0</v>
      </c>
      <c r="O1708" s="14" t="b">
        <v>1</v>
      </c>
      <c r="Q1708" s="14" t="b">
        <v>0</v>
      </c>
      <c r="R1708" s="14">
        <v>1</v>
      </c>
      <c r="S1708" s="14" t="s">
        <v>77</v>
      </c>
      <c r="T1708" s="14">
        <v>999</v>
      </c>
      <c r="U1708" s="14" t="s">
        <v>1401</v>
      </c>
      <c r="V1708" s="14">
        <v>31933033</v>
      </c>
      <c r="X1708" s="14" t="s">
        <v>2496</v>
      </c>
      <c r="Y1708" s="14" t="s">
        <v>215</v>
      </c>
      <c r="Z1708" s="14">
        <v>20471</v>
      </c>
      <c r="AA1708" s="14" t="s">
        <v>2497</v>
      </c>
      <c r="AB1708" s="14">
        <v>40001</v>
      </c>
      <c r="AE1708" s="14" t="s">
        <v>1400</v>
      </c>
      <c r="AF1708" s="14" t="s">
        <v>1400</v>
      </c>
      <c r="AG1708" s="14" t="s">
        <v>89</v>
      </c>
    </row>
    <row r="1709" spans="2:33">
      <c r="B1709" s="14">
        <f>10000000+INDEX(编号表!$B:$B,MATCH(H1709,编号表!$A:$A,0))*100000+INDEX(编号表!$F:$F,MATCH(D1709,编号表!$E:$E,0))*10000+INDEX(编号表!$D:$D,MATCH(AG1709,编号表!$C:$C,0))*1000+F1709</f>
        <v>11913032</v>
      </c>
      <c r="C1709" s="14" t="s">
        <v>2498</v>
      </c>
      <c r="D1709" s="14" t="s">
        <v>72</v>
      </c>
      <c r="E1709" s="14" t="s">
        <v>89</v>
      </c>
      <c r="F1709" s="14">
        <v>32</v>
      </c>
      <c r="G1709" s="14">
        <v>60</v>
      </c>
      <c r="H1709" s="14" t="s">
        <v>1400</v>
      </c>
      <c r="I1709" s="14" t="s">
        <v>75</v>
      </c>
      <c r="J1709" s="14" t="s">
        <v>201</v>
      </c>
      <c r="K1709" s="14">
        <v>1</v>
      </c>
      <c r="L1709" s="14" t="s">
        <v>1400</v>
      </c>
      <c r="N1709" s="14">
        <v>0</v>
      </c>
      <c r="O1709" s="14" t="b">
        <v>1</v>
      </c>
      <c r="Q1709" s="14" t="b">
        <v>0</v>
      </c>
      <c r="R1709" s="14">
        <v>1</v>
      </c>
      <c r="S1709" s="14" t="s">
        <v>77</v>
      </c>
      <c r="T1709" s="14">
        <v>999</v>
      </c>
      <c r="U1709" s="14" t="s">
        <v>1401</v>
      </c>
      <c r="V1709" s="14">
        <v>31913032</v>
      </c>
      <c r="X1709" s="14" t="s">
        <v>2499</v>
      </c>
      <c r="Y1709" s="14" t="s">
        <v>215</v>
      </c>
      <c r="Z1709" s="14">
        <v>20472</v>
      </c>
      <c r="AA1709" s="14" t="s">
        <v>2500</v>
      </c>
      <c r="AB1709" s="14">
        <v>40001</v>
      </c>
      <c r="AE1709" s="14" t="s">
        <v>1400</v>
      </c>
      <c r="AF1709" s="14" t="s">
        <v>1400</v>
      </c>
      <c r="AG1709" s="14" t="s">
        <v>89</v>
      </c>
    </row>
    <row r="1710" spans="2:33">
      <c r="B1710" s="14">
        <f>10000000+INDEX(编号表!$B:$B,MATCH(H1710,编号表!$A:$A,0))*100000+INDEX(编号表!$F:$F,MATCH(D1710,编号表!$E:$E,0))*10000+INDEX(编号表!$D:$D,MATCH(AG1710,编号表!$C:$C,0))*1000+F1710</f>
        <v>11923033</v>
      </c>
      <c r="C1710" s="14" t="s">
        <v>2498</v>
      </c>
      <c r="D1710" s="14" t="s">
        <v>112</v>
      </c>
      <c r="E1710" s="14" t="s">
        <v>89</v>
      </c>
      <c r="F1710" s="14">
        <v>33</v>
      </c>
      <c r="G1710" s="14">
        <v>60</v>
      </c>
      <c r="H1710" s="14" t="s">
        <v>1400</v>
      </c>
      <c r="I1710" s="14" t="s">
        <v>75</v>
      </c>
      <c r="J1710" s="14" t="s">
        <v>201</v>
      </c>
      <c r="K1710" s="14">
        <v>1</v>
      </c>
      <c r="L1710" s="14" t="s">
        <v>1400</v>
      </c>
      <c r="N1710" s="14">
        <v>0</v>
      </c>
      <c r="O1710" s="14" t="b">
        <v>1</v>
      </c>
      <c r="Q1710" s="14" t="b">
        <v>0</v>
      </c>
      <c r="R1710" s="14">
        <v>1</v>
      </c>
      <c r="S1710" s="14" t="s">
        <v>77</v>
      </c>
      <c r="T1710" s="14">
        <v>999</v>
      </c>
      <c r="U1710" s="14" t="s">
        <v>1401</v>
      </c>
      <c r="V1710" s="14">
        <v>31923033</v>
      </c>
      <c r="X1710" s="14" t="s">
        <v>2501</v>
      </c>
      <c r="Y1710" s="14" t="s">
        <v>215</v>
      </c>
      <c r="Z1710" s="14">
        <v>20473</v>
      </c>
      <c r="AA1710" s="14" t="s">
        <v>2502</v>
      </c>
      <c r="AB1710" s="14">
        <v>40001</v>
      </c>
      <c r="AE1710" s="14" t="s">
        <v>1400</v>
      </c>
      <c r="AF1710" s="14" t="s">
        <v>1400</v>
      </c>
      <c r="AG1710" s="14" t="s">
        <v>89</v>
      </c>
    </row>
    <row r="1711" spans="2:33">
      <c r="B1711" s="14">
        <f>10000000+INDEX(编号表!$B:$B,MATCH(H1711,编号表!$A:$A,0))*100000+INDEX(编号表!$F:$F,MATCH(D1711,编号表!$E:$E,0))*10000+INDEX(编号表!$D:$D,MATCH(AG1711,编号表!$C:$C,0))*1000+F1711</f>
        <v>11933034</v>
      </c>
      <c r="C1711" s="14" t="s">
        <v>2498</v>
      </c>
      <c r="D1711" s="14" t="s">
        <v>276</v>
      </c>
      <c r="E1711" s="14" t="s">
        <v>89</v>
      </c>
      <c r="F1711" s="14">
        <v>34</v>
      </c>
      <c r="G1711" s="14">
        <v>60</v>
      </c>
      <c r="H1711" s="14" t="s">
        <v>1400</v>
      </c>
      <c r="I1711" s="14" t="s">
        <v>75</v>
      </c>
      <c r="J1711" s="14" t="s">
        <v>201</v>
      </c>
      <c r="K1711" s="14">
        <v>1</v>
      </c>
      <c r="L1711" s="14" t="s">
        <v>1400</v>
      </c>
      <c r="N1711" s="14">
        <v>0</v>
      </c>
      <c r="O1711" s="14" t="b">
        <v>1</v>
      </c>
      <c r="Q1711" s="14" t="b">
        <v>0</v>
      </c>
      <c r="R1711" s="14">
        <v>1</v>
      </c>
      <c r="S1711" s="14" t="s">
        <v>77</v>
      </c>
      <c r="T1711" s="14">
        <v>999</v>
      </c>
      <c r="U1711" s="14" t="s">
        <v>1401</v>
      </c>
      <c r="V1711" s="14">
        <v>31933034</v>
      </c>
      <c r="X1711" s="14" t="s">
        <v>2503</v>
      </c>
      <c r="Y1711" s="14" t="s">
        <v>215</v>
      </c>
      <c r="Z1711" s="14">
        <v>20474</v>
      </c>
      <c r="AA1711" s="14" t="s">
        <v>2504</v>
      </c>
      <c r="AB1711" s="14">
        <v>40001</v>
      </c>
      <c r="AE1711" s="14" t="s">
        <v>1400</v>
      </c>
      <c r="AF1711" s="14" t="s">
        <v>1400</v>
      </c>
      <c r="AG1711" s="14" t="s">
        <v>89</v>
      </c>
    </row>
    <row r="1712" spans="2:33">
      <c r="B1712" s="14">
        <f>10000000+INDEX(编号表!$B:$B,MATCH(H1712,编号表!$A:$A,0))*100000+INDEX(编号表!$F:$F,MATCH(D1712,编号表!$E:$E,0))*10000+INDEX(编号表!$D:$D,MATCH(AG1712,编号表!$C:$C,0))*1000+F1712</f>
        <v>11913033</v>
      </c>
      <c r="C1712" s="14" t="s">
        <v>2505</v>
      </c>
      <c r="D1712" s="14" t="s">
        <v>72</v>
      </c>
      <c r="E1712" s="14" t="s">
        <v>89</v>
      </c>
      <c r="F1712" s="14">
        <v>33</v>
      </c>
      <c r="G1712" s="14">
        <v>60</v>
      </c>
      <c r="H1712" s="14" t="s">
        <v>1400</v>
      </c>
      <c r="I1712" s="14" t="s">
        <v>75</v>
      </c>
      <c r="J1712" s="14" t="s">
        <v>201</v>
      </c>
      <c r="K1712" s="14">
        <v>1</v>
      </c>
      <c r="L1712" s="14" t="s">
        <v>1400</v>
      </c>
      <c r="N1712" s="14">
        <v>0</v>
      </c>
      <c r="O1712" s="14" t="b">
        <v>1</v>
      </c>
      <c r="Q1712" s="14" t="b">
        <v>0</v>
      </c>
      <c r="R1712" s="14">
        <v>1</v>
      </c>
      <c r="S1712" s="14" t="s">
        <v>77</v>
      </c>
      <c r="T1712" s="14">
        <v>999</v>
      </c>
      <c r="U1712" s="14" t="s">
        <v>1401</v>
      </c>
      <c r="V1712" s="14">
        <v>31913033</v>
      </c>
      <c r="X1712" s="14" t="s">
        <v>2506</v>
      </c>
      <c r="Y1712" s="14" t="s">
        <v>215</v>
      </c>
      <c r="Z1712" s="14">
        <v>20475</v>
      </c>
      <c r="AA1712" s="14" t="s">
        <v>2507</v>
      </c>
      <c r="AB1712" s="14">
        <v>40001</v>
      </c>
      <c r="AE1712" s="14" t="s">
        <v>1400</v>
      </c>
      <c r="AF1712" s="14" t="s">
        <v>1400</v>
      </c>
      <c r="AG1712" s="14" t="s">
        <v>89</v>
      </c>
    </row>
    <row r="1713" spans="2:33">
      <c r="B1713" s="14">
        <f>10000000+INDEX(编号表!$B:$B,MATCH(H1713,编号表!$A:$A,0))*100000+INDEX(编号表!$F:$F,MATCH(D1713,编号表!$E:$E,0))*10000+INDEX(编号表!$D:$D,MATCH(AG1713,编号表!$C:$C,0))*1000+F1713</f>
        <v>11923034</v>
      </c>
      <c r="C1713" s="14" t="s">
        <v>2505</v>
      </c>
      <c r="D1713" s="14" t="s">
        <v>112</v>
      </c>
      <c r="E1713" s="14" t="s">
        <v>89</v>
      </c>
      <c r="F1713" s="14">
        <v>34</v>
      </c>
      <c r="G1713" s="14">
        <v>60</v>
      </c>
      <c r="H1713" s="14" t="s">
        <v>1400</v>
      </c>
      <c r="I1713" s="14" t="s">
        <v>75</v>
      </c>
      <c r="J1713" s="14" t="s">
        <v>201</v>
      </c>
      <c r="K1713" s="14">
        <v>1</v>
      </c>
      <c r="L1713" s="14" t="s">
        <v>1400</v>
      </c>
      <c r="N1713" s="14">
        <v>0</v>
      </c>
      <c r="O1713" s="14" t="b">
        <v>1</v>
      </c>
      <c r="Q1713" s="14" t="b">
        <v>0</v>
      </c>
      <c r="R1713" s="14">
        <v>1</v>
      </c>
      <c r="S1713" s="14" t="s">
        <v>77</v>
      </c>
      <c r="T1713" s="14">
        <v>999</v>
      </c>
      <c r="U1713" s="14" t="s">
        <v>1401</v>
      </c>
      <c r="V1713" s="14">
        <v>31923034</v>
      </c>
      <c r="X1713" s="14" t="s">
        <v>2508</v>
      </c>
      <c r="Y1713" s="14" t="s">
        <v>215</v>
      </c>
      <c r="Z1713" s="14">
        <v>20476</v>
      </c>
      <c r="AA1713" s="14" t="s">
        <v>2509</v>
      </c>
      <c r="AB1713" s="14">
        <v>40001</v>
      </c>
      <c r="AE1713" s="14" t="s">
        <v>1400</v>
      </c>
      <c r="AF1713" s="14" t="s">
        <v>1400</v>
      </c>
      <c r="AG1713" s="14" t="s">
        <v>89</v>
      </c>
    </row>
    <row r="1714" spans="2:33">
      <c r="B1714" s="14">
        <f>10000000+INDEX(编号表!$B:$B,MATCH(H1714,编号表!$A:$A,0))*100000+INDEX(编号表!$F:$F,MATCH(D1714,编号表!$E:$E,0))*10000+INDEX(编号表!$D:$D,MATCH(AG1714,编号表!$C:$C,0))*1000+F1714</f>
        <v>11933035</v>
      </c>
      <c r="C1714" s="14" t="s">
        <v>2505</v>
      </c>
      <c r="D1714" s="14" t="s">
        <v>276</v>
      </c>
      <c r="E1714" s="14" t="s">
        <v>89</v>
      </c>
      <c r="F1714" s="14">
        <v>35</v>
      </c>
      <c r="G1714" s="14">
        <v>60</v>
      </c>
      <c r="H1714" s="14" t="s">
        <v>1400</v>
      </c>
      <c r="I1714" s="14" t="s">
        <v>75</v>
      </c>
      <c r="J1714" s="14" t="s">
        <v>201</v>
      </c>
      <c r="K1714" s="14">
        <v>1</v>
      </c>
      <c r="L1714" s="14" t="s">
        <v>1400</v>
      </c>
      <c r="N1714" s="14">
        <v>0</v>
      </c>
      <c r="O1714" s="14" t="b">
        <v>1</v>
      </c>
      <c r="Q1714" s="14" t="b">
        <v>0</v>
      </c>
      <c r="R1714" s="14">
        <v>1</v>
      </c>
      <c r="S1714" s="14" t="s">
        <v>77</v>
      </c>
      <c r="T1714" s="14">
        <v>999</v>
      </c>
      <c r="U1714" s="14" t="s">
        <v>1401</v>
      </c>
      <c r="V1714" s="14">
        <v>31933035</v>
      </c>
      <c r="X1714" s="14" t="s">
        <v>2510</v>
      </c>
      <c r="Y1714" s="14" t="s">
        <v>215</v>
      </c>
      <c r="Z1714" s="14">
        <v>20477</v>
      </c>
      <c r="AA1714" s="14" t="s">
        <v>2511</v>
      </c>
      <c r="AB1714" s="14">
        <v>40001</v>
      </c>
      <c r="AE1714" s="14" t="s">
        <v>1400</v>
      </c>
      <c r="AF1714" s="14" t="s">
        <v>1400</v>
      </c>
      <c r="AG1714" s="14" t="s">
        <v>89</v>
      </c>
    </row>
    <row r="1715" spans="2:33">
      <c r="B1715" s="14">
        <f>10000000+INDEX(编号表!$B:$B,MATCH(H1715,编号表!$A:$A,0))*100000+INDEX(编号表!$F:$F,MATCH(D1715,编号表!$E:$E,0))*10000+INDEX(编号表!$D:$D,MATCH(AG1715,编号表!$C:$C,0))*1000+F1715</f>
        <v>11913034</v>
      </c>
      <c r="C1715" s="14" t="s">
        <v>2512</v>
      </c>
      <c r="D1715" s="14" t="s">
        <v>72</v>
      </c>
      <c r="E1715" s="14" t="s">
        <v>89</v>
      </c>
      <c r="F1715" s="14">
        <v>34</v>
      </c>
      <c r="G1715" s="14">
        <v>60</v>
      </c>
      <c r="H1715" s="14" t="s">
        <v>1400</v>
      </c>
      <c r="I1715" s="14" t="s">
        <v>75</v>
      </c>
      <c r="J1715" s="14" t="s">
        <v>201</v>
      </c>
      <c r="K1715" s="14">
        <v>1</v>
      </c>
      <c r="L1715" s="14" t="s">
        <v>1400</v>
      </c>
      <c r="N1715" s="14">
        <v>0</v>
      </c>
      <c r="O1715" s="14" t="b">
        <v>1</v>
      </c>
      <c r="Q1715" s="14" t="b">
        <v>0</v>
      </c>
      <c r="R1715" s="14">
        <v>1</v>
      </c>
      <c r="S1715" s="14" t="s">
        <v>77</v>
      </c>
      <c r="T1715" s="14">
        <v>999</v>
      </c>
      <c r="U1715" s="14" t="s">
        <v>1401</v>
      </c>
      <c r="V1715" s="14">
        <v>31913034</v>
      </c>
      <c r="X1715" s="14" t="s">
        <v>2513</v>
      </c>
      <c r="Y1715" s="14" t="s">
        <v>215</v>
      </c>
      <c r="Z1715" s="14">
        <v>20478</v>
      </c>
      <c r="AA1715" s="14" t="s">
        <v>2514</v>
      </c>
      <c r="AB1715" s="14">
        <v>40001</v>
      </c>
      <c r="AE1715" s="14" t="s">
        <v>1400</v>
      </c>
      <c r="AF1715" s="14" t="s">
        <v>1400</v>
      </c>
      <c r="AG1715" s="14" t="s">
        <v>89</v>
      </c>
    </row>
    <row r="1716" spans="2:33">
      <c r="B1716" s="14">
        <f>10000000+INDEX(编号表!$B:$B,MATCH(H1716,编号表!$A:$A,0))*100000+INDEX(编号表!$F:$F,MATCH(D1716,编号表!$E:$E,0))*10000+INDEX(编号表!$D:$D,MATCH(AG1716,编号表!$C:$C,0))*1000+F1716</f>
        <v>11923035</v>
      </c>
      <c r="C1716" s="14" t="s">
        <v>2512</v>
      </c>
      <c r="D1716" s="14" t="s">
        <v>112</v>
      </c>
      <c r="E1716" s="14" t="s">
        <v>89</v>
      </c>
      <c r="F1716" s="14">
        <v>35</v>
      </c>
      <c r="G1716" s="14">
        <v>60</v>
      </c>
      <c r="H1716" s="14" t="s">
        <v>1400</v>
      </c>
      <c r="I1716" s="14" t="s">
        <v>75</v>
      </c>
      <c r="J1716" s="14" t="s">
        <v>201</v>
      </c>
      <c r="K1716" s="14">
        <v>1</v>
      </c>
      <c r="L1716" s="14" t="s">
        <v>1400</v>
      </c>
      <c r="N1716" s="14">
        <v>0</v>
      </c>
      <c r="O1716" s="14" t="b">
        <v>1</v>
      </c>
      <c r="Q1716" s="14" t="b">
        <v>0</v>
      </c>
      <c r="R1716" s="14">
        <v>1</v>
      </c>
      <c r="S1716" s="14" t="s">
        <v>77</v>
      </c>
      <c r="T1716" s="14">
        <v>999</v>
      </c>
      <c r="U1716" s="14" t="s">
        <v>1401</v>
      </c>
      <c r="V1716" s="14">
        <v>31923035</v>
      </c>
      <c r="X1716" s="14" t="s">
        <v>2515</v>
      </c>
      <c r="Y1716" s="14" t="s">
        <v>215</v>
      </c>
      <c r="Z1716" s="14">
        <v>20479</v>
      </c>
      <c r="AA1716" s="14" t="s">
        <v>2516</v>
      </c>
      <c r="AB1716" s="14">
        <v>40001</v>
      </c>
      <c r="AE1716" s="14" t="s">
        <v>1400</v>
      </c>
      <c r="AF1716" s="14" t="s">
        <v>1400</v>
      </c>
      <c r="AG1716" s="14" t="s">
        <v>89</v>
      </c>
    </row>
    <row r="1717" spans="2:33">
      <c r="B1717" s="14">
        <f>10000000+INDEX(编号表!$B:$B,MATCH(H1717,编号表!$A:$A,0))*100000+INDEX(编号表!$F:$F,MATCH(D1717,编号表!$E:$E,0))*10000+INDEX(编号表!$D:$D,MATCH(AG1717,编号表!$C:$C,0))*1000+F1717</f>
        <v>11933036</v>
      </c>
      <c r="C1717" s="14" t="s">
        <v>2512</v>
      </c>
      <c r="D1717" s="14" t="s">
        <v>276</v>
      </c>
      <c r="E1717" s="14" t="s">
        <v>89</v>
      </c>
      <c r="F1717" s="14">
        <v>36</v>
      </c>
      <c r="G1717" s="14">
        <v>60</v>
      </c>
      <c r="H1717" s="14" t="s">
        <v>1400</v>
      </c>
      <c r="I1717" s="14" t="s">
        <v>75</v>
      </c>
      <c r="J1717" s="14" t="s">
        <v>201</v>
      </c>
      <c r="K1717" s="14">
        <v>1</v>
      </c>
      <c r="L1717" s="14" t="s">
        <v>1400</v>
      </c>
      <c r="N1717" s="14">
        <v>0</v>
      </c>
      <c r="O1717" s="14" t="b">
        <v>1</v>
      </c>
      <c r="Q1717" s="14" t="b">
        <v>0</v>
      </c>
      <c r="R1717" s="14">
        <v>1</v>
      </c>
      <c r="S1717" s="14" t="s">
        <v>77</v>
      </c>
      <c r="T1717" s="14">
        <v>999</v>
      </c>
      <c r="U1717" s="14" t="s">
        <v>1401</v>
      </c>
      <c r="V1717" s="14">
        <v>31933036</v>
      </c>
      <c r="X1717" s="14" t="s">
        <v>2517</v>
      </c>
      <c r="Y1717" s="14" t="s">
        <v>215</v>
      </c>
      <c r="Z1717" s="14">
        <v>20480</v>
      </c>
      <c r="AA1717" s="14" t="s">
        <v>2518</v>
      </c>
      <c r="AB1717" s="14">
        <v>40001</v>
      </c>
      <c r="AE1717" s="14" t="s">
        <v>1400</v>
      </c>
      <c r="AF1717" s="14" t="s">
        <v>1400</v>
      </c>
      <c r="AG1717" s="14" t="s">
        <v>89</v>
      </c>
    </row>
    <row r="1718" spans="2:33">
      <c r="B1718" s="14">
        <f>10000000+INDEX(编号表!$B:$B,MATCH(H1718,编号表!$A:$A,0))*100000+INDEX(编号表!$F:$F,MATCH(D1718,编号表!$E:$E,0))*10000+INDEX(编号表!$D:$D,MATCH(AG1718,编号表!$C:$C,0))*1000+F1718</f>
        <v>11913035</v>
      </c>
      <c r="C1718" s="14" t="s">
        <v>2519</v>
      </c>
      <c r="D1718" s="14" t="s">
        <v>72</v>
      </c>
      <c r="E1718" s="14" t="s">
        <v>89</v>
      </c>
      <c r="F1718" s="14">
        <v>35</v>
      </c>
      <c r="G1718" s="14">
        <v>60</v>
      </c>
      <c r="H1718" s="14" t="s">
        <v>1400</v>
      </c>
      <c r="I1718" s="14" t="s">
        <v>75</v>
      </c>
      <c r="J1718" s="14" t="s">
        <v>201</v>
      </c>
      <c r="K1718" s="14">
        <v>1</v>
      </c>
      <c r="L1718" s="14" t="s">
        <v>1400</v>
      </c>
      <c r="N1718" s="14">
        <v>0</v>
      </c>
      <c r="O1718" s="14" t="b">
        <v>1</v>
      </c>
      <c r="Q1718" s="14" t="b">
        <v>0</v>
      </c>
      <c r="R1718" s="14">
        <v>1</v>
      </c>
      <c r="S1718" s="14" t="s">
        <v>77</v>
      </c>
      <c r="T1718" s="14">
        <v>999</v>
      </c>
      <c r="U1718" s="14" t="s">
        <v>1401</v>
      </c>
      <c r="V1718" s="14">
        <v>31913035</v>
      </c>
      <c r="X1718" s="14" t="s">
        <v>2520</v>
      </c>
      <c r="Y1718" s="14" t="s">
        <v>215</v>
      </c>
      <c r="Z1718" s="14">
        <v>20481</v>
      </c>
      <c r="AA1718" s="14" t="s">
        <v>2521</v>
      </c>
      <c r="AB1718" s="14">
        <v>40001</v>
      </c>
      <c r="AE1718" s="14" t="s">
        <v>1400</v>
      </c>
      <c r="AF1718" s="14" t="s">
        <v>1400</v>
      </c>
      <c r="AG1718" s="14" t="s">
        <v>89</v>
      </c>
    </row>
    <row r="1719" spans="2:33">
      <c r="B1719" s="14">
        <f>10000000+INDEX(编号表!$B:$B,MATCH(H1719,编号表!$A:$A,0))*100000+INDEX(编号表!$F:$F,MATCH(D1719,编号表!$E:$E,0))*10000+INDEX(编号表!$D:$D,MATCH(AG1719,编号表!$C:$C,0))*1000+F1719</f>
        <v>11923036</v>
      </c>
      <c r="C1719" s="14" t="s">
        <v>2519</v>
      </c>
      <c r="D1719" s="14" t="s">
        <v>112</v>
      </c>
      <c r="E1719" s="14" t="s">
        <v>89</v>
      </c>
      <c r="F1719" s="14">
        <v>36</v>
      </c>
      <c r="G1719" s="14">
        <v>60</v>
      </c>
      <c r="H1719" s="14" t="s">
        <v>1400</v>
      </c>
      <c r="I1719" s="14" t="s">
        <v>75</v>
      </c>
      <c r="J1719" s="14" t="s">
        <v>201</v>
      </c>
      <c r="K1719" s="14">
        <v>1</v>
      </c>
      <c r="L1719" s="14" t="s">
        <v>1400</v>
      </c>
      <c r="N1719" s="14">
        <v>0</v>
      </c>
      <c r="O1719" s="14" t="b">
        <v>1</v>
      </c>
      <c r="Q1719" s="14" t="b">
        <v>0</v>
      </c>
      <c r="R1719" s="14">
        <v>1</v>
      </c>
      <c r="S1719" s="14" t="s">
        <v>77</v>
      </c>
      <c r="T1719" s="14">
        <v>999</v>
      </c>
      <c r="U1719" s="14" t="s">
        <v>1401</v>
      </c>
      <c r="V1719" s="14">
        <v>31923036</v>
      </c>
      <c r="X1719" s="14" t="s">
        <v>2522</v>
      </c>
      <c r="Y1719" s="14" t="s">
        <v>215</v>
      </c>
      <c r="Z1719" s="14">
        <v>20482</v>
      </c>
      <c r="AA1719" s="14" t="s">
        <v>2523</v>
      </c>
      <c r="AB1719" s="14">
        <v>40001</v>
      </c>
      <c r="AE1719" s="14" t="s">
        <v>1400</v>
      </c>
      <c r="AF1719" s="14" t="s">
        <v>1400</v>
      </c>
      <c r="AG1719" s="14" t="s">
        <v>89</v>
      </c>
    </row>
    <row r="1720" spans="2:33">
      <c r="B1720" s="14">
        <f>10000000+INDEX(编号表!$B:$B,MATCH(H1720,编号表!$A:$A,0))*100000+INDEX(编号表!$F:$F,MATCH(D1720,编号表!$E:$E,0))*10000+INDEX(编号表!$D:$D,MATCH(AG1720,编号表!$C:$C,0))*1000+F1720</f>
        <v>11933037</v>
      </c>
      <c r="C1720" s="14" t="s">
        <v>2519</v>
      </c>
      <c r="D1720" s="14" t="s">
        <v>276</v>
      </c>
      <c r="E1720" s="14" t="s">
        <v>89</v>
      </c>
      <c r="F1720" s="14">
        <v>37</v>
      </c>
      <c r="G1720" s="14">
        <v>60</v>
      </c>
      <c r="H1720" s="14" t="s">
        <v>1400</v>
      </c>
      <c r="I1720" s="14" t="s">
        <v>75</v>
      </c>
      <c r="J1720" s="14" t="s">
        <v>201</v>
      </c>
      <c r="K1720" s="14">
        <v>1</v>
      </c>
      <c r="L1720" s="14" t="s">
        <v>1400</v>
      </c>
      <c r="N1720" s="14">
        <v>0</v>
      </c>
      <c r="O1720" s="14" t="b">
        <v>1</v>
      </c>
      <c r="Q1720" s="14" t="b">
        <v>0</v>
      </c>
      <c r="R1720" s="14">
        <v>1</v>
      </c>
      <c r="S1720" s="14" t="s">
        <v>77</v>
      </c>
      <c r="T1720" s="14">
        <v>999</v>
      </c>
      <c r="U1720" s="14" t="s">
        <v>1401</v>
      </c>
      <c r="V1720" s="14">
        <v>31933037</v>
      </c>
      <c r="X1720" s="14" t="s">
        <v>2524</v>
      </c>
      <c r="Y1720" s="14" t="s">
        <v>215</v>
      </c>
      <c r="Z1720" s="14">
        <v>20483</v>
      </c>
      <c r="AA1720" s="14" t="s">
        <v>2525</v>
      </c>
      <c r="AB1720" s="14">
        <v>40001</v>
      </c>
      <c r="AE1720" s="14" t="s">
        <v>1400</v>
      </c>
      <c r="AF1720" s="14" t="s">
        <v>1400</v>
      </c>
      <c r="AG1720" s="14" t="s">
        <v>89</v>
      </c>
    </row>
    <row r="1721" spans="2:33">
      <c r="B1721" s="14">
        <f>10000000+INDEX(编号表!$B:$B,MATCH(H1721,编号表!$A:$A,0))*100000+INDEX(编号表!$F:$F,MATCH(D1721,编号表!$E:$E,0))*10000+INDEX(编号表!$D:$D,MATCH(AG1721,编号表!$C:$C,0))*1000+F1721</f>
        <v>11913036</v>
      </c>
      <c r="C1721" s="14" t="s">
        <v>2526</v>
      </c>
      <c r="D1721" s="14" t="s">
        <v>72</v>
      </c>
      <c r="E1721" s="14" t="s">
        <v>89</v>
      </c>
      <c r="F1721" s="14">
        <v>36</v>
      </c>
      <c r="G1721" s="14">
        <v>60</v>
      </c>
      <c r="H1721" s="14" t="s">
        <v>1400</v>
      </c>
      <c r="I1721" s="14" t="s">
        <v>75</v>
      </c>
      <c r="J1721" s="14" t="s">
        <v>201</v>
      </c>
      <c r="K1721" s="14">
        <v>1</v>
      </c>
      <c r="L1721" s="14" t="s">
        <v>1400</v>
      </c>
      <c r="N1721" s="14">
        <v>0</v>
      </c>
      <c r="O1721" s="14" t="b">
        <v>1</v>
      </c>
      <c r="Q1721" s="14" t="b">
        <v>0</v>
      </c>
      <c r="R1721" s="14">
        <v>1</v>
      </c>
      <c r="S1721" s="14" t="s">
        <v>77</v>
      </c>
      <c r="T1721" s="14">
        <v>999</v>
      </c>
      <c r="U1721" s="14" t="s">
        <v>1401</v>
      </c>
      <c r="V1721" s="14">
        <v>31913036</v>
      </c>
      <c r="X1721" s="14" t="s">
        <v>2527</v>
      </c>
      <c r="Y1721" s="14" t="s">
        <v>215</v>
      </c>
      <c r="Z1721" s="14">
        <v>20484</v>
      </c>
      <c r="AA1721" s="14" t="s">
        <v>2528</v>
      </c>
      <c r="AB1721" s="14">
        <v>40001</v>
      </c>
      <c r="AE1721" s="14" t="s">
        <v>1400</v>
      </c>
      <c r="AF1721" s="14" t="s">
        <v>1400</v>
      </c>
      <c r="AG1721" s="14" t="s">
        <v>89</v>
      </c>
    </row>
    <row r="1722" spans="2:33">
      <c r="B1722" s="14">
        <f>10000000+INDEX(编号表!$B:$B,MATCH(H1722,编号表!$A:$A,0))*100000+INDEX(编号表!$F:$F,MATCH(D1722,编号表!$E:$E,0))*10000+INDEX(编号表!$D:$D,MATCH(AG1722,编号表!$C:$C,0))*1000+F1722</f>
        <v>11923037</v>
      </c>
      <c r="C1722" s="14" t="s">
        <v>2526</v>
      </c>
      <c r="D1722" s="14" t="s">
        <v>112</v>
      </c>
      <c r="E1722" s="14" t="s">
        <v>89</v>
      </c>
      <c r="F1722" s="14">
        <v>37</v>
      </c>
      <c r="G1722" s="14">
        <v>60</v>
      </c>
      <c r="H1722" s="14" t="s">
        <v>1400</v>
      </c>
      <c r="I1722" s="14" t="s">
        <v>75</v>
      </c>
      <c r="J1722" s="14" t="s">
        <v>201</v>
      </c>
      <c r="K1722" s="14">
        <v>1</v>
      </c>
      <c r="L1722" s="14" t="s">
        <v>1400</v>
      </c>
      <c r="N1722" s="14">
        <v>0</v>
      </c>
      <c r="O1722" s="14" t="b">
        <v>1</v>
      </c>
      <c r="Q1722" s="14" t="b">
        <v>0</v>
      </c>
      <c r="R1722" s="14">
        <v>1</v>
      </c>
      <c r="S1722" s="14" t="s">
        <v>77</v>
      </c>
      <c r="T1722" s="14">
        <v>999</v>
      </c>
      <c r="U1722" s="14" t="s">
        <v>1401</v>
      </c>
      <c r="V1722" s="14">
        <v>31923037</v>
      </c>
      <c r="X1722" s="14" t="s">
        <v>2529</v>
      </c>
      <c r="Y1722" s="14" t="s">
        <v>215</v>
      </c>
      <c r="Z1722" s="14">
        <v>20485</v>
      </c>
      <c r="AA1722" s="14" t="s">
        <v>2530</v>
      </c>
      <c r="AB1722" s="14">
        <v>40001</v>
      </c>
      <c r="AE1722" s="14" t="s">
        <v>1400</v>
      </c>
      <c r="AF1722" s="14" t="s">
        <v>1400</v>
      </c>
      <c r="AG1722" s="14" t="s">
        <v>89</v>
      </c>
    </row>
    <row r="1723" spans="2:33">
      <c r="B1723" s="14">
        <f>10000000+INDEX(编号表!$B:$B,MATCH(H1723,编号表!$A:$A,0))*100000+INDEX(编号表!$F:$F,MATCH(D1723,编号表!$E:$E,0))*10000+INDEX(编号表!$D:$D,MATCH(AG1723,编号表!$C:$C,0))*1000+F1723</f>
        <v>11933038</v>
      </c>
      <c r="C1723" s="14" t="s">
        <v>2526</v>
      </c>
      <c r="D1723" s="14" t="s">
        <v>276</v>
      </c>
      <c r="E1723" s="14" t="s">
        <v>89</v>
      </c>
      <c r="F1723" s="14">
        <v>38</v>
      </c>
      <c r="G1723" s="14">
        <v>60</v>
      </c>
      <c r="H1723" s="14" t="s">
        <v>1400</v>
      </c>
      <c r="I1723" s="14" t="s">
        <v>75</v>
      </c>
      <c r="J1723" s="14" t="s">
        <v>201</v>
      </c>
      <c r="K1723" s="14">
        <v>1</v>
      </c>
      <c r="L1723" s="14" t="s">
        <v>1400</v>
      </c>
      <c r="N1723" s="14">
        <v>0</v>
      </c>
      <c r="O1723" s="14" t="b">
        <v>1</v>
      </c>
      <c r="Q1723" s="14" t="b">
        <v>0</v>
      </c>
      <c r="R1723" s="14">
        <v>1</v>
      </c>
      <c r="S1723" s="14" t="s">
        <v>77</v>
      </c>
      <c r="T1723" s="14">
        <v>999</v>
      </c>
      <c r="U1723" s="14" t="s">
        <v>1401</v>
      </c>
      <c r="V1723" s="14">
        <v>31933038</v>
      </c>
      <c r="X1723" s="14" t="s">
        <v>2531</v>
      </c>
      <c r="Y1723" s="14" t="s">
        <v>215</v>
      </c>
      <c r="Z1723" s="14">
        <v>20486</v>
      </c>
      <c r="AA1723" s="14" t="s">
        <v>2532</v>
      </c>
      <c r="AB1723" s="14">
        <v>40001</v>
      </c>
      <c r="AE1723" s="14" t="s">
        <v>1400</v>
      </c>
      <c r="AF1723" s="14" t="s">
        <v>1400</v>
      </c>
      <c r="AG1723" s="14" t="s">
        <v>89</v>
      </c>
    </row>
    <row r="1724" spans="2:33">
      <c r="B1724" s="14">
        <f>10000000+INDEX(编号表!$B:$B,MATCH(H1724,编号表!$A:$A,0))*100000+INDEX(编号表!$F:$F,MATCH(D1724,编号表!$E:$E,0))*10000+INDEX(编号表!$D:$D,MATCH(AG1724,编号表!$C:$C,0))*1000+F1724</f>
        <v>11913037</v>
      </c>
      <c r="C1724" s="14" t="s">
        <v>2533</v>
      </c>
      <c r="D1724" s="14" t="s">
        <v>72</v>
      </c>
      <c r="E1724" s="14" t="s">
        <v>89</v>
      </c>
      <c r="F1724" s="14">
        <v>37</v>
      </c>
      <c r="G1724" s="14">
        <v>60</v>
      </c>
      <c r="H1724" s="14" t="s">
        <v>1400</v>
      </c>
      <c r="I1724" s="14" t="s">
        <v>75</v>
      </c>
      <c r="J1724" s="14" t="s">
        <v>201</v>
      </c>
      <c r="K1724" s="14">
        <v>1</v>
      </c>
      <c r="L1724" s="14" t="s">
        <v>1400</v>
      </c>
      <c r="N1724" s="14">
        <v>0</v>
      </c>
      <c r="O1724" s="14" t="b">
        <v>1</v>
      </c>
      <c r="Q1724" s="14" t="b">
        <v>0</v>
      </c>
      <c r="R1724" s="14">
        <v>1</v>
      </c>
      <c r="S1724" s="14" t="s">
        <v>77</v>
      </c>
      <c r="T1724" s="14">
        <v>999</v>
      </c>
      <c r="U1724" s="14" t="s">
        <v>1401</v>
      </c>
      <c r="V1724" s="14">
        <v>31913037</v>
      </c>
      <c r="X1724" s="14" t="s">
        <v>2534</v>
      </c>
      <c r="Y1724" s="14" t="s">
        <v>215</v>
      </c>
      <c r="Z1724" s="14">
        <v>20487</v>
      </c>
      <c r="AA1724" s="14" t="s">
        <v>2535</v>
      </c>
      <c r="AB1724" s="14">
        <v>40001</v>
      </c>
      <c r="AE1724" s="14" t="s">
        <v>1400</v>
      </c>
      <c r="AF1724" s="14" t="s">
        <v>1400</v>
      </c>
      <c r="AG1724" s="14" t="s">
        <v>89</v>
      </c>
    </row>
    <row r="1725" spans="2:33">
      <c r="B1725" s="14">
        <f>10000000+INDEX(编号表!$B:$B,MATCH(H1725,编号表!$A:$A,0))*100000+INDEX(编号表!$F:$F,MATCH(D1725,编号表!$E:$E,0))*10000+INDEX(编号表!$D:$D,MATCH(AG1725,编号表!$C:$C,0))*1000+F1725</f>
        <v>11923038</v>
      </c>
      <c r="C1725" s="14" t="s">
        <v>2533</v>
      </c>
      <c r="D1725" s="14" t="s">
        <v>112</v>
      </c>
      <c r="E1725" s="14" t="s">
        <v>89</v>
      </c>
      <c r="F1725" s="14">
        <v>38</v>
      </c>
      <c r="G1725" s="14">
        <v>60</v>
      </c>
      <c r="H1725" s="14" t="s">
        <v>1400</v>
      </c>
      <c r="I1725" s="14" t="s">
        <v>75</v>
      </c>
      <c r="J1725" s="14" t="s">
        <v>201</v>
      </c>
      <c r="K1725" s="14">
        <v>1</v>
      </c>
      <c r="L1725" s="14" t="s">
        <v>1400</v>
      </c>
      <c r="N1725" s="14">
        <v>0</v>
      </c>
      <c r="O1725" s="14" t="b">
        <v>1</v>
      </c>
      <c r="Q1725" s="14" t="b">
        <v>0</v>
      </c>
      <c r="R1725" s="14">
        <v>1</v>
      </c>
      <c r="S1725" s="14" t="s">
        <v>77</v>
      </c>
      <c r="T1725" s="14">
        <v>999</v>
      </c>
      <c r="U1725" s="14" t="s">
        <v>1401</v>
      </c>
      <c r="V1725" s="14">
        <v>31923038</v>
      </c>
      <c r="X1725" s="14" t="s">
        <v>2536</v>
      </c>
      <c r="Y1725" s="14" t="s">
        <v>215</v>
      </c>
      <c r="Z1725" s="14">
        <v>20488</v>
      </c>
      <c r="AA1725" s="14" t="s">
        <v>2537</v>
      </c>
      <c r="AB1725" s="14">
        <v>40001</v>
      </c>
      <c r="AE1725" s="14" t="s">
        <v>1400</v>
      </c>
      <c r="AF1725" s="14" t="s">
        <v>1400</v>
      </c>
      <c r="AG1725" s="14" t="s">
        <v>89</v>
      </c>
    </row>
    <row r="1726" spans="2:33">
      <c r="B1726" s="14">
        <f>10000000+INDEX(编号表!$B:$B,MATCH(H1726,编号表!$A:$A,0))*100000+INDEX(编号表!$F:$F,MATCH(D1726,编号表!$E:$E,0))*10000+INDEX(编号表!$D:$D,MATCH(AG1726,编号表!$C:$C,0))*1000+F1726</f>
        <v>11933039</v>
      </c>
      <c r="C1726" s="14" t="s">
        <v>2533</v>
      </c>
      <c r="D1726" s="14" t="s">
        <v>276</v>
      </c>
      <c r="E1726" s="14" t="s">
        <v>89</v>
      </c>
      <c r="F1726" s="14">
        <v>39</v>
      </c>
      <c r="G1726" s="14">
        <v>60</v>
      </c>
      <c r="H1726" s="14" t="s">
        <v>1400</v>
      </c>
      <c r="I1726" s="14" t="s">
        <v>75</v>
      </c>
      <c r="J1726" s="14" t="s">
        <v>201</v>
      </c>
      <c r="K1726" s="14">
        <v>1</v>
      </c>
      <c r="L1726" s="14" t="s">
        <v>1400</v>
      </c>
      <c r="N1726" s="14">
        <v>0</v>
      </c>
      <c r="O1726" s="14" t="b">
        <v>1</v>
      </c>
      <c r="Q1726" s="14" t="b">
        <v>0</v>
      </c>
      <c r="R1726" s="14">
        <v>1</v>
      </c>
      <c r="S1726" s="14" t="s">
        <v>77</v>
      </c>
      <c r="T1726" s="14">
        <v>999</v>
      </c>
      <c r="U1726" s="14" t="s">
        <v>1401</v>
      </c>
      <c r="V1726" s="14">
        <v>31933039</v>
      </c>
      <c r="X1726" s="14" t="s">
        <v>2538</v>
      </c>
      <c r="Y1726" s="14" t="s">
        <v>215</v>
      </c>
      <c r="Z1726" s="14">
        <v>20489</v>
      </c>
      <c r="AA1726" s="14" t="s">
        <v>2539</v>
      </c>
      <c r="AB1726" s="14">
        <v>40001</v>
      </c>
      <c r="AE1726" s="14" t="s">
        <v>1400</v>
      </c>
      <c r="AF1726" s="14" t="s">
        <v>1400</v>
      </c>
      <c r="AG1726" s="14" t="s">
        <v>89</v>
      </c>
    </row>
    <row r="1727" spans="2:33">
      <c r="B1727" s="14">
        <f>10000000+INDEX(编号表!$B:$B,MATCH(H1727,编号表!$A:$A,0))*100000+INDEX(编号表!$F:$F,MATCH(D1727,编号表!$E:$E,0))*10000+INDEX(编号表!$D:$D,MATCH(AG1727,编号表!$C:$C,0))*1000+F1727</f>
        <v>11913038</v>
      </c>
      <c r="C1727" s="14" t="s">
        <v>2540</v>
      </c>
      <c r="D1727" s="14" t="s">
        <v>72</v>
      </c>
      <c r="E1727" s="14" t="s">
        <v>89</v>
      </c>
      <c r="F1727" s="14">
        <v>38</v>
      </c>
      <c r="G1727" s="14">
        <v>60</v>
      </c>
      <c r="H1727" s="14" t="s">
        <v>1400</v>
      </c>
      <c r="I1727" s="14" t="s">
        <v>75</v>
      </c>
      <c r="J1727" s="14" t="s">
        <v>201</v>
      </c>
      <c r="K1727" s="14">
        <v>1</v>
      </c>
      <c r="L1727" s="14" t="s">
        <v>1400</v>
      </c>
      <c r="N1727" s="14">
        <v>0</v>
      </c>
      <c r="O1727" s="14" t="b">
        <v>1</v>
      </c>
      <c r="Q1727" s="14" t="b">
        <v>0</v>
      </c>
      <c r="R1727" s="14">
        <v>1</v>
      </c>
      <c r="S1727" s="14" t="s">
        <v>77</v>
      </c>
      <c r="T1727" s="14">
        <v>999</v>
      </c>
      <c r="U1727" s="14" t="s">
        <v>1401</v>
      </c>
      <c r="V1727" s="14">
        <v>31913038</v>
      </c>
      <c r="X1727" s="14" t="s">
        <v>2541</v>
      </c>
      <c r="Y1727" s="14" t="s">
        <v>215</v>
      </c>
      <c r="Z1727" s="14">
        <v>20490</v>
      </c>
      <c r="AA1727" s="14" t="s">
        <v>2542</v>
      </c>
      <c r="AB1727" s="14">
        <v>40001</v>
      </c>
      <c r="AE1727" s="14" t="s">
        <v>1400</v>
      </c>
      <c r="AF1727" s="14" t="s">
        <v>1400</v>
      </c>
      <c r="AG1727" s="14" t="s">
        <v>89</v>
      </c>
    </row>
    <row r="1728" spans="2:33">
      <c r="B1728" s="14">
        <f>10000000+INDEX(编号表!$B:$B,MATCH(H1728,编号表!$A:$A,0))*100000+INDEX(编号表!$F:$F,MATCH(D1728,编号表!$E:$E,0))*10000+INDEX(编号表!$D:$D,MATCH(AG1728,编号表!$C:$C,0))*1000+F1728</f>
        <v>11923039</v>
      </c>
      <c r="C1728" s="14" t="s">
        <v>2540</v>
      </c>
      <c r="D1728" s="14" t="s">
        <v>112</v>
      </c>
      <c r="E1728" s="14" t="s">
        <v>89</v>
      </c>
      <c r="F1728" s="14">
        <v>39</v>
      </c>
      <c r="G1728" s="14">
        <v>60</v>
      </c>
      <c r="H1728" s="14" t="s">
        <v>1400</v>
      </c>
      <c r="I1728" s="14" t="s">
        <v>75</v>
      </c>
      <c r="J1728" s="14" t="s">
        <v>201</v>
      </c>
      <c r="K1728" s="14">
        <v>1</v>
      </c>
      <c r="L1728" s="14" t="s">
        <v>1400</v>
      </c>
      <c r="N1728" s="14">
        <v>0</v>
      </c>
      <c r="O1728" s="14" t="b">
        <v>1</v>
      </c>
      <c r="Q1728" s="14" t="b">
        <v>0</v>
      </c>
      <c r="R1728" s="14">
        <v>1</v>
      </c>
      <c r="S1728" s="14" t="s">
        <v>77</v>
      </c>
      <c r="T1728" s="14">
        <v>999</v>
      </c>
      <c r="U1728" s="14" t="s">
        <v>1401</v>
      </c>
      <c r="V1728" s="14">
        <v>31923039</v>
      </c>
      <c r="X1728" s="14" t="s">
        <v>2543</v>
      </c>
      <c r="Y1728" s="14" t="s">
        <v>215</v>
      </c>
      <c r="Z1728" s="14">
        <v>20491</v>
      </c>
      <c r="AA1728" s="14" t="s">
        <v>2544</v>
      </c>
      <c r="AB1728" s="14">
        <v>40001</v>
      </c>
      <c r="AE1728" s="14" t="s">
        <v>1400</v>
      </c>
      <c r="AF1728" s="14" t="s">
        <v>1400</v>
      </c>
      <c r="AG1728" s="14" t="s">
        <v>89</v>
      </c>
    </row>
    <row r="1729" spans="2:33">
      <c r="B1729" s="14">
        <f>10000000+INDEX(编号表!$B:$B,MATCH(H1729,编号表!$A:$A,0))*100000+INDEX(编号表!$F:$F,MATCH(D1729,编号表!$E:$E,0))*10000+INDEX(编号表!$D:$D,MATCH(AG1729,编号表!$C:$C,0))*1000+F1729</f>
        <v>11933040</v>
      </c>
      <c r="C1729" s="14" t="s">
        <v>2540</v>
      </c>
      <c r="D1729" s="14" t="s">
        <v>276</v>
      </c>
      <c r="E1729" s="14" t="s">
        <v>89</v>
      </c>
      <c r="F1729" s="14">
        <v>40</v>
      </c>
      <c r="G1729" s="14">
        <v>60</v>
      </c>
      <c r="H1729" s="14" t="s">
        <v>1400</v>
      </c>
      <c r="I1729" s="14" t="s">
        <v>75</v>
      </c>
      <c r="J1729" s="14" t="s">
        <v>201</v>
      </c>
      <c r="K1729" s="14">
        <v>1</v>
      </c>
      <c r="L1729" s="14" t="s">
        <v>1400</v>
      </c>
      <c r="N1729" s="14">
        <v>0</v>
      </c>
      <c r="O1729" s="14" t="b">
        <v>1</v>
      </c>
      <c r="Q1729" s="14" t="b">
        <v>0</v>
      </c>
      <c r="R1729" s="14">
        <v>1</v>
      </c>
      <c r="S1729" s="14" t="s">
        <v>77</v>
      </c>
      <c r="T1729" s="14">
        <v>999</v>
      </c>
      <c r="U1729" s="14" t="s">
        <v>1401</v>
      </c>
      <c r="V1729" s="14">
        <v>31933040</v>
      </c>
      <c r="X1729" s="14" t="s">
        <v>2545</v>
      </c>
      <c r="Y1729" s="14" t="s">
        <v>215</v>
      </c>
      <c r="Z1729" s="14">
        <v>20492</v>
      </c>
      <c r="AA1729" s="14" t="s">
        <v>2546</v>
      </c>
      <c r="AB1729" s="14">
        <v>40001</v>
      </c>
      <c r="AE1729" s="14" t="s">
        <v>1400</v>
      </c>
      <c r="AF1729" s="14" t="s">
        <v>1400</v>
      </c>
      <c r="AG1729" s="14" t="s">
        <v>89</v>
      </c>
    </row>
    <row r="1730" spans="2:33">
      <c r="B1730" s="14">
        <f>10000000+INDEX(编号表!$B:$B,MATCH(H1730,编号表!$A:$A,0))*100000+INDEX(编号表!$F:$F,MATCH(D1730,编号表!$E:$E,0))*10000+INDEX(编号表!$D:$D,MATCH(AG1730,编号表!$C:$C,0))*1000+F1730</f>
        <v>11913039</v>
      </c>
      <c r="C1730" s="14" t="s">
        <v>2547</v>
      </c>
      <c r="D1730" s="14" t="s">
        <v>72</v>
      </c>
      <c r="E1730" s="14" t="s">
        <v>89</v>
      </c>
      <c r="F1730" s="14">
        <v>39</v>
      </c>
      <c r="G1730" s="14">
        <v>60</v>
      </c>
      <c r="H1730" s="14" t="s">
        <v>1400</v>
      </c>
      <c r="I1730" s="14" t="s">
        <v>75</v>
      </c>
      <c r="J1730" s="14" t="s">
        <v>201</v>
      </c>
      <c r="K1730" s="14">
        <v>1</v>
      </c>
      <c r="L1730" s="14" t="s">
        <v>1400</v>
      </c>
      <c r="N1730" s="14">
        <v>0</v>
      </c>
      <c r="O1730" s="14" t="b">
        <v>1</v>
      </c>
      <c r="Q1730" s="14" t="b">
        <v>0</v>
      </c>
      <c r="R1730" s="14">
        <v>1</v>
      </c>
      <c r="S1730" s="14" t="s">
        <v>77</v>
      </c>
      <c r="T1730" s="14">
        <v>999</v>
      </c>
      <c r="U1730" s="14" t="s">
        <v>1401</v>
      </c>
      <c r="V1730" s="14">
        <v>31913039</v>
      </c>
      <c r="X1730" s="14" t="s">
        <v>2548</v>
      </c>
      <c r="Y1730" s="14" t="s">
        <v>215</v>
      </c>
      <c r="Z1730" s="14">
        <v>20493</v>
      </c>
      <c r="AA1730" s="14" t="s">
        <v>2549</v>
      </c>
      <c r="AB1730" s="14">
        <v>40001</v>
      </c>
      <c r="AE1730" s="14" t="s">
        <v>1400</v>
      </c>
      <c r="AF1730" s="14" t="s">
        <v>1400</v>
      </c>
      <c r="AG1730" s="14" t="s">
        <v>89</v>
      </c>
    </row>
    <row r="1731" spans="2:33">
      <c r="B1731" s="14">
        <f>10000000+INDEX(编号表!$B:$B,MATCH(H1731,编号表!$A:$A,0))*100000+INDEX(编号表!$F:$F,MATCH(D1731,编号表!$E:$E,0))*10000+INDEX(编号表!$D:$D,MATCH(AG1731,编号表!$C:$C,0))*1000+F1731</f>
        <v>11923040</v>
      </c>
      <c r="C1731" s="14" t="s">
        <v>2547</v>
      </c>
      <c r="D1731" s="14" t="s">
        <v>112</v>
      </c>
      <c r="E1731" s="14" t="s">
        <v>89</v>
      </c>
      <c r="F1731" s="14">
        <v>40</v>
      </c>
      <c r="G1731" s="14">
        <v>60</v>
      </c>
      <c r="H1731" s="14" t="s">
        <v>1400</v>
      </c>
      <c r="I1731" s="14" t="s">
        <v>75</v>
      </c>
      <c r="J1731" s="14" t="s">
        <v>201</v>
      </c>
      <c r="K1731" s="14">
        <v>1</v>
      </c>
      <c r="L1731" s="14" t="s">
        <v>1400</v>
      </c>
      <c r="N1731" s="14">
        <v>0</v>
      </c>
      <c r="O1731" s="14" t="b">
        <v>1</v>
      </c>
      <c r="Q1731" s="14" t="b">
        <v>0</v>
      </c>
      <c r="R1731" s="14">
        <v>1</v>
      </c>
      <c r="S1731" s="14" t="s">
        <v>77</v>
      </c>
      <c r="T1731" s="14">
        <v>999</v>
      </c>
      <c r="U1731" s="14" t="s">
        <v>1401</v>
      </c>
      <c r="V1731" s="14">
        <v>31923040</v>
      </c>
      <c r="X1731" s="14" t="s">
        <v>2550</v>
      </c>
      <c r="Y1731" s="14" t="s">
        <v>215</v>
      </c>
      <c r="Z1731" s="14">
        <v>20494</v>
      </c>
      <c r="AA1731" s="14" t="s">
        <v>2551</v>
      </c>
      <c r="AB1731" s="14">
        <v>40001</v>
      </c>
      <c r="AE1731" s="14" t="s">
        <v>1400</v>
      </c>
      <c r="AF1731" s="14" t="s">
        <v>1400</v>
      </c>
      <c r="AG1731" s="14" t="s">
        <v>89</v>
      </c>
    </row>
    <row r="1732" spans="2:33">
      <c r="B1732" s="14">
        <f>10000000+INDEX(编号表!$B:$B,MATCH(H1732,编号表!$A:$A,0))*100000+INDEX(编号表!$F:$F,MATCH(D1732,编号表!$E:$E,0))*10000+INDEX(编号表!$D:$D,MATCH(AG1732,编号表!$C:$C,0))*1000+F1732</f>
        <v>11933041</v>
      </c>
      <c r="C1732" s="14" t="s">
        <v>2547</v>
      </c>
      <c r="D1732" s="14" t="s">
        <v>276</v>
      </c>
      <c r="E1732" s="14" t="s">
        <v>89</v>
      </c>
      <c r="F1732" s="14">
        <v>41</v>
      </c>
      <c r="G1732" s="14">
        <v>60</v>
      </c>
      <c r="H1732" s="14" t="s">
        <v>1400</v>
      </c>
      <c r="I1732" s="14" t="s">
        <v>75</v>
      </c>
      <c r="J1732" s="14" t="s">
        <v>201</v>
      </c>
      <c r="K1732" s="14">
        <v>1</v>
      </c>
      <c r="L1732" s="14" t="s">
        <v>1400</v>
      </c>
      <c r="N1732" s="14">
        <v>0</v>
      </c>
      <c r="O1732" s="14" t="b">
        <v>1</v>
      </c>
      <c r="Q1732" s="14" t="b">
        <v>0</v>
      </c>
      <c r="R1732" s="14">
        <v>1</v>
      </c>
      <c r="S1732" s="14" t="s">
        <v>77</v>
      </c>
      <c r="T1732" s="14">
        <v>999</v>
      </c>
      <c r="U1732" s="14" t="s">
        <v>1401</v>
      </c>
      <c r="V1732" s="14">
        <v>31933041</v>
      </c>
      <c r="X1732" s="14" t="s">
        <v>2552</v>
      </c>
      <c r="Y1732" s="14" t="s">
        <v>215</v>
      </c>
      <c r="Z1732" s="14">
        <v>20495</v>
      </c>
      <c r="AA1732" s="14" t="s">
        <v>2553</v>
      </c>
      <c r="AB1732" s="14">
        <v>40001</v>
      </c>
      <c r="AE1732" s="14" t="s">
        <v>1400</v>
      </c>
      <c r="AF1732" s="14" t="s">
        <v>1400</v>
      </c>
      <c r="AG1732" s="14" t="s">
        <v>89</v>
      </c>
    </row>
    <row r="1733" spans="2:33">
      <c r="B1733" s="14">
        <f>10000000+INDEX(编号表!$B:$B,MATCH(H1733,编号表!$A:$A,0))*100000+INDEX(编号表!$F:$F,MATCH(D1733,编号表!$E:$E,0))*10000+INDEX(编号表!$D:$D,MATCH(AG1733,编号表!$C:$C,0))*1000+F1733</f>
        <v>11913040</v>
      </c>
      <c r="C1733" s="14" t="s">
        <v>2554</v>
      </c>
      <c r="D1733" s="14" t="s">
        <v>72</v>
      </c>
      <c r="E1733" s="14" t="s">
        <v>89</v>
      </c>
      <c r="F1733" s="14">
        <v>40</v>
      </c>
      <c r="G1733" s="14">
        <v>60</v>
      </c>
      <c r="H1733" s="14" t="s">
        <v>1400</v>
      </c>
      <c r="I1733" s="14" t="s">
        <v>75</v>
      </c>
      <c r="J1733" s="14" t="s">
        <v>201</v>
      </c>
      <c r="K1733" s="14">
        <v>1</v>
      </c>
      <c r="L1733" s="14" t="s">
        <v>1400</v>
      </c>
      <c r="N1733" s="14">
        <v>0</v>
      </c>
      <c r="O1733" s="14" t="b">
        <v>1</v>
      </c>
      <c r="Q1733" s="14" t="b">
        <v>0</v>
      </c>
      <c r="R1733" s="14">
        <v>1</v>
      </c>
      <c r="S1733" s="14" t="s">
        <v>77</v>
      </c>
      <c r="T1733" s="14">
        <v>999</v>
      </c>
      <c r="U1733" s="14" t="s">
        <v>1401</v>
      </c>
      <c r="V1733" s="14">
        <v>31913040</v>
      </c>
      <c r="X1733" s="14" t="s">
        <v>2555</v>
      </c>
      <c r="Y1733" s="14" t="s">
        <v>215</v>
      </c>
      <c r="Z1733" s="14">
        <v>20496</v>
      </c>
      <c r="AA1733" s="14" t="s">
        <v>2556</v>
      </c>
      <c r="AB1733" s="14">
        <v>40001</v>
      </c>
      <c r="AE1733" s="14" t="s">
        <v>1400</v>
      </c>
      <c r="AF1733" s="14" t="s">
        <v>1400</v>
      </c>
      <c r="AG1733" s="14" t="s">
        <v>89</v>
      </c>
    </row>
    <row r="1734" spans="2:33">
      <c r="B1734" s="14">
        <f>10000000+INDEX(编号表!$B:$B,MATCH(H1734,编号表!$A:$A,0))*100000+INDEX(编号表!$F:$F,MATCH(D1734,编号表!$E:$E,0))*10000+INDEX(编号表!$D:$D,MATCH(AG1734,编号表!$C:$C,0))*1000+F1734</f>
        <v>11923041</v>
      </c>
      <c r="C1734" s="14" t="s">
        <v>2554</v>
      </c>
      <c r="D1734" s="14" t="s">
        <v>112</v>
      </c>
      <c r="E1734" s="14" t="s">
        <v>89</v>
      </c>
      <c r="F1734" s="14">
        <v>41</v>
      </c>
      <c r="G1734" s="14">
        <v>60</v>
      </c>
      <c r="H1734" s="14" t="s">
        <v>1400</v>
      </c>
      <c r="I1734" s="14" t="s">
        <v>75</v>
      </c>
      <c r="J1734" s="14" t="s">
        <v>201</v>
      </c>
      <c r="K1734" s="14">
        <v>1</v>
      </c>
      <c r="L1734" s="14" t="s">
        <v>1400</v>
      </c>
      <c r="N1734" s="14">
        <v>0</v>
      </c>
      <c r="O1734" s="14" t="b">
        <v>1</v>
      </c>
      <c r="Q1734" s="14" t="b">
        <v>0</v>
      </c>
      <c r="R1734" s="14">
        <v>1</v>
      </c>
      <c r="S1734" s="14" t="s">
        <v>77</v>
      </c>
      <c r="T1734" s="14">
        <v>999</v>
      </c>
      <c r="U1734" s="14" t="s">
        <v>1401</v>
      </c>
      <c r="V1734" s="14">
        <v>31923041</v>
      </c>
      <c r="X1734" s="14" t="s">
        <v>2557</v>
      </c>
      <c r="Y1734" s="14" t="s">
        <v>215</v>
      </c>
      <c r="Z1734" s="14">
        <v>20497</v>
      </c>
      <c r="AA1734" s="14" t="s">
        <v>2558</v>
      </c>
      <c r="AB1734" s="14">
        <v>40001</v>
      </c>
      <c r="AE1734" s="14" t="s">
        <v>1400</v>
      </c>
      <c r="AF1734" s="14" t="s">
        <v>1400</v>
      </c>
      <c r="AG1734" s="14" t="s">
        <v>89</v>
      </c>
    </row>
    <row r="1735" spans="2:33">
      <c r="B1735" s="14">
        <f>10000000+INDEX(编号表!$B:$B,MATCH(H1735,编号表!$A:$A,0))*100000+INDEX(编号表!$F:$F,MATCH(D1735,编号表!$E:$E,0))*10000+INDEX(编号表!$D:$D,MATCH(AG1735,编号表!$C:$C,0))*1000+F1735</f>
        <v>11933042</v>
      </c>
      <c r="C1735" s="14" t="s">
        <v>2554</v>
      </c>
      <c r="D1735" s="14" t="s">
        <v>276</v>
      </c>
      <c r="E1735" s="14" t="s">
        <v>89</v>
      </c>
      <c r="F1735" s="14">
        <v>42</v>
      </c>
      <c r="G1735" s="14">
        <v>60</v>
      </c>
      <c r="H1735" s="14" t="s">
        <v>1400</v>
      </c>
      <c r="I1735" s="14" t="s">
        <v>75</v>
      </c>
      <c r="J1735" s="14" t="s">
        <v>201</v>
      </c>
      <c r="K1735" s="14">
        <v>1</v>
      </c>
      <c r="L1735" s="14" t="s">
        <v>1400</v>
      </c>
      <c r="N1735" s="14">
        <v>0</v>
      </c>
      <c r="O1735" s="14" t="b">
        <v>1</v>
      </c>
      <c r="Q1735" s="14" t="b">
        <v>0</v>
      </c>
      <c r="R1735" s="14">
        <v>1</v>
      </c>
      <c r="S1735" s="14" t="s">
        <v>77</v>
      </c>
      <c r="T1735" s="14">
        <v>999</v>
      </c>
      <c r="U1735" s="14" t="s">
        <v>1401</v>
      </c>
      <c r="V1735" s="14">
        <v>31933042</v>
      </c>
      <c r="X1735" s="14" t="s">
        <v>2559</v>
      </c>
      <c r="Y1735" s="14" t="s">
        <v>215</v>
      </c>
      <c r="Z1735" s="14">
        <v>20498</v>
      </c>
      <c r="AA1735" s="14" t="s">
        <v>2560</v>
      </c>
      <c r="AB1735" s="14">
        <v>40001</v>
      </c>
      <c r="AE1735" s="14" t="s">
        <v>1400</v>
      </c>
      <c r="AF1735" s="14" t="s">
        <v>1400</v>
      </c>
      <c r="AG1735" s="14" t="s">
        <v>89</v>
      </c>
    </row>
    <row r="1736" spans="2:33">
      <c r="B1736" s="14">
        <f>10000000+INDEX(编号表!$B:$B,MATCH(H1736,编号表!$A:$A,0))*100000+INDEX(编号表!$F:$F,MATCH(D1736,编号表!$E:$E,0))*10000+INDEX(编号表!$D:$D,MATCH(AG1736,编号表!$C:$C,0))*1000+F1736</f>
        <v>11913041</v>
      </c>
      <c r="C1736" s="14" t="s">
        <v>2561</v>
      </c>
      <c r="D1736" s="14" t="s">
        <v>72</v>
      </c>
      <c r="E1736" s="14" t="s">
        <v>89</v>
      </c>
      <c r="F1736" s="14">
        <v>41</v>
      </c>
      <c r="G1736" s="14">
        <v>60</v>
      </c>
      <c r="H1736" s="14" t="s">
        <v>1400</v>
      </c>
      <c r="I1736" s="14" t="s">
        <v>75</v>
      </c>
      <c r="J1736" s="14" t="s">
        <v>201</v>
      </c>
      <c r="K1736" s="14">
        <v>1</v>
      </c>
      <c r="L1736" s="14" t="s">
        <v>1400</v>
      </c>
      <c r="N1736" s="14">
        <v>0</v>
      </c>
      <c r="O1736" s="14" t="b">
        <v>1</v>
      </c>
      <c r="Q1736" s="14" t="b">
        <v>0</v>
      </c>
      <c r="R1736" s="14">
        <v>1</v>
      </c>
      <c r="S1736" s="14" t="s">
        <v>77</v>
      </c>
      <c r="T1736" s="14">
        <v>999</v>
      </c>
      <c r="U1736" s="14" t="s">
        <v>1401</v>
      </c>
      <c r="V1736" s="14">
        <v>31913041</v>
      </c>
      <c r="X1736" s="14" t="s">
        <v>2562</v>
      </c>
      <c r="Y1736" s="14" t="s">
        <v>215</v>
      </c>
      <c r="Z1736" s="14">
        <v>20499</v>
      </c>
      <c r="AA1736" s="14" t="s">
        <v>2563</v>
      </c>
      <c r="AB1736" s="14">
        <v>40001</v>
      </c>
      <c r="AE1736" s="14" t="s">
        <v>1400</v>
      </c>
      <c r="AF1736" s="14" t="s">
        <v>1400</v>
      </c>
      <c r="AG1736" s="14" t="s">
        <v>89</v>
      </c>
    </row>
    <row r="1737" spans="2:33">
      <c r="B1737" s="14">
        <f>10000000+INDEX(编号表!$B:$B,MATCH(H1737,编号表!$A:$A,0))*100000+INDEX(编号表!$F:$F,MATCH(D1737,编号表!$E:$E,0))*10000+INDEX(编号表!$D:$D,MATCH(AG1737,编号表!$C:$C,0))*1000+F1737</f>
        <v>11923042</v>
      </c>
      <c r="C1737" s="14" t="s">
        <v>2561</v>
      </c>
      <c r="D1737" s="14" t="s">
        <v>112</v>
      </c>
      <c r="E1737" s="14" t="s">
        <v>89</v>
      </c>
      <c r="F1737" s="14">
        <v>42</v>
      </c>
      <c r="G1737" s="14">
        <v>60</v>
      </c>
      <c r="H1737" s="14" t="s">
        <v>1400</v>
      </c>
      <c r="I1737" s="14" t="s">
        <v>75</v>
      </c>
      <c r="J1737" s="14" t="s">
        <v>201</v>
      </c>
      <c r="K1737" s="14">
        <v>1</v>
      </c>
      <c r="L1737" s="14" t="s">
        <v>1400</v>
      </c>
      <c r="N1737" s="14">
        <v>0</v>
      </c>
      <c r="O1737" s="14" t="b">
        <v>1</v>
      </c>
      <c r="Q1737" s="14" t="b">
        <v>0</v>
      </c>
      <c r="R1737" s="14">
        <v>1</v>
      </c>
      <c r="S1737" s="14" t="s">
        <v>77</v>
      </c>
      <c r="T1737" s="14">
        <v>999</v>
      </c>
      <c r="U1737" s="14" t="s">
        <v>1401</v>
      </c>
      <c r="V1737" s="14">
        <v>31923042</v>
      </c>
      <c r="X1737" s="14" t="s">
        <v>2564</v>
      </c>
      <c r="Y1737" s="14" t="s">
        <v>215</v>
      </c>
      <c r="Z1737" s="14">
        <v>20500</v>
      </c>
      <c r="AA1737" s="14" t="s">
        <v>2565</v>
      </c>
      <c r="AB1737" s="14">
        <v>40001</v>
      </c>
      <c r="AE1737" s="14" t="s">
        <v>1400</v>
      </c>
      <c r="AF1737" s="14" t="s">
        <v>1400</v>
      </c>
      <c r="AG1737" s="14" t="s">
        <v>89</v>
      </c>
    </row>
    <row r="1738" spans="2:33">
      <c r="B1738" s="14">
        <f>10000000+INDEX(编号表!$B:$B,MATCH(H1738,编号表!$A:$A,0))*100000+INDEX(编号表!$F:$F,MATCH(D1738,编号表!$E:$E,0))*10000+INDEX(编号表!$D:$D,MATCH(AG1738,编号表!$C:$C,0))*1000+F1738</f>
        <v>11933043</v>
      </c>
      <c r="C1738" s="14" t="s">
        <v>2561</v>
      </c>
      <c r="D1738" s="14" t="s">
        <v>276</v>
      </c>
      <c r="E1738" s="14" t="s">
        <v>89</v>
      </c>
      <c r="F1738" s="14">
        <v>43</v>
      </c>
      <c r="G1738" s="14">
        <v>60</v>
      </c>
      <c r="H1738" s="14" t="s">
        <v>1400</v>
      </c>
      <c r="I1738" s="14" t="s">
        <v>75</v>
      </c>
      <c r="J1738" s="14" t="s">
        <v>201</v>
      </c>
      <c r="K1738" s="14">
        <v>1</v>
      </c>
      <c r="L1738" s="14" t="s">
        <v>1400</v>
      </c>
      <c r="N1738" s="14">
        <v>0</v>
      </c>
      <c r="O1738" s="14" t="b">
        <v>1</v>
      </c>
      <c r="Q1738" s="14" t="b">
        <v>0</v>
      </c>
      <c r="R1738" s="14">
        <v>1</v>
      </c>
      <c r="S1738" s="14" t="s">
        <v>77</v>
      </c>
      <c r="T1738" s="14">
        <v>999</v>
      </c>
      <c r="U1738" s="14" t="s">
        <v>1401</v>
      </c>
      <c r="V1738" s="14">
        <v>31933043</v>
      </c>
      <c r="X1738" s="14" t="s">
        <v>2566</v>
      </c>
      <c r="Y1738" s="14" t="s">
        <v>215</v>
      </c>
      <c r="Z1738" s="14">
        <v>20501</v>
      </c>
      <c r="AA1738" s="14" t="s">
        <v>2567</v>
      </c>
      <c r="AB1738" s="14">
        <v>40001</v>
      </c>
      <c r="AE1738" s="14" t="s">
        <v>1400</v>
      </c>
      <c r="AF1738" s="14" t="s">
        <v>1400</v>
      </c>
      <c r="AG1738" s="14" t="s">
        <v>89</v>
      </c>
    </row>
    <row r="1739" spans="2:33">
      <c r="B1739" s="14">
        <f>10000000+INDEX(编号表!$B:$B,MATCH(H1739,编号表!$A:$A,0))*100000+INDEX(编号表!$F:$F,MATCH(D1739,编号表!$E:$E,0))*10000+INDEX(编号表!$D:$D,MATCH(AG1739,编号表!$C:$C,0))*1000+F1739</f>
        <v>11913042</v>
      </c>
      <c r="C1739" s="14" t="s">
        <v>2568</v>
      </c>
      <c r="D1739" s="14" t="s">
        <v>72</v>
      </c>
      <c r="E1739" s="14" t="s">
        <v>89</v>
      </c>
      <c r="F1739" s="14">
        <v>42</v>
      </c>
      <c r="G1739" s="14">
        <v>60</v>
      </c>
      <c r="H1739" s="14" t="s">
        <v>1400</v>
      </c>
      <c r="I1739" s="14" t="s">
        <v>75</v>
      </c>
      <c r="J1739" s="14" t="s">
        <v>201</v>
      </c>
      <c r="K1739" s="14">
        <v>1</v>
      </c>
      <c r="L1739" s="14" t="s">
        <v>1400</v>
      </c>
      <c r="N1739" s="14">
        <v>0</v>
      </c>
      <c r="O1739" s="14" t="b">
        <v>1</v>
      </c>
      <c r="Q1739" s="14" t="b">
        <v>0</v>
      </c>
      <c r="R1739" s="14">
        <v>1</v>
      </c>
      <c r="S1739" s="14" t="s">
        <v>77</v>
      </c>
      <c r="T1739" s="14">
        <v>999</v>
      </c>
      <c r="U1739" s="14" t="s">
        <v>1401</v>
      </c>
      <c r="V1739" s="14">
        <v>31913042</v>
      </c>
      <c r="X1739" s="14" t="s">
        <v>2569</v>
      </c>
      <c r="Y1739" s="14" t="s">
        <v>215</v>
      </c>
      <c r="Z1739" s="14">
        <v>20502</v>
      </c>
      <c r="AA1739" s="14" t="s">
        <v>2570</v>
      </c>
      <c r="AB1739" s="14">
        <v>40001</v>
      </c>
      <c r="AE1739" s="14" t="s">
        <v>1400</v>
      </c>
      <c r="AF1739" s="14" t="s">
        <v>1400</v>
      </c>
      <c r="AG1739" s="14" t="s">
        <v>89</v>
      </c>
    </row>
    <row r="1740" spans="2:33">
      <c r="B1740" s="14">
        <f>10000000+INDEX(编号表!$B:$B,MATCH(H1740,编号表!$A:$A,0))*100000+INDEX(编号表!$F:$F,MATCH(D1740,编号表!$E:$E,0))*10000+INDEX(编号表!$D:$D,MATCH(AG1740,编号表!$C:$C,0))*1000+F1740</f>
        <v>11923043</v>
      </c>
      <c r="C1740" s="14" t="s">
        <v>2568</v>
      </c>
      <c r="D1740" s="14" t="s">
        <v>112</v>
      </c>
      <c r="E1740" s="14" t="s">
        <v>89</v>
      </c>
      <c r="F1740" s="14">
        <v>43</v>
      </c>
      <c r="G1740" s="14">
        <v>60</v>
      </c>
      <c r="H1740" s="14" t="s">
        <v>1400</v>
      </c>
      <c r="I1740" s="14" t="s">
        <v>75</v>
      </c>
      <c r="J1740" s="14" t="s">
        <v>201</v>
      </c>
      <c r="K1740" s="14">
        <v>1</v>
      </c>
      <c r="L1740" s="14" t="s">
        <v>1400</v>
      </c>
      <c r="N1740" s="14">
        <v>0</v>
      </c>
      <c r="O1740" s="14" t="b">
        <v>1</v>
      </c>
      <c r="Q1740" s="14" t="b">
        <v>0</v>
      </c>
      <c r="R1740" s="14">
        <v>1</v>
      </c>
      <c r="S1740" s="14" t="s">
        <v>77</v>
      </c>
      <c r="T1740" s="14">
        <v>999</v>
      </c>
      <c r="U1740" s="14" t="s">
        <v>1401</v>
      </c>
      <c r="V1740" s="14">
        <v>31923043</v>
      </c>
      <c r="X1740" s="14" t="s">
        <v>2571</v>
      </c>
      <c r="Y1740" s="14" t="s">
        <v>215</v>
      </c>
      <c r="Z1740" s="14">
        <v>20503</v>
      </c>
      <c r="AA1740" s="14" t="s">
        <v>2572</v>
      </c>
      <c r="AB1740" s="14">
        <v>40001</v>
      </c>
      <c r="AE1740" s="14" t="s">
        <v>1400</v>
      </c>
      <c r="AF1740" s="14" t="s">
        <v>1400</v>
      </c>
      <c r="AG1740" s="14" t="s">
        <v>89</v>
      </c>
    </row>
    <row r="1741" spans="2:33">
      <c r="B1741" s="14">
        <f>10000000+INDEX(编号表!$B:$B,MATCH(H1741,编号表!$A:$A,0))*100000+INDEX(编号表!$F:$F,MATCH(D1741,编号表!$E:$E,0))*10000+INDEX(编号表!$D:$D,MATCH(AG1741,编号表!$C:$C,0))*1000+F1741</f>
        <v>11933044</v>
      </c>
      <c r="C1741" s="14" t="s">
        <v>2568</v>
      </c>
      <c r="D1741" s="14" t="s">
        <v>276</v>
      </c>
      <c r="E1741" s="14" t="s">
        <v>89</v>
      </c>
      <c r="F1741" s="14">
        <v>44</v>
      </c>
      <c r="G1741" s="14">
        <v>60</v>
      </c>
      <c r="H1741" s="14" t="s">
        <v>1400</v>
      </c>
      <c r="I1741" s="14" t="s">
        <v>75</v>
      </c>
      <c r="J1741" s="14" t="s">
        <v>201</v>
      </c>
      <c r="K1741" s="14">
        <v>1</v>
      </c>
      <c r="L1741" s="14" t="s">
        <v>1400</v>
      </c>
      <c r="N1741" s="14">
        <v>0</v>
      </c>
      <c r="O1741" s="14" t="b">
        <v>1</v>
      </c>
      <c r="Q1741" s="14" t="b">
        <v>0</v>
      </c>
      <c r="R1741" s="14">
        <v>1</v>
      </c>
      <c r="S1741" s="14" t="s">
        <v>77</v>
      </c>
      <c r="T1741" s="14">
        <v>999</v>
      </c>
      <c r="U1741" s="14" t="s">
        <v>1401</v>
      </c>
      <c r="V1741" s="14">
        <v>31933044</v>
      </c>
      <c r="X1741" s="14" t="s">
        <v>2573</v>
      </c>
      <c r="Y1741" s="14" t="s">
        <v>215</v>
      </c>
      <c r="Z1741" s="14">
        <v>20504</v>
      </c>
      <c r="AA1741" s="14" t="s">
        <v>2574</v>
      </c>
      <c r="AB1741" s="14">
        <v>40001</v>
      </c>
      <c r="AE1741" s="14" t="s">
        <v>1400</v>
      </c>
      <c r="AF1741" s="14" t="s">
        <v>1400</v>
      </c>
      <c r="AG1741" s="14" t="s">
        <v>89</v>
      </c>
    </row>
    <row r="1742" spans="2:33">
      <c r="B1742" s="14">
        <f>10000000+INDEX(编号表!$B:$B,MATCH(H1742,编号表!$A:$A,0))*100000+INDEX(编号表!$F:$F,MATCH(D1742,编号表!$E:$E,0))*10000+INDEX(编号表!$D:$D,MATCH(AG1742,编号表!$C:$C,0))*1000+F1742</f>
        <v>11913043</v>
      </c>
      <c r="C1742" s="14" t="s">
        <v>2575</v>
      </c>
      <c r="D1742" s="14" t="s">
        <v>72</v>
      </c>
      <c r="E1742" s="14" t="s">
        <v>89</v>
      </c>
      <c r="F1742" s="14">
        <v>43</v>
      </c>
      <c r="G1742" s="14">
        <v>60</v>
      </c>
      <c r="H1742" s="14" t="s">
        <v>1400</v>
      </c>
      <c r="I1742" s="14" t="s">
        <v>75</v>
      </c>
      <c r="J1742" s="14" t="s">
        <v>201</v>
      </c>
      <c r="K1742" s="14">
        <v>1</v>
      </c>
      <c r="L1742" s="14" t="s">
        <v>1400</v>
      </c>
      <c r="N1742" s="14">
        <v>0</v>
      </c>
      <c r="O1742" s="14" t="b">
        <v>1</v>
      </c>
      <c r="Q1742" s="14" t="b">
        <v>0</v>
      </c>
      <c r="R1742" s="14">
        <v>1</v>
      </c>
      <c r="S1742" s="14" t="s">
        <v>77</v>
      </c>
      <c r="T1742" s="14">
        <v>999</v>
      </c>
      <c r="U1742" s="14" t="s">
        <v>1401</v>
      </c>
      <c r="V1742" s="14">
        <v>31913043</v>
      </c>
      <c r="X1742" s="14" t="s">
        <v>2576</v>
      </c>
      <c r="Y1742" s="14" t="s">
        <v>215</v>
      </c>
      <c r="Z1742" s="14">
        <v>20505</v>
      </c>
      <c r="AA1742" s="14" t="s">
        <v>2577</v>
      </c>
      <c r="AB1742" s="14">
        <v>40001</v>
      </c>
      <c r="AE1742" s="14" t="s">
        <v>1400</v>
      </c>
      <c r="AF1742" s="14" t="s">
        <v>1400</v>
      </c>
      <c r="AG1742" s="14" t="s">
        <v>89</v>
      </c>
    </row>
    <row r="1743" spans="2:33">
      <c r="B1743" s="14">
        <f>10000000+INDEX(编号表!$B:$B,MATCH(H1743,编号表!$A:$A,0))*100000+INDEX(编号表!$F:$F,MATCH(D1743,编号表!$E:$E,0))*10000+INDEX(编号表!$D:$D,MATCH(AG1743,编号表!$C:$C,0))*1000+F1743</f>
        <v>11923044</v>
      </c>
      <c r="C1743" s="14" t="s">
        <v>2575</v>
      </c>
      <c r="D1743" s="14" t="s">
        <v>112</v>
      </c>
      <c r="E1743" s="14" t="s">
        <v>89</v>
      </c>
      <c r="F1743" s="14">
        <v>44</v>
      </c>
      <c r="G1743" s="14">
        <v>60</v>
      </c>
      <c r="H1743" s="14" t="s">
        <v>1400</v>
      </c>
      <c r="I1743" s="14" t="s">
        <v>75</v>
      </c>
      <c r="J1743" s="14" t="s">
        <v>201</v>
      </c>
      <c r="K1743" s="14">
        <v>1</v>
      </c>
      <c r="L1743" s="14" t="s">
        <v>1400</v>
      </c>
      <c r="N1743" s="14">
        <v>0</v>
      </c>
      <c r="O1743" s="14" t="b">
        <v>1</v>
      </c>
      <c r="Q1743" s="14" t="b">
        <v>0</v>
      </c>
      <c r="R1743" s="14">
        <v>1</v>
      </c>
      <c r="S1743" s="14" t="s">
        <v>77</v>
      </c>
      <c r="T1743" s="14">
        <v>999</v>
      </c>
      <c r="U1743" s="14" t="s">
        <v>1401</v>
      </c>
      <c r="V1743" s="14">
        <v>31923044</v>
      </c>
      <c r="X1743" s="14" t="s">
        <v>2578</v>
      </c>
      <c r="Y1743" s="14" t="s">
        <v>215</v>
      </c>
      <c r="Z1743" s="14">
        <v>20506</v>
      </c>
      <c r="AA1743" s="14" t="s">
        <v>2579</v>
      </c>
      <c r="AB1743" s="14">
        <v>40001</v>
      </c>
      <c r="AE1743" s="14" t="s">
        <v>1400</v>
      </c>
      <c r="AF1743" s="14" t="s">
        <v>1400</v>
      </c>
      <c r="AG1743" s="14" t="s">
        <v>89</v>
      </c>
    </row>
    <row r="1744" spans="2:33">
      <c r="B1744" s="14">
        <f>10000000+INDEX(编号表!$B:$B,MATCH(H1744,编号表!$A:$A,0))*100000+INDEX(编号表!$F:$F,MATCH(D1744,编号表!$E:$E,0))*10000+INDEX(编号表!$D:$D,MATCH(AG1744,编号表!$C:$C,0))*1000+F1744</f>
        <v>11933045</v>
      </c>
      <c r="C1744" s="14" t="s">
        <v>2575</v>
      </c>
      <c r="D1744" s="14" t="s">
        <v>276</v>
      </c>
      <c r="E1744" s="14" t="s">
        <v>89</v>
      </c>
      <c r="F1744" s="14">
        <v>45</v>
      </c>
      <c r="G1744" s="14">
        <v>60</v>
      </c>
      <c r="H1744" s="14" t="s">
        <v>1400</v>
      </c>
      <c r="I1744" s="14" t="s">
        <v>75</v>
      </c>
      <c r="J1744" s="14" t="s">
        <v>201</v>
      </c>
      <c r="K1744" s="14">
        <v>1</v>
      </c>
      <c r="L1744" s="14" t="s">
        <v>1400</v>
      </c>
      <c r="N1744" s="14">
        <v>0</v>
      </c>
      <c r="O1744" s="14" t="b">
        <v>1</v>
      </c>
      <c r="Q1744" s="14" t="b">
        <v>0</v>
      </c>
      <c r="R1744" s="14">
        <v>1</v>
      </c>
      <c r="S1744" s="14" t="s">
        <v>77</v>
      </c>
      <c r="T1744" s="14">
        <v>999</v>
      </c>
      <c r="U1744" s="14" t="s">
        <v>1401</v>
      </c>
      <c r="V1744" s="14">
        <v>31933045</v>
      </c>
      <c r="X1744" s="14" t="s">
        <v>2580</v>
      </c>
      <c r="Y1744" s="14" t="s">
        <v>215</v>
      </c>
      <c r="Z1744" s="14">
        <v>20507</v>
      </c>
      <c r="AA1744" s="14" t="s">
        <v>2581</v>
      </c>
      <c r="AB1744" s="14">
        <v>40001</v>
      </c>
      <c r="AE1744" s="14" t="s">
        <v>1400</v>
      </c>
      <c r="AF1744" s="14" t="s">
        <v>1400</v>
      </c>
      <c r="AG1744" s="14" t="s">
        <v>89</v>
      </c>
    </row>
    <row r="1745" spans="2:33">
      <c r="B1745" s="14">
        <f>10000000+INDEX(编号表!$B:$B,MATCH(H1745,编号表!$A:$A,0))*100000+INDEX(编号表!$F:$F,MATCH(D1745,编号表!$E:$E,0))*10000+INDEX(编号表!$D:$D,MATCH(AG1745,编号表!$C:$C,0))*1000+F1745</f>
        <v>11913044</v>
      </c>
      <c r="C1745" s="14" t="s">
        <v>2582</v>
      </c>
      <c r="D1745" s="14" t="s">
        <v>72</v>
      </c>
      <c r="E1745" s="14" t="s">
        <v>89</v>
      </c>
      <c r="F1745" s="14">
        <v>44</v>
      </c>
      <c r="G1745" s="14">
        <v>60</v>
      </c>
      <c r="H1745" s="14" t="s">
        <v>1400</v>
      </c>
      <c r="I1745" s="14" t="s">
        <v>75</v>
      </c>
      <c r="J1745" s="14" t="s">
        <v>201</v>
      </c>
      <c r="K1745" s="14">
        <v>1</v>
      </c>
      <c r="L1745" s="14" t="s">
        <v>1400</v>
      </c>
      <c r="N1745" s="14">
        <v>0</v>
      </c>
      <c r="O1745" s="14" t="b">
        <v>1</v>
      </c>
      <c r="Q1745" s="14" t="b">
        <v>0</v>
      </c>
      <c r="R1745" s="14">
        <v>1</v>
      </c>
      <c r="S1745" s="14" t="s">
        <v>77</v>
      </c>
      <c r="T1745" s="14">
        <v>999</v>
      </c>
      <c r="U1745" s="14" t="s">
        <v>1401</v>
      </c>
      <c r="V1745" s="14">
        <v>31913044</v>
      </c>
      <c r="X1745" s="14" t="s">
        <v>2583</v>
      </c>
      <c r="Y1745" s="14" t="s">
        <v>215</v>
      </c>
      <c r="Z1745" s="14">
        <v>20508</v>
      </c>
      <c r="AA1745" s="14" t="s">
        <v>2584</v>
      </c>
      <c r="AB1745" s="14">
        <v>40001</v>
      </c>
      <c r="AE1745" s="14" t="s">
        <v>1400</v>
      </c>
      <c r="AF1745" s="14" t="s">
        <v>1400</v>
      </c>
      <c r="AG1745" s="14" t="s">
        <v>89</v>
      </c>
    </row>
    <row r="1746" spans="2:33">
      <c r="B1746" s="14">
        <f>10000000+INDEX(编号表!$B:$B,MATCH(H1746,编号表!$A:$A,0))*100000+INDEX(编号表!$F:$F,MATCH(D1746,编号表!$E:$E,0))*10000+INDEX(编号表!$D:$D,MATCH(AG1746,编号表!$C:$C,0))*1000+F1746</f>
        <v>11923045</v>
      </c>
      <c r="C1746" s="14" t="s">
        <v>2582</v>
      </c>
      <c r="D1746" s="14" t="s">
        <v>112</v>
      </c>
      <c r="E1746" s="14" t="s">
        <v>89</v>
      </c>
      <c r="F1746" s="14">
        <v>45</v>
      </c>
      <c r="G1746" s="14">
        <v>60</v>
      </c>
      <c r="H1746" s="14" t="s">
        <v>1400</v>
      </c>
      <c r="I1746" s="14" t="s">
        <v>75</v>
      </c>
      <c r="J1746" s="14" t="s">
        <v>201</v>
      </c>
      <c r="K1746" s="14">
        <v>1</v>
      </c>
      <c r="L1746" s="14" t="s">
        <v>1400</v>
      </c>
      <c r="N1746" s="14">
        <v>0</v>
      </c>
      <c r="O1746" s="14" t="b">
        <v>1</v>
      </c>
      <c r="Q1746" s="14" t="b">
        <v>0</v>
      </c>
      <c r="R1746" s="14">
        <v>1</v>
      </c>
      <c r="S1746" s="14" t="s">
        <v>77</v>
      </c>
      <c r="T1746" s="14">
        <v>999</v>
      </c>
      <c r="U1746" s="14" t="s">
        <v>1401</v>
      </c>
      <c r="V1746" s="14">
        <v>31923045</v>
      </c>
      <c r="X1746" s="14" t="s">
        <v>2585</v>
      </c>
      <c r="Y1746" s="14" t="s">
        <v>215</v>
      </c>
      <c r="Z1746" s="14">
        <v>20509</v>
      </c>
      <c r="AA1746" s="14" t="s">
        <v>2586</v>
      </c>
      <c r="AB1746" s="14">
        <v>40001</v>
      </c>
      <c r="AE1746" s="14" t="s">
        <v>1400</v>
      </c>
      <c r="AF1746" s="14" t="s">
        <v>1400</v>
      </c>
      <c r="AG1746" s="14" t="s">
        <v>89</v>
      </c>
    </row>
    <row r="1747" spans="2:33">
      <c r="B1747" s="14">
        <f>10000000+INDEX(编号表!$B:$B,MATCH(H1747,编号表!$A:$A,0))*100000+INDEX(编号表!$F:$F,MATCH(D1747,编号表!$E:$E,0))*10000+INDEX(编号表!$D:$D,MATCH(AG1747,编号表!$C:$C,0))*1000+F1747</f>
        <v>11933046</v>
      </c>
      <c r="C1747" s="14" t="s">
        <v>2582</v>
      </c>
      <c r="D1747" s="14" t="s">
        <v>276</v>
      </c>
      <c r="E1747" s="14" t="s">
        <v>89</v>
      </c>
      <c r="F1747" s="14">
        <v>46</v>
      </c>
      <c r="G1747" s="14">
        <v>60</v>
      </c>
      <c r="H1747" s="14" t="s">
        <v>1400</v>
      </c>
      <c r="I1747" s="14" t="s">
        <v>75</v>
      </c>
      <c r="J1747" s="14" t="s">
        <v>201</v>
      </c>
      <c r="K1747" s="14">
        <v>1</v>
      </c>
      <c r="L1747" s="14" t="s">
        <v>1400</v>
      </c>
      <c r="N1747" s="14">
        <v>0</v>
      </c>
      <c r="O1747" s="14" t="b">
        <v>1</v>
      </c>
      <c r="Q1747" s="14" t="b">
        <v>0</v>
      </c>
      <c r="R1747" s="14">
        <v>1</v>
      </c>
      <c r="S1747" s="14" t="s">
        <v>77</v>
      </c>
      <c r="T1747" s="14">
        <v>999</v>
      </c>
      <c r="U1747" s="14" t="s">
        <v>1401</v>
      </c>
      <c r="V1747" s="14">
        <v>31933046</v>
      </c>
      <c r="X1747" s="14" t="s">
        <v>2587</v>
      </c>
      <c r="Y1747" s="14" t="s">
        <v>215</v>
      </c>
      <c r="Z1747" s="14">
        <v>20510</v>
      </c>
      <c r="AA1747" s="14" t="s">
        <v>2588</v>
      </c>
      <c r="AB1747" s="14">
        <v>40001</v>
      </c>
      <c r="AE1747" s="14" t="s">
        <v>1400</v>
      </c>
      <c r="AF1747" s="14" t="s">
        <v>1400</v>
      </c>
      <c r="AG1747" s="14" t="s">
        <v>89</v>
      </c>
    </row>
    <row r="1748" spans="2:33">
      <c r="B1748" s="14">
        <f>10000000+INDEX(编号表!$B:$B,MATCH(H1748,编号表!$A:$A,0))*100000+INDEX(编号表!$F:$F,MATCH(D1748,编号表!$E:$E,0))*10000+INDEX(编号表!$D:$D,MATCH(AG1748,编号表!$C:$C,0))*1000+F1748</f>
        <v>11913045</v>
      </c>
      <c r="C1748" s="14" t="s">
        <v>2589</v>
      </c>
      <c r="D1748" s="14" t="s">
        <v>72</v>
      </c>
      <c r="E1748" s="14" t="s">
        <v>89</v>
      </c>
      <c r="F1748" s="14">
        <v>45</v>
      </c>
      <c r="G1748" s="14">
        <v>60</v>
      </c>
      <c r="H1748" s="14" t="s">
        <v>1400</v>
      </c>
      <c r="I1748" s="14" t="s">
        <v>75</v>
      </c>
      <c r="J1748" s="14" t="s">
        <v>201</v>
      </c>
      <c r="K1748" s="14">
        <v>1</v>
      </c>
      <c r="L1748" s="14" t="s">
        <v>1400</v>
      </c>
      <c r="N1748" s="14">
        <v>0</v>
      </c>
      <c r="O1748" s="14" t="b">
        <v>1</v>
      </c>
      <c r="Q1748" s="14" t="b">
        <v>0</v>
      </c>
      <c r="R1748" s="14">
        <v>1</v>
      </c>
      <c r="S1748" s="14" t="s">
        <v>77</v>
      </c>
      <c r="T1748" s="14">
        <v>999</v>
      </c>
      <c r="U1748" s="14" t="s">
        <v>1401</v>
      </c>
      <c r="V1748" s="14">
        <v>31913045</v>
      </c>
      <c r="X1748" s="14" t="s">
        <v>2590</v>
      </c>
      <c r="Y1748" s="14" t="s">
        <v>215</v>
      </c>
      <c r="Z1748" s="14">
        <v>20511</v>
      </c>
      <c r="AA1748" s="14" t="s">
        <v>2591</v>
      </c>
      <c r="AB1748" s="14">
        <v>40001</v>
      </c>
      <c r="AE1748" s="14" t="s">
        <v>1400</v>
      </c>
      <c r="AF1748" s="14" t="s">
        <v>1400</v>
      </c>
      <c r="AG1748" s="14" t="s">
        <v>89</v>
      </c>
    </row>
    <row r="1749" spans="2:33">
      <c r="B1749" s="14">
        <f>10000000+INDEX(编号表!$B:$B,MATCH(H1749,编号表!$A:$A,0))*100000+INDEX(编号表!$F:$F,MATCH(D1749,编号表!$E:$E,0))*10000+INDEX(编号表!$D:$D,MATCH(AG1749,编号表!$C:$C,0))*1000+F1749</f>
        <v>11923046</v>
      </c>
      <c r="C1749" s="14" t="s">
        <v>2589</v>
      </c>
      <c r="D1749" s="14" t="s">
        <v>112</v>
      </c>
      <c r="E1749" s="14" t="s">
        <v>89</v>
      </c>
      <c r="F1749" s="14">
        <v>46</v>
      </c>
      <c r="G1749" s="14">
        <v>60</v>
      </c>
      <c r="H1749" s="14" t="s">
        <v>1400</v>
      </c>
      <c r="I1749" s="14" t="s">
        <v>75</v>
      </c>
      <c r="J1749" s="14" t="s">
        <v>201</v>
      </c>
      <c r="K1749" s="14">
        <v>1</v>
      </c>
      <c r="L1749" s="14" t="s">
        <v>1400</v>
      </c>
      <c r="N1749" s="14">
        <v>0</v>
      </c>
      <c r="O1749" s="14" t="b">
        <v>1</v>
      </c>
      <c r="Q1749" s="14" t="b">
        <v>0</v>
      </c>
      <c r="R1749" s="14">
        <v>1</v>
      </c>
      <c r="S1749" s="14" t="s">
        <v>77</v>
      </c>
      <c r="T1749" s="14">
        <v>999</v>
      </c>
      <c r="U1749" s="14" t="s">
        <v>1401</v>
      </c>
      <c r="V1749" s="14">
        <v>31923046</v>
      </c>
      <c r="X1749" s="14" t="s">
        <v>2592</v>
      </c>
      <c r="Y1749" s="14" t="s">
        <v>215</v>
      </c>
      <c r="Z1749" s="14">
        <v>20512</v>
      </c>
      <c r="AA1749" s="14" t="s">
        <v>2593</v>
      </c>
      <c r="AB1749" s="14">
        <v>40001</v>
      </c>
      <c r="AE1749" s="14" t="s">
        <v>1400</v>
      </c>
      <c r="AF1749" s="14" t="s">
        <v>1400</v>
      </c>
      <c r="AG1749" s="14" t="s">
        <v>89</v>
      </c>
    </row>
    <row r="1750" spans="2:33">
      <c r="B1750" s="14">
        <f>10000000+INDEX(编号表!$B:$B,MATCH(H1750,编号表!$A:$A,0))*100000+INDEX(编号表!$F:$F,MATCH(D1750,编号表!$E:$E,0))*10000+INDEX(编号表!$D:$D,MATCH(AG1750,编号表!$C:$C,0))*1000+F1750</f>
        <v>11933047</v>
      </c>
      <c r="C1750" s="14" t="s">
        <v>2589</v>
      </c>
      <c r="D1750" s="14" t="s">
        <v>276</v>
      </c>
      <c r="E1750" s="14" t="s">
        <v>89</v>
      </c>
      <c r="F1750" s="14">
        <v>47</v>
      </c>
      <c r="G1750" s="14">
        <v>60</v>
      </c>
      <c r="H1750" s="14" t="s">
        <v>1400</v>
      </c>
      <c r="I1750" s="14" t="s">
        <v>75</v>
      </c>
      <c r="J1750" s="14" t="s">
        <v>201</v>
      </c>
      <c r="K1750" s="14">
        <v>1</v>
      </c>
      <c r="L1750" s="14" t="s">
        <v>1400</v>
      </c>
      <c r="N1750" s="14">
        <v>0</v>
      </c>
      <c r="O1750" s="14" t="b">
        <v>1</v>
      </c>
      <c r="Q1750" s="14" t="b">
        <v>0</v>
      </c>
      <c r="R1750" s="14">
        <v>1</v>
      </c>
      <c r="S1750" s="14" t="s">
        <v>77</v>
      </c>
      <c r="T1750" s="14">
        <v>999</v>
      </c>
      <c r="U1750" s="14" t="s">
        <v>1401</v>
      </c>
      <c r="V1750" s="14">
        <v>31933047</v>
      </c>
      <c r="X1750" s="14" t="s">
        <v>2594</v>
      </c>
      <c r="Y1750" s="14" t="s">
        <v>215</v>
      </c>
      <c r="Z1750" s="14">
        <v>20513</v>
      </c>
      <c r="AA1750" s="14" t="s">
        <v>2595</v>
      </c>
      <c r="AB1750" s="14">
        <v>40001</v>
      </c>
      <c r="AE1750" s="14" t="s">
        <v>1400</v>
      </c>
      <c r="AF1750" s="14" t="s">
        <v>1400</v>
      </c>
      <c r="AG1750" s="14" t="s">
        <v>89</v>
      </c>
    </row>
    <row r="1751" spans="2:33">
      <c r="B1751" s="14">
        <f>10000000+INDEX(编号表!$B:$B,MATCH(H1751,编号表!$A:$A,0))*100000+INDEX(编号表!$F:$F,MATCH(D1751,编号表!$E:$E,0))*10000+INDEX(编号表!$D:$D,MATCH(AG1751,编号表!$C:$C,0))*1000+F1751</f>
        <v>11913046</v>
      </c>
      <c r="C1751" s="14" t="s">
        <v>2596</v>
      </c>
      <c r="D1751" s="14" t="s">
        <v>72</v>
      </c>
      <c r="E1751" s="14" t="s">
        <v>89</v>
      </c>
      <c r="F1751" s="14">
        <v>46</v>
      </c>
      <c r="G1751" s="14">
        <v>60</v>
      </c>
      <c r="H1751" s="14" t="s">
        <v>1400</v>
      </c>
      <c r="I1751" s="14" t="s">
        <v>75</v>
      </c>
      <c r="J1751" s="14" t="s">
        <v>201</v>
      </c>
      <c r="K1751" s="14">
        <v>1</v>
      </c>
      <c r="L1751" s="14" t="s">
        <v>1400</v>
      </c>
      <c r="N1751" s="14">
        <v>0</v>
      </c>
      <c r="O1751" s="14" t="b">
        <v>1</v>
      </c>
      <c r="Q1751" s="14" t="b">
        <v>0</v>
      </c>
      <c r="R1751" s="14">
        <v>1</v>
      </c>
      <c r="S1751" s="14" t="s">
        <v>77</v>
      </c>
      <c r="T1751" s="14">
        <v>999</v>
      </c>
      <c r="U1751" s="14" t="s">
        <v>1401</v>
      </c>
      <c r="V1751" s="14">
        <v>31913046</v>
      </c>
      <c r="X1751" s="14" t="s">
        <v>2597</v>
      </c>
      <c r="Y1751" s="14" t="s">
        <v>215</v>
      </c>
      <c r="Z1751" s="14">
        <v>20514</v>
      </c>
      <c r="AA1751" s="14" t="s">
        <v>2598</v>
      </c>
      <c r="AB1751" s="14">
        <v>40001</v>
      </c>
      <c r="AE1751" s="14" t="s">
        <v>1400</v>
      </c>
      <c r="AF1751" s="14" t="s">
        <v>1400</v>
      </c>
      <c r="AG1751" s="14" t="s">
        <v>89</v>
      </c>
    </row>
    <row r="1752" spans="2:33">
      <c r="B1752" s="14">
        <f>10000000+INDEX(编号表!$B:$B,MATCH(H1752,编号表!$A:$A,0))*100000+INDEX(编号表!$F:$F,MATCH(D1752,编号表!$E:$E,0))*10000+INDEX(编号表!$D:$D,MATCH(AG1752,编号表!$C:$C,0))*1000+F1752</f>
        <v>11923047</v>
      </c>
      <c r="C1752" s="14" t="s">
        <v>2596</v>
      </c>
      <c r="D1752" s="14" t="s">
        <v>112</v>
      </c>
      <c r="E1752" s="14" t="s">
        <v>89</v>
      </c>
      <c r="F1752" s="14">
        <v>47</v>
      </c>
      <c r="G1752" s="14">
        <v>60</v>
      </c>
      <c r="H1752" s="14" t="s">
        <v>1400</v>
      </c>
      <c r="I1752" s="14" t="s">
        <v>75</v>
      </c>
      <c r="J1752" s="14" t="s">
        <v>201</v>
      </c>
      <c r="K1752" s="14">
        <v>1</v>
      </c>
      <c r="L1752" s="14" t="s">
        <v>1400</v>
      </c>
      <c r="N1752" s="14">
        <v>0</v>
      </c>
      <c r="O1752" s="14" t="b">
        <v>1</v>
      </c>
      <c r="Q1752" s="14" t="b">
        <v>0</v>
      </c>
      <c r="R1752" s="14">
        <v>1</v>
      </c>
      <c r="S1752" s="14" t="s">
        <v>77</v>
      </c>
      <c r="T1752" s="14">
        <v>999</v>
      </c>
      <c r="U1752" s="14" t="s">
        <v>1401</v>
      </c>
      <c r="V1752" s="14">
        <v>31923047</v>
      </c>
      <c r="X1752" s="14" t="s">
        <v>2599</v>
      </c>
      <c r="Y1752" s="14" t="s">
        <v>215</v>
      </c>
      <c r="Z1752" s="14">
        <v>20515</v>
      </c>
      <c r="AA1752" s="14" t="s">
        <v>2600</v>
      </c>
      <c r="AB1752" s="14">
        <v>40001</v>
      </c>
      <c r="AE1752" s="14" t="s">
        <v>1400</v>
      </c>
      <c r="AF1752" s="14" t="s">
        <v>1400</v>
      </c>
      <c r="AG1752" s="14" t="s">
        <v>89</v>
      </c>
    </row>
    <row r="1753" spans="2:33">
      <c r="B1753" s="14">
        <f>10000000+INDEX(编号表!$B:$B,MATCH(H1753,编号表!$A:$A,0))*100000+INDEX(编号表!$F:$F,MATCH(D1753,编号表!$E:$E,0))*10000+INDEX(编号表!$D:$D,MATCH(AG1753,编号表!$C:$C,0))*1000+F1753</f>
        <v>11933048</v>
      </c>
      <c r="C1753" s="14" t="s">
        <v>2596</v>
      </c>
      <c r="D1753" s="14" t="s">
        <v>276</v>
      </c>
      <c r="E1753" s="14" t="s">
        <v>89</v>
      </c>
      <c r="F1753" s="14">
        <v>48</v>
      </c>
      <c r="G1753" s="14">
        <v>60</v>
      </c>
      <c r="H1753" s="14" t="s">
        <v>1400</v>
      </c>
      <c r="I1753" s="14" t="s">
        <v>75</v>
      </c>
      <c r="J1753" s="14" t="s">
        <v>201</v>
      </c>
      <c r="K1753" s="14">
        <v>1</v>
      </c>
      <c r="L1753" s="14" t="s">
        <v>1400</v>
      </c>
      <c r="N1753" s="14">
        <v>0</v>
      </c>
      <c r="O1753" s="14" t="b">
        <v>1</v>
      </c>
      <c r="Q1753" s="14" t="b">
        <v>0</v>
      </c>
      <c r="R1753" s="14">
        <v>1</v>
      </c>
      <c r="S1753" s="14" t="s">
        <v>77</v>
      </c>
      <c r="T1753" s="14">
        <v>999</v>
      </c>
      <c r="U1753" s="14" t="s">
        <v>1401</v>
      </c>
      <c r="V1753" s="14">
        <v>31933048</v>
      </c>
      <c r="X1753" s="14" t="s">
        <v>2601</v>
      </c>
      <c r="Y1753" s="14" t="s">
        <v>215</v>
      </c>
      <c r="Z1753" s="14">
        <v>20516</v>
      </c>
      <c r="AA1753" s="14" t="s">
        <v>2602</v>
      </c>
      <c r="AB1753" s="14">
        <v>40001</v>
      </c>
      <c r="AE1753" s="14" t="s">
        <v>1400</v>
      </c>
      <c r="AF1753" s="14" t="s">
        <v>1400</v>
      </c>
      <c r="AG1753" s="14" t="s">
        <v>89</v>
      </c>
    </row>
    <row r="1754" spans="2:33">
      <c r="B1754" s="14">
        <f>10000000+INDEX(编号表!$B:$B,MATCH(H1754,编号表!$A:$A,0))*100000+INDEX(编号表!$F:$F,MATCH(D1754,编号表!$E:$E,0))*10000+INDEX(编号表!$D:$D,MATCH(AG1754,编号表!$C:$C,0))*1000+F1754</f>
        <v>11913047</v>
      </c>
      <c r="C1754" s="14" t="s">
        <v>2603</v>
      </c>
      <c r="D1754" s="14" t="s">
        <v>72</v>
      </c>
      <c r="E1754" s="14" t="s">
        <v>89</v>
      </c>
      <c r="F1754" s="14">
        <v>47</v>
      </c>
      <c r="G1754" s="14">
        <v>60</v>
      </c>
      <c r="H1754" s="14" t="s">
        <v>1400</v>
      </c>
      <c r="I1754" s="14" t="s">
        <v>75</v>
      </c>
      <c r="J1754" s="14" t="s">
        <v>201</v>
      </c>
      <c r="K1754" s="14">
        <v>1</v>
      </c>
      <c r="L1754" s="14" t="s">
        <v>1400</v>
      </c>
      <c r="N1754" s="14">
        <v>0</v>
      </c>
      <c r="O1754" s="14" t="b">
        <v>1</v>
      </c>
      <c r="Q1754" s="14" t="b">
        <v>0</v>
      </c>
      <c r="R1754" s="14">
        <v>1</v>
      </c>
      <c r="S1754" s="14" t="s">
        <v>77</v>
      </c>
      <c r="T1754" s="14">
        <v>999</v>
      </c>
      <c r="U1754" s="14" t="s">
        <v>1401</v>
      </c>
      <c r="V1754" s="14">
        <v>31913047</v>
      </c>
      <c r="X1754" s="14" t="s">
        <v>2604</v>
      </c>
      <c r="Y1754" s="14" t="s">
        <v>215</v>
      </c>
      <c r="Z1754" s="14">
        <v>20517</v>
      </c>
      <c r="AA1754" s="14" t="s">
        <v>2605</v>
      </c>
      <c r="AB1754" s="14">
        <v>40001</v>
      </c>
      <c r="AE1754" s="14" t="s">
        <v>1400</v>
      </c>
      <c r="AF1754" s="14" t="s">
        <v>1400</v>
      </c>
      <c r="AG1754" s="14" t="s">
        <v>89</v>
      </c>
    </row>
    <row r="1755" spans="2:33">
      <c r="B1755" s="14">
        <f>10000000+INDEX(编号表!$B:$B,MATCH(H1755,编号表!$A:$A,0))*100000+INDEX(编号表!$F:$F,MATCH(D1755,编号表!$E:$E,0))*10000+INDEX(编号表!$D:$D,MATCH(AG1755,编号表!$C:$C,0))*1000+F1755</f>
        <v>11923048</v>
      </c>
      <c r="C1755" s="14" t="s">
        <v>2603</v>
      </c>
      <c r="D1755" s="14" t="s">
        <v>112</v>
      </c>
      <c r="E1755" s="14" t="s">
        <v>89</v>
      </c>
      <c r="F1755" s="14">
        <v>48</v>
      </c>
      <c r="G1755" s="14">
        <v>60</v>
      </c>
      <c r="H1755" s="14" t="s">
        <v>1400</v>
      </c>
      <c r="I1755" s="14" t="s">
        <v>75</v>
      </c>
      <c r="J1755" s="14" t="s">
        <v>201</v>
      </c>
      <c r="K1755" s="14">
        <v>1</v>
      </c>
      <c r="L1755" s="14" t="s">
        <v>1400</v>
      </c>
      <c r="N1755" s="14">
        <v>0</v>
      </c>
      <c r="O1755" s="14" t="b">
        <v>1</v>
      </c>
      <c r="Q1755" s="14" t="b">
        <v>0</v>
      </c>
      <c r="R1755" s="14">
        <v>1</v>
      </c>
      <c r="S1755" s="14" t="s">
        <v>77</v>
      </c>
      <c r="T1755" s="14">
        <v>999</v>
      </c>
      <c r="U1755" s="14" t="s">
        <v>1401</v>
      </c>
      <c r="V1755" s="14">
        <v>31923048</v>
      </c>
      <c r="X1755" s="14" t="s">
        <v>2606</v>
      </c>
      <c r="Y1755" s="14" t="s">
        <v>215</v>
      </c>
      <c r="Z1755" s="14">
        <v>20518</v>
      </c>
      <c r="AA1755" s="14" t="s">
        <v>2607</v>
      </c>
      <c r="AB1755" s="14">
        <v>40001</v>
      </c>
      <c r="AE1755" s="14" t="s">
        <v>1400</v>
      </c>
      <c r="AF1755" s="14" t="s">
        <v>1400</v>
      </c>
      <c r="AG1755" s="14" t="s">
        <v>89</v>
      </c>
    </row>
    <row r="1756" spans="2:33">
      <c r="B1756" s="14">
        <f>10000000+INDEX(编号表!$B:$B,MATCH(H1756,编号表!$A:$A,0))*100000+INDEX(编号表!$F:$F,MATCH(D1756,编号表!$E:$E,0))*10000+INDEX(编号表!$D:$D,MATCH(AG1756,编号表!$C:$C,0))*1000+F1756</f>
        <v>11933049</v>
      </c>
      <c r="C1756" s="14" t="s">
        <v>2603</v>
      </c>
      <c r="D1756" s="14" t="s">
        <v>276</v>
      </c>
      <c r="E1756" s="14" t="s">
        <v>89</v>
      </c>
      <c r="F1756" s="14">
        <v>49</v>
      </c>
      <c r="G1756" s="14">
        <v>60</v>
      </c>
      <c r="H1756" s="14" t="s">
        <v>1400</v>
      </c>
      <c r="I1756" s="14" t="s">
        <v>75</v>
      </c>
      <c r="J1756" s="14" t="s">
        <v>201</v>
      </c>
      <c r="K1756" s="14">
        <v>1</v>
      </c>
      <c r="L1756" s="14" t="s">
        <v>1400</v>
      </c>
      <c r="N1756" s="14">
        <v>0</v>
      </c>
      <c r="O1756" s="14" t="b">
        <v>1</v>
      </c>
      <c r="Q1756" s="14" t="b">
        <v>0</v>
      </c>
      <c r="R1756" s="14">
        <v>1</v>
      </c>
      <c r="S1756" s="14" t="s">
        <v>77</v>
      </c>
      <c r="T1756" s="14">
        <v>999</v>
      </c>
      <c r="U1756" s="14" t="s">
        <v>1401</v>
      </c>
      <c r="V1756" s="14">
        <v>31933049</v>
      </c>
      <c r="X1756" s="14" t="s">
        <v>2608</v>
      </c>
      <c r="Y1756" s="14" t="s">
        <v>215</v>
      </c>
      <c r="Z1756" s="14">
        <v>20519</v>
      </c>
      <c r="AA1756" s="14" t="s">
        <v>2609</v>
      </c>
      <c r="AB1756" s="14">
        <v>40001</v>
      </c>
      <c r="AE1756" s="14" t="s">
        <v>1400</v>
      </c>
      <c r="AF1756" s="14" t="s">
        <v>1400</v>
      </c>
      <c r="AG1756" s="14" t="s">
        <v>89</v>
      </c>
    </row>
    <row r="1757" spans="2:33">
      <c r="B1757" s="14">
        <f>10000000+INDEX(编号表!$B:$B,MATCH(H1757,编号表!$A:$A,0))*100000+INDEX(编号表!$F:$F,MATCH(D1757,编号表!$E:$E,0))*10000+INDEX(编号表!$D:$D,MATCH(AG1757,编号表!$C:$C,0))*1000+F1757</f>
        <v>11913048</v>
      </c>
      <c r="C1757" s="14" t="s">
        <v>2610</v>
      </c>
      <c r="D1757" s="14" t="s">
        <v>72</v>
      </c>
      <c r="E1757" s="14" t="s">
        <v>89</v>
      </c>
      <c r="F1757" s="14">
        <v>48</v>
      </c>
      <c r="G1757" s="14">
        <v>60</v>
      </c>
      <c r="H1757" s="14" t="s">
        <v>1400</v>
      </c>
      <c r="I1757" s="14" t="s">
        <v>75</v>
      </c>
      <c r="J1757" s="14" t="s">
        <v>201</v>
      </c>
      <c r="K1757" s="14">
        <v>1</v>
      </c>
      <c r="L1757" s="14" t="s">
        <v>1400</v>
      </c>
      <c r="N1757" s="14">
        <v>0</v>
      </c>
      <c r="O1757" s="14" t="b">
        <v>1</v>
      </c>
      <c r="Q1757" s="14" t="b">
        <v>0</v>
      </c>
      <c r="R1757" s="14">
        <v>1</v>
      </c>
      <c r="S1757" s="14" t="s">
        <v>77</v>
      </c>
      <c r="T1757" s="14">
        <v>999</v>
      </c>
      <c r="U1757" s="14" t="s">
        <v>1401</v>
      </c>
      <c r="V1757" s="14">
        <v>31913048</v>
      </c>
      <c r="X1757" s="14" t="s">
        <v>2611</v>
      </c>
      <c r="Y1757" s="14" t="s">
        <v>215</v>
      </c>
      <c r="Z1757" s="14">
        <v>20520</v>
      </c>
      <c r="AA1757" s="14" t="s">
        <v>2612</v>
      </c>
      <c r="AB1757" s="14">
        <v>40001</v>
      </c>
      <c r="AE1757" s="14" t="s">
        <v>1400</v>
      </c>
      <c r="AF1757" s="14" t="s">
        <v>1400</v>
      </c>
      <c r="AG1757" s="14" t="s">
        <v>89</v>
      </c>
    </row>
    <row r="1758" spans="2:33">
      <c r="B1758" s="14">
        <f>10000000+INDEX(编号表!$B:$B,MATCH(H1758,编号表!$A:$A,0))*100000+INDEX(编号表!$F:$F,MATCH(D1758,编号表!$E:$E,0))*10000+INDEX(编号表!$D:$D,MATCH(AG1758,编号表!$C:$C,0))*1000+F1758</f>
        <v>11923049</v>
      </c>
      <c r="C1758" s="14" t="s">
        <v>2610</v>
      </c>
      <c r="D1758" s="14" t="s">
        <v>112</v>
      </c>
      <c r="E1758" s="14" t="s">
        <v>89</v>
      </c>
      <c r="F1758" s="14">
        <v>49</v>
      </c>
      <c r="G1758" s="14">
        <v>60</v>
      </c>
      <c r="H1758" s="14" t="s">
        <v>1400</v>
      </c>
      <c r="I1758" s="14" t="s">
        <v>75</v>
      </c>
      <c r="J1758" s="14" t="s">
        <v>201</v>
      </c>
      <c r="K1758" s="14">
        <v>1</v>
      </c>
      <c r="L1758" s="14" t="s">
        <v>1400</v>
      </c>
      <c r="N1758" s="14">
        <v>0</v>
      </c>
      <c r="O1758" s="14" t="b">
        <v>1</v>
      </c>
      <c r="Q1758" s="14" t="b">
        <v>0</v>
      </c>
      <c r="R1758" s="14">
        <v>1</v>
      </c>
      <c r="S1758" s="14" t="s">
        <v>77</v>
      </c>
      <c r="T1758" s="14">
        <v>999</v>
      </c>
      <c r="U1758" s="14" t="s">
        <v>1401</v>
      </c>
      <c r="V1758" s="14">
        <v>31923049</v>
      </c>
      <c r="X1758" s="14" t="s">
        <v>2613</v>
      </c>
      <c r="Y1758" s="14" t="s">
        <v>215</v>
      </c>
      <c r="Z1758" s="14">
        <v>20521</v>
      </c>
      <c r="AA1758" s="14" t="s">
        <v>2614</v>
      </c>
      <c r="AB1758" s="14">
        <v>40001</v>
      </c>
      <c r="AE1758" s="14" t="s">
        <v>1400</v>
      </c>
      <c r="AF1758" s="14" t="s">
        <v>1400</v>
      </c>
      <c r="AG1758" s="14" t="s">
        <v>89</v>
      </c>
    </row>
    <row r="1759" spans="2:33">
      <c r="B1759" s="14">
        <f>10000000+INDEX(编号表!$B:$B,MATCH(H1759,编号表!$A:$A,0))*100000+INDEX(编号表!$F:$F,MATCH(D1759,编号表!$E:$E,0))*10000+INDEX(编号表!$D:$D,MATCH(AG1759,编号表!$C:$C,0))*1000+F1759</f>
        <v>11933050</v>
      </c>
      <c r="C1759" s="14" t="s">
        <v>2610</v>
      </c>
      <c r="D1759" s="14" t="s">
        <v>276</v>
      </c>
      <c r="E1759" s="14" t="s">
        <v>89</v>
      </c>
      <c r="F1759" s="14">
        <v>50</v>
      </c>
      <c r="G1759" s="14">
        <v>60</v>
      </c>
      <c r="H1759" s="14" t="s">
        <v>1400</v>
      </c>
      <c r="I1759" s="14" t="s">
        <v>75</v>
      </c>
      <c r="J1759" s="14" t="s">
        <v>201</v>
      </c>
      <c r="K1759" s="14">
        <v>1</v>
      </c>
      <c r="L1759" s="14" t="s">
        <v>1400</v>
      </c>
      <c r="N1759" s="14">
        <v>0</v>
      </c>
      <c r="O1759" s="14" t="b">
        <v>1</v>
      </c>
      <c r="Q1759" s="14" t="b">
        <v>0</v>
      </c>
      <c r="R1759" s="14">
        <v>1</v>
      </c>
      <c r="S1759" s="14" t="s">
        <v>77</v>
      </c>
      <c r="T1759" s="14">
        <v>999</v>
      </c>
      <c r="U1759" s="14" t="s">
        <v>1401</v>
      </c>
      <c r="V1759" s="14">
        <v>31933050</v>
      </c>
      <c r="X1759" s="14" t="s">
        <v>2615</v>
      </c>
      <c r="Y1759" s="14" t="s">
        <v>215</v>
      </c>
      <c r="Z1759" s="14">
        <v>20522</v>
      </c>
      <c r="AA1759" s="14" t="s">
        <v>2616</v>
      </c>
      <c r="AB1759" s="14">
        <v>40001</v>
      </c>
      <c r="AE1759" s="14" t="s">
        <v>1400</v>
      </c>
      <c r="AF1759" s="14" t="s">
        <v>1400</v>
      </c>
      <c r="AG1759" s="14" t="s">
        <v>89</v>
      </c>
    </row>
    <row r="1760" spans="2:33">
      <c r="B1760" s="14">
        <f>10000000+INDEX(编号表!$B:$B,MATCH(H1760,编号表!$A:$A,0))*100000+INDEX(编号表!$F:$F,MATCH(D1760,编号表!$E:$E,0))*10000+INDEX(编号表!$D:$D,MATCH(AG1760,编号表!$C:$C,0))*1000+F1760</f>
        <v>11913049</v>
      </c>
      <c r="C1760" s="14" t="s">
        <v>2617</v>
      </c>
      <c r="D1760" s="14" t="s">
        <v>72</v>
      </c>
      <c r="E1760" s="14" t="s">
        <v>89</v>
      </c>
      <c r="F1760" s="14">
        <v>49</v>
      </c>
      <c r="G1760" s="14">
        <v>60</v>
      </c>
      <c r="H1760" s="14" t="s">
        <v>1400</v>
      </c>
      <c r="I1760" s="14" t="s">
        <v>75</v>
      </c>
      <c r="J1760" s="14" t="s">
        <v>201</v>
      </c>
      <c r="K1760" s="14">
        <v>1</v>
      </c>
      <c r="L1760" s="14" t="s">
        <v>1400</v>
      </c>
      <c r="N1760" s="14">
        <v>0</v>
      </c>
      <c r="O1760" s="14" t="b">
        <v>1</v>
      </c>
      <c r="Q1760" s="14" t="b">
        <v>0</v>
      </c>
      <c r="R1760" s="14">
        <v>1</v>
      </c>
      <c r="S1760" s="14" t="s">
        <v>77</v>
      </c>
      <c r="T1760" s="14">
        <v>999</v>
      </c>
      <c r="U1760" s="14" t="s">
        <v>1401</v>
      </c>
      <c r="V1760" s="14">
        <v>31913049</v>
      </c>
      <c r="X1760" s="14" t="s">
        <v>2618</v>
      </c>
      <c r="Y1760" s="14" t="s">
        <v>215</v>
      </c>
      <c r="Z1760" s="14">
        <v>20523</v>
      </c>
      <c r="AA1760" s="14" t="s">
        <v>2619</v>
      </c>
      <c r="AB1760" s="14">
        <v>40001</v>
      </c>
      <c r="AE1760" s="14" t="s">
        <v>1400</v>
      </c>
      <c r="AF1760" s="14" t="s">
        <v>1400</v>
      </c>
      <c r="AG1760" s="14" t="s">
        <v>89</v>
      </c>
    </row>
    <row r="1761" spans="2:33">
      <c r="B1761" s="14">
        <f>10000000+INDEX(编号表!$B:$B,MATCH(H1761,编号表!$A:$A,0))*100000+INDEX(编号表!$F:$F,MATCH(D1761,编号表!$E:$E,0))*10000+INDEX(编号表!$D:$D,MATCH(AG1761,编号表!$C:$C,0))*1000+F1761</f>
        <v>11923050</v>
      </c>
      <c r="C1761" s="14" t="s">
        <v>2617</v>
      </c>
      <c r="D1761" s="14" t="s">
        <v>112</v>
      </c>
      <c r="E1761" s="14" t="s">
        <v>89</v>
      </c>
      <c r="F1761" s="14">
        <v>50</v>
      </c>
      <c r="G1761" s="14">
        <v>60</v>
      </c>
      <c r="H1761" s="14" t="s">
        <v>1400</v>
      </c>
      <c r="I1761" s="14" t="s">
        <v>75</v>
      </c>
      <c r="J1761" s="14" t="s">
        <v>201</v>
      </c>
      <c r="K1761" s="14">
        <v>1</v>
      </c>
      <c r="L1761" s="14" t="s">
        <v>1400</v>
      </c>
      <c r="N1761" s="14">
        <v>0</v>
      </c>
      <c r="O1761" s="14" t="b">
        <v>1</v>
      </c>
      <c r="Q1761" s="14" t="b">
        <v>0</v>
      </c>
      <c r="R1761" s="14">
        <v>1</v>
      </c>
      <c r="S1761" s="14" t="s">
        <v>77</v>
      </c>
      <c r="T1761" s="14">
        <v>999</v>
      </c>
      <c r="U1761" s="14" t="s">
        <v>1401</v>
      </c>
      <c r="V1761" s="14">
        <v>31923050</v>
      </c>
      <c r="X1761" s="14" t="s">
        <v>2620</v>
      </c>
      <c r="Y1761" s="14" t="s">
        <v>215</v>
      </c>
      <c r="Z1761" s="14">
        <v>20524</v>
      </c>
      <c r="AA1761" s="14" t="s">
        <v>2621</v>
      </c>
      <c r="AB1761" s="14">
        <v>40001</v>
      </c>
      <c r="AE1761" s="14" t="s">
        <v>1400</v>
      </c>
      <c r="AF1761" s="14" t="s">
        <v>1400</v>
      </c>
      <c r="AG1761" s="14" t="s">
        <v>89</v>
      </c>
    </row>
    <row r="1762" spans="2:33">
      <c r="B1762" s="14">
        <f>10000000+INDEX(编号表!$B:$B,MATCH(H1762,编号表!$A:$A,0))*100000+INDEX(编号表!$F:$F,MATCH(D1762,编号表!$E:$E,0))*10000+INDEX(编号表!$D:$D,MATCH(AG1762,编号表!$C:$C,0))*1000+F1762</f>
        <v>11933051</v>
      </c>
      <c r="C1762" s="14" t="s">
        <v>2617</v>
      </c>
      <c r="D1762" s="14" t="s">
        <v>276</v>
      </c>
      <c r="E1762" s="14" t="s">
        <v>89</v>
      </c>
      <c r="F1762" s="14">
        <v>51</v>
      </c>
      <c r="G1762" s="14">
        <v>60</v>
      </c>
      <c r="H1762" s="14" t="s">
        <v>1400</v>
      </c>
      <c r="I1762" s="14" t="s">
        <v>75</v>
      </c>
      <c r="J1762" s="14" t="s">
        <v>201</v>
      </c>
      <c r="K1762" s="14">
        <v>1</v>
      </c>
      <c r="L1762" s="14" t="s">
        <v>1400</v>
      </c>
      <c r="N1762" s="14">
        <v>0</v>
      </c>
      <c r="O1762" s="14" t="b">
        <v>1</v>
      </c>
      <c r="Q1762" s="14" t="b">
        <v>0</v>
      </c>
      <c r="R1762" s="14">
        <v>1</v>
      </c>
      <c r="S1762" s="14" t="s">
        <v>77</v>
      </c>
      <c r="T1762" s="14">
        <v>999</v>
      </c>
      <c r="U1762" s="14" t="s">
        <v>1401</v>
      </c>
      <c r="V1762" s="14">
        <v>31933051</v>
      </c>
      <c r="X1762" s="14" t="s">
        <v>2622</v>
      </c>
      <c r="Y1762" s="14" t="s">
        <v>215</v>
      </c>
      <c r="Z1762" s="14">
        <v>20525</v>
      </c>
      <c r="AA1762" s="14" t="s">
        <v>2623</v>
      </c>
      <c r="AB1762" s="14">
        <v>40001</v>
      </c>
      <c r="AE1762" s="14" t="s">
        <v>1400</v>
      </c>
      <c r="AF1762" s="14" t="s">
        <v>1400</v>
      </c>
      <c r="AG1762" s="14" t="s">
        <v>89</v>
      </c>
    </row>
    <row r="1763" spans="2:33">
      <c r="B1763" s="14">
        <f>10000000+INDEX(编号表!$B:$B,MATCH(H1763,编号表!$A:$A,0))*100000+INDEX(编号表!$F:$F,MATCH(D1763,编号表!$E:$E,0))*10000+INDEX(编号表!$D:$D,MATCH(AG1763,编号表!$C:$C,0))*1000+F1763</f>
        <v>11913050</v>
      </c>
      <c r="C1763" s="14" t="s">
        <v>2624</v>
      </c>
      <c r="D1763" s="14" t="s">
        <v>72</v>
      </c>
      <c r="E1763" s="14" t="s">
        <v>89</v>
      </c>
      <c r="F1763" s="14">
        <v>50</v>
      </c>
      <c r="G1763" s="14">
        <v>60</v>
      </c>
      <c r="H1763" s="14" t="s">
        <v>1400</v>
      </c>
      <c r="I1763" s="14" t="s">
        <v>75</v>
      </c>
      <c r="J1763" s="14" t="s">
        <v>201</v>
      </c>
      <c r="K1763" s="14">
        <v>1</v>
      </c>
      <c r="L1763" s="14" t="s">
        <v>1400</v>
      </c>
      <c r="N1763" s="14">
        <v>0</v>
      </c>
      <c r="O1763" s="14" t="b">
        <v>1</v>
      </c>
      <c r="Q1763" s="14" t="b">
        <v>0</v>
      </c>
      <c r="R1763" s="14">
        <v>1</v>
      </c>
      <c r="S1763" s="14" t="s">
        <v>77</v>
      </c>
      <c r="T1763" s="14">
        <v>999</v>
      </c>
      <c r="U1763" s="14" t="s">
        <v>1401</v>
      </c>
      <c r="V1763" s="14">
        <v>31913050</v>
      </c>
      <c r="X1763" s="14" t="s">
        <v>2625</v>
      </c>
      <c r="Y1763" s="14" t="s">
        <v>215</v>
      </c>
      <c r="Z1763" s="14">
        <v>20526</v>
      </c>
      <c r="AA1763" s="14" t="s">
        <v>2626</v>
      </c>
      <c r="AB1763" s="14">
        <v>40001</v>
      </c>
      <c r="AE1763" s="14" t="s">
        <v>1400</v>
      </c>
      <c r="AF1763" s="14" t="s">
        <v>1400</v>
      </c>
      <c r="AG1763" s="14" t="s">
        <v>89</v>
      </c>
    </row>
    <row r="1764" spans="2:33">
      <c r="B1764" s="14">
        <f>10000000+INDEX(编号表!$B:$B,MATCH(H1764,编号表!$A:$A,0))*100000+INDEX(编号表!$F:$F,MATCH(D1764,编号表!$E:$E,0))*10000+INDEX(编号表!$D:$D,MATCH(AG1764,编号表!$C:$C,0))*1000+F1764</f>
        <v>11923051</v>
      </c>
      <c r="C1764" s="14" t="s">
        <v>2624</v>
      </c>
      <c r="D1764" s="14" t="s">
        <v>112</v>
      </c>
      <c r="E1764" s="14" t="s">
        <v>89</v>
      </c>
      <c r="F1764" s="14">
        <v>51</v>
      </c>
      <c r="G1764" s="14">
        <v>60</v>
      </c>
      <c r="H1764" s="14" t="s">
        <v>1400</v>
      </c>
      <c r="I1764" s="14" t="s">
        <v>75</v>
      </c>
      <c r="J1764" s="14" t="s">
        <v>201</v>
      </c>
      <c r="K1764" s="14">
        <v>1</v>
      </c>
      <c r="L1764" s="14" t="s">
        <v>1400</v>
      </c>
      <c r="N1764" s="14">
        <v>0</v>
      </c>
      <c r="O1764" s="14" t="b">
        <v>1</v>
      </c>
      <c r="Q1764" s="14" t="b">
        <v>0</v>
      </c>
      <c r="R1764" s="14">
        <v>1</v>
      </c>
      <c r="S1764" s="14" t="s">
        <v>77</v>
      </c>
      <c r="T1764" s="14">
        <v>999</v>
      </c>
      <c r="U1764" s="14" t="s">
        <v>1401</v>
      </c>
      <c r="V1764" s="14">
        <v>31923051</v>
      </c>
      <c r="X1764" s="14" t="s">
        <v>2627</v>
      </c>
      <c r="Y1764" s="14" t="s">
        <v>215</v>
      </c>
      <c r="Z1764" s="14">
        <v>20527</v>
      </c>
      <c r="AA1764" s="14" t="s">
        <v>2628</v>
      </c>
      <c r="AB1764" s="14">
        <v>40001</v>
      </c>
      <c r="AE1764" s="14" t="s">
        <v>1400</v>
      </c>
      <c r="AF1764" s="14" t="s">
        <v>1400</v>
      </c>
      <c r="AG1764" s="14" t="s">
        <v>89</v>
      </c>
    </row>
    <row r="1765" spans="2:33">
      <c r="B1765" s="14">
        <f>10000000+INDEX(编号表!$B:$B,MATCH(H1765,编号表!$A:$A,0))*100000+INDEX(编号表!$F:$F,MATCH(D1765,编号表!$E:$E,0))*10000+INDEX(编号表!$D:$D,MATCH(AG1765,编号表!$C:$C,0))*1000+F1765</f>
        <v>11933052</v>
      </c>
      <c r="C1765" s="14" t="s">
        <v>2624</v>
      </c>
      <c r="D1765" s="14" t="s">
        <v>276</v>
      </c>
      <c r="E1765" s="14" t="s">
        <v>89</v>
      </c>
      <c r="F1765" s="14">
        <v>52</v>
      </c>
      <c r="G1765" s="14">
        <v>60</v>
      </c>
      <c r="H1765" s="14" t="s">
        <v>1400</v>
      </c>
      <c r="I1765" s="14" t="s">
        <v>75</v>
      </c>
      <c r="J1765" s="14" t="s">
        <v>201</v>
      </c>
      <c r="K1765" s="14">
        <v>1</v>
      </c>
      <c r="L1765" s="14" t="s">
        <v>1400</v>
      </c>
      <c r="N1765" s="14">
        <v>0</v>
      </c>
      <c r="O1765" s="14" t="b">
        <v>1</v>
      </c>
      <c r="Q1765" s="14" t="b">
        <v>0</v>
      </c>
      <c r="R1765" s="14">
        <v>1</v>
      </c>
      <c r="S1765" s="14" t="s">
        <v>77</v>
      </c>
      <c r="T1765" s="14">
        <v>999</v>
      </c>
      <c r="U1765" s="14" t="s">
        <v>1401</v>
      </c>
      <c r="V1765" s="14">
        <v>31933052</v>
      </c>
      <c r="X1765" s="14" t="s">
        <v>2629</v>
      </c>
      <c r="Y1765" s="14" t="s">
        <v>215</v>
      </c>
      <c r="Z1765" s="14">
        <v>20528</v>
      </c>
      <c r="AA1765" s="14" t="s">
        <v>2630</v>
      </c>
      <c r="AB1765" s="14">
        <v>40001</v>
      </c>
      <c r="AE1765" s="14" t="s">
        <v>1400</v>
      </c>
      <c r="AF1765" s="14" t="s">
        <v>1400</v>
      </c>
      <c r="AG1765" s="14" t="s">
        <v>89</v>
      </c>
    </row>
    <row r="1766" spans="2:33">
      <c r="B1766" s="14">
        <f>10000000+INDEX(编号表!$B:$B,MATCH(H1766,编号表!$A:$A,0))*100000+INDEX(编号表!$F:$F,MATCH(D1766,编号表!$E:$E,0))*10000+INDEX(编号表!$D:$D,MATCH(AG1766,编号表!$C:$C,0))*1000+F1766</f>
        <v>11913051</v>
      </c>
      <c r="C1766" s="14" t="s">
        <v>2631</v>
      </c>
      <c r="D1766" s="14" t="s">
        <v>72</v>
      </c>
      <c r="E1766" s="14" t="s">
        <v>89</v>
      </c>
      <c r="F1766" s="14">
        <v>51</v>
      </c>
      <c r="G1766" s="14">
        <v>60</v>
      </c>
      <c r="H1766" s="14" t="s">
        <v>1400</v>
      </c>
      <c r="I1766" s="14" t="s">
        <v>75</v>
      </c>
      <c r="J1766" s="14" t="s">
        <v>201</v>
      </c>
      <c r="K1766" s="14">
        <v>1</v>
      </c>
      <c r="L1766" s="14" t="s">
        <v>1400</v>
      </c>
      <c r="N1766" s="14">
        <v>0</v>
      </c>
      <c r="O1766" s="14" t="b">
        <v>1</v>
      </c>
      <c r="Q1766" s="14" t="b">
        <v>0</v>
      </c>
      <c r="R1766" s="14">
        <v>1</v>
      </c>
      <c r="S1766" s="14" t="s">
        <v>77</v>
      </c>
      <c r="T1766" s="14">
        <v>999</v>
      </c>
      <c r="U1766" s="14" t="s">
        <v>1401</v>
      </c>
      <c r="V1766" s="14">
        <v>31913051</v>
      </c>
      <c r="X1766" s="14" t="s">
        <v>2632</v>
      </c>
      <c r="Y1766" s="14" t="s">
        <v>215</v>
      </c>
      <c r="Z1766" s="14">
        <v>20529</v>
      </c>
      <c r="AA1766" s="14" t="s">
        <v>2633</v>
      </c>
      <c r="AB1766" s="14">
        <v>40001</v>
      </c>
      <c r="AE1766" s="14" t="s">
        <v>1400</v>
      </c>
      <c r="AF1766" s="14" t="s">
        <v>1400</v>
      </c>
      <c r="AG1766" s="14" t="s">
        <v>89</v>
      </c>
    </row>
    <row r="1767" spans="2:33">
      <c r="B1767" s="14">
        <f>10000000+INDEX(编号表!$B:$B,MATCH(H1767,编号表!$A:$A,0))*100000+INDEX(编号表!$F:$F,MATCH(D1767,编号表!$E:$E,0))*10000+INDEX(编号表!$D:$D,MATCH(AG1767,编号表!$C:$C,0))*1000+F1767</f>
        <v>11923052</v>
      </c>
      <c r="C1767" s="14" t="s">
        <v>2631</v>
      </c>
      <c r="D1767" s="14" t="s">
        <v>112</v>
      </c>
      <c r="E1767" s="14" t="s">
        <v>89</v>
      </c>
      <c r="F1767" s="14">
        <v>52</v>
      </c>
      <c r="G1767" s="14">
        <v>60</v>
      </c>
      <c r="H1767" s="14" t="s">
        <v>1400</v>
      </c>
      <c r="I1767" s="14" t="s">
        <v>75</v>
      </c>
      <c r="J1767" s="14" t="s">
        <v>201</v>
      </c>
      <c r="K1767" s="14">
        <v>1</v>
      </c>
      <c r="L1767" s="14" t="s">
        <v>1400</v>
      </c>
      <c r="N1767" s="14">
        <v>0</v>
      </c>
      <c r="O1767" s="14" t="b">
        <v>1</v>
      </c>
      <c r="Q1767" s="14" t="b">
        <v>0</v>
      </c>
      <c r="R1767" s="14">
        <v>1</v>
      </c>
      <c r="S1767" s="14" t="s">
        <v>77</v>
      </c>
      <c r="T1767" s="14">
        <v>999</v>
      </c>
      <c r="U1767" s="14" t="s">
        <v>1401</v>
      </c>
      <c r="V1767" s="14">
        <v>31923052</v>
      </c>
      <c r="X1767" s="14" t="s">
        <v>2634</v>
      </c>
      <c r="Y1767" s="14" t="s">
        <v>215</v>
      </c>
      <c r="Z1767" s="14">
        <v>20530</v>
      </c>
      <c r="AA1767" s="14" t="s">
        <v>2635</v>
      </c>
      <c r="AB1767" s="14">
        <v>40001</v>
      </c>
      <c r="AE1767" s="14" t="s">
        <v>1400</v>
      </c>
      <c r="AF1767" s="14" t="s">
        <v>1400</v>
      </c>
      <c r="AG1767" s="14" t="s">
        <v>89</v>
      </c>
    </row>
    <row r="1768" spans="2:33">
      <c r="B1768" s="14">
        <f>10000000+INDEX(编号表!$B:$B,MATCH(H1768,编号表!$A:$A,0))*100000+INDEX(编号表!$F:$F,MATCH(D1768,编号表!$E:$E,0))*10000+INDEX(编号表!$D:$D,MATCH(AG1768,编号表!$C:$C,0))*1000+F1768</f>
        <v>11933053</v>
      </c>
      <c r="C1768" s="14" t="s">
        <v>2631</v>
      </c>
      <c r="D1768" s="14" t="s">
        <v>276</v>
      </c>
      <c r="E1768" s="14" t="s">
        <v>89</v>
      </c>
      <c r="F1768" s="14">
        <v>53</v>
      </c>
      <c r="G1768" s="14">
        <v>60</v>
      </c>
      <c r="H1768" s="14" t="s">
        <v>1400</v>
      </c>
      <c r="I1768" s="14" t="s">
        <v>75</v>
      </c>
      <c r="J1768" s="14" t="s">
        <v>201</v>
      </c>
      <c r="K1768" s="14">
        <v>1</v>
      </c>
      <c r="L1768" s="14" t="s">
        <v>1400</v>
      </c>
      <c r="N1768" s="14">
        <v>0</v>
      </c>
      <c r="O1768" s="14" t="b">
        <v>1</v>
      </c>
      <c r="Q1768" s="14" t="b">
        <v>0</v>
      </c>
      <c r="R1768" s="14">
        <v>1</v>
      </c>
      <c r="S1768" s="14" t="s">
        <v>77</v>
      </c>
      <c r="T1768" s="14">
        <v>999</v>
      </c>
      <c r="U1768" s="14" t="s">
        <v>1401</v>
      </c>
      <c r="V1768" s="14">
        <v>31933053</v>
      </c>
      <c r="X1768" s="14" t="s">
        <v>2636</v>
      </c>
      <c r="Y1768" s="14" t="s">
        <v>215</v>
      </c>
      <c r="Z1768" s="14">
        <v>20531</v>
      </c>
      <c r="AA1768" s="14" t="s">
        <v>2637</v>
      </c>
      <c r="AB1768" s="14">
        <v>40001</v>
      </c>
      <c r="AE1768" s="14" t="s">
        <v>1400</v>
      </c>
      <c r="AF1768" s="14" t="s">
        <v>1400</v>
      </c>
      <c r="AG1768" s="14" t="s">
        <v>89</v>
      </c>
    </row>
    <row r="1769" spans="2:33">
      <c r="B1769" s="14">
        <f>10000000+INDEX(编号表!$B:$B,MATCH(H1769,编号表!$A:$A,0))*100000+INDEX(编号表!$F:$F,MATCH(D1769,编号表!$E:$E,0))*10000+INDEX(编号表!$D:$D,MATCH(AG1769,编号表!$C:$C,0))*1000+F1769</f>
        <v>11913052</v>
      </c>
      <c r="C1769" s="14" t="s">
        <v>2638</v>
      </c>
      <c r="D1769" s="14" t="s">
        <v>72</v>
      </c>
      <c r="E1769" s="14" t="s">
        <v>89</v>
      </c>
      <c r="F1769" s="14">
        <v>52</v>
      </c>
      <c r="G1769" s="14">
        <v>60</v>
      </c>
      <c r="H1769" s="14" t="s">
        <v>1400</v>
      </c>
      <c r="I1769" s="14" t="s">
        <v>75</v>
      </c>
      <c r="J1769" s="14" t="s">
        <v>201</v>
      </c>
      <c r="K1769" s="14">
        <v>1</v>
      </c>
      <c r="L1769" s="14" t="s">
        <v>1400</v>
      </c>
      <c r="N1769" s="14">
        <v>0</v>
      </c>
      <c r="O1769" s="14" t="b">
        <v>1</v>
      </c>
      <c r="Q1769" s="14" t="b">
        <v>0</v>
      </c>
      <c r="R1769" s="14">
        <v>1</v>
      </c>
      <c r="S1769" s="14" t="s">
        <v>77</v>
      </c>
      <c r="T1769" s="14">
        <v>999</v>
      </c>
      <c r="U1769" s="14" t="s">
        <v>1401</v>
      </c>
      <c r="V1769" s="14">
        <v>31913052</v>
      </c>
      <c r="X1769" s="14" t="s">
        <v>2639</v>
      </c>
      <c r="Y1769" s="14" t="s">
        <v>215</v>
      </c>
      <c r="Z1769" s="14">
        <v>20532</v>
      </c>
      <c r="AA1769" s="14" t="s">
        <v>2640</v>
      </c>
      <c r="AB1769" s="14">
        <v>40001</v>
      </c>
      <c r="AE1769" s="14" t="s">
        <v>1400</v>
      </c>
      <c r="AF1769" s="14" t="s">
        <v>1400</v>
      </c>
      <c r="AG1769" s="14" t="s">
        <v>89</v>
      </c>
    </row>
    <row r="1770" spans="2:33">
      <c r="B1770" s="14">
        <f>10000000+INDEX(编号表!$B:$B,MATCH(H1770,编号表!$A:$A,0))*100000+INDEX(编号表!$F:$F,MATCH(D1770,编号表!$E:$E,0))*10000+INDEX(编号表!$D:$D,MATCH(AG1770,编号表!$C:$C,0))*1000+F1770</f>
        <v>11923053</v>
      </c>
      <c r="C1770" s="14" t="s">
        <v>2638</v>
      </c>
      <c r="D1770" s="14" t="s">
        <v>112</v>
      </c>
      <c r="E1770" s="14" t="s">
        <v>89</v>
      </c>
      <c r="F1770" s="14">
        <v>53</v>
      </c>
      <c r="G1770" s="14">
        <v>60</v>
      </c>
      <c r="H1770" s="14" t="s">
        <v>1400</v>
      </c>
      <c r="I1770" s="14" t="s">
        <v>75</v>
      </c>
      <c r="J1770" s="14" t="s">
        <v>201</v>
      </c>
      <c r="K1770" s="14">
        <v>1</v>
      </c>
      <c r="L1770" s="14" t="s">
        <v>1400</v>
      </c>
      <c r="N1770" s="14">
        <v>0</v>
      </c>
      <c r="O1770" s="14" t="b">
        <v>1</v>
      </c>
      <c r="Q1770" s="14" t="b">
        <v>0</v>
      </c>
      <c r="R1770" s="14">
        <v>1</v>
      </c>
      <c r="S1770" s="14" t="s">
        <v>77</v>
      </c>
      <c r="T1770" s="14">
        <v>999</v>
      </c>
      <c r="U1770" s="14" t="s">
        <v>1401</v>
      </c>
      <c r="V1770" s="14">
        <v>31923053</v>
      </c>
      <c r="X1770" s="14" t="s">
        <v>2641</v>
      </c>
      <c r="Y1770" s="14" t="s">
        <v>215</v>
      </c>
      <c r="Z1770" s="14">
        <v>20533</v>
      </c>
      <c r="AA1770" s="14" t="s">
        <v>2642</v>
      </c>
      <c r="AB1770" s="14">
        <v>40001</v>
      </c>
      <c r="AE1770" s="14" t="s">
        <v>1400</v>
      </c>
      <c r="AF1770" s="14" t="s">
        <v>1400</v>
      </c>
      <c r="AG1770" s="14" t="s">
        <v>89</v>
      </c>
    </row>
    <row r="1771" spans="2:33">
      <c r="B1771" s="14">
        <f>10000000+INDEX(编号表!$B:$B,MATCH(H1771,编号表!$A:$A,0))*100000+INDEX(编号表!$F:$F,MATCH(D1771,编号表!$E:$E,0))*10000+INDEX(编号表!$D:$D,MATCH(AG1771,编号表!$C:$C,0))*1000+F1771</f>
        <v>11933054</v>
      </c>
      <c r="C1771" s="14" t="s">
        <v>2638</v>
      </c>
      <c r="D1771" s="14" t="s">
        <v>276</v>
      </c>
      <c r="E1771" s="14" t="s">
        <v>89</v>
      </c>
      <c r="F1771" s="14">
        <v>54</v>
      </c>
      <c r="G1771" s="14">
        <v>60</v>
      </c>
      <c r="H1771" s="14" t="s">
        <v>1400</v>
      </c>
      <c r="I1771" s="14" t="s">
        <v>75</v>
      </c>
      <c r="J1771" s="14" t="s">
        <v>201</v>
      </c>
      <c r="K1771" s="14">
        <v>1</v>
      </c>
      <c r="L1771" s="14" t="s">
        <v>1400</v>
      </c>
      <c r="N1771" s="14">
        <v>0</v>
      </c>
      <c r="O1771" s="14" t="b">
        <v>1</v>
      </c>
      <c r="Q1771" s="14" t="b">
        <v>0</v>
      </c>
      <c r="R1771" s="14">
        <v>1</v>
      </c>
      <c r="S1771" s="14" t="s">
        <v>77</v>
      </c>
      <c r="T1771" s="14">
        <v>999</v>
      </c>
      <c r="U1771" s="14" t="s">
        <v>1401</v>
      </c>
      <c r="V1771" s="14">
        <v>31933054</v>
      </c>
      <c r="X1771" s="14" t="s">
        <v>2643</v>
      </c>
      <c r="Y1771" s="14" t="s">
        <v>215</v>
      </c>
      <c r="Z1771" s="14">
        <v>20534</v>
      </c>
      <c r="AA1771" s="14" t="s">
        <v>2644</v>
      </c>
      <c r="AB1771" s="14">
        <v>40001</v>
      </c>
      <c r="AE1771" s="14" t="s">
        <v>1400</v>
      </c>
      <c r="AF1771" s="14" t="s">
        <v>1400</v>
      </c>
      <c r="AG1771" s="14" t="s">
        <v>89</v>
      </c>
    </row>
    <row r="1772" spans="2:33">
      <c r="B1772" s="14">
        <f>10000000+INDEX(编号表!$B:$B,MATCH(H1772,编号表!$A:$A,0))*100000+INDEX(编号表!$F:$F,MATCH(D1772,编号表!$E:$E,0))*10000+INDEX(编号表!$D:$D,MATCH(AG1772,编号表!$C:$C,0))*1000+F1772</f>
        <v>11913053</v>
      </c>
      <c r="C1772" s="14" t="s">
        <v>2645</v>
      </c>
      <c r="D1772" s="14" t="s">
        <v>72</v>
      </c>
      <c r="E1772" s="14" t="s">
        <v>89</v>
      </c>
      <c r="F1772" s="14">
        <v>53</v>
      </c>
      <c r="G1772" s="14">
        <v>60</v>
      </c>
      <c r="H1772" s="14" t="s">
        <v>1400</v>
      </c>
      <c r="I1772" s="14" t="s">
        <v>75</v>
      </c>
      <c r="J1772" s="14" t="s">
        <v>201</v>
      </c>
      <c r="K1772" s="14">
        <v>1</v>
      </c>
      <c r="L1772" s="14" t="s">
        <v>1400</v>
      </c>
      <c r="N1772" s="14">
        <v>0</v>
      </c>
      <c r="O1772" s="14" t="b">
        <v>1</v>
      </c>
      <c r="Q1772" s="14" t="b">
        <v>0</v>
      </c>
      <c r="R1772" s="14">
        <v>1</v>
      </c>
      <c r="S1772" s="14" t="s">
        <v>77</v>
      </c>
      <c r="T1772" s="14">
        <v>999</v>
      </c>
      <c r="U1772" s="14" t="s">
        <v>1401</v>
      </c>
      <c r="V1772" s="14">
        <v>31913053</v>
      </c>
      <c r="X1772" s="14" t="s">
        <v>2646</v>
      </c>
      <c r="Y1772" s="14" t="s">
        <v>215</v>
      </c>
      <c r="Z1772" s="14">
        <v>20535</v>
      </c>
      <c r="AA1772" s="14" t="s">
        <v>2647</v>
      </c>
      <c r="AB1772" s="14">
        <v>40001</v>
      </c>
      <c r="AE1772" s="14" t="s">
        <v>1400</v>
      </c>
      <c r="AF1772" s="14" t="s">
        <v>1400</v>
      </c>
      <c r="AG1772" s="14" t="s">
        <v>89</v>
      </c>
    </row>
    <row r="1773" spans="2:33">
      <c r="B1773" s="14">
        <f>10000000+INDEX(编号表!$B:$B,MATCH(H1773,编号表!$A:$A,0))*100000+INDEX(编号表!$F:$F,MATCH(D1773,编号表!$E:$E,0))*10000+INDEX(编号表!$D:$D,MATCH(AG1773,编号表!$C:$C,0))*1000+F1773</f>
        <v>11923054</v>
      </c>
      <c r="C1773" s="14" t="s">
        <v>2645</v>
      </c>
      <c r="D1773" s="14" t="s">
        <v>112</v>
      </c>
      <c r="E1773" s="14" t="s">
        <v>89</v>
      </c>
      <c r="F1773" s="14">
        <v>54</v>
      </c>
      <c r="G1773" s="14">
        <v>60</v>
      </c>
      <c r="H1773" s="14" t="s">
        <v>1400</v>
      </c>
      <c r="I1773" s="14" t="s">
        <v>75</v>
      </c>
      <c r="J1773" s="14" t="s">
        <v>201</v>
      </c>
      <c r="K1773" s="14">
        <v>1</v>
      </c>
      <c r="L1773" s="14" t="s">
        <v>1400</v>
      </c>
      <c r="N1773" s="14">
        <v>0</v>
      </c>
      <c r="O1773" s="14" t="b">
        <v>1</v>
      </c>
      <c r="Q1773" s="14" t="b">
        <v>0</v>
      </c>
      <c r="R1773" s="14">
        <v>1</v>
      </c>
      <c r="S1773" s="14" t="s">
        <v>77</v>
      </c>
      <c r="T1773" s="14">
        <v>999</v>
      </c>
      <c r="U1773" s="14" t="s">
        <v>1401</v>
      </c>
      <c r="V1773" s="14">
        <v>31923054</v>
      </c>
      <c r="X1773" s="14" t="s">
        <v>2648</v>
      </c>
      <c r="Y1773" s="14" t="s">
        <v>215</v>
      </c>
      <c r="Z1773" s="14">
        <v>20536</v>
      </c>
      <c r="AA1773" s="14" t="s">
        <v>2649</v>
      </c>
      <c r="AB1773" s="14">
        <v>40001</v>
      </c>
      <c r="AE1773" s="14" t="s">
        <v>1400</v>
      </c>
      <c r="AF1773" s="14" t="s">
        <v>1400</v>
      </c>
      <c r="AG1773" s="14" t="s">
        <v>89</v>
      </c>
    </row>
    <row r="1774" spans="2:33">
      <c r="B1774" s="14">
        <f>10000000+INDEX(编号表!$B:$B,MATCH(H1774,编号表!$A:$A,0))*100000+INDEX(编号表!$F:$F,MATCH(D1774,编号表!$E:$E,0))*10000+INDEX(编号表!$D:$D,MATCH(AG1774,编号表!$C:$C,0))*1000+F1774</f>
        <v>11933055</v>
      </c>
      <c r="C1774" s="14" t="s">
        <v>2645</v>
      </c>
      <c r="D1774" s="14" t="s">
        <v>276</v>
      </c>
      <c r="E1774" s="14" t="s">
        <v>89</v>
      </c>
      <c r="F1774" s="14">
        <v>55</v>
      </c>
      <c r="G1774" s="14">
        <v>60</v>
      </c>
      <c r="H1774" s="14" t="s">
        <v>1400</v>
      </c>
      <c r="I1774" s="14" t="s">
        <v>75</v>
      </c>
      <c r="J1774" s="14" t="s">
        <v>201</v>
      </c>
      <c r="K1774" s="14">
        <v>1</v>
      </c>
      <c r="L1774" s="14" t="s">
        <v>1400</v>
      </c>
      <c r="N1774" s="14">
        <v>0</v>
      </c>
      <c r="O1774" s="14" t="b">
        <v>1</v>
      </c>
      <c r="Q1774" s="14" t="b">
        <v>0</v>
      </c>
      <c r="R1774" s="14">
        <v>1</v>
      </c>
      <c r="S1774" s="14" t="s">
        <v>77</v>
      </c>
      <c r="T1774" s="14">
        <v>999</v>
      </c>
      <c r="U1774" s="14" t="s">
        <v>1401</v>
      </c>
      <c r="V1774" s="14">
        <v>31933055</v>
      </c>
      <c r="X1774" s="14" t="s">
        <v>2650</v>
      </c>
      <c r="Y1774" s="14" t="s">
        <v>215</v>
      </c>
      <c r="Z1774" s="14">
        <v>20537</v>
      </c>
      <c r="AA1774" s="14" t="s">
        <v>2651</v>
      </c>
      <c r="AB1774" s="14">
        <v>40001</v>
      </c>
      <c r="AE1774" s="14" t="s">
        <v>1400</v>
      </c>
      <c r="AF1774" s="14" t="s">
        <v>1400</v>
      </c>
      <c r="AG1774" s="14" t="s">
        <v>89</v>
      </c>
    </row>
    <row r="1775" spans="2:33">
      <c r="B1775" s="14">
        <f>10000000+INDEX(编号表!$B:$B,MATCH(H1775,编号表!$A:$A,0))*100000+INDEX(编号表!$F:$F,MATCH(D1775,编号表!$E:$E,0))*10000+INDEX(编号表!$D:$D,MATCH(AG1775,编号表!$C:$C,0))*1000+F1775</f>
        <v>11913054</v>
      </c>
      <c r="C1775" s="14" t="s">
        <v>2652</v>
      </c>
      <c r="D1775" s="14" t="s">
        <v>72</v>
      </c>
      <c r="E1775" s="14" t="s">
        <v>89</v>
      </c>
      <c r="F1775" s="14">
        <v>54</v>
      </c>
      <c r="G1775" s="14">
        <v>60</v>
      </c>
      <c r="H1775" s="14" t="s">
        <v>1400</v>
      </c>
      <c r="I1775" s="14" t="s">
        <v>75</v>
      </c>
      <c r="J1775" s="14" t="s">
        <v>201</v>
      </c>
      <c r="K1775" s="14">
        <v>1</v>
      </c>
      <c r="L1775" s="14" t="s">
        <v>1400</v>
      </c>
      <c r="N1775" s="14">
        <v>0</v>
      </c>
      <c r="O1775" s="14" t="b">
        <v>1</v>
      </c>
      <c r="Q1775" s="14" t="b">
        <v>0</v>
      </c>
      <c r="R1775" s="14">
        <v>1</v>
      </c>
      <c r="S1775" s="14" t="s">
        <v>77</v>
      </c>
      <c r="T1775" s="14">
        <v>999</v>
      </c>
      <c r="U1775" s="14" t="s">
        <v>1401</v>
      </c>
      <c r="V1775" s="14">
        <v>31913054</v>
      </c>
      <c r="X1775" s="14" t="s">
        <v>2653</v>
      </c>
      <c r="Y1775" s="14" t="s">
        <v>215</v>
      </c>
      <c r="Z1775" s="14">
        <v>20538</v>
      </c>
      <c r="AA1775" s="14" t="s">
        <v>2654</v>
      </c>
      <c r="AB1775" s="14">
        <v>40001</v>
      </c>
      <c r="AE1775" s="14" t="s">
        <v>1400</v>
      </c>
      <c r="AF1775" s="14" t="s">
        <v>1400</v>
      </c>
      <c r="AG1775" s="14" t="s">
        <v>89</v>
      </c>
    </row>
    <row r="1776" spans="2:33">
      <c r="B1776" s="14">
        <f>10000000+INDEX(编号表!$B:$B,MATCH(H1776,编号表!$A:$A,0))*100000+INDEX(编号表!$F:$F,MATCH(D1776,编号表!$E:$E,0))*10000+INDEX(编号表!$D:$D,MATCH(AG1776,编号表!$C:$C,0))*1000+F1776</f>
        <v>11923055</v>
      </c>
      <c r="C1776" s="14" t="s">
        <v>2652</v>
      </c>
      <c r="D1776" s="14" t="s">
        <v>112</v>
      </c>
      <c r="E1776" s="14" t="s">
        <v>89</v>
      </c>
      <c r="F1776" s="14">
        <v>55</v>
      </c>
      <c r="G1776" s="14">
        <v>60</v>
      </c>
      <c r="H1776" s="14" t="s">
        <v>1400</v>
      </c>
      <c r="I1776" s="14" t="s">
        <v>75</v>
      </c>
      <c r="J1776" s="14" t="s">
        <v>201</v>
      </c>
      <c r="K1776" s="14">
        <v>1</v>
      </c>
      <c r="L1776" s="14" t="s">
        <v>1400</v>
      </c>
      <c r="N1776" s="14">
        <v>0</v>
      </c>
      <c r="O1776" s="14" t="b">
        <v>1</v>
      </c>
      <c r="Q1776" s="14" t="b">
        <v>0</v>
      </c>
      <c r="R1776" s="14">
        <v>1</v>
      </c>
      <c r="S1776" s="14" t="s">
        <v>77</v>
      </c>
      <c r="T1776" s="14">
        <v>999</v>
      </c>
      <c r="U1776" s="14" t="s">
        <v>1401</v>
      </c>
      <c r="V1776" s="14">
        <v>31923055</v>
      </c>
      <c r="X1776" s="14" t="s">
        <v>2655</v>
      </c>
      <c r="Y1776" s="14" t="s">
        <v>215</v>
      </c>
      <c r="Z1776" s="14">
        <v>20539</v>
      </c>
      <c r="AA1776" s="14" t="s">
        <v>2656</v>
      </c>
      <c r="AB1776" s="14">
        <v>40001</v>
      </c>
      <c r="AE1776" s="14" t="s">
        <v>1400</v>
      </c>
      <c r="AF1776" s="14" t="s">
        <v>1400</v>
      </c>
      <c r="AG1776" s="14" t="s">
        <v>89</v>
      </c>
    </row>
    <row r="1777" spans="2:33">
      <c r="B1777" s="14">
        <f>10000000+INDEX(编号表!$B:$B,MATCH(H1777,编号表!$A:$A,0))*100000+INDEX(编号表!$F:$F,MATCH(D1777,编号表!$E:$E,0))*10000+INDEX(编号表!$D:$D,MATCH(AG1777,编号表!$C:$C,0))*1000+F1777</f>
        <v>11933056</v>
      </c>
      <c r="C1777" s="14" t="s">
        <v>2652</v>
      </c>
      <c r="D1777" s="14" t="s">
        <v>276</v>
      </c>
      <c r="E1777" s="14" t="s">
        <v>89</v>
      </c>
      <c r="F1777" s="14">
        <v>56</v>
      </c>
      <c r="G1777" s="14">
        <v>60</v>
      </c>
      <c r="H1777" s="14" t="s">
        <v>1400</v>
      </c>
      <c r="I1777" s="14" t="s">
        <v>75</v>
      </c>
      <c r="J1777" s="14" t="s">
        <v>201</v>
      </c>
      <c r="K1777" s="14">
        <v>1</v>
      </c>
      <c r="L1777" s="14" t="s">
        <v>1400</v>
      </c>
      <c r="N1777" s="14">
        <v>0</v>
      </c>
      <c r="O1777" s="14" t="b">
        <v>1</v>
      </c>
      <c r="Q1777" s="14" t="b">
        <v>0</v>
      </c>
      <c r="R1777" s="14">
        <v>1</v>
      </c>
      <c r="S1777" s="14" t="s">
        <v>77</v>
      </c>
      <c r="T1777" s="14">
        <v>999</v>
      </c>
      <c r="U1777" s="14" t="s">
        <v>1401</v>
      </c>
      <c r="V1777" s="14">
        <v>31933056</v>
      </c>
      <c r="X1777" s="14" t="s">
        <v>2657</v>
      </c>
      <c r="Y1777" s="14" t="s">
        <v>215</v>
      </c>
      <c r="Z1777" s="14">
        <v>20540</v>
      </c>
      <c r="AA1777" s="14" t="s">
        <v>2658</v>
      </c>
      <c r="AB1777" s="14">
        <v>40001</v>
      </c>
      <c r="AE1777" s="14" t="s">
        <v>1400</v>
      </c>
      <c r="AF1777" s="14" t="s">
        <v>1400</v>
      </c>
      <c r="AG1777" s="14" t="s">
        <v>89</v>
      </c>
    </row>
    <row r="1778" spans="2:33">
      <c r="B1778" s="14">
        <f>10000000+INDEX(编号表!$B:$B,MATCH(H1778,编号表!$A:$A,0))*100000+INDEX(编号表!$F:$F,MATCH(D1778,编号表!$E:$E,0))*10000+INDEX(编号表!$D:$D,MATCH(AG1778,编号表!$C:$C,0))*1000+F1778</f>
        <v>11913055</v>
      </c>
      <c r="C1778" s="14" t="s">
        <v>2659</v>
      </c>
      <c r="D1778" s="14" t="s">
        <v>72</v>
      </c>
      <c r="E1778" s="14" t="s">
        <v>89</v>
      </c>
      <c r="F1778" s="14">
        <v>55</v>
      </c>
      <c r="G1778" s="14">
        <v>60</v>
      </c>
      <c r="H1778" s="14" t="s">
        <v>1400</v>
      </c>
      <c r="I1778" s="14" t="s">
        <v>75</v>
      </c>
      <c r="J1778" s="14" t="s">
        <v>201</v>
      </c>
      <c r="K1778" s="14">
        <v>1</v>
      </c>
      <c r="L1778" s="14" t="s">
        <v>1400</v>
      </c>
      <c r="N1778" s="14">
        <v>0</v>
      </c>
      <c r="O1778" s="14" t="b">
        <v>1</v>
      </c>
      <c r="Q1778" s="14" t="b">
        <v>0</v>
      </c>
      <c r="R1778" s="14">
        <v>1</v>
      </c>
      <c r="S1778" s="14" t="s">
        <v>77</v>
      </c>
      <c r="T1778" s="14">
        <v>999</v>
      </c>
      <c r="U1778" s="14" t="s">
        <v>1401</v>
      </c>
      <c r="V1778" s="14">
        <v>31913055</v>
      </c>
      <c r="X1778" s="14" t="s">
        <v>2660</v>
      </c>
      <c r="Y1778" s="14" t="s">
        <v>215</v>
      </c>
      <c r="Z1778" s="14">
        <v>20541</v>
      </c>
      <c r="AA1778" s="14" t="s">
        <v>2661</v>
      </c>
      <c r="AB1778" s="14">
        <v>40001</v>
      </c>
      <c r="AE1778" s="14" t="s">
        <v>1400</v>
      </c>
      <c r="AF1778" s="14" t="s">
        <v>1400</v>
      </c>
      <c r="AG1778" s="14" t="s">
        <v>89</v>
      </c>
    </row>
    <row r="1779" spans="2:33">
      <c r="B1779" s="14">
        <f>10000000+INDEX(编号表!$B:$B,MATCH(H1779,编号表!$A:$A,0))*100000+INDEX(编号表!$F:$F,MATCH(D1779,编号表!$E:$E,0))*10000+INDEX(编号表!$D:$D,MATCH(AG1779,编号表!$C:$C,0))*1000+F1779</f>
        <v>11923056</v>
      </c>
      <c r="C1779" s="14" t="s">
        <v>2659</v>
      </c>
      <c r="D1779" s="14" t="s">
        <v>112</v>
      </c>
      <c r="E1779" s="14" t="s">
        <v>89</v>
      </c>
      <c r="F1779" s="14">
        <v>56</v>
      </c>
      <c r="G1779" s="14">
        <v>60</v>
      </c>
      <c r="H1779" s="14" t="s">
        <v>1400</v>
      </c>
      <c r="I1779" s="14" t="s">
        <v>75</v>
      </c>
      <c r="J1779" s="14" t="s">
        <v>201</v>
      </c>
      <c r="K1779" s="14">
        <v>1</v>
      </c>
      <c r="L1779" s="14" t="s">
        <v>1400</v>
      </c>
      <c r="N1779" s="14">
        <v>0</v>
      </c>
      <c r="O1779" s="14" t="b">
        <v>1</v>
      </c>
      <c r="Q1779" s="14" t="b">
        <v>0</v>
      </c>
      <c r="R1779" s="14">
        <v>1</v>
      </c>
      <c r="S1779" s="14" t="s">
        <v>77</v>
      </c>
      <c r="T1779" s="14">
        <v>999</v>
      </c>
      <c r="U1779" s="14" t="s">
        <v>1401</v>
      </c>
      <c r="V1779" s="14">
        <v>31923056</v>
      </c>
      <c r="X1779" s="14" t="s">
        <v>2662</v>
      </c>
      <c r="Y1779" s="14" t="s">
        <v>215</v>
      </c>
      <c r="Z1779" s="14">
        <v>20542</v>
      </c>
      <c r="AA1779" s="14" t="s">
        <v>2663</v>
      </c>
      <c r="AB1779" s="14">
        <v>40001</v>
      </c>
      <c r="AE1779" s="14" t="s">
        <v>1400</v>
      </c>
      <c r="AF1779" s="14" t="s">
        <v>1400</v>
      </c>
      <c r="AG1779" s="14" t="s">
        <v>89</v>
      </c>
    </row>
    <row r="1780" spans="2:33">
      <c r="B1780" s="14">
        <f>10000000+INDEX(编号表!$B:$B,MATCH(H1780,编号表!$A:$A,0))*100000+INDEX(编号表!$F:$F,MATCH(D1780,编号表!$E:$E,0))*10000+INDEX(编号表!$D:$D,MATCH(AG1780,编号表!$C:$C,0))*1000+F1780</f>
        <v>11933057</v>
      </c>
      <c r="C1780" s="14" t="s">
        <v>2659</v>
      </c>
      <c r="D1780" s="14" t="s">
        <v>276</v>
      </c>
      <c r="E1780" s="14" t="s">
        <v>89</v>
      </c>
      <c r="F1780" s="14">
        <v>57</v>
      </c>
      <c r="G1780" s="14">
        <v>60</v>
      </c>
      <c r="H1780" s="14" t="s">
        <v>1400</v>
      </c>
      <c r="I1780" s="14" t="s">
        <v>75</v>
      </c>
      <c r="J1780" s="14" t="s">
        <v>201</v>
      </c>
      <c r="K1780" s="14">
        <v>1</v>
      </c>
      <c r="L1780" s="14" t="s">
        <v>1400</v>
      </c>
      <c r="N1780" s="14">
        <v>0</v>
      </c>
      <c r="O1780" s="14" t="b">
        <v>1</v>
      </c>
      <c r="Q1780" s="14" t="b">
        <v>0</v>
      </c>
      <c r="R1780" s="14">
        <v>1</v>
      </c>
      <c r="S1780" s="14" t="s">
        <v>77</v>
      </c>
      <c r="T1780" s="14">
        <v>999</v>
      </c>
      <c r="U1780" s="14" t="s">
        <v>1401</v>
      </c>
      <c r="V1780" s="14">
        <v>31933057</v>
      </c>
      <c r="X1780" s="14" t="s">
        <v>2664</v>
      </c>
      <c r="Y1780" s="14" t="s">
        <v>215</v>
      </c>
      <c r="Z1780" s="14">
        <v>20543</v>
      </c>
      <c r="AA1780" s="14" t="s">
        <v>2665</v>
      </c>
      <c r="AB1780" s="14">
        <v>40001</v>
      </c>
      <c r="AE1780" s="14" t="s">
        <v>1400</v>
      </c>
      <c r="AF1780" s="14" t="s">
        <v>1400</v>
      </c>
      <c r="AG1780" s="14" t="s">
        <v>89</v>
      </c>
    </row>
    <row r="1781" spans="2:33">
      <c r="B1781" s="14">
        <f>10000000+INDEX(编号表!$B:$B,MATCH(H1781,编号表!$A:$A,0))*100000+INDEX(编号表!$F:$F,MATCH(D1781,编号表!$E:$E,0))*10000+INDEX(编号表!$D:$D,MATCH(AG1781,编号表!$C:$C,0))*1000+F1781</f>
        <v>11913056</v>
      </c>
      <c r="C1781" s="14" t="s">
        <v>2666</v>
      </c>
      <c r="D1781" s="14" t="s">
        <v>72</v>
      </c>
      <c r="E1781" s="14" t="s">
        <v>89</v>
      </c>
      <c r="F1781" s="14">
        <v>56</v>
      </c>
      <c r="G1781" s="14">
        <v>60</v>
      </c>
      <c r="H1781" s="14" t="s">
        <v>1400</v>
      </c>
      <c r="I1781" s="14" t="s">
        <v>75</v>
      </c>
      <c r="J1781" s="14" t="s">
        <v>201</v>
      </c>
      <c r="K1781" s="14">
        <v>1</v>
      </c>
      <c r="L1781" s="14" t="s">
        <v>1400</v>
      </c>
      <c r="N1781" s="14">
        <v>0</v>
      </c>
      <c r="O1781" s="14" t="b">
        <v>1</v>
      </c>
      <c r="Q1781" s="14" t="b">
        <v>0</v>
      </c>
      <c r="R1781" s="14">
        <v>1</v>
      </c>
      <c r="S1781" s="14" t="s">
        <v>77</v>
      </c>
      <c r="T1781" s="14">
        <v>999</v>
      </c>
      <c r="U1781" s="14" t="s">
        <v>1401</v>
      </c>
      <c r="V1781" s="14">
        <v>31913056</v>
      </c>
      <c r="X1781" s="14" t="s">
        <v>2667</v>
      </c>
      <c r="Y1781" s="14" t="s">
        <v>215</v>
      </c>
      <c r="Z1781" s="14">
        <v>20544</v>
      </c>
      <c r="AA1781" s="14" t="s">
        <v>2668</v>
      </c>
      <c r="AB1781" s="14">
        <v>40001</v>
      </c>
      <c r="AE1781" s="14" t="s">
        <v>1400</v>
      </c>
      <c r="AF1781" s="14" t="s">
        <v>1400</v>
      </c>
      <c r="AG1781" s="14" t="s">
        <v>89</v>
      </c>
    </row>
    <row r="1782" spans="2:33">
      <c r="B1782" s="14">
        <f>10000000+INDEX(编号表!$B:$B,MATCH(H1782,编号表!$A:$A,0))*100000+INDEX(编号表!$F:$F,MATCH(D1782,编号表!$E:$E,0))*10000+INDEX(编号表!$D:$D,MATCH(AG1782,编号表!$C:$C,0))*1000+F1782</f>
        <v>11923057</v>
      </c>
      <c r="C1782" s="14" t="s">
        <v>2666</v>
      </c>
      <c r="D1782" s="14" t="s">
        <v>112</v>
      </c>
      <c r="E1782" s="14" t="s">
        <v>89</v>
      </c>
      <c r="F1782" s="14">
        <v>57</v>
      </c>
      <c r="G1782" s="14">
        <v>60</v>
      </c>
      <c r="H1782" s="14" t="s">
        <v>1400</v>
      </c>
      <c r="I1782" s="14" t="s">
        <v>75</v>
      </c>
      <c r="J1782" s="14" t="s">
        <v>201</v>
      </c>
      <c r="K1782" s="14">
        <v>1</v>
      </c>
      <c r="L1782" s="14" t="s">
        <v>1400</v>
      </c>
      <c r="N1782" s="14">
        <v>0</v>
      </c>
      <c r="O1782" s="14" t="b">
        <v>1</v>
      </c>
      <c r="Q1782" s="14" t="b">
        <v>0</v>
      </c>
      <c r="R1782" s="14">
        <v>1</v>
      </c>
      <c r="S1782" s="14" t="s">
        <v>77</v>
      </c>
      <c r="T1782" s="14">
        <v>999</v>
      </c>
      <c r="U1782" s="14" t="s">
        <v>1401</v>
      </c>
      <c r="V1782" s="14">
        <v>31923057</v>
      </c>
      <c r="X1782" s="14" t="s">
        <v>2669</v>
      </c>
      <c r="Y1782" s="14" t="s">
        <v>215</v>
      </c>
      <c r="Z1782" s="14">
        <v>20545</v>
      </c>
      <c r="AA1782" s="14" t="s">
        <v>2670</v>
      </c>
      <c r="AB1782" s="14">
        <v>40001</v>
      </c>
      <c r="AE1782" s="14" t="s">
        <v>1400</v>
      </c>
      <c r="AF1782" s="14" t="s">
        <v>1400</v>
      </c>
      <c r="AG1782" s="14" t="s">
        <v>89</v>
      </c>
    </row>
    <row r="1783" spans="2:33">
      <c r="B1783" s="14">
        <f>10000000+INDEX(编号表!$B:$B,MATCH(H1783,编号表!$A:$A,0))*100000+INDEX(编号表!$F:$F,MATCH(D1783,编号表!$E:$E,0))*10000+INDEX(编号表!$D:$D,MATCH(AG1783,编号表!$C:$C,0))*1000+F1783</f>
        <v>11933058</v>
      </c>
      <c r="C1783" s="14" t="s">
        <v>2666</v>
      </c>
      <c r="D1783" s="14" t="s">
        <v>276</v>
      </c>
      <c r="E1783" s="14" t="s">
        <v>89</v>
      </c>
      <c r="F1783" s="14">
        <v>58</v>
      </c>
      <c r="G1783" s="14">
        <v>60</v>
      </c>
      <c r="H1783" s="14" t="s">
        <v>1400</v>
      </c>
      <c r="I1783" s="14" t="s">
        <v>75</v>
      </c>
      <c r="J1783" s="14" t="s">
        <v>201</v>
      </c>
      <c r="K1783" s="14">
        <v>1</v>
      </c>
      <c r="L1783" s="14" t="s">
        <v>1400</v>
      </c>
      <c r="N1783" s="14">
        <v>0</v>
      </c>
      <c r="O1783" s="14" t="b">
        <v>1</v>
      </c>
      <c r="Q1783" s="14" t="b">
        <v>0</v>
      </c>
      <c r="R1783" s="14">
        <v>1</v>
      </c>
      <c r="S1783" s="14" t="s">
        <v>77</v>
      </c>
      <c r="T1783" s="14">
        <v>999</v>
      </c>
      <c r="U1783" s="14" t="s">
        <v>1401</v>
      </c>
      <c r="V1783" s="14">
        <v>31933058</v>
      </c>
      <c r="X1783" s="14" t="s">
        <v>2671</v>
      </c>
      <c r="Y1783" s="14" t="s">
        <v>215</v>
      </c>
      <c r="Z1783" s="14">
        <v>20546</v>
      </c>
      <c r="AA1783" s="14" t="s">
        <v>2672</v>
      </c>
      <c r="AB1783" s="14">
        <v>40001</v>
      </c>
      <c r="AE1783" s="14" t="s">
        <v>1400</v>
      </c>
      <c r="AF1783" s="14" t="s">
        <v>1400</v>
      </c>
      <c r="AG1783" s="14" t="s">
        <v>89</v>
      </c>
    </row>
    <row r="1784" spans="2:33">
      <c r="B1784" s="14">
        <f>10000000+INDEX(编号表!$B:$B,MATCH(H1784,编号表!$A:$A,0))*100000+INDEX(编号表!$F:$F,MATCH(D1784,编号表!$E:$E,0))*10000+INDEX(编号表!$D:$D,MATCH(AG1784,编号表!$C:$C,0))*1000+F1784</f>
        <v>11913057</v>
      </c>
      <c r="C1784" s="14" t="s">
        <v>2673</v>
      </c>
      <c r="D1784" s="14" t="s">
        <v>72</v>
      </c>
      <c r="E1784" s="14" t="s">
        <v>89</v>
      </c>
      <c r="F1784" s="14">
        <v>57</v>
      </c>
      <c r="G1784" s="14">
        <v>60</v>
      </c>
      <c r="H1784" s="14" t="s">
        <v>1400</v>
      </c>
      <c r="I1784" s="14" t="s">
        <v>75</v>
      </c>
      <c r="J1784" s="14" t="s">
        <v>201</v>
      </c>
      <c r="K1784" s="14">
        <v>1</v>
      </c>
      <c r="L1784" s="14" t="s">
        <v>1400</v>
      </c>
      <c r="N1784" s="14">
        <v>0</v>
      </c>
      <c r="O1784" s="14" t="b">
        <v>1</v>
      </c>
      <c r="Q1784" s="14" t="b">
        <v>0</v>
      </c>
      <c r="R1784" s="14">
        <v>1</v>
      </c>
      <c r="S1784" s="14" t="s">
        <v>77</v>
      </c>
      <c r="T1784" s="14">
        <v>999</v>
      </c>
      <c r="U1784" s="14" t="s">
        <v>1401</v>
      </c>
      <c r="V1784" s="14">
        <v>31913057</v>
      </c>
      <c r="X1784" s="14" t="s">
        <v>2674</v>
      </c>
      <c r="Y1784" s="14" t="s">
        <v>215</v>
      </c>
      <c r="Z1784" s="14">
        <v>20547</v>
      </c>
      <c r="AA1784" s="14" t="s">
        <v>2675</v>
      </c>
      <c r="AB1784" s="14">
        <v>40001</v>
      </c>
      <c r="AE1784" s="14" t="s">
        <v>1400</v>
      </c>
      <c r="AF1784" s="14" t="s">
        <v>1400</v>
      </c>
      <c r="AG1784" s="14" t="s">
        <v>89</v>
      </c>
    </row>
    <row r="1785" spans="2:33">
      <c r="B1785" s="14">
        <f>10000000+INDEX(编号表!$B:$B,MATCH(H1785,编号表!$A:$A,0))*100000+INDEX(编号表!$F:$F,MATCH(D1785,编号表!$E:$E,0))*10000+INDEX(编号表!$D:$D,MATCH(AG1785,编号表!$C:$C,0))*1000+F1785</f>
        <v>11923058</v>
      </c>
      <c r="C1785" s="14" t="s">
        <v>2673</v>
      </c>
      <c r="D1785" s="14" t="s">
        <v>112</v>
      </c>
      <c r="E1785" s="14" t="s">
        <v>89</v>
      </c>
      <c r="F1785" s="14">
        <v>58</v>
      </c>
      <c r="G1785" s="14">
        <v>60</v>
      </c>
      <c r="H1785" s="14" t="s">
        <v>1400</v>
      </c>
      <c r="I1785" s="14" t="s">
        <v>75</v>
      </c>
      <c r="J1785" s="14" t="s">
        <v>201</v>
      </c>
      <c r="K1785" s="14">
        <v>1</v>
      </c>
      <c r="L1785" s="14" t="s">
        <v>1400</v>
      </c>
      <c r="N1785" s="14">
        <v>0</v>
      </c>
      <c r="O1785" s="14" t="b">
        <v>1</v>
      </c>
      <c r="Q1785" s="14" t="b">
        <v>0</v>
      </c>
      <c r="R1785" s="14">
        <v>1</v>
      </c>
      <c r="S1785" s="14" t="s">
        <v>77</v>
      </c>
      <c r="T1785" s="14">
        <v>999</v>
      </c>
      <c r="U1785" s="14" t="s">
        <v>1401</v>
      </c>
      <c r="V1785" s="14">
        <v>31923058</v>
      </c>
      <c r="X1785" s="14" t="s">
        <v>2676</v>
      </c>
      <c r="Y1785" s="14" t="s">
        <v>215</v>
      </c>
      <c r="Z1785" s="14">
        <v>20548</v>
      </c>
      <c r="AA1785" s="14" t="s">
        <v>2677</v>
      </c>
      <c r="AB1785" s="14">
        <v>40001</v>
      </c>
      <c r="AE1785" s="14" t="s">
        <v>1400</v>
      </c>
      <c r="AF1785" s="14" t="s">
        <v>1400</v>
      </c>
      <c r="AG1785" s="14" t="s">
        <v>89</v>
      </c>
    </row>
    <row r="1786" spans="2:33">
      <c r="B1786" s="14">
        <f>10000000+INDEX(编号表!$B:$B,MATCH(H1786,编号表!$A:$A,0))*100000+INDEX(编号表!$F:$F,MATCH(D1786,编号表!$E:$E,0))*10000+INDEX(编号表!$D:$D,MATCH(AG1786,编号表!$C:$C,0))*1000+F1786</f>
        <v>11933059</v>
      </c>
      <c r="C1786" s="14" t="s">
        <v>2673</v>
      </c>
      <c r="D1786" s="14" t="s">
        <v>276</v>
      </c>
      <c r="E1786" s="14" t="s">
        <v>89</v>
      </c>
      <c r="F1786" s="14">
        <v>59</v>
      </c>
      <c r="G1786" s="14">
        <v>60</v>
      </c>
      <c r="H1786" s="14" t="s">
        <v>1400</v>
      </c>
      <c r="I1786" s="14" t="s">
        <v>75</v>
      </c>
      <c r="J1786" s="14" t="s">
        <v>201</v>
      </c>
      <c r="K1786" s="14">
        <v>1</v>
      </c>
      <c r="L1786" s="14" t="s">
        <v>1400</v>
      </c>
      <c r="N1786" s="14">
        <v>0</v>
      </c>
      <c r="O1786" s="14" t="b">
        <v>1</v>
      </c>
      <c r="Q1786" s="14" t="b">
        <v>0</v>
      </c>
      <c r="R1786" s="14">
        <v>1</v>
      </c>
      <c r="S1786" s="14" t="s">
        <v>77</v>
      </c>
      <c r="T1786" s="14">
        <v>999</v>
      </c>
      <c r="U1786" s="14" t="s">
        <v>1401</v>
      </c>
      <c r="V1786" s="14">
        <v>31933059</v>
      </c>
      <c r="X1786" s="14" t="s">
        <v>2678</v>
      </c>
      <c r="Y1786" s="14" t="s">
        <v>215</v>
      </c>
      <c r="Z1786" s="14">
        <v>20549</v>
      </c>
      <c r="AA1786" s="14" t="s">
        <v>2679</v>
      </c>
      <c r="AB1786" s="14">
        <v>40001</v>
      </c>
      <c r="AE1786" s="14" t="s">
        <v>1400</v>
      </c>
      <c r="AF1786" s="14" t="s">
        <v>1400</v>
      </c>
      <c r="AG1786" s="14" t="s">
        <v>89</v>
      </c>
    </row>
    <row r="1787" spans="2:33">
      <c r="B1787" s="14">
        <f>10000000+INDEX(编号表!$B:$B,MATCH(H1787,编号表!$A:$A,0))*100000+INDEX(编号表!$F:$F,MATCH(D1787,编号表!$E:$E,0))*10000+INDEX(编号表!$D:$D,MATCH(AG1787,编号表!$C:$C,0))*1000+F1787</f>
        <v>11913058</v>
      </c>
      <c r="C1787" s="14" t="s">
        <v>2680</v>
      </c>
      <c r="D1787" s="14" t="s">
        <v>72</v>
      </c>
      <c r="E1787" s="14" t="s">
        <v>89</v>
      </c>
      <c r="F1787" s="14">
        <v>58</v>
      </c>
      <c r="G1787" s="14">
        <v>60</v>
      </c>
      <c r="H1787" s="14" t="s">
        <v>1400</v>
      </c>
      <c r="I1787" s="14" t="s">
        <v>75</v>
      </c>
      <c r="J1787" s="14" t="s">
        <v>201</v>
      </c>
      <c r="K1787" s="14">
        <v>1</v>
      </c>
      <c r="L1787" s="14" t="s">
        <v>1400</v>
      </c>
      <c r="N1787" s="14">
        <v>0</v>
      </c>
      <c r="O1787" s="14" t="b">
        <v>1</v>
      </c>
      <c r="Q1787" s="14" t="b">
        <v>0</v>
      </c>
      <c r="R1787" s="14">
        <v>1</v>
      </c>
      <c r="S1787" s="14" t="s">
        <v>77</v>
      </c>
      <c r="T1787" s="14">
        <v>999</v>
      </c>
      <c r="U1787" s="14" t="s">
        <v>1401</v>
      </c>
      <c r="V1787" s="14">
        <v>31913058</v>
      </c>
      <c r="X1787" s="14" t="s">
        <v>2681</v>
      </c>
      <c r="Y1787" s="14" t="s">
        <v>215</v>
      </c>
      <c r="Z1787" s="14">
        <v>20550</v>
      </c>
      <c r="AA1787" s="14" t="s">
        <v>2682</v>
      </c>
      <c r="AB1787" s="14">
        <v>40001</v>
      </c>
      <c r="AE1787" s="14" t="s">
        <v>1400</v>
      </c>
      <c r="AF1787" s="14" t="s">
        <v>1400</v>
      </c>
      <c r="AG1787" s="14" t="s">
        <v>89</v>
      </c>
    </row>
    <row r="1788" spans="2:33">
      <c r="B1788" s="14">
        <f>10000000+INDEX(编号表!$B:$B,MATCH(H1788,编号表!$A:$A,0))*100000+INDEX(编号表!$F:$F,MATCH(D1788,编号表!$E:$E,0))*10000+INDEX(编号表!$D:$D,MATCH(AG1788,编号表!$C:$C,0))*1000+F1788</f>
        <v>11923059</v>
      </c>
      <c r="C1788" s="14" t="s">
        <v>2680</v>
      </c>
      <c r="D1788" s="14" t="s">
        <v>112</v>
      </c>
      <c r="E1788" s="14" t="s">
        <v>89</v>
      </c>
      <c r="F1788" s="14">
        <v>59</v>
      </c>
      <c r="G1788" s="14">
        <v>60</v>
      </c>
      <c r="H1788" s="14" t="s">
        <v>1400</v>
      </c>
      <c r="I1788" s="14" t="s">
        <v>75</v>
      </c>
      <c r="J1788" s="14" t="s">
        <v>201</v>
      </c>
      <c r="K1788" s="14">
        <v>1</v>
      </c>
      <c r="L1788" s="14" t="s">
        <v>1400</v>
      </c>
      <c r="N1788" s="14">
        <v>0</v>
      </c>
      <c r="O1788" s="14" t="b">
        <v>1</v>
      </c>
      <c r="Q1788" s="14" t="b">
        <v>0</v>
      </c>
      <c r="R1788" s="14">
        <v>1</v>
      </c>
      <c r="S1788" s="14" t="s">
        <v>77</v>
      </c>
      <c r="T1788" s="14">
        <v>999</v>
      </c>
      <c r="U1788" s="14" t="s">
        <v>1401</v>
      </c>
      <c r="V1788" s="14">
        <v>31923059</v>
      </c>
      <c r="X1788" s="14" t="s">
        <v>2683</v>
      </c>
      <c r="Y1788" s="14" t="s">
        <v>215</v>
      </c>
      <c r="Z1788" s="14">
        <v>20551</v>
      </c>
      <c r="AA1788" s="14" t="s">
        <v>2684</v>
      </c>
      <c r="AB1788" s="14">
        <v>40001</v>
      </c>
      <c r="AE1788" s="14" t="s">
        <v>1400</v>
      </c>
      <c r="AF1788" s="14" t="s">
        <v>1400</v>
      </c>
      <c r="AG1788" s="14" t="s">
        <v>89</v>
      </c>
    </row>
    <row r="1789" spans="2:33">
      <c r="B1789" s="14">
        <f>10000000+INDEX(编号表!$B:$B,MATCH(H1789,编号表!$A:$A,0))*100000+INDEX(编号表!$F:$F,MATCH(D1789,编号表!$E:$E,0))*10000+INDEX(编号表!$D:$D,MATCH(AG1789,编号表!$C:$C,0))*1000+F1789</f>
        <v>11933060</v>
      </c>
      <c r="C1789" s="14" t="s">
        <v>2680</v>
      </c>
      <c r="D1789" s="14" t="s">
        <v>276</v>
      </c>
      <c r="E1789" s="14" t="s">
        <v>89</v>
      </c>
      <c r="F1789" s="14">
        <v>60</v>
      </c>
      <c r="G1789" s="14">
        <v>60</v>
      </c>
      <c r="H1789" s="14" t="s">
        <v>1400</v>
      </c>
      <c r="I1789" s="14" t="s">
        <v>75</v>
      </c>
      <c r="J1789" s="14" t="s">
        <v>201</v>
      </c>
      <c r="K1789" s="14">
        <v>1</v>
      </c>
      <c r="L1789" s="14" t="s">
        <v>1400</v>
      </c>
      <c r="N1789" s="14">
        <v>0</v>
      </c>
      <c r="O1789" s="14" t="b">
        <v>1</v>
      </c>
      <c r="Q1789" s="14" t="b">
        <v>0</v>
      </c>
      <c r="R1789" s="14">
        <v>1</v>
      </c>
      <c r="S1789" s="14" t="s">
        <v>77</v>
      </c>
      <c r="T1789" s="14">
        <v>999</v>
      </c>
      <c r="U1789" s="14" t="s">
        <v>1401</v>
      </c>
      <c r="V1789" s="14">
        <v>31933060</v>
      </c>
      <c r="X1789" s="14" t="s">
        <v>2685</v>
      </c>
      <c r="Y1789" s="14" t="s">
        <v>215</v>
      </c>
      <c r="Z1789" s="14">
        <v>20552</v>
      </c>
      <c r="AA1789" s="14" t="s">
        <v>2686</v>
      </c>
      <c r="AB1789" s="14">
        <v>40001</v>
      </c>
      <c r="AE1789" s="14" t="s">
        <v>1400</v>
      </c>
      <c r="AF1789" s="14" t="s">
        <v>1400</v>
      </c>
      <c r="AG1789" s="14" t="s">
        <v>89</v>
      </c>
    </row>
    <row r="1790" spans="2:33">
      <c r="B1790" s="14">
        <f>10000000+INDEX(编号表!$B:$B,MATCH(H1790,编号表!$A:$A,0))*100000+INDEX(编号表!$F:$F,MATCH(D1790,编号表!$E:$E,0))*10000+INDEX(编号表!$D:$D,MATCH(AG1790,编号表!$C:$C,0))*1000+F1790</f>
        <v>11913059</v>
      </c>
      <c r="C1790" s="14" t="s">
        <v>2687</v>
      </c>
      <c r="D1790" s="14" t="s">
        <v>72</v>
      </c>
      <c r="E1790" s="14" t="s">
        <v>89</v>
      </c>
      <c r="F1790" s="14">
        <v>59</v>
      </c>
      <c r="G1790" s="14">
        <v>60</v>
      </c>
      <c r="H1790" s="14" t="s">
        <v>1400</v>
      </c>
      <c r="I1790" s="14" t="s">
        <v>75</v>
      </c>
      <c r="J1790" s="14" t="s">
        <v>201</v>
      </c>
      <c r="K1790" s="14">
        <v>1</v>
      </c>
      <c r="L1790" s="14" t="s">
        <v>1400</v>
      </c>
      <c r="N1790" s="14">
        <v>0</v>
      </c>
      <c r="O1790" s="14" t="b">
        <v>1</v>
      </c>
      <c r="Q1790" s="14" t="b">
        <v>0</v>
      </c>
      <c r="R1790" s="14">
        <v>1</v>
      </c>
      <c r="S1790" s="14" t="s">
        <v>77</v>
      </c>
      <c r="T1790" s="14">
        <v>999</v>
      </c>
      <c r="U1790" s="14" t="s">
        <v>1401</v>
      </c>
      <c r="V1790" s="14">
        <v>31913059</v>
      </c>
      <c r="X1790" s="14" t="s">
        <v>2688</v>
      </c>
      <c r="Y1790" s="14" t="s">
        <v>215</v>
      </c>
      <c r="Z1790" s="14">
        <v>20553</v>
      </c>
      <c r="AA1790" s="14" t="s">
        <v>2689</v>
      </c>
      <c r="AB1790" s="14">
        <v>40001</v>
      </c>
      <c r="AE1790" s="14" t="s">
        <v>1400</v>
      </c>
      <c r="AF1790" s="14" t="s">
        <v>1400</v>
      </c>
      <c r="AG1790" s="14" t="s">
        <v>89</v>
      </c>
    </row>
    <row r="1791" spans="2:33">
      <c r="B1791" s="14">
        <f>10000000+INDEX(编号表!$B:$B,MATCH(H1791,编号表!$A:$A,0))*100000+INDEX(编号表!$F:$F,MATCH(D1791,编号表!$E:$E,0))*10000+INDEX(编号表!$D:$D,MATCH(AG1791,编号表!$C:$C,0))*1000+F1791</f>
        <v>11923060</v>
      </c>
      <c r="C1791" s="14" t="s">
        <v>2687</v>
      </c>
      <c r="D1791" s="14" t="s">
        <v>112</v>
      </c>
      <c r="E1791" s="14" t="s">
        <v>89</v>
      </c>
      <c r="F1791" s="14">
        <v>60</v>
      </c>
      <c r="G1791" s="14">
        <v>60</v>
      </c>
      <c r="H1791" s="14" t="s">
        <v>1400</v>
      </c>
      <c r="I1791" s="14" t="s">
        <v>75</v>
      </c>
      <c r="J1791" s="14" t="s">
        <v>201</v>
      </c>
      <c r="K1791" s="14">
        <v>1</v>
      </c>
      <c r="L1791" s="14" t="s">
        <v>1400</v>
      </c>
      <c r="N1791" s="14">
        <v>0</v>
      </c>
      <c r="O1791" s="14" t="b">
        <v>1</v>
      </c>
      <c r="Q1791" s="14" t="b">
        <v>0</v>
      </c>
      <c r="R1791" s="14">
        <v>1</v>
      </c>
      <c r="S1791" s="14" t="s">
        <v>77</v>
      </c>
      <c r="T1791" s="14">
        <v>999</v>
      </c>
      <c r="U1791" s="14" t="s">
        <v>1401</v>
      </c>
      <c r="V1791" s="14">
        <v>31923060</v>
      </c>
      <c r="X1791" s="14" t="s">
        <v>2690</v>
      </c>
      <c r="Y1791" s="14" t="s">
        <v>215</v>
      </c>
      <c r="Z1791" s="14">
        <v>20554</v>
      </c>
      <c r="AA1791" s="14" t="s">
        <v>2691</v>
      </c>
      <c r="AB1791" s="14">
        <v>40001</v>
      </c>
      <c r="AE1791" s="14" t="s">
        <v>1400</v>
      </c>
      <c r="AF1791" s="14" t="s">
        <v>1400</v>
      </c>
      <c r="AG1791" s="14" t="s">
        <v>89</v>
      </c>
    </row>
    <row r="1792" spans="2:33">
      <c r="B1792" s="14">
        <f>10000000+INDEX(编号表!$B:$B,MATCH(H1792,编号表!$A:$A,0))*100000+INDEX(编号表!$F:$F,MATCH(D1792,编号表!$E:$E,0))*10000+INDEX(编号表!$D:$D,MATCH(AG1792,编号表!$C:$C,0))*1000+F1792</f>
        <v>11933061</v>
      </c>
      <c r="C1792" s="14" t="s">
        <v>2687</v>
      </c>
      <c r="D1792" s="14" t="s">
        <v>276</v>
      </c>
      <c r="E1792" s="14" t="s">
        <v>89</v>
      </c>
      <c r="F1792" s="14">
        <v>61</v>
      </c>
      <c r="G1792" s="14">
        <v>60</v>
      </c>
      <c r="H1792" s="14" t="s">
        <v>1400</v>
      </c>
      <c r="I1792" s="14" t="s">
        <v>75</v>
      </c>
      <c r="J1792" s="14" t="s">
        <v>201</v>
      </c>
      <c r="K1792" s="14">
        <v>1</v>
      </c>
      <c r="L1792" s="14" t="s">
        <v>1400</v>
      </c>
      <c r="N1792" s="14">
        <v>0</v>
      </c>
      <c r="O1792" s="14" t="b">
        <v>1</v>
      </c>
      <c r="Q1792" s="14" t="b">
        <v>0</v>
      </c>
      <c r="R1792" s="14">
        <v>1</v>
      </c>
      <c r="S1792" s="14" t="s">
        <v>77</v>
      </c>
      <c r="T1792" s="14">
        <v>999</v>
      </c>
      <c r="U1792" s="14" t="s">
        <v>1401</v>
      </c>
      <c r="V1792" s="14">
        <v>31933061</v>
      </c>
      <c r="X1792" s="14" t="s">
        <v>2692</v>
      </c>
      <c r="Y1792" s="14" t="s">
        <v>215</v>
      </c>
      <c r="Z1792" s="14">
        <v>20555</v>
      </c>
      <c r="AA1792" s="14" t="s">
        <v>2693</v>
      </c>
      <c r="AB1792" s="14">
        <v>40001</v>
      </c>
      <c r="AE1792" s="14" t="s">
        <v>1400</v>
      </c>
      <c r="AF1792" s="14" t="s">
        <v>1400</v>
      </c>
      <c r="AG1792" s="14" t="s">
        <v>89</v>
      </c>
    </row>
    <row r="1793" spans="2:33">
      <c r="B1793" s="14">
        <f>10000000+INDEX(编号表!$B:$B,MATCH(H1793,编号表!$A:$A,0))*100000+INDEX(编号表!$F:$F,MATCH(D1793,编号表!$E:$E,0))*10000+INDEX(编号表!$D:$D,MATCH(AG1793,编号表!$C:$C,0))*1000+F1793</f>
        <v>11913060</v>
      </c>
      <c r="C1793" s="14" t="s">
        <v>2694</v>
      </c>
      <c r="D1793" s="14" t="s">
        <v>72</v>
      </c>
      <c r="E1793" s="14" t="s">
        <v>89</v>
      </c>
      <c r="F1793" s="14">
        <v>60</v>
      </c>
      <c r="G1793" s="14">
        <v>60</v>
      </c>
      <c r="H1793" s="14" t="s">
        <v>1400</v>
      </c>
      <c r="I1793" s="14" t="s">
        <v>75</v>
      </c>
      <c r="J1793" s="14" t="s">
        <v>201</v>
      </c>
      <c r="K1793" s="14">
        <v>1</v>
      </c>
      <c r="L1793" s="14" t="s">
        <v>1400</v>
      </c>
      <c r="N1793" s="14">
        <v>0</v>
      </c>
      <c r="O1793" s="14" t="b">
        <v>1</v>
      </c>
      <c r="Q1793" s="14" t="b">
        <v>0</v>
      </c>
      <c r="R1793" s="14">
        <v>1</v>
      </c>
      <c r="S1793" s="14" t="s">
        <v>77</v>
      </c>
      <c r="T1793" s="14">
        <v>999</v>
      </c>
      <c r="U1793" s="14" t="s">
        <v>1401</v>
      </c>
      <c r="V1793" s="14">
        <v>31913060</v>
      </c>
      <c r="X1793" s="14" t="s">
        <v>2695</v>
      </c>
      <c r="Y1793" s="14" t="s">
        <v>215</v>
      </c>
      <c r="Z1793" s="14">
        <v>20556</v>
      </c>
      <c r="AA1793" s="14" t="s">
        <v>2696</v>
      </c>
      <c r="AB1793" s="14">
        <v>40001</v>
      </c>
      <c r="AE1793" s="14" t="s">
        <v>1400</v>
      </c>
      <c r="AF1793" s="14" t="s">
        <v>1400</v>
      </c>
      <c r="AG1793" s="14" t="s">
        <v>89</v>
      </c>
    </row>
    <row r="1794" spans="2:33">
      <c r="B1794" s="14">
        <f>10000000+INDEX(编号表!$B:$B,MATCH(H1794,编号表!$A:$A,0))*100000+INDEX(编号表!$F:$F,MATCH(D1794,编号表!$E:$E,0))*10000+INDEX(编号表!$D:$D,MATCH(AG1794,编号表!$C:$C,0))*1000+F1794</f>
        <v>11923061</v>
      </c>
      <c r="C1794" s="14" t="s">
        <v>2694</v>
      </c>
      <c r="D1794" s="14" t="s">
        <v>112</v>
      </c>
      <c r="E1794" s="14" t="s">
        <v>89</v>
      </c>
      <c r="F1794" s="14">
        <v>61</v>
      </c>
      <c r="G1794" s="14">
        <v>60</v>
      </c>
      <c r="H1794" s="14" t="s">
        <v>1400</v>
      </c>
      <c r="I1794" s="14" t="s">
        <v>75</v>
      </c>
      <c r="J1794" s="14" t="s">
        <v>201</v>
      </c>
      <c r="K1794" s="14">
        <v>1</v>
      </c>
      <c r="L1794" s="14" t="s">
        <v>1400</v>
      </c>
      <c r="N1794" s="14">
        <v>0</v>
      </c>
      <c r="O1794" s="14" t="b">
        <v>1</v>
      </c>
      <c r="Q1794" s="14" t="b">
        <v>0</v>
      </c>
      <c r="R1794" s="14">
        <v>1</v>
      </c>
      <c r="S1794" s="14" t="s">
        <v>77</v>
      </c>
      <c r="T1794" s="14">
        <v>999</v>
      </c>
      <c r="U1794" s="14" t="s">
        <v>1401</v>
      </c>
      <c r="V1794" s="14">
        <v>31923061</v>
      </c>
      <c r="X1794" s="14" t="s">
        <v>2697</v>
      </c>
      <c r="Y1794" s="14" t="s">
        <v>215</v>
      </c>
      <c r="Z1794" s="14">
        <v>20557</v>
      </c>
      <c r="AA1794" s="14" t="s">
        <v>2698</v>
      </c>
      <c r="AB1794" s="14">
        <v>40001</v>
      </c>
      <c r="AE1794" s="14" t="s">
        <v>1400</v>
      </c>
      <c r="AF1794" s="14" t="s">
        <v>1400</v>
      </c>
      <c r="AG1794" s="14" t="s">
        <v>89</v>
      </c>
    </row>
    <row r="1795" spans="2:33">
      <c r="B1795" s="14">
        <f>10000000+INDEX(编号表!$B:$B,MATCH(H1795,编号表!$A:$A,0))*100000+INDEX(编号表!$F:$F,MATCH(D1795,编号表!$E:$E,0))*10000+INDEX(编号表!$D:$D,MATCH(AG1795,编号表!$C:$C,0))*1000+F1795</f>
        <v>11933062</v>
      </c>
      <c r="C1795" s="14" t="s">
        <v>2694</v>
      </c>
      <c r="D1795" s="14" t="s">
        <v>276</v>
      </c>
      <c r="E1795" s="14" t="s">
        <v>89</v>
      </c>
      <c r="F1795" s="14">
        <v>62</v>
      </c>
      <c r="G1795" s="14">
        <v>60</v>
      </c>
      <c r="H1795" s="14" t="s">
        <v>1400</v>
      </c>
      <c r="I1795" s="14" t="s">
        <v>75</v>
      </c>
      <c r="J1795" s="14" t="s">
        <v>201</v>
      </c>
      <c r="K1795" s="14">
        <v>1</v>
      </c>
      <c r="L1795" s="14" t="s">
        <v>1400</v>
      </c>
      <c r="N1795" s="14">
        <v>0</v>
      </c>
      <c r="O1795" s="14" t="b">
        <v>1</v>
      </c>
      <c r="Q1795" s="14" t="b">
        <v>0</v>
      </c>
      <c r="R1795" s="14">
        <v>1</v>
      </c>
      <c r="S1795" s="14" t="s">
        <v>77</v>
      </c>
      <c r="T1795" s="14">
        <v>999</v>
      </c>
      <c r="U1795" s="14" t="s">
        <v>1401</v>
      </c>
      <c r="V1795" s="14">
        <v>31933062</v>
      </c>
      <c r="X1795" s="14" t="s">
        <v>2699</v>
      </c>
      <c r="Y1795" s="14" t="s">
        <v>215</v>
      </c>
      <c r="Z1795" s="14">
        <v>20558</v>
      </c>
      <c r="AA1795" s="14" t="s">
        <v>2700</v>
      </c>
      <c r="AB1795" s="14">
        <v>40001</v>
      </c>
      <c r="AE1795" s="14" t="s">
        <v>1400</v>
      </c>
      <c r="AF1795" s="14" t="s">
        <v>1400</v>
      </c>
      <c r="AG1795" s="14" t="s">
        <v>89</v>
      </c>
    </row>
    <row r="1796" spans="2:33">
      <c r="B1796" s="14">
        <f>10000000+INDEX(编号表!$B:$B,MATCH(H1796,编号表!$A:$A,0))*100000+INDEX(编号表!$F:$F,MATCH(D1796,编号表!$E:$E,0))*10000+INDEX(编号表!$D:$D,MATCH(AG1796,编号表!$C:$C,0))*1000+F1796</f>
        <v>11913061</v>
      </c>
      <c r="C1796" s="14" t="s">
        <v>2701</v>
      </c>
      <c r="D1796" s="14" t="s">
        <v>72</v>
      </c>
      <c r="E1796" s="14" t="s">
        <v>89</v>
      </c>
      <c r="F1796" s="14">
        <v>61</v>
      </c>
      <c r="G1796" s="14">
        <v>60</v>
      </c>
      <c r="H1796" s="14" t="s">
        <v>1400</v>
      </c>
      <c r="I1796" s="14" t="s">
        <v>75</v>
      </c>
      <c r="J1796" s="14" t="s">
        <v>201</v>
      </c>
      <c r="K1796" s="14">
        <v>1</v>
      </c>
      <c r="L1796" s="14" t="s">
        <v>1400</v>
      </c>
      <c r="N1796" s="14">
        <v>0</v>
      </c>
      <c r="O1796" s="14" t="b">
        <v>1</v>
      </c>
      <c r="Q1796" s="14" t="b">
        <v>0</v>
      </c>
      <c r="R1796" s="14">
        <v>1</v>
      </c>
      <c r="S1796" s="14" t="s">
        <v>77</v>
      </c>
      <c r="T1796" s="14">
        <v>999</v>
      </c>
      <c r="U1796" s="14" t="s">
        <v>1401</v>
      </c>
      <c r="V1796" s="14">
        <v>31913061</v>
      </c>
      <c r="X1796" s="14" t="s">
        <v>2702</v>
      </c>
      <c r="Y1796" s="14" t="s">
        <v>215</v>
      </c>
      <c r="Z1796" s="14">
        <v>20559</v>
      </c>
      <c r="AA1796" s="14" t="s">
        <v>2703</v>
      </c>
      <c r="AB1796" s="14">
        <v>40001</v>
      </c>
      <c r="AE1796" s="14" t="s">
        <v>1400</v>
      </c>
      <c r="AF1796" s="14" t="s">
        <v>1400</v>
      </c>
      <c r="AG1796" s="14" t="s">
        <v>89</v>
      </c>
    </row>
    <row r="1797" spans="2:33">
      <c r="B1797" s="14">
        <f>10000000+INDEX(编号表!$B:$B,MATCH(H1797,编号表!$A:$A,0))*100000+INDEX(编号表!$F:$F,MATCH(D1797,编号表!$E:$E,0))*10000+INDEX(编号表!$D:$D,MATCH(AG1797,编号表!$C:$C,0))*1000+F1797</f>
        <v>11923062</v>
      </c>
      <c r="C1797" s="14" t="s">
        <v>2701</v>
      </c>
      <c r="D1797" s="14" t="s">
        <v>112</v>
      </c>
      <c r="E1797" s="14" t="s">
        <v>89</v>
      </c>
      <c r="F1797" s="14">
        <v>62</v>
      </c>
      <c r="G1797" s="14">
        <v>60</v>
      </c>
      <c r="H1797" s="14" t="s">
        <v>1400</v>
      </c>
      <c r="I1797" s="14" t="s">
        <v>75</v>
      </c>
      <c r="J1797" s="14" t="s">
        <v>201</v>
      </c>
      <c r="K1797" s="14">
        <v>1</v>
      </c>
      <c r="L1797" s="14" t="s">
        <v>1400</v>
      </c>
      <c r="N1797" s="14">
        <v>0</v>
      </c>
      <c r="O1797" s="14" t="b">
        <v>1</v>
      </c>
      <c r="Q1797" s="14" t="b">
        <v>0</v>
      </c>
      <c r="R1797" s="14">
        <v>1</v>
      </c>
      <c r="S1797" s="14" t="s">
        <v>77</v>
      </c>
      <c r="T1797" s="14">
        <v>999</v>
      </c>
      <c r="U1797" s="14" t="s">
        <v>1401</v>
      </c>
      <c r="V1797" s="14">
        <v>31923062</v>
      </c>
      <c r="X1797" s="14" t="s">
        <v>2704</v>
      </c>
      <c r="Y1797" s="14" t="s">
        <v>215</v>
      </c>
      <c r="Z1797" s="14">
        <v>20560</v>
      </c>
      <c r="AA1797" s="14" t="s">
        <v>2705</v>
      </c>
      <c r="AB1797" s="14">
        <v>40001</v>
      </c>
      <c r="AE1797" s="14" t="s">
        <v>1400</v>
      </c>
      <c r="AF1797" s="14" t="s">
        <v>1400</v>
      </c>
      <c r="AG1797" s="14" t="s">
        <v>89</v>
      </c>
    </row>
    <row r="1798" spans="2:33">
      <c r="B1798" s="14">
        <f>10000000+INDEX(编号表!$B:$B,MATCH(H1798,编号表!$A:$A,0))*100000+INDEX(编号表!$F:$F,MATCH(D1798,编号表!$E:$E,0))*10000+INDEX(编号表!$D:$D,MATCH(AG1798,编号表!$C:$C,0))*1000+F1798</f>
        <v>11933063</v>
      </c>
      <c r="C1798" s="14" t="s">
        <v>2701</v>
      </c>
      <c r="D1798" s="14" t="s">
        <v>276</v>
      </c>
      <c r="E1798" s="14" t="s">
        <v>89</v>
      </c>
      <c r="F1798" s="14">
        <v>63</v>
      </c>
      <c r="G1798" s="14">
        <v>60</v>
      </c>
      <c r="H1798" s="14" t="s">
        <v>1400</v>
      </c>
      <c r="I1798" s="14" t="s">
        <v>75</v>
      </c>
      <c r="J1798" s="14" t="s">
        <v>201</v>
      </c>
      <c r="K1798" s="14">
        <v>1</v>
      </c>
      <c r="L1798" s="14" t="s">
        <v>1400</v>
      </c>
      <c r="N1798" s="14">
        <v>0</v>
      </c>
      <c r="O1798" s="14" t="b">
        <v>1</v>
      </c>
      <c r="Q1798" s="14" t="b">
        <v>0</v>
      </c>
      <c r="R1798" s="14">
        <v>1</v>
      </c>
      <c r="S1798" s="14" t="s">
        <v>77</v>
      </c>
      <c r="T1798" s="14">
        <v>999</v>
      </c>
      <c r="U1798" s="14" t="s">
        <v>1401</v>
      </c>
      <c r="V1798" s="14">
        <v>31933063</v>
      </c>
      <c r="X1798" s="14" t="s">
        <v>2706</v>
      </c>
      <c r="Y1798" s="14" t="s">
        <v>215</v>
      </c>
      <c r="Z1798" s="14">
        <v>20561</v>
      </c>
      <c r="AA1798" s="14" t="s">
        <v>2707</v>
      </c>
      <c r="AB1798" s="14">
        <v>40001</v>
      </c>
      <c r="AE1798" s="14" t="s">
        <v>1400</v>
      </c>
      <c r="AF1798" s="14" t="s">
        <v>1400</v>
      </c>
      <c r="AG1798" s="14" t="s">
        <v>89</v>
      </c>
    </row>
    <row r="1799" spans="2:33">
      <c r="B1799" s="14">
        <f>10000000+INDEX(编号表!$B:$B,MATCH(H1799,编号表!$A:$A,0))*100000+INDEX(编号表!$F:$F,MATCH(D1799,编号表!$E:$E,0))*10000+INDEX(编号表!$D:$D,MATCH(AG1799,编号表!$C:$C,0))*1000+F1799</f>
        <v>11913062</v>
      </c>
      <c r="C1799" s="14" t="s">
        <v>2708</v>
      </c>
      <c r="D1799" s="14" t="s">
        <v>72</v>
      </c>
      <c r="E1799" s="14" t="s">
        <v>89</v>
      </c>
      <c r="F1799" s="14">
        <v>62</v>
      </c>
      <c r="G1799" s="14">
        <v>60</v>
      </c>
      <c r="H1799" s="14" t="s">
        <v>1400</v>
      </c>
      <c r="I1799" s="14" t="s">
        <v>75</v>
      </c>
      <c r="J1799" s="14" t="s">
        <v>201</v>
      </c>
      <c r="K1799" s="14">
        <v>1</v>
      </c>
      <c r="L1799" s="14" t="s">
        <v>1400</v>
      </c>
      <c r="N1799" s="14">
        <v>0</v>
      </c>
      <c r="O1799" s="14" t="b">
        <v>1</v>
      </c>
      <c r="Q1799" s="14" t="b">
        <v>0</v>
      </c>
      <c r="R1799" s="14">
        <v>1</v>
      </c>
      <c r="S1799" s="14" t="s">
        <v>77</v>
      </c>
      <c r="T1799" s="14">
        <v>999</v>
      </c>
      <c r="U1799" s="14" t="s">
        <v>1401</v>
      </c>
      <c r="V1799" s="14">
        <v>31913062</v>
      </c>
      <c r="X1799" s="14" t="s">
        <v>2709</v>
      </c>
      <c r="Y1799" s="14" t="s">
        <v>215</v>
      </c>
      <c r="Z1799" s="14">
        <v>20562</v>
      </c>
      <c r="AA1799" s="14" t="s">
        <v>2710</v>
      </c>
      <c r="AB1799" s="14">
        <v>40001</v>
      </c>
      <c r="AE1799" s="14" t="s">
        <v>1400</v>
      </c>
      <c r="AF1799" s="14" t="s">
        <v>1400</v>
      </c>
      <c r="AG1799" s="14" t="s">
        <v>89</v>
      </c>
    </row>
    <row r="1800" spans="2:33">
      <c r="B1800" s="14">
        <f>10000000+INDEX(编号表!$B:$B,MATCH(H1800,编号表!$A:$A,0))*100000+INDEX(编号表!$F:$F,MATCH(D1800,编号表!$E:$E,0))*10000+INDEX(编号表!$D:$D,MATCH(AG1800,编号表!$C:$C,0))*1000+F1800</f>
        <v>11923063</v>
      </c>
      <c r="C1800" s="14" t="s">
        <v>2708</v>
      </c>
      <c r="D1800" s="14" t="s">
        <v>112</v>
      </c>
      <c r="E1800" s="14" t="s">
        <v>89</v>
      </c>
      <c r="F1800" s="14">
        <v>63</v>
      </c>
      <c r="G1800" s="14">
        <v>60</v>
      </c>
      <c r="H1800" s="14" t="s">
        <v>1400</v>
      </c>
      <c r="I1800" s="14" t="s">
        <v>75</v>
      </c>
      <c r="J1800" s="14" t="s">
        <v>201</v>
      </c>
      <c r="K1800" s="14">
        <v>1</v>
      </c>
      <c r="L1800" s="14" t="s">
        <v>1400</v>
      </c>
      <c r="N1800" s="14">
        <v>0</v>
      </c>
      <c r="O1800" s="14" t="b">
        <v>1</v>
      </c>
      <c r="Q1800" s="14" t="b">
        <v>0</v>
      </c>
      <c r="R1800" s="14">
        <v>1</v>
      </c>
      <c r="S1800" s="14" t="s">
        <v>77</v>
      </c>
      <c r="T1800" s="14">
        <v>999</v>
      </c>
      <c r="U1800" s="14" t="s">
        <v>1401</v>
      </c>
      <c r="V1800" s="14">
        <v>31923063</v>
      </c>
      <c r="X1800" s="14" t="s">
        <v>2711</v>
      </c>
      <c r="Y1800" s="14" t="s">
        <v>215</v>
      </c>
      <c r="Z1800" s="14">
        <v>20563</v>
      </c>
      <c r="AA1800" s="14" t="s">
        <v>2712</v>
      </c>
      <c r="AB1800" s="14">
        <v>40001</v>
      </c>
      <c r="AE1800" s="14" t="s">
        <v>1400</v>
      </c>
      <c r="AF1800" s="14" t="s">
        <v>1400</v>
      </c>
      <c r="AG1800" s="14" t="s">
        <v>89</v>
      </c>
    </row>
    <row r="1801" spans="2:33">
      <c r="B1801" s="14">
        <f>10000000+INDEX(编号表!$B:$B,MATCH(H1801,编号表!$A:$A,0))*100000+INDEX(编号表!$F:$F,MATCH(D1801,编号表!$E:$E,0))*10000+INDEX(编号表!$D:$D,MATCH(AG1801,编号表!$C:$C,0))*1000+F1801</f>
        <v>11933064</v>
      </c>
      <c r="C1801" s="14" t="s">
        <v>2708</v>
      </c>
      <c r="D1801" s="14" t="s">
        <v>276</v>
      </c>
      <c r="E1801" s="14" t="s">
        <v>89</v>
      </c>
      <c r="F1801" s="14">
        <v>64</v>
      </c>
      <c r="G1801" s="14">
        <v>60</v>
      </c>
      <c r="H1801" s="14" t="s">
        <v>1400</v>
      </c>
      <c r="I1801" s="14" t="s">
        <v>75</v>
      </c>
      <c r="J1801" s="14" t="s">
        <v>201</v>
      </c>
      <c r="K1801" s="14">
        <v>1</v>
      </c>
      <c r="L1801" s="14" t="s">
        <v>1400</v>
      </c>
      <c r="N1801" s="14">
        <v>0</v>
      </c>
      <c r="O1801" s="14" t="b">
        <v>1</v>
      </c>
      <c r="Q1801" s="14" t="b">
        <v>0</v>
      </c>
      <c r="R1801" s="14">
        <v>1</v>
      </c>
      <c r="S1801" s="14" t="s">
        <v>77</v>
      </c>
      <c r="T1801" s="14">
        <v>999</v>
      </c>
      <c r="U1801" s="14" t="s">
        <v>1401</v>
      </c>
      <c r="V1801" s="14">
        <v>31933064</v>
      </c>
      <c r="X1801" s="14" t="s">
        <v>2713</v>
      </c>
      <c r="Y1801" s="14" t="s">
        <v>215</v>
      </c>
      <c r="Z1801" s="14">
        <v>20564</v>
      </c>
      <c r="AA1801" s="14" t="s">
        <v>2714</v>
      </c>
      <c r="AB1801" s="14">
        <v>40001</v>
      </c>
      <c r="AE1801" s="14" t="s">
        <v>1400</v>
      </c>
      <c r="AF1801" s="14" t="s">
        <v>1400</v>
      </c>
      <c r="AG1801" s="14" t="s">
        <v>89</v>
      </c>
    </row>
    <row r="1802" spans="2:33">
      <c r="B1802" s="14">
        <f>10000000+INDEX(编号表!$B:$B,MATCH(H1802,编号表!$A:$A,0))*100000+INDEX(编号表!$F:$F,MATCH(D1802,编号表!$E:$E,0))*10000+INDEX(编号表!$D:$D,MATCH(AG1802,编号表!$C:$C,0))*1000+F1802</f>
        <v>11913063</v>
      </c>
      <c r="C1802" s="14" t="s">
        <v>2715</v>
      </c>
      <c r="D1802" s="14" t="s">
        <v>72</v>
      </c>
      <c r="E1802" s="14" t="s">
        <v>89</v>
      </c>
      <c r="F1802" s="14">
        <v>63</v>
      </c>
      <c r="G1802" s="14">
        <v>60</v>
      </c>
      <c r="H1802" s="14" t="s">
        <v>1400</v>
      </c>
      <c r="I1802" s="14" t="s">
        <v>75</v>
      </c>
      <c r="J1802" s="14" t="s">
        <v>201</v>
      </c>
      <c r="K1802" s="14">
        <v>1</v>
      </c>
      <c r="L1802" s="14" t="s">
        <v>1400</v>
      </c>
      <c r="N1802" s="14">
        <v>0</v>
      </c>
      <c r="O1802" s="14" t="b">
        <v>1</v>
      </c>
      <c r="Q1802" s="14" t="b">
        <v>0</v>
      </c>
      <c r="R1802" s="14">
        <v>1</v>
      </c>
      <c r="S1802" s="14" t="s">
        <v>77</v>
      </c>
      <c r="T1802" s="14">
        <v>999</v>
      </c>
      <c r="U1802" s="14" t="s">
        <v>1401</v>
      </c>
      <c r="V1802" s="14">
        <v>31913063</v>
      </c>
      <c r="X1802" s="14" t="s">
        <v>2716</v>
      </c>
      <c r="Y1802" s="14" t="s">
        <v>215</v>
      </c>
      <c r="Z1802" s="14">
        <v>20565</v>
      </c>
      <c r="AA1802" s="14" t="s">
        <v>2717</v>
      </c>
      <c r="AB1802" s="14">
        <v>40001</v>
      </c>
      <c r="AE1802" s="14" t="s">
        <v>1400</v>
      </c>
      <c r="AF1802" s="14" t="s">
        <v>1400</v>
      </c>
      <c r="AG1802" s="14" t="s">
        <v>89</v>
      </c>
    </row>
    <row r="1803" spans="2:33">
      <c r="B1803" s="14">
        <f>10000000+INDEX(编号表!$B:$B,MATCH(H1803,编号表!$A:$A,0))*100000+INDEX(编号表!$F:$F,MATCH(D1803,编号表!$E:$E,0))*10000+INDEX(编号表!$D:$D,MATCH(AG1803,编号表!$C:$C,0))*1000+F1803</f>
        <v>11923064</v>
      </c>
      <c r="C1803" s="14" t="s">
        <v>2715</v>
      </c>
      <c r="D1803" s="14" t="s">
        <v>112</v>
      </c>
      <c r="E1803" s="14" t="s">
        <v>89</v>
      </c>
      <c r="F1803" s="14">
        <v>64</v>
      </c>
      <c r="G1803" s="14">
        <v>60</v>
      </c>
      <c r="H1803" s="14" t="s">
        <v>1400</v>
      </c>
      <c r="I1803" s="14" t="s">
        <v>75</v>
      </c>
      <c r="J1803" s="14" t="s">
        <v>201</v>
      </c>
      <c r="K1803" s="14">
        <v>1</v>
      </c>
      <c r="L1803" s="14" t="s">
        <v>1400</v>
      </c>
      <c r="N1803" s="14">
        <v>0</v>
      </c>
      <c r="O1803" s="14" t="b">
        <v>1</v>
      </c>
      <c r="Q1803" s="14" t="b">
        <v>0</v>
      </c>
      <c r="R1803" s="14">
        <v>1</v>
      </c>
      <c r="S1803" s="14" t="s">
        <v>77</v>
      </c>
      <c r="T1803" s="14">
        <v>999</v>
      </c>
      <c r="U1803" s="14" t="s">
        <v>1401</v>
      </c>
      <c r="V1803" s="14">
        <v>31923064</v>
      </c>
      <c r="X1803" s="14" t="s">
        <v>2718</v>
      </c>
      <c r="Y1803" s="14" t="s">
        <v>215</v>
      </c>
      <c r="Z1803" s="14">
        <v>20566</v>
      </c>
      <c r="AA1803" s="14" t="s">
        <v>2719</v>
      </c>
      <c r="AB1803" s="14">
        <v>40001</v>
      </c>
      <c r="AE1803" s="14" t="s">
        <v>1400</v>
      </c>
      <c r="AF1803" s="14" t="s">
        <v>1400</v>
      </c>
      <c r="AG1803" s="14" t="s">
        <v>89</v>
      </c>
    </row>
    <row r="1804" spans="2:33">
      <c r="B1804" s="14">
        <f>10000000+INDEX(编号表!$B:$B,MATCH(H1804,编号表!$A:$A,0))*100000+INDEX(编号表!$F:$F,MATCH(D1804,编号表!$E:$E,0))*10000+INDEX(编号表!$D:$D,MATCH(AG1804,编号表!$C:$C,0))*1000+F1804</f>
        <v>11933065</v>
      </c>
      <c r="C1804" s="14" t="s">
        <v>2715</v>
      </c>
      <c r="D1804" s="14" t="s">
        <v>276</v>
      </c>
      <c r="E1804" s="14" t="s">
        <v>89</v>
      </c>
      <c r="F1804" s="14">
        <v>65</v>
      </c>
      <c r="G1804" s="14">
        <v>60</v>
      </c>
      <c r="H1804" s="14" t="s">
        <v>1400</v>
      </c>
      <c r="I1804" s="14" t="s">
        <v>75</v>
      </c>
      <c r="J1804" s="14" t="s">
        <v>201</v>
      </c>
      <c r="K1804" s="14">
        <v>1</v>
      </c>
      <c r="L1804" s="14" t="s">
        <v>1400</v>
      </c>
      <c r="N1804" s="14">
        <v>0</v>
      </c>
      <c r="O1804" s="14" t="b">
        <v>1</v>
      </c>
      <c r="Q1804" s="14" t="b">
        <v>0</v>
      </c>
      <c r="R1804" s="14">
        <v>1</v>
      </c>
      <c r="S1804" s="14" t="s">
        <v>77</v>
      </c>
      <c r="T1804" s="14">
        <v>999</v>
      </c>
      <c r="U1804" s="14" t="s">
        <v>1401</v>
      </c>
      <c r="V1804" s="14">
        <v>31933065</v>
      </c>
      <c r="X1804" s="14" t="s">
        <v>2720</v>
      </c>
      <c r="Y1804" s="14" t="s">
        <v>215</v>
      </c>
      <c r="Z1804" s="14">
        <v>20567</v>
      </c>
      <c r="AA1804" s="14" t="s">
        <v>2721</v>
      </c>
      <c r="AB1804" s="14">
        <v>40001</v>
      </c>
      <c r="AE1804" s="14" t="s">
        <v>1400</v>
      </c>
      <c r="AF1804" s="14" t="s">
        <v>1400</v>
      </c>
      <c r="AG1804" s="14" t="s">
        <v>89</v>
      </c>
    </row>
    <row r="1805" spans="2:33">
      <c r="B1805" s="14">
        <f>10000000+INDEX(编号表!$B:$B,MATCH(H1805,编号表!$A:$A,0))*100000+INDEX(编号表!$F:$F,MATCH(D1805,编号表!$E:$E,0))*10000+INDEX(编号表!$D:$D,MATCH(AG1805,编号表!$C:$C,0))*1000+F1805</f>
        <v>11913064</v>
      </c>
      <c r="C1805" s="14" t="s">
        <v>2722</v>
      </c>
      <c r="D1805" s="14" t="s">
        <v>72</v>
      </c>
      <c r="E1805" s="14" t="s">
        <v>89</v>
      </c>
      <c r="F1805" s="14">
        <v>64</v>
      </c>
      <c r="G1805" s="14">
        <v>60</v>
      </c>
      <c r="H1805" s="14" t="s">
        <v>1400</v>
      </c>
      <c r="I1805" s="14" t="s">
        <v>75</v>
      </c>
      <c r="J1805" s="14" t="s">
        <v>201</v>
      </c>
      <c r="K1805" s="14">
        <v>1</v>
      </c>
      <c r="L1805" s="14" t="s">
        <v>1400</v>
      </c>
      <c r="N1805" s="14">
        <v>0</v>
      </c>
      <c r="O1805" s="14" t="b">
        <v>1</v>
      </c>
      <c r="Q1805" s="14" t="b">
        <v>0</v>
      </c>
      <c r="R1805" s="14">
        <v>1</v>
      </c>
      <c r="S1805" s="14" t="s">
        <v>77</v>
      </c>
      <c r="T1805" s="14">
        <v>999</v>
      </c>
      <c r="U1805" s="14" t="s">
        <v>1401</v>
      </c>
      <c r="V1805" s="14">
        <v>31913064</v>
      </c>
      <c r="X1805" s="14" t="s">
        <v>2723</v>
      </c>
      <c r="Y1805" s="14" t="s">
        <v>215</v>
      </c>
      <c r="Z1805" s="14">
        <v>20568</v>
      </c>
      <c r="AA1805" s="14" t="s">
        <v>2724</v>
      </c>
      <c r="AB1805" s="14">
        <v>40001</v>
      </c>
      <c r="AE1805" s="14" t="s">
        <v>1400</v>
      </c>
      <c r="AF1805" s="14" t="s">
        <v>1400</v>
      </c>
      <c r="AG1805" s="14" t="s">
        <v>89</v>
      </c>
    </row>
    <row r="1806" spans="2:33">
      <c r="B1806" s="14">
        <f>10000000+INDEX(编号表!$B:$B,MATCH(H1806,编号表!$A:$A,0))*100000+INDEX(编号表!$F:$F,MATCH(D1806,编号表!$E:$E,0))*10000+INDEX(编号表!$D:$D,MATCH(AG1806,编号表!$C:$C,0))*1000+F1806</f>
        <v>11923065</v>
      </c>
      <c r="C1806" s="14" t="s">
        <v>2722</v>
      </c>
      <c r="D1806" s="14" t="s">
        <v>112</v>
      </c>
      <c r="E1806" s="14" t="s">
        <v>89</v>
      </c>
      <c r="F1806" s="14">
        <v>65</v>
      </c>
      <c r="G1806" s="14">
        <v>60</v>
      </c>
      <c r="H1806" s="14" t="s">
        <v>1400</v>
      </c>
      <c r="I1806" s="14" t="s">
        <v>75</v>
      </c>
      <c r="J1806" s="14" t="s">
        <v>201</v>
      </c>
      <c r="K1806" s="14">
        <v>1</v>
      </c>
      <c r="L1806" s="14" t="s">
        <v>1400</v>
      </c>
      <c r="N1806" s="14">
        <v>0</v>
      </c>
      <c r="O1806" s="14" t="b">
        <v>1</v>
      </c>
      <c r="Q1806" s="14" t="b">
        <v>0</v>
      </c>
      <c r="R1806" s="14">
        <v>1</v>
      </c>
      <c r="S1806" s="14" t="s">
        <v>77</v>
      </c>
      <c r="T1806" s="14">
        <v>999</v>
      </c>
      <c r="U1806" s="14" t="s">
        <v>1401</v>
      </c>
      <c r="V1806" s="14">
        <v>31923065</v>
      </c>
      <c r="X1806" s="14" t="s">
        <v>2725</v>
      </c>
      <c r="Y1806" s="14" t="s">
        <v>215</v>
      </c>
      <c r="Z1806" s="14">
        <v>20569</v>
      </c>
      <c r="AA1806" s="14" t="s">
        <v>2726</v>
      </c>
      <c r="AB1806" s="14">
        <v>40001</v>
      </c>
      <c r="AE1806" s="14" t="s">
        <v>1400</v>
      </c>
      <c r="AF1806" s="14" t="s">
        <v>1400</v>
      </c>
      <c r="AG1806" s="14" t="s">
        <v>89</v>
      </c>
    </row>
    <row r="1807" spans="2:33">
      <c r="B1807" s="14">
        <f>10000000+INDEX(编号表!$B:$B,MATCH(H1807,编号表!$A:$A,0))*100000+INDEX(编号表!$F:$F,MATCH(D1807,编号表!$E:$E,0))*10000+INDEX(编号表!$D:$D,MATCH(AG1807,编号表!$C:$C,0))*1000+F1807</f>
        <v>11933066</v>
      </c>
      <c r="C1807" s="14" t="s">
        <v>2722</v>
      </c>
      <c r="D1807" s="14" t="s">
        <v>276</v>
      </c>
      <c r="E1807" s="14" t="s">
        <v>89</v>
      </c>
      <c r="F1807" s="14">
        <v>66</v>
      </c>
      <c r="G1807" s="14">
        <v>60</v>
      </c>
      <c r="H1807" s="14" t="s">
        <v>1400</v>
      </c>
      <c r="I1807" s="14" t="s">
        <v>75</v>
      </c>
      <c r="J1807" s="14" t="s">
        <v>201</v>
      </c>
      <c r="K1807" s="14">
        <v>1</v>
      </c>
      <c r="L1807" s="14" t="s">
        <v>1400</v>
      </c>
      <c r="N1807" s="14">
        <v>0</v>
      </c>
      <c r="O1807" s="14" t="b">
        <v>1</v>
      </c>
      <c r="Q1807" s="14" t="b">
        <v>0</v>
      </c>
      <c r="R1807" s="14">
        <v>1</v>
      </c>
      <c r="S1807" s="14" t="s">
        <v>77</v>
      </c>
      <c r="T1807" s="14">
        <v>999</v>
      </c>
      <c r="U1807" s="14" t="s">
        <v>1401</v>
      </c>
      <c r="V1807" s="14">
        <v>31933066</v>
      </c>
      <c r="X1807" s="14" t="s">
        <v>2727</v>
      </c>
      <c r="Y1807" s="14" t="s">
        <v>215</v>
      </c>
      <c r="Z1807" s="14">
        <v>20570</v>
      </c>
      <c r="AA1807" s="14" t="s">
        <v>2728</v>
      </c>
      <c r="AB1807" s="14">
        <v>40001</v>
      </c>
      <c r="AE1807" s="14" t="s">
        <v>1400</v>
      </c>
      <c r="AF1807" s="14" t="s">
        <v>1400</v>
      </c>
      <c r="AG1807" s="14" t="s">
        <v>89</v>
      </c>
    </row>
    <row r="1808" spans="2:33">
      <c r="B1808" s="14">
        <f>10000000+INDEX(编号表!$B:$B,MATCH(H1808,编号表!$A:$A,0))*100000+INDEX(编号表!$F:$F,MATCH(D1808,编号表!$E:$E,0))*10000+INDEX(编号表!$D:$D,MATCH(AG1808,编号表!$C:$C,0))*1000+F1808</f>
        <v>11913065</v>
      </c>
      <c r="C1808" s="14" t="s">
        <v>2729</v>
      </c>
      <c r="D1808" s="14" t="s">
        <v>72</v>
      </c>
      <c r="E1808" s="14" t="s">
        <v>89</v>
      </c>
      <c r="F1808" s="14">
        <v>65</v>
      </c>
      <c r="G1808" s="14">
        <v>60</v>
      </c>
      <c r="H1808" s="14" t="s">
        <v>1400</v>
      </c>
      <c r="I1808" s="14" t="s">
        <v>75</v>
      </c>
      <c r="J1808" s="14" t="s">
        <v>201</v>
      </c>
      <c r="K1808" s="14">
        <v>1</v>
      </c>
      <c r="L1808" s="14" t="s">
        <v>1400</v>
      </c>
      <c r="N1808" s="14">
        <v>0</v>
      </c>
      <c r="O1808" s="14" t="b">
        <v>1</v>
      </c>
      <c r="Q1808" s="14" t="b">
        <v>0</v>
      </c>
      <c r="R1808" s="14">
        <v>1</v>
      </c>
      <c r="S1808" s="14" t="s">
        <v>77</v>
      </c>
      <c r="T1808" s="14">
        <v>999</v>
      </c>
      <c r="U1808" s="14" t="s">
        <v>1401</v>
      </c>
      <c r="V1808" s="14">
        <v>31913065</v>
      </c>
      <c r="X1808" s="14" t="s">
        <v>2730</v>
      </c>
      <c r="Y1808" s="14" t="s">
        <v>215</v>
      </c>
      <c r="Z1808" s="14">
        <v>20571</v>
      </c>
      <c r="AA1808" s="14" t="s">
        <v>2731</v>
      </c>
      <c r="AB1808" s="14">
        <v>40001</v>
      </c>
      <c r="AE1808" s="14" t="s">
        <v>1400</v>
      </c>
      <c r="AF1808" s="14" t="s">
        <v>1400</v>
      </c>
      <c r="AG1808" s="14" t="s">
        <v>89</v>
      </c>
    </row>
    <row r="1809" spans="2:33">
      <c r="B1809" s="14">
        <f>10000000+INDEX(编号表!$B:$B,MATCH(H1809,编号表!$A:$A,0))*100000+INDEX(编号表!$F:$F,MATCH(D1809,编号表!$E:$E,0))*10000+INDEX(编号表!$D:$D,MATCH(AG1809,编号表!$C:$C,0))*1000+F1809</f>
        <v>11923066</v>
      </c>
      <c r="C1809" s="14" t="s">
        <v>2729</v>
      </c>
      <c r="D1809" s="14" t="s">
        <v>112</v>
      </c>
      <c r="E1809" s="14" t="s">
        <v>89</v>
      </c>
      <c r="F1809" s="14">
        <v>66</v>
      </c>
      <c r="G1809" s="14">
        <v>60</v>
      </c>
      <c r="H1809" s="14" t="s">
        <v>1400</v>
      </c>
      <c r="I1809" s="14" t="s">
        <v>75</v>
      </c>
      <c r="J1809" s="14" t="s">
        <v>201</v>
      </c>
      <c r="K1809" s="14">
        <v>1</v>
      </c>
      <c r="L1809" s="14" t="s">
        <v>1400</v>
      </c>
      <c r="N1809" s="14">
        <v>0</v>
      </c>
      <c r="O1809" s="14" t="b">
        <v>1</v>
      </c>
      <c r="Q1809" s="14" t="b">
        <v>0</v>
      </c>
      <c r="R1809" s="14">
        <v>1</v>
      </c>
      <c r="S1809" s="14" t="s">
        <v>77</v>
      </c>
      <c r="T1809" s="14">
        <v>999</v>
      </c>
      <c r="U1809" s="14" t="s">
        <v>1401</v>
      </c>
      <c r="V1809" s="14">
        <v>31923066</v>
      </c>
      <c r="X1809" s="14" t="s">
        <v>2732</v>
      </c>
      <c r="Y1809" s="14" t="s">
        <v>215</v>
      </c>
      <c r="Z1809" s="14">
        <v>20572</v>
      </c>
      <c r="AA1809" s="14" t="s">
        <v>2733</v>
      </c>
      <c r="AB1809" s="14">
        <v>40001</v>
      </c>
      <c r="AE1809" s="14" t="s">
        <v>1400</v>
      </c>
      <c r="AF1809" s="14" t="s">
        <v>1400</v>
      </c>
      <c r="AG1809" s="14" t="s">
        <v>89</v>
      </c>
    </row>
    <row r="1810" spans="2:33">
      <c r="B1810" s="14">
        <f>10000000+INDEX(编号表!$B:$B,MATCH(H1810,编号表!$A:$A,0))*100000+INDEX(编号表!$F:$F,MATCH(D1810,编号表!$E:$E,0))*10000+INDEX(编号表!$D:$D,MATCH(AG1810,编号表!$C:$C,0))*1000+F1810</f>
        <v>11933067</v>
      </c>
      <c r="C1810" s="14" t="s">
        <v>2729</v>
      </c>
      <c r="D1810" s="14" t="s">
        <v>276</v>
      </c>
      <c r="E1810" s="14" t="s">
        <v>89</v>
      </c>
      <c r="F1810" s="14">
        <v>67</v>
      </c>
      <c r="G1810" s="14">
        <v>60</v>
      </c>
      <c r="H1810" s="14" t="s">
        <v>1400</v>
      </c>
      <c r="I1810" s="14" t="s">
        <v>75</v>
      </c>
      <c r="J1810" s="14" t="s">
        <v>201</v>
      </c>
      <c r="K1810" s="14">
        <v>1</v>
      </c>
      <c r="L1810" s="14" t="s">
        <v>1400</v>
      </c>
      <c r="N1810" s="14">
        <v>0</v>
      </c>
      <c r="O1810" s="14" t="b">
        <v>1</v>
      </c>
      <c r="Q1810" s="14" t="b">
        <v>0</v>
      </c>
      <c r="R1810" s="14">
        <v>1</v>
      </c>
      <c r="S1810" s="14" t="s">
        <v>77</v>
      </c>
      <c r="T1810" s="14">
        <v>999</v>
      </c>
      <c r="U1810" s="14" t="s">
        <v>1401</v>
      </c>
      <c r="V1810" s="14">
        <v>31933067</v>
      </c>
      <c r="X1810" s="14" t="s">
        <v>2734</v>
      </c>
      <c r="Y1810" s="14" t="s">
        <v>215</v>
      </c>
      <c r="Z1810" s="14">
        <v>20573</v>
      </c>
      <c r="AA1810" s="14" t="s">
        <v>2735</v>
      </c>
      <c r="AB1810" s="14">
        <v>40001</v>
      </c>
      <c r="AE1810" s="14" t="s">
        <v>1400</v>
      </c>
      <c r="AF1810" s="14" t="s">
        <v>1400</v>
      </c>
      <c r="AG1810" s="14" t="s">
        <v>89</v>
      </c>
    </row>
    <row r="1811" spans="2:33">
      <c r="B1811" s="14">
        <f>10000000+INDEX(编号表!$B:$B,MATCH(H1811,编号表!$A:$A,0))*100000+INDEX(编号表!$F:$F,MATCH(D1811,编号表!$E:$E,0))*10000+INDEX(编号表!$D:$D,MATCH(AG1811,编号表!$C:$C,0))*1000+F1811</f>
        <v>11913066</v>
      </c>
      <c r="C1811" s="14" t="s">
        <v>2736</v>
      </c>
      <c r="D1811" s="14" t="s">
        <v>72</v>
      </c>
      <c r="E1811" s="14" t="s">
        <v>89</v>
      </c>
      <c r="F1811" s="14">
        <v>66</v>
      </c>
      <c r="G1811" s="14">
        <v>60</v>
      </c>
      <c r="H1811" s="14" t="s">
        <v>1400</v>
      </c>
      <c r="I1811" s="14" t="s">
        <v>75</v>
      </c>
      <c r="J1811" s="14" t="s">
        <v>201</v>
      </c>
      <c r="K1811" s="14">
        <v>1</v>
      </c>
      <c r="L1811" s="14" t="s">
        <v>1400</v>
      </c>
      <c r="N1811" s="14">
        <v>0</v>
      </c>
      <c r="O1811" s="14" t="b">
        <v>1</v>
      </c>
      <c r="Q1811" s="14" t="b">
        <v>0</v>
      </c>
      <c r="R1811" s="14">
        <v>1</v>
      </c>
      <c r="S1811" s="14" t="s">
        <v>77</v>
      </c>
      <c r="T1811" s="14">
        <v>999</v>
      </c>
      <c r="U1811" s="14" t="s">
        <v>1401</v>
      </c>
      <c r="V1811" s="14">
        <v>31913066</v>
      </c>
      <c r="X1811" s="14" t="s">
        <v>2737</v>
      </c>
      <c r="Y1811" s="14" t="s">
        <v>215</v>
      </c>
      <c r="Z1811" s="14">
        <v>20574</v>
      </c>
      <c r="AA1811" s="14" t="s">
        <v>2738</v>
      </c>
      <c r="AB1811" s="14">
        <v>40001</v>
      </c>
      <c r="AE1811" s="14" t="s">
        <v>1400</v>
      </c>
      <c r="AF1811" s="14" t="s">
        <v>1400</v>
      </c>
      <c r="AG1811" s="14" t="s">
        <v>89</v>
      </c>
    </row>
    <row r="1812" spans="2:33">
      <c r="B1812" s="14">
        <f>10000000+INDEX(编号表!$B:$B,MATCH(H1812,编号表!$A:$A,0))*100000+INDEX(编号表!$F:$F,MATCH(D1812,编号表!$E:$E,0))*10000+INDEX(编号表!$D:$D,MATCH(AG1812,编号表!$C:$C,0))*1000+F1812</f>
        <v>11923067</v>
      </c>
      <c r="C1812" s="14" t="s">
        <v>2736</v>
      </c>
      <c r="D1812" s="14" t="s">
        <v>112</v>
      </c>
      <c r="E1812" s="14" t="s">
        <v>89</v>
      </c>
      <c r="F1812" s="14">
        <v>67</v>
      </c>
      <c r="G1812" s="14">
        <v>60</v>
      </c>
      <c r="H1812" s="14" t="s">
        <v>1400</v>
      </c>
      <c r="I1812" s="14" t="s">
        <v>75</v>
      </c>
      <c r="J1812" s="14" t="s">
        <v>201</v>
      </c>
      <c r="K1812" s="14">
        <v>1</v>
      </c>
      <c r="L1812" s="14" t="s">
        <v>1400</v>
      </c>
      <c r="N1812" s="14">
        <v>0</v>
      </c>
      <c r="O1812" s="14" t="b">
        <v>1</v>
      </c>
      <c r="Q1812" s="14" t="b">
        <v>0</v>
      </c>
      <c r="R1812" s="14">
        <v>1</v>
      </c>
      <c r="S1812" s="14" t="s">
        <v>77</v>
      </c>
      <c r="T1812" s="14">
        <v>999</v>
      </c>
      <c r="U1812" s="14" t="s">
        <v>1401</v>
      </c>
      <c r="V1812" s="14">
        <v>31923067</v>
      </c>
      <c r="X1812" s="14" t="s">
        <v>2739</v>
      </c>
      <c r="Y1812" s="14" t="s">
        <v>215</v>
      </c>
      <c r="Z1812" s="14">
        <v>20575</v>
      </c>
      <c r="AA1812" s="14" t="s">
        <v>2740</v>
      </c>
      <c r="AB1812" s="14">
        <v>40001</v>
      </c>
      <c r="AE1812" s="14" t="s">
        <v>1400</v>
      </c>
      <c r="AF1812" s="14" t="s">
        <v>1400</v>
      </c>
      <c r="AG1812" s="14" t="s">
        <v>89</v>
      </c>
    </row>
    <row r="1813" spans="2:33">
      <c r="B1813" s="14">
        <f>10000000+INDEX(编号表!$B:$B,MATCH(H1813,编号表!$A:$A,0))*100000+INDEX(编号表!$F:$F,MATCH(D1813,编号表!$E:$E,0))*10000+INDEX(编号表!$D:$D,MATCH(AG1813,编号表!$C:$C,0))*1000+F1813</f>
        <v>11933068</v>
      </c>
      <c r="C1813" s="14" t="s">
        <v>2736</v>
      </c>
      <c r="D1813" s="14" t="s">
        <v>276</v>
      </c>
      <c r="E1813" s="14" t="s">
        <v>89</v>
      </c>
      <c r="F1813" s="14">
        <v>68</v>
      </c>
      <c r="G1813" s="14">
        <v>60</v>
      </c>
      <c r="H1813" s="14" t="s">
        <v>1400</v>
      </c>
      <c r="I1813" s="14" t="s">
        <v>75</v>
      </c>
      <c r="J1813" s="14" t="s">
        <v>201</v>
      </c>
      <c r="K1813" s="14">
        <v>1</v>
      </c>
      <c r="L1813" s="14" t="s">
        <v>1400</v>
      </c>
      <c r="N1813" s="14">
        <v>0</v>
      </c>
      <c r="O1813" s="14" t="b">
        <v>1</v>
      </c>
      <c r="Q1813" s="14" t="b">
        <v>0</v>
      </c>
      <c r="R1813" s="14">
        <v>1</v>
      </c>
      <c r="S1813" s="14" t="s">
        <v>77</v>
      </c>
      <c r="T1813" s="14">
        <v>999</v>
      </c>
      <c r="U1813" s="14" t="s">
        <v>1401</v>
      </c>
      <c r="V1813" s="14">
        <v>31933068</v>
      </c>
      <c r="X1813" s="14" t="s">
        <v>2741</v>
      </c>
      <c r="Y1813" s="14" t="s">
        <v>215</v>
      </c>
      <c r="Z1813" s="14">
        <v>20576</v>
      </c>
      <c r="AA1813" s="14" t="s">
        <v>2742</v>
      </c>
      <c r="AB1813" s="14">
        <v>40001</v>
      </c>
      <c r="AE1813" s="14" t="s">
        <v>1400</v>
      </c>
      <c r="AF1813" s="14" t="s">
        <v>1400</v>
      </c>
      <c r="AG1813" s="14" t="s">
        <v>89</v>
      </c>
    </row>
    <row r="1814" spans="2:33">
      <c r="B1814" s="14">
        <f>10000000+INDEX(编号表!$B:$B,MATCH(H1814,编号表!$A:$A,0))*100000+INDEX(编号表!$F:$F,MATCH(D1814,编号表!$E:$E,0))*10000+INDEX(编号表!$D:$D,MATCH(AG1814,编号表!$C:$C,0))*1000+F1814</f>
        <v>11913067</v>
      </c>
      <c r="C1814" s="14" t="s">
        <v>2743</v>
      </c>
      <c r="D1814" s="14" t="s">
        <v>72</v>
      </c>
      <c r="E1814" s="14" t="s">
        <v>89</v>
      </c>
      <c r="F1814" s="14">
        <v>67</v>
      </c>
      <c r="G1814" s="14">
        <v>60</v>
      </c>
      <c r="H1814" s="14" t="s">
        <v>1400</v>
      </c>
      <c r="I1814" s="14" t="s">
        <v>75</v>
      </c>
      <c r="J1814" s="14" t="s">
        <v>201</v>
      </c>
      <c r="K1814" s="14">
        <v>1</v>
      </c>
      <c r="L1814" s="14" t="s">
        <v>1400</v>
      </c>
      <c r="N1814" s="14">
        <v>0</v>
      </c>
      <c r="O1814" s="14" t="b">
        <v>1</v>
      </c>
      <c r="Q1814" s="14" t="b">
        <v>0</v>
      </c>
      <c r="R1814" s="14">
        <v>1</v>
      </c>
      <c r="S1814" s="14" t="s">
        <v>77</v>
      </c>
      <c r="T1814" s="14">
        <v>999</v>
      </c>
      <c r="U1814" s="14" t="s">
        <v>1401</v>
      </c>
      <c r="V1814" s="14">
        <v>31913067</v>
      </c>
      <c r="X1814" s="14" t="s">
        <v>2744</v>
      </c>
      <c r="Y1814" s="14" t="s">
        <v>215</v>
      </c>
      <c r="Z1814" s="14">
        <v>20577</v>
      </c>
      <c r="AA1814" s="14" t="s">
        <v>2745</v>
      </c>
      <c r="AB1814" s="14">
        <v>40001</v>
      </c>
      <c r="AE1814" s="14" t="s">
        <v>1400</v>
      </c>
      <c r="AF1814" s="14" t="s">
        <v>1400</v>
      </c>
      <c r="AG1814" s="14" t="s">
        <v>89</v>
      </c>
    </row>
    <row r="1815" spans="2:33">
      <c r="B1815" s="14">
        <f>10000000+INDEX(编号表!$B:$B,MATCH(H1815,编号表!$A:$A,0))*100000+INDEX(编号表!$F:$F,MATCH(D1815,编号表!$E:$E,0))*10000+INDEX(编号表!$D:$D,MATCH(AG1815,编号表!$C:$C,0))*1000+F1815</f>
        <v>11923068</v>
      </c>
      <c r="C1815" s="14" t="s">
        <v>2743</v>
      </c>
      <c r="D1815" s="14" t="s">
        <v>112</v>
      </c>
      <c r="E1815" s="14" t="s">
        <v>89</v>
      </c>
      <c r="F1815" s="14">
        <v>68</v>
      </c>
      <c r="G1815" s="14">
        <v>60</v>
      </c>
      <c r="H1815" s="14" t="s">
        <v>1400</v>
      </c>
      <c r="I1815" s="14" t="s">
        <v>75</v>
      </c>
      <c r="J1815" s="14" t="s">
        <v>201</v>
      </c>
      <c r="K1815" s="14">
        <v>1</v>
      </c>
      <c r="L1815" s="14" t="s">
        <v>1400</v>
      </c>
      <c r="N1815" s="14">
        <v>0</v>
      </c>
      <c r="O1815" s="14" t="b">
        <v>1</v>
      </c>
      <c r="Q1815" s="14" t="b">
        <v>0</v>
      </c>
      <c r="R1815" s="14">
        <v>1</v>
      </c>
      <c r="S1815" s="14" t="s">
        <v>77</v>
      </c>
      <c r="T1815" s="14">
        <v>999</v>
      </c>
      <c r="U1815" s="14" t="s">
        <v>1401</v>
      </c>
      <c r="V1815" s="14">
        <v>31923068</v>
      </c>
      <c r="X1815" s="14" t="s">
        <v>2746</v>
      </c>
      <c r="Y1815" s="14" t="s">
        <v>215</v>
      </c>
      <c r="Z1815" s="14">
        <v>20578</v>
      </c>
      <c r="AA1815" s="14" t="s">
        <v>2747</v>
      </c>
      <c r="AB1815" s="14">
        <v>40001</v>
      </c>
      <c r="AE1815" s="14" t="s">
        <v>1400</v>
      </c>
      <c r="AF1815" s="14" t="s">
        <v>1400</v>
      </c>
      <c r="AG1815" s="14" t="s">
        <v>89</v>
      </c>
    </row>
    <row r="1816" spans="2:33">
      <c r="B1816" s="14">
        <f>10000000+INDEX(编号表!$B:$B,MATCH(H1816,编号表!$A:$A,0))*100000+INDEX(编号表!$F:$F,MATCH(D1816,编号表!$E:$E,0))*10000+INDEX(编号表!$D:$D,MATCH(AG1816,编号表!$C:$C,0))*1000+F1816</f>
        <v>11933069</v>
      </c>
      <c r="C1816" s="14" t="s">
        <v>2743</v>
      </c>
      <c r="D1816" s="14" t="s">
        <v>276</v>
      </c>
      <c r="E1816" s="14" t="s">
        <v>89</v>
      </c>
      <c r="F1816" s="14">
        <v>69</v>
      </c>
      <c r="G1816" s="14">
        <v>60</v>
      </c>
      <c r="H1816" s="14" t="s">
        <v>1400</v>
      </c>
      <c r="I1816" s="14" t="s">
        <v>75</v>
      </c>
      <c r="J1816" s="14" t="s">
        <v>201</v>
      </c>
      <c r="K1816" s="14">
        <v>1</v>
      </c>
      <c r="L1816" s="14" t="s">
        <v>1400</v>
      </c>
      <c r="N1816" s="14">
        <v>0</v>
      </c>
      <c r="O1816" s="14" t="b">
        <v>1</v>
      </c>
      <c r="Q1816" s="14" t="b">
        <v>0</v>
      </c>
      <c r="R1816" s="14">
        <v>1</v>
      </c>
      <c r="S1816" s="14" t="s">
        <v>77</v>
      </c>
      <c r="T1816" s="14">
        <v>999</v>
      </c>
      <c r="U1816" s="14" t="s">
        <v>1401</v>
      </c>
      <c r="V1816" s="14">
        <v>31933069</v>
      </c>
      <c r="X1816" s="14" t="s">
        <v>2748</v>
      </c>
      <c r="Y1816" s="14" t="s">
        <v>215</v>
      </c>
      <c r="Z1816" s="14">
        <v>20579</v>
      </c>
      <c r="AA1816" s="14" t="s">
        <v>2749</v>
      </c>
      <c r="AB1816" s="14">
        <v>40001</v>
      </c>
      <c r="AE1816" s="14" t="s">
        <v>1400</v>
      </c>
      <c r="AF1816" s="14" t="s">
        <v>1400</v>
      </c>
      <c r="AG1816" s="14" t="s">
        <v>89</v>
      </c>
    </row>
    <row r="1817" spans="2:33">
      <c r="B1817" s="14">
        <f>10000000+INDEX(编号表!$B:$B,MATCH(H1817,编号表!$A:$A,0))*100000+INDEX(编号表!$F:$F,MATCH(D1817,编号表!$E:$E,0))*10000+INDEX(编号表!$D:$D,MATCH(AG1817,编号表!$C:$C,0))*1000+F1817</f>
        <v>11913068</v>
      </c>
      <c r="C1817" s="14" t="s">
        <v>2750</v>
      </c>
      <c r="D1817" s="14" t="s">
        <v>72</v>
      </c>
      <c r="E1817" s="14" t="s">
        <v>89</v>
      </c>
      <c r="F1817" s="14">
        <v>68</v>
      </c>
      <c r="G1817" s="14">
        <v>60</v>
      </c>
      <c r="H1817" s="14" t="s">
        <v>1400</v>
      </c>
      <c r="I1817" s="14" t="s">
        <v>75</v>
      </c>
      <c r="J1817" s="14" t="s">
        <v>201</v>
      </c>
      <c r="K1817" s="14">
        <v>1</v>
      </c>
      <c r="L1817" s="14" t="s">
        <v>1400</v>
      </c>
      <c r="N1817" s="14">
        <v>0</v>
      </c>
      <c r="O1817" s="14" t="b">
        <v>1</v>
      </c>
      <c r="Q1817" s="14" t="b">
        <v>0</v>
      </c>
      <c r="R1817" s="14">
        <v>1</v>
      </c>
      <c r="S1817" s="14" t="s">
        <v>77</v>
      </c>
      <c r="T1817" s="14">
        <v>999</v>
      </c>
      <c r="U1817" s="14" t="s">
        <v>1401</v>
      </c>
      <c r="V1817" s="14">
        <v>31913068</v>
      </c>
      <c r="X1817" s="14" t="s">
        <v>2751</v>
      </c>
      <c r="Y1817" s="14" t="s">
        <v>215</v>
      </c>
      <c r="Z1817" s="14">
        <v>20580</v>
      </c>
      <c r="AA1817" s="14" t="s">
        <v>2752</v>
      </c>
      <c r="AB1817" s="14">
        <v>40001</v>
      </c>
      <c r="AE1817" s="14" t="s">
        <v>1400</v>
      </c>
      <c r="AF1817" s="14" t="s">
        <v>1400</v>
      </c>
      <c r="AG1817" s="14" t="s">
        <v>89</v>
      </c>
    </row>
    <row r="1818" spans="2:33">
      <c r="B1818" s="14">
        <f>10000000+INDEX(编号表!$B:$B,MATCH(H1818,编号表!$A:$A,0))*100000+INDEX(编号表!$F:$F,MATCH(D1818,编号表!$E:$E,0))*10000+INDEX(编号表!$D:$D,MATCH(AG1818,编号表!$C:$C,0))*1000+F1818</f>
        <v>11923069</v>
      </c>
      <c r="C1818" s="14" t="s">
        <v>2750</v>
      </c>
      <c r="D1818" s="14" t="s">
        <v>112</v>
      </c>
      <c r="E1818" s="14" t="s">
        <v>89</v>
      </c>
      <c r="F1818" s="14">
        <v>69</v>
      </c>
      <c r="G1818" s="14">
        <v>60</v>
      </c>
      <c r="H1818" s="14" t="s">
        <v>1400</v>
      </c>
      <c r="I1818" s="14" t="s">
        <v>75</v>
      </c>
      <c r="J1818" s="14" t="s">
        <v>201</v>
      </c>
      <c r="K1818" s="14">
        <v>1</v>
      </c>
      <c r="L1818" s="14" t="s">
        <v>1400</v>
      </c>
      <c r="N1818" s="14">
        <v>0</v>
      </c>
      <c r="O1818" s="14" t="b">
        <v>1</v>
      </c>
      <c r="Q1818" s="14" t="b">
        <v>0</v>
      </c>
      <c r="R1818" s="14">
        <v>1</v>
      </c>
      <c r="S1818" s="14" t="s">
        <v>77</v>
      </c>
      <c r="T1818" s="14">
        <v>999</v>
      </c>
      <c r="U1818" s="14" t="s">
        <v>1401</v>
      </c>
      <c r="V1818" s="14">
        <v>31923069</v>
      </c>
      <c r="X1818" s="14" t="s">
        <v>2753</v>
      </c>
      <c r="Y1818" s="14" t="s">
        <v>215</v>
      </c>
      <c r="Z1818" s="14">
        <v>20581</v>
      </c>
      <c r="AA1818" s="14" t="s">
        <v>2754</v>
      </c>
      <c r="AB1818" s="14">
        <v>40001</v>
      </c>
      <c r="AE1818" s="14" t="s">
        <v>1400</v>
      </c>
      <c r="AF1818" s="14" t="s">
        <v>1400</v>
      </c>
      <c r="AG1818" s="14" t="s">
        <v>89</v>
      </c>
    </row>
    <row r="1819" spans="2:33">
      <c r="B1819" s="14">
        <f>10000000+INDEX(编号表!$B:$B,MATCH(H1819,编号表!$A:$A,0))*100000+INDEX(编号表!$F:$F,MATCH(D1819,编号表!$E:$E,0))*10000+INDEX(编号表!$D:$D,MATCH(AG1819,编号表!$C:$C,0))*1000+F1819</f>
        <v>11933070</v>
      </c>
      <c r="C1819" s="14" t="s">
        <v>2750</v>
      </c>
      <c r="D1819" s="14" t="s">
        <v>276</v>
      </c>
      <c r="E1819" s="14" t="s">
        <v>89</v>
      </c>
      <c r="F1819" s="14">
        <v>70</v>
      </c>
      <c r="G1819" s="14">
        <v>60</v>
      </c>
      <c r="H1819" s="14" t="s">
        <v>1400</v>
      </c>
      <c r="I1819" s="14" t="s">
        <v>75</v>
      </c>
      <c r="J1819" s="14" t="s">
        <v>201</v>
      </c>
      <c r="K1819" s="14">
        <v>1</v>
      </c>
      <c r="L1819" s="14" t="s">
        <v>1400</v>
      </c>
      <c r="N1819" s="14">
        <v>0</v>
      </c>
      <c r="O1819" s="14" t="b">
        <v>1</v>
      </c>
      <c r="Q1819" s="14" t="b">
        <v>0</v>
      </c>
      <c r="R1819" s="14">
        <v>1</v>
      </c>
      <c r="S1819" s="14" t="s">
        <v>77</v>
      </c>
      <c r="T1819" s="14">
        <v>999</v>
      </c>
      <c r="U1819" s="14" t="s">
        <v>1401</v>
      </c>
      <c r="V1819" s="14">
        <v>31933070</v>
      </c>
      <c r="X1819" s="14" t="s">
        <v>2755</v>
      </c>
      <c r="Y1819" s="14" t="s">
        <v>215</v>
      </c>
      <c r="Z1819" s="14">
        <v>20582</v>
      </c>
      <c r="AA1819" s="14" t="s">
        <v>2756</v>
      </c>
      <c r="AB1819" s="14">
        <v>40001</v>
      </c>
      <c r="AE1819" s="14" t="s">
        <v>1400</v>
      </c>
      <c r="AF1819" s="14" t="s">
        <v>1400</v>
      </c>
      <c r="AG1819" s="14" t="s">
        <v>89</v>
      </c>
    </row>
    <row r="1820" spans="2:33">
      <c r="B1820" s="14">
        <f>10000000+INDEX(编号表!$B:$B,MATCH(H1820,编号表!$A:$A,0))*100000+INDEX(编号表!$F:$F,MATCH(D1820,编号表!$E:$E,0))*10000+INDEX(编号表!$D:$D,MATCH(AG1820,编号表!$C:$C,0))*1000+F1820</f>
        <v>11913069</v>
      </c>
      <c r="C1820" s="14" t="s">
        <v>2757</v>
      </c>
      <c r="D1820" s="14" t="s">
        <v>72</v>
      </c>
      <c r="E1820" s="14" t="s">
        <v>89</v>
      </c>
      <c r="F1820" s="14">
        <v>69</v>
      </c>
      <c r="G1820" s="14">
        <v>60</v>
      </c>
      <c r="H1820" s="14" t="s">
        <v>1400</v>
      </c>
      <c r="I1820" s="14" t="s">
        <v>75</v>
      </c>
      <c r="J1820" s="14" t="s">
        <v>201</v>
      </c>
      <c r="K1820" s="14">
        <v>1</v>
      </c>
      <c r="L1820" s="14" t="s">
        <v>1400</v>
      </c>
      <c r="N1820" s="14">
        <v>0</v>
      </c>
      <c r="O1820" s="14" t="b">
        <v>1</v>
      </c>
      <c r="Q1820" s="14" t="b">
        <v>0</v>
      </c>
      <c r="R1820" s="14">
        <v>1</v>
      </c>
      <c r="S1820" s="14" t="s">
        <v>77</v>
      </c>
      <c r="T1820" s="14">
        <v>999</v>
      </c>
      <c r="U1820" s="14" t="s">
        <v>1401</v>
      </c>
      <c r="V1820" s="14">
        <v>31913069</v>
      </c>
      <c r="X1820" s="14" t="s">
        <v>2758</v>
      </c>
      <c r="Y1820" s="14" t="s">
        <v>215</v>
      </c>
      <c r="Z1820" s="14">
        <v>20583</v>
      </c>
      <c r="AA1820" s="14" t="s">
        <v>2759</v>
      </c>
      <c r="AB1820" s="14">
        <v>40001</v>
      </c>
      <c r="AE1820" s="14" t="s">
        <v>1400</v>
      </c>
      <c r="AF1820" s="14" t="s">
        <v>1400</v>
      </c>
      <c r="AG1820" s="14" t="s">
        <v>89</v>
      </c>
    </row>
    <row r="1821" spans="2:33">
      <c r="B1821" s="14">
        <f>10000000+INDEX(编号表!$B:$B,MATCH(H1821,编号表!$A:$A,0))*100000+INDEX(编号表!$F:$F,MATCH(D1821,编号表!$E:$E,0))*10000+INDEX(编号表!$D:$D,MATCH(AG1821,编号表!$C:$C,0))*1000+F1821</f>
        <v>11923070</v>
      </c>
      <c r="C1821" s="14" t="s">
        <v>2757</v>
      </c>
      <c r="D1821" s="14" t="s">
        <v>112</v>
      </c>
      <c r="E1821" s="14" t="s">
        <v>89</v>
      </c>
      <c r="F1821" s="14">
        <v>70</v>
      </c>
      <c r="G1821" s="14">
        <v>60</v>
      </c>
      <c r="H1821" s="14" t="s">
        <v>1400</v>
      </c>
      <c r="I1821" s="14" t="s">
        <v>75</v>
      </c>
      <c r="J1821" s="14" t="s">
        <v>201</v>
      </c>
      <c r="K1821" s="14">
        <v>1</v>
      </c>
      <c r="L1821" s="14" t="s">
        <v>1400</v>
      </c>
      <c r="N1821" s="14">
        <v>0</v>
      </c>
      <c r="O1821" s="14" t="b">
        <v>1</v>
      </c>
      <c r="Q1821" s="14" t="b">
        <v>0</v>
      </c>
      <c r="R1821" s="14">
        <v>1</v>
      </c>
      <c r="S1821" s="14" t="s">
        <v>77</v>
      </c>
      <c r="T1821" s="14">
        <v>999</v>
      </c>
      <c r="U1821" s="14" t="s">
        <v>1401</v>
      </c>
      <c r="V1821" s="14">
        <v>31923070</v>
      </c>
      <c r="X1821" s="14" t="s">
        <v>2760</v>
      </c>
      <c r="Y1821" s="14" t="s">
        <v>215</v>
      </c>
      <c r="Z1821" s="14">
        <v>20584</v>
      </c>
      <c r="AA1821" s="14" t="s">
        <v>2761</v>
      </c>
      <c r="AB1821" s="14">
        <v>40001</v>
      </c>
      <c r="AE1821" s="14" t="s">
        <v>1400</v>
      </c>
      <c r="AF1821" s="14" t="s">
        <v>1400</v>
      </c>
      <c r="AG1821" s="14" t="s">
        <v>89</v>
      </c>
    </row>
    <row r="1822" spans="2:33">
      <c r="B1822" s="14">
        <f>10000000+INDEX(编号表!$B:$B,MATCH(H1822,编号表!$A:$A,0))*100000+INDEX(编号表!$F:$F,MATCH(D1822,编号表!$E:$E,0))*10000+INDEX(编号表!$D:$D,MATCH(AG1822,编号表!$C:$C,0))*1000+F1822</f>
        <v>11933071</v>
      </c>
      <c r="C1822" s="14" t="s">
        <v>2757</v>
      </c>
      <c r="D1822" s="14" t="s">
        <v>276</v>
      </c>
      <c r="E1822" s="14" t="s">
        <v>89</v>
      </c>
      <c r="F1822" s="14">
        <v>71</v>
      </c>
      <c r="G1822" s="14">
        <v>60</v>
      </c>
      <c r="H1822" s="14" t="s">
        <v>1400</v>
      </c>
      <c r="I1822" s="14" t="s">
        <v>75</v>
      </c>
      <c r="J1822" s="14" t="s">
        <v>201</v>
      </c>
      <c r="K1822" s="14">
        <v>1</v>
      </c>
      <c r="L1822" s="14" t="s">
        <v>1400</v>
      </c>
      <c r="N1822" s="14">
        <v>0</v>
      </c>
      <c r="O1822" s="14" t="b">
        <v>1</v>
      </c>
      <c r="Q1822" s="14" t="b">
        <v>0</v>
      </c>
      <c r="R1822" s="14">
        <v>1</v>
      </c>
      <c r="S1822" s="14" t="s">
        <v>77</v>
      </c>
      <c r="T1822" s="14">
        <v>999</v>
      </c>
      <c r="U1822" s="14" t="s">
        <v>1401</v>
      </c>
      <c r="V1822" s="14">
        <v>31933071</v>
      </c>
      <c r="X1822" s="14" t="s">
        <v>2762</v>
      </c>
      <c r="Y1822" s="14" t="s">
        <v>215</v>
      </c>
      <c r="Z1822" s="14">
        <v>20585</v>
      </c>
      <c r="AA1822" s="14" t="s">
        <v>2763</v>
      </c>
      <c r="AB1822" s="14">
        <v>40001</v>
      </c>
      <c r="AE1822" s="14" t="s">
        <v>1400</v>
      </c>
      <c r="AF1822" s="14" t="s">
        <v>1400</v>
      </c>
      <c r="AG1822" s="14" t="s">
        <v>89</v>
      </c>
    </row>
    <row r="1823" spans="2:33">
      <c r="B1823" s="14">
        <f>10000000+INDEX(编号表!$B:$B,MATCH(H1823,编号表!$A:$A,0))*100000+INDEX(编号表!$F:$F,MATCH(D1823,编号表!$E:$E,0))*10000+INDEX(编号表!$D:$D,MATCH(AG1823,编号表!$C:$C,0))*1000+F1823</f>
        <v>11913070</v>
      </c>
      <c r="C1823" s="14" t="s">
        <v>2764</v>
      </c>
      <c r="D1823" s="14" t="s">
        <v>72</v>
      </c>
      <c r="E1823" s="14" t="s">
        <v>89</v>
      </c>
      <c r="F1823" s="14">
        <v>70</v>
      </c>
      <c r="G1823" s="14">
        <v>60</v>
      </c>
      <c r="H1823" s="14" t="s">
        <v>1400</v>
      </c>
      <c r="I1823" s="14" t="s">
        <v>75</v>
      </c>
      <c r="J1823" s="14" t="s">
        <v>201</v>
      </c>
      <c r="K1823" s="14">
        <v>1</v>
      </c>
      <c r="L1823" s="14" t="s">
        <v>1400</v>
      </c>
      <c r="N1823" s="14">
        <v>0</v>
      </c>
      <c r="O1823" s="14" t="b">
        <v>1</v>
      </c>
      <c r="Q1823" s="14" t="b">
        <v>0</v>
      </c>
      <c r="R1823" s="14">
        <v>1</v>
      </c>
      <c r="S1823" s="14" t="s">
        <v>77</v>
      </c>
      <c r="T1823" s="14">
        <v>999</v>
      </c>
      <c r="U1823" s="14" t="s">
        <v>1401</v>
      </c>
      <c r="V1823" s="14">
        <v>31913070</v>
      </c>
      <c r="X1823" s="14" t="s">
        <v>2765</v>
      </c>
      <c r="Y1823" s="14" t="s">
        <v>215</v>
      </c>
      <c r="Z1823" s="14">
        <v>20586</v>
      </c>
      <c r="AA1823" s="14" t="s">
        <v>2766</v>
      </c>
      <c r="AB1823" s="14">
        <v>40001</v>
      </c>
      <c r="AE1823" s="14" t="s">
        <v>1400</v>
      </c>
      <c r="AF1823" s="14" t="s">
        <v>1400</v>
      </c>
      <c r="AG1823" s="14" t="s">
        <v>89</v>
      </c>
    </row>
    <row r="1824" spans="2:33">
      <c r="B1824" s="14">
        <f>10000000+INDEX(编号表!$B:$B,MATCH(H1824,编号表!$A:$A,0))*100000+INDEX(编号表!$F:$F,MATCH(D1824,编号表!$E:$E,0))*10000+INDEX(编号表!$D:$D,MATCH(AG1824,编号表!$C:$C,0))*1000+F1824</f>
        <v>11923071</v>
      </c>
      <c r="C1824" s="14" t="s">
        <v>2764</v>
      </c>
      <c r="D1824" s="14" t="s">
        <v>112</v>
      </c>
      <c r="E1824" s="14" t="s">
        <v>89</v>
      </c>
      <c r="F1824" s="14">
        <v>71</v>
      </c>
      <c r="G1824" s="14">
        <v>60</v>
      </c>
      <c r="H1824" s="14" t="s">
        <v>1400</v>
      </c>
      <c r="I1824" s="14" t="s">
        <v>75</v>
      </c>
      <c r="J1824" s="14" t="s">
        <v>201</v>
      </c>
      <c r="K1824" s="14">
        <v>1</v>
      </c>
      <c r="L1824" s="14" t="s">
        <v>1400</v>
      </c>
      <c r="N1824" s="14">
        <v>0</v>
      </c>
      <c r="O1824" s="14" t="b">
        <v>1</v>
      </c>
      <c r="Q1824" s="14" t="b">
        <v>0</v>
      </c>
      <c r="R1824" s="14">
        <v>1</v>
      </c>
      <c r="S1824" s="14" t="s">
        <v>77</v>
      </c>
      <c r="T1824" s="14">
        <v>999</v>
      </c>
      <c r="U1824" s="14" t="s">
        <v>1401</v>
      </c>
      <c r="V1824" s="14">
        <v>31923071</v>
      </c>
      <c r="X1824" s="14" t="s">
        <v>2767</v>
      </c>
      <c r="Y1824" s="14" t="s">
        <v>215</v>
      </c>
      <c r="Z1824" s="14">
        <v>20587</v>
      </c>
      <c r="AA1824" s="14" t="s">
        <v>2768</v>
      </c>
      <c r="AB1824" s="14">
        <v>40001</v>
      </c>
      <c r="AE1824" s="14" t="s">
        <v>1400</v>
      </c>
      <c r="AF1824" s="14" t="s">
        <v>1400</v>
      </c>
      <c r="AG1824" s="14" t="s">
        <v>89</v>
      </c>
    </row>
    <row r="1825" spans="2:33">
      <c r="B1825" s="14">
        <f>10000000+INDEX(编号表!$B:$B,MATCH(H1825,编号表!$A:$A,0))*100000+INDEX(编号表!$F:$F,MATCH(D1825,编号表!$E:$E,0))*10000+INDEX(编号表!$D:$D,MATCH(AG1825,编号表!$C:$C,0))*1000+F1825</f>
        <v>11933072</v>
      </c>
      <c r="C1825" s="14" t="s">
        <v>2764</v>
      </c>
      <c r="D1825" s="14" t="s">
        <v>276</v>
      </c>
      <c r="E1825" s="14" t="s">
        <v>89</v>
      </c>
      <c r="F1825" s="14">
        <v>72</v>
      </c>
      <c r="G1825" s="14">
        <v>60</v>
      </c>
      <c r="H1825" s="14" t="s">
        <v>1400</v>
      </c>
      <c r="I1825" s="14" t="s">
        <v>75</v>
      </c>
      <c r="J1825" s="14" t="s">
        <v>201</v>
      </c>
      <c r="K1825" s="14">
        <v>1</v>
      </c>
      <c r="L1825" s="14" t="s">
        <v>1400</v>
      </c>
      <c r="N1825" s="14">
        <v>0</v>
      </c>
      <c r="O1825" s="14" t="b">
        <v>1</v>
      </c>
      <c r="Q1825" s="14" t="b">
        <v>0</v>
      </c>
      <c r="R1825" s="14">
        <v>1</v>
      </c>
      <c r="S1825" s="14" t="s">
        <v>77</v>
      </c>
      <c r="T1825" s="14">
        <v>999</v>
      </c>
      <c r="U1825" s="14" t="s">
        <v>1401</v>
      </c>
      <c r="V1825" s="14">
        <v>31933072</v>
      </c>
      <c r="X1825" s="14" t="s">
        <v>2769</v>
      </c>
      <c r="Y1825" s="14" t="s">
        <v>215</v>
      </c>
      <c r="Z1825" s="14">
        <v>20588</v>
      </c>
      <c r="AA1825" s="14" t="s">
        <v>2770</v>
      </c>
      <c r="AB1825" s="14">
        <v>40001</v>
      </c>
      <c r="AE1825" s="14" t="s">
        <v>1400</v>
      </c>
      <c r="AF1825" s="14" t="s">
        <v>1400</v>
      </c>
      <c r="AG1825" s="14" t="s">
        <v>89</v>
      </c>
    </row>
    <row r="1826" spans="2:33">
      <c r="B1826" s="14">
        <f>10000000+INDEX(编号表!$B:$B,MATCH(H1826,编号表!$A:$A,0))*100000+INDEX(编号表!$F:$F,MATCH(D1826,编号表!$E:$E,0))*10000+INDEX(编号表!$D:$D,MATCH(AG1826,编号表!$C:$C,0))*1000+F1826</f>
        <v>11913071</v>
      </c>
      <c r="C1826" s="14" t="s">
        <v>2771</v>
      </c>
      <c r="D1826" s="14" t="s">
        <v>72</v>
      </c>
      <c r="E1826" s="14" t="s">
        <v>89</v>
      </c>
      <c r="F1826" s="14">
        <v>71</v>
      </c>
      <c r="G1826" s="14">
        <v>60</v>
      </c>
      <c r="H1826" s="14" t="s">
        <v>1400</v>
      </c>
      <c r="I1826" s="14" t="s">
        <v>75</v>
      </c>
      <c r="J1826" s="14" t="s">
        <v>201</v>
      </c>
      <c r="K1826" s="14">
        <v>1</v>
      </c>
      <c r="L1826" s="14" t="s">
        <v>1400</v>
      </c>
      <c r="N1826" s="14">
        <v>0</v>
      </c>
      <c r="O1826" s="14" t="b">
        <v>1</v>
      </c>
      <c r="Q1826" s="14" t="b">
        <v>0</v>
      </c>
      <c r="R1826" s="14">
        <v>1</v>
      </c>
      <c r="S1826" s="14" t="s">
        <v>77</v>
      </c>
      <c r="T1826" s="14">
        <v>999</v>
      </c>
      <c r="U1826" s="14" t="s">
        <v>1401</v>
      </c>
      <c r="V1826" s="14">
        <v>31913071</v>
      </c>
      <c r="X1826" s="14" t="s">
        <v>2772</v>
      </c>
      <c r="Y1826" s="14" t="s">
        <v>215</v>
      </c>
      <c r="Z1826" s="14">
        <v>20589</v>
      </c>
      <c r="AA1826" s="14" t="s">
        <v>2773</v>
      </c>
      <c r="AB1826" s="14">
        <v>40001</v>
      </c>
      <c r="AE1826" s="14" t="s">
        <v>1400</v>
      </c>
      <c r="AF1826" s="14" t="s">
        <v>1400</v>
      </c>
      <c r="AG1826" s="14" t="s">
        <v>89</v>
      </c>
    </row>
    <row r="1827" spans="2:33">
      <c r="B1827" s="14">
        <f>10000000+INDEX(编号表!$B:$B,MATCH(H1827,编号表!$A:$A,0))*100000+INDEX(编号表!$F:$F,MATCH(D1827,编号表!$E:$E,0))*10000+INDEX(编号表!$D:$D,MATCH(AG1827,编号表!$C:$C,0))*1000+F1827</f>
        <v>11923072</v>
      </c>
      <c r="C1827" s="14" t="s">
        <v>2771</v>
      </c>
      <c r="D1827" s="14" t="s">
        <v>112</v>
      </c>
      <c r="E1827" s="14" t="s">
        <v>89</v>
      </c>
      <c r="F1827" s="14">
        <v>72</v>
      </c>
      <c r="G1827" s="14">
        <v>60</v>
      </c>
      <c r="H1827" s="14" t="s">
        <v>1400</v>
      </c>
      <c r="I1827" s="14" t="s">
        <v>75</v>
      </c>
      <c r="J1827" s="14" t="s">
        <v>201</v>
      </c>
      <c r="K1827" s="14">
        <v>1</v>
      </c>
      <c r="L1827" s="14" t="s">
        <v>1400</v>
      </c>
      <c r="N1827" s="14">
        <v>0</v>
      </c>
      <c r="O1827" s="14" t="b">
        <v>1</v>
      </c>
      <c r="Q1827" s="14" t="b">
        <v>0</v>
      </c>
      <c r="R1827" s="14">
        <v>1</v>
      </c>
      <c r="S1827" s="14" t="s">
        <v>77</v>
      </c>
      <c r="T1827" s="14">
        <v>999</v>
      </c>
      <c r="U1827" s="14" t="s">
        <v>1401</v>
      </c>
      <c r="V1827" s="14">
        <v>31923072</v>
      </c>
      <c r="X1827" s="14" t="s">
        <v>2774</v>
      </c>
      <c r="Y1827" s="14" t="s">
        <v>215</v>
      </c>
      <c r="Z1827" s="14">
        <v>20590</v>
      </c>
      <c r="AA1827" s="14" t="s">
        <v>2775</v>
      </c>
      <c r="AB1827" s="14">
        <v>40001</v>
      </c>
      <c r="AE1827" s="14" t="s">
        <v>1400</v>
      </c>
      <c r="AF1827" s="14" t="s">
        <v>1400</v>
      </c>
      <c r="AG1827" s="14" t="s">
        <v>89</v>
      </c>
    </row>
    <row r="1828" spans="2:33">
      <c r="B1828" s="14">
        <f>10000000+INDEX(编号表!$B:$B,MATCH(H1828,编号表!$A:$A,0))*100000+INDEX(编号表!$F:$F,MATCH(D1828,编号表!$E:$E,0))*10000+INDEX(编号表!$D:$D,MATCH(AG1828,编号表!$C:$C,0))*1000+F1828</f>
        <v>11933073</v>
      </c>
      <c r="C1828" s="14" t="s">
        <v>2771</v>
      </c>
      <c r="D1828" s="14" t="s">
        <v>276</v>
      </c>
      <c r="E1828" s="14" t="s">
        <v>89</v>
      </c>
      <c r="F1828" s="14">
        <v>73</v>
      </c>
      <c r="G1828" s="14">
        <v>60</v>
      </c>
      <c r="H1828" s="14" t="s">
        <v>1400</v>
      </c>
      <c r="I1828" s="14" t="s">
        <v>75</v>
      </c>
      <c r="J1828" s="14" t="s">
        <v>201</v>
      </c>
      <c r="K1828" s="14">
        <v>1</v>
      </c>
      <c r="L1828" s="14" t="s">
        <v>1400</v>
      </c>
      <c r="N1828" s="14">
        <v>0</v>
      </c>
      <c r="O1828" s="14" t="b">
        <v>1</v>
      </c>
      <c r="Q1828" s="14" t="b">
        <v>0</v>
      </c>
      <c r="R1828" s="14">
        <v>1</v>
      </c>
      <c r="S1828" s="14" t="s">
        <v>77</v>
      </c>
      <c r="T1828" s="14">
        <v>999</v>
      </c>
      <c r="U1828" s="14" t="s">
        <v>1401</v>
      </c>
      <c r="V1828" s="14">
        <v>31933073</v>
      </c>
      <c r="X1828" s="14" t="s">
        <v>2776</v>
      </c>
      <c r="Y1828" s="14" t="s">
        <v>215</v>
      </c>
      <c r="Z1828" s="14">
        <v>20591</v>
      </c>
      <c r="AA1828" s="14" t="s">
        <v>2777</v>
      </c>
      <c r="AB1828" s="14">
        <v>40001</v>
      </c>
      <c r="AE1828" s="14" t="s">
        <v>1400</v>
      </c>
      <c r="AF1828" s="14" t="s">
        <v>1400</v>
      </c>
      <c r="AG1828" s="14" t="s">
        <v>89</v>
      </c>
    </row>
    <row r="1829" spans="2:33">
      <c r="B1829" s="14">
        <f>10000000+INDEX(编号表!$B:$B,MATCH(H1829,编号表!$A:$A,0))*100000+INDEX(编号表!$F:$F,MATCH(D1829,编号表!$E:$E,0))*10000+INDEX(编号表!$D:$D,MATCH(AG1829,编号表!$C:$C,0))*1000+F1829</f>
        <v>11913072</v>
      </c>
      <c r="C1829" s="14" t="s">
        <v>2778</v>
      </c>
      <c r="D1829" s="14" t="s">
        <v>72</v>
      </c>
      <c r="E1829" s="14" t="s">
        <v>89</v>
      </c>
      <c r="F1829" s="14">
        <v>72</v>
      </c>
      <c r="G1829" s="14">
        <v>60</v>
      </c>
      <c r="H1829" s="14" t="s">
        <v>1400</v>
      </c>
      <c r="I1829" s="14" t="s">
        <v>75</v>
      </c>
      <c r="J1829" s="14" t="s">
        <v>201</v>
      </c>
      <c r="K1829" s="14">
        <v>1</v>
      </c>
      <c r="L1829" s="14" t="s">
        <v>1400</v>
      </c>
      <c r="N1829" s="14">
        <v>0</v>
      </c>
      <c r="O1829" s="14" t="b">
        <v>1</v>
      </c>
      <c r="Q1829" s="14" t="b">
        <v>0</v>
      </c>
      <c r="R1829" s="14">
        <v>1</v>
      </c>
      <c r="S1829" s="14" t="s">
        <v>77</v>
      </c>
      <c r="T1829" s="14">
        <v>999</v>
      </c>
      <c r="U1829" s="14" t="s">
        <v>1401</v>
      </c>
      <c r="V1829" s="14">
        <v>31913072</v>
      </c>
      <c r="X1829" s="14" t="s">
        <v>2779</v>
      </c>
      <c r="Y1829" s="14" t="s">
        <v>215</v>
      </c>
      <c r="Z1829" s="14">
        <v>20592</v>
      </c>
      <c r="AA1829" s="14" t="s">
        <v>2780</v>
      </c>
      <c r="AB1829" s="14">
        <v>40001</v>
      </c>
      <c r="AE1829" s="14" t="s">
        <v>1400</v>
      </c>
      <c r="AF1829" s="14" t="s">
        <v>1400</v>
      </c>
      <c r="AG1829" s="14" t="s">
        <v>89</v>
      </c>
    </row>
    <row r="1830" spans="2:33">
      <c r="B1830" s="14">
        <f>10000000+INDEX(编号表!$B:$B,MATCH(H1830,编号表!$A:$A,0))*100000+INDEX(编号表!$F:$F,MATCH(D1830,编号表!$E:$E,0))*10000+INDEX(编号表!$D:$D,MATCH(AG1830,编号表!$C:$C,0))*1000+F1830</f>
        <v>11923073</v>
      </c>
      <c r="C1830" s="14" t="s">
        <v>2778</v>
      </c>
      <c r="D1830" s="14" t="s">
        <v>112</v>
      </c>
      <c r="E1830" s="14" t="s">
        <v>89</v>
      </c>
      <c r="F1830" s="14">
        <v>73</v>
      </c>
      <c r="G1830" s="14">
        <v>60</v>
      </c>
      <c r="H1830" s="14" t="s">
        <v>1400</v>
      </c>
      <c r="I1830" s="14" t="s">
        <v>75</v>
      </c>
      <c r="J1830" s="14" t="s">
        <v>201</v>
      </c>
      <c r="K1830" s="14">
        <v>1</v>
      </c>
      <c r="L1830" s="14" t="s">
        <v>1400</v>
      </c>
      <c r="N1830" s="14">
        <v>0</v>
      </c>
      <c r="O1830" s="14" t="b">
        <v>1</v>
      </c>
      <c r="Q1830" s="14" t="b">
        <v>0</v>
      </c>
      <c r="R1830" s="14">
        <v>1</v>
      </c>
      <c r="S1830" s="14" t="s">
        <v>77</v>
      </c>
      <c r="T1830" s="14">
        <v>999</v>
      </c>
      <c r="U1830" s="14" t="s">
        <v>1401</v>
      </c>
      <c r="V1830" s="14">
        <v>31923073</v>
      </c>
      <c r="X1830" s="14" t="s">
        <v>2781</v>
      </c>
      <c r="Y1830" s="14" t="s">
        <v>215</v>
      </c>
      <c r="Z1830" s="14">
        <v>20593</v>
      </c>
      <c r="AA1830" s="14" t="s">
        <v>2782</v>
      </c>
      <c r="AB1830" s="14">
        <v>40001</v>
      </c>
      <c r="AE1830" s="14" t="s">
        <v>1400</v>
      </c>
      <c r="AF1830" s="14" t="s">
        <v>1400</v>
      </c>
      <c r="AG1830" s="14" t="s">
        <v>89</v>
      </c>
    </row>
    <row r="1831" spans="2:33">
      <c r="B1831" s="14">
        <f>10000000+INDEX(编号表!$B:$B,MATCH(H1831,编号表!$A:$A,0))*100000+INDEX(编号表!$F:$F,MATCH(D1831,编号表!$E:$E,0))*10000+INDEX(编号表!$D:$D,MATCH(AG1831,编号表!$C:$C,0))*1000+F1831</f>
        <v>11933074</v>
      </c>
      <c r="C1831" s="14" t="s">
        <v>2778</v>
      </c>
      <c r="D1831" s="14" t="s">
        <v>276</v>
      </c>
      <c r="E1831" s="14" t="s">
        <v>89</v>
      </c>
      <c r="F1831" s="14">
        <v>74</v>
      </c>
      <c r="G1831" s="14">
        <v>60</v>
      </c>
      <c r="H1831" s="14" t="s">
        <v>1400</v>
      </c>
      <c r="I1831" s="14" t="s">
        <v>75</v>
      </c>
      <c r="J1831" s="14" t="s">
        <v>201</v>
      </c>
      <c r="K1831" s="14">
        <v>1</v>
      </c>
      <c r="L1831" s="14" t="s">
        <v>1400</v>
      </c>
      <c r="N1831" s="14">
        <v>0</v>
      </c>
      <c r="O1831" s="14" t="b">
        <v>1</v>
      </c>
      <c r="Q1831" s="14" t="b">
        <v>0</v>
      </c>
      <c r="R1831" s="14">
        <v>1</v>
      </c>
      <c r="S1831" s="14" t="s">
        <v>77</v>
      </c>
      <c r="T1831" s="14">
        <v>999</v>
      </c>
      <c r="U1831" s="14" t="s">
        <v>1401</v>
      </c>
      <c r="V1831" s="14">
        <v>31933074</v>
      </c>
      <c r="X1831" s="14" t="s">
        <v>2783</v>
      </c>
      <c r="Y1831" s="14" t="s">
        <v>215</v>
      </c>
      <c r="Z1831" s="14">
        <v>20594</v>
      </c>
      <c r="AA1831" s="14" t="s">
        <v>2784</v>
      </c>
      <c r="AB1831" s="14">
        <v>40001</v>
      </c>
      <c r="AE1831" s="14" t="s">
        <v>1400</v>
      </c>
      <c r="AF1831" s="14" t="s">
        <v>1400</v>
      </c>
      <c r="AG1831" s="14" t="s">
        <v>89</v>
      </c>
    </row>
    <row r="1832" spans="2:33">
      <c r="B1832" s="14">
        <f>10000000+INDEX(编号表!$B:$B,MATCH(H1832,编号表!$A:$A,0))*100000+INDEX(编号表!$F:$F,MATCH(D1832,编号表!$E:$E,0))*10000+INDEX(编号表!$D:$D,MATCH(AG1832,编号表!$C:$C,0))*1000+F1832</f>
        <v>11913073</v>
      </c>
      <c r="C1832" s="14" t="s">
        <v>2785</v>
      </c>
      <c r="D1832" s="14" t="s">
        <v>72</v>
      </c>
      <c r="E1832" s="14" t="s">
        <v>89</v>
      </c>
      <c r="F1832" s="14">
        <v>73</v>
      </c>
      <c r="G1832" s="14">
        <v>60</v>
      </c>
      <c r="H1832" s="14" t="s">
        <v>1400</v>
      </c>
      <c r="I1832" s="14" t="s">
        <v>75</v>
      </c>
      <c r="J1832" s="14" t="s">
        <v>201</v>
      </c>
      <c r="K1832" s="14">
        <v>1</v>
      </c>
      <c r="L1832" s="14" t="s">
        <v>1400</v>
      </c>
      <c r="N1832" s="14">
        <v>0</v>
      </c>
      <c r="O1832" s="14" t="b">
        <v>1</v>
      </c>
      <c r="Q1832" s="14" t="b">
        <v>0</v>
      </c>
      <c r="R1832" s="14">
        <v>1</v>
      </c>
      <c r="S1832" s="14" t="s">
        <v>77</v>
      </c>
      <c r="T1832" s="14">
        <v>999</v>
      </c>
      <c r="U1832" s="14" t="s">
        <v>1401</v>
      </c>
      <c r="V1832" s="14">
        <v>31913073</v>
      </c>
      <c r="X1832" s="14" t="s">
        <v>2786</v>
      </c>
      <c r="Y1832" s="14" t="s">
        <v>215</v>
      </c>
      <c r="Z1832" s="14">
        <v>20595</v>
      </c>
      <c r="AA1832" s="14" t="s">
        <v>2787</v>
      </c>
      <c r="AB1832" s="14">
        <v>40001</v>
      </c>
      <c r="AE1832" s="14" t="s">
        <v>1400</v>
      </c>
      <c r="AF1832" s="14" t="s">
        <v>1400</v>
      </c>
      <c r="AG1832" s="14" t="s">
        <v>89</v>
      </c>
    </row>
    <row r="1833" spans="2:33">
      <c r="B1833" s="14">
        <f>10000000+INDEX(编号表!$B:$B,MATCH(H1833,编号表!$A:$A,0))*100000+INDEX(编号表!$F:$F,MATCH(D1833,编号表!$E:$E,0))*10000+INDEX(编号表!$D:$D,MATCH(AG1833,编号表!$C:$C,0))*1000+F1833</f>
        <v>11923074</v>
      </c>
      <c r="C1833" s="14" t="s">
        <v>2785</v>
      </c>
      <c r="D1833" s="14" t="s">
        <v>112</v>
      </c>
      <c r="E1833" s="14" t="s">
        <v>89</v>
      </c>
      <c r="F1833" s="14">
        <v>74</v>
      </c>
      <c r="G1833" s="14">
        <v>60</v>
      </c>
      <c r="H1833" s="14" t="s">
        <v>1400</v>
      </c>
      <c r="I1833" s="14" t="s">
        <v>75</v>
      </c>
      <c r="J1833" s="14" t="s">
        <v>201</v>
      </c>
      <c r="K1833" s="14">
        <v>1</v>
      </c>
      <c r="L1833" s="14" t="s">
        <v>1400</v>
      </c>
      <c r="N1833" s="14">
        <v>0</v>
      </c>
      <c r="O1833" s="14" t="b">
        <v>1</v>
      </c>
      <c r="Q1833" s="14" t="b">
        <v>0</v>
      </c>
      <c r="R1833" s="14">
        <v>1</v>
      </c>
      <c r="S1833" s="14" t="s">
        <v>77</v>
      </c>
      <c r="T1833" s="14">
        <v>999</v>
      </c>
      <c r="U1833" s="14" t="s">
        <v>1401</v>
      </c>
      <c r="V1833" s="14">
        <v>31923074</v>
      </c>
      <c r="X1833" s="14" t="s">
        <v>2788</v>
      </c>
      <c r="Y1833" s="14" t="s">
        <v>215</v>
      </c>
      <c r="Z1833" s="14">
        <v>20596</v>
      </c>
      <c r="AA1833" s="14" t="s">
        <v>2789</v>
      </c>
      <c r="AB1833" s="14">
        <v>40001</v>
      </c>
      <c r="AE1833" s="14" t="s">
        <v>1400</v>
      </c>
      <c r="AF1833" s="14" t="s">
        <v>1400</v>
      </c>
      <c r="AG1833" s="14" t="s">
        <v>89</v>
      </c>
    </row>
    <row r="1834" spans="2:33">
      <c r="B1834" s="14">
        <f>10000000+INDEX(编号表!$B:$B,MATCH(H1834,编号表!$A:$A,0))*100000+INDEX(编号表!$F:$F,MATCH(D1834,编号表!$E:$E,0))*10000+INDEX(编号表!$D:$D,MATCH(AG1834,编号表!$C:$C,0))*1000+F1834</f>
        <v>11933075</v>
      </c>
      <c r="C1834" s="14" t="s">
        <v>2785</v>
      </c>
      <c r="D1834" s="14" t="s">
        <v>276</v>
      </c>
      <c r="E1834" s="14" t="s">
        <v>89</v>
      </c>
      <c r="F1834" s="14">
        <v>75</v>
      </c>
      <c r="G1834" s="14">
        <v>60</v>
      </c>
      <c r="H1834" s="14" t="s">
        <v>1400</v>
      </c>
      <c r="I1834" s="14" t="s">
        <v>75</v>
      </c>
      <c r="J1834" s="14" t="s">
        <v>201</v>
      </c>
      <c r="K1834" s="14">
        <v>1</v>
      </c>
      <c r="L1834" s="14" t="s">
        <v>1400</v>
      </c>
      <c r="N1834" s="14">
        <v>0</v>
      </c>
      <c r="O1834" s="14" t="b">
        <v>1</v>
      </c>
      <c r="Q1834" s="14" t="b">
        <v>0</v>
      </c>
      <c r="R1834" s="14">
        <v>1</v>
      </c>
      <c r="S1834" s="14" t="s">
        <v>77</v>
      </c>
      <c r="T1834" s="14">
        <v>999</v>
      </c>
      <c r="U1834" s="14" t="s">
        <v>1401</v>
      </c>
      <c r="V1834" s="14">
        <v>31933075</v>
      </c>
      <c r="X1834" s="14" t="s">
        <v>2790</v>
      </c>
      <c r="Y1834" s="14" t="s">
        <v>215</v>
      </c>
      <c r="Z1834" s="14">
        <v>20597</v>
      </c>
      <c r="AA1834" s="14" t="s">
        <v>2791</v>
      </c>
      <c r="AB1834" s="14">
        <v>40001</v>
      </c>
      <c r="AE1834" s="14" t="s">
        <v>1400</v>
      </c>
      <c r="AF1834" s="14" t="s">
        <v>1400</v>
      </c>
      <c r="AG1834" s="14" t="s">
        <v>89</v>
      </c>
    </row>
    <row r="1835" spans="2:33">
      <c r="B1835" s="14">
        <f>10000000+INDEX(编号表!$B:$B,MATCH(H1835,编号表!$A:$A,0))*100000+INDEX(编号表!$F:$F,MATCH(D1835,编号表!$E:$E,0))*10000+INDEX(编号表!$D:$D,MATCH(AG1835,编号表!$C:$C,0))*1000+F1835</f>
        <v>11913074</v>
      </c>
      <c r="C1835" s="14" t="s">
        <v>2792</v>
      </c>
      <c r="D1835" s="14" t="s">
        <v>72</v>
      </c>
      <c r="E1835" s="14" t="s">
        <v>89</v>
      </c>
      <c r="F1835" s="14">
        <v>74</v>
      </c>
      <c r="G1835" s="14">
        <v>60</v>
      </c>
      <c r="H1835" s="14" t="s">
        <v>1400</v>
      </c>
      <c r="I1835" s="14" t="s">
        <v>75</v>
      </c>
      <c r="J1835" s="14" t="s">
        <v>201</v>
      </c>
      <c r="K1835" s="14">
        <v>1</v>
      </c>
      <c r="L1835" s="14" t="s">
        <v>1400</v>
      </c>
      <c r="N1835" s="14">
        <v>0</v>
      </c>
      <c r="O1835" s="14" t="b">
        <v>1</v>
      </c>
      <c r="Q1835" s="14" t="b">
        <v>0</v>
      </c>
      <c r="R1835" s="14">
        <v>1</v>
      </c>
      <c r="S1835" s="14" t="s">
        <v>77</v>
      </c>
      <c r="T1835" s="14">
        <v>999</v>
      </c>
      <c r="U1835" s="14" t="s">
        <v>1401</v>
      </c>
      <c r="V1835" s="14">
        <v>31913074</v>
      </c>
      <c r="X1835" s="14" t="s">
        <v>2793</v>
      </c>
      <c r="Y1835" s="14" t="s">
        <v>215</v>
      </c>
      <c r="Z1835" s="14">
        <v>20598</v>
      </c>
      <c r="AA1835" s="14" t="s">
        <v>2794</v>
      </c>
      <c r="AB1835" s="14">
        <v>40001</v>
      </c>
      <c r="AE1835" s="14" t="s">
        <v>1400</v>
      </c>
      <c r="AF1835" s="14" t="s">
        <v>1400</v>
      </c>
      <c r="AG1835" s="14" t="s">
        <v>89</v>
      </c>
    </row>
    <row r="1836" spans="2:33">
      <c r="B1836" s="14">
        <f>10000000+INDEX(编号表!$B:$B,MATCH(H1836,编号表!$A:$A,0))*100000+INDEX(编号表!$F:$F,MATCH(D1836,编号表!$E:$E,0))*10000+INDEX(编号表!$D:$D,MATCH(AG1836,编号表!$C:$C,0))*1000+F1836</f>
        <v>11923075</v>
      </c>
      <c r="C1836" s="14" t="s">
        <v>2792</v>
      </c>
      <c r="D1836" s="14" t="s">
        <v>112</v>
      </c>
      <c r="E1836" s="14" t="s">
        <v>89</v>
      </c>
      <c r="F1836" s="14">
        <v>75</v>
      </c>
      <c r="G1836" s="14">
        <v>60</v>
      </c>
      <c r="H1836" s="14" t="s">
        <v>1400</v>
      </c>
      <c r="I1836" s="14" t="s">
        <v>75</v>
      </c>
      <c r="J1836" s="14" t="s">
        <v>201</v>
      </c>
      <c r="K1836" s="14">
        <v>1</v>
      </c>
      <c r="L1836" s="14" t="s">
        <v>1400</v>
      </c>
      <c r="N1836" s="14">
        <v>0</v>
      </c>
      <c r="O1836" s="14" t="b">
        <v>1</v>
      </c>
      <c r="Q1836" s="14" t="b">
        <v>0</v>
      </c>
      <c r="R1836" s="14">
        <v>1</v>
      </c>
      <c r="S1836" s="14" t="s">
        <v>77</v>
      </c>
      <c r="T1836" s="14">
        <v>999</v>
      </c>
      <c r="U1836" s="14" t="s">
        <v>1401</v>
      </c>
      <c r="V1836" s="14">
        <v>31923075</v>
      </c>
      <c r="X1836" s="14" t="s">
        <v>2795</v>
      </c>
      <c r="Y1836" s="14" t="s">
        <v>215</v>
      </c>
      <c r="Z1836" s="14">
        <v>20599</v>
      </c>
      <c r="AA1836" s="14" t="s">
        <v>2796</v>
      </c>
      <c r="AB1836" s="14">
        <v>40001</v>
      </c>
      <c r="AE1836" s="14" t="s">
        <v>1400</v>
      </c>
      <c r="AF1836" s="14" t="s">
        <v>1400</v>
      </c>
      <c r="AG1836" s="14" t="s">
        <v>89</v>
      </c>
    </row>
    <row r="1837" spans="2:33">
      <c r="B1837" s="14">
        <f>10000000+INDEX(编号表!$B:$B,MATCH(H1837,编号表!$A:$A,0))*100000+INDEX(编号表!$F:$F,MATCH(D1837,编号表!$E:$E,0))*10000+INDEX(编号表!$D:$D,MATCH(AG1837,编号表!$C:$C,0))*1000+F1837</f>
        <v>11933076</v>
      </c>
      <c r="C1837" s="14" t="s">
        <v>2792</v>
      </c>
      <c r="D1837" s="14" t="s">
        <v>276</v>
      </c>
      <c r="E1837" s="14" t="s">
        <v>89</v>
      </c>
      <c r="F1837" s="14">
        <v>76</v>
      </c>
      <c r="G1837" s="14">
        <v>60</v>
      </c>
      <c r="H1837" s="14" t="s">
        <v>1400</v>
      </c>
      <c r="I1837" s="14" t="s">
        <v>75</v>
      </c>
      <c r="J1837" s="14" t="s">
        <v>201</v>
      </c>
      <c r="K1837" s="14">
        <v>1</v>
      </c>
      <c r="L1837" s="14" t="s">
        <v>1400</v>
      </c>
      <c r="N1837" s="14">
        <v>0</v>
      </c>
      <c r="O1837" s="14" t="b">
        <v>1</v>
      </c>
      <c r="Q1837" s="14" t="b">
        <v>0</v>
      </c>
      <c r="R1837" s="14">
        <v>1</v>
      </c>
      <c r="S1837" s="14" t="s">
        <v>77</v>
      </c>
      <c r="T1837" s="14">
        <v>999</v>
      </c>
      <c r="U1837" s="14" t="s">
        <v>1401</v>
      </c>
      <c r="V1837" s="14">
        <v>31933076</v>
      </c>
      <c r="X1837" s="14" t="s">
        <v>2797</v>
      </c>
      <c r="Y1837" s="14" t="s">
        <v>215</v>
      </c>
      <c r="Z1837" s="14">
        <v>20600</v>
      </c>
      <c r="AA1837" s="14" t="s">
        <v>2798</v>
      </c>
      <c r="AB1837" s="14">
        <v>40001</v>
      </c>
      <c r="AE1837" s="14" t="s">
        <v>1400</v>
      </c>
      <c r="AF1837" s="14" t="s">
        <v>1400</v>
      </c>
      <c r="AG1837" s="14" t="s">
        <v>89</v>
      </c>
    </row>
    <row r="1838" spans="2:33">
      <c r="B1838" s="14">
        <f>10000000+INDEX(编号表!$B:$B,MATCH(H1838,编号表!$A:$A,0))*100000+INDEX(编号表!$F:$F,MATCH(D1838,编号表!$E:$E,0))*10000+INDEX(编号表!$D:$D,MATCH(AG1838,编号表!$C:$C,0))*1000+F1838</f>
        <v>11913075</v>
      </c>
      <c r="C1838" s="14" t="s">
        <v>2799</v>
      </c>
      <c r="D1838" s="14" t="s">
        <v>72</v>
      </c>
      <c r="E1838" s="14" t="s">
        <v>89</v>
      </c>
      <c r="F1838" s="14">
        <v>75</v>
      </c>
      <c r="G1838" s="14">
        <v>60</v>
      </c>
      <c r="H1838" s="14" t="s">
        <v>1400</v>
      </c>
      <c r="I1838" s="14" t="s">
        <v>75</v>
      </c>
      <c r="J1838" s="14" t="s">
        <v>201</v>
      </c>
      <c r="K1838" s="14">
        <v>1</v>
      </c>
      <c r="L1838" s="14" t="s">
        <v>1400</v>
      </c>
      <c r="N1838" s="14">
        <v>0</v>
      </c>
      <c r="O1838" s="14" t="b">
        <v>1</v>
      </c>
      <c r="Q1838" s="14" t="b">
        <v>0</v>
      </c>
      <c r="R1838" s="14">
        <v>1</v>
      </c>
      <c r="S1838" s="14" t="s">
        <v>77</v>
      </c>
      <c r="T1838" s="14">
        <v>999</v>
      </c>
      <c r="U1838" s="14" t="s">
        <v>1401</v>
      </c>
      <c r="V1838" s="14">
        <v>31913075</v>
      </c>
      <c r="X1838" s="14" t="s">
        <v>2800</v>
      </c>
      <c r="Y1838" s="14" t="s">
        <v>215</v>
      </c>
      <c r="Z1838" s="14">
        <v>20601</v>
      </c>
      <c r="AA1838" s="14" t="s">
        <v>2801</v>
      </c>
      <c r="AB1838" s="14">
        <v>40001</v>
      </c>
      <c r="AE1838" s="14" t="s">
        <v>1400</v>
      </c>
      <c r="AF1838" s="14" t="s">
        <v>1400</v>
      </c>
      <c r="AG1838" s="14" t="s">
        <v>89</v>
      </c>
    </row>
    <row r="1839" spans="2:33">
      <c r="B1839" s="14">
        <f>10000000+INDEX(编号表!$B:$B,MATCH(H1839,编号表!$A:$A,0))*100000+INDEX(编号表!$F:$F,MATCH(D1839,编号表!$E:$E,0))*10000+INDEX(编号表!$D:$D,MATCH(AG1839,编号表!$C:$C,0))*1000+F1839</f>
        <v>11923076</v>
      </c>
      <c r="C1839" s="14" t="s">
        <v>2799</v>
      </c>
      <c r="D1839" s="14" t="s">
        <v>112</v>
      </c>
      <c r="E1839" s="14" t="s">
        <v>89</v>
      </c>
      <c r="F1839" s="14">
        <v>76</v>
      </c>
      <c r="G1839" s="14">
        <v>60</v>
      </c>
      <c r="H1839" s="14" t="s">
        <v>1400</v>
      </c>
      <c r="I1839" s="14" t="s">
        <v>75</v>
      </c>
      <c r="J1839" s="14" t="s">
        <v>201</v>
      </c>
      <c r="K1839" s="14">
        <v>1</v>
      </c>
      <c r="L1839" s="14" t="s">
        <v>1400</v>
      </c>
      <c r="N1839" s="14">
        <v>0</v>
      </c>
      <c r="O1839" s="14" t="b">
        <v>1</v>
      </c>
      <c r="Q1839" s="14" t="b">
        <v>0</v>
      </c>
      <c r="R1839" s="14">
        <v>1</v>
      </c>
      <c r="S1839" s="14" t="s">
        <v>77</v>
      </c>
      <c r="T1839" s="14">
        <v>999</v>
      </c>
      <c r="U1839" s="14" t="s">
        <v>1401</v>
      </c>
      <c r="V1839" s="14">
        <v>31923076</v>
      </c>
      <c r="X1839" s="14" t="s">
        <v>2802</v>
      </c>
      <c r="Y1839" s="14" t="s">
        <v>215</v>
      </c>
      <c r="Z1839" s="14">
        <v>20602</v>
      </c>
      <c r="AA1839" s="14" t="s">
        <v>2803</v>
      </c>
      <c r="AB1839" s="14">
        <v>40001</v>
      </c>
      <c r="AE1839" s="14" t="s">
        <v>1400</v>
      </c>
      <c r="AF1839" s="14" t="s">
        <v>1400</v>
      </c>
      <c r="AG1839" s="14" t="s">
        <v>89</v>
      </c>
    </row>
    <row r="1840" spans="2:33">
      <c r="B1840" s="14">
        <f>10000000+INDEX(编号表!$B:$B,MATCH(H1840,编号表!$A:$A,0))*100000+INDEX(编号表!$F:$F,MATCH(D1840,编号表!$E:$E,0))*10000+INDEX(编号表!$D:$D,MATCH(AG1840,编号表!$C:$C,0))*1000+F1840</f>
        <v>11933077</v>
      </c>
      <c r="C1840" s="14" t="s">
        <v>2799</v>
      </c>
      <c r="D1840" s="14" t="s">
        <v>276</v>
      </c>
      <c r="E1840" s="14" t="s">
        <v>89</v>
      </c>
      <c r="F1840" s="14">
        <v>77</v>
      </c>
      <c r="G1840" s="14">
        <v>60</v>
      </c>
      <c r="H1840" s="14" t="s">
        <v>1400</v>
      </c>
      <c r="I1840" s="14" t="s">
        <v>75</v>
      </c>
      <c r="J1840" s="14" t="s">
        <v>201</v>
      </c>
      <c r="K1840" s="14">
        <v>1</v>
      </c>
      <c r="L1840" s="14" t="s">
        <v>1400</v>
      </c>
      <c r="N1840" s="14">
        <v>0</v>
      </c>
      <c r="O1840" s="14" t="b">
        <v>1</v>
      </c>
      <c r="Q1840" s="14" t="b">
        <v>0</v>
      </c>
      <c r="R1840" s="14">
        <v>1</v>
      </c>
      <c r="S1840" s="14" t="s">
        <v>77</v>
      </c>
      <c r="T1840" s="14">
        <v>999</v>
      </c>
      <c r="U1840" s="14" t="s">
        <v>1401</v>
      </c>
      <c r="V1840" s="14">
        <v>31933077</v>
      </c>
      <c r="X1840" s="14" t="s">
        <v>2804</v>
      </c>
      <c r="Y1840" s="14" t="s">
        <v>215</v>
      </c>
      <c r="Z1840" s="14">
        <v>20603</v>
      </c>
      <c r="AA1840" s="14" t="s">
        <v>2805</v>
      </c>
      <c r="AB1840" s="14">
        <v>40001</v>
      </c>
      <c r="AE1840" s="14" t="s">
        <v>1400</v>
      </c>
      <c r="AF1840" s="14" t="s">
        <v>1400</v>
      </c>
      <c r="AG1840" s="14" t="s">
        <v>89</v>
      </c>
    </row>
    <row r="1841" spans="2:33">
      <c r="B1841" s="14">
        <f>10000000+INDEX(编号表!$B:$B,MATCH(H1841,编号表!$A:$A,0))*100000+INDEX(编号表!$F:$F,MATCH(D1841,编号表!$E:$E,0))*10000+INDEX(编号表!$D:$D,MATCH(AG1841,编号表!$C:$C,0))*1000+F1841</f>
        <v>11913076</v>
      </c>
      <c r="C1841" s="14" t="s">
        <v>2806</v>
      </c>
      <c r="D1841" s="14" t="s">
        <v>72</v>
      </c>
      <c r="E1841" s="14" t="s">
        <v>89</v>
      </c>
      <c r="F1841" s="14">
        <v>76</v>
      </c>
      <c r="G1841" s="14">
        <v>60</v>
      </c>
      <c r="H1841" s="14" t="s">
        <v>1400</v>
      </c>
      <c r="I1841" s="14" t="s">
        <v>75</v>
      </c>
      <c r="J1841" s="14" t="s">
        <v>201</v>
      </c>
      <c r="K1841" s="14">
        <v>1</v>
      </c>
      <c r="L1841" s="14" t="s">
        <v>1400</v>
      </c>
      <c r="N1841" s="14">
        <v>0</v>
      </c>
      <c r="O1841" s="14" t="b">
        <v>1</v>
      </c>
      <c r="Q1841" s="14" t="b">
        <v>0</v>
      </c>
      <c r="R1841" s="14">
        <v>1</v>
      </c>
      <c r="S1841" s="14" t="s">
        <v>77</v>
      </c>
      <c r="T1841" s="14">
        <v>999</v>
      </c>
      <c r="U1841" s="14" t="s">
        <v>1401</v>
      </c>
      <c r="V1841" s="14">
        <v>31913076</v>
      </c>
      <c r="X1841" s="14" t="s">
        <v>2807</v>
      </c>
      <c r="Y1841" s="14" t="s">
        <v>215</v>
      </c>
      <c r="Z1841" s="14">
        <v>20604</v>
      </c>
      <c r="AA1841" s="14" t="s">
        <v>2808</v>
      </c>
      <c r="AB1841" s="14">
        <v>40001</v>
      </c>
      <c r="AE1841" s="14" t="s">
        <v>1400</v>
      </c>
      <c r="AF1841" s="14" t="s">
        <v>1400</v>
      </c>
      <c r="AG1841" s="14" t="s">
        <v>89</v>
      </c>
    </row>
    <row r="1842" spans="2:33">
      <c r="B1842" s="14">
        <f>10000000+INDEX(编号表!$B:$B,MATCH(H1842,编号表!$A:$A,0))*100000+INDEX(编号表!$F:$F,MATCH(D1842,编号表!$E:$E,0))*10000+INDEX(编号表!$D:$D,MATCH(AG1842,编号表!$C:$C,0))*1000+F1842</f>
        <v>11923077</v>
      </c>
      <c r="C1842" s="14" t="s">
        <v>2806</v>
      </c>
      <c r="D1842" s="14" t="s">
        <v>112</v>
      </c>
      <c r="E1842" s="14" t="s">
        <v>89</v>
      </c>
      <c r="F1842" s="14">
        <v>77</v>
      </c>
      <c r="G1842" s="14">
        <v>60</v>
      </c>
      <c r="H1842" s="14" t="s">
        <v>1400</v>
      </c>
      <c r="I1842" s="14" t="s">
        <v>75</v>
      </c>
      <c r="J1842" s="14" t="s">
        <v>201</v>
      </c>
      <c r="K1842" s="14">
        <v>1</v>
      </c>
      <c r="L1842" s="14" t="s">
        <v>1400</v>
      </c>
      <c r="N1842" s="14">
        <v>0</v>
      </c>
      <c r="O1842" s="14" t="b">
        <v>1</v>
      </c>
      <c r="Q1842" s="14" t="b">
        <v>0</v>
      </c>
      <c r="R1842" s="14">
        <v>1</v>
      </c>
      <c r="S1842" s="14" t="s">
        <v>77</v>
      </c>
      <c r="T1842" s="14">
        <v>999</v>
      </c>
      <c r="U1842" s="14" t="s">
        <v>1401</v>
      </c>
      <c r="V1842" s="14">
        <v>31923077</v>
      </c>
      <c r="X1842" s="14" t="s">
        <v>2809</v>
      </c>
      <c r="Y1842" s="14" t="s">
        <v>215</v>
      </c>
      <c r="Z1842" s="14">
        <v>20605</v>
      </c>
      <c r="AA1842" s="14" t="s">
        <v>2810</v>
      </c>
      <c r="AB1842" s="14">
        <v>40001</v>
      </c>
      <c r="AE1842" s="14" t="s">
        <v>1400</v>
      </c>
      <c r="AF1842" s="14" t="s">
        <v>1400</v>
      </c>
      <c r="AG1842" s="14" t="s">
        <v>89</v>
      </c>
    </row>
    <row r="1843" spans="2:33">
      <c r="B1843" s="14">
        <f>10000000+INDEX(编号表!$B:$B,MATCH(H1843,编号表!$A:$A,0))*100000+INDEX(编号表!$F:$F,MATCH(D1843,编号表!$E:$E,0))*10000+INDEX(编号表!$D:$D,MATCH(AG1843,编号表!$C:$C,0))*1000+F1843</f>
        <v>11933078</v>
      </c>
      <c r="C1843" s="14" t="s">
        <v>2806</v>
      </c>
      <c r="D1843" s="14" t="s">
        <v>276</v>
      </c>
      <c r="E1843" s="14" t="s">
        <v>89</v>
      </c>
      <c r="F1843" s="14">
        <v>78</v>
      </c>
      <c r="G1843" s="14">
        <v>60</v>
      </c>
      <c r="H1843" s="14" t="s">
        <v>1400</v>
      </c>
      <c r="I1843" s="14" t="s">
        <v>75</v>
      </c>
      <c r="J1843" s="14" t="s">
        <v>201</v>
      </c>
      <c r="K1843" s="14">
        <v>1</v>
      </c>
      <c r="L1843" s="14" t="s">
        <v>1400</v>
      </c>
      <c r="N1843" s="14">
        <v>0</v>
      </c>
      <c r="O1843" s="14" t="b">
        <v>1</v>
      </c>
      <c r="Q1843" s="14" t="b">
        <v>0</v>
      </c>
      <c r="R1843" s="14">
        <v>1</v>
      </c>
      <c r="S1843" s="14" t="s">
        <v>77</v>
      </c>
      <c r="T1843" s="14">
        <v>999</v>
      </c>
      <c r="U1843" s="14" t="s">
        <v>1401</v>
      </c>
      <c r="V1843" s="14">
        <v>31933078</v>
      </c>
      <c r="X1843" s="14" t="s">
        <v>2811</v>
      </c>
      <c r="Y1843" s="14" t="s">
        <v>215</v>
      </c>
      <c r="Z1843" s="14">
        <v>20606</v>
      </c>
      <c r="AA1843" s="14" t="s">
        <v>2812</v>
      </c>
      <c r="AB1843" s="14">
        <v>40001</v>
      </c>
      <c r="AE1843" s="14" t="s">
        <v>1400</v>
      </c>
      <c r="AF1843" s="14" t="s">
        <v>1400</v>
      </c>
      <c r="AG1843" s="14" t="s">
        <v>89</v>
      </c>
    </row>
    <row r="1844" spans="2:33">
      <c r="B1844" s="14">
        <f>10000000+INDEX(编号表!$B:$B,MATCH(H1844,编号表!$A:$A,0))*100000+INDEX(编号表!$F:$F,MATCH(D1844,编号表!$E:$E,0))*10000+INDEX(编号表!$D:$D,MATCH(AG1844,编号表!$C:$C,0))*1000+F1844</f>
        <v>11913077</v>
      </c>
      <c r="C1844" s="14" t="s">
        <v>2813</v>
      </c>
      <c r="D1844" s="14" t="s">
        <v>72</v>
      </c>
      <c r="E1844" s="14" t="s">
        <v>89</v>
      </c>
      <c r="F1844" s="14">
        <v>77</v>
      </c>
      <c r="G1844" s="14">
        <v>60</v>
      </c>
      <c r="H1844" s="14" t="s">
        <v>1400</v>
      </c>
      <c r="I1844" s="14" t="s">
        <v>75</v>
      </c>
      <c r="J1844" s="14" t="s">
        <v>201</v>
      </c>
      <c r="K1844" s="14">
        <v>1</v>
      </c>
      <c r="L1844" s="14" t="s">
        <v>1400</v>
      </c>
      <c r="N1844" s="14">
        <v>0</v>
      </c>
      <c r="O1844" s="14" t="b">
        <v>1</v>
      </c>
      <c r="Q1844" s="14" t="b">
        <v>0</v>
      </c>
      <c r="R1844" s="14">
        <v>1</v>
      </c>
      <c r="S1844" s="14" t="s">
        <v>77</v>
      </c>
      <c r="T1844" s="14">
        <v>999</v>
      </c>
      <c r="U1844" s="14" t="s">
        <v>1401</v>
      </c>
      <c r="V1844" s="14">
        <v>31913077</v>
      </c>
      <c r="X1844" s="14" t="s">
        <v>2814</v>
      </c>
      <c r="Y1844" s="14" t="s">
        <v>215</v>
      </c>
      <c r="Z1844" s="14">
        <v>20607</v>
      </c>
      <c r="AA1844" s="14" t="s">
        <v>2815</v>
      </c>
      <c r="AB1844" s="14">
        <v>40001</v>
      </c>
      <c r="AE1844" s="14" t="s">
        <v>1400</v>
      </c>
      <c r="AF1844" s="14" t="s">
        <v>1400</v>
      </c>
      <c r="AG1844" s="14" t="s">
        <v>89</v>
      </c>
    </row>
    <row r="1845" spans="2:33">
      <c r="B1845" s="14">
        <f>10000000+INDEX(编号表!$B:$B,MATCH(H1845,编号表!$A:$A,0))*100000+INDEX(编号表!$F:$F,MATCH(D1845,编号表!$E:$E,0))*10000+INDEX(编号表!$D:$D,MATCH(AG1845,编号表!$C:$C,0))*1000+F1845</f>
        <v>11923078</v>
      </c>
      <c r="C1845" s="14" t="s">
        <v>2813</v>
      </c>
      <c r="D1845" s="14" t="s">
        <v>112</v>
      </c>
      <c r="E1845" s="14" t="s">
        <v>89</v>
      </c>
      <c r="F1845" s="14">
        <v>78</v>
      </c>
      <c r="G1845" s="14">
        <v>60</v>
      </c>
      <c r="H1845" s="14" t="s">
        <v>1400</v>
      </c>
      <c r="I1845" s="14" t="s">
        <v>75</v>
      </c>
      <c r="J1845" s="14" t="s">
        <v>201</v>
      </c>
      <c r="K1845" s="14">
        <v>1</v>
      </c>
      <c r="L1845" s="14" t="s">
        <v>1400</v>
      </c>
      <c r="N1845" s="14">
        <v>0</v>
      </c>
      <c r="O1845" s="14" t="b">
        <v>1</v>
      </c>
      <c r="Q1845" s="14" t="b">
        <v>0</v>
      </c>
      <c r="R1845" s="14">
        <v>1</v>
      </c>
      <c r="S1845" s="14" t="s">
        <v>77</v>
      </c>
      <c r="T1845" s="14">
        <v>999</v>
      </c>
      <c r="U1845" s="14" t="s">
        <v>1401</v>
      </c>
      <c r="V1845" s="14">
        <v>31923078</v>
      </c>
      <c r="X1845" s="14" t="s">
        <v>2816</v>
      </c>
      <c r="Y1845" s="14" t="s">
        <v>215</v>
      </c>
      <c r="Z1845" s="14">
        <v>20608</v>
      </c>
      <c r="AA1845" s="14" t="s">
        <v>2817</v>
      </c>
      <c r="AB1845" s="14">
        <v>40001</v>
      </c>
      <c r="AE1845" s="14" t="s">
        <v>1400</v>
      </c>
      <c r="AF1845" s="14" t="s">
        <v>1400</v>
      </c>
      <c r="AG1845" s="14" t="s">
        <v>89</v>
      </c>
    </row>
    <row r="1846" spans="2:33">
      <c r="B1846" s="14">
        <f>10000000+INDEX(编号表!$B:$B,MATCH(H1846,编号表!$A:$A,0))*100000+INDEX(编号表!$F:$F,MATCH(D1846,编号表!$E:$E,0))*10000+INDEX(编号表!$D:$D,MATCH(AG1846,编号表!$C:$C,0))*1000+F1846</f>
        <v>11933079</v>
      </c>
      <c r="C1846" s="14" t="s">
        <v>2813</v>
      </c>
      <c r="D1846" s="14" t="s">
        <v>276</v>
      </c>
      <c r="E1846" s="14" t="s">
        <v>89</v>
      </c>
      <c r="F1846" s="14">
        <v>79</v>
      </c>
      <c r="G1846" s="14">
        <v>60</v>
      </c>
      <c r="H1846" s="14" t="s">
        <v>1400</v>
      </c>
      <c r="I1846" s="14" t="s">
        <v>75</v>
      </c>
      <c r="J1846" s="14" t="s">
        <v>201</v>
      </c>
      <c r="K1846" s="14">
        <v>1</v>
      </c>
      <c r="L1846" s="14" t="s">
        <v>1400</v>
      </c>
      <c r="N1846" s="14">
        <v>0</v>
      </c>
      <c r="O1846" s="14" t="b">
        <v>1</v>
      </c>
      <c r="Q1846" s="14" t="b">
        <v>0</v>
      </c>
      <c r="R1846" s="14">
        <v>1</v>
      </c>
      <c r="S1846" s="14" t="s">
        <v>77</v>
      </c>
      <c r="T1846" s="14">
        <v>999</v>
      </c>
      <c r="U1846" s="14" t="s">
        <v>1401</v>
      </c>
      <c r="V1846" s="14">
        <v>31933079</v>
      </c>
      <c r="X1846" s="14" t="s">
        <v>2818</v>
      </c>
      <c r="Y1846" s="14" t="s">
        <v>215</v>
      </c>
      <c r="Z1846" s="14">
        <v>20609</v>
      </c>
      <c r="AA1846" s="14" t="s">
        <v>2819</v>
      </c>
      <c r="AB1846" s="14">
        <v>40001</v>
      </c>
      <c r="AE1846" s="14" t="s">
        <v>1400</v>
      </c>
      <c r="AF1846" s="14" t="s">
        <v>1400</v>
      </c>
      <c r="AG1846" s="14" t="s">
        <v>89</v>
      </c>
    </row>
    <row r="1847" spans="2:33">
      <c r="B1847" s="14">
        <f>10000000+INDEX(编号表!$B:$B,MATCH(H1847,编号表!$A:$A,0))*100000+INDEX(编号表!$F:$F,MATCH(D1847,编号表!$E:$E,0))*10000+INDEX(编号表!$D:$D,MATCH(AG1847,编号表!$C:$C,0))*1000+F1847</f>
        <v>11913078</v>
      </c>
      <c r="C1847" s="14" t="s">
        <v>2820</v>
      </c>
      <c r="D1847" s="14" t="s">
        <v>72</v>
      </c>
      <c r="E1847" s="14" t="s">
        <v>89</v>
      </c>
      <c r="F1847" s="14">
        <v>78</v>
      </c>
      <c r="G1847" s="14">
        <v>60</v>
      </c>
      <c r="H1847" s="14" t="s">
        <v>1400</v>
      </c>
      <c r="I1847" s="14" t="s">
        <v>75</v>
      </c>
      <c r="J1847" s="14" t="s">
        <v>201</v>
      </c>
      <c r="K1847" s="14">
        <v>1</v>
      </c>
      <c r="L1847" s="14" t="s">
        <v>1400</v>
      </c>
      <c r="N1847" s="14">
        <v>0</v>
      </c>
      <c r="O1847" s="14" t="b">
        <v>1</v>
      </c>
      <c r="Q1847" s="14" t="b">
        <v>0</v>
      </c>
      <c r="R1847" s="14">
        <v>1</v>
      </c>
      <c r="S1847" s="14" t="s">
        <v>77</v>
      </c>
      <c r="T1847" s="14">
        <v>999</v>
      </c>
      <c r="U1847" s="14" t="s">
        <v>1401</v>
      </c>
      <c r="V1847" s="14">
        <v>31913078</v>
      </c>
      <c r="X1847" s="14" t="s">
        <v>2821</v>
      </c>
      <c r="Y1847" s="14" t="s">
        <v>215</v>
      </c>
      <c r="Z1847" s="14">
        <v>20610</v>
      </c>
      <c r="AA1847" s="14" t="s">
        <v>2822</v>
      </c>
      <c r="AB1847" s="14">
        <v>40001</v>
      </c>
      <c r="AE1847" s="14" t="s">
        <v>1400</v>
      </c>
      <c r="AF1847" s="14" t="s">
        <v>1400</v>
      </c>
      <c r="AG1847" s="14" t="s">
        <v>89</v>
      </c>
    </row>
    <row r="1848" spans="2:33">
      <c r="B1848" s="14">
        <f>10000000+INDEX(编号表!$B:$B,MATCH(H1848,编号表!$A:$A,0))*100000+INDEX(编号表!$F:$F,MATCH(D1848,编号表!$E:$E,0))*10000+INDEX(编号表!$D:$D,MATCH(AG1848,编号表!$C:$C,0))*1000+F1848</f>
        <v>11923079</v>
      </c>
      <c r="C1848" s="14" t="s">
        <v>2820</v>
      </c>
      <c r="D1848" s="14" t="s">
        <v>112</v>
      </c>
      <c r="E1848" s="14" t="s">
        <v>89</v>
      </c>
      <c r="F1848" s="14">
        <v>79</v>
      </c>
      <c r="G1848" s="14">
        <v>60</v>
      </c>
      <c r="H1848" s="14" t="s">
        <v>1400</v>
      </c>
      <c r="I1848" s="14" t="s">
        <v>75</v>
      </c>
      <c r="J1848" s="14" t="s">
        <v>201</v>
      </c>
      <c r="K1848" s="14">
        <v>1</v>
      </c>
      <c r="L1848" s="14" t="s">
        <v>1400</v>
      </c>
      <c r="N1848" s="14">
        <v>0</v>
      </c>
      <c r="O1848" s="14" t="b">
        <v>1</v>
      </c>
      <c r="Q1848" s="14" t="b">
        <v>0</v>
      </c>
      <c r="R1848" s="14">
        <v>1</v>
      </c>
      <c r="S1848" s="14" t="s">
        <v>77</v>
      </c>
      <c r="T1848" s="14">
        <v>999</v>
      </c>
      <c r="U1848" s="14" t="s">
        <v>1401</v>
      </c>
      <c r="V1848" s="14">
        <v>31923079</v>
      </c>
      <c r="X1848" s="14" t="s">
        <v>2823</v>
      </c>
      <c r="Y1848" s="14" t="s">
        <v>215</v>
      </c>
      <c r="Z1848" s="14">
        <v>20611</v>
      </c>
      <c r="AA1848" s="14" t="s">
        <v>2824</v>
      </c>
      <c r="AB1848" s="14">
        <v>40001</v>
      </c>
      <c r="AE1848" s="14" t="s">
        <v>1400</v>
      </c>
      <c r="AF1848" s="14" t="s">
        <v>1400</v>
      </c>
      <c r="AG1848" s="14" t="s">
        <v>89</v>
      </c>
    </row>
    <row r="1849" spans="2:33">
      <c r="B1849" s="14">
        <f>10000000+INDEX(编号表!$B:$B,MATCH(H1849,编号表!$A:$A,0))*100000+INDEX(编号表!$F:$F,MATCH(D1849,编号表!$E:$E,0))*10000+INDEX(编号表!$D:$D,MATCH(AG1849,编号表!$C:$C,0))*1000+F1849</f>
        <v>11933080</v>
      </c>
      <c r="C1849" s="14" t="s">
        <v>2820</v>
      </c>
      <c r="D1849" s="14" t="s">
        <v>276</v>
      </c>
      <c r="E1849" s="14" t="s">
        <v>89</v>
      </c>
      <c r="F1849" s="14">
        <v>80</v>
      </c>
      <c r="G1849" s="14">
        <v>60</v>
      </c>
      <c r="H1849" s="14" t="s">
        <v>1400</v>
      </c>
      <c r="I1849" s="14" t="s">
        <v>75</v>
      </c>
      <c r="J1849" s="14" t="s">
        <v>201</v>
      </c>
      <c r="K1849" s="14">
        <v>1</v>
      </c>
      <c r="L1849" s="14" t="s">
        <v>1400</v>
      </c>
      <c r="N1849" s="14">
        <v>0</v>
      </c>
      <c r="O1849" s="14" t="b">
        <v>1</v>
      </c>
      <c r="Q1849" s="14" t="b">
        <v>0</v>
      </c>
      <c r="R1849" s="14">
        <v>1</v>
      </c>
      <c r="S1849" s="14" t="s">
        <v>77</v>
      </c>
      <c r="T1849" s="14">
        <v>999</v>
      </c>
      <c r="U1849" s="14" t="s">
        <v>1401</v>
      </c>
      <c r="V1849" s="14">
        <v>31933080</v>
      </c>
      <c r="X1849" s="14" t="s">
        <v>2825</v>
      </c>
      <c r="Y1849" s="14" t="s">
        <v>215</v>
      </c>
      <c r="Z1849" s="14">
        <v>20612</v>
      </c>
      <c r="AA1849" s="14" t="s">
        <v>2826</v>
      </c>
      <c r="AB1849" s="14">
        <v>40001</v>
      </c>
      <c r="AE1849" s="14" t="s">
        <v>1400</v>
      </c>
      <c r="AF1849" s="14" t="s">
        <v>1400</v>
      </c>
      <c r="AG1849" s="14" t="s">
        <v>89</v>
      </c>
    </row>
    <row r="1850" spans="2:33">
      <c r="B1850" s="14">
        <f>10000000+INDEX(编号表!$B:$B,MATCH(H1850,编号表!$A:$A,0))*100000+INDEX(编号表!$F:$F,MATCH(D1850,编号表!$E:$E,0))*10000+INDEX(编号表!$D:$D,MATCH(AG1850,编号表!$C:$C,0))*1000+F1850</f>
        <v>11913079</v>
      </c>
      <c r="C1850" s="14" t="s">
        <v>2827</v>
      </c>
      <c r="D1850" s="14" t="s">
        <v>72</v>
      </c>
      <c r="E1850" s="14" t="s">
        <v>89</v>
      </c>
      <c r="F1850" s="14">
        <v>79</v>
      </c>
      <c r="G1850" s="14">
        <v>60</v>
      </c>
      <c r="H1850" s="14" t="s">
        <v>1400</v>
      </c>
      <c r="I1850" s="14" t="s">
        <v>75</v>
      </c>
      <c r="J1850" s="14" t="s">
        <v>201</v>
      </c>
      <c r="K1850" s="14">
        <v>1</v>
      </c>
      <c r="L1850" s="14" t="s">
        <v>1400</v>
      </c>
      <c r="N1850" s="14">
        <v>0</v>
      </c>
      <c r="O1850" s="14" t="b">
        <v>1</v>
      </c>
      <c r="Q1850" s="14" t="b">
        <v>0</v>
      </c>
      <c r="R1850" s="14">
        <v>1</v>
      </c>
      <c r="S1850" s="14" t="s">
        <v>77</v>
      </c>
      <c r="T1850" s="14">
        <v>999</v>
      </c>
      <c r="U1850" s="14" t="s">
        <v>1401</v>
      </c>
      <c r="V1850" s="14">
        <v>31913079</v>
      </c>
      <c r="X1850" s="14" t="s">
        <v>2828</v>
      </c>
      <c r="Y1850" s="14" t="s">
        <v>215</v>
      </c>
      <c r="Z1850" s="14">
        <v>20613</v>
      </c>
      <c r="AA1850" s="14" t="s">
        <v>2829</v>
      </c>
      <c r="AB1850" s="14">
        <v>40001</v>
      </c>
      <c r="AE1850" s="14" t="s">
        <v>1400</v>
      </c>
      <c r="AF1850" s="14" t="s">
        <v>1400</v>
      </c>
      <c r="AG1850" s="14" t="s">
        <v>89</v>
      </c>
    </row>
    <row r="1851" spans="2:33">
      <c r="B1851" s="14">
        <f>10000000+INDEX(编号表!$B:$B,MATCH(H1851,编号表!$A:$A,0))*100000+INDEX(编号表!$F:$F,MATCH(D1851,编号表!$E:$E,0))*10000+INDEX(编号表!$D:$D,MATCH(AG1851,编号表!$C:$C,0))*1000+F1851</f>
        <v>11923080</v>
      </c>
      <c r="C1851" s="14" t="s">
        <v>2827</v>
      </c>
      <c r="D1851" s="14" t="s">
        <v>112</v>
      </c>
      <c r="E1851" s="14" t="s">
        <v>89</v>
      </c>
      <c r="F1851" s="14">
        <v>80</v>
      </c>
      <c r="G1851" s="14">
        <v>60</v>
      </c>
      <c r="H1851" s="14" t="s">
        <v>1400</v>
      </c>
      <c r="I1851" s="14" t="s">
        <v>75</v>
      </c>
      <c r="J1851" s="14" t="s">
        <v>201</v>
      </c>
      <c r="K1851" s="14">
        <v>1</v>
      </c>
      <c r="L1851" s="14" t="s">
        <v>1400</v>
      </c>
      <c r="N1851" s="14">
        <v>0</v>
      </c>
      <c r="O1851" s="14" t="b">
        <v>1</v>
      </c>
      <c r="Q1851" s="14" t="b">
        <v>0</v>
      </c>
      <c r="R1851" s="14">
        <v>1</v>
      </c>
      <c r="S1851" s="14" t="s">
        <v>77</v>
      </c>
      <c r="T1851" s="14">
        <v>999</v>
      </c>
      <c r="U1851" s="14" t="s">
        <v>1401</v>
      </c>
      <c r="V1851" s="14">
        <v>31923080</v>
      </c>
      <c r="X1851" s="14" t="s">
        <v>2830</v>
      </c>
      <c r="Y1851" s="14" t="s">
        <v>215</v>
      </c>
      <c r="Z1851" s="14">
        <v>20614</v>
      </c>
      <c r="AA1851" s="14" t="s">
        <v>2831</v>
      </c>
      <c r="AB1851" s="14">
        <v>40001</v>
      </c>
      <c r="AE1851" s="14" t="s">
        <v>1400</v>
      </c>
      <c r="AF1851" s="14" t="s">
        <v>1400</v>
      </c>
      <c r="AG1851" s="14" t="s">
        <v>89</v>
      </c>
    </row>
    <row r="1852" spans="2:33">
      <c r="B1852" s="14">
        <f>10000000+INDEX(编号表!$B:$B,MATCH(H1852,编号表!$A:$A,0))*100000+INDEX(编号表!$F:$F,MATCH(D1852,编号表!$E:$E,0))*10000+INDEX(编号表!$D:$D,MATCH(AG1852,编号表!$C:$C,0))*1000+F1852</f>
        <v>11933081</v>
      </c>
      <c r="C1852" s="14" t="s">
        <v>2827</v>
      </c>
      <c r="D1852" s="14" t="s">
        <v>276</v>
      </c>
      <c r="E1852" s="14" t="s">
        <v>89</v>
      </c>
      <c r="F1852" s="14">
        <v>81</v>
      </c>
      <c r="G1852" s="14">
        <v>60</v>
      </c>
      <c r="H1852" s="14" t="s">
        <v>1400</v>
      </c>
      <c r="I1852" s="14" t="s">
        <v>75</v>
      </c>
      <c r="J1852" s="14" t="s">
        <v>201</v>
      </c>
      <c r="K1852" s="14">
        <v>1</v>
      </c>
      <c r="L1852" s="14" t="s">
        <v>1400</v>
      </c>
      <c r="N1852" s="14">
        <v>0</v>
      </c>
      <c r="O1852" s="14" t="b">
        <v>1</v>
      </c>
      <c r="Q1852" s="14" t="b">
        <v>0</v>
      </c>
      <c r="R1852" s="14">
        <v>1</v>
      </c>
      <c r="S1852" s="14" t="s">
        <v>77</v>
      </c>
      <c r="T1852" s="14">
        <v>999</v>
      </c>
      <c r="U1852" s="14" t="s">
        <v>1401</v>
      </c>
      <c r="V1852" s="14">
        <v>31933081</v>
      </c>
      <c r="X1852" s="14" t="s">
        <v>2832</v>
      </c>
      <c r="Y1852" s="14" t="s">
        <v>215</v>
      </c>
      <c r="Z1852" s="14">
        <v>20615</v>
      </c>
      <c r="AA1852" s="14" t="s">
        <v>2833</v>
      </c>
      <c r="AB1852" s="14">
        <v>40001</v>
      </c>
      <c r="AE1852" s="14" t="s">
        <v>1400</v>
      </c>
      <c r="AF1852" s="14" t="s">
        <v>1400</v>
      </c>
      <c r="AG1852" s="14" t="s">
        <v>89</v>
      </c>
    </row>
    <row r="1853" spans="2:33">
      <c r="B1853" s="14">
        <f>10000000+INDEX(编号表!$B:$B,MATCH(H1853,编号表!$A:$A,0))*100000+INDEX(编号表!$F:$F,MATCH(D1853,编号表!$E:$E,0))*10000+INDEX(编号表!$D:$D,MATCH(AG1853,编号表!$C:$C,0))*1000+F1853</f>
        <v>11913080</v>
      </c>
      <c r="C1853" s="14" t="s">
        <v>2834</v>
      </c>
      <c r="D1853" s="14" t="s">
        <v>72</v>
      </c>
      <c r="E1853" s="14" t="s">
        <v>89</v>
      </c>
      <c r="F1853" s="14">
        <v>80</v>
      </c>
      <c r="G1853" s="14">
        <v>60</v>
      </c>
      <c r="H1853" s="14" t="s">
        <v>1400</v>
      </c>
      <c r="I1853" s="14" t="s">
        <v>75</v>
      </c>
      <c r="J1853" s="14" t="s">
        <v>201</v>
      </c>
      <c r="K1853" s="14">
        <v>1</v>
      </c>
      <c r="L1853" s="14" t="s">
        <v>1400</v>
      </c>
      <c r="N1853" s="14">
        <v>0</v>
      </c>
      <c r="O1853" s="14" t="b">
        <v>1</v>
      </c>
      <c r="Q1853" s="14" t="b">
        <v>0</v>
      </c>
      <c r="R1853" s="14">
        <v>1</v>
      </c>
      <c r="S1853" s="14" t="s">
        <v>77</v>
      </c>
      <c r="T1853" s="14">
        <v>999</v>
      </c>
      <c r="U1853" s="14" t="s">
        <v>1401</v>
      </c>
      <c r="V1853" s="14">
        <v>31913080</v>
      </c>
      <c r="X1853" s="14" t="s">
        <v>2835</v>
      </c>
      <c r="Y1853" s="14" t="s">
        <v>215</v>
      </c>
      <c r="Z1853" s="14">
        <v>20616</v>
      </c>
      <c r="AA1853" s="14" t="s">
        <v>2836</v>
      </c>
      <c r="AB1853" s="14">
        <v>40001</v>
      </c>
      <c r="AE1853" s="14" t="s">
        <v>1400</v>
      </c>
      <c r="AF1853" s="14" t="s">
        <v>1400</v>
      </c>
      <c r="AG1853" s="14" t="s">
        <v>89</v>
      </c>
    </row>
    <row r="1854" spans="2:33">
      <c r="B1854" s="14">
        <f>10000000+INDEX(编号表!$B:$B,MATCH(H1854,编号表!$A:$A,0))*100000+INDEX(编号表!$F:$F,MATCH(D1854,编号表!$E:$E,0))*10000+INDEX(编号表!$D:$D,MATCH(AG1854,编号表!$C:$C,0))*1000+F1854</f>
        <v>11923081</v>
      </c>
      <c r="C1854" s="14" t="s">
        <v>2834</v>
      </c>
      <c r="D1854" s="14" t="s">
        <v>112</v>
      </c>
      <c r="E1854" s="14" t="s">
        <v>89</v>
      </c>
      <c r="F1854" s="14">
        <v>81</v>
      </c>
      <c r="G1854" s="14">
        <v>60</v>
      </c>
      <c r="H1854" s="14" t="s">
        <v>1400</v>
      </c>
      <c r="I1854" s="14" t="s">
        <v>75</v>
      </c>
      <c r="J1854" s="14" t="s">
        <v>201</v>
      </c>
      <c r="K1854" s="14">
        <v>1</v>
      </c>
      <c r="L1854" s="14" t="s">
        <v>1400</v>
      </c>
      <c r="N1854" s="14">
        <v>0</v>
      </c>
      <c r="O1854" s="14" t="b">
        <v>1</v>
      </c>
      <c r="Q1854" s="14" t="b">
        <v>0</v>
      </c>
      <c r="R1854" s="14">
        <v>1</v>
      </c>
      <c r="S1854" s="14" t="s">
        <v>77</v>
      </c>
      <c r="T1854" s="14">
        <v>999</v>
      </c>
      <c r="U1854" s="14" t="s">
        <v>1401</v>
      </c>
      <c r="V1854" s="14">
        <v>31923081</v>
      </c>
      <c r="X1854" s="14" t="s">
        <v>2837</v>
      </c>
      <c r="Y1854" s="14" t="s">
        <v>215</v>
      </c>
      <c r="Z1854" s="14">
        <v>20617</v>
      </c>
      <c r="AA1854" s="14" t="s">
        <v>2838</v>
      </c>
      <c r="AB1854" s="14">
        <v>40001</v>
      </c>
      <c r="AE1854" s="14" t="s">
        <v>1400</v>
      </c>
      <c r="AF1854" s="14" t="s">
        <v>1400</v>
      </c>
      <c r="AG1854" s="14" t="s">
        <v>89</v>
      </c>
    </row>
    <row r="1855" spans="2:33">
      <c r="B1855" s="14">
        <f>10000000+INDEX(编号表!$B:$B,MATCH(H1855,编号表!$A:$A,0))*100000+INDEX(编号表!$F:$F,MATCH(D1855,编号表!$E:$E,0))*10000+INDEX(编号表!$D:$D,MATCH(AG1855,编号表!$C:$C,0))*1000+F1855</f>
        <v>11933082</v>
      </c>
      <c r="C1855" s="14" t="s">
        <v>2834</v>
      </c>
      <c r="D1855" s="14" t="s">
        <v>276</v>
      </c>
      <c r="E1855" s="14" t="s">
        <v>89</v>
      </c>
      <c r="F1855" s="14">
        <v>82</v>
      </c>
      <c r="G1855" s="14">
        <v>60</v>
      </c>
      <c r="H1855" s="14" t="s">
        <v>1400</v>
      </c>
      <c r="I1855" s="14" t="s">
        <v>75</v>
      </c>
      <c r="J1855" s="14" t="s">
        <v>201</v>
      </c>
      <c r="K1855" s="14">
        <v>1</v>
      </c>
      <c r="L1855" s="14" t="s">
        <v>1400</v>
      </c>
      <c r="N1855" s="14">
        <v>0</v>
      </c>
      <c r="O1855" s="14" t="b">
        <v>1</v>
      </c>
      <c r="Q1855" s="14" t="b">
        <v>0</v>
      </c>
      <c r="R1855" s="14">
        <v>1</v>
      </c>
      <c r="S1855" s="14" t="s">
        <v>77</v>
      </c>
      <c r="T1855" s="14">
        <v>999</v>
      </c>
      <c r="U1855" s="14" t="s">
        <v>1401</v>
      </c>
      <c r="V1855" s="14">
        <v>31933082</v>
      </c>
      <c r="X1855" s="14" t="s">
        <v>2839</v>
      </c>
      <c r="Y1855" s="14" t="s">
        <v>215</v>
      </c>
      <c r="Z1855" s="14">
        <v>20618</v>
      </c>
      <c r="AA1855" s="14" t="s">
        <v>2840</v>
      </c>
      <c r="AB1855" s="14">
        <v>40001</v>
      </c>
      <c r="AE1855" s="14" t="s">
        <v>1400</v>
      </c>
      <c r="AF1855" s="14" t="s">
        <v>1400</v>
      </c>
      <c r="AG1855" s="14" t="s">
        <v>89</v>
      </c>
    </row>
    <row r="1856" spans="2:33">
      <c r="B1856" s="14">
        <f>10000000+INDEX(编号表!$B:$B,MATCH(H1856,编号表!$A:$A,0))*100000+INDEX(编号表!$F:$F,MATCH(D1856,编号表!$E:$E,0))*10000+INDEX(编号表!$D:$D,MATCH(AG1856,编号表!$C:$C,0))*1000+F1856</f>
        <v>11913081</v>
      </c>
      <c r="C1856" s="14" t="s">
        <v>2841</v>
      </c>
      <c r="D1856" s="14" t="s">
        <v>72</v>
      </c>
      <c r="E1856" s="14" t="s">
        <v>89</v>
      </c>
      <c r="F1856" s="14">
        <v>81</v>
      </c>
      <c r="G1856" s="14">
        <v>60</v>
      </c>
      <c r="H1856" s="14" t="s">
        <v>1400</v>
      </c>
      <c r="I1856" s="14" t="s">
        <v>75</v>
      </c>
      <c r="J1856" s="14" t="s">
        <v>201</v>
      </c>
      <c r="K1856" s="14">
        <v>1</v>
      </c>
      <c r="L1856" s="14" t="s">
        <v>1400</v>
      </c>
      <c r="N1856" s="14">
        <v>0</v>
      </c>
      <c r="O1856" s="14" t="b">
        <v>1</v>
      </c>
      <c r="Q1856" s="14" t="b">
        <v>0</v>
      </c>
      <c r="R1856" s="14">
        <v>1</v>
      </c>
      <c r="S1856" s="14" t="s">
        <v>77</v>
      </c>
      <c r="T1856" s="14">
        <v>999</v>
      </c>
      <c r="U1856" s="14" t="s">
        <v>1401</v>
      </c>
      <c r="V1856" s="14">
        <v>31913081</v>
      </c>
      <c r="X1856" s="14" t="s">
        <v>2842</v>
      </c>
      <c r="Y1856" s="14" t="s">
        <v>215</v>
      </c>
      <c r="Z1856" s="14">
        <v>20619</v>
      </c>
      <c r="AA1856" s="14" t="s">
        <v>2843</v>
      </c>
      <c r="AB1856" s="14">
        <v>40001</v>
      </c>
      <c r="AE1856" s="14" t="s">
        <v>1400</v>
      </c>
      <c r="AF1856" s="14" t="s">
        <v>1400</v>
      </c>
      <c r="AG1856" s="14" t="s">
        <v>89</v>
      </c>
    </row>
    <row r="1857" spans="2:33">
      <c r="B1857" s="14">
        <f>10000000+INDEX(编号表!$B:$B,MATCH(H1857,编号表!$A:$A,0))*100000+INDEX(编号表!$F:$F,MATCH(D1857,编号表!$E:$E,0))*10000+INDEX(编号表!$D:$D,MATCH(AG1857,编号表!$C:$C,0))*1000+F1857</f>
        <v>11923082</v>
      </c>
      <c r="C1857" s="14" t="s">
        <v>2841</v>
      </c>
      <c r="D1857" s="14" t="s">
        <v>112</v>
      </c>
      <c r="E1857" s="14" t="s">
        <v>89</v>
      </c>
      <c r="F1857" s="14">
        <v>82</v>
      </c>
      <c r="G1857" s="14">
        <v>60</v>
      </c>
      <c r="H1857" s="14" t="s">
        <v>1400</v>
      </c>
      <c r="I1857" s="14" t="s">
        <v>75</v>
      </c>
      <c r="J1857" s="14" t="s">
        <v>201</v>
      </c>
      <c r="K1857" s="14">
        <v>1</v>
      </c>
      <c r="L1857" s="14" t="s">
        <v>1400</v>
      </c>
      <c r="N1857" s="14">
        <v>0</v>
      </c>
      <c r="O1857" s="14" t="b">
        <v>1</v>
      </c>
      <c r="Q1857" s="14" t="b">
        <v>0</v>
      </c>
      <c r="R1857" s="14">
        <v>1</v>
      </c>
      <c r="S1857" s="14" t="s">
        <v>77</v>
      </c>
      <c r="T1857" s="14">
        <v>999</v>
      </c>
      <c r="U1857" s="14" t="s">
        <v>1401</v>
      </c>
      <c r="V1857" s="14">
        <v>31923082</v>
      </c>
      <c r="X1857" s="14" t="s">
        <v>2844</v>
      </c>
      <c r="Y1857" s="14" t="s">
        <v>215</v>
      </c>
      <c r="Z1857" s="14">
        <v>20620</v>
      </c>
      <c r="AA1857" s="14" t="s">
        <v>2845</v>
      </c>
      <c r="AB1857" s="14">
        <v>40001</v>
      </c>
      <c r="AE1857" s="14" t="s">
        <v>1400</v>
      </c>
      <c r="AF1857" s="14" t="s">
        <v>1400</v>
      </c>
      <c r="AG1857" s="14" t="s">
        <v>89</v>
      </c>
    </row>
    <row r="1858" spans="2:33">
      <c r="B1858" s="14">
        <f>10000000+INDEX(编号表!$B:$B,MATCH(H1858,编号表!$A:$A,0))*100000+INDEX(编号表!$F:$F,MATCH(D1858,编号表!$E:$E,0))*10000+INDEX(编号表!$D:$D,MATCH(AG1858,编号表!$C:$C,0))*1000+F1858</f>
        <v>11933083</v>
      </c>
      <c r="C1858" s="14" t="s">
        <v>2841</v>
      </c>
      <c r="D1858" s="14" t="s">
        <v>276</v>
      </c>
      <c r="E1858" s="14" t="s">
        <v>89</v>
      </c>
      <c r="F1858" s="14">
        <v>83</v>
      </c>
      <c r="G1858" s="14">
        <v>60</v>
      </c>
      <c r="H1858" s="14" t="s">
        <v>1400</v>
      </c>
      <c r="I1858" s="14" t="s">
        <v>75</v>
      </c>
      <c r="J1858" s="14" t="s">
        <v>201</v>
      </c>
      <c r="K1858" s="14">
        <v>1</v>
      </c>
      <c r="L1858" s="14" t="s">
        <v>1400</v>
      </c>
      <c r="N1858" s="14">
        <v>0</v>
      </c>
      <c r="O1858" s="14" t="b">
        <v>1</v>
      </c>
      <c r="Q1858" s="14" t="b">
        <v>0</v>
      </c>
      <c r="R1858" s="14">
        <v>1</v>
      </c>
      <c r="S1858" s="14" t="s">
        <v>77</v>
      </c>
      <c r="T1858" s="14">
        <v>999</v>
      </c>
      <c r="U1858" s="14" t="s">
        <v>1401</v>
      </c>
      <c r="V1858" s="14">
        <v>31933083</v>
      </c>
      <c r="X1858" s="14" t="s">
        <v>2846</v>
      </c>
      <c r="Y1858" s="14" t="s">
        <v>215</v>
      </c>
      <c r="Z1858" s="14">
        <v>20621</v>
      </c>
      <c r="AA1858" s="14" t="s">
        <v>2847</v>
      </c>
      <c r="AB1858" s="14">
        <v>40001</v>
      </c>
      <c r="AE1858" s="14" t="s">
        <v>1400</v>
      </c>
      <c r="AF1858" s="14" t="s">
        <v>1400</v>
      </c>
      <c r="AG1858" s="14" t="s">
        <v>89</v>
      </c>
    </row>
    <row r="1859" spans="2:33">
      <c r="B1859" s="14">
        <f>10000000+INDEX(编号表!$B:$B,MATCH(H1859,编号表!$A:$A,0))*100000+INDEX(编号表!$F:$F,MATCH(D1859,编号表!$E:$E,0))*10000+INDEX(编号表!$D:$D,MATCH(AG1859,编号表!$C:$C,0))*1000+F1859</f>
        <v>11913082</v>
      </c>
      <c r="C1859" s="14" t="s">
        <v>2848</v>
      </c>
      <c r="D1859" s="14" t="s">
        <v>72</v>
      </c>
      <c r="E1859" s="14" t="s">
        <v>89</v>
      </c>
      <c r="F1859" s="14">
        <v>82</v>
      </c>
      <c r="G1859" s="14">
        <v>60</v>
      </c>
      <c r="H1859" s="14" t="s">
        <v>1400</v>
      </c>
      <c r="I1859" s="14" t="s">
        <v>75</v>
      </c>
      <c r="J1859" s="14" t="s">
        <v>201</v>
      </c>
      <c r="K1859" s="14">
        <v>1</v>
      </c>
      <c r="L1859" s="14" t="s">
        <v>1400</v>
      </c>
      <c r="N1859" s="14">
        <v>0</v>
      </c>
      <c r="O1859" s="14" t="b">
        <v>1</v>
      </c>
      <c r="Q1859" s="14" t="b">
        <v>0</v>
      </c>
      <c r="R1859" s="14">
        <v>1</v>
      </c>
      <c r="S1859" s="14" t="s">
        <v>77</v>
      </c>
      <c r="T1859" s="14">
        <v>999</v>
      </c>
      <c r="U1859" s="14" t="s">
        <v>1401</v>
      </c>
      <c r="V1859" s="14">
        <v>31913082</v>
      </c>
      <c r="X1859" s="14" t="s">
        <v>2849</v>
      </c>
      <c r="Y1859" s="14" t="s">
        <v>215</v>
      </c>
      <c r="Z1859" s="14">
        <v>20622</v>
      </c>
      <c r="AA1859" s="14" t="s">
        <v>2850</v>
      </c>
      <c r="AB1859" s="14">
        <v>40001</v>
      </c>
      <c r="AE1859" s="14" t="s">
        <v>1400</v>
      </c>
      <c r="AF1859" s="14" t="s">
        <v>1400</v>
      </c>
      <c r="AG1859" s="14" t="s">
        <v>89</v>
      </c>
    </row>
    <row r="1860" spans="2:33">
      <c r="B1860" s="14">
        <f>10000000+INDEX(编号表!$B:$B,MATCH(H1860,编号表!$A:$A,0))*100000+INDEX(编号表!$F:$F,MATCH(D1860,编号表!$E:$E,0))*10000+INDEX(编号表!$D:$D,MATCH(AG1860,编号表!$C:$C,0))*1000+F1860</f>
        <v>11923083</v>
      </c>
      <c r="C1860" s="14" t="s">
        <v>2848</v>
      </c>
      <c r="D1860" s="14" t="s">
        <v>112</v>
      </c>
      <c r="E1860" s="14" t="s">
        <v>89</v>
      </c>
      <c r="F1860" s="14">
        <v>83</v>
      </c>
      <c r="G1860" s="14">
        <v>60</v>
      </c>
      <c r="H1860" s="14" t="s">
        <v>1400</v>
      </c>
      <c r="I1860" s="14" t="s">
        <v>75</v>
      </c>
      <c r="J1860" s="14" t="s">
        <v>201</v>
      </c>
      <c r="K1860" s="14">
        <v>1</v>
      </c>
      <c r="L1860" s="14" t="s">
        <v>1400</v>
      </c>
      <c r="N1860" s="14">
        <v>0</v>
      </c>
      <c r="O1860" s="14" t="b">
        <v>1</v>
      </c>
      <c r="Q1860" s="14" t="b">
        <v>0</v>
      </c>
      <c r="R1860" s="14">
        <v>1</v>
      </c>
      <c r="S1860" s="14" t="s">
        <v>77</v>
      </c>
      <c r="T1860" s="14">
        <v>999</v>
      </c>
      <c r="U1860" s="14" t="s">
        <v>1401</v>
      </c>
      <c r="V1860" s="14">
        <v>31923083</v>
      </c>
      <c r="X1860" s="14" t="s">
        <v>2851</v>
      </c>
      <c r="Y1860" s="14" t="s">
        <v>215</v>
      </c>
      <c r="Z1860" s="14">
        <v>20623</v>
      </c>
      <c r="AA1860" s="14" t="s">
        <v>2852</v>
      </c>
      <c r="AB1860" s="14">
        <v>40001</v>
      </c>
      <c r="AE1860" s="14" t="s">
        <v>1400</v>
      </c>
      <c r="AF1860" s="14" t="s">
        <v>1400</v>
      </c>
      <c r="AG1860" s="14" t="s">
        <v>89</v>
      </c>
    </row>
    <row r="1861" spans="2:33">
      <c r="B1861" s="14">
        <f>10000000+INDEX(编号表!$B:$B,MATCH(H1861,编号表!$A:$A,0))*100000+INDEX(编号表!$F:$F,MATCH(D1861,编号表!$E:$E,0))*10000+INDEX(编号表!$D:$D,MATCH(AG1861,编号表!$C:$C,0))*1000+F1861</f>
        <v>11933084</v>
      </c>
      <c r="C1861" s="14" t="s">
        <v>2848</v>
      </c>
      <c r="D1861" s="14" t="s">
        <v>276</v>
      </c>
      <c r="E1861" s="14" t="s">
        <v>89</v>
      </c>
      <c r="F1861" s="14">
        <v>84</v>
      </c>
      <c r="G1861" s="14">
        <v>60</v>
      </c>
      <c r="H1861" s="14" t="s">
        <v>1400</v>
      </c>
      <c r="I1861" s="14" t="s">
        <v>75</v>
      </c>
      <c r="J1861" s="14" t="s">
        <v>201</v>
      </c>
      <c r="K1861" s="14">
        <v>1</v>
      </c>
      <c r="L1861" s="14" t="s">
        <v>1400</v>
      </c>
      <c r="N1861" s="14">
        <v>0</v>
      </c>
      <c r="O1861" s="14" t="b">
        <v>1</v>
      </c>
      <c r="Q1861" s="14" t="b">
        <v>0</v>
      </c>
      <c r="R1861" s="14">
        <v>1</v>
      </c>
      <c r="S1861" s="14" t="s">
        <v>77</v>
      </c>
      <c r="T1861" s="14">
        <v>999</v>
      </c>
      <c r="U1861" s="14" t="s">
        <v>1401</v>
      </c>
      <c r="V1861" s="14">
        <v>31933084</v>
      </c>
      <c r="X1861" s="14" t="s">
        <v>2853</v>
      </c>
      <c r="Y1861" s="14" t="s">
        <v>215</v>
      </c>
      <c r="Z1861" s="14">
        <v>20624</v>
      </c>
      <c r="AA1861" s="14" t="s">
        <v>2854</v>
      </c>
      <c r="AB1861" s="14">
        <v>40001</v>
      </c>
      <c r="AE1861" s="14" t="s">
        <v>1400</v>
      </c>
      <c r="AF1861" s="14" t="s">
        <v>1400</v>
      </c>
      <c r="AG1861" s="14" t="s">
        <v>89</v>
      </c>
    </row>
    <row r="1862" spans="2:33">
      <c r="B1862" s="14">
        <f>10000000+INDEX(编号表!$B:$B,MATCH(H1862,编号表!$A:$A,0))*100000+INDEX(编号表!$F:$F,MATCH(D1862,编号表!$E:$E,0))*10000+INDEX(编号表!$D:$D,MATCH(AG1862,编号表!$C:$C,0))*1000+F1862</f>
        <v>11913083</v>
      </c>
      <c r="C1862" s="14" t="s">
        <v>2855</v>
      </c>
      <c r="D1862" s="14" t="s">
        <v>72</v>
      </c>
      <c r="E1862" s="14" t="s">
        <v>89</v>
      </c>
      <c r="F1862" s="14">
        <v>83</v>
      </c>
      <c r="G1862" s="14">
        <v>60</v>
      </c>
      <c r="H1862" s="14" t="s">
        <v>1400</v>
      </c>
      <c r="I1862" s="14" t="s">
        <v>75</v>
      </c>
      <c r="J1862" s="14" t="s">
        <v>201</v>
      </c>
      <c r="K1862" s="14">
        <v>1</v>
      </c>
      <c r="L1862" s="14" t="s">
        <v>1400</v>
      </c>
      <c r="N1862" s="14">
        <v>0</v>
      </c>
      <c r="O1862" s="14" t="b">
        <v>1</v>
      </c>
      <c r="Q1862" s="14" t="b">
        <v>0</v>
      </c>
      <c r="R1862" s="14">
        <v>1</v>
      </c>
      <c r="S1862" s="14" t="s">
        <v>77</v>
      </c>
      <c r="T1862" s="14">
        <v>999</v>
      </c>
      <c r="U1862" s="14" t="s">
        <v>1401</v>
      </c>
      <c r="V1862" s="14">
        <v>31913083</v>
      </c>
      <c r="X1862" s="14" t="s">
        <v>2856</v>
      </c>
      <c r="Y1862" s="14" t="s">
        <v>215</v>
      </c>
      <c r="Z1862" s="14">
        <v>20625</v>
      </c>
      <c r="AA1862" s="14" t="s">
        <v>2857</v>
      </c>
      <c r="AB1862" s="14">
        <v>40001</v>
      </c>
      <c r="AE1862" s="14" t="s">
        <v>1400</v>
      </c>
      <c r="AF1862" s="14" t="s">
        <v>1400</v>
      </c>
      <c r="AG1862" s="14" t="s">
        <v>89</v>
      </c>
    </row>
    <row r="1863" spans="2:33">
      <c r="B1863" s="14">
        <f>10000000+INDEX(编号表!$B:$B,MATCH(H1863,编号表!$A:$A,0))*100000+INDEX(编号表!$F:$F,MATCH(D1863,编号表!$E:$E,0))*10000+INDEX(编号表!$D:$D,MATCH(AG1863,编号表!$C:$C,0))*1000+F1863</f>
        <v>11923084</v>
      </c>
      <c r="C1863" s="14" t="s">
        <v>2855</v>
      </c>
      <c r="D1863" s="14" t="s">
        <v>112</v>
      </c>
      <c r="E1863" s="14" t="s">
        <v>89</v>
      </c>
      <c r="F1863" s="14">
        <v>84</v>
      </c>
      <c r="G1863" s="14">
        <v>60</v>
      </c>
      <c r="H1863" s="14" t="s">
        <v>1400</v>
      </c>
      <c r="I1863" s="14" t="s">
        <v>75</v>
      </c>
      <c r="J1863" s="14" t="s">
        <v>201</v>
      </c>
      <c r="K1863" s="14">
        <v>1</v>
      </c>
      <c r="L1863" s="14" t="s">
        <v>1400</v>
      </c>
      <c r="N1863" s="14">
        <v>0</v>
      </c>
      <c r="O1863" s="14" t="b">
        <v>1</v>
      </c>
      <c r="Q1863" s="14" t="b">
        <v>0</v>
      </c>
      <c r="R1863" s="14">
        <v>1</v>
      </c>
      <c r="S1863" s="14" t="s">
        <v>77</v>
      </c>
      <c r="T1863" s="14">
        <v>999</v>
      </c>
      <c r="U1863" s="14" t="s">
        <v>1401</v>
      </c>
      <c r="V1863" s="14">
        <v>31923084</v>
      </c>
      <c r="X1863" s="14" t="s">
        <v>2858</v>
      </c>
      <c r="Y1863" s="14" t="s">
        <v>215</v>
      </c>
      <c r="Z1863" s="14">
        <v>20626</v>
      </c>
      <c r="AA1863" s="14" t="s">
        <v>2859</v>
      </c>
      <c r="AB1863" s="14">
        <v>40001</v>
      </c>
      <c r="AE1863" s="14" t="s">
        <v>1400</v>
      </c>
      <c r="AF1863" s="14" t="s">
        <v>1400</v>
      </c>
      <c r="AG1863" s="14" t="s">
        <v>89</v>
      </c>
    </row>
    <row r="1864" spans="2:33">
      <c r="B1864" s="14">
        <f>10000000+INDEX(编号表!$B:$B,MATCH(H1864,编号表!$A:$A,0))*100000+INDEX(编号表!$F:$F,MATCH(D1864,编号表!$E:$E,0))*10000+INDEX(编号表!$D:$D,MATCH(AG1864,编号表!$C:$C,0))*1000+F1864</f>
        <v>11933085</v>
      </c>
      <c r="C1864" s="14" t="s">
        <v>2855</v>
      </c>
      <c r="D1864" s="14" t="s">
        <v>276</v>
      </c>
      <c r="E1864" s="14" t="s">
        <v>89</v>
      </c>
      <c r="F1864" s="14">
        <v>85</v>
      </c>
      <c r="G1864" s="14">
        <v>60</v>
      </c>
      <c r="H1864" s="14" t="s">
        <v>1400</v>
      </c>
      <c r="I1864" s="14" t="s">
        <v>75</v>
      </c>
      <c r="J1864" s="14" t="s">
        <v>201</v>
      </c>
      <c r="K1864" s="14">
        <v>1</v>
      </c>
      <c r="L1864" s="14" t="s">
        <v>1400</v>
      </c>
      <c r="N1864" s="14">
        <v>0</v>
      </c>
      <c r="O1864" s="14" t="b">
        <v>1</v>
      </c>
      <c r="Q1864" s="14" t="b">
        <v>0</v>
      </c>
      <c r="R1864" s="14">
        <v>1</v>
      </c>
      <c r="S1864" s="14" t="s">
        <v>77</v>
      </c>
      <c r="T1864" s="14">
        <v>999</v>
      </c>
      <c r="U1864" s="14" t="s">
        <v>1401</v>
      </c>
      <c r="V1864" s="14">
        <v>31933085</v>
      </c>
      <c r="X1864" s="14" t="s">
        <v>2860</v>
      </c>
      <c r="Y1864" s="14" t="s">
        <v>215</v>
      </c>
      <c r="Z1864" s="14">
        <v>20627</v>
      </c>
      <c r="AA1864" s="14" t="s">
        <v>2861</v>
      </c>
      <c r="AB1864" s="14">
        <v>40001</v>
      </c>
      <c r="AE1864" s="14" t="s">
        <v>1400</v>
      </c>
      <c r="AF1864" s="14" t="s">
        <v>1400</v>
      </c>
      <c r="AG1864" s="14" t="s">
        <v>89</v>
      </c>
    </row>
    <row r="1865" spans="2:33">
      <c r="B1865" s="14">
        <f>10000000+INDEX(编号表!$B:$B,MATCH(H1865,编号表!$A:$A,0))*100000+INDEX(编号表!$F:$F,MATCH(D1865,编号表!$E:$E,0))*10000+INDEX(编号表!$D:$D,MATCH(AG1865,编号表!$C:$C,0))*1000+F1865</f>
        <v>11913084</v>
      </c>
      <c r="C1865" s="14" t="s">
        <v>2862</v>
      </c>
      <c r="D1865" s="14" t="s">
        <v>72</v>
      </c>
      <c r="E1865" s="14" t="s">
        <v>89</v>
      </c>
      <c r="F1865" s="14">
        <v>84</v>
      </c>
      <c r="G1865" s="14">
        <v>60</v>
      </c>
      <c r="H1865" s="14" t="s">
        <v>1400</v>
      </c>
      <c r="I1865" s="14" t="s">
        <v>75</v>
      </c>
      <c r="J1865" s="14" t="s">
        <v>201</v>
      </c>
      <c r="K1865" s="14">
        <v>1</v>
      </c>
      <c r="L1865" s="14" t="s">
        <v>1400</v>
      </c>
      <c r="N1865" s="14">
        <v>0</v>
      </c>
      <c r="O1865" s="14" t="b">
        <v>1</v>
      </c>
      <c r="Q1865" s="14" t="b">
        <v>0</v>
      </c>
      <c r="R1865" s="14">
        <v>1</v>
      </c>
      <c r="S1865" s="14" t="s">
        <v>77</v>
      </c>
      <c r="T1865" s="14">
        <v>999</v>
      </c>
      <c r="U1865" s="14" t="s">
        <v>1401</v>
      </c>
      <c r="V1865" s="14">
        <v>31913084</v>
      </c>
      <c r="X1865" s="14" t="s">
        <v>2863</v>
      </c>
      <c r="Y1865" s="14" t="s">
        <v>215</v>
      </c>
      <c r="Z1865" s="14">
        <v>20628</v>
      </c>
      <c r="AA1865" s="14" t="s">
        <v>2864</v>
      </c>
      <c r="AB1865" s="14">
        <v>40001</v>
      </c>
      <c r="AE1865" s="14" t="s">
        <v>1400</v>
      </c>
      <c r="AF1865" s="14" t="s">
        <v>1400</v>
      </c>
      <c r="AG1865" s="14" t="s">
        <v>89</v>
      </c>
    </row>
    <row r="1866" spans="2:33">
      <c r="B1866" s="14">
        <f>10000000+INDEX(编号表!$B:$B,MATCH(H1866,编号表!$A:$A,0))*100000+INDEX(编号表!$F:$F,MATCH(D1866,编号表!$E:$E,0))*10000+INDEX(编号表!$D:$D,MATCH(AG1866,编号表!$C:$C,0))*1000+F1866</f>
        <v>11923085</v>
      </c>
      <c r="C1866" s="14" t="s">
        <v>2862</v>
      </c>
      <c r="D1866" s="14" t="s">
        <v>112</v>
      </c>
      <c r="E1866" s="14" t="s">
        <v>89</v>
      </c>
      <c r="F1866" s="14">
        <v>85</v>
      </c>
      <c r="G1866" s="14">
        <v>60</v>
      </c>
      <c r="H1866" s="14" t="s">
        <v>1400</v>
      </c>
      <c r="I1866" s="14" t="s">
        <v>75</v>
      </c>
      <c r="J1866" s="14" t="s">
        <v>201</v>
      </c>
      <c r="K1866" s="14">
        <v>1</v>
      </c>
      <c r="L1866" s="14" t="s">
        <v>1400</v>
      </c>
      <c r="N1866" s="14">
        <v>0</v>
      </c>
      <c r="O1866" s="14" t="b">
        <v>1</v>
      </c>
      <c r="Q1866" s="14" t="b">
        <v>0</v>
      </c>
      <c r="R1866" s="14">
        <v>1</v>
      </c>
      <c r="S1866" s="14" t="s">
        <v>77</v>
      </c>
      <c r="T1866" s="14">
        <v>999</v>
      </c>
      <c r="U1866" s="14" t="s">
        <v>1401</v>
      </c>
      <c r="V1866" s="14">
        <v>31923085</v>
      </c>
      <c r="X1866" s="14" t="s">
        <v>2865</v>
      </c>
      <c r="Y1866" s="14" t="s">
        <v>215</v>
      </c>
      <c r="Z1866" s="14">
        <v>20629</v>
      </c>
      <c r="AA1866" s="14" t="s">
        <v>2866</v>
      </c>
      <c r="AB1866" s="14">
        <v>40001</v>
      </c>
      <c r="AE1866" s="14" t="s">
        <v>1400</v>
      </c>
      <c r="AF1866" s="14" t="s">
        <v>1400</v>
      </c>
      <c r="AG1866" s="14" t="s">
        <v>89</v>
      </c>
    </row>
    <row r="1867" spans="2:33">
      <c r="B1867" s="14">
        <f>10000000+INDEX(编号表!$B:$B,MATCH(H1867,编号表!$A:$A,0))*100000+INDEX(编号表!$F:$F,MATCH(D1867,编号表!$E:$E,0))*10000+INDEX(编号表!$D:$D,MATCH(AG1867,编号表!$C:$C,0))*1000+F1867</f>
        <v>11933086</v>
      </c>
      <c r="C1867" s="14" t="s">
        <v>2862</v>
      </c>
      <c r="D1867" s="14" t="s">
        <v>276</v>
      </c>
      <c r="E1867" s="14" t="s">
        <v>89</v>
      </c>
      <c r="F1867" s="14">
        <v>86</v>
      </c>
      <c r="G1867" s="14">
        <v>60</v>
      </c>
      <c r="H1867" s="14" t="s">
        <v>1400</v>
      </c>
      <c r="I1867" s="14" t="s">
        <v>75</v>
      </c>
      <c r="J1867" s="14" t="s">
        <v>201</v>
      </c>
      <c r="K1867" s="14">
        <v>1</v>
      </c>
      <c r="L1867" s="14" t="s">
        <v>1400</v>
      </c>
      <c r="N1867" s="14">
        <v>0</v>
      </c>
      <c r="O1867" s="14" t="b">
        <v>1</v>
      </c>
      <c r="Q1867" s="14" t="b">
        <v>0</v>
      </c>
      <c r="R1867" s="14">
        <v>1</v>
      </c>
      <c r="S1867" s="14" t="s">
        <v>77</v>
      </c>
      <c r="T1867" s="14">
        <v>999</v>
      </c>
      <c r="U1867" s="14" t="s">
        <v>1401</v>
      </c>
      <c r="V1867" s="14">
        <v>31933086</v>
      </c>
      <c r="X1867" s="14" t="s">
        <v>2867</v>
      </c>
      <c r="Y1867" s="14" t="s">
        <v>215</v>
      </c>
      <c r="Z1867" s="14">
        <v>20630</v>
      </c>
      <c r="AA1867" s="14" t="s">
        <v>2868</v>
      </c>
      <c r="AB1867" s="14">
        <v>40001</v>
      </c>
      <c r="AE1867" s="14" t="s">
        <v>1400</v>
      </c>
      <c r="AF1867" s="14" t="s">
        <v>1400</v>
      </c>
      <c r="AG1867" s="14" t="s">
        <v>89</v>
      </c>
    </row>
    <row r="1868" spans="2:33">
      <c r="B1868" s="14">
        <f>10000000+INDEX(编号表!$B:$B,MATCH(H1868,编号表!$A:$A,0))*100000+INDEX(编号表!$F:$F,MATCH(D1868,编号表!$E:$E,0))*10000+INDEX(编号表!$D:$D,MATCH(AG1868,编号表!$C:$C,0))*1000+F1868</f>
        <v>11913085</v>
      </c>
      <c r="C1868" s="14" t="s">
        <v>2869</v>
      </c>
      <c r="D1868" s="14" t="s">
        <v>72</v>
      </c>
      <c r="E1868" s="14" t="s">
        <v>89</v>
      </c>
      <c r="F1868" s="14">
        <v>85</v>
      </c>
      <c r="G1868" s="14">
        <v>60</v>
      </c>
      <c r="H1868" s="14" t="s">
        <v>1400</v>
      </c>
      <c r="I1868" s="14" t="s">
        <v>75</v>
      </c>
      <c r="J1868" s="14" t="s">
        <v>201</v>
      </c>
      <c r="K1868" s="14">
        <v>1</v>
      </c>
      <c r="L1868" s="14" t="s">
        <v>1400</v>
      </c>
      <c r="N1868" s="14">
        <v>0</v>
      </c>
      <c r="O1868" s="14" t="b">
        <v>1</v>
      </c>
      <c r="Q1868" s="14" t="b">
        <v>0</v>
      </c>
      <c r="R1868" s="14">
        <v>1</v>
      </c>
      <c r="S1868" s="14" t="s">
        <v>77</v>
      </c>
      <c r="T1868" s="14">
        <v>999</v>
      </c>
      <c r="U1868" s="14" t="s">
        <v>1401</v>
      </c>
      <c r="V1868" s="14">
        <v>31913085</v>
      </c>
      <c r="X1868" s="14" t="s">
        <v>2870</v>
      </c>
      <c r="Y1868" s="14" t="s">
        <v>215</v>
      </c>
      <c r="Z1868" s="14">
        <v>20631</v>
      </c>
      <c r="AA1868" s="14" t="s">
        <v>2871</v>
      </c>
      <c r="AB1868" s="14">
        <v>40001</v>
      </c>
      <c r="AE1868" s="14" t="s">
        <v>1400</v>
      </c>
      <c r="AF1868" s="14" t="s">
        <v>1400</v>
      </c>
      <c r="AG1868" s="14" t="s">
        <v>89</v>
      </c>
    </row>
    <row r="1869" spans="2:33">
      <c r="B1869" s="14">
        <f>10000000+INDEX(编号表!$B:$B,MATCH(H1869,编号表!$A:$A,0))*100000+INDEX(编号表!$F:$F,MATCH(D1869,编号表!$E:$E,0))*10000+INDEX(编号表!$D:$D,MATCH(AG1869,编号表!$C:$C,0))*1000+F1869</f>
        <v>11923086</v>
      </c>
      <c r="C1869" s="14" t="s">
        <v>2869</v>
      </c>
      <c r="D1869" s="14" t="s">
        <v>112</v>
      </c>
      <c r="E1869" s="14" t="s">
        <v>89</v>
      </c>
      <c r="F1869" s="14">
        <v>86</v>
      </c>
      <c r="G1869" s="14">
        <v>60</v>
      </c>
      <c r="H1869" s="14" t="s">
        <v>1400</v>
      </c>
      <c r="I1869" s="14" t="s">
        <v>75</v>
      </c>
      <c r="J1869" s="14" t="s">
        <v>201</v>
      </c>
      <c r="K1869" s="14">
        <v>1</v>
      </c>
      <c r="L1869" s="14" t="s">
        <v>1400</v>
      </c>
      <c r="N1869" s="14">
        <v>0</v>
      </c>
      <c r="O1869" s="14" t="b">
        <v>1</v>
      </c>
      <c r="Q1869" s="14" t="b">
        <v>0</v>
      </c>
      <c r="R1869" s="14">
        <v>1</v>
      </c>
      <c r="S1869" s="14" t="s">
        <v>77</v>
      </c>
      <c r="T1869" s="14">
        <v>999</v>
      </c>
      <c r="U1869" s="14" t="s">
        <v>1401</v>
      </c>
      <c r="V1869" s="14">
        <v>31923086</v>
      </c>
      <c r="X1869" s="14" t="s">
        <v>2872</v>
      </c>
      <c r="Y1869" s="14" t="s">
        <v>215</v>
      </c>
      <c r="Z1869" s="14">
        <v>20632</v>
      </c>
      <c r="AA1869" s="14" t="s">
        <v>2873</v>
      </c>
      <c r="AB1869" s="14">
        <v>40001</v>
      </c>
      <c r="AE1869" s="14" t="s">
        <v>1400</v>
      </c>
      <c r="AF1869" s="14" t="s">
        <v>1400</v>
      </c>
      <c r="AG1869" s="14" t="s">
        <v>89</v>
      </c>
    </row>
    <row r="1870" spans="2:33">
      <c r="B1870" s="14">
        <f>10000000+INDEX(编号表!$B:$B,MATCH(H1870,编号表!$A:$A,0))*100000+INDEX(编号表!$F:$F,MATCH(D1870,编号表!$E:$E,0))*10000+INDEX(编号表!$D:$D,MATCH(AG1870,编号表!$C:$C,0))*1000+F1870</f>
        <v>11933087</v>
      </c>
      <c r="C1870" s="14" t="s">
        <v>2869</v>
      </c>
      <c r="D1870" s="14" t="s">
        <v>276</v>
      </c>
      <c r="E1870" s="14" t="s">
        <v>89</v>
      </c>
      <c r="F1870" s="14">
        <v>87</v>
      </c>
      <c r="G1870" s="14">
        <v>60</v>
      </c>
      <c r="H1870" s="14" t="s">
        <v>1400</v>
      </c>
      <c r="I1870" s="14" t="s">
        <v>75</v>
      </c>
      <c r="J1870" s="14" t="s">
        <v>201</v>
      </c>
      <c r="K1870" s="14">
        <v>1</v>
      </c>
      <c r="L1870" s="14" t="s">
        <v>1400</v>
      </c>
      <c r="N1870" s="14">
        <v>0</v>
      </c>
      <c r="O1870" s="14" t="b">
        <v>1</v>
      </c>
      <c r="Q1870" s="14" t="b">
        <v>0</v>
      </c>
      <c r="R1870" s="14">
        <v>1</v>
      </c>
      <c r="S1870" s="14" t="s">
        <v>77</v>
      </c>
      <c r="T1870" s="14">
        <v>999</v>
      </c>
      <c r="U1870" s="14" t="s">
        <v>1401</v>
      </c>
      <c r="V1870" s="14">
        <v>31933087</v>
      </c>
      <c r="X1870" s="14" t="s">
        <v>2874</v>
      </c>
      <c r="Y1870" s="14" t="s">
        <v>215</v>
      </c>
      <c r="Z1870" s="14">
        <v>20633</v>
      </c>
      <c r="AA1870" s="14" t="s">
        <v>2875</v>
      </c>
      <c r="AB1870" s="14">
        <v>40001</v>
      </c>
      <c r="AE1870" s="14" t="s">
        <v>1400</v>
      </c>
      <c r="AF1870" s="14" t="s">
        <v>1400</v>
      </c>
      <c r="AG1870" s="14" t="s">
        <v>89</v>
      </c>
    </row>
    <row r="1871" spans="2:33">
      <c r="B1871" s="14">
        <f>10000000+INDEX(编号表!$B:$B,MATCH(H1871,编号表!$A:$A,0))*100000+INDEX(编号表!$F:$F,MATCH(D1871,编号表!$E:$E,0))*10000+INDEX(编号表!$D:$D,MATCH(AG1871,编号表!$C:$C,0))*1000+F1871</f>
        <v>11913086</v>
      </c>
      <c r="C1871" s="14" t="s">
        <v>2876</v>
      </c>
      <c r="D1871" s="14" t="s">
        <v>72</v>
      </c>
      <c r="E1871" s="14" t="s">
        <v>89</v>
      </c>
      <c r="F1871" s="14">
        <v>86</v>
      </c>
      <c r="G1871" s="14">
        <v>60</v>
      </c>
      <c r="H1871" s="14" t="s">
        <v>1400</v>
      </c>
      <c r="I1871" s="14" t="s">
        <v>75</v>
      </c>
      <c r="J1871" s="14" t="s">
        <v>201</v>
      </c>
      <c r="K1871" s="14">
        <v>1</v>
      </c>
      <c r="L1871" s="14" t="s">
        <v>1400</v>
      </c>
      <c r="N1871" s="14">
        <v>0</v>
      </c>
      <c r="O1871" s="14" t="b">
        <v>1</v>
      </c>
      <c r="Q1871" s="14" t="b">
        <v>0</v>
      </c>
      <c r="R1871" s="14">
        <v>1</v>
      </c>
      <c r="S1871" s="14" t="s">
        <v>77</v>
      </c>
      <c r="T1871" s="14">
        <v>999</v>
      </c>
      <c r="U1871" s="14" t="s">
        <v>1401</v>
      </c>
      <c r="V1871" s="14">
        <v>31913086</v>
      </c>
      <c r="X1871" s="14" t="s">
        <v>2877</v>
      </c>
      <c r="Y1871" s="14" t="s">
        <v>215</v>
      </c>
      <c r="Z1871" s="14">
        <v>20634</v>
      </c>
      <c r="AA1871" s="14" t="s">
        <v>2878</v>
      </c>
      <c r="AB1871" s="14">
        <v>40001</v>
      </c>
      <c r="AE1871" s="14" t="s">
        <v>1400</v>
      </c>
      <c r="AF1871" s="14" t="s">
        <v>1400</v>
      </c>
      <c r="AG1871" s="14" t="s">
        <v>89</v>
      </c>
    </row>
    <row r="1872" spans="2:33">
      <c r="B1872" s="14">
        <f>10000000+INDEX(编号表!$B:$B,MATCH(H1872,编号表!$A:$A,0))*100000+INDEX(编号表!$F:$F,MATCH(D1872,编号表!$E:$E,0))*10000+INDEX(编号表!$D:$D,MATCH(AG1872,编号表!$C:$C,0))*1000+F1872</f>
        <v>11923087</v>
      </c>
      <c r="C1872" s="14" t="s">
        <v>2876</v>
      </c>
      <c r="D1872" s="14" t="s">
        <v>112</v>
      </c>
      <c r="E1872" s="14" t="s">
        <v>89</v>
      </c>
      <c r="F1872" s="14">
        <v>87</v>
      </c>
      <c r="G1872" s="14">
        <v>60</v>
      </c>
      <c r="H1872" s="14" t="s">
        <v>1400</v>
      </c>
      <c r="I1872" s="14" t="s">
        <v>75</v>
      </c>
      <c r="J1872" s="14" t="s">
        <v>201</v>
      </c>
      <c r="K1872" s="14">
        <v>1</v>
      </c>
      <c r="L1872" s="14" t="s">
        <v>1400</v>
      </c>
      <c r="N1872" s="14">
        <v>0</v>
      </c>
      <c r="O1872" s="14" t="b">
        <v>1</v>
      </c>
      <c r="Q1872" s="14" t="b">
        <v>0</v>
      </c>
      <c r="R1872" s="14">
        <v>1</v>
      </c>
      <c r="S1872" s="14" t="s">
        <v>77</v>
      </c>
      <c r="T1872" s="14">
        <v>999</v>
      </c>
      <c r="U1872" s="14" t="s">
        <v>1401</v>
      </c>
      <c r="V1872" s="14">
        <v>31923087</v>
      </c>
      <c r="X1872" s="14" t="s">
        <v>2879</v>
      </c>
      <c r="Y1872" s="14" t="s">
        <v>215</v>
      </c>
      <c r="Z1872" s="14">
        <v>20635</v>
      </c>
      <c r="AA1872" s="14" t="s">
        <v>2880</v>
      </c>
      <c r="AB1872" s="14">
        <v>40001</v>
      </c>
      <c r="AE1872" s="14" t="s">
        <v>1400</v>
      </c>
      <c r="AF1872" s="14" t="s">
        <v>1400</v>
      </c>
      <c r="AG1872" s="14" t="s">
        <v>89</v>
      </c>
    </row>
    <row r="1873" spans="2:33">
      <c r="B1873" s="14">
        <f>10000000+INDEX(编号表!$B:$B,MATCH(H1873,编号表!$A:$A,0))*100000+INDEX(编号表!$F:$F,MATCH(D1873,编号表!$E:$E,0))*10000+INDEX(编号表!$D:$D,MATCH(AG1873,编号表!$C:$C,0))*1000+F1873</f>
        <v>11933088</v>
      </c>
      <c r="C1873" s="14" t="s">
        <v>2876</v>
      </c>
      <c r="D1873" s="14" t="s">
        <v>276</v>
      </c>
      <c r="E1873" s="14" t="s">
        <v>89</v>
      </c>
      <c r="F1873" s="14">
        <v>88</v>
      </c>
      <c r="G1873" s="14">
        <v>60</v>
      </c>
      <c r="H1873" s="14" t="s">
        <v>1400</v>
      </c>
      <c r="I1873" s="14" t="s">
        <v>75</v>
      </c>
      <c r="J1873" s="14" t="s">
        <v>201</v>
      </c>
      <c r="K1873" s="14">
        <v>1</v>
      </c>
      <c r="L1873" s="14" t="s">
        <v>1400</v>
      </c>
      <c r="N1873" s="14">
        <v>0</v>
      </c>
      <c r="O1873" s="14" t="b">
        <v>1</v>
      </c>
      <c r="Q1873" s="14" t="b">
        <v>0</v>
      </c>
      <c r="R1873" s="14">
        <v>1</v>
      </c>
      <c r="S1873" s="14" t="s">
        <v>77</v>
      </c>
      <c r="T1873" s="14">
        <v>999</v>
      </c>
      <c r="U1873" s="14" t="s">
        <v>1401</v>
      </c>
      <c r="V1873" s="14">
        <v>31933088</v>
      </c>
      <c r="X1873" s="14" t="s">
        <v>2881</v>
      </c>
      <c r="Y1873" s="14" t="s">
        <v>215</v>
      </c>
      <c r="Z1873" s="14">
        <v>20636</v>
      </c>
      <c r="AA1873" s="14" t="s">
        <v>2882</v>
      </c>
      <c r="AB1873" s="14">
        <v>40001</v>
      </c>
      <c r="AE1873" s="14" t="s">
        <v>1400</v>
      </c>
      <c r="AF1873" s="14" t="s">
        <v>1400</v>
      </c>
      <c r="AG1873" s="14" t="s">
        <v>89</v>
      </c>
    </row>
    <row r="1874" spans="2:33">
      <c r="B1874" s="14">
        <f>10000000+INDEX(编号表!$B:$B,MATCH(H1874,编号表!$A:$A,0))*100000+INDEX(编号表!$F:$F,MATCH(D1874,编号表!$E:$E,0))*10000+INDEX(编号表!$D:$D,MATCH(AG1874,编号表!$C:$C,0))*1000+F1874</f>
        <v>11913087</v>
      </c>
      <c r="C1874" s="14" t="s">
        <v>2883</v>
      </c>
      <c r="D1874" s="14" t="s">
        <v>72</v>
      </c>
      <c r="E1874" s="14" t="s">
        <v>89</v>
      </c>
      <c r="F1874" s="14">
        <v>87</v>
      </c>
      <c r="G1874" s="14">
        <v>60</v>
      </c>
      <c r="H1874" s="14" t="s">
        <v>1400</v>
      </c>
      <c r="I1874" s="14" t="s">
        <v>75</v>
      </c>
      <c r="J1874" s="14" t="s">
        <v>201</v>
      </c>
      <c r="K1874" s="14">
        <v>1</v>
      </c>
      <c r="L1874" s="14" t="s">
        <v>1400</v>
      </c>
      <c r="N1874" s="14">
        <v>0</v>
      </c>
      <c r="O1874" s="14" t="b">
        <v>1</v>
      </c>
      <c r="Q1874" s="14" t="b">
        <v>0</v>
      </c>
      <c r="R1874" s="14">
        <v>1</v>
      </c>
      <c r="S1874" s="14" t="s">
        <v>77</v>
      </c>
      <c r="T1874" s="14">
        <v>999</v>
      </c>
      <c r="U1874" s="14" t="s">
        <v>1401</v>
      </c>
      <c r="V1874" s="14">
        <v>31913087</v>
      </c>
      <c r="X1874" s="14" t="s">
        <v>2884</v>
      </c>
      <c r="Y1874" s="14" t="s">
        <v>215</v>
      </c>
      <c r="Z1874" s="14">
        <v>20637</v>
      </c>
      <c r="AA1874" s="14" t="s">
        <v>2885</v>
      </c>
      <c r="AB1874" s="14">
        <v>40001</v>
      </c>
      <c r="AE1874" s="14" t="s">
        <v>1400</v>
      </c>
      <c r="AF1874" s="14" t="s">
        <v>1400</v>
      </c>
      <c r="AG1874" s="14" t="s">
        <v>89</v>
      </c>
    </row>
    <row r="1875" spans="2:33">
      <c r="B1875" s="14">
        <f>10000000+INDEX(编号表!$B:$B,MATCH(H1875,编号表!$A:$A,0))*100000+INDEX(编号表!$F:$F,MATCH(D1875,编号表!$E:$E,0))*10000+INDEX(编号表!$D:$D,MATCH(AG1875,编号表!$C:$C,0))*1000+F1875</f>
        <v>11923088</v>
      </c>
      <c r="C1875" s="14" t="s">
        <v>2883</v>
      </c>
      <c r="D1875" s="14" t="s">
        <v>112</v>
      </c>
      <c r="E1875" s="14" t="s">
        <v>89</v>
      </c>
      <c r="F1875" s="14">
        <v>88</v>
      </c>
      <c r="G1875" s="14">
        <v>60</v>
      </c>
      <c r="H1875" s="14" t="s">
        <v>1400</v>
      </c>
      <c r="I1875" s="14" t="s">
        <v>75</v>
      </c>
      <c r="J1875" s="14" t="s">
        <v>201</v>
      </c>
      <c r="K1875" s="14">
        <v>1</v>
      </c>
      <c r="L1875" s="14" t="s">
        <v>1400</v>
      </c>
      <c r="N1875" s="14">
        <v>0</v>
      </c>
      <c r="O1875" s="14" t="b">
        <v>1</v>
      </c>
      <c r="Q1875" s="14" t="b">
        <v>0</v>
      </c>
      <c r="R1875" s="14">
        <v>1</v>
      </c>
      <c r="S1875" s="14" t="s">
        <v>77</v>
      </c>
      <c r="T1875" s="14">
        <v>999</v>
      </c>
      <c r="U1875" s="14" t="s">
        <v>1401</v>
      </c>
      <c r="V1875" s="14">
        <v>31923088</v>
      </c>
      <c r="X1875" s="14" t="s">
        <v>2886</v>
      </c>
      <c r="Y1875" s="14" t="s">
        <v>215</v>
      </c>
      <c r="Z1875" s="14">
        <v>20638</v>
      </c>
      <c r="AA1875" s="14" t="s">
        <v>2887</v>
      </c>
      <c r="AB1875" s="14">
        <v>40001</v>
      </c>
      <c r="AE1875" s="14" t="s">
        <v>1400</v>
      </c>
      <c r="AF1875" s="14" t="s">
        <v>1400</v>
      </c>
      <c r="AG1875" s="14" t="s">
        <v>89</v>
      </c>
    </row>
    <row r="1876" spans="2:33">
      <c r="B1876" s="14">
        <f>10000000+INDEX(编号表!$B:$B,MATCH(H1876,编号表!$A:$A,0))*100000+INDEX(编号表!$F:$F,MATCH(D1876,编号表!$E:$E,0))*10000+INDEX(编号表!$D:$D,MATCH(AG1876,编号表!$C:$C,0))*1000+F1876</f>
        <v>11933089</v>
      </c>
      <c r="C1876" s="14" t="s">
        <v>2883</v>
      </c>
      <c r="D1876" s="14" t="s">
        <v>276</v>
      </c>
      <c r="E1876" s="14" t="s">
        <v>89</v>
      </c>
      <c r="F1876" s="14">
        <v>89</v>
      </c>
      <c r="G1876" s="14">
        <v>60</v>
      </c>
      <c r="H1876" s="14" t="s">
        <v>1400</v>
      </c>
      <c r="I1876" s="14" t="s">
        <v>75</v>
      </c>
      <c r="J1876" s="14" t="s">
        <v>201</v>
      </c>
      <c r="K1876" s="14">
        <v>1</v>
      </c>
      <c r="L1876" s="14" t="s">
        <v>1400</v>
      </c>
      <c r="N1876" s="14">
        <v>0</v>
      </c>
      <c r="O1876" s="14" t="b">
        <v>1</v>
      </c>
      <c r="Q1876" s="14" t="b">
        <v>0</v>
      </c>
      <c r="R1876" s="14">
        <v>1</v>
      </c>
      <c r="S1876" s="14" t="s">
        <v>77</v>
      </c>
      <c r="T1876" s="14">
        <v>999</v>
      </c>
      <c r="U1876" s="14" t="s">
        <v>1401</v>
      </c>
      <c r="V1876" s="14">
        <v>31933089</v>
      </c>
      <c r="X1876" s="14" t="s">
        <v>2888</v>
      </c>
      <c r="Y1876" s="14" t="s">
        <v>215</v>
      </c>
      <c r="Z1876" s="14">
        <v>20639</v>
      </c>
      <c r="AA1876" s="14" t="s">
        <v>2889</v>
      </c>
      <c r="AB1876" s="14">
        <v>40001</v>
      </c>
      <c r="AE1876" s="14" t="s">
        <v>1400</v>
      </c>
      <c r="AF1876" s="14" t="s">
        <v>1400</v>
      </c>
      <c r="AG1876" s="14" t="s">
        <v>89</v>
      </c>
    </row>
    <row r="1877" spans="2:33">
      <c r="B1877" s="14">
        <f>10000000+INDEX(编号表!$B:$B,MATCH(H1877,编号表!$A:$A,0))*100000+INDEX(编号表!$F:$F,MATCH(D1877,编号表!$E:$E,0))*10000+INDEX(编号表!$D:$D,MATCH(AG1877,编号表!$C:$C,0))*1000+F1877</f>
        <v>11913088</v>
      </c>
      <c r="C1877" s="14" t="s">
        <v>2890</v>
      </c>
      <c r="D1877" s="14" t="s">
        <v>72</v>
      </c>
      <c r="E1877" s="14" t="s">
        <v>89</v>
      </c>
      <c r="F1877" s="14">
        <v>88</v>
      </c>
      <c r="G1877" s="14">
        <v>60</v>
      </c>
      <c r="H1877" s="14" t="s">
        <v>1400</v>
      </c>
      <c r="I1877" s="14" t="s">
        <v>75</v>
      </c>
      <c r="J1877" s="14" t="s">
        <v>201</v>
      </c>
      <c r="K1877" s="14">
        <v>1</v>
      </c>
      <c r="L1877" s="14" t="s">
        <v>1400</v>
      </c>
      <c r="N1877" s="14">
        <v>0</v>
      </c>
      <c r="O1877" s="14" t="b">
        <v>1</v>
      </c>
      <c r="Q1877" s="14" t="b">
        <v>0</v>
      </c>
      <c r="R1877" s="14">
        <v>1</v>
      </c>
      <c r="S1877" s="14" t="s">
        <v>77</v>
      </c>
      <c r="T1877" s="14">
        <v>999</v>
      </c>
      <c r="U1877" s="14" t="s">
        <v>1401</v>
      </c>
      <c r="V1877" s="14">
        <v>31913088</v>
      </c>
      <c r="X1877" s="14" t="s">
        <v>2891</v>
      </c>
      <c r="Y1877" s="14" t="s">
        <v>215</v>
      </c>
      <c r="Z1877" s="14">
        <v>20640</v>
      </c>
      <c r="AA1877" s="14" t="s">
        <v>2892</v>
      </c>
      <c r="AB1877" s="14">
        <v>40001</v>
      </c>
      <c r="AE1877" s="14" t="s">
        <v>1400</v>
      </c>
      <c r="AF1877" s="14" t="s">
        <v>1400</v>
      </c>
      <c r="AG1877" s="14" t="s">
        <v>89</v>
      </c>
    </row>
    <row r="1878" spans="2:33">
      <c r="B1878" s="14">
        <f>10000000+INDEX(编号表!$B:$B,MATCH(H1878,编号表!$A:$A,0))*100000+INDEX(编号表!$F:$F,MATCH(D1878,编号表!$E:$E,0))*10000+INDEX(编号表!$D:$D,MATCH(AG1878,编号表!$C:$C,0))*1000+F1878</f>
        <v>11923089</v>
      </c>
      <c r="C1878" s="14" t="s">
        <v>2890</v>
      </c>
      <c r="D1878" s="14" t="s">
        <v>112</v>
      </c>
      <c r="E1878" s="14" t="s">
        <v>89</v>
      </c>
      <c r="F1878" s="14">
        <v>89</v>
      </c>
      <c r="G1878" s="14">
        <v>60</v>
      </c>
      <c r="H1878" s="14" t="s">
        <v>1400</v>
      </c>
      <c r="I1878" s="14" t="s">
        <v>75</v>
      </c>
      <c r="J1878" s="14" t="s">
        <v>201</v>
      </c>
      <c r="K1878" s="14">
        <v>1</v>
      </c>
      <c r="L1878" s="14" t="s">
        <v>1400</v>
      </c>
      <c r="N1878" s="14">
        <v>0</v>
      </c>
      <c r="O1878" s="14" t="b">
        <v>1</v>
      </c>
      <c r="Q1878" s="14" t="b">
        <v>0</v>
      </c>
      <c r="R1878" s="14">
        <v>1</v>
      </c>
      <c r="S1878" s="14" t="s">
        <v>77</v>
      </c>
      <c r="T1878" s="14">
        <v>999</v>
      </c>
      <c r="U1878" s="14" t="s">
        <v>1401</v>
      </c>
      <c r="V1878" s="14">
        <v>31923089</v>
      </c>
      <c r="X1878" s="14" t="s">
        <v>2893</v>
      </c>
      <c r="Y1878" s="14" t="s">
        <v>215</v>
      </c>
      <c r="Z1878" s="14">
        <v>20641</v>
      </c>
      <c r="AA1878" s="14" t="s">
        <v>2894</v>
      </c>
      <c r="AB1878" s="14">
        <v>40001</v>
      </c>
      <c r="AE1878" s="14" t="s">
        <v>1400</v>
      </c>
      <c r="AF1878" s="14" t="s">
        <v>1400</v>
      </c>
      <c r="AG1878" s="14" t="s">
        <v>89</v>
      </c>
    </row>
    <row r="1879" spans="2:33">
      <c r="B1879" s="14">
        <f>10000000+INDEX(编号表!$B:$B,MATCH(H1879,编号表!$A:$A,0))*100000+INDEX(编号表!$F:$F,MATCH(D1879,编号表!$E:$E,0))*10000+INDEX(编号表!$D:$D,MATCH(AG1879,编号表!$C:$C,0))*1000+F1879</f>
        <v>11933090</v>
      </c>
      <c r="C1879" s="14" t="s">
        <v>2890</v>
      </c>
      <c r="D1879" s="14" t="s">
        <v>276</v>
      </c>
      <c r="E1879" s="14" t="s">
        <v>89</v>
      </c>
      <c r="F1879" s="14">
        <v>90</v>
      </c>
      <c r="G1879" s="14">
        <v>60</v>
      </c>
      <c r="H1879" s="14" t="s">
        <v>1400</v>
      </c>
      <c r="I1879" s="14" t="s">
        <v>75</v>
      </c>
      <c r="J1879" s="14" t="s">
        <v>201</v>
      </c>
      <c r="K1879" s="14">
        <v>1</v>
      </c>
      <c r="L1879" s="14" t="s">
        <v>1400</v>
      </c>
      <c r="N1879" s="14">
        <v>0</v>
      </c>
      <c r="O1879" s="14" t="b">
        <v>1</v>
      </c>
      <c r="Q1879" s="14" t="b">
        <v>0</v>
      </c>
      <c r="R1879" s="14">
        <v>1</v>
      </c>
      <c r="S1879" s="14" t="s">
        <v>77</v>
      </c>
      <c r="T1879" s="14">
        <v>999</v>
      </c>
      <c r="U1879" s="14" t="s">
        <v>1401</v>
      </c>
      <c r="V1879" s="14">
        <v>31933090</v>
      </c>
      <c r="X1879" s="14" t="s">
        <v>2895</v>
      </c>
      <c r="Y1879" s="14" t="s">
        <v>215</v>
      </c>
      <c r="Z1879" s="14">
        <v>20642</v>
      </c>
      <c r="AA1879" s="14" t="s">
        <v>2896</v>
      </c>
      <c r="AB1879" s="14">
        <v>40001</v>
      </c>
      <c r="AE1879" s="14" t="s">
        <v>1400</v>
      </c>
      <c r="AF1879" s="14" t="s">
        <v>1400</v>
      </c>
      <c r="AG1879" s="14" t="s">
        <v>89</v>
      </c>
    </row>
    <row r="1880" spans="2:33">
      <c r="B1880" s="14">
        <f>10000000+INDEX(编号表!$B:$B,MATCH(H1880,编号表!$A:$A,0))*100000+INDEX(编号表!$F:$F,MATCH(D1880,编号表!$E:$E,0))*10000+INDEX(编号表!$D:$D,MATCH(AG1880,编号表!$C:$C,0))*1000+F1880</f>
        <v>11913089</v>
      </c>
      <c r="C1880" s="14" t="s">
        <v>2897</v>
      </c>
      <c r="D1880" s="14" t="s">
        <v>72</v>
      </c>
      <c r="E1880" s="14" t="s">
        <v>89</v>
      </c>
      <c r="F1880" s="14">
        <v>89</v>
      </c>
      <c r="G1880" s="14">
        <v>60</v>
      </c>
      <c r="H1880" s="14" t="s">
        <v>1400</v>
      </c>
      <c r="I1880" s="14" t="s">
        <v>75</v>
      </c>
      <c r="J1880" s="14" t="s">
        <v>201</v>
      </c>
      <c r="K1880" s="14">
        <v>1</v>
      </c>
      <c r="L1880" s="14" t="s">
        <v>1400</v>
      </c>
      <c r="N1880" s="14">
        <v>0</v>
      </c>
      <c r="O1880" s="14" t="b">
        <v>1</v>
      </c>
      <c r="Q1880" s="14" t="b">
        <v>0</v>
      </c>
      <c r="R1880" s="14">
        <v>1</v>
      </c>
      <c r="S1880" s="14" t="s">
        <v>77</v>
      </c>
      <c r="T1880" s="14">
        <v>999</v>
      </c>
      <c r="U1880" s="14" t="s">
        <v>1401</v>
      </c>
      <c r="V1880" s="14">
        <v>31913089</v>
      </c>
      <c r="X1880" s="14" t="s">
        <v>2898</v>
      </c>
      <c r="Y1880" s="14" t="s">
        <v>215</v>
      </c>
      <c r="Z1880" s="14">
        <v>20643</v>
      </c>
      <c r="AA1880" s="14" t="s">
        <v>2899</v>
      </c>
      <c r="AB1880" s="14">
        <v>40001</v>
      </c>
      <c r="AE1880" s="14" t="s">
        <v>1400</v>
      </c>
      <c r="AF1880" s="14" t="s">
        <v>1400</v>
      </c>
      <c r="AG1880" s="14" t="s">
        <v>89</v>
      </c>
    </row>
    <row r="1881" spans="2:33">
      <c r="B1881" s="14">
        <f>10000000+INDEX(编号表!$B:$B,MATCH(H1881,编号表!$A:$A,0))*100000+INDEX(编号表!$F:$F,MATCH(D1881,编号表!$E:$E,0))*10000+INDEX(编号表!$D:$D,MATCH(AG1881,编号表!$C:$C,0))*1000+F1881</f>
        <v>11923090</v>
      </c>
      <c r="C1881" s="14" t="s">
        <v>2897</v>
      </c>
      <c r="D1881" s="14" t="s">
        <v>112</v>
      </c>
      <c r="E1881" s="14" t="s">
        <v>89</v>
      </c>
      <c r="F1881" s="14">
        <v>90</v>
      </c>
      <c r="G1881" s="14">
        <v>60</v>
      </c>
      <c r="H1881" s="14" t="s">
        <v>1400</v>
      </c>
      <c r="I1881" s="14" t="s">
        <v>75</v>
      </c>
      <c r="J1881" s="14" t="s">
        <v>201</v>
      </c>
      <c r="K1881" s="14">
        <v>1</v>
      </c>
      <c r="L1881" s="14" t="s">
        <v>1400</v>
      </c>
      <c r="N1881" s="14">
        <v>0</v>
      </c>
      <c r="O1881" s="14" t="b">
        <v>1</v>
      </c>
      <c r="Q1881" s="14" t="b">
        <v>0</v>
      </c>
      <c r="R1881" s="14">
        <v>1</v>
      </c>
      <c r="S1881" s="14" t="s">
        <v>77</v>
      </c>
      <c r="T1881" s="14">
        <v>999</v>
      </c>
      <c r="U1881" s="14" t="s">
        <v>1401</v>
      </c>
      <c r="V1881" s="14">
        <v>31923090</v>
      </c>
      <c r="X1881" s="14" t="s">
        <v>2900</v>
      </c>
      <c r="Y1881" s="14" t="s">
        <v>215</v>
      </c>
      <c r="Z1881" s="14">
        <v>20644</v>
      </c>
      <c r="AA1881" s="14" t="s">
        <v>2901</v>
      </c>
      <c r="AB1881" s="14">
        <v>40001</v>
      </c>
      <c r="AE1881" s="14" t="s">
        <v>1400</v>
      </c>
      <c r="AF1881" s="14" t="s">
        <v>1400</v>
      </c>
      <c r="AG1881" s="14" t="s">
        <v>89</v>
      </c>
    </row>
    <row r="1882" spans="2:33">
      <c r="B1882" s="14">
        <f>10000000+INDEX(编号表!$B:$B,MATCH(H1882,编号表!$A:$A,0))*100000+INDEX(编号表!$F:$F,MATCH(D1882,编号表!$E:$E,0))*10000+INDEX(编号表!$D:$D,MATCH(AG1882,编号表!$C:$C,0))*1000+F1882</f>
        <v>11933091</v>
      </c>
      <c r="C1882" s="14" t="s">
        <v>2897</v>
      </c>
      <c r="D1882" s="14" t="s">
        <v>276</v>
      </c>
      <c r="E1882" s="14" t="s">
        <v>89</v>
      </c>
      <c r="F1882" s="14">
        <v>91</v>
      </c>
      <c r="G1882" s="14">
        <v>60</v>
      </c>
      <c r="H1882" s="14" t="s">
        <v>1400</v>
      </c>
      <c r="I1882" s="14" t="s">
        <v>75</v>
      </c>
      <c r="J1882" s="14" t="s">
        <v>201</v>
      </c>
      <c r="K1882" s="14">
        <v>1</v>
      </c>
      <c r="L1882" s="14" t="s">
        <v>1400</v>
      </c>
      <c r="N1882" s="14">
        <v>0</v>
      </c>
      <c r="O1882" s="14" t="b">
        <v>1</v>
      </c>
      <c r="Q1882" s="14" t="b">
        <v>0</v>
      </c>
      <c r="R1882" s="14">
        <v>1</v>
      </c>
      <c r="S1882" s="14" t="s">
        <v>77</v>
      </c>
      <c r="T1882" s="14">
        <v>999</v>
      </c>
      <c r="U1882" s="14" t="s">
        <v>1401</v>
      </c>
      <c r="V1882" s="14">
        <v>31933091</v>
      </c>
      <c r="X1882" s="14" t="s">
        <v>2902</v>
      </c>
      <c r="Y1882" s="14" t="s">
        <v>215</v>
      </c>
      <c r="Z1882" s="14">
        <v>20645</v>
      </c>
      <c r="AA1882" s="14" t="s">
        <v>2903</v>
      </c>
      <c r="AB1882" s="14">
        <v>40001</v>
      </c>
      <c r="AE1882" s="14" t="s">
        <v>1400</v>
      </c>
      <c r="AF1882" s="14" t="s">
        <v>1400</v>
      </c>
      <c r="AG1882" s="14" t="s">
        <v>89</v>
      </c>
    </row>
    <row r="1883" spans="2:33">
      <c r="B1883" s="14">
        <f>10000000+INDEX(编号表!$B:$B,MATCH(H1883,编号表!$A:$A,0))*100000+INDEX(编号表!$F:$F,MATCH(D1883,编号表!$E:$E,0))*10000+INDEX(编号表!$D:$D,MATCH(AG1883,编号表!$C:$C,0))*1000+F1883</f>
        <v>11913090</v>
      </c>
      <c r="C1883" s="14" t="s">
        <v>2904</v>
      </c>
      <c r="D1883" s="14" t="s">
        <v>72</v>
      </c>
      <c r="E1883" s="14" t="s">
        <v>89</v>
      </c>
      <c r="F1883" s="14">
        <v>90</v>
      </c>
      <c r="G1883" s="14">
        <v>60</v>
      </c>
      <c r="H1883" s="14" t="s">
        <v>1400</v>
      </c>
      <c r="I1883" s="14" t="s">
        <v>75</v>
      </c>
      <c r="J1883" s="14" t="s">
        <v>201</v>
      </c>
      <c r="K1883" s="14">
        <v>1</v>
      </c>
      <c r="L1883" s="14" t="s">
        <v>1400</v>
      </c>
      <c r="N1883" s="14">
        <v>0</v>
      </c>
      <c r="O1883" s="14" t="b">
        <v>1</v>
      </c>
      <c r="Q1883" s="14" t="b">
        <v>0</v>
      </c>
      <c r="R1883" s="14">
        <v>1</v>
      </c>
      <c r="S1883" s="14" t="s">
        <v>77</v>
      </c>
      <c r="T1883" s="14">
        <v>999</v>
      </c>
      <c r="U1883" s="14" t="s">
        <v>1401</v>
      </c>
      <c r="V1883" s="14">
        <v>31913090</v>
      </c>
      <c r="X1883" s="14" t="s">
        <v>2905</v>
      </c>
      <c r="Y1883" s="14" t="s">
        <v>215</v>
      </c>
      <c r="Z1883" s="14">
        <v>20646</v>
      </c>
      <c r="AA1883" s="14" t="s">
        <v>2906</v>
      </c>
      <c r="AB1883" s="14">
        <v>40001</v>
      </c>
      <c r="AE1883" s="14" t="s">
        <v>1400</v>
      </c>
      <c r="AF1883" s="14" t="s">
        <v>1400</v>
      </c>
      <c r="AG1883" s="14" t="s">
        <v>89</v>
      </c>
    </row>
    <row r="1884" spans="2:33">
      <c r="B1884" s="14">
        <f>10000000+INDEX(编号表!$B:$B,MATCH(H1884,编号表!$A:$A,0))*100000+INDEX(编号表!$F:$F,MATCH(D1884,编号表!$E:$E,0))*10000+INDEX(编号表!$D:$D,MATCH(AG1884,编号表!$C:$C,0))*1000+F1884</f>
        <v>11923091</v>
      </c>
      <c r="C1884" s="14" t="s">
        <v>2904</v>
      </c>
      <c r="D1884" s="14" t="s">
        <v>112</v>
      </c>
      <c r="E1884" s="14" t="s">
        <v>89</v>
      </c>
      <c r="F1884" s="14">
        <v>91</v>
      </c>
      <c r="G1884" s="14">
        <v>60</v>
      </c>
      <c r="H1884" s="14" t="s">
        <v>1400</v>
      </c>
      <c r="I1884" s="14" t="s">
        <v>75</v>
      </c>
      <c r="J1884" s="14" t="s">
        <v>201</v>
      </c>
      <c r="K1884" s="14">
        <v>1</v>
      </c>
      <c r="L1884" s="14" t="s">
        <v>1400</v>
      </c>
      <c r="N1884" s="14">
        <v>0</v>
      </c>
      <c r="O1884" s="14" t="b">
        <v>1</v>
      </c>
      <c r="Q1884" s="14" t="b">
        <v>0</v>
      </c>
      <c r="R1884" s="14">
        <v>1</v>
      </c>
      <c r="S1884" s="14" t="s">
        <v>77</v>
      </c>
      <c r="T1884" s="14">
        <v>999</v>
      </c>
      <c r="U1884" s="14" t="s">
        <v>1401</v>
      </c>
      <c r="V1884" s="14">
        <v>31923091</v>
      </c>
      <c r="X1884" s="14" t="s">
        <v>2907</v>
      </c>
      <c r="Y1884" s="14" t="s">
        <v>215</v>
      </c>
      <c r="Z1884" s="14">
        <v>20647</v>
      </c>
      <c r="AA1884" s="14" t="s">
        <v>2908</v>
      </c>
      <c r="AB1884" s="14">
        <v>40001</v>
      </c>
      <c r="AE1884" s="14" t="s">
        <v>1400</v>
      </c>
      <c r="AF1884" s="14" t="s">
        <v>1400</v>
      </c>
      <c r="AG1884" s="14" t="s">
        <v>89</v>
      </c>
    </row>
    <row r="1885" spans="2:33">
      <c r="B1885" s="14">
        <f>10000000+INDEX(编号表!$B:$B,MATCH(H1885,编号表!$A:$A,0))*100000+INDEX(编号表!$F:$F,MATCH(D1885,编号表!$E:$E,0))*10000+INDEX(编号表!$D:$D,MATCH(AG1885,编号表!$C:$C,0))*1000+F1885</f>
        <v>11933092</v>
      </c>
      <c r="C1885" s="14" t="s">
        <v>2904</v>
      </c>
      <c r="D1885" s="14" t="s">
        <v>276</v>
      </c>
      <c r="E1885" s="14" t="s">
        <v>89</v>
      </c>
      <c r="F1885" s="14">
        <v>92</v>
      </c>
      <c r="G1885" s="14">
        <v>60</v>
      </c>
      <c r="H1885" s="14" t="s">
        <v>1400</v>
      </c>
      <c r="I1885" s="14" t="s">
        <v>75</v>
      </c>
      <c r="J1885" s="14" t="s">
        <v>201</v>
      </c>
      <c r="K1885" s="14">
        <v>1</v>
      </c>
      <c r="L1885" s="14" t="s">
        <v>1400</v>
      </c>
      <c r="N1885" s="14">
        <v>0</v>
      </c>
      <c r="O1885" s="14" t="b">
        <v>1</v>
      </c>
      <c r="Q1885" s="14" t="b">
        <v>0</v>
      </c>
      <c r="R1885" s="14">
        <v>1</v>
      </c>
      <c r="S1885" s="14" t="s">
        <v>77</v>
      </c>
      <c r="T1885" s="14">
        <v>999</v>
      </c>
      <c r="U1885" s="14" t="s">
        <v>1401</v>
      </c>
      <c r="V1885" s="14">
        <v>31933092</v>
      </c>
      <c r="X1885" s="14" t="s">
        <v>2909</v>
      </c>
      <c r="Y1885" s="14" t="s">
        <v>215</v>
      </c>
      <c r="Z1885" s="14">
        <v>20648</v>
      </c>
      <c r="AA1885" s="14" t="s">
        <v>2910</v>
      </c>
      <c r="AB1885" s="14">
        <v>40001</v>
      </c>
      <c r="AE1885" s="14" t="s">
        <v>1400</v>
      </c>
      <c r="AF1885" s="14" t="s">
        <v>1400</v>
      </c>
      <c r="AG1885" s="14" t="s">
        <v>89</v>
      </c>
    </row>
    <row r="1886" spans="2:33">
      <c r="B1886" s="14">
        <f>10000000+INDEX(编号表!$B:$B,MATCH(H1886,编号表!$A:$A,0))*100000+INDEX(编号表!$F:$F,MATCH(D1886,编号表!$E:$E,0))*10000+INDEX(编号表!$D:$D,MATCH(AG1886,编号表!$C:$C,0))*1000+F1886</f>
        <v>11913091</v>
      </c>
      <c r="C1886" s="14" t="s">
        <v>2911</v>
      </c>
      <c r="D1886" s="14" t="s">
        <v>72</v>
      </c>
      <c r="E1886" s="14" t="s">
        <v>89</v>
      </c>
      <c r="F1886" s="14">
        <v>91</v>
      </c>
      <c r="G1886" s="14">
        <v>60</v>
      </c>
      <c r="H1886" s="14" t="s">
        <v>1400</v>
      </c>
      <c r="I1886" s="14" t="s">
        <v>75</v>
      </c>
      <c r="J1886" s="14" t="s">
        <v>201</v>
      </c>
      <c r="K1886" s="14">
        <v>1</v>
      </c>
      <c r="L1886" s="14" t="s">
        <v>1400</v>
      </c>
      <c r="N1886" s="14">
        <v>0</v>
      </c>
      <c r="O1886" s="14" t="b">
        <v>1</v>
      </c>
      <c r="Q1886" s="14" t="b">
        <v>0</v>
      </c>
      <c r="R1886" s="14">
        <v>1</v>
      </c>
      <c r="S1886" s="14" t="s">
        <v>77</v>
      </c>
      <c r="T1886" s="14">
        <v>999</v>
      </c>
      <c r="U1886" s="14" t="s">
        <v>1401</v>
      </c>
      <c r="V1886" s="14">
        <v>31913091</v>
      </c>
      <c r="X1886" s="14" t="s">
        <v>2912</v>
      </c>
      <c r="Y1886" s="14" t="s">
        <v>215</v>
      </c>
      <c r="Z1886" s="14">
        <v>20649</v>
      </c>
      <c r="AA1886" s="14" t="s">
        <v>2913</v>
      </c>
      <c r="AB1886" s="14">
        <v>40001</v>
      </c>
      <c r="AE1886" s="14" t="s">
        <v>1400</v>
      </c>
      <c r="AF1886" s="14" t="s">
        <v>1400</v>
      </c>
      <c r="AG1886" s="14" t="s">
        <v>89</v>
      </c>
    </row>
    <row r="1887" spans="2:33">
      <c r="B1887" s="14">
        <f>10000000+INDEX(编号表!$B:$B,MATCH(H1887,编号表!$A:$A,0))*100000+INDEX(编号表!$F:$F,MATCH(D1887,编号表!$E:$E,0))*10000+INDEX(编号表!$D:$D,MATCH(AG1887,编号表!$C:$C,0))*1000+F1887</f>
        <v>11923092</v>
      </c>
      <c r="C1887" s="14" t="s">
        <v>2911</v>
      </c>
      <c r="D1887" s="14" t="s">
        <v>112</v>
      </c>
      <c r="E1887" s="14" t="s">
        <v>89</v>
      </c>
      <c r="F1887" s="14">
        <v>92</v>
      </c>
      <c r="G1887" s="14">
        <v>60</v>
      </c>
      <c r="H1887" s="14" t="s">
        <v>1400</v>
      </c>
      <c r="I1887" s="14" t="s">
        <v>75</v>
      </c>
      <c r="J1887" s="14" t="s">
        <v>201</v>
      </c>
      <c r="K1887" s="14">
        <v>1</v>
      </c>
      <c r="L1887" s="14" t="s">
        <v>1400</v>
      </c>
      <c r="N1887" s="14">
        <v>0</v>
      </c>
      <c r="O1887" s="14" t="b">
        <v>1</v>
      </c>
      <c r="Q1887" s="14" t="b">
        <v>0</v>
      </c>
      <c r="R1887" s="14">
        <v>1</v>
      </c>
      <c r="S1887" s="14" t="s">
        <v>77</v>
      </c>
      <c r="T1887" s="14">
        <v>999</v>
      </c>
      <c r="U1887" s="14" t="s">
        <v>1401</v>
      </c>
      <c r="V1887" s="14">
        <v>31923092</v>
      </c>
      <c r="X1887" s="14" t="s">
        <v>2914</v>
      </c>
      <c r="Y1887" s="14" t="s">
        <v>215</v>
      </c>
      <c r="Z1887" s="14">
        <v>20650</v>
      </c>
      <c r="AA1887" s="14" t="s">
        <v>2915</v>
      </c>
      <c r="AB1887" s="14">
        <v>40001</v>
      </c>
      <c r="AE1887" s="14" t="s">
        <v>1400</v>
      </c>
      <c r="AF1887" s="14" t="s">
        <v>1400</v>
      </c>
      <c r="AG1887" s="14" t="s">
        <v>89</v>
      </c>
    </row>
    <row r="1888" spans="2:33">
      <c r="B1888" s="14">
        <f>10000000+INDEX(编号表!$B:$B,MATCH(H1888,编号表!$A:$A,0))*100000+INDEX(编号表!$F:$F,MATCH(D1888,编号表!$E:$E,0))*10000+INDEX(编号表!$D:$D,MATCH(AG1888,编号表!$C:$C,0))*1000+F1888</f>
        <v>11933093</v>
      </c>
      <c r="C1888" s="14" t="s">
        <v>2911</v>
      </c>
      <c r="D1888" s="14" t="s">
        <v>276</v>
      </c>
      <c r="E1888" s="14" t="s">
        <v>89</v>
      </c>
      <c r="F1888" s="14">
        <v>93</v>
      </c>
      <c r="G1888" s="14">
        <v>60</v>
      </c>
      <c r="H1888" s="14" t="s">
        <v>1400</v>
      </c>
      <c r="I1888" s="14" t="s">
        <v>75</v>
      </c>
      <c r="J1888" s="14" t="s">
        <v>201</v>
      </c>
      <c r="K1888" s="14">
        <v>1</v>
      </c>
      <c r="L1888" s="14" t="s">
        <v>1400</v>
      </c>
      <c r="N1888" s="14">
        <v>0</v>
      </c>
      <c r="O1888" s="14" t="b">
        <v>1</v>
      </c>
      <c r="Q1888" s="14" t="b">
        <v>0</v>
      </c>
      <c r="R1888" s="14">
        <v>1</v>
      </c>
      <c r="S1888" s="14" t="s">
        <v>77</v>
      </c>
      <c r="T1888" s="14">
        <v>999</v>
      </c>
      <c r="U1888" s="14" t="s">
        <v>1401</v>
      </c>
      <c r="V1888" s="14">
        <v>31933093</v>
      </c>
      <c r="X1888" s="14" t="s">
        <v>2916</v>
      </c>
      <c r="Y1888" s="14" t="s">
        <v>215</v>
      </c>
      <c r="Z1888" s="14">
        <v>20651</v>
      </c>
      <c r="AA1888" s="14" t="s">
        <v>2917</v>
      </c>
      <c r="AB1888" s="14">
        <v>40001</v>
      </c>
      <c r="AE1888" s="14" t="s">
        <v>1400</v>
      </c>
      <c r="AF1888" s="14" t="s">
        <v>1400</v>
      </c>
      <c r="AG1888" s="14" t="s">
        <v>89</v>
      </c>
    </row>
    <row r="1889" spans="2:33">
      <c r="B1889" s="14">
        <f>10000000+INDEX(编号表!$B:$B,MATCH(H1889,编号表!$A:$A,0))*100000+INDEX(编号表!$F:$F,MATCH(D1889,编号表!$E:$E,0))*10000+INDEX(编号表!$D:$D,MATCH(AG1889,编号表!$C:$C,0))*1000+F1889</f>
        <v>11913092</v>
      </c>
      <c r="C1889" s="14" t="s">
        <v>2918</v>
      </c>
      <c r="D1889" s="14" t="s">
        <v>72</v>
      </c>
      <c r="E1889" s="14" t="s">
        <v>89</v>
      </c>
      <c r="F1889" s="14">
        <v>92</v>
      </c>
      <c r="G1889" s="14">
        <v>60</v>
      </c>
      <c r="H1889" s="14" t="s">
        <v>1400</v>
      </c>
      <c r="I1889" s="14" t="s">
        <v>75</v>
      </c>
      <c r="J1889" s="14" t="s">
        <v>201</v>
      </c>
      <c r="K1889" s="14">
        <v>1</v>
      </c>
      <c r="L1889" s="14" t="s">
        <v>1400</v>
      </c>
      <c r="N1889" s="14">
        <v>0</v>
      </c>
      <c r="O1889" s="14" t="b">
        <v>1</v>
      </c>
      <c r="Q1889" s="14" t="b">
        <v>0</v>
      </c>
      <c r="R1889" s="14">
        <v>1</v>
      </c>
      <c r="S1889" s="14" t="s">
        <v>77</v>
      </c>
      <c r="T1889" s="14">
        <v>999</v>
      </c>
      <c r="U1889" s="14" t="s">
        <v>1401</v>
      </c>
      <c r="V1889" s="14">
        <v>31913092</v>
      </c>
      <c r="X1889" s="14" t="s">
        <v>2919</v>
      </c>
      <c r="Y1889" s="14" t="s">
        <v>215</v>
      </c>
      <c r="Z1889" s="14">
        <v>20652</v>
      </c>
      <c r="AA1889" s="14" t="s">
        <v>2920</v>
      </c>
      <c r="AB1889" s="14">
        <v>40001</v>
      </c>
      <c r="AE1889" s="14" t="s">
        <v>1400</v>
      </c>
      <c r="AF1889" s="14" t="s">
        <v>1400</v>
      </c>
      <c r="AG1889" s="14" t="s">
        <v>89</v>
      </c>
    </row>
    <row r="1890" spans="2:33">
      <c r="B1890" s="14">
        <f>10000000+INDEX(编号表!$B:$B,MATCH(H1890,编号表!$A:$A,0))*100000+INDEX(编号表!$F:$F,MATCH(D1890,编号表!$E:$E,0))*10000+INDEX(编号表!$D:$D,MATCH(AG1890,编号表!$C:$C,0))*1000+F1890</f>
        <v>11923093</v>
      </c>
      <c r="C1890" s="14" t="s">
        <v>2918</v>
      </c>
      <c r="D1890" s="14" t="s">
        <v>112</v>
      </c>
      <c r="E1890" s="14" t="s">
        <v>89</v>
      </c>
      <c r="F1890" s="14">
        <v>93</v>
      </c>
      <c r="G1890" s="14">
        <v>60</v>
      </c>
      <c r="H1890" s="14" t="s">
        <v>1400</v>
      </c>
      <c r="I1890" s="14" t="s">
        <v>75</v>
      </c>
      <c r="J1890" s="14" t="s">
        <v>201</v>
      </c>
      <c r="K1890" s="14">
        <v>1</v>
      </c>
      <c r="L1890" s="14" t="s">
        <v>1400</v>
      </c>
      <c r="N1890" s="14">
        <v>0</v>
      </c>
      <c r="O1890" s="14" t="b">
        <v>1</v>
      </c>
      <c r="Q1890" s="14" t="b">
        <v>0</v>
      </c>
      <c r="R1890" s="14">
        <v>1</v>
      </c>
      <c r="S1890" s="14" t="s">
        <v>77</v>
      </c>
      <c r="T1890" s="14">
        <v>999</v>
      </c>
      <c r="U1890" s="14" t="s">
        <v>1401</v>
      </c>
      <c r="V1890" s="14">
        <v>31923093</v>
      </c>
      <c r="X1890" s="14" t="s">
        <v>2921</v>
      </c>
      <c r="Y1890" s="14" t="s">
        <v>215</v>
      </c>
      <c r="Z1890" s="14">
        <v>20653</v>
      </c>
      <c r="AA1890" s="14" t="s">
        <v>2922</v>
      </c>
      <c r="AB1890" s="14">
        <v>40001</v>
      </c>
      <c r="AE1890" s="14" t="s">
        <v>1400</v>
      </c>
      <c r="AF1890" s="14" t="s">
        <v>1400</v>
      </c>
      <c r="AG1890" s="14" t="s">
        <v>89</v>
      </c>
    </row>
    <row r="1891" spans="2:33">
      <c r="B1891" s="14">
        <f>10000000+INDEX(编号表!$B:$B,MATCH(H1891,编号表!$A:$A,0))*100000+INDEX(编号表!$F:$F,MATCH(D1891,编号表!$E:$E,0))*10000+INDEX(编号表!$D:$D,MATCH(AG1891,编号表!$C:$C,0))*1000+F1891</f>
        <v>11933094</v>
      </c>
      <c r="C1891" s="14" t="s">
        <v>2918</v>
      </c>
      <c r="D1891" s="14" t="s">
        <v>276</v>
      </c>
      <c r="E1891" s="14" t="s">
        <v>89</v>
      </c>
      <c r="F1891" s="14">
        <v>94</v>
      </c>
      <c r="G1891" s="14">
        <v>60</v>
      </c>
      <c r="H1891" s="14" t="s">
        <v>1400</v>
      </c>
      <c r="I1891" s="14" t="s">
        <v>75</v>
      </c>
      <c r="J1891" s="14" t="s">
        <v>201</v>
      </c>
      <c r="K1891" s="14">
        <v>1</v>
      </c>
      <c r="L1891" s="14" t="s">
        <v>1400</v>
      </c>
      <c r="N1891" s="14">
        <v>0</v>
      </c>
      <c r="O1891" s="14" t="b">
        <v>1</v>
      </c>
      <c r="Q1891" s="14" t="b">
        <v>0</v>
      </c>
      <c r="R1891" s="14">
        <v>1</v>
      </c>
      <c r="S1891" s="14" t="s">
        <v>77</v>
      </c>
      <c r="T1891" s="14">
        <v>999</v>
      </c>
      <c r="U1891" s="14" t="s">
        <v>1401</v>
      </c>
      <c r="V1891" s="14">
        <v>31933094</v>
      </c>
      <c r="X1891" s="14" t="s">
        <v>2923</v>
      </c>
      <c r="Y1891" s="14" t="s">
        <v>215</v>
      </c>
      <c r="Z1891" s="14">
        <v>20654</v>
      </c>
      <c r="AA1891" s="14" t="s">
        <v>2924</v>
      </c>
      <c r="AB1891" s="14">
        <v>40001</v>
      </c>
      <c r="AE1891" s="14" t="s">
        <v>1400</v>
      </c>
      <c r="AF1891" s="14" t="s">
        <v>1400</v>
      </c>
      <c r="AG1891" s="14" t="s">
        <v>89</v>
      </c>
    </row>
    <row r="1892" spans="2:33">
      <c r="B1892" s="14">
        <f>10000000+INDEX(编号表!$B:$B,MATCH(H1892,编号表!$A:$A,0))*100000+INDEX(编号表!$F:$F,MATCH(D1892,编号表!$E:$E,0))*10000+INDEX(编号表!$D:$D,MATCH(AG1892,编号表!$C:$C,0))*1000+F1892</f>
        <v>11913093</v>
      </c>
      <c r="C1892" s="14" t="s">
        <v>2925</v>
      </c>
      <c r="D1892" s="14" t="s">
        <v>72</v>
      </c>
      <c r="E1892" s="14" t="s">
        <v>89</v>
      </c>
      <c r="F1892" s="14">
        <v>93</v>
      </c>
      <c r="G1892" s="14">
        <v>60</v>
      </c>
      <c r="H1892" s="14" t="s">
        <v>1400</v>
      </c>
      <c r="I1892" s="14" t="s">
        <v>75</v>
      </c>
      <c r="J1892" s="14" t="s">
        <v>201</v>
      </c>
      <c r="K1892" s="14">
        <v>1</v>
      </c>
      <c r="L1892" s="14" t="s">
        <v>1400</v>
      </c>
      <c r="N1892" s="14">
        <v>0</v>
      </c>
      <c r="O1892" s="14" t="b">
        <v>1</v>
      </c>
      <c r="Q1892" s="14" t="b">
        <v>0</v>
      </c>
      <c r="R1892" s="14">
        <v>1</v>
      </c>
      <c r="S1892" s="14" t="s">
        <v>77</v>
      </c>
      <c r="T1892" s="14">
        <v>999</v>
      </c>
      <c r="U1892" s="14" t="s">
        <v>1401</v>
      </c>
      <c r="V1892" s="14">
        <v>31913093</v>
      </c>
      <c r="X1892" s="14" t="s">
        <v>2926</v>
      </c>
      <c r="Y1892" s="14" t="s">
        <v>215</v>
      </c>
      <c r="Z1892" s="14">
        <v>20655</v>
      </c>
      <c r="AA1892" s="14" t="s">
        <v>2927</v>
      </c>
      <c r="AB1892" s="14">
        <v>40001</v>
      </c>
      <c r="AE1892" s="14" t="s">
        <v>1400</v>
      </c>
      <c r="AF1892" s="14" t="s">
        <v>1400</v>
      </c>
      <c r="AG1892" s="14" t="s">
        <v>89</v>
      </c>
    </row>
    <row r="1893" spans="2:33">
      <c r="B1893" s="14">
        <f>10000000+INDEX(编号表!$B:$B,MATCH(H1893,编号表!$A:$A,0))*100000+INDEX(编号表!$F:$F,MATCH(D1893,编号表!$E:$E,0))*10000+INDEX(编号表!$D:$D,MATCH(AG1893,编号表!$C:$C,0))*1000+F1893</f>
        <v>11923094</v>
      </c>
      <c r="C1893" s="14" t="s">
        <v>2925</v>
      </c>
      <c r="D1893" s="14" t="s">
        <v>112</v>
      </c>
      <c r="E1893" s="14" t="s">
        <v>89</v>
      </c>
      <c r="F1893" s="14">
        <v>94</v>
      </c>
      <c r="G1893" s="14">
        <v>60</v>
      </c>
      <c r="H1893" s="14" t="s">
        <v>1400</v>
      </c>
      <c r="I1893" s="14" t="s">
        <v>75</v>
      </c>
      <c r="J1893" s="14" t="s">
        <v>201</v>
      </c>
      <c r="K1893" s="14">
        <v>1</v>
      </c>
      <c r="L1893" s="14" t="s">
        <v>1400</v>
      </c>
      <c r="N1893" s="14">
        <v>0</v>
      </c>
      <c r="O1893" s="14" t="b">
        <v>1</v>
      </c>
      <c r="Q1893" s="14" t="b">
        <v>0</v>
      </c>
      <c r="R1893" s="14">
        <v>1</v>
      </c>
      <c r="S1893" s="14" t="s">
        <v>77</v>
      </c>
      <c r="T1893" s="14">
        <v>999</v>
      </c>
      <c r="U1893" s="14" t="s">
        <v>1401</v>
      </c>
      <c r="V1893" s="14">
        <v>31923094</v>
      </c>
      <c r="X1893" s="14" t="s">
        <v>2928</v>
      </c>
      <c r="Y1893" s="14" t="s">
        <v>215</v>
      </c>
      <c r="Z1893" s="14">
        <v>20656</v>
      </c>
      <c r="AA1893" s="14" t="s">
        <v>2929</v>
      </c>
      <c r="AB1893" s="14">
        <v>40001</v>
      </c>
      <c r="AE1893" s="14" t="s">
        <v>1400</v>
      </c>
      <c r="AF1893" s="14" t="s">
        <v>1400</v>
      </c>
      <c r="AG1893" s="14" t="s">
        <v>89</v>
      </c>
    </row>
    <row r="1894" spans="2:33">
      <c r="B1894" s="14">
        <f>10000000+INDEX(编号表!$B:$B,MATCH(H1894,编号表!$A:$A,0))*100000+INDEX(编号表!$F:$F,MATCH(D1894,编号表!$E:$E,0))*10000+INDEX(编号表!$D:$D,MATCH(AG1894,编号表!$C:$C,0))*1000+F1894</f>
        <v>11933095</v>
      </c>
      <c r="C1894" s="14" t="s">
        <v>2925</v>
      </c>
      <c r="D1894" s="14" t="s">
        <v>276</v>
      </c>
      <c r="E1894" s="14" t="s">
        <v>89</v>
      </c>
      <c r="F1894" s="14">
        <v>95</v>
      </c>
      <c r="G1894" s="14">
        <v>60</v>
      </c>
      <c r="H1894" s="14" t="s">
        <v>1400</v>
      </c>
      <c r="I1894" s="14" t="s">
        <v>75</v>
      </c>
      <c r="J1894" s="14" t="s">
        <v>201</v>
      </c>
      <c r="K1894" s="14">
        <v>1</v>
      </c>
      <c r="L1894" s="14" t="s">
        <v>1400</v>
      </c>
      <c r="N1894" s="14">
        <v>0</v>
      </c>
      <c r="O1894" s="14" t="b">
        <v>1</v>
      </c>
      <c r="Q1894" s="14" t="b">
        <v>0</v>
      </c>
      <c r="R1894" s="14">
        <v>1</v>
      </c>
      <c r="S1894" s="14" t="s">
        <v>77</v>
      </c>
      <c r="T1894" s="14">
        <v>999</v>
      </c>
      <c r="U1894" s="14" t="s">
        <v>1401</v>
      </c>
      <c r="V1894" s="14">
        <v>31933095</v>
      </c>
      <c r="X1894" s="14" t="s">
        <v>2930</v>
      </c>
      <c r="Y1894" s="14" t="s">
        <v>215</v>
      </c>
      <c r="Z1894" s="14">
        <v>20657</v>
      </c>
      <c r="AA1894" s="14" t="s">
        <v>2931</v>
      </c>
      <c r="AB1894" s="14">
        <v>40001</v>
      </c>
      <c r="AE1894" s="14" t="s">
        <v>1400</v>
      </c>
      <c r="AF1894" s="14" t="s">
        <v>1400</v>
      </c>
      <c r="AG1894" s="14" t="s">
        <v>89</v>
      </c>
    </row>
    <row r="1895" spans="2:33">
      <c r="B1895" s="14">
        <f>10000000+INDEX(编号表!$B:$B,MATCH(H1895,编号表!$A:$A,0))*100000+INDEX(编号表!$F:$F,MATCH(D1895,编号表!$E:$E,0))*10000+INDEX(编号表!$D:$D,MATCH(AG1895,编号表!$C:$C,0))*1000+F1895</f>
        <v>11913094</v>
      </c>
      <c r="C1895" s="14" t="s">
        <v>2932</v>
      </c>
      <c r="D1895" s="14" t="s">
        <v>72</v>
      </c>
      <c r="E1895" s="14" t="s">
        <v>89</v>
      </c>
      <c r="F1895" s="14">
        <v>94</v>
      </c>
      <c r="G1895" s="14">
        <v>60</v>
      </c>
      <c r="H1895" s="14" t="s">
        <v>1400</v>
      </c>
      <c r="I1895" s="14" t="s">
        <v>75</v>
      </c>
      <c r="J1895" s="14" t="s">
        <v>201</v>
      </c>
      <c r="K1895" s="14">
        <v>1</v>
      </c>
      <c r="L1895" s="14" t="s">
        <v>1400</v>
      </c>
      <c r="N1895" s="14">
        <v>0</v>
      </c>
      <c r="O1895" s="14" t="b">
        <v>1</v>
      </c>
      <c r="Q1895" s="14" t="b">
        <v>0</v>
      </c>
      <c r="R1895" s="14">
        <v>1</v>
      </c>
      <c r="S1895" s="14" t="s">
        <v>77</v>
      </c>
      <c r="T1895" s="14">
        <v>999</v>
      </c>
      <c r="U1895" s="14" t="s">
        <v>1401</v>
      </c>
      <c r="V1895" s="14">
        <v>31913094</v>
      </c>
      <c r="X1895" s="14" t="s">
        <v>2933</v>
      </c>
      <c r="Y1895" s="14" t="s">
        <v>215</v>
      </c>
      <c r="Z1895" s="14">
        <v>20658</v>
      </c>
      <c r="AA1895" s="14" t="s">
        <v>2934</v>
      </c>
      <c r="AB1895" s="14">
        <v>40001</v>
      </c>
      <c r="AE1895" s="14" t="s">
        <v>1400</v>
      </c>
      <c r="AF1895" s="14" t="s">
        <v>1400</v>
      </c>
      <c r="AG1895" s="14" t="s">
        <v>89</v>
      </c>
    </row>
    <row r="1896" spans="2:33">
      <c r="B1896" s="14">
        <f>10000000+INDEX(编号表!$B:$B,MATCH(H1896,编号表!$A:$A,0))*100000+INDEX(编号表!$F:$F,MATCH(D1896,编号表!$E:$E,0))*10000+INDEX(编号表!$D:$D,MATCH(AG1896,编号表!$C:$C,0))*1000+F1896</f>
        <v>11923095</v>
      </c>
      <c r="C1896" s="14" t="s">
        <v>2932</v>
      </c>
      <c r="D1896" s="14" t="s">
        <v>112</v>
      </c>
      <c r="E1896" s="14" t="s">
        <v>89</v>
      </c>
      <c r="F1896" s="14">
        <v>95</v>
      </c>
      <c r="G1896" s="14">
        <v>60</v>
      </c>
      <c r="H1896" s="14" t="s">
        <v>1400</v>
      </c>
      <c r="I1896" s="14" t="s">
        <v>75</v>
      </c>
      <c r="J1896" s="14" t="s">
        <v>201</v>
      </c>
      <c r="K1896" s="14">
        <v>1</v>
      </c>
      <c r="L1896" s="14" t="s">
        <v>1400</v>
      </c>
      <c r="N1896" s="14">
        <v>0</v>
      </c>
      <c r="O1896" s="14" t="b">
        <v>1</v>
      </c>
      <c r="Q1896" s="14" t="b">
        <v>0</v>
      </c>
      <c r="R1896" s="14">
        <v>1</v>
      </c>
      <c r="S1896" s="14" t="s">
        <v>77</v>
      </c>
      <c r="T1896" s="14">
        <v>999</v>
      </c>
      <c r="U1896" s="14" t="s">
        <v>1401</v>
      </c>
      <c r="V1896" s="14">
        <v>31923095</v>
      </c>
      <c r="X1896" s="14" t="s">
        <v>2935</v>
      </c>
      <c r="Y1896" s="14" t="s">
        <v>215</v>
      </c>
      <c r="Z1896" s="14">
        <v>20659</v>
      </c>
      <c r="AA1896" s="14" t="s">
        <v>2936</v>
      </c>
      <c r="AB1896" s="14">
        <v>40001</v>
      </c>
      <c r="AE1896" s="14" t="s">
        <v>1400</v>
      </c>
      <c r="AF1896" s="14" t="s">
        <v>1400</v>
      </c>
      <c r="AG1896" s="14" t="s">
        <v>89</v>
      </c>
    </row>
    <row r="1897" spans="2:33">
      <c r="B1897" s="14">
        <f>10000000+INDEX(编号表!$B:$B,MATCH(H1897,编号表!$A:$A,0))*100000+INDEX(编号表!$F:$F,MATCH(D1897,编号表!$E:$E,0))*10000+INDEX(编号表!$D:$D,MATCH(AG1897,编号表!$C:$C,0))*1000+F1897</f>
        <v>11933096</v>
      </c>
      <c r="C1897" s="14" t="s">
        <v>2932</v>
      </c>
      <c r="D1897" s="14" t="s">
        <v>276</v>
      </c>
      <c r="E1897" s="14" t="s">
        <v>89</v>
      </c>
      <c r="F1897" s="14">
        <v>96</v>
      </c>
      <c r="G1897" s="14">
        <v>60</v>
      </c>
      <c r="H1897" s="14" t="s">
        <v>1400</v>
      </c>
      <c r="I1897" s="14" t="s">
        <v>75</v>
      </c>
      <c r="J1897" s="14" t="s">
        <v>201</v>
      </c>
      <c r="K1897" s="14">
        <v>1</v>
      </c>
      <c r="L1897" s="14" t="s">
        <v>1400</v>
      </c>
      <c r="N1897" s="14">
        <v>0</v>
      </c>
      <c r="O1897" s="14" t="b">
        <v>1</v>
      </c>
      <c r="Q1897" s="14" t="b">
        <v>0</v>
      </c>
      <c r="R1897" s="14">
        <v>1</v>
      </c>
      <c r="S1897" s="14" t="s">
        <v>77</v>
      </c>
      <c r="T1897" s="14">
        <v>999</v>
      </c>
      <c r="U1897" s="14" t="s">
        <v>1401</v>
      </c>
      <c r="V1897" s="14">
        <v>31933096</v>
      </c>
      <c r="X1897" s="14" t="s">
        <v>2937</v>
      </c>
      <c r="Y1897" s="14" t="s">
        <v>215</v>
      </c>
      <c r="Z1897" s="14">
        <v>20660</v>
      </c>
      <c r="AA1897" s="14" t="s">
        <v>2938</v>
      </c>
      <c r="AB1897" s="14">
        <v>40001</v>
      </c>
      <c r="AE1897" s="14" t="s">
        <v>1400</v>
      </c>
      <c r="AF1897" s="14" t="s">
        <v>1400</v>
      </c>
      <c r="AG1897" s="14" t="s">
        <v>89</v>
      </c>
    </row>
    <row r="1898" spans="2:33">
      <c r="B1898" s="14">
        <f>10000000+INDEX(编号表!$B:$B,MATCH(H1898,编号表!$A:$A,0))*100000+INDEX(编号表!$F:$F,MATCH(D1898,编号表!$E:$E,0))*10000+INDEX(编号表!$D:$D,MATCH(AG1898,编号表!$C:$C,0))*1000+F1898</f>
        <v>11913095</v>
      </c>
      <c r="C1898" s="14" t="s">
        <v>2939</v>
      </c>
      <c r="D1898" s="14" t="s">
        <v>72</v>
      </c>
      <c r="E1898" s="14" t="s">
        <v>89</v>
      </c>
      <c r="F1898" s="14">
        <v>95</v>
      </c>
      <c r="G1898" s="14">
        <v>60</v>
      </c>
      <c r="H1898" s="14" t="s">
        <v>1400</v>
      </c>
      <c r="I1898" s="14" t="s">
        <v>75</v>
      </c>
      <c r="J1898" s="14" t="s">
        <v>201</v>
      </c>
      <c r="K1898" s="14">
        <v>1</v>
      </c>
      <c r="L1898" s="14" t="s">
        <v>1400</v>
      </c>
      <c r="N1898" s="14">
        <v>0</v>
      </c>
      <c r="O1898" s="14" t="b">
        <v>1</v>
      </c>
      <c r="Q1898" s="14" t="b">
        <v>0</v>
      </c>
      <c r="R1898" s="14">
        <v>1</v>
      </c>
      <c r="S1898" s="14" t="s">
        <v>77</v>
      </c>
      <c r="T1898" s="14">
        <v>999</v>
      </c>
      <c r="U1898" s="14" t="s">
        <v>1401</v>
      </c>
      <c r="V1898" s="14">
        <v>31913095</v>
      </c>
      <c r="X1898" s="14" t="s">
        <v>2940</v>
      </c>
      <c r="Y1898" s="14" t="s">
        <v>215</v>
      </c>
      <c r="Z1898" s="14">
        <v>20661</v>
      </c>
      <c r="AA1898" s="14" t="s">
        <v>2941</v>
      </c>
      <c r="AB1898" s="14">
        <v>40001</v>
      </c>
      <c r="AE1898" s="14" t="s">
        <v>1400</v>
      </c>
      <c r="AF1898" s="14" t="s">
        <v>1400</v>
      </c>
      <c r="AG1898" s="14" t="s">
        <v>89</v>
      </c>
    </row>
    <row r="1899" spans="2:33">
      <c r="B1899" s="14">
        <f>10000000+INDEX(编号表!$B:$B,MATCH(H1899,编号表!$A:$A,0))*100000+INDEX(编号表!$F:$F,MATCH(D1899,编号表!$E:$E,0))*10000+INDEX(编号表!$D:$D,MATCH(AG1899,编号表!$C:$C,0))*1000+F1899</f>
        <v>11923096</v>
      </c>
      <c r="C1899" s="14" t="s">
        <v>2939</v>
      </c>
      <c r="D1899" s="14" t="s">
        <v>112</v>
      </c>
      <c r="E1899" s="14" t="s">
        <v>89</v>
      </c>
      <c r="F1899" s="14">
        <v>96</v>
      </c>
      <c r="G1899" s="14">
        <v>60</v>
      </c>
      <c r="H1899" s="14" t="s">
        <v>1400</v>
      </c>
      <c r="I1899" s="14" t="s">
        <v>75</v>
      </c>
      <c r="J1899" s="14" t="s">
        <v>201</v>
      </c>
      <c r="K1899" s="14">
        <v>1</v>
      </c>
      <c r="L1899" s="14" t="s">
        <v>1400</v>
      </c>
      <c r="N1899" s="14">
        <v>0</v>
      </c>
      <c r="O1899" s="14" t="b">
        <v>1</v>
      </c>
      <c r="Q1899" s="14" t="b">
        <v>0</v>
      </c>
      <c r="R1899" s="14">
        <v>1</v>
      </c>
      <c r="S1899" s="14" t="s">
        <v>77</v>
      </c>
      <c r="T1899" s="14">
        <v>999</v>
      </c>
      <c r="U1899" s="14" t="s">
        <v>1401</v>
      </c>
      <c r="V1899" s="14">
        <v>31923096</v>
      </c>
      <c r="X1899" s="14" t="s">
        <v>2942</v>
      </c>
      <c r="Y1899" s="14" t="s">
        <v>215</v>
      </c>
      <c r="Z1899" s="14">
        <v>20662</v>
      </c>
      <c r="AA1899" s="14" t="s">
        <v>2943</v>
      </c>
      <c r="AB1899" s="14">
        <v>40001</v>
      </c>
      <c r="AE1899" s="14" t="s">
        <v>1400</v>
      </c>
      <c r="AF1899" s="14" t="s">
        <v>1400</v>
      </c>
      <c r="AG1899" s="14" t="s">
        <v>89</v>
      </c>
    </row>
    <row r="1900" spans="2:33">
      <c r="B1900" s="14">
        <f>10000000+INDEX(编号表!$B:$B,MATCH(H1900,编号表!$A:$A,0))*100000+INDEX(编号表!$F:$F,MATCH(D1900,编号表!$E:$E,0))*10000+INDEX(编号表!$D:$D,MATCH(AG1900,编号表!$C:$C,0))*1000+F1900</f>
        <v>11933097</v>
      </c>
      <c r="C1900" s="14" t="s">
        <v>2939</v>
      </c>
      <c r="D1900" s="14" t="s">
        <v>276</v>
      </c>
      <c r="E1900" s="14" t="s">
        <v>89</v>
      </c>
      <c r="F1900" s="14">
        <v>97</v>
      </c>
      <c r="G1900" s="14">
        <v>60</v>
      </c>
      <c r="H1900" s="14" t="s">
        <v>1400</v>
      </c>
      <c r="I1900" s="14" t="s">
        <v>75</v>
      </c>
      <c r="J1900" s="14" t="s">
        <v>201</v>
      </c>
      <c r="K1900" s="14">
        <v>1</v>
      </c>
      <c r="L1900" s="14" t="s">
        <v>1400</v>
      </c>
      <c r="N1900" s="14">
        <v>0</v>
      </c>
      <c r="O1900" s="14" t="b">
        <v>1</v>
      </c>
      <c r="Q1900" s="14" t="b">
        <v>0</v>
      </c>
      <c r="R1900" s="14">
        <v>1</v>
      </c>
      <c r="S1900" s="14" t="s">
        <v>77</v>
      </c>
      <c r="T1900" s="14">
        <v>999</v>
      </c>
      <c r="U1900" s="14" t="s">
        <v>1401</v>
      </c>
      <c r="V1900" s="14">
        <v>31933097</v>
      </c>
      <c r="X1900" s="14" t="s">
        <v>2944</v>
      </c>
      <c r="Y1900" s="14" t="s">
        <v>215</v>
      </c>
      <c r="Z1900" s="14">
        <v>20663</v>
      </c>
      <c r="AA1900" s="14" t="s">
        <v>2945</v>
      </c>
      <c r="AB1900" s="14">
        <v>40001</v>
      </c>
      <c r="AE1900" s="14" t="s">
        <v>1400</v>
      </c>
      <c r="AF1900" s="14" t="s">
        <v>1400</v>
      </c>
      <c r="AG1900" s="14" t="s">
        <v>89</v>
      </c>
    </row>
    <row r="1901" spans="2:33">
      <c r="B1901" s="14">
        <f>10000000+INDEX(编号表!$B:$B,MATCH(H1901,编号表!$A:$A,0))*100000+INDEX(编号表!$F:$F,MATCH(D1901,编号表!$E:$E,0))*10000+INDEX(编号表!$D:$D,MATCH(AG1901,编号表!$C:$C,0))*1000+F1901</f>
        <v>11913096</v>
      </c>
      <c r="C1901" s="14" t="s">
        <v>2946</v>
      </c>
      <c r="D1901" s="14" t="s">
        <v>72</v>
      </c>
      <c r="E1901" s="14" t="s">
        <v>89</v>
      </c>
      <c r="F1901" s="14">
        <v>96</v>
      </c>
      <c r="G1901" s="14">
        <v>60</v>
      </c>
      <c r="H1901" s="14" t="s">
        <v>1400</v>
      </c>
      <c r="I1901" s="14" t="s">
        <v>75</v>
      </c>
      <c r="J1901" s="14" t="s">
        <v>201</v>
      </c>
      <c r="K1901" s="14">
        <v>1</v>
      </c>
      <c r="L1901" s="14" t="s">
        <v>1400</v>
      </c>
      <c r="N1901" s="14">
        <v>0</v>
      </c>
      <c r="O1901" s="14" t="b">
        <v>1</v>
      </c>
      <c r="Q1901" s="14" t="b">
        <v>0</v>
      </c>
      <c r="R1901" s="14">
        <v>1</v>
      </c>
      <c r="S1901" s="14" t="s">
        <v>77</v>
      </c>
      <c r="T1901" s="14">
        <v>999</v>
      </c>
      <c r="U1901" s="14" t="s">
        <v>1401</v>
      </c>
      <c r="V1901" s="14">
        <v>31913096</v>
      </c>
      <c r="X1901" s="14" t="s">
        <v>2947</v>
      </c>
      <c r="Y1901" s="14" t="s">
        <v>215</v>
      </c>
      <c r="Z1901" s="14">
        <v>20664</v>
      </c>
      <c r="AA1901" s="14" t="s">
        <v>2948</v>
      </c>
      <c r="AB1901" s="14">
        <v>40001</v>
      </c>
      <c r="AE1901" s="14" t="s">
        <v>1400</v>
      </c>
      <c r="AF1901" s="14" t="s">
        <v>1400</v>
      </c>
      <c r="AG1901" s="14" t="s">
        <v>89</v>
      </c>
    </row>
    <row r="1902" spans="2:33">
      <c r="B1902" s="14">
        <f>10000000+INDEX(编号表!$B:$B,MATCH(H1902,编号表!$A:$A,0))*100000+INDEX(编号表!$F:$F,MATCH(D1902,编号表!$E:$E,0))*10000+INDEX(编号表!$D:$D,MATCH(AG1902,编号表!$C:$C,0))*1000+F1902</f>
        <v>11923097</v>
      </c>
      <c r="C1902" s="14" t="s">
        <v>2946</v>
      </c>
      <c r="D1902" s="14" t="s">
        <v>112</v>
      </c>
      <c r="E1902" s="14" t="s">
        <v>89</v>
      </c>
      <c r="F1902" s="14">
        <v>97</v>
      </c>
      <c r="G1902" s="14">
        <v>60</v>
      </c>
      <c r="H1902" s="14" t="s">
        <v>1400</v>
      </c>
      <c r="I1902" s="14" t="s">
        <v>75</v>
      </c>
      <c r="J1902" s="14" t="s">
        <v>201</v>
      </c>
      <c r="K1902" s="14">
        <v>1</v>
      </c>
      <c r="L1902" s="14" t="s">
        <v>1400</v>
      </c>
      <c r="N1902" s="14">
        <v>0</v>
      </c>
      <c r="O1902" s="14" t="b">
        <v>1</v>
      </c>
      <c r="Q1902" s="14" t="b">
        <v>0</v>
      </c>
      <c r="R1902" s="14">
        <v>1</v>
      </c>
      <c r="S1902" s="14" t="s">
        <v>77</v>
      </c>
      <c r="T1902" s="14">
        <v>999</v>
      </c>
      <c r="U1902" s="14" t="s">
        <v>1401</v>
      </c>
      <c r="V1902" s="14">
        <v>31923097</v>
      </c>
      <c r="X1902" s="14" t="s">
        <v>2949</v>
      </c>
      <c r="Y1902" s="14" t="s">
        <v>215</v>
      </c>
      <c r="Z1902" s="14">
        <v>20665</v>
      </c>
      <c r="AA1902" s="14" t="s">
        <v>2950</v>
      </c>
      <c r="AB1902" s="14">
        <v>40001</v>
      </c>
      <c r="AE1902" s="14" t="s">
        <v>1400</v>
      </c>
      <c r="AF1902" s="14" t="s">
        <v>1400</v>
      </c>
      <c r="AG1902" s="14" t="s">
        <v>89</v>
      </c>
    </row>
    <row r="1903" spans="2:33">
      <c r="B1903" s="14">
        <f>10000000+INDEX(编号表!$B:$B,MATCH(H1903,编号表!$A:$A,0))*100000+INDEX(编号表!$F:$F,MATCH(D1903,编号表!$E:$E,0))*10000+INDEX(编号表!$D:$D,MATCH(AG1903,编号表!$C:$C,0))*1000+F1903</f>
        <v>11933098</v>
      </c>
      <c r="C1903" s="14" t="s">
        <v>2946</v>
      </c>
      <c r="D1903" s="14" t="s">
        <v>276</v>
      </c>
      <c r="E1903" s="14" t="s">
        <v>89</v>
      </c>
      <c r="F1903" s="14">
        <v>98</v>
      </c>
      <c r="G1903" s="14">
        <v>60</v>
      </c>
      <c r="H1903" s="14" t="s">
        <v>1400</v>
      </c>
      <c r="I1903" s="14" t="s">
        <v>75</v>
      </c>
      <c r="J1903" s="14" t="s">
        <v>201</v>
      </c>
      <c r="K1903" s="14">
        <v>1</v>
      </c>
      <c r="L1903" s="14" t="s">
        <v>1400</v>
      </c>
      <c r="N1903" s="14">
        <v>0</v>
      </c>
      <c r="O1903" s="14" t="b">
        <v>1</v>
      </c>
      <c r="Q1903" s="14" t="b">
        <v>0</v>
      </c>
      <c r="R1903" s="14">
        <v>1</v>
      </c>
      <c r="S1903" s="14" t="s">
        <v>77</v>
      </c>
      <c r="T1903" s="14">
        <v>999</v>
      </c>
      <c r="U1903" s="14" t="s">
        <v>1401</v>
      </c>
      <c r="V1903" s="14">
        <v>31933098</v>
      </c>
      <c r="X1903" s="14" t="s">
        <v>2951</v>
      </c>
      <c r="Y1903" s="14" t="s">
        <v>215</v>
      </c>
      <c r="Z1903" s="14">
        <v>20666</v>
      </c>
      <c r="AA1903" s="14" t="s">
        <v>2952</v>
      </c>
      <c r="AB1903" s="14">
        <v>40001</v>
      </c>
      <c r="AE1903" s="14" t="s">
        <v>1400</v>
      </c>
      <c r="AF1903" s="14" t="s">
        <v>1400</v>
      </c>
      <c r="AG1903" s="14" t="s">
        <v>89</v>
      </c>
    </row>
    <row r="1904" spans="2:33">
      <c r="B1904" s="14">
        <f>10000000+INDEX(编号表!$B:$B,MATCH(H1904,编号表!$A:$A,0))*100000+INDEX(编号表!$F:$F,MATCH(D1904,编号表!$E:$E,0))*10000+INDEX(编号表!$D:$D,MATCH(AG1904,编号表!$C:$C,0))*1000+F1904</f>
        <v>11913097</v>
      </c>
      <c r="C1904" s="14" t="s">
        <v>2953</v>
      </c>
      <c r="D1904" s="14" t="s">
        <v>72</v>
      </c>
      <c r="E1904" s="14" t="s">
        <v>89</v>
      </c>
      <c r="F1904" s="14">
        <v>97</v>
      </c>
      <c r="G1904" s="14">
        <v>60</v>
      </c>
      <c r="H1904" s="14" t="s">
        <v>1400</v>
      </c>
      <c r="I1904" s="14" t="s">
        <v>75</v>
      </c>
      <c r="J1904" s="14" t="s">
        <v>201</v>
      </c>
      <c r="K1904" s="14">
        <v>1</v>
      </c>
      <c r="L1904" s="14" t="s">
        <v>1400</v>
      </c>
      <c r="N1904" s="14">
        <v>0</v>
      </c>
      <c r="O1904" s="14" t="b">
        <v>1</v>
      </c>
      <c r="Q1904" s="14" t="b">
        <v>0</v>
      </c>
      <c r="R1904" s="14">
        <v>1</v>
      </c>
      <c r="S1904" s="14" t="s">
        <v>77</v>
      </c>
      <c r="T1904" s="14">
        <v>999</v>
      </c>
      <c r="U1904" s="14" t="s">
        <v>1401</v>
      </c>
      <c r="V1904" s="14">
        <v>31913097</v>
      </c>
      <c r="X1904" s="14" t="s">
        <v>2954</v>
      </c>
      <c r="Y1904" s="14" t="s">
        <v>215</v>
      </c>
      <c r="Z1904" s="14">
        <v>20667</v>
      </c>
      <c r="AA1904" s="14" t="s">
        <v>2955</v>
      </c>
      <c r="AB1904" s="14">
        <v>40001</v>
      </c>
      <c r="AE1904" s="14" t="s">
        <v>1400</v>
      </c>
      <c r="AF1904" s="14" t="s">
        <v>1400</v>
      </c>
      <c r="AG1904" s="14" t="s">
        <v>89</v>
      </c>
    </row>
    <row r="1905" spans="2:33">
      <c r="B1905" s="14">
        <f>10000000+INDEX(编号表!$B:$B,MATCH(H1905,编号表!$A:$A,0))*100000+INDEX(编号表!$F:$F,MATCH(D1905,编号表!$E:$E,0))*10000+INDEX(编号表!$D:$D,MATCH(AG1905,编号表!$C:$C,0))*1000+F1905</f>
        <v>11923098</v>
      </c>
      <c r="C1905" s="14" t="s">
        <v>2953</v>
      </c>
      <c r="D1905" s="14" t="s">
        <v>112</v>
      </c>
      <c r="E1905" s="14" t="s">
        <v>89</v>
      </c>
      <c r="F1905" s="14">
        <v>98</v>
      </c>
      <c r="G1905" s="14">
        <v>60</v>
      </c>
      <c r="H1905" s="14" t="s">
        <v>1400</v>
      </c>
      <c r="I1905" s="14" t="s">
        <v>75</v>
      </c>
      <c r="J1905" s="14" t="s">
        <v>201</v>
      </c>
      <c r="K1905" s="14">
        <v>1</v>
      </c>
      <c r="L1905" s="14" t="s">
        <v>1400</v>
      </c>
      <c r="N1905" s="14">
        <v>0</v>
      </c>
      <c r="O1905" s="14" t="b">
        <v>1</v>
      </c>
      <c r="Q1905" s="14" t="b">
        <v>0</v>
      </c>
      <c r="R1905" s="14">
        <v>1</v>
      </c>
      <c r="S1905" s="14" t="s">
        <v>77</v>
      </c>
      <c r="T1905" s="14">
        <v>999</v>
      </c>
      <c r="U1905" s="14" t="s">
        <v>1401</v>
      </c>
      <c r="V1905" s="14">
        <v>31923098</v>
      </c>
      <c r="X1905" s="14" t="s">
        <v>2956</v>
      </c>
      <c r="Y1905" s="14" t="s">
        <v>215</v>
      </c>
      <c r="Z1905" s="14">
        <v>20668</v>
      </c>
      <c r="AA1905" s="14" t="s">
        <v>2957</v>
      </c>
      <c r="AB1905" s="14">
        <v>40001</v>
      </c>
      <c r="AE1905" s="14" t="s">
        <v>1400</v>
      </c>
      <c r="AF1905" s="14" t="s">
        <v>1400</v>
      </c>
      <c r="AG1905" s="14" t="s">
        <v>89</v>
      </c>
    </row>
    <row r="1906" spans="2:33">
      <c r="B1906" s="14">
        <f>10000000+INDEX(编号表!$B:$B,MATCH(H1906,编号表!$A:$A,0))*100000+INDEX(编号表!$F:$F,MATCH(D1906,编号表!$E:$E,0))*10000+INDEX(编号表!$D:$D,MATCH(AG1906,编号表!$C:$C,0))*1000+F1906</f>
        <v>11933099</v>
      </c>
      <c r="C1906" s="14" t="s">
        <v>2953</v>
      </c>
      <c r="D1906" s="14" t="s">
        <v>276</v>
      </c>
      <c r="E1906" s="14" t="s">
        <v>89</v>
      </c>
      <c r="F1906" s="14">
        <v>99</v>
      </c>
      <c r="G1906" s="14">
        <v>60</v>
      </c>
      <c r="H1906" s="14" t="s">
        <v>1400</v>
      </c>
      <c r="I1906" s="14" t="s">
        <v>75</v>
      </c>
      <c r="J1906" s="14" t="s">
        <v>201</v>
      </c>
      <c r="K1906" s="14">
        <v>1</v>
      </c>
      <c r="L1906" s="14" t="s">
        <v>1400</v>
      </c>
      <c r="N1906" s="14">
        <v>0</v>
      </c>
      <c r="O1906" s="14" t="b">
        <v>1</v>
      </c>
      <c r="Q1906" s="14" t="b">
        <v>0</v>
      </c>
      <c r="R1906" s="14">
        <v>1</v>
      </c>
      <c r="S1906" s="14" t="s">
        <v>77</v>
      </c>
      <c r="T1906" s="14">
        <v>999</v>
      </c>
      <c r="U1906" s="14" t="s">
        <v>1401</v>
      </c>
      <c r="V1906" s="14">
        <v>31933099</v>
      </c>
      <c r="X1906" s="14" t="s">
        <v>2958</v>
      </c>
      <c r="Y1906" s="14" t="s">
        <v>215</v>
      </c>
      <c r="Z1906" s="14">
        <v>20669</v>
      </c>
      <c r="AA1906" s="14" t="s">
        <v>2959</v>
      </c>
      <c r="AB1906" s="14">
        <v>40001</v>
      </c>
      <c r="AE1906" s="14" t="s">
        <v>1400</v>
      </c>
      <c r="AF1906" s="14" t="s">
        <v>1400</v>
      </c>
      <c r="AG1906" s="14" t="s">
        <v>89</v>
      </c>
    </row>
    <row r="1907" spans="2:33">
      <c r="B1907" s="14">
        <f>10000000+INDEX(编号表!$B:$B,MATCH(H1907,编号表!$A:$A,0))*100000+INDEX(编号表!$F:$F,MATCH(D1907,编号表!$E:$E,0))*10000+INDEX(编号表!$D:$D,MATCH(AG1907,编号表!$C:$C,0))*1000+F1907</f>
        <v>11913098</v>
      </c>
      <c r="C1907" s="14" t="s">
        <v>2960</v>
      </c>
      <c r="D1907" s="14" t="s">
        <v>72</v>
      </c>
      <c r="E1907" s="14" t="s">
        <v>89</v>
      </c>
      <c r="F1907" s="14">
        <v>98</v>
      </c>
      <c r="G1907" s="14">
        <v>60</v>
      </c>
      <c r="H1907" s="14" t="s">
        <v>1400</v>
      </c>
      <c r="I1907" s="14" t="s">
        <v>75</v>
      </c>
      <c r="J1907" s="14" t="s">
        <v>201</v>
      </c>
      <c r="K1907" s="14">
        <v>1</v>
      </c>
      <c r="L1907" s="14" t="s">
        <v>1400</v>
      </c>
      <c r="N1907" s="14">
        <v>0</v>
      </c>
      <c r="O1907" s="14" t="b">
        <v>1</v>
      </c>
      <c r="Q1907" s="14" t="b">
        <v>0</v>
      </c>
      <c r="R1907" s="14">
        <v>1</v>
      </c>
      <c r="S1907" s="14" t="s">
        <v>77</v>
      </c>
      <c r="T1907" s="14">
        <v>999</v>
      </c>
      <c r="U1907" s="14" t="s">
        <v>1401</v>
      </c>
      <c r="V1907" s="14">
        <v>31913098</v>
      </c>
      <c r="X1907" s="14" t="s">
        <v>2961</v>
      </c>
      <c r="Y1907" s="14" t="s">
        <v>215</v>
      </c>
      <c r="Z1907" s="14">
        <v>20670</v>
      </c>
      <c r="AA1907" s="14" t="s">
        <v>2962</v>
      </c>
      <c r="AB1907" s="14">
        <v>40001</v>
      </c>
      <c r="AE1907" s="14" t="s">
        <v>1400</v>
      </c>
      <c r="AF1907" s="14" t="s">
        <v>1400</v>
      </c>
      <c r="AG1907" s="14" t="s">
        <v>89</v>
      </c>
    </row>
    <row r="1908" spans="2:33">
      <c r="B1908" s="14">
        <f>10000000+INDEX(编号表!$B:$B,MATCH(H1908,编号表!$A:$A,0))*100000+INDEX(编号表!$F:$F,MATCH(D1908,编号表!$E:$E,0))*10000+INDEX(编号表!$D:$D,MATCH(AG1908,编号表!$C:$C,0))*1000+F1908</f>
        <v>11923099</v>
      </c>
      <c r="C1908" s="14" t="s">
        <v>2960</v>
      </c>
      <c r="D1908" s="14" t="s">
        <v>112</v>
      </c>
      <c r="E1908" s="14" t="s">
        <v>89</v>
      </c>
      <c r="F1908" s="14">
        <v>99</v>
      </c>
      <c r="G1908" s="14">
        <v>60</v>
      </c>
      <c r="H1908" s="14" t="s">
        <v>1400</v>
      </c>
      <c r="I1908" s="14" t="s">
        <v>75</v>
      </c>
      <c r="J1908" s="14" t="s">
        <v>201</v>
      </c>
      <c r="K1908" s="14">
        <v>1</v>
      </c>
      <c r="L1908" s="14" t="s">
        <v>1400</v>
      </c>
      <c r="N1908" s="14">
        <v>0</v>
      </c>
      <c r="O1908" s="14" t="b">
        <v>1</v>
      </c>
      <c r="Q1908" s="14" t="b">
        <v>0</v>
      </c>
      <c r="R1908" s="14">
        <v>1</v>
      </c>
      <c r="S1908" s="14" t="s">
        <v>77</v>
      </c>
      <c r="T1908" s="14">
        <v>999</v>
      </c>
      <c r="U1908" s="14" t="s">
        <v>1401</v>
      </c>
      <c r="V1908" s="14">
        <v>31923099</v>
      </c>
      <c r="X1908" s="14" t="s">
        <v>2963</v>
      </c>
      <c r="Y1908" s="14" t="s">
        <v>215</v>
      </c>
      <c r="Z1908" s="14">
        <v>20671</v>
      </c>
      <c r="AA1908" s="14" t="s">
        <v>2964</v>
      </c>
      <c r="AB1908" s="14">
        <v>40001</v>
      </c>
      <c r="AE1908" s="14" t="s">
        <v>1400</v>
      </c>
      <c r="AF1908" s="14" t="s">
        <v>1400</v>
      </c>
      <c r="AG1908" s="14" t="s">
        <v>89</v>
      </c>
    </row>
    <row r="1909" spans="2:33">
      <c r="B1909" s="14">
        <f>10000000+INDEX(编号表!$B:$B,MATCH(H1909,编号表!$A:$A,0))*100000+INDEX(编号表!$F:$F,MATCH(D1909,编号表!$E:$E,0))*10000+INDEX(编号表!$D:$D,MATCH(AG1909,编号表!$C:$C,0))*1000+F1909</f>
        <v>11933100</v>
      </c>
      <c r="C1909" s="14" t="s">
        <v>2960</v>
      </c>
      <c r="D1909" s="14" t="s">
        <v>276</v>
      </c>
      <c r="E1909" s="14" t="s">
        <v>89</v>
      </c>
      <c r="F1909" s="14">
        <v>100</v>
      </c>
      <c r="G1909" s="14">
        <v>60</v>
      </c>
      <c r="H1909" s="14" t="s">
        <v>1400</v>
      </c>
      <c r="I1909" s="14" t="s">
        <v>75</v>
      </c>
      <c r="J1909" s="14" t="s">
        <v>201</v>
      </c>
      <c r="K1909" s="14">
        <v>1</v>
      </c>
      <c r="L1909" s="14" t="s">
        <v>1400</v>
      </c>
      <c r="N1909" s="14">
        <v>0</v>
      </c>
      <c r="O1909" s="14" t="b">
        <v>1</v>
      </c>
      <c r="Q1909" s="14" t="b">
        <v>0</v>
      </c>
      <c r="R1909" s="14">
        <v>1</v>
      </c>
      <c r="S1909" s="14" t="s">
        <v>77</v>
      </c>
      <c r="T1909" s="14">
        <v>999</v>
      </c>
      <c r="U1909" s="14" t="s">
        <v>1401</v>
      </c>
      <c r="V1909" s="14">
        <v>31933100</v>
      </c>
      <c r="X1909" s="14" t="s">
        <v>2965</v>
      </c>
      <c r="Y1909" s="14" t="s">
        <v>215</v>
      </c>
      <c r="Z1909" s="14">
        <v>20672</v>
      </c>
      <c r="AA1909" s="14" t="s">
        <v>2966</v>
      </c>
      <c r="AB1909" s="14">
        <v>40001</v>
      </c>
      <c r="AE1909" s="14" t="s">
        <v>1400</v>
      </c>
      <c r="AF1909" s="14" t="s">
        <v>1400</v>
      </c>
      <c r="AG1909" s="14" t="s">
        <v>89</v>
      </c>
    </row>
    <row r="1910" spans="2:33">
      <c r="B1910" s="14">
        <f>10000000+INDEX(编号表!$B:$B,MATCH(H1910,编号表!$A:$A,0))*100000+INDEX(编号表!$F:$F,MATCH(D1910,编号表!$E:$E,0))*10000+INDEX(编号表!$D:$D,MATCH(AG1910,编号表!$C:$C,0))*1000+F1910</f>
        <v>11913099</v>
      </c>
      <c r="C1910" s="14" t="s">
        <v>2967</v>
      </c>
      <c r="D1910" s="14" t="s">
        <v>72</v>
      </c>
      <c r="E1910" s="14" t="s">
        <v>89</v>
      </c>
      <c r="F1910" s="14">
        <v>99</v>
      </c>
      <c r="G1910" s="14">
        <v>60</v>
      </c>
      <c r="H1910" s="14" t="s">
        <v>1400</v>
      </c>
      <c r="I1910" s="14" t="s">
        <v>75</v>
      </c>
      <c r="J1910" s="14" t="s">
        <v>201</v>
      </c>
      <c r="K1910" s="14">
        <v>1</v>
      </c>
      <c r="L1910" s="14" t="s">
        <v>1400</v>
      </c>
      <c r="N1910" s="14">
        <v>0</v>
      </c>
      <c r="O1910" s="14" t="b">
        <v>1</v>
      </c>
      <c r="Q1910" s="14" t="b">
        <v>0</v>
      </c>
      <c r="R1910" s="14">
        <v>1</v>
      </c>
      <c r="S1910" s="14" t="s">
        <v>77</v>
      </c>
      <c r="T1910" s="14">
        <v>999</v>
      </c>
      <c r="U1910" s="14" t="s">
        <v>1401</v>
      </c>
      <c r="V1910" s="14">
        <v>31913099</v>
      </c>
      <c r="X1910" s="14" t="s">
        <v>2968</v>
      </c>
      <c r="Y1910" s="14" t="s">
        <v>215</v>
      </c>
      <c r="Z1910" s="14">
        <v>20673</v>
      </c>
      <c r="AA1910" s="14" t="s">
        <v>2969</v>
      </c>
      <c r="AB1910" s="14">
        <v>40001</v>
      </c>
      <c r="AE1910" s="14" t="s">
        <v>1400</v>
      </c>
      <c r="AF1910" s="14" t="s">
        <v>1400</v>
      </c>
      <c r="AG1910" s="14" t="s">
        <v>89</v>
      </c>
    </row>
    <row r="1911" spans="2:33">
      <c r="B1911" s="14">
        <f>10000000+INDEX(编号表!$B:$B,MATCH(H1911,编号表!$A:$A,0))*100000+INDEX(编号表!$F:$F,MATCH(D1911,编号表!$E:$E,0))*10000+INDEX(编号表!$D:$D,MATCH(AG1911,编号表!$C:$C,0))*1000+F1911</f>
        <v>11923100</v>
      </c>
      <c r="C1911" s="14" t="s">
        <v>2967</v>
      </c>
      <c r="D1911" s="14" t="s">
        <v>112</v>
      </c>
      <c r="E1911" s="14" t="s">
        <v>89</v>
      </c>
      <c r="F1911" s="14">
        <v>100</v>
      </c>
      <c r="G1911" s="14">
        <v>60</v>
      </c>
      <c r="H1911" s="14" t="s">
        <v>1400</v>
      </c>
      <c r="I1911" s="14" t="s">
        <v>75</v>
      </c>
      <c r="J1911" s="14" t="s">
        <v>201</v>
      </c>
      <c r="K1911" s="14">
        <v>1</v>
      </c>
      <c r="L1911" s="14" t="s">
        <v>1400</v>
      </c>
      <c r="N1911" s="14">
        <v>0</v>
      </c>
      <c r="O1911" s="14" t="b">
        <v>1</v>
      </c>
      <c r="Q1911" s="14" t="b">
        <v>0</v>
      </c>
      <c r="R1911" s="14">
        <v>1</v>
      </c>
      <c r="S1911" s="14" t="s">
        <v>77</v>
      </c>
      <c r="T1911" s="14">
        <v>999</v>
      </c>
      <c r="U1911" s="14" t="s">
        <v>1401</v>
      </c>
      <c r="V1911" s="14">
        <v>31923100</v>
      </c>
      <c r="X1911" s="14" t="s">
        <v>2970</v>
      </c>
      <c r="Y1911" s="14" t="s">
        <v>215</v>
      </c>
      <c r="Z1911" s="14">
        <v>20674</v>
      </c>
      <c r="AA1911" s="14" t="s">
        <v>2971</v>
      </c>
      <c r="AB1911" s="14">
        <v>40001</v>
      </c>
      <c r="AE1911" s="14" t="s">
        <v>1400</v>
      </c>
      <c r="AF1911" s="14" t="s">
        <v>1400</v>
      </c>
      <c r="AG1911" s="14" t="s">
        <v>89</v>
      </c>
    </row>
    <row r="1912" spans="2:33">
      <c r="B1912" s="14">
        <f>10000000+INDEX(编号表!$B:$B,MATCH(H1912,编号表!$A:$A,0))*100000+INDEX(编号表!$F:$F,MATCH(D1912,编号表!$E:$E,0))*10000+INDEX(编号表!$D:$D,MATCH(AG1912,编号表!$C:$C,0))*1000+F1912</f>
        <v>11933101</v>
      </c>
      <c r="C1912" s="14" t="s">
        <v>2967</v>
      </c>
      <c r="D1912" s="14" t="s">
        <v>276</v>
      </c>
      <c r="E1912" s="14" t="s">
        <v>89</v>
      </c>
      <c r="F1912" s="14">
        <v>101</v>
      </c>
      <c r="G1912" s="14">
        <v>60</v>
      </c>
      <c r="H1912" s="14" t="s">
        <v>1400</v>
      </c>
      <c r="I1912" s="14" t="s">
        <v>75</v>
      </c>
      <c r="J1912" s="14" t="s">
        <v>201</v>
      </c>
      <c r="K1912" s="14">
        <v>1</v>
      </c>
      <c r="L1912" s="14" t="s">
        <v>1400</v>
      </c>
      <c r="N1912" s="14">
        <v>0</v>
      </c>
      <c r="O1912" s="14" t="b">
        <v>1</v>
      </c>
      <c r="Q1912" s="14" t="b">
        <v>0</v>
      </c>
      <c r="R1912" s="14">
        <v>1</v>
      </c>
      <c r="S1912" s="14" t="s">
        <v>77</v>
      </c>
      <c r="T1912" s="14">
        <v>999</v>
      </c>
      <c r="U1912" s="14" t="s">
        <v>1401</v>
      </c>
      <c r="V1912" s="14">
        <v>31933101</v>
      </c>
      <c r="X1912" s="14" t="s">
        <v>2972</v>
      </c>
      <c r="Y1912" s="14" t="s">
        <v>215</v>
      </c>
      <c r="Z1912" s="14">
        <v>20675</v>
      </c>
      <c r="AA1912" s="14" t="s">
        <v>2973</v>
      </c>
      <c r="AB1912" s="14">
        <v>40001</v>
      </c>
      <c r="AE1912" s="14" t="s">
        <v>1400</v>
      </c>
      <c r="AF1912" s="14" t="s">
        <v>1400</v>
      </c>
      <c r="AG1912" s="14" t="s">
        <v>89</v>
      </c>
    </row>
    <row r="1913" spans="2:33">
      <c r="B1913" s="14">
        <f>10000000+INDEX(编号表!$B:$B,MATCH(H1913,编号表!$A:$A,0))*100000+INDEX(编号表!$F:$F,MATCH(D1913,编号表!$E:$E,0))*10000+INDEX(编号表!$D:$D,MATCH(AG1913,编号表!$C:$C,0))*1000+F1913</f>
        <v>11913100</v>
      </c>
      <c r="C1913" s="14" t="s">
        <v>2974</v>
      </c>
      <c r="D1913" s="14" t="s">
        <v>72</v>
      </c>
      <c r="E1913" s="14" t="s">
        <v>89</v>
      </c>
      <c r="F1913" s="14">
        <v>100</v>
      </c>
      <c r="G1913" s="14">
        <v>60</v>
      </c>
      <c r="H1913" s="14" t="s">
        <v>1400</v>
      </c>
      <c r="I1913" s="14" t="s">
        <v>75</v>
      </c>
      <c r="J1913" s="14" t="s">
        <v>201</v>
      </c>
      <c r="K1913" s="14">
        <v>1</v>
      </c>
      <c r="L1913" s="14" t="s">
        <v>1400</v>
      </c>
      <c r="N1913" s="14">
        <v>0</v>
      </c>
      <c r="O1913" s="14" t="b">
        <v>1</v>
      </c>
      <c r="Q1913" s="14" t="b">
        <v>0</v>
      </c>
      <c r="R1913" s="14">
        <v>1</v>
      </c>
      <c r="S1913" s="14" t="s">
        <v>77</v>
      </c>
      <c r="T1913" s="14">
        <v>999</v>
      </c>
      <c r="U1913" s="14" t="s">
        <v>1401</v>
      </c>
      <c r="V1913" s="14">
        <v>31913100</v>
      </c>
      <c r="X1913" s="14" t="s">
        <v>2975</v>
      </c>
      <c r="Y1913" s="14" t="s">
        <v>215</v>
      </c>
      <c r="Z1913" s="14">
        <v>20676</v>
      </c>
      <c r="AA1913" s="14" t="s">
        <v>2976</v>
      </c>
      <c r="AB1913" s="14">
        <v>40001</v>
      </c>
      <c r="AE1913" s="14" t="s">
        <v>1400</v>
      </c>
      <c r="AF1913" s="14" t="s">
        <v>1400</v>
      </c>
      <c r="AG1913" s="14" t="s">
        <v>89</v>
      </c>
    </row>
    <row r="1914" spans="2:33">
      <c r="B1914" s="14">
        <f>10000000+INDEX(编号表!$B:$B,MATCH(H1914,编号表!$A:$A,0))*100000+INDEX(编号表!$F:$F,MATCH(D1914,编号表!$E:$E,0))*10000+INDEX(编号表!$D:$D,MATCH(AG1914,编号表!$C:$C,0))*1000+F1914</f>
        <v>11923101</v>
      </c>
      <c r="C1914" s="14" t="s">
        <v>2974</v>
      </c>
      <c r="D1914" s="14" t="s">
        <v>112</v>
      </c>
      <c r="E1914" s="14" t="s">
        <v>89</v>
      </c>
      <c r="F1914" s="14">
        <v>101</v>
      </c>
      <c r="G1914" s="14">
        <v>60</v>
      </c>
      <c r="H1914" s="14" t="s">
        <v>1400</v>
      </c>
      <c r="I1914" s="14" t="s">
        <v>75</v>
      </c>
      <c r="J1914" s="14" t="s">
        <v>201</v>
      </c>
      <c r="K1914" s="14">
        <v>1</v>
      </c>
      <c r="L1914" s="14" t="s">
        <v>1400</v>
      </c>
      <c r="N1914" s="14">
        <v>0</v>
      </c>
      <c r="O1914" s="14" t="b">
        <v>1</v>
      </c>
      <c r="Q1914" s="14" t="b">
        <v>0</v>
      </c>
      <c r="R1914" s="14">
        <v>1</v>
      </c>
      <c r="S1914" s="14" t="s">
        <v>77</v>
      </c>
      <c r="T1914" s="14">
        <v>999</v>
      </c>
      <c r="U1914" s="14" t="s">
        <v>1401</v>
      </c>
      <c r="V1914" s="14">
        <v>31923101</v>
      </c>
      <c r="X1914" s="14" t="s">
        <v>2977</v>
      </c>
      <c r="Y1914" s="14" t="s">
        <v>215</v>
      </c>
      <c r="Z1914" s="14">
        <v>20677</v>
      </c>
      <c r="AA1914" s="14" t="s">
        <v>2978</v>
      </c>
      <c r="AB1914" s="14">
        <v>40001</v>
      </c>
      <c r="AE1914" s="14" t="s">
        <v>1400</v>
      </c>
      <c r="AF1914" s="14" t="s">
        <v>1400</v>
      </c>
      <c r="AG1914" s="14" t="s">
        <v>89</v>
      </c>
    </row>
    <row r="1915" spans="2:33">
      <c r="B1915" s="14">
        <f>10000000+INDEX(编号表!$B:$B,MATCH(H1915,编号表!$A:$A,0))*100000+INDEX(编号表!$F:$F,MATCH(D1915,编号表!$E:$E,0))*10000+INDEX(编号表!$D:$D,MATCH(AG1915,编号表!$C:$C,0))*1000+F1915</f>
        <v>11933102</v>
      </c>
      <c r="C1915" s="14" t="s">
        <v>2974</v>
      </c>
      <c r="D1915" s="14" t="s">
        <v>276</v>
      </c>
      <c r="E1915" s="14" t="s">
        <v>89</v>
      </c>
      <c r="F1915" s="14">
        <v>102</v>
      </c>
      <c r="G1915" s="14">
        <v>60</v>
      </c>
      <c r="H1915" s="14" t="s">
        <v>1400</v>
      </c>
      <c r="I1915" s="14" t="s">
        <v>75</v>
      </c>
      <c r="J1915" s="14" t="s">
        <v>201</v>
      </c>
      <c r="K1915" s="14">
        <v>1</v>
      </c>
      <c r="L1915" s="14" t="s">
        <v>1400</v>
      </c>
      <c r="N1915" s="14">
        <v>0</v>
      </c>
      <c r="O1915" s="14" t="b">
        <v>1</v>
      </c>
      <c r="Q1915" s="14" t="b">
        <v>0</v>
      </c>
      <c r="R1915" s="14">
        <v>1</v>
      </c>
      <c r="S1915" s="14" t="s">
        <v>77</v>
      </c>
      <c r="T1915" s="14">
        <v>999</v>
      </c>
      <c r="U1915" s="14" t="s">
        <v>1401</v>
      </c>
      <c r="V1915" s="14">
        <v>31933102</v>
      </c>
      <c r="X1915" s="14" t="s">
        <v>2979</v>
      </c>
      <c r="Y1915" s="14" t="s">
        <v>215</v>
      </c>
      <c r="Z1915" s="14">
        <v>20678</v>
      </c>
      <c r="AA1915" s="14" t="s">
        <v>2980</v>
      </c>
      <c r="AB1915" s="14">
        <v>40001</v>
      </c>
      <c r="AE1915" s="14" t="s">
        <v>1400</v>
      </c>
      <c r="AF1915" s="14" t="s">
        <v>1400</v>
      </c>
      <c r="AG1915" s="14" t="s">
        <v>89</v>
      </c>
    </row>
    <row r="1916" spans="2:33">
      <c r="B1916" s="14">
        <f>10000000+INDEX(编号表!$B:$B,MATCH(H1916,编号表!$A:$A,0))*100000+INDEX(编号表!$F:$F,MATCH(D1916,编号表!$E:$E,0))*10000+INDEX(编号表!$D:$D,MATCH(AG1916,编号表!$C:$C,0))*1000+F1916</f>
        <v>11913101</v>
      </c>
      <c r="C1916" s="14" t="s">
        <v>2981</v>
      </c>
      <c r="D1916" s="14" t="s">
        <v>72</v>
      </c>
      <c r="E1916" s="14" t="s">
        <v>89</v>
      </c>
      <c r="F1916" s="14">
        <v>101</v>
      </c>
      <c r="G1916" s="14">
        <v>60</v>
      </c>
      <c r="H1916" s="14" t="s">
        <v>1400</v>
      </c>
      <c r="I1916" s="14" t="s">
        <v>75</v>
      </c>
      <c r="J1916" s="14" t="s">
        <v>201</v>
      </c>
      <c r="K1916" s="14">
        <v>1</v>
      </c>
      <c r="L1916" s="14" t="s">
        <v>1400</v>
      </c>
      <c r="N1916" s="14">
        <v>0</v>
      </c>
      <c r="O1916" s="14" t="b">
        <v>1</v>
      </c>
      <c r="Q1916" s="14" t="b">
        <v>0</v>
      </c>
      <c r="R1916" s="14">
        <v>1</v>
      </c>
      <c r="S1916" s="14" t="s">
        <v>77</v>
      </c>
      <c r="T1916" s="14">
        <v>999</v>
      </c>
      <c r="U1916" s="14" t="s">
        <v>1401</v>
      </c>
      <c r="V1916" s="14">
        <v>31913101</v>
      </c>
      <c r="X1916" s="14" t="s">
        <v>2982</v>
      </c>
      <c r="Y1916" s="14" t="s">
        <v>215</v>
      </c>
      <c r="Z1916" s="14">
        <v>20679</v>
      </c>
      <c r="AA1916" s="14" t="s">
        <v>2983</v>
      </c>
      <c r="AB1916" s="14">
        <v>40001</v>
      </c>
      <c r="AE1916" s="14" t="s">
        <v>1400</v>
      </c>
      <c r="AF1916" s="14" t="s">
        <v>1400</v>
      </c>
      <c r="AG1916" s="14" t="s">
        <v>89</v>
      </c>
    </row>
    <row r="1917" spans="2:33">
      <c r="B1917" s="14">
        <f>10000000+INDEX(编号表!$B:$B,MATCH(H1917,编号表!$A:$A,0))*100000+INDEX(编号表!$F:$F,MATCH(D1917,编号表!$E:$E,0))*10000+INDEX(编号表!$D:$D,MATCH(AG1917,编号表!$C:$C,0))*1000+F1917</f>
        <v>11923102</v>
      </c>
      <c r="C1917" s="14" t="s">
        <v>2981</v>
      </c>
      <c r="D1917" s="14" t="s">
        <v>112</v>
      </c>
      <c r="E1917" s="14" t="s">
        <v>89</v>
      </c>
      <c r="F1917" s="14">
        <v>102</v>
      </c>
      <c r="G1917" s="14">
        <v>60</v>
      </c>
      <c r="H1917" s="14" t="s">
        <v>1400</v>
      </c>
      <c r="I1917" s="14" t="s">
        <v>75</v>
      </c>
      <c r="J1917" s="14" t="s">
        <v>201</v>
      </c>
      <c r="K1917" s="14">
        <v>1</v>
      </c>
      <c r="L1917" s="14" t="s">
        <v>1400</v>
      </c>
      <c r="N1917" s="14">
        <v>0</v>
      </c>
      <c r="O1917" s="14" t="b">
        <v>1</v>
      </c>
      <c r="Q1917" s="14" t="b">
        <v>0</v>
      </c>
      <c r="R1917" s="14">
        <v>1</v>
      </c>
      <c r="S1917" s="14" t="s">
        <v>77</v>
      </c>
      <c r="T1917" s="14">
        <v>999</v>
      </c>
      <c r="U1917" s="14" t="s">
        <v>1401</v>
      </c>
      <c r="V1917" s="14">
        <v>31923102</v>
      </c>
      <c r="X1917" s="14" t="s">
        <v>2984</v>
      </c>
      <c r="Y1917" s="14" t="s">
        <v>215</v>
      </c>
      <c r="Z1917" s="14">
        <v>20680</v>
      </c>
      <c r="AA1917" s="14" t="s">
        <v>2985</v>
      </c>
      <c r="AB1917" s="14">
        <v>40001</v>
      </c>
      <c r="AE1917" s="14" t="s">
        <v>1400</v>
      </c>
      <c r="AF1917" s="14" t="s">
        <v>1400</v>
      </c>
      <c r="AG1917" s="14" t="s">
        <v>89</v>
      </c>
    </row>
    <row r="1918" spans="2:33">
      <c r="B1918" s="14">
        <f>10000000+INDEX(编号表!$B:$B,MATCH(H1918,编号表!$A:$A,0))*100000+INDEX(编号表!$F:$F,MATCH(D1918,编号表!$E:$E,0))*10000+INDEX(编号表!$D:$D,MATCH(AG1918,编号表!$C:$C,0))*1000+F1918</f>
        <v>11933103</v>
      </c>
      <c r="C1918" s="14" t="s">
        <v>2981</v>
      </c>
      <c r="D1918" s="14" t="s">
        <v>276</v>
      </c>
      <c r="E1918" s="14" t="s">
        <v>89</v>
      </c>
      <c r="F1918" s="14">
        <v>103</v>
      </c>
      <c r="G1918" s="14">
        <v>60</v>
      </c>
      <c r="H1918" s="14" t="s">
        <v>1400</v>
      </c>
      <c r="I1918" s="14" t="s">
        <v>75</v>
      </c>
      <c r="J1918" s="14" t="s">
        <v>201</v>
      </c>
      <c r="K1918" s="14">
        <v>1</v>
      </c>
      <c r="L1918" s="14" t="s">
        <v>1400</v>
      </c>
      <c r="N1918" s="14">
        <v>0</v>
      </c>
      <c r="O1918" s="14" t="b">
        <v>1</v>
      </c>
      <c r="Q1918" s="14" t="b">
        <v>0</v>
      </c>
      <c r="R1918" s="14">
        <v>1</v>
      </c>
      <c r="S1918" s="14" t="s">
        <v>77</v>
      </c>
      <c r="T1918" s="14">
        <v>999</v>
      </c>
      <c r="U1918" s="14" t="s">
        <v>1401</v>
      </c>
      <c r="V1918" s="14">
        <v>31933103</v>
      </c>
      <c r="X1918" s="14" t="s">
        <v>2986</v>
      </c>
      <c r="Y1918" s="14" t="s">
        <v>215</v>
      </c>
      <c r="Z1918" s="14">
        <v>20681</v>
      </c>
      <c r="AA1918" s="14" t="s">
        <v>2987</v>
      </c>
      <c r="AB1918" s="14">
        <v>40001</v>
      </c>
      <c r="AE1918" s="14" t="s">
        <v>1400</v>
      </c>
      <c r="AF1918" s="14" t="s">
        <v>1400</v>
      </c>
      <c r="AG1918" s="14" t="s">
        <v>89</v>
      </c>
    </row>
    <row r="1919" spans="2:33">
      <c r="B1919" s="14">
        <f>10000000+INDEX(编号表!$B:$B,MATCH(H1919,编号表!$A:$A,0))*100000+INDEX(编号表!$F:$F,MATCH(D1919,编号表!$E:$E,0))*10000+INDEX(编号表!$D:$D,MATCH(AG1919,编号表!$C:$C,0))*1000+F1919</f>
        <v>11913102</v>
      </c>
      <c r="C1919" s="14" t="s">
        <v>2988</v>
      </c>
      <c r="D1919" s="14" t="s">
        <v>72</v>
      </c>
      <c r="E1919" s="14" t="s">
        <v>89</v>
      </c>
      <c r="F1919" s="14">
        <v>102</v>
      </c>
      <c r="G1919" s="14">
        <v>60</v>
      </c>
      <c r="H1919" s="14" t="s">
        <v>1400</v>
      </c>
      <c r="I1919" s="14" t="s">
        <v>75</v>
      </c>
      <c r="J1919" s="14" t="s">
        <v>201</v>
      </c>
      <c r="K1919" s="14">
        <v>1</v>
      </c>
      <c r="L1919" s="14" t="s">
        <v>1400</v>
      </c>
      <c r="N1919" s="14">
        <v>0</v>
      </c>
      <c r="O1919" s="14" t="b">
        <v>1</v>
      </c>
      <c r="Q1919" s="14" t="b">
        <v>0</v>
      </c>
      <c r="R1919" s="14">
        <v>1</v>
      </c>
      <c r="S1919" s="14" t="s">
        <v>77</v>
      </c>
      <c r="T1919" s="14">
        <v>999</v>
      </c>
      <c r="U1919" s="14" t="s">
        <v>1401</v>
      </c>
      <c r="V1919" s="14">
        <v>31913102</v>
      </c>
      <c r="X1919" s="14" t="s">
        <v>2989</v>
      </c>
      <c r="Y1919" s="14" t="s">
        <v>215</v>
      </c>
      <c r="Z1919" s="14">
        <v>20682</v>
      </c>
      <c r="AA1919" s="14" t="s">
        <v>2990</v>
      </c>
      <c r="AB1919" s="14">
        <v>40001</v>
      </c>
      <c r="AE1919" s="14" t="s">
        <v>1400</v>
      </c>
      <c r="AF1919" s="14" t="s">
        <v>1400</v>
      </c>
      <c r="AG1919" s="14" t="s">
        <v>89</v>
      </c>
    </row>
    <row r="1920" spans="2:33">
      <c r="B1920" s="14">
        <f>10000000+INDEX(编号表!$B:$B,MATCH(H1920,编号表!$A:$A,0))*100000+INDEX(编号表!$F:$F,MATCH(D1920,编号表!$E:$E,0))*10000+INDEX(编号表!$D:$D,MATCH(AG1920,编号表!$C:$C,0))*1000+F1920</f>
        <v>11923103</v>
      </c>
      <c r="C1920" s="14" t="s">
        <v>2988</v>
      </c>
      <c r="D1920" s="14" t="s">
        <v>112</v>
      </c>
      <c r="E1920" s="14" t="s">
        <v>89</v>
      </c>
      <c r="F1920" s="14">
        <v>103</v>
      </c>
      <c r="G1920" s="14">
        <v>60</v>
      </c>
      <c r="H1920" s="14" t="s">
        <v>1400</v>
      </c>
      <c r="I1920" s="14" t="s">
        <v>75</v>
      </c>
      <c r="J1920" s="14" t="s">
        <v>201</v>
      </c>
      <c r="K1920" s="14">
        <v>1</v>
      </c>
      <c r="L1920" s="14" t="s">
        <v>1400</v>
      </c>
      <c r="N1920" s="14">
        <v>0</v>
      </c>
      <c r="O1920" s="14" t="b">
        <v>1</v>
      </c>
      <c r="Q1920" s="14" t="b">
        <v>0</v>
      </c>
      <c r="R1920" s="14">
        <v>1</v>
      </c>
      <c r="S1920" s="14" t="s">
        <v>77</v>
      </c>
      <c r="T1920" s="14">
        <v>999</v>
      </c>
      <c r="U1920" s="14" t="s">
        <v>1401</v>
      </c>
      <c r="V1920" s="14">
        <v>31923103</v>
      </c>
      <c r="X1920" s="14" t="s">
        <v>2991</v>
      </c>
      <c r="Y1920" s="14" t="s">
        <v>215</v>
      </c>
      <c r="Z1920" s="14">
        <v>20683</v>
      </c>
      <c r="AA1920" s="14" t="s">
        <v>2992</v>
      </c>
      <c r="AB1920" s="14">
        <v>40001</v>
      </c>
      <c r="AE1920" s="14" t="s">
        <v>1400</v>
      </c>
      <c r="AF1920" s="14" t="s">
        <v>1400</v>
      </c>
      <c r="AG1920" s="14" t="s">
        <v>89</v>
      </c>
    </row>
    <row r="1921" spans="2:33">
      <c r="B1921" s="14">
        <f>10000000+INDEX(编号表!$B:$B,MATCH(H1921,编号表!$A:$A,0))*100000+INDEX(编号表!$F:$F,MATCH(D1921,编号表!$E:$E,0))*10000+INDEX(编号表!$D:$D,MATCH(AG1921,编号表!$C:$C,0))*1000+F1921</f>
        <v>11933104</v>
      </c>
      <c r="C1921" s="14" t="s">
        <v>2988</v>
      </c>
      <c r="D1921" s="14" t="s">
        <v>276</v>
      </c>
      <c r="E1921" s="14" t="s">
        <v>89</v>
      </c>
      <c r="F1921" s="14">
        <v>104</v>
      </c>
      <c r="G1921" s="14">
        <v>60</v>
      </c>
      <c r="H1921" s="14" t="s">
        <v>1400</v>
      </c>
      <c r="I1921" s="14" t="s">
        <v>75</v>
      </c>
      <c r="J1921" s="14" t="s">
        <v>201</v>
      </c>
      <c r="K1921" s="14">
        <v>1</v>
      </c>
      <c r="L1921" s="14" t="s">
        <v>1400</v>
      </c>
      <c r="N1921" s="14">
        <v>0</v>
      </c>
      <c r="O1921" s="14" t="b">
        <v>1</v>
      </c>
      <c r="Q1921" s="14" t="b">
        <v>0</v>
      </c>
      <c r="R1921" s="14">
        <v>1</v>
      </c>
      <c r="S1921" s="14" t="s">
        <v>77</v>
      </c>
      <c r="T1921" s="14">
        <v>999</v>
      </c>
      <c r="U1921" s="14" t="s">
        <v>1401</v>
      </c>
      <c r="V1921" s="14">
        <v>31933104</v>
      </c>
      <c r="X1921" s="14" t="s">
        <v>2993</v>
      </c>
      <c r="Y1921" s="14" t="s">
        <v>215</v>
      </c>
      <c r="Z1921" s="14">
        <v>20684</v>
      </c>
      <c r="AA1921" s="14" t="s">
        <v>2994</v>
      </c>
      <c r="AB1921" s="14">
        <v>40001</v>
      </c>
      <c r="AE1921" s="14" t="s">
        <v>1400</v>
      </c>
      <c r="AF1921" s="14" t="s">
        <v>1400</v>
      </c>
      <c r="AG1921" s="14" t="s">
        <v>89</v>
      </c>
    </row>
    <row r="1922" spans="2:33">
      <c r="B1922" s="14">
        <f>10000000+INDEX(编号表!$B:$B,MATCH(H1922,编号表!$A:$A,0))*100000+INDEX(编号表!$F:$F,MATCH(D1922,编号表!$E:$E,0))*10000+INDEX(编号表!$D:$D,MATCH(AG1922,编号表!$C:$C,0))*1000+F1922</f>
        <v>11913103</v>
      </c>
      <c r="C1922" s="14" t="s">
        <v>2995</v>
      </c>
      <c r="D1922" s="14" t="s">
        <v>72</v>
      </c>
      <c r="E1922" s="14" t="s">
        <v>89</v>
      </c>
      <c r="F1922" s="14">
        <v>103</v>
      </c>
      <c r="G1922" s="14">
        <v>60</v>
      </c>
      <c r="H1922" s="14" t="s">
        <v>1400</v>
      </c>
      <c r="I1922" s="14" t="s">
        <v>75</v>
      </c>
      <c r="J1922" s="14" t="s">
        <v>201</v>
      </c>
      <c r="K1922" s="14">
        <v>1</v>
      </c>
      <c r="L1922" s="14" t="s">
        <v>1400</v>
      </c>
      <c r="N1922" s="14">
        <v>0</v>
      </c>
      <c r="O1922" s="14" t="b">
        <v>1</v>
      </c>
      <c r="Q1922" s="14" t="b">
        <v>0</v>
      </c>
      <c r="R1922" s="14">
        <v>1</v>
      </c>
      <c r="S1922" s="14" t="s">
        <v>77</v>
      </c>
      <c r="T1922" s="14">
        <v>999</v>
      </c>
      <c r="U1922" s="14" t="s">
        <v>1401</v>
      </c>
      <c r="V1922" s="14">
        <v>31913103</v>
      </c>
      <c r="X1922" s="14" t="s">
        <v>2996</v>
      </c>
      <c r="Y1922" s="14" t="s">
        <v>215</v>
      </c>
      <c r="Z1922" s="14">
        <v>20685</v>
      </c>
      <c r="AA1922" s="14" t="s">
        <v>2997</v>
      </c>
      <c r="AB1922" s="14">
        <v>40001</v>
      </c>
      <c r="AE1922" s="14" t="s">
        <v>1400</v>
      </c>
      <c r="AF1922" s="14" t="s">
        <v>1400</v>
      </c>
      <c r="AG1922" s="14" t="s">
        <v>89</v>
      </c>
    </row>
    <row r="1923" spans="2:33">
      <c r="B1923" s="14">
        <f>10000000+INDEX(编号表!$B:$B,MATCH(H1923,编号表!$A:$A,0))*100000+INDEX(编号表!$F:$F,MATCH(D1923,编号表!$E:$E,0))*10000+INDEX(编号表!$D:$D,MATCH(AG1923,编号表!$C:$C,0))*1000+F1923</f>
        <v>11923104</v>
      </c>
      <c r="C1923" s="14" t="s">
        <v>2995</v>
      </c>
      <c r="D1923" s="14" t="s">
        <v>112</v>
      </c>
      <c r="E1923" s="14" t="s">
        <v>89</v>
      </c>
      <c r="F1923" s="14">
        <v>104</v>
      </c>
      <c r="G1923" s="14">
        <v>60</v>
      </c>
      <c r="H1923" s="14" t="s">
        <v>1400</v>
      </c>
      <c r="I1923" s="14" t="s">
        <v>75</v>
      </c>
      <c r="J1923" s="14" t="s">
        <v>201</v>
      </c>
      <c r="K1923" s="14">
        <v>1</v>
      </c>
      <c r="L1923" s="14" t="s">
        <v>1400</v>
      </c>
      <c r="N1923" s="14">
        <v>0</v>
      </c>
      <c r="O1923" s="14" t="b">
        <v>1</v>
      </c>
      <c r="Q1923" s="14" t="b">
        <v>0</v>
      </c>
      <c r="R1923" s="14">
        <v>1</v>
      </c>
      <c r="S1923" s="14" t="s">
        <v>77</v>
      </c>
      <c r="T1923" s="14">
        <v>999</v>
      </c>
      <c r="U1923" s="14" t="s">
        <v>1401</v>
      </c>
      <c r="V1923" s="14">
        <v>31923104</v>
      </c>
      <c r="X1923" s="14" t="s">
        <v>2998</v>
      </c>
      <c r="Y1923" s="14" t="s">
        <v>215</v>
      </c>
      <c r="Z1923" s="14">
        <v>20686</v>
      </c>
      <c r="AA1923" s="14" t="s">
        <v>2999</v>
      </c>
      <c r="AB1923" s="14">
        <v>40001</v>
      </c>
      <c r="AE1923" s="14" t="s">
        <v>1400</v>
      </c>
      <c r="AF1923" s="14" t="s">
        <v>1400</v>
      </c>
      <c r="AG1923" s="14" t="s">
        <v>89</v>
      </c>
    </row>
    <row r="1924" spans="2:33">
      <c r="B1924" s="14">
        <f>10000000+INDEX(编号表!$B:$B,MATCH(H1924,编号表!$A:$A,0))*100000+INDEX(编号表!$F:$F,MATCH(D1924,编号表!$E:$E,0))*10000+INDEX(编号表!$D:$D,MATCH(AG1924,编号表!$C:$C,0))*1000+F1924</f>
        <v>11933105</v>
      </c>
      <c r="C1924" s="14" t="s">
        <v>2995</v>
      </c>
      <c r="D1924" s="14" t="s">
        <v>276</v>
      </c>
      <c r="E1924" s="14" t="s">
        <v>89</v>
      </c>
      <c r="F1924" s="14">
        <v>105</v>
      </c>
      <c r="G1924" s="14">
        <v>60</v>
      </c>
      <c r="H1924" s="14" t="s">
        <v>1400</v>
      </c>
      <c r="I1924" s="14" t="s">
        <v>75</v>
      </c>
      <c r="J1924" s="14" t="s">
        <v>201</v>
      </c>
      <c r="K1924" s="14">
        <v>1</v>
      </c>
      <c r="L1924" s="14" t="s">
        <v>1400</v>
      </c>
      <c r="N1924" s="14">
        <v>0</v>
      </c>
      <c r="O1924" s="14" t="b">
        <v>1</v>
      </c>
      <c r="Q1924" s="14" t="b">
        <v>0</v>
      </c>
      <c r="R1924" s="14">
        <v>1</v>
      </c>
      <c r="S1924" s="14" t="s">
        <v>77</v>
      </c>
      <c r="T1924" s="14">
        <v>999</v>
      </c>
      <c r="U1924" s="14" t="s">
        <v>1401</v>
      </c>
      <c r="V1924" s="14">
        <v>31933105</v>
      </c>
      <c r="X1924" s="14" t="s">
        <v>3000</v>
      </c>
      <c r="Y1924" s="14" t="s">
        <v>215</v>
      </c>
      <c r="Z1924" s="14">
        <v>20687</v>
      </c>
      <c r="AA1924" s="14" t="s">
        <v>3001</v>
      </c>
      <c r="AB1924" s="14">
        <v>40001</v>
      </c>
      <c r="AE1924" s="14" t="s">
        <v>1400</v>
      </c>
      <c r="AF1924" s="14" t="s">
        <v>1400</v>
      </c>
      <c r="AG1924" s="14" t="s">
        <v>89</v>
      </c>
    </row>
    <row r="1925" spans="2:33">
      <c r="B1925" s="14">
        <f>10000000+INDEX(编号表!$B:$B,MATCH(H1925,编号表!$A:$A,0))*100000+INDEX(编号表!$F:$F,MATCH(D1925,编号表!$E:$E,0))*10000+INDEX(编号表!$D:$D,MATCH(AG1925,编号表!$C:$C,0))*1000+F1925</f>
        <v>11913104</v>
      </c>
      <c r="C1925" s="14" t="s">
        <v>3002</v>
      </c>
      <c r="D1925" s="14" t="s">
        <v>72</v>
      </c>
      <c r="E1925" s="14" t="s">
        <v>89</v>
      </c>
      <c r="F1925" s="14">
        <v>104</v>
      </c>
      <c r="G1925" s="14">
        <v>60</v>
      </c>
      <c r="H1925" s="14" t="s">
        <v>1400</v>
      </c>
      <c r="I1925" s="14" t="s">
        <v>75</v>
      </c>
      <c r="J1925" s="14" t="s">
        <v>201</v>
      </c>
      <c r="K1925" s="14">
        <v>1</v>
      </c>
      <c r="L1925" s="14" t="s">
        <v>1400</v>
      </c>
      <c r="N1925" s="14">
        <v>0</v>
      </c>
      <c r="O1925" s="14" t="b">
        <v>1</v>
      </c>
      <c r="Q1925" s="14" t="b">
        <v>0</v>
      </c>
      <c r="R1925" s="14">
        <v>1</v>
      </c>
      <c r="S1925" s="14" t="s">
        <v>77</v>
      </c>
      <c r="T1925" s="14">
        <v>999</v>
      </c>
      <c r="U1925" s="14" t="s">
        <v>1401</v>
      </c>
      <c r="V1925" s="14">
        <v>31913104</v>
      </c>
      <c r="X1925" s="14" t="s">
        <v>3003</v>
      </c>
      <c r="Y1925" s="14" t="s">
        <v>215</v>
      </c>
      <c r="Z1925" s="14">
        <v>20688</v>
      </c>
      <c r="AA1925" s="14" t="s">
        <v>3004</v>
      </c>
      <c r="AB1925" s="14">
        <v>40001</v>
      </c>
      <c r="AE1925" s="14" t="s">
        <v>1400</v>
      </c>
      <c r="AF1925" s="14" t="s">
        <v>1400</v>
      </c>
      <c r="AG1925" s="14" t="s">
        <v>89</v>
      </c>
    </row>
    <row r="1926" spans="2:33">
      <c r="B1926" s="14">
        <f>10000000+INDEX(编号表!$B:$B,MATCH(H1926,编号表!$A:$A,0))*100000+INDEX(编号表!$F:$F,MATCH(D1926,编号表!$E:$E,0))*10000+INDEX(编号表!$D:$D,MATCH(AG1926,编号表!$C:$C,0))*1000+F1926</f>
        <v>11923105</v>
      </c>
      <c r="C1926" s="14" t="s">
        <v>3002</v>
      </c>
      <c r="D1926" s="14" t="s">
        <v>112</v>
      </c>
      <c r="E1926" s="14" t="s">
        <v>89</v>
      </c>
      <c r="F1926" s="14">
        <v>105</v>
      </c>
      <c r="G1926" s="14">
        <v>60</v>
      </c>
      <c r="H1926" s="14" t="s">
        <v>1400</v>
      </c>
      <c r="I1926" s="14" t="s">
        <v>75</v>
      </c>
      <c r="J1926" s="14" t="s">
        <v>201</v>
      </c>
      <c r="K1926" s="14">
        <v>1</v>
      </c>
      <c r="L1926" s="14" t="s">
        <v>1400</v>
      </c>
      <c r="N1926" s="14">
        <v>0</v>
      </c>
      <c r="O1926" s="14" t="b">
        <v>1</v>
      </c>
      <c r="Q1926" s="14" t="b">
        <v>0</v>
      </c>
      <c r="R1926" s="14">
        <v>1</v>
      </c>
      <c r="S1926" s="14" t="s">
        <v>77</v>
      </c>
      <c r="T1926" s="14">
        <v>999</v>
      </c>
      <c r="U1926" s="14" t="s">
        <v>1401</v>
      </c>
      <c r="V1926" s="14">
        <v>31923105</v>
      </c>
      <c r="X1926" s="14" t="s">
        <v>3005</v>
      </c>
      <c r="Y1926" s="14" t="s">
        <v>215</v>
      </c>
      <c r="Z1926" s="14">
        <v>20689</v>
      </c>
      <c r="AA1926" s="14" t="s">
        <v>3006</v>
      </c>
      <c r="AB1926" s="14">
        <v>40001</v>
      </c>
      <c r="AE1926" s="14" t="s">
        <v>1400</v>
      </c>
      <c r="AF1926" s="14" t="s">
        <v>1400</v>
      </c>
      <c r="AG1926" s="14" t="s">
        <v>89</v>
      </c>
    </row>
    <row r="1927" spans="2:33">
      <c r="B1927" s="14">
        <f>10000000+INDEX(编号表!$B:$B,MATCH(H1927,编号表!$A:$A,0))*100000+INDEX(编号表!$F:$F,MATCH(D1927,编号表!$E:$E,0))*10000+INDEX(编号表!$D:$D,MATCH(AG1927,编号表!$C:$C,0))*1000+F1927</f>
        <v>11933106</v>
      </c>
      <c r="C1927" s="14" t="s">
        <v>3002</v>
      </c>
      <c r="D1927" s="14" t="s">
        <v>276</v>
      </c>
      <c r="E1927" s="14" t="s">
        <v>89</v>
      </c>
      <c r="F1927" s="14">
        <v>106</v>
      </c>
      <c r="G1927" s="14">
        <v>60</v>
      </c>
      <c r="H1927" s="14" t="s">
        <v>1400</v>
      </c>
      <c r="I1927" s="14" t="s">
        <v>75</v>
      </c>
      <c r="J1927" s="14" t="s">
        <v>201</v>
      </c>
      <c r="K1927" s="14">
        <v>1</v>
      </c>
      <c r="L1927" s="14" t="s">
        <v>1400</v>
      </c>
      <c r="N1927" s="14">
        <v>0</v>
      </c>
      <c r="O1927" s="14" t="b">
        <v>1</v>
      </c>
      <c r="Q1927" s="14" t="b">
        <v>0</v>
      </c>
      <c r="R1927" s="14">
        <v>1</v>
      </c>
      <c r="S1927" s="14" t="s">
        <v>77</v>
      </c>
      <c r="T1927" s="14">
        <v>999</v>
      </c>
      <c r="U1927" s="14" t="s">
        <v>1401</v>
      </c>
      <c r="V1927" s="14">
        <v>31933106</v>
      </c>
      <c r="X1927" s="14" t="s">
        <v>3007</v>
      </c>
      <c r="Y1927" s="14" t="s">
        <v>215</v>
      </c>
      <c r="Z1927" s="14">
        <v>20690</v>
      </c>
      <c r="AA1927" s="14" t="s">
        <v>3008</v>
      </c>
      <c r="AB1927" s="14">
        <v>40001</v>
      </c>
      <c r="AE1927" s="14" t="s">
        <v>1400</v>
      </c>
      <c r="AF1927" s="14" t="s">
        <v>1400</v>
      </c>
      <c r="AG1927" s="14" t="s">
        <v>89</v>
      </c>
    </row>
    <row r="1928" spans="2:33">
      <c r="B1928" s="14">
        <f>10000000+INDEX(编号表!$B:$B,MATCH(H1928,编号表!$A:$A,0))*100000+INDEX(编号表!$F:$F,MATCH(D1928,编号表!$E:$E,0))*10000+INDEX(编号表!$D:$D,MATCH(AG1928,编号表!$C:$C,0))*1000+F1928</f>
        <v>11913105</v>
      </c>
      <c r="C1928" s="14" t="s">
        <v>3009</v>
      </c>
      <c r="D1928" s="14" t="s">
        <v>72</v>
      </c>
      <c r="E1928" s="14" t="s">
        <v>89</v>
      </c>
      <c r="F1928" s="14">
        <v>105</v>
      </c>
      <c r="G1928" s="14">
        <v>60</v>
      </c>
      <c r="H1928" s="14" t="s">
        <v>1400</v>
      </c>
      <c r="I1928" s="14" t="s">
        <v>75</v>
      </c>
      <c r="J1928" s="14" t="s">
        <v>201</v>
      </c>
      <c r="K1928" s="14">
        <v>1</v>
      </c>
      <c r="L1928" s="14" t="s">
        <v>1400</v>
      </c>
      <c r="N1928" s="14">
        <v>0</v>
      </c>
      <c r="O1928" s="14" t="b">
        <v>1</v>
      </c>
      <c r="Q1928" s="14" t="b">
        <v>0</v>
      </c>
      <c r="R1928" s="14">
        <v>1</v>
      </c>
      <c r="S1928" s="14" t="s">
        <v>77</v>
      </c>
      <c r="T1928" s="14">
        <v>999</v>
      </c>
      <c r="U1928" s="14" t="s">
        <v>1401</v>
      </c>
      <c r="V1928" s="14">
        <v>31913105</v>
      </c>
      <c r="X1928" s="14" t="s">
        <v>3010</v>
      </c>
      <c r="Y1928" s="14" t="s">
        <v>215</v>
      </c>
      <c r="Z1928" s="14">
        <v>20691</v>
      </c>
      <c r="AA1928" s="14" t="s">
        <v>3011</v>
      </c>
      <c r="AB1928" s="14">
        <v>40001</v>
      </c>
      <c r="AE1928" s="14" t="s">
        <v>1400</v>
      </c>
      <c r="AF1928" s="14" t="s">
        <v>1400</v>
      </c>
      <c r="AG1928" s="14" t="s">
        <v>89</v>
      </c>
    </row>
    <row r="1929" spans="2:33">
      <c r="B1929" s="14">
        <f>10000000+INDEX(编号表!$B:$B,MATCH(H1929,编号表!$A:$A,0))*100000+INDEX(编号表!$F:$F,MATCH(D1929,编号表!$E:$E,0))*10000+INDEX(编号表!$D:$D,MATCH(AG1929,编号表!$C:$C,0))*1000+F1929</f>
        <v>11923106</v>
      </c>
      <c r="C1929" s="14" t="s">
        <v>3009</v>
      </c>
      <c r="D1929" s="14" t="s">
        <v>112</v>
      </c>
      <c r="E1929" s="14" t="s">
        <v>89</v>
      </c>
      <c r="F1929" s="14">
        <v>106</v>
      </c>
      <c r="G1929" s="14">
        <v>60</v>
      </c>
      <c r="H1929" s="14" t="s">
        <v>1400</v>
      </c>
      <c r="I1929" s="14" t="s">
        <v>75</v>
      </c>
      <c r="J1929" s="14" t="s">
        <v>201</v>
      </c>
      <c r="K1929" s="14">
        <v>1</v>
      </c>
      <c r="L1929" s="14" t="s">
        <v>1400</v>
      </c>
      <c r="N1929" s="14">
        <v>0</v>
      </c>
      <c r="O1929" s="14" t="b">
        <v>1</v>
      </c>
      <c r="Q1929" s="14" t="b">
        <v>0</v>
      </c>
      <c r="R1929" s="14">
        <v>1</v>
      </c>
      <c r="S1929" s="14" t="s">
        <v>77</v>
      </c>
      <c r="T1929" s="14">
        <v>999</v>
      </c>
      <c r="U1929" s="14" t="s">
        <v>1401</v>
      </c>
      <c r="V1929" s="14">
        <v>31923106</v>
      </c>
      <c r="X1929" s="14" t="s">
        <v>3012</v>
      </c>
      <c r="Y1929" s="14" t="s">
        <v>215</v>
      </c>
      <c r="Z1929" s="14">
        <v>20692</v>
      </c>
      <c r="AA1929" s="14" t="s">
        <v>3013</v>
      </c>
      <c r="AB1929" s="14">
        <v>40001</v>
      </c>
      <c r="AE1929" s="14" t="s">
        <v>1400</v>
      </c>
      <c r="AF1929" s="14" t="s">
        <v>1400</v>
      </c>
      <c r="AG1929" s="14" t="s">
        <v>89</v>
      </c>
    </row>
    <row r="1930" spans="2:33">
      <c r="B1930" s="14">
        <f>10000000+INDEX(编号表!$B:$B,MATCH(H1930,编号表!$A:$A,0))*100000+INDEX(编号表!$F:$F,MATCH(D1930,编号表!$E:$E,0))*10000+INDEX(编号表!$D:$D,MATCH(AG1930,编号表!$C:$C,0))*1000+F1930</f>
        <v>11933107</v>
      </c>
      <c r="C1930" s="14" t="s">
        <v>3009</v>
      </c>
      <c r="D1930" s="14" t="s">
        <v>276</v>
      </c>
      <c r="E1930" s="14" t="s">
        <v>89</v>
      </c>
      <c r="F1930" s="14">
        <v>107</v>
      </c>
      <c r="G1930" s="14">
        <v>60</v>
      </c>
      <c r="H1930" s="14" t="s">
        <v>1400</v>
      </c>
      <c r="I1930" s="14" t="s">
        <v>75</v>
      </c>
      <c r="J1930" s="14" t="s">
        <v>201</v>
      </c>
      <c r="K1930" s="14">
        <v>1</v>
      </c>
      <c r="L1930" s="14" t="s">
        <v>1400</v>
      </c>
      <c r="N1930" s="14">
        <v>0</v>
      </c>
      <c r="O1930" s="14" t="b">
        <v>1</v>
      </c>
      <c r="Q1930" s="14" t="b">
        <v>0</v>
      </c>
      <c r="R1930" s="14">
        <v>1</v>
      </c>
      <c r="S1930" s="14" t="s">
        <v>77</v>
      </c>
      <c r="T1930" s="14">
        <v>999</v>
      </c>
      <c r="U1930" s="14" t="s">
        <v>1401</v>
      </c>
      <c r="V1930" s="14">
        <v>31933107</v>
      </c>
      <c r="X1930" s="14" t="s">
        <v>3014</v>
      </c>
      <c r="Y1930" s="14" t="s">
        <v>215</v>
      </c>
      <c r="Z1930" s="14">
        <v>20693</v>
      </c>
      <c r="AA1930" s="14" t="s">
        <v>3015</v>
      </c>
      <c r="AB1930" s="14">
        <v>40001</v>
      </c>
      <c r="AE1930" s="14" t="s">
        <v>1400</v>
      </c>
      <c r="AF1930" s="14" t="s">
        <v>1400</v>
      </c>
      <c r="AG1930" s="14" t="s">
        <v>89</v>
      </c>
    </row>
    <row r="1931" spans="2:33">
      <c r="B1931" s="14">
        <f>10000000+INDEX(编号表!$B:$B,MATCH(H1931,编号表!$A:$A,0))*100000+INDEX(编号表!$F:$F,MATCH(D1931,编号表!$E:$E,0))*10000+INDEX(编号表!$D:$D,MATCH(AG1931,编号表!$C:$C,0))*1000+F1931</f>
        <v>11913106</v>
      </c>
      <c r="C1931" s="14" t="s">
        <v>3016</v>
      </c>
      <c r="D1931" s="14" t="s">
        <v>72</v>
      </c>
      <c r="E1931" s="14" t="s">
        <v>89</v>
      </c>
      <c r="F1931" s="14">
        <v>106</v>
      </c>
      <c r="G1931" s="14">
        <v>60</v>
      </c>
      <c r="H1931" s="14" t="s">
        <v>1400</v>
      </c>
      <c r="I1931" s="14" t="s">
        <v>75</v>
      </c>
      <c r="J1931" s="14" t="s">
        <v>201</v>
      </c>
      <c r="K1931" s="14">
        <v>1</v>
      </c>
      <c r="L1931" s="14" t="s">
        <v>1400</v>
      </c>
      <c r="N1931" s="14">
        <v>0</v>
      </c>
      <c r="O1931" s="14" t="b">
        <v>1</v>
      </c>
      <c r="Q1931" s="14" t="b">
        <v>0</v>
      </c>
      <c r="R1931" s="14">
        <v>1</v>
      </c>
      <c r="S1931" s="14" t="s">
        <v>77</v>
      </c>
      <c r="T1931" s="14">
        <v>999</v>
      </c>
      <c r="U1931" s="14" t="s">
        <v>1401</v>
      </c>
      <c r="V1931" s="14">
        <v>31913106</v>
      </c>
      <c r="X1931" s="14" t="s">
        <v>3017</v>
      </c>
      <c r="Y1931" s="14" t="s">
        <v>215</v>
      </c>
      <c r="Z1931" s="14">
        <v>20694</v>
      </c>
      <c r="AA1931" s="14" t="s">
        <v>3018</v>
      </c>
      <c r="AB1931" s="14">
        <v>40001</v>
      </c>
      <c r="AE1931" s="14" t="s">
        <v>1400</v>
      </c>
      <c r="AF1931" s="14" t="s">
        <v>1400</v>
      </c>
      <c r="AG1931" s="14" t="s">
        <v>89</v>
      </c>
    </row>
    <row r="1932" spans="2:33">
      <c r="B1932" s="14">
        <f>10000000+INDEX(编号表!$B:$B,MATCH(H1932,编号表!$A:$A,0))*100000+INDEX(编号表!$F:$F,MATCH(D1932,编号表!$E:$E,0))*10000+INDEX(编号表!$D:$D,MATCH(AG1932,编号表!$C:$C,0))*1000+F1932</f>
        <v>11923107</v>
      </c>
      <c r="C1932" s="14" t="s">
        <v>3016</v>
      </c>
      <c r="D1932" s="14" t="s">
        <v>112</v>
      </c>
      <c r="E1932" s="14" t="s">
        <v>89</v>
      </c>
      <c r="F1932" s="14">
        <v>107</v>
      </c>
      <c r="G1932" s="14">
        <v>60</v>
      </c>
      <c r="H1932" s="14" t="s">
        <v>1400</v>
      </c>
      <c r="I1932" s="14" t="s">
        <v>75</v>
      </c>
      <c r="J1932" s="14" t="s">
        <v>201</v>
      </c>
      <c r="K1932" s="14">
        <v>1</v>
      </c>
      <c r="L1932" s="14" t="s">
        <v>1400</v>
      </c>
      <c r="N1932" s="14">
        <v>0</v>
      </c>
      <c r="O1932" s="14" t="b">
        <v>1</v>
      </c>
      <c r="Q1932" s="14" t="b">
        <v>0</v>
      </c>
      <c r="R1932" s="14">
        <v>1</v>
      </c>
      <c r="S1932" s="14" t="s">
        <v>77</v>
      </c>
      <c r="T1932" s="14">
        <v>999</v>
      </c>
      <c r="U1932" s="14" t="s">
        <v>1401</v>
      </c>
      <c r="V1932" s="14">
        <v>31923107</v>
      </c>
      <c r="X1932" s="14" t="s">
        <v>3019</v>
      </c>
      <c r="Y1932" s="14" t="s">
        <v>215</v>
      </c>
      <c r="Z1932" s="14">
        <v>20695</v>
      </c>
      <c r="AA1932" s="14" t="s">
        <v>3020</v>
      </c>
      <c r="AB1932" s="14">
        <v>40001</v>
      </c>
      <c r="AE1932" s="14" t="s">
        <v>1400</v>
      </c>
      <c r="AF1932" s="14" t="s">
        <v>1400</v>
      </c>
      <c r="AG1932" s="14" t="s">
        <v>89</v>
      </c>
    </row>
    <row r="1933" spans="2:33">
      <c r="B1933" s="14">
        <f>10000000+INDEX(编号表!$B:$B,MATCH(H1933,编号表!$A:$A,0))*100000+INDEX(编号表!$F:$F,MATCH(D1933,编号表!$E:$E,0))*10000+INDEX(编号表!$D:$D,MATCH(AG1933,编号表!$C:$C,0))*1000+F1933</f>
        <v>11933108</v>
      </c>
      <c r="C1933" s="14" t="s">
        <v>3016</v>
      </c>
      <c r="D1933" s="14" t="s">
        <v>276</v>
      </c>
      <c r="E1933" s="14" t="s">
        <v>89</v>
      </c>
      <c r="F1933" s="14">
        <v>108</v>
      </c>
      <c r="G1933" s="14">
        <v>60</v>
      </c>
      <c r="H1933" s="14" t="s">
        <v>1400</v>
      </c>
      <c r="I1933" s="14" t="s">
        <v>75</v>
      </c>
      <c r="J1933" s="14" t="s">
        <v>201</v>
      </c>
      <c r="K1933" s="14">
        <v>1</v>
      </c>
      <c r="L1933" s="14" t="s">
        <v>1400</v>
      </c>
      <c r="N1933" s="14">
        <v>0</v>
      </c>
      <c r="O1933" s="14" t="b">
        <v>1</v>
      </c>
      <c r="Q1933" s="14" t="b">
        <v>0</v>
      </c>
      <c r="R1933" s="14">
        <v>1</v>
      </c>
      <c r="S1933" s="14" t="s">
        <v>77</v>
      </c>
      <c r="T1933" s="14">
        <v>999</v>
      </c>
      <c r="U1933" s="14" t="s">
        <v>1401</v>
      </c>
      <c r="V1933" s="14">
        <v>31933108</v>
      </c>
      <c r="X1933" s="14" t="s">
        <v>3021</v>
      </c>
      <c r="Y1933" s="14" t="s">
        <v>215</v>
      </c>
      <c r="Z1933" s="14">
        <v>20696</v>
      </c>
      <c r="AA1933" s="14" t="s">
        <v>3022</v>
      </c>
      <c r="AB1933" s="14">
        <v>40001</v>
      </c>
      <c r="AE1933" s="14" t="s">
        <v>1400</v>
      </c>
      <c r="AF1933" s="14" t="s">
        <v>1400</v>
      </c>
      <c r="AG1933" s="14" t="s">
        <v>89</v>
      </c>
    </row>
    <row r="1934" spans="2:33">
      <c r="B1934" s="14">
        <f>10000000+INDEX(编号表!$B:$B,MATCH(H1934,编号表!$A:$A,0))*100000+INDEX(编号表!$F:$F,MATCH(D1934,编号表!$E:$E,0))*10000+INDEX(编号表!$D:$D,MATCH(AG1934,编号表!$C:$C,0))*1000+F1934</f>
        <v>11913107</v>
      </c>
      <c r="C1934" s="14" t="s">
        <v>3023</v>
      </c>
      <c r="D1934" s="14" t="s">
        <v>72</v>
      </c>
      <c r="E1934" s="14" t="s">
        <v>89</v>
      </c>
      <c r="F1934" s="14">
        <v>107</v>
      </c>
      <c r="G1934" s="14">
        <v>60</v>
      </c>
      <c r="H1934" s="14" t="s">
        <v>1400</v>
      </c>
      <c r="I1934" s="14" t="s">
        <v>75</v>
      </c>
      <c r="J1934" s="14" t="s">
        <v>201</v>
      </c>
      <c r="K1934" s="14">
        <v>1</v>
      </c>
      <c r="L1934" s="14" t="s">
        <v>1400</v>
      </c>
      <c r="N1934" s="14">
        <v>0</v>
      </c>
      <c r="O1934" s="14" t="b">
        <v>1</v>
      </c>
      <c r="Q1934" s="14" t="b">
        <v>0</v>
      </c>
      <c r="R1934" s="14">
        <v>1</v>
      </c>
      <c r="S1934" s="14" t="s">
        <v>77</v>
      </c>
      <c r="T1934" s="14">
        <v>999</v>
      </c>
      <c r="U1934" s="14" t="s">
        <v>1401</v>
      </c>
      <c r="V1934" s="14">
        <v>31913107</v>
      </c>
      <c r="X1934" s="14" t="s">
        <v>3024</v>
      </c>
      <c r="Y1934" s="14" t="s">
        <v>215</v>
      </c>
      <c r="Z1934" s="14">
        <v>20697</v>
      </c>
      <c r="AA1934" s="14" t="s">
        <v>3025</v>
      </c>
      <c r="AB1934" s="14">
        <v>40001</v>
      </c>
      <c r="AE1934" s="14" t="s">
        <v>1400</v>
      </c>
      <c r="AF1934" s="14" t="s">
        <v>1400</v>
      </c>
      <c r="AG1934" s="14" t="s">
        <v>89</v>
      </c>
    </row>
    <row r="1935" spans="2:33">
      <c r="B1935" s="14">
        <f>10000000+INDEX(编号表!$B:$B,MATCH(H1935,编号表!$A:$A,0))*100000+INDEX(编号表!$F:$F,MATCH(D1935,编号表!$E:$E,0))*10000+INDEX(编号表!$D:$D,MATCH(AG1935,编号表!$C:$C,0))*1000+F1935</f>
        <v>11923108</v>
      </c>
      <c r="C1935" s="14" t="s">
        <v>3023</v>
      </c>
      <c r="D1935" s="14" t="s">
        <v>112</v>
      </c>
      <c r="E1935" s="14" t="s">
        <v>89</v>
      </c>
      <c r="F1935" s="14">
        <v>108</v>
      </c>
      <c r="G1935" s="14">
        <v>60</v>
      </c>
      <c r="H1935" s="14" t="s">
        <v>1400</v>
      </c>
      <c r="I1935" s="14" t="s">
        <v>75</v>
      </c>
      <c r="J1935" s="14" t="s">
        <v>201</v>
      </c>
      <c r="K1935" s="14">
        <v>1</v>
      </c>
      <c r="L1935" s="14" t="s">
        <v>1400</v>
      </c>
      <c r="N1935" s="14">
        <v>0</v>
      </c>
      <c r="O1935" s="14" t="b">
        <v>1</v>
      </c>
      <c r="Q1935" s="14" t="b">
        <v>0</v>
      </c>
      <c r="R1935" s="14">
        <v>1</v>
      </c>
      <c r="S1935" s="14" t="s">
        <v>77</v>
      </c>
      <c r="T1935" s="14">
        <v>999</v>
      </c>
      <c r="U1935" s="14" t="s">
        <v>1401</v>
      </c>
      <c r="V1935" s="14">
        <v>31923108</v>
      </c>
      <c r="X1935" s="14" t="s">
        <v>3026</v>
      </c>
      <c r="Y1935" s="14" t="s">
        <v>215</v>
      </c>
      <c r="Z1935" s="14">
        <v>20698</v>
      </c>
      <c r="AA1935" s="14" t="s">
        <v>3027</v>
      </c>
      <c r="AB1935" s="14">
        <v>40001</v>
      </c>
      <c r="AE1935" s="14" t="s">
        <v>1400</v>
      </c>
      <c r="AF1935" s="14" t="s">
        <v>1400</v>
      </c>
      <c r="AG1935" s="14" t="s">
        <v>89</v>
      </c>
    </row>
    <row r="1936" spans="2:33">
      <c r="B1936" s="14">
        <f>10000000+INDEX(编号表!$B:$B,MATCH(H1936,编号表!$A:$A,0))*100000+INDEX(编号表!$F:$F,MATCH(D1936,编号表!$E:$E,0))*10000+INDEX(编号表!$D:$D,MATCH(AG1936,编号表!$C:$C,0))*1000+F1936</f>
        <v>11933109</v>
      </c>
      <c r="C1936" s="14" t="s">
        <v>3023</v>
      </c>
      <c r="D1936" s="14" t="s">
        <v>276</v>
      </c>
      <c r="E1936" s="14" t="s">
        <v>89</v>
      </c>
      <c r="F1936" s="14">
        <v>109</v>
      </c>
      <c r="G1936" s="14">
        <v>60</v>
      </c>
      <c r="H1936" s="14" t="s">
        <v>1400</v>
      </c>
      <c r="I1936" s="14" t="s">
        <v>75</v>
      </c>
      <c r="J1936" s="14" t="s">
        <v>201</v>
      </c>
      <c r="K1936" s="14">
        <v>1</v>
      </c>
      <c r="L1936" s="14" t="s">
        <v>1400</v>
      </c>
      <c r="N1936" s="14">
        <v>0</v>
      </c>
      <c r="O1936" s="14" t="b">
        <v>1</v>
      </c>
      <c r="Q1936" s="14" t="b">
        <v>0</v>
      </c>
      <c r="R1936" s="14">
        <v>1</v>
      </c>
      <c r="S1936" s="14" t="s">
        <v>77</v>
      </c>
      <c r="T1936" s="14">
        <v>999</v>
      </c>
      <c r="U1936" s="14" t="s">
        <v>1401</v>
      </c>
      <c r="V1936" s="14">
        <v>31933109</v>
      </c>
      <c r="X1936" s="14" t="s">
        <v>3028</v>
      </c>
      <c r="Y1936" s="14" t="s">
        <v>215</v>
      </c>
      <c r="Z1936" s="14">
        <v>20699</v>
      </c>
      <c r="AA1936" s="14" t="s">
        <v>3029</v>
      </c>
      <c r="AB1936" s="14">
        <v>40001</v>
      </c>
      <c r="AE1936" s="14" t="s">
        <v>1400</v>
      </c>
      <c r="AF1936" s="14" t="s">
        <v>1400</v>
      </c>
      <c r="AG1936" s="14" t="s">
        <v>89</v>
      </c>
    </row>
    <row r="1937" spans="2:33">
      <c r="B1937" s="14">
        <f>10000000+INDEX(编号表!$B:$B,MATCH(H1937,编号表!$A:$A,0))*100000+INDEX(编号表!$F:$F,MATCH(D1937,编号表!$E:$E,0))*10000+INDEX(编号表!$D:$D,MATCH(AG1937,编号表!$C:$C,0))*1000+F1937</f>
        <v>11913108</v>
      </c>
      <c r="C1937" s="14" t="s">
        <v>3030</v>
      </c>
      <c r="D1937" s="14" t="s">
        <v>72</v>
      </c>
      <c r="E1937" s="14" t="s">
        <v>89</v>
      </c>
      <c r="F1937" s="14">
        <v>108</v>
      </c>
      <c r="G1937" s="14">
        <v>60</v>
      </c>
      <c r="H1937" s="14" t="s">
        <v>1400</v>
      </c>
      <c r="I1937" s="14" t="s">
        <v>75</v>
      </c>
      <c r="J1937" s="14" t="s">
        <v>201</v>
      </c>
      <c r="K1937" s="14">
        <v>1</v>
      </c>
      <c r="L1937" s="14" t="s">
        <v>1400</v>
      </c>
      <c r="N1937" s="14">
        <v>0</v>
      </c>
      <c r="O1937" s="14" t="b">
        <v>1</v>
      </c>
      <c r="Q1937" s="14" t="b">
        <v>0</v>
      </c>
      <c r="R1937" s="14">
        <v>1</v>
      </c>
      <c r="S1937" s="14" t="s">
        <v>77</v>
      </c>
      <c r="T1937" s="14">
        <v>999</v>
      </c>
      <c r="U1937" s="14" t="s">
        <v>1401</v>
      </c>
      <c r="V1937" s="14">
        <v>31913108</v>
      </c>
      <c r="X1937" s="14" t="s">
        <v>3031</v>
      </c>
      <c r="Y1937" s="14" t="s">
        <v>215</v>
      </c>
      <c r="Z1937" s="14">
        <v>20700</v>
      </c>
      <c r="AA1937" s="14" t="s">
        <v>3032</v>
      </c>
      <c r="AB1937" s="14">
        <v>40001</v>
      </c>
      <c r="AE1937" s="14" t="s">
        <v>1400</v>
      </c>
      <c r="AF1937" s="14" t="s">
        <v>1400</v>
      </c>
      <c r="AG1937" s="14" t="s">
        <v>89</v>
      </c>
    </row>
    <row r="1938" spans="2:33">
      <c r="B1938" s="14">
        <f>10000000+INDEX(编号表!$B:$B,MATCH(H1938,编号表!$A:$A,0))*100000+INDEX(编号表!$F:$F,MATCH(D1938,编号表!$E:$E,0))*10000+INDEX(编号表!$D:$D,MATCH(AG1938,编号表!$C:$C,0))*1000+F1938</f>
        <v>11923109</v>
      </c>
      <c r="C1938" s="14" t="s">
        <v>3030</v>
      </c>
      <c r="D1938" s="14" t="s">
        <v>112</v>
      </c>
      <c r="E1938" s="14" t="s">
        <v>89</v>
      </c>
      <c r="F1938" s="14">
        <v>109</v>
      </c>
      <c r="G1938" s="14">
        <v>60</v>
      </c>
      <c r="H1938" s="14" t="s">
        <v>1400</v>
      </c>
      <c r="I1938" s="14" t="s">
        <v>75</v>
      </c>
      <c r="J1938" s="14" t="s">
        <v>201</v>
      </c>
      <c r="K1938" s="14">
        <v>1</v>
      </c>
      <c r="L1938" s="14" t="s">
        <v>1400</v>
      </c>
      <c r="N1938" s="14">
        <v>0</v>
      </c>
      <c r="O1938" s="14" t="b">
        <v>1</v>
      </c>
      <c r="Q1938" s="14" t="b">
        <v>0</v>
      </c>
      <c r="R1938" s="14">
        <v>1</v>
      </c>
      <c r="S1938" s="14" t="s">
        <v>77</v>
      </c>
      <c r="T1938" s="14">
        <v>999</v>
      </c>
      <c r="U1938" s="14" t="s">
        <v>1401</v>
      </c>
      <c r="V1938" s="14">
        <v>31923109</v>
      </c>
      <c r="X1938" s="14" t="s">
        <v>3033</v>
      </c>
      <c r="Y1938" s="14" t="s">
        <v>215</v>
      </c>
      <c r="Z1938" s="14">
        <v>20701</v>
      </c>
      <c r="AA1938" s="14" t="s">
        <v>3034</v>
      </c>
      <c r="AB1938" s="14">
        <v>40001</v>
      </c>
      <c r="AE1938" s="14" t="s">
        <v>1400</v>
      </c>
      <c r="AF1938" s="14" t="s">
        <v>1400</v>
      </c>
      <c r="AG1938" s="14" t="s">
        <v>89</v>
      </c>
    </row>
    <row r="1939" spans="2:33">
      <c r="B1939" s="14">
        <f>10000000+INDEX(编号表!$B:$B,MATCH(H1939,编号表!$A:$A,0))*100000+INDEX(编号表!$F:$F,MATCH(D1939,编号表!$E:$E,0))*10000+INDEX(编号表!$D:$D,MATCH(AG1939,编号表!$C:$C,0))*1000+F1939</f>
        <v>11933110</v>
      </c>
      <c r="C1939" s="14" t="s">
        <v>3030</v>
      </c>
      <c r="D1939" s="14" t="s">
        <v>276</v>
      </c>
      <c r="E1939" s="14" t="s">
        <v>89</v>
      </c>
      <c r="F1939" s="14">
        <v>110</v>
      </c>
      <c r="G1939" s="14">
        <v>60</v>
      </c>
      <c r="H1939" s="14" t="s">
        <v>1400</v>
      </c>
      <c r="I1939" s="14" t="s">
        <v>75</v>
      </c>
      <c r="J1939" s="14" t="s">
        <v>201</v>
      </c>
      <c r="K1939" s="14">
        <v>1</v>
      </c>
      <c r="L1939" s="14" t="s">
        <v>1400</v>
      </c>
      <c r="N1939" s="14">
        <v>0</v>
      </c>
      <c r="O1939" s="14" t="b">
        <v>1</v>
      </c>
      <c r="Q1939" s="14" t="b">
        <v>0</v>
      </c>
      <c r="R1939" s="14">
        <v>1</v>
      </c>
      <c r="S1939" s="14" t="s">
        <v>77</v>
      </c>
      <c r="T1939" s="14">
        <v>999</v>
      </c>
      <c r="U1939" s="14" t="s">
        <v>1401</v>
      </c>
      <c r="V1939" s="14">
        <v>31933110</v>
      </c>
      <c r="X1939" s="14" t="s">
        <v>3035</v>
      </c>
      <c r="Y1939" s="14" t="s">
        <v>215</v>
      </c>
      <c r="Z1939" s="14">
        <v>20702</v>
      </c>
      <c r="AA1939" s="14" t="s">
        <v>3036</v>
      </c>
      <c r="AB1939" s="14">
        <v>40001</v>
      </c>
      <c r="AE1939" s="14" t="s">
        <v>1400</v>
      </c>
      <c r="AF1939" s="14" t="s">
        <v>1400</v>
      </c>
      <c r="AG1939" s="14" t="s">
        <v>89</v>
      </c>
    </row>
    <row r="1940" spans="2:33">
      <c r="B1940" s="14">
        <f>10000000+INDEX(编号表!$B:$B,MATCH(H1940,编号表!$A:$A,0))*100000+INDEX(编号表!$F:$F,MATCH(D1940,编号表!$E:$E,0))*10000+INDEX(编号表!$D:$D,MATCH(AG1940,编号表!$C:$C,0))*1000+F1940</f>
        <v>11913109</v>
      </c>
      <c r="C1940" s="14" t="s">
        <v>3037</v>
      </c>
      <c r="D1940" s="14" t="s">
        <v>72</v>
      </c>
      <c r="E1940" s="14" t="s">
        <v>89</v>
      </c>
      <c r="F1940" s="14">
        <v>109</v>
      </c>
      <c r="G1940" s="14">
        <v>60</v>
      </c>
      <c r="H1940" s="14" t="s">
        <v>1400</v>
      </c>
      <c r="I1940" s="14" t="s">
        <v>75</v>
      </c>
      <c r="J1940" s="14" t="s">
        <v>201</v>
      </c>
      <c r="K1940" s="14">
        <v>1</v>
      </c>
      <c r="L1940" s="14" t="s">
        <v>1400</v>
      </c>
      <c r="N1940" s="14">
        <v>0</v>
      </c>
      <c r="O1940" s="14" t="b">
        <v>1</v>
      </c>
      <c r="Q1940" s="14" t="b">
        <v>0</v>
      </c>
      <c r="R1940" s="14">
        <v>1</v>
      </c>
      <c r="S1940" s="14" t="s">
        <v>77</v>
      </c>
      <c r="T1940" s="14">
        <v>999</v>
      </c>
      <c r="U1940" s="14" t="s">
        <v>1401</v>
      </c>
      <c r="V1940" s="14">
        <v>31913109</v>
      </c>
      <c r="X1940" s="14" t="s">
        <v>3038</v>
      </c>
      <c r="Y1940" s="14" t="s">
        <v>215</v>
      </c>
      <c r="Z1940" s="14">
        <v>20703</v>
      </c>
      <c r="AA1940" s="14" t="s">
        <v>3039</v>
      </c>
      <c r="AB1940" s="14">
        <v>40001</v>
      </c>
      <c r="AE1940" s="14" t="s">
        <v>1400</v>
      </c>
      <c r="AF1940" s="14" t="s">
        <v>1400</v>
      </c>
      <c r="AG1940" s="14" t="s">
        <v>89</v>
      </c>
    </row>
    <row r="1941" spans="2:33">
      <c r="B1941" s="14">
        <f>10000000+INDEX(编号表!$B:$B,MATCH(H1941,编号表!$A:$A,0))*100000+INDEX(编号表!$F:$F,MATCH(D1941,编号表!$E:$E,0))*10000+INDEX(编号表!$D:$D,MATCH(AG1941,编号表!$C:$C,0))*1000+F1941</f>
        <v>11923110</v>
      </c>
      <c r="C1941" s="14" t="s">
        <v>3037</v>
      </c>
      <c r="D1941" s="14" t="s">
        <v>112</v>
      </c>
      <c r="E1941" s="14" t="s">
        <v>89</v>
      </c>
      <c r="F1941" s="14">
        <v>110</v>
      </c>
      <c r="G1941" s="14">
        <v>60</v>
      </c>
      <c r="H1941" s="14" t="s">
        <v>1400</v>
      </c>
      <c r="I1941" s="14" t="s">
        <v>75</v>
      </c>
      <c r="J1941" s="14" t="s">
        <v>201</v>
      </c>
      <c r="K1941" s="14">
        <v>1</v>
      </c>
      <c r="L1941" s="14" t="s">
        <v>1400</v>
      </c>
      <c r="N1941" s="14">
        <v>0</v>
      </c>
      <c r="O1941" s="14" t="b">
        <v>1</v>
      </c>
      <c r="Q1941" s="14" t="b">
        <v>0</v>
      </c>
      <c r="R1941" s="14">
        <v>1</v>
      </c>
      <c r="S1941" s="14" t="s">
        <v>77</v>
      </c>
      <c r="T1941" s="14">
        <v>999</v>
      </c>
      <c r="U1941" s="14" t="s">
        <v>1401</v>
      </c>
      <c r="V1941" s="14">
        <v>31923110</v>
      </c>
      <c r="X1941" s="14" t="s">
        <v>3040</v>
      </c>
      <c r="Y1941" s="14" t="s">
        <v>215</v>
      </c>
      <c r="Z1941" s="14">
        <v>20704</v>
      </c>
      <c r="AA1941" s="14" t="s">
        <v>3041</v>
      </c>
      <c r="AB1941" s="14">
        <v>40001</v>
      </c>
      <c r="AE1941" s="14" t="s">
        <v>1400</v>
      </c>
      <c r="AF1941" s="14" t="s">
        <v>1400</v>
      </c>
      <c r="AG1941" s="14" t="s">
        <v>89</v>
      </c>
    </row>
    <row r="1942" spans="2:33">
      <c r="B1942" s="14">
        <f>10000000+INDEX(编号表!$B:$B,MATCH(H1942,编号表!$A:$A,0))*100000+INDEX(编号表!$F:$F,MATCH(D1942,编号表!$E:$E,0))*10000+INDEX(编号表!$D:$D,MATCH(AG1942,编号表!$C:$C,0))*1000+F1942</f>
        <v>11933111</v>
      </c>
      <c r="C1942" s="14" t="s">
        <v>3037</v>
      </c>
      <c r="D1942" s="14" t="s">
        <v>276</v>
      </c>
      <c r="E1942" s="14" t="s">
        <v>89</v>
      </c>
      <c r="F1942" s="14">
        <v>111</v>
      </c>
      <c r="G1942" s="14">
        <v>60</v>
      </c>
      <c r="H1942" s="14" t="s">
        <v>1400</v>
      </c>
      <c r="I1942" s="14" t="s">
        <v>75</v>
      </c>
      <c r="J1942" s="14" t="s">
        <v>201</v>
      </c>
      <c r="K1942" s="14">
        <v>1</v>
      </c>
      <c r="L1942" s="14" t="s">
        <v>1400</v>
      </c>
      <c r="N1942" s="14">
        <v>0</v>
      </c>
      <c r="O1942" s="14" t="b">
        <v>1</v>
      </c>
      <c r="Q1942" s="14" t="b">
        <v>0</v>
      </c>
      <c r="R1942" s="14">
        <v>1</v>
      </c>
      <c r="S1942" s="14" t="s">
        <v>77</v>
      </c>
      <c r="T1942" s="14">
        <v>999</v>
      </c>
      <c r="U1942" s="14" t="s">
        <v>1401</v>
      </c>
      <c r="V1942" s="14">
        <v>31933111</v>
      </c>
      <c r="X1942" s="14" t="s">
        <v>3042</v>
      </c>
      <c r="Y1942" s="14" t="s">
        <v>215</v>
      </c>
      <c r="Z1942" s="14">
        <v>20705</v>
      </c>
      <c r="AA1942" s="14" t="s">
        <v>3043</v>
      </c>
      <c r="AB1942" s="14">
        <v>40001</v>
      </c>
      <c r="AE1942" s="14" t="s">
        <v>1400</v>
      </c>
      <c r="AF1942" s="14" t="s">
        <v>1400</v>
      </c>
      <c r="AG1942" s="14" t="s">
        <v>89</v>
      </c>
    </row>
    <row r="1943" spans="2:33">
      <c r="B1943" s="14">
        <f>10000000+INDEX(编号表!$B:$B,MATCH(H1943,编号表!$A:$A,0))*100000+INDEX(编号表!$F:$F,MATCH(D1943,编号表!$E:$E,0))*10000+INDEX(编号表!$D:$D,MATCH(AG1943,编号表!$C:$C,0))*1000+F1943</f>
        <v>11913110</v>
      </c>
      <c r="C1943" s="14" t="s">
        <v>3044</v>
      </c>
      <c r="D1943" s="14" t="s">
        <v>72</v>
      </c>
      <c r="E1943" s="14" t="s">
        <v>89</v>
      </c>
      <c r="F1943" s="14">
        <v>110</v>
      </c>
      <c r="G1943" s="14">
        <v>60</v>
      </c>
      <c r="H1943" s="14" t="s">
        <v>1400</v>
      </c>
      <c r="I1943" s="14" t="s">
        <v>75</v>
      </c>
      <c r="J1943" s="14" t="s">
        <v>201</v>
      </c>
      <c r="K1943" s="14">
        <v>1</v>
      </c>
      <c r="L1943" s="14" t="s">
        <v>1400</v>
      </c>
      <c r="N1943" s="14">
        <v>0</v>
      </c>
      <c r="O1943" s="14" t="b">
        <v>1</v>
      </c>
      <c r="Q1943" s="14" t="b">
        <v>0</v>
      </c>
      <c r="R1943" s="14">
        <v>1</v>
      </c>
      <c r="S1943" s="14" t="s">
        <v>77</v>
      </c>
      <c r="T1943" s="14">
        <v>999</v>
      </c>
      <c r="U1943" s="14" t="s">
        <v>1401</v>
      </c>
      <c r="V1943" s="14">
        <v>31913110</v>
      </c>
      <c r="X1943" s="14" t="s">
        <v>3045</v>
      </c>
      <c r="Y1943" s="14" t="s">
        <v>215</v>
      </c>
      <c r="Z1943" s="14">
        <v>20706</v>
      </c>
      <c r="AA1943" s="14" t="s">
        <v>3046</v>
      </c>
      <c r="AB1943" s="14">
        <v>40001</v>
      </c>
      <c r="AE1943" s="14" t="s">
        <v>1400</v>
      </c>
      <c r="AF1943" s="14" t="s">
        <v>1400</v>
      </c>
      <c r="AG1943" s="14" t="s">
        <v>89</v>
      </c>
    </row>
    <row r="1944" spans="2:33">
      <c r="B1944" s="14">
        <f>10000000+INDEX(编号表!$B:$B,MATCH(H1944,编号表!$A:$A,0))*100000+INDEX(编号表!$F:$F,MATCH(D1944,编号表!$E:$E,0))*10000+INDEX(编号表!$D:$D,MATCH(AG1944,编号表!$C:$C,0))*1000+F1944</f>
        <v>11923111</v>
      </c>
      <c r="C1944" s="14" t="s">
        <v>3044</v>
      </c>
      <c r="D1944" s="14" t="s">
        <v>112</v>
      </c>
      <c r="E1944" s="14" t="s">
        <v>89</v>
      </c>
      <c r="F1944" s="14">
        <v>111</v>
      </c>
      <c r="G1944" s="14">
        <v>60</v>
      </c>
      <c r="H1944" s="14" t="s">
        <v>1400</v>
      </c>
      <c r="I1944" s="14" t="s">
        <v>75</v>
      </c>
      <c r="J1944" s="14" t="s">
        <v>201</v>
      </c>
      <c r="K1944" s="14">
        <v>1</v>
      </c>
      <c r="L1944" s="14" t="s">
        <v>1400</v>
      </c>
      <c r="N1944" s="14">
        <v>0</v>
      </c>
      <c r="O1944" s="14" t="b">
        <v>1</v>
      </c>
      <c r="Q1944" s="14" t="b">
        <v>0</v>
      </c>
      <c r="R1944" s="14">
        <v>1</v>
      </c>
      <c r="S1944" s="14" t="s">
        <v>77</v>
      </c>
      <c r="T1944" s="14">
        <v>999</v>
      </c>
      <c r="U1944" s="14" t="s">
        <v>1401</v>
      </c>
      <c r="V1944" s="14">
        <v>31923111</v>
      </c>
      <c r="X1944" s="14" t="s">
        <v>3047</v>
      </c>
      <c r="Y1944" s="14" t="s">
        <v>215</v>
      </c>
      <c r="Z1944" s="14">
        <v>20707</v>
      </c>
      <c r="AA1944" s="14" t="s">
        <v>3048</v>
      </c>
      <c r="AB1944" s="14">
        <v>40001</v>
      </c>
      <c r="AE1944" s="14" t="s">
        <v>1400</v>
      </c>
      <c r="AF1944" s="14" t="s">
        <v>1400</v>
      </c>
      <c r="AG1944" s="14" t="s">
        <v>89</v>
      </c>
    </row>
    <row r="1945" spans="2:33">
      <c r="B1945" s="14">
        <f>10000000+INDEX(编号表!$B:$B,MATCH(H1945,编号表!$A:$A,0))*100000+INDEX(编号表!$F:$F,MATCH(D1945,编号表!$E:$E,0))*10000+INDEX(编号表!$D:$D,MATCH(AG1945,编号表!$C:$C,0))*1000+F1945</f>
        <v>11933112</v>
      </c>
      <c r="C1945" s="14" t="s">
        <v>3044</v>
      </c>
      <c r="D1945" s="14" t="s">
        <v>276</v>
      </c>
      <c r="E1945" s="14" t="s">
        <v>89</v>
      </c>
      <c r="F1945" s="14">
        <v>112</v>
      </c>
      <c r="G1945" s="14">
        <v>60</v>
      </c>
      <c r="H1945" s="14" t="s">
        <v>1400</v>
      </c>
      <c r="I1945" s="14" t="s">
        <v>75</v>
      </c>
      <c r="J1945" s="14" t="s">
        <v>201</v>
      </c>
      <c r="K1945" s="14">
        <v>1</v>
      </c>
      <c r="L1945" s="14" t="s">
        <v>1400</v>
      </c>
      <c r="N1945" s="14">
        <v>0</v>
      </c>
      <c r="O1945" s="14" t="b">
        <v>1</v>
      </c>
      <c r="Q1945" s="14" t="b">
        <v>0</v>
      </c>
      <c r="R1945" s="14">
        <v>1</v>
      </c>
      <c r="S1945" s="14" t="s">
        <v>77</v>
      </c>
      <c r="T1945" s="14">
        <v>999</v>
      </c>
      <c r="U1945" s="14" t="s">
        <v>1401</v>
      </c>
      <c r="V1945" s="14">
        <v>31933112</v>
      </c>
      <c r="X1945" s="14" t="s">
        <v>3049</v>
      </c>
      <c r="Y1945" s="14" t="s">
        <v>215</v>
      </c>
      <c r="Z1945" s="14">
        <v>20708</v>
      </c>
      <c r="AA1945" s="14" t="s">
        <v>3050</v>
      </c>
      <c r="AB1945" s="14">
        <v>40001</v>
      </c>
      <c r="AE1945" s="14" t="s">
        <v>1400</v>
      </c>
      <c r="AF1945" s="14" t="s">
        <v>1400</v>
      </c>
      <c r="AG1945" s="14" t="s">
        <v>89</v>
      </c>
    </row>
    <row r="1946" spans="2:33">
      <c r="B1946" s="14">
        <f>10000000+INDEX(编号表!$B:$B,MATCH(H1946,编号表!$A:$A,0))*100000+INDEX(编号表!$F:$F,MATCH(D1946,编号表!$E:$E,0))*10000+INDEX(编号表!$D:$D,MATCH(AG1946,编号表!$C:$C,0))*1000+F1946</f>
        <v>11913111</v>
      </c>
      <c r="C1946" s="14" t="s">
        <v>3051</v>
      </c>
      <c r="D1946" s="14" t="s">
        <v>72</v>
      </c>
      <c r="E1946" s="14" t="s">
        <v>89</v>
      </c>
      <c r="F1946" s="14">
        <v>111</v>
      </c>
      <c r="G1946" s="14">
        <v>60</v>
      </c>
      <c r="H1946" s="14" t="s">
        <v>1400</v>
      </c>
      <c r="I1946" s="14" t="s">
        <v>75</v>
      </c>
      <c r="J1946" s="14" t="s">
        <v>201</v>
      </c>
      <c r="K1946" s="14">
        <v>1</v>
      </c>
      <c r="L1946" s="14" t="s">
        <v>1400</v>
      </c>
      <c r="N1946" s="14">
        <v>0</v>
      </c>
      <c r="O1946" s="14" t="b">
        <v>1</v>
      </c>
      <c r="Q1946" s="14" t="b">
        <v>0</v>
      </c>
      <c r="R1946" s="14">
        <v>1</v>
      </c>
      <c r="S1946" s="14" t="s">
        <v>77</v>
      </c>
      <c r="T1946" s="14">
        <v>999</v>
      </c>
      <c r="U1946" s="14" t="s">
        <v>1401</v>
      </c>
      <c r="V1946" s="14">
        <v>31913111</v>
      </c>
      <c r="X1946" s="14" t="s">
        <v>3052</v>
      </c>
      <c r="Y1946" s="14" t="s">
        <v>215</v>
      </c>
      <c r="Z1946" s="14">
        <v>20709</v>
      </c>
      <c r="AA1946" s="14" t="s">
        <v>3053</v>
      </c>
      <c r="AB1946" s="14">
        <v>40001</v>
      </c>
      <c r="AE1946" s="14" t="s">
        <v>1400</v>
      </c>
      <c r="AF1946" s="14" t="s">
        <v>1400</v>
      </c>
      <c r="AG1946" s="14" t="s">
        <v>89</v>
      </c>
    </row>
    <row r="1947" spans="2:33">
      <c r="B1947" s="14">
        <f>10000000+INDEX(编号表!$B:$B,MATCH(H1947,编号表!$A:$A,0))*100000+INDEX(编号表!$F:$F,MATCH(D1947,编号表!$E:$E,0))*10000+INDEX(编号表!$D:$D,MATCH(AG1947,编号表!$C:$C,0))*1000+F1947</f>
        <v>11923112</v>
      </c>
      <c r="C1947" s="14" t="s">
        <v>3051</v>
      </c>
      <c r="D1947" s="14" t="s">
        <v>112</v>
      </c>
      <c r="E1947" s="14" t="s">
        <v>89</v>
      </c>
      <c r="F1947" s="14">
        <v>112</v>
      </c>
      <c r="G1947" s="14">
        <v>60</v>
      </c>
      <c r="H1947" s="14" t="s">
        <v>1400</v>
      </c>
      <c r="I1947" s="14" t="s">
        <v>75</v>
      </c>
      <c r="J1947" s="14" t="s">
        <v>201</v>
      </c>
      <c r="K1947" s="14">
        <v>1</v>
      </c>
      <c r="L1947" s="14" t="s">
        <v>1400</v>
      </c>
      <c r="N1947" s="14">
        <v>0</v>
      </c>
      <c r="O1947" s="14" t="b">
        <v>1</v>
      </c>
      <c r="Q1947" s="14" t="b">
        <v>0</v>
      </c>
      <c r="R1947" s="14">
        <v>1</v>
      </c>
      <c r="S1947" s="14" t="s">
        <v>77</v>
      </c>
      <c r="T1947" s="14">
        <v>999</v>
      </c>
      <c r="U1947" s="14" t="s">
        <v>1401</v>
      </c>
      <c r="V1947" s="14">
        <v>31923112</v>
      </c>
      <c r="X1947" s="14" t="s">
        <v>3054</v>
      </c>
      <c r="Y1947" s="14" t="s">
        <v>215</v>
      </c>
      <c r="Z1947" s="14">
        <v>20710</v>
      </c>
      <c r="AA1947" s="14" t="s">
        <v>3055</v>
      </c>
      <c r="AB1947" s="14">
        <v>40001</v>
      </c>
      <c r="AE1947" s="14" t="s">
        <v>1400</v>
      </c>
      <c r="AF1947" s="14" t="s">
        <v>1400</v>
      </c>
      <c r="AG1947" s="14" t="s">
        <v>89</v>
      </c>
    </row>
    <row r="1948" spans="2:33">
      <c r="B1948" s="14">
        <f>10000000+INDEX(编号表!$B:$B,MATCH(H1948,编号表!$A:$A,0))*100000+INDEX(编号表!$F:$F,MATCH(D1948,编号表!$E:$E,0))*10000+INDEX(编号表!$D:$D,MATCH(AG1948,编号表!$C:$C,0))*1000+F1948</f>
        <v>11933113</v>
      </c>
      <c r="C1948" s="14" t="s">
        <v>3051</v>
      </c>
      <c r="D1948" s="14" t="s">
        <v>276</v>
      </c>
      <c r="E1948" s="14" t="s">
        <v>89</v>
      </c>
      <c r="F1948" s="14">
        <v>113</v>
      </c>
      <c r="G1948" s="14">
        <v>60</v>
      </c>
      <c r="H1948" s="14" t="s">
        <v>1400</v>
      </c>
      <c r="I1948" s="14" t="s">
        <v>75</v>
      </c>
      <c r="J1948" s="14" t="s">
        <v>201</v>
      </c>
      <c r="K1948" s="14">
        <v>1</v>
      </c>
      <c r="L1948" s="14" t="s">
        <v>1400</v>
      </c>
      <c r="N1948" s="14">
        <v>0</v>
      </c>
      <c r="O1948" s="14" t="b">
        <v>1</v>
      </c>
      <c r="Q1948" s="14" t="b">
        <v>0</v>
      </c>
      <c r="R1948" s="14">
        <v>1</v>
      </c>
      <c r="S1948" s="14" t="s">
        <v>77</v>
      </c>
      <c r="T1948" s="14">
        <v>999</v>
      </c>
      <c r="U1948" s="14" t="s">
        <v>1401</v>
      </c>
      <c r="V1948" s="14">
        <v>31933113</v>
      </c>
      <c r="X1948" s="14" t="s">
        <v>3056</v>
      </c>
      <c r="Y1948" s="14" t="s">
        <v>215</v>
      </c>
      <c r="Z1948" s="14">
        <v>20711</v>
      </c>
      <c r="AA1948" s="14" t="s">
        <v>3057</v>
      </c>
      <c r="AB1948" s="14">
        <v>40001</v>
      </c>
      <c r="AE1948" s="14" t="s">
        <v>1400</v>
      </c>
      <c r="AF1948" s="14" t="s">
        <v>1400</v>
      </c>
      <c r="AG1948" s="14" t="s">
        <v>89</v>
      </c>
    </row>
    <row r="1949" spans="2:33">
      <c r="B1949" s="14">
        <f>10000000+INDEX(编号表!$B:$B,MATCH(H1949,编号表!$A:$A,0))*100000+INDEX(编号表!$F:$F,MATCH(D1949,编号表!$E:$E,0))*10000+INDEX(编号表!$D:$D,MATCH(AG1949,编号表!$C:$C,0))*1000+F1949</f>
        <v>11913112</v>
      </c>
      <c r="C1949" s="14" t="s">
        <v>3058</v>
      </c>
      <c r="D1949" s="14" t="s">
        <v>72</v>
      </c>
      <c r="E1949" s="14" t="s">
        <v>89</v>
      </c>
      <c r="F1949" s="14">
        <v>112</v>
      </c>
      <c r="G1949" s="14">
        <v>60</v>
      </c>
      <c r="H1949" s="14" t="s">
        <v>1400</v>
      </c>
      <c r="I1949" s="14" t="s">
        <v>75</v>
      </c>
      <c r="J1949" s="14" t="s">
        <v>201</v>
      </c>
      <c r="K1949" s="14">
        <v>1</v>
      </c>
      <c r="L1949" s="14" t="s">
        <v>1400</v>
      </c>
      <c r="N1949" s="14">
        <v>0</v>
      </c>
      <c r="O1949" s="14" t="b">
        <v>1</v>
      </c>
      <c r="Q1949" s="14" t="b">
        <v>0</v>
      </c>
      <c r="R1949" s="14">
        <v>1</v>
      </c>
      <c r="S1949" s="14" t="s">
        <v>77</v>
      </c>
      <c r="T1949" s="14">
        <v>999</v>
      </c>
      <c r="U1949" s="14" t="s">
        <v>1401</v>
      </c>
      <c r="V1949" s="14">
        <v>31913112</v>
      </c>
      <c r="X1949" s="14" t="s">
        <v>3059</v>
      </c>
      <c r="Y1949" s="14" t="s">
        <v>215</v>
      </c>
      <c r="Z1949" s="14">
        <v>20712</v>
      </c>
      <c r="AA1949" s="14" t="s">
        <v>3060</v>
      </c>
      <c r="AB1949" s="14">
        <v>40001</v>
      </c>
      <c r="AE1949" s="14" t="s">
        <v>1400</v>
      </c>
      <c r="AF1949" s="14" t="s">
        <v>1400</v>
      </c>
      <c r="AG1949" s="14" t="s">
        <v>89</v>
      </c>
    </row>
    <row r="1950" spans="2:33">
      <c r="B1950" s="14">
        <f>10000000+INDEX(编号表!$B:$B,MATCH(H1950,编号表!$A:$A,0))*100000+INDEX(编号表!$F:$F,MATCH(D1950,编号表!$E:$E,0))*10000+INDEX(编号表!$D:$D,MATCH(AG1950,编号表!$C:$C,0))*1000+F1950</f>
        <v>11923113</v>
      </c>
      <c r="C1950" s="14" t="s">
        <v>3058</v>
      </c>
      <c r="D1950" s="14" t="s">
        <v>112</v>
      </c>
      <c r="E1950" s="14" t="s">
        <v>89</v>
      </c>
      <c r="F1950" s="14">
        <v>113</v>
      </c>
      <c r="G1950" s="14">
        <v>60</v>
      </c>
      <c r="H1950" s="14" t="s">
        <v>1400</v>
      </c>
      <c r="I1950" s="14" t="s">
        <v>75</v>
      </c>
      <c r="J1950" s="14" t="s">
        <v>201</v>
      </c>
      <c r="K1950" s="14">
        <v>1</v>
      </c>
      <c r="L1950" s="14" t="s">
        <v>1400</v>
      </c>
      <c r="N1950" s="14">
        <v>0</v>
      </c>
      <c r="O1950" s="14" t="b">
        <v>1</v>
      </c>
      <c r="Q1950" s="14" t="b">
        <v>0</v>
      </c>
      <c r="R1950" s="14">
        <v>1</v>
      </c>
      <c r="S1950" s="14" t="s">
        <v>77</v>
      </c>
      <c r="T1950" s="14">
        <v>999</v>
      </c>
      <c r="U1950" s="14" t="s">
        <v>1401</v>
      </c>
      <c r="V1950" s="14">
        <v>31923113</v>
      </c>
      <c r="X1950" s="14" t="s">
        <v>3061</v>
      </c>
      <c r="Y1950" s="14" t="s">
        <v>215</v>
      </c>
      <c r="Z1950" s="14">
        <v>20713</v>
      </c>
      <c r="AA1950" s="14" t="s">
        <v>3062</v>
      </c>
      <c r="AB1950" s="14">
        <v>40001</v>
      </c>
      <c r="AE1950" s="14" t="s">
        <v>1400</v>
      </c>
      <c r="AF1950" s="14" t="s">
        <v>1400</v>
      </c>
      <c r="AG1950" s="14" t="s">
        <v>89</v>
      </c>
    </row>
    <row r="1951" spans="2:33">
      <c r="B1951" s="14">
        <f>10000000+INDEX(编号表!$B:$B,MATCH(H1951,编号表!$A:$A,0))*100000+INDEX(编号表!$F:$F,MATCH(D1951,编号表!$E:$E,0))*10000+INDEX(编号表!$D:$D,MATCH(AG1951,编号表!$C:$C,0))*1000+F1951</f>
        <v>11933114</v>
      </c>
      <c r="C1951" s="14" t="s">
        <v>3058</v>
      </c>
      <c r="D1951" s="14" t="s">
        <v>276</v>
      </c>
      <c r="E1951" s="14" t="s">
        <v>89</v>
      </c>
      <c r="F1951" s="14">
        <v>114</v>
      </c>
      <c r="G1951" s="14">
        <v>60</v>
      </c>
      <c r="H1951" s="14" t="s">
        <v>1400</v>
      </c>
      <c r="I1951" s="14" t="s">
        <v>75</v>
      </c>
      <c r="J1951" s="14" t="s">
        <v>201</v>
      </c>
      <c r="K1951" s="14">
        <v>1</v>
      </c>
      <c r="L1951" s="14" t="s">
        <v>1400</v>
      </c>
      <c r="N1951" s="14">
        <v>0</v>
      </c>
      <c r="O1951" s="14" t="b">
        <v>1</v>
      </c>
      <c r="Q1951" s="14" t="b">
        <v>0</v>
      </c>
      <c r="R1951" s="14">
        <v>1</v>
      </c>
      <c r="S1951" s="14" t="s">
        <v>77</v>
      </c>
      <c r="T1951" s="14">
        <v>999</v>
      </c>
      <c r="U1951" s="14" t="s">
        <v>1401</v>
      </c>
      <c r="V1951" s="14">
        <v>31933114</v>
      </c>
      <c r="X1951" s="14" t="s">
        <v>3063</v>
      </c>
      <c r="Y1951" s="14" t="s">
        <v>215</v>
      </c>
      <c r="Z1951" s="14">
        <v>20714</v>
      </c>
      <c r="AA1951" s="14" t="s">
        <v>3064</v>
      </c>
      <c r="AB1951" s="14">
        <v>40001</v>
      </c>
      <c r="AE1951" s="14" t="s">
        <v>1400</v>
      </c>
      <c r="AF1951" s="14" t="s">
        <v>1400</v>
      </c>
      <c r="AG1951" s="14" t="s">
        <v>89</v>
      </c>
    </row>
    <row r="1952" spans="2:33">
      <c r="B1952" s="14">
        <f>10000000+INDEX(编号表!$B:$B,MATCH(H1952,编号表!$A:$A,0))*100000+INDEX(编号表!$F:$F,MATCH(D1952,编号表!$E:$E,0))*10000+INDEX(编号表!$D:$D,MATCH(AG1952,编号表!$C:$C,0))*1000+F1952</f>
        <v>11913113</v>
      </c>
      <c r="C1952" s="14" t="s">
        <v>3065</v>
      </c>
      <c r="D1952" s="14" t="s">
        <v>72</v>
      </c>
      <c r="E1952" s="14" t="s">
        <v>89</v>
      </c>
      <c r="F1952" s="14">
        <v>113</v>
      </c>
      <c r="G1952" s="14">
        <v>60</v>
      </c>
      <c r="H1952" s="14" t="s">
        <v>1400</v>
      </c>
      <c r="I1952" s="14" t="s">
        <v>75</v>
      </c>
      <c r="J1952" s="14" t="s">
        <v>201</v>
      </c>
      <c r="K1952" s="14">
        <v>1</v>
      </c>
      <c r="L1952" s="14" t="s">
        <v>1400</v>
      </c>
      <c r="N1952" s="14">
        <v>0</v>
      </c>
      <c r="O1952" s="14" t="b">
        <v>1</v>
      </c>
      <c r="Q1952" s="14" t="b">
        <v>0</v>
      </c>
      <c r="R1952" s="14">
        <v>1</v>
      </c>
      <c r="S1952" s="14" t="s">
        <v>77</v>
      </c>
      <c r="T1952" s="14">
        <v>999</v>
      </c>
      <c r="U1952" s="14" t="s">
        <v>1401</v>
      </c>
      <c r="V1952" s="14">
        <v>31913113</v>
      </c>
      <c r="X1952" s="14" t="s">
        <v>3066</v>
      </c>
      <c r="Y1952" s="14" t="s">
        <v>215</v>
      </c>
      <c r="Z1952" s="14">
        <v>20715</v>
      </c>
      <c r="AA1952" s="14" t="s">
        <v>3067</v>
      </c>
      <c r="AB1952" s="14">
        <v>40001</v>
      </c>
      <c r="AE1952" s="14" t="s">
        <v>1400</v>
      </c>
      <c r="AF1952" s="14" t="s">
        <v>1400</v>
      </c>
      <c r="AG1952" s="14" t="s">
        <v>89</v>
      </c>
    </row>
    <row r="1953" spans="2:33">
      <c r="B1953" s="14">
        <f>10000000+INDEX(编号表!$B:$B,MATCH(H1953,编号表!$A:$A,0))*100000+INDEX(编号表!$F:$F,MATCH(D1953,编号表!$E:$E,0))*10000+INDEX(编号表!$D:$D,MATCH(AG1953,编号表!$C:$C,0))*1000+F1953</f>
        <v>11923114</v>
      </c>
      <c r="C1953" s="14" t="s">
        <v>3065</v>
      </c>
      <c r="D1953" s="14" t="s">
        <v>112</v>
      </c>
      <c r="E1953" s="14" t="s">
        <v>89</v>
      </c>
      <c r="F1953" s="14">
        <v>114</v>
      </c>
      <c r="G1953" s="14">
        <v>60</v>
      </c>
      <c r="H1953" s="14" t="s">
        <v>1400</v>
      </c>
      <c r="I1953" s="14" t="s">
        <v>75</v>
      </c>
      <c r="J1953" s="14" t="s">
        <v>201</v>
      </c>
      <c r="K1953" s="14">
        <v>1</v>
      </c>
      <c r="L1953" s="14" t="s">
        <v>1400</v>
      </c>
      <c r="N1953" s="14">
        <v>0</v>
      </c>
      <c r="O1953" s="14" t="b">
        <v>1</v>
      </c>
      <c r="Q1953" s="14" t="b">
        <v>0</v>
      </c>
      <c r="R1953" s="14">
        <v>1</v>
      </c>
      <c r="S1953" s="14" t="s">
        <v>77</v>
      </c>
      <c r="T1953" s="14">
        <v>999</v>
      </c>
      <c r="U1953" s="14" t="s">
        <v>1401</v>
      </c>
      <c r="V1953" s="14">
        <v>31923114</v>
      </c>
      <c r="X1953" s="14" t="s">
        <v>3068</v>
      </c>
      <c r="Y1953" s="14" t="s">
        <v>215</v>
      </c>
      <c r="Z1953" s="14">
        <v>20716</v>
      </c>
      <c r="AA1953" s="14" t="s">
        <v>3069</v>
      </c>
      <c r="AB1953" s="14">
        <v>40001</v>
      </c>
      <c r="AE1953" s="14" t="s">
        <v>1400</v>
      </c>
      <c r="AF1953" s="14" t="s">
        <v>1400</v>
      </c>
      <c r="AG1953" s="14" t="s">
        <v>89</v>
      </c>
    </row>
    <row r="1954" spans="2:33">
      <c r="B1954" s="14">
        <f>10000000+INDEX(编号表!$B:$B,MATCH(H1954,编号表!$A:$A,0))*100000+INDEX(编号表!$F:$F,MATCH(D1954,编号表!$E:$E,0))*10000+INDEX(编号表!$D:$D,MATCH(AG1954,编号表!$C:$C,0))*1000+F1954</f>
        <v>11933115</v>
      </c>
      <c r="C1954" s="14" t="s">
        <v>3065</v>
      </c>
      <c r="D1954" s="14" t="s">
        <v>276</v>
      </c>
      <c r="E1954" s="14" t="s">
        <v>89</v>
      </c>
      <c r="F1954" s="14">
        <v>115</v>
      </c>
      <c r="G1954" s="14">
        <v>60</v>
      </c>
      <c r="H1954" s="14" t="s">
        <v>1400</v>
      </c>
      <c r="I1954" s="14" t="s">
        <v>75</v>
      </c>
      <c r="J1954" s="14" t="s">
        <v>201</v>
      </c>
      <c r="K1954" s="14">
        <v>1</v>
      </c>
      <c r="L1954" s="14" t="s">
        <v>1400</v>
      </c>
      <c r="N1954" s="14">
        <v>0</v>
      </c>
      <c r="O1954" s="14" t="b">
        <v>1</v>
      </c>
      <c r="Q1954" s="14" t="b">
        <v>0</v>
      </c>
      <c r="R1954" s="14">
        <v>1</v>
      </c>
      <c r="S1954" s="14" t="s">
        <v>77</v>
      </c>
      <c r="T1954" s="14">
        <v>999</v>
      </c>
      <c r="U1954" s="14" t="s">
        <v>1401</v>
      </c>
      <c r="V1954" s="14">
        <v>31933115</v>
      </c>
      <c r="X1954" s="14" t="s">
        <v>3070</v>
      </c>
      <c r="Y1954" s="14" t="s">
        <v>215</v>
      </c>
      <c r="Z1954" s="14">
        <v>20717</v>
      </c>
      <c r="AA1954" s="14" t="s">
        <v>3071</v>
      </c>
      <c r="AB1954" s="14">
        <v>40001</v>
      </c>
      <c r="AE1954" s="14" t="s">
        <v>1400</v>
      </c>
      <c r="AF1954" s="14" t="s">
        <v>1400</v>
      </c>
      <c r="AG1954" s="14" t="s">
        <v>89</v>
      </c>
    </row>
    <row r="1955" spans="2:33">
      <c r="B1955" s="14">
        <f>10000000+INDEX(编号表!$B:$B,MATCH(H1955,编号表!$A:$A,0))*100000+INDEX(编号表!$F:$F,MATCH(D1955,编号表!$E:$E,0))*10000+INDEX(编号表!$D:$D,MATCH(AG1955,编号表!$C:$C,0))*1000+F1955</f>
        <v>11913114</v>
      </c>
      <c r="C1955" s="14" t="s">
        <v>3072</v>
      </c>
      <c r="D1955" s="14" t="s">
        <v>72</v>
      </c>
      <c r="E1955" s="14" t="s">
        <v>89</v>
      </c>
      <c r="F1955" s="14">
        <v>114</v>
      </c>
      <c r="G1955" s="14">
        <v>60</v>
      </c>
      <c r="H1955" s="14" t="s">
        <v>1400</v>
      </c>
      <c r="I1955" s="14" t="s">
        <v>75</v>
      </c>
      <c r="J1955" s="14" t="s">
        <v>201</v>
      </c>
      <c r="K1955" s="14">
        <v>1</v>
      </c>
      <c r="L1955" s="14" t="s">
        <v>1400</v>
      </c>
      <c r="N1955" s="14">
        <v>0</v>
      </c>
      <c r="O1955" s="14" t="b">
        <v>1</v>
      </c>
      <c r="Q1955" s="14" t="b">
        <v>0</v>
      </c>
      <c r="R1955" s="14">
        <v>1</v>
      </c>
      <c r="S1955" s="14" t="s">
        <v>77</v>
      </c>
      <c r="T1955" s="14">
        <v>999</v>
      </c>
      <c r="U1955" s="14" t="s">
        <v>1401</v>
      </c>
      <c r="V1955" s="14">
        <v>31913114</v>
      </c>
      <c r="X1955" s="14" t="s">
        <v>3073</v>
      </c>
      <c r="Y1955" s="14" t="s">
        <v>215</v>
      </c>
      <c r="Z1955" s="14">
        <v>20718</v>
      </c>
      <c r="AA1955" s="14" t="s">
        <v>3074</v>
      </c>
      <c r="AB1955" s="14">
        <v>40001</v>
      </c>
      <c r="AE1955" s="14" t="s">
        <v>1400</v>
      </c>
      <c r="AF1955" s="14" t="s">
        <v>1400</v>
      </c>
      <c r="AG1955" s="14" t="s">
        <v>89</v>
      </c>
    </row>
    <row r="1956" spans="2:33">
      <c r="B1956" s="14">
        <f>10000000+INDEX(编号表!$B:$B,MATCH(H1956,编号表!$A:$A,0))*100000+INDEX(编号表!$F:$F,MATCH(D1956,编号表!$E:$E,0))*10000+INDEX(编号表!$D:$D,MATCH(AG1956,编号表!$C:$C,0))*1000+F1956</f>
        <v>11923115</v>
      </c>
      <c r="C1956" s="14" t="s">
        <v>3072</v>
      </c>
      <c r="D1956" s="14" t="s">
        <v>112</v>
      </c>
      <c r="E1956" s="14" t="s">
        <v>89</v>
      </c>
      <c r="F1956" s="14">
        <v>115</v>
      </c>
      <c r="G1956" s="14">
        <v>60</v>
      </c>
      <c r="H1956" s="14" t="s">
        <v>1400</v>
      </c>
      <c r="I1956" s="14" t="s">
        <v>75</v>
      </c>
      <c r="J1956" s="14" t="s">
        <v>201</v>
      </c>
      <c r="K1956" s="14">
        <v>1</v>
      </c>
      <c r="L1956" s="14" t="s">
        <v>1400</v>
      </c>
      <c r="N1956" s="14">
        <v>0</v>
      </c>
      <c r="O1956" s="14" t="b">
        <v>1</v>
      </c>
      <c r="Q1956" s="14" t="b">
        <v>0</v>
      </c>
      <c r="R1956" s="14">
        <v>1</v>
      </c>
      <c r="S1956" s="14" t="s">
        <v>77</v>
      </c>
      <c r="T1956" s="14">
        <v>999</v>
      </c>
      <c r="U1956" s="14" t="s">
        <v>1401</v>
      </c>
      <c r="V1956" s="14">
        <v>31923115</v>
      </c>
      <c r="X1956" s="14" t="s">
        <v>3075</v>
      </c>
      <c r="Y1956" s="14" t="s">
        <v>215</v>
      </c>
      <c r="Z1956" s="14">
        <v>20719</v>
      </c>
      <c r="AA1956" s="14" t="s">
        <v>3076</v>
      </c>
      <c r="AB1956" s="14">
        <v>40001</v>
      </c>
      <c r="AE1956" s="14" t="s">
        <v>1400</v>
      </c>
      <c r="AF1956" s="14" t="s">
        <v>1400</v>
      </c>
      <c r="AG1956" s="14" t="s">
        <v>89</v>
      </c>
    </row>
    <row r="1957" spans="2:33">
      <c r="B1957" s="14">
        <f>10000000+INDEX(编号表!$B:$B,MATCH(H1957,编号表!$A:$A,0))*100000+INDEX(编号表!$F:$F,MATCH(D1957,编号表!$E:$E,0))*10000+INDEX(编号表!$D:$D,MATCH(AG1957,编号表!$C:$C,0))*1000+F1957</f>
        <v>11933116</v>
      </c>
      <c r="C1957" s="14" t="s">
        <v>3072</v>
      </c>
      <c r="D1957" s="14" t="s">
        <v>276</v>
      </c>
      <c r="E1957" s="14" t="s">
        <v>89</v>
      </c>
      <c r="F1957" s="14">
        <v>116</v>
      </c>
      <c r="G1957" s="14">
        <v>60</v>
      </c>
      <c r="H1957" s="14" t="s">
        <v>1400</v>
      </c>
      <c r="I1957" s="14" t="s">
        <v>75</v>
      </c>
      <c r="J1957" s="14" t="s">
        <v>201</v>
      </c>
      <c r="K1957" s="14">
        <v>1</v>
      </c>
      <c r="L1957" s="14" t="s">
        <v>1400</v>
      </c>
      <c r="N1957" s="14">
        <v>0</v>
      </c>
      <c r="O1957" s="14" t="b">
        <v>1</v>
      </c>
      <c r="Q1957" s="14" t="b">
        <v>0</v>
      </c>
      <c r="R1957" s="14">
        <v>1</v>
      </c>
      <c r="S1957" s="14" t="s">
        <v>77</v>
      </c>
      <c r="T1957" s="14">
        <v>999</v>
      </c>
      <c r="U1957" s="14" t="s">
        <v>1401</v>
      </c>
      <c r="V1957" s="14">
        <v>31933116</v>
      </c>
      <c r="X1957" s="14" t="s">
        <v>3077</v>
      </c>
      <c r="Y1957" s="14" t="s">
        <v>215</v>
      </c>
      <c r="Z1957" s="14">
        <v>20720</v>
      </c>
      <c r="AA1957" s="14" t="s">
        <v>3078</v>
      </c>
      <c r="AB1957" s="14">
        <v>40001</v>
      </c>
      <c r="AE1957" s="14" t="s">
        <v>1400</v>
      </c>
      <c r="AF1957" s="14" t="s">
        <v>1400</v>
      </c>
      <c r="AG1957" s="14" t="s">
        <v>89</v>
      </c>
    </row>
    <row r="1958" spans="2:33">
      <c r="B1958" s="14">
        <f>10000000+INDEX(编号表!$B:$B,MATCH(H1958,编号表!$A:$A,0))*100000+INDEX(编号表!$F:$F,MATCH(D1958,编号表!$E:$E,0))*10000+INDEX(编号表!$D:$D,MATCH(AG1958,编号表!$C:$C,0))*1000+F1958</f>
        <v>11913115</v>
      </c>
      <c r="C1958" s="14" t="s">
        <v>3079</v>
      </c>
      <c r="D1958" s="14" t="s">
        <v>72</v>
      </c>
      <c r="E1958" s="14" t="s">
        <v>89</v>
      </c>
      <c r="F1958" s="14">
        <v>115</v>
      </c>
      <c r="G1958" s="14">
        <v>60</v>
      </c>
      <c r="H1958" s="14" t="s">
        <v>1400</v>
      </c>
      <c r="I1958" s="14" t="s">
        <v>75</v>
      </c>
      <c r="J1958" s="14" t="s">
        <v>201</v>
      </c>
      <c r="K1958" s="14">
        <v>1</v>
      </c>
      <c r="L1958" s="14" t="s">
        <v>1400</v>
      </c>
      <c r="N1958" s="14">
        <v>0</v>
      </c>
      <c r="O1958" s="14" t="b">
        <v>1</v>
      </c>
      <c r="Q1958" s="14" t="b">
        <v>0</v>
      </c>
      <c r="R1958" s="14">
        <v>1</v>
      </c>
      <c r="S1958" s="14" t="s">
        <v>77</v>
      </c>
      <c r="T1958" s="14">
        <v>999</v>
      </c>
      <c r="U1958" s="14" t="s">
        <v>1401</v>
      </c>
      <c r="V1958" s="14">
        <v>31913115</v>
      </c>
      <c r="X1958" s="14" t="s">
        <v>3080</v>
      </c>
      <c r="Y1958" s="14" t="s">
        <v>215</v>
      </c>
      <c r="Z1958" s="14">
        <v>20721</v>
      </c>
      <c r="AA1958" s="14" t="s">
        <v>3081</v>
      </c>
      <c r="AB1958" s="14">
        <v>40001</v>
      </c>
      <c r="AE1958" s="14" t="s">
        <v>1400</v>
      </c>
      <c r="AF1958" s="14" t="s">
        <v>1400</v>
      </c>
      <c r="AG1958" s="14" t="s">
        <v>89</v>
      </c>
    </row>
    <row r="1959" spans="2:33">
      <c r="B1959" s="14">
        <f>10000000+INDEX(编号表!$B:$B,MATCH(H1959,编号表!$A:$A,0))*100000+INDEX(编号表!$F:$F,MATCH(D1959,编号表!$E:$E,0))*10000+INDEX(编号表!$D:$D,MATCH(AG1959,编号表!$C:$C,0))*1000+F1959</f>
        <v>11923116</v>
      </c>
      <c r="C1959" s="14" t="s">
        <v>3079</v>
      </c>
      <c r="D1959" s="14" t="s">
        <v>112</v>
      </c>
      <c r="E1959" s="14" t="s">
        <v>89</v>
      </c>
      <c r="F1959" s="14">
        <v>116</v>
      </c>
      <c r="G1959" s="14">
        <v>60</v>
      </c>
      <c r="H1959" s="14" t="s">
        <v>1400</v>
      </c>
      <c r="I1959" s="14" t="s">
        <v>75</v>
      </c>
      <c r="J1959" s="14" t="s">
        <v>201</v>
      </c>
      <c r="K1959" s="14">
        <v>1</v>
      </c>
      <c r="L1959" s="14" t="s">
        <v>1400</v>
      </c>
      <c r="N1959" s="14">
        <v>0</v>
      </c>
      <c r="O1959" s="14" t="b">
        <v>1</v>
      </c>
      <c r="Q1959" s="14" t="b">
        <v>0</v>
      </c>
      <c r="R1959" s="14">
        <v>1</v>
      </c>
      <c r="S1959" s="14" t="s">
        <v>77</v>
      </c>
      <c r="T1959" s="14">
        <v>999</v>
      </c>
      <c r="U1959" s="14" t="s">
        <v>1401</v>
      </c>
      <c r="V1959" s="14">
        <v>31923116</v>
      </c>
      <c r="X1959" s="14" t="s">
        <v>3082</v>
      </c>
      <c r="Y1959" s="14" t="s">
        <v>215</v>
      </c>
      <c r="Z1959" s="14">
        <v>20722</v>
      </c>
      <c r="AA1959" s="14" t="s">
        <v>3083</v>
      </c>
      <c r="AB1959" s="14">
        <v>40001</v>
      </c>
      <c r="AE1959" s="14" t="s">
        <v>1400</v>
      </c>
      <c r="AF1959" s="14" t="s">
        <v>1400</v>
      </c>
      <c r="AG1959" s="14" t="s">
        <v>89</v>
      </c>
    </row>
    <row r="1960" spans="2:33">
      <c r="B1960" s="14">
        <f>10000000+INDEX(编号表!$B:$B,MATCH(H1960,编号表!$A:$A,0))*100000+INDEX(编号表!$F:$F,MATCH(D1960,编号表!$E:$E,0))*10000+INDEX(编号表!$D:$D,MATCH(AG1960,编号表!$C:$C,0))*1000+F1960</f>
        <v>11933117</v>
      </c>
      <c r="C1960" s="14" t="s">
        <v>3079</v>
      </c>
      <c r="D1960" s="14" t="s">
        <v>276</v>
      </c>
      <c r="E1960" s="14" t="s">
        <v>89</v>
      </c>
      <c r="F1960" s="14">
        <v>117</v>
      </c>
      <c r="G1960" s="14">
        <v>60</v>
      </c>
      <c r="H1960" s="14" t="s">
        <v>1400</v>
      </c>
      <c r="I1960" s="14" t="s">
        <v>75</v>
      </c>
      <c r="J1960" s="14" t="s">
        <v>201</v>
      </c>
      <c r="K1960" s="14">
        <v>1</v>
      </c>
      <c r="L1960" s="14" t="s">
        <v>1400</v>
      </c>
      <c r="N1960" s="14">
        <v>0</v>
      </c>
      <c r="O1960" s="14" t="b">
        <v>1</v>
      </c>
      <c r="Q1960" s="14" t="b">
        <v>0</v>
      </c>
      <c r="R1960" s="14">
        <v>1</v>
      </c>
      <c r="S1960" s="14" t="s">
        <v>77</v>
      </c>
      <c r="T1960" s="14">
        <v>999</v>
      </c>
      <c r="U1960" s="14" t="s">
        <v>1401</v>
      </c>
      <c r="V1960" s="14">
        <v>31933117</v>
      </c>
      <c r="X1960" s="14" t="s">
        <v>3084</v>
      </c>
      <c r="Y1960" s="14" t="s">
        <v>215</v>
      </c>
      <c r="Z1960" s="14">
        <v>20723</v>
      </c>
      <c r="AA1960" s="14" t="s">
        <v>3085</v>
      </c>
      <c r="AB1960" s="14">
        <v>40001</v>
      </c>
      <c r="AE1960" s="14" t="s">
        <v>1400</v>
      </c>
      <c r="AF1960" s="14" t="s">
        <v>1400</v>
      </c>
      <c r="AG1960" s="14" t="s">
        <v>89</v>
      </c>
    </row>
    <row r="1961" spans="2:33">
      <c r="B1961" s="14">
        <f>10000000+INDEX(编号表!$B:$B,MATCH(H1961,编号表!$A:$A,0))*100000+INDEX(编号表!$F:$F,MATCH(D1961,编号表!$E:$E,0))*10000+INDEX(编号表!$D:$D,MATCH(AG1961,编号表!$C:$C,0))*1000+F1961</f>
        <v>11913116</v>
      </c>
      <c r="C1961" s="14" t="s">
        <v>3086</v>
      </c>
      <c r="D1961" s="14" t="s">
        <v>72</v>
      </c>
      <c r="E1961" s="14" t="s">
        <v>89</v>
      </c>
      <c r="F1961" s="14">
        <v>116</v>
      </c>
      <c r="G1961" s="14">
        <v>60</v>
      </c>
      <c r="H1961" s="14" t="s">
        <v>1400</v>
      </c>
      <c r="I1961" s="14" t="s">
        <v>75</v>
      </c>
      <c r="J1961" s="14" t="s">
        <v>201</v>
      </c>
      <c r="K1961" s="14">
        <v>1</v>
      </c>
      <c r="L1961" s="14" t="s">
        <v>1400</v>
      </c>
      <c r="N1961" s="14">
        <v>0</v>
      </c>
      <c r="O1961" s="14" t="b">
        <v>1</v>
      </c>
      <c r="Q1961" s="14" t="b">
        <v>0</v>
      </c>
      <c r="R1961" s="14">
        <v>1</v>
      </c>
      <c r="S1961" s="14" t="s">
        <v>77</v>
      </c>
      <c r="T1961" s="14">
        <v>999</v>
      </c>
      <c r="U1961" s="14" t="s">
        <v>1401</v>
      </c>
      <c r="V1961" s="14">
        <v>31913116</v>
      </c>
      <c r="X1961" s="14" t="s">
        <v>3087</v>
      </c>
      <c r="Y1961" s="14" t="s">
        <v>215</v>
      </c>
      <c r="Z1961" s="14">
        <v>20724</v>
      </c>
      <c r="AA1961" s="14" t="s">
        <v>3088</v>
      </c>
      <c r="AB1961" s="14">
        <v>40001</v>
      </c>
      <c r="AE1961" s="14" t="s">
        <v>1400</v>
      </c>
      <c r="AF1961" s="14" t="s">
        <v>1400</v>
      </c>
      <c r="AG1961" s="14" t="s">
        <v>89</v>
      </c>
    </row>
    <row r="1962" spans="2:33">
      <c r="B1962" s="14">
        <f>10000000+INDEX(编号表!$B:$B,MATCH(H1962,编号表!$A:$A,0))*100000+INDEX(编号表!$F:$F,MATCH(D1962,编号表!$E:$E,0))*10000+INDEX(编号表!$D:$D,MATCH(AG1962,编号表!$C:$C,0))*1000+F1962</f>
        <v>11923117</v>
      </c>
      <c r="C1962" s="14" t="s">
        <v>3086</v>
      </c>
      <c r="D1962" s="14" t="s">
        <v>112</v>
      </c>
      <c r="E1962" s="14" t="s">
        <v>89</v>
      </c>
      <c r="F1962" s="14">
        <v>117</v>
      </c>
      <c r="G1962" s="14">
        <v>60</v>
      </c>
      <c r="H1962" s="14" t="s">
        <v>1400</v>
      </c>
      <c r="I1962" s="14" t="s">
        <v>75</v>
      </c>
      <c r="J1962" s="14" t="s">
        <v>201</v>
      </c>
      <c r="K1962" s="14">
        <v>1</v>
      </c>
      <c r="L1962" s="14" t="s">
        <v>1400</v>
      </c>
      <c r="N1962" s="14">
        <v>0</v>
      </c>
      <c r="O1962" s="14" t="b">
        <v>1</v>
      </c>
      <c r="Q1962" s="14" t="b">
        <v>0</v>
      </c>
      <c r="R1962" s="14">
        <v>1</v>
      </c>
      <c r="S1962" s="14" t="s">
        <v>77</v>
      </c>
      <c r="T1962" s="14">
        <v>999</v>
      </c>
      <c r="U1962" s="14" t="s">
        <v>1401</v>
      </c>
      <c r="V1962" s="14">
        <v>31923117</v>
      </c>
      <c r="X1962" s="14" t="s">
        <v>3089</v>
      </c>
      <c r="Y1962" s="14" t="s">
        <v>215</v>
      </c>
      <c r="Z1962" s="14">
        <v>20725</v>
      </c>
      <c r="AA1962" s="14" t="s">
        <v>3090</v>
      </c>
      <c r="AB1962" s="14">
        <v>40001</v>
      </c>
      <c r="AE1962" s="14" t="s">
        <v>1400</v>
      </c>
      <c r="AF1962" s="14" t="s">
        <v>1400</v>
      </c>
      <c r="AG1962" s="14" t="s">
        <v>89</v>
      </c>
    </row>
    <row r="1963" spans="2:33">
      <c r="B1963" s="14">
        <f>10000000+INDEX(编号表!$B:$B,MATCH(H1963,编号表!$A:$A,0))*100000+INDEX(编号表!$F:$F,MATCH(D1963,编号表!$E:$E,0))*10000+INDEX(编号表!$D:$D,MATCH(AG1963,编号表!$C:$C,0))*1000+F1963</f>
        <v>11933118</v>
      </c>
      <c r="C1963" s="14" t="s">
        <v>3086</v>
      </c>
      <c r="D1963" s="14" t="s">
        <v>276</v>
      </c>
      <c r="E1963" s="14" t="s">
        <v>89</v>
      </c>
      <c r="F1963" s="14">
        <v>118</v>
      </c>
      <c r="G1963" s="14">
        <v>60</v>
      </c>
      <c r="H1963" s="14" t="s">
        <v>1400</v>
      </c>
      <c r="I1963" s="14" t="s">
        <v>75</v>
      </c>
      <c r="J1963" s="14" t="s">
        <v>201</v>
      </c>
      <c r="K1963" s="14">
        <v>1</v>
      </c>
      <c r="L1963" s="14" t="s">
        <v>1400</v>
      </c>
      <c r="N1963" s="14">
        <v>0</v>
      </c>
      <c r="O1963" s="14" t="b">
        <v>1</v>
      </c>
      <c r="Q1963" s="14" t="b">
        <v>0</v>
      </c>
      <c r="R1963" s="14">
        <v>1</v>
      </c>
      <c r="S1963" s="14" t="s">
        <v>77</v>
      </c>
      <c r="T1963" s="14">
        <v>999</v>
      </c>
      <c r="U1963" s="14" t="s">
        <v>1401</v>
      </c>
      <c r="V1963" s="14">
        <v>31933118</v>
      </c>
      <c r="X1963" s="14" t="s">
        <v>3091</v>
      </c>
      <c r="Y1963" s="14" t="s">
        <v>215</v>
      </c>
      <c r="Z1963" s="14">
        <v>20726</v>
      </c>
      <c r="AA1963" s="14" t="s">
        <v>3092</v>
      </c>
      <c r="AB1963" s="14">
        <v>40001</v>
      </c>
      <c r="AE1963" s="14" t="s">
        <v>1400</v>
      </c>
      <c r="AF1963" s="14" t="s">
        <v>1400</v>
      </c>
      <c r="AG1963" s="14" t="s">
        <v>89</v>
      </c>
    </row>
    <row r="1964" spans="2:33">
      <c r="B1964" s="14">
        <f>10000000+INDEX(编号表!$B:$B,MATCH(H1964,编号表!$A:$A,0))*100000+INDEX(编号表!$F:$F,MATCH(D1964,编号表!$E:$E,0))*10000+INDEX(编号表!$D:$D,MATCH(AG1964,编号表!$C:$C,0))*1000+F1964</f>
        <v>11913117</v>
      </c>
      <c r="C1964" s="14" t="s">
        <v>3093</v>
      </c>
      <c r="D1964" s="14" t="s">
        <v>72</v>
      </c>
      <c r="E1964" s="14" t="s">
        <v>89</v>
      </c>
      <c r="F1964" s="14">
        <v>117</v>
      </c>
      <c r="G1964" s="14">
        <v>60</v>
      </c>
      <c r="H1964" s="14" t="s">
        <v>1400</v>
      </c>
      <c r="I1964" s="14" t="s">
        <v>75</v>
      </c>
      <c r="J1964" s="14" t="s">
        <v>201</v>
      </c>
      <c r="K1964" s="14">
        <v>1</v>
      </c>
      <c r="L1964" s="14" t="s">
        <v>1400</v>
      </c>
      <c r="N1964" s="14">
        <v>0</v>
      </c>
      <c r="O1964" s="14" t="b">
        <v>1</v>
      </c>
      <c r="Q1964" s="14" t="b">
        <v>0</v>
      </c>
      <c r="R1964" s="14">
        <v>1</v>
      </c>
      <c r="S1964" s="14" t="s">
        <v>77</v>
      </c>
      <c r="T1964" s="14">
        <v>999</v>
      </c>
      <c r="U1964" s="14" t="s">
        <v>1401</v>
      </c>
      <c r="V1964" s="14">
        <v>31913117</v>
      </c>
      <c r="X1964" s="14" t="s">
        <v>3094</v>
      </c>
      <c r="Y1964" s="14" t="s">
        <v>215</v>
      </c>
      <c r="Z1964" s="14">
        <v>20727</v>
      </c>
      <c r="AA1964" s="14" t="s">
        <v>3095</v>
      </c>
      <c r="AB1964" s="14">
        <v>40001</v>
      </c>
      <c r="AE1964" s="14" t="s">
        <v>1400</v>
      </c>
      <c r="AF1964" s="14" t="s">
        <v>1400</v>
      </c>
      <c r="AG1964" s="14" t="s">
        <v>89</v>
      </c>
    </row>
    <row r="1965" spans="2:33">
      <c r="B1965" s="14">
        <f>10000000+INDEX(编号表!$B:$B,MATCH(H1965,编号表!$A:$A,0))*100000+INDEX(编号表!$F:$F,MATCH(D1965,编号表!$E:$E,0))*10000+INDEX(编号表!$D:$D,MATCH(AG1965,编号表!$C:$C,0))*1000+F1965</f>
        <v>11923118</v>
      </c>
      <c r="C1965" s="14" t="s">
        <v>3093</v>
      </c>
      <c r="D1965" s="14" t="s">
        <v>112</v>
      </c>
      <c r="E1965" s="14" t="s">
        <v>89</v>
      </c>
      <c r="F1965" s="14">
        <v>118</v>
      </c>
      <c r="G1965" s="14">
        <v>60</v>
      </c>
      <c r="H1965" s="14" t="s">
        <v>1400</v>
      </c>
      <c r="I1965" s="14" t="s">
        <v>75</v>
      </c>
      <c r="J1965" s="14" t="s">
        <v>201</v>
      </c>
      <c r="K1965" s="14">
        <v>1</v>
      </c>
      <c r="L1965" s="14" t="s">
        <v>1400</v>
      </c>
      <c r="N1965" s="14">
        <v>0</v>
      </c>
      <c r="O1965" s="14" t="b">
        <v>1</v>
      </c>
      <c r="Q1965" s="14" t="b">
        <v>0</v>
      </c>
      <c r="R1965" s="14">
        <v>1</v>
      </c>
      <c r="S1965" s="14" t="s">
        <v>77</v>
      </c>
      <c r="T1965" s="14">
        <v>999</v>
      </c>
      <c r="U1965" s="14" t="s">
        <v>1401</v>
      </c>
      <c r="V1965" s="14">
        <v>31923118</v>
      </c>
      <c r="X1965" s="14" t="s">
        <v>3096</v>
      </c>
      <c r="Y1965" s="14" t="s">
        <v>215</v>
      </c>
      <c r="Z1965" s="14">
        <v>20728</v>
      </c>
      <c r="AA1965" s="14" t="s">
        <v>3097</v>
      </c>
      <c r="AB1965" s="14">
        <v>40001</v>
      </c>
      <c r="AE1965" s="14" t="s">
        <v>1400</v>
      </c>
      <c r="AF1965" s="14" t="s">
        <v>1400</v>
      </c>
      <c r="AG1965" s="14" t="s">
        <v>89</v>
      </c>
    </row>
    <row r="1966" spans="2:33">
      <c r="B1966" s="14">
        <f>10000000+INDEX(编号表!$B:$B,MATCH(H1966,编号表!$A:$A,0))*100000+INDEX(编号表!$F:$F,MATCH(D1966,编号表!$E:$E,0))*10000+INDEX(编号表!$D:$D,MATCH(AG1966,编号表!$C:$C,0))*1000+F1966</f>
        <v>11933119</v>
      </c>
      <c r="C1966" s="14" t="s">
        <v>3093</v>
      </c>
      <c r="D1966" s="14" t="s">
        <v>276</v>
      </c>
      <c r="E1966" s="14" t="s">
        <v>89</v>
      </c>
      <c r="F1966" s="14">
        <v>119</v>
      </c>
      <c r="G1966" s="14">
        <v>60</v>
      </c>
      <c r="H1966" s="14" t="s">
        <v>1400</v>
      </c>
      <c r="I1966" s="14" t="s">
        <v>75</v>
      </c>
      <c r="J1966" s="14" t="s">
        <v>201</v>
      </c>
      <c r="K1966" s="14">
        <v>1</v>
      </c>
      <c r="L1966" s="14" t="s">
        <v>1400</v>
      </c>
      <c r="N1966" s="14">
        <v>0</v>
      </c>
      <c r="O1966" s="14" t="b">
        <v>1</v>
      </c>
      <c r="Q1966" s="14" t="b">
        <v>0</v>
      </c>
      <c r="R1966" s="14">
        <v>1</v>
      </c>
      <c r="S1966" s="14" t="s">
        <v>77</v>
      </c>
      <c r="T1966" s="14">
        <v>999</v>
      </c>
      <c r="U1966" s="14" t="s">
        <v>1401</v>
      </c>
      <c r="V1966" s="14">
        <v>31933119</v>
      </c>
      <c r="X1966" s="14" t="s">
        <v>3098</v>
      </c>
      <c r="Y1966" s="14" t="s">
        <v>215</v>
      </c>
      <c r="Z1966" s="14">
        <v>20729</v>
      </c>
      <c r="AA1966" s="14" t="s">
        <v>3099</v>
      </c>
      <c r="AB1966" s="14">
        <v>40001</v>
      </c>
      <c r="AE1966" s="14" t="s">
        <v>1400</v>
      </c>
      <c r="AF1966" s="14" t="s">
        <v>1400</v>
      </c>
      <c r="AG1966" s="14" t="s">
        <v>89</v>
      </c>
    </row>
    <row r="1967" spans="2:33">
      <c r="B1967" s="14">
        <f>10000000+INDEX(编号表!$B:$B,MATCH(H1967,编号表!$A:$A,0))*100000+INDEX(编号表!$F:$F,MATCH(D1967,编号表!$E:$E,0))*10000+INDEX(编号表!$D:$D,MATCH(AG1967,编号表!$C:$C,0))*1000+F1967</f>
        <v>11913118</v>
      </c>
      <c r="C1967" s="14" t="s">
        <v>3100</v>
      </c>
      <c r="D1967" s="14" t="s">
        <v>72</v>
      </c>
      <c r="E1967" s="14" t="s">
        <v>89</v>
      </c>
      <c r="F1967" s="14">
        <v>118</v>
      </c>
      <c r="G1967" s="14">
        <v>60</v>
      </c>
      <c r="H1967" s="14" t="s">
        <v>1400</v>
      </c>
      <c r="I1967" s="14" t="s">
        <v>75</v>
      </c>
      <c r="J1967" s="14" t="s">
        <v>201</v>
      </c>
      <c r="K1967" s="14">
        <v>1</v>
      </c>
      <c r="L1967" s="14" t="s">
        <v>1400</v>
      </c>
      <c r="N1967" s="14">
        <v>0</v>
      </c>
      <c r="O1967" s="14" t="b">
        <v>1</v>
      </c>
      <c r="Q1967" s="14" t="b">
        <v>0</v>
      </c>
      <c r="R1967" s="14">
        <v>1</v>
      </c>
      <c r="S1967" s="14" t="s">
        <v>77</v>
      </c>
      <c r="T1967" s="14">
        <v>999</v>
      </c>
      <c r="U1967" s="14" t="s">
        <v>1401</v>
      </c>
      <c r="V1967" s="14">
        <v>31913118</v>
      </c>
      <c r="X1967" s="14" t="s">
        <v>3101</v>
      </c>
      <c r="Y1967" s="14" t="s">
        <v>215</v>
      </c>
      <c r="Z1967" s="14">
        <v>20730</v>
      </c>
      <c r="AA1967" s="14" t="s">
        <v>3102</v>
      </c>
      <c r="AB1967" s="14">
        <v>40001</v>
      </c>
      <c r="AE1967" s="14" t="s">
        <v>1400</v>
      </c>
      <c r="AF1967" s="14" t="s">
        <v>1400</v>
      </c>
      <c r="AG1967" s="14" t="s">
        <v>89</v>
      </c>
    </row>
    <row r="1968" spans="2:33">
      <c r="B1968" s="14">
        <f>10000000+INDEX(编号表!$B:$B,MATCH(H1968,编号表!$A:$A,0))*100000+INDEX(编号表!$F:$F,MATCH(D1968,编号表!$E:$E,0))*10000+INDEX(编号表!$D:$D,MATCH(AG1968,编号表!$C:$C,0))*1000+F1968</f>
        <v>11923119</v>
      </c>
      <c r="C1968" s="14" t="s">
        <v>3100</v>
      </c>
      <c r="D1968" s="14" t="s">
        <v>112</v>
      </c>
      <c r="E1968" s="14" t="s">
        <v>89</v>
      </c>
      <c r="F1968" s="14">
        <v>119</v>
      </c>
      <c r="G1968" s="14">
        <v>60</v>
      </c>
      <c r="H1968" s="14" t="s">
        <v>1400</v>
      </c>
      <c r="I1968" s="14" t="s">
        <v>75</v>
      </c>
      <c r="J1968" s="14" t="s">
        <v>201</v>
      </c>
      <c r="K1968" s="14">
        <v>1</v>
      </c>
      <c r="L1968" s="14" t="s">
        <v>1400</v>
      </c>
      <c r="N1968" s="14">
        <v>0</v>
      </c>
      <c r="O1968" s="14" t="b">
        <v>1</v>
      </c>
      <c r="Q1968" s="14" t="b">
        <v>0</v>
      </c>
      <c r="R1968" s="14">
        <v>1</v>
      </c>
      <c r="S1968" s="14" t="s">
        <v>77</v>
      </c>
      <c r="T1968" s="14">
        <v>999</v>
      </c>
      <c r="U1968" s="14" t="s">
        <v>1401</v>
      </c>
      <c r="V1968" s="14">
        <v>31923119</v>
      </c>
      <c r="X1968" s="14" t="s">
        <v>3103</v>
      </c>
      <c r="Y1968" s="14" t="s">
        <v>215</v>
      </c>
      <c r="Z1968" s="14">
        <v>20731</v>
      </c>
      <c r="AA1968" s="14" t="s">
        <v>3104</v>
      </c>
      <c r="AB1968" s="14">
        <v>40001</v>
      </c>
      <c r="AE1968" s="14" t="s">
        <v>1400</v>
      </c>
      <c r="AF1968" s="14" t="s">
        <v>1400</v>
      </c>
      <c r="AG1968" s="14" t="s">
        <v>89</v>
      </c>
    </row>
    <row r="1969" spans="2:33">
      <c r="B1969" s="14">
        <f>10000000+INDEX(编号表!$B:$B,MATCH(H1969,编号表!$A:$A,0))*100000+INDEX(编号表!$F:$F,MATCH(D1969,编号表!$E:$E,0))*10000+INDEX(编号表!$D:$D,MATCH(AG1969,编号表!$C:$C,0))*1000+F1969</f>
        <v>11933120</v>
      </c>
      <c r="C1969" s="14" t="s">
        <v>3100</v>
      </c>
      <c r="D1969" s="14" t="s">
        <v>276</v>
      </c>
      <c r="E1969" s="14" t="s">
        <v>89</v>
      </c>
      <c r="F1969" s="14">
        <v>120</v>
      </c>
      <c r="G1969" s="14">
        <v>60</v>
      </c>
      <c r="H1969" s="14" t="s">
        <v>1400</v>
      </c>
      <c r="I1969" s="14" t="s">
        <v>75</v>
      </c>
      <c r="J1969" s="14" t="s">
        <v>201</v>
      </c>
      <c r="K1969" s="14">
        <v>1</v>
      </c>
      <c r="L1969" s="14" t="s">
        <v>1400</v>
      </c>
      <c r="N1969" s="14">
        <v>0</v>
      </c>
      <c r="O1969" s="14" t="b">
        <v>1</v>
      </c>
      <c r="Q1969" s="14" t="b">
        <v>0</v>
      </c>
      <c r="R1969" s="14">
        <v>1</v>
      </c>
      <c r="S1969" s="14" t="s">
        <v>77</v>
      </c>
      <c r="T1969" s="14">
        <v>999</v>
      </c>
      <c r="U1969" s="14" t="s">
        <v>1401</v>
      </c>
      <c r="V1969" s="14">
        <v>31933120</v>
      </c>
      <c r="X1969" s="14" t="s">
        <v>3105</v>
      </c>
      <c r="Y1969" s="14" t="s">
        <v>215</v>
      </c>
      <c r="Z1969" s="14">
        <v>20732</v>
      </c>
      <c r="AA1969" s="14" t="s">
        <v>3106</v>
      </c>
      <c r="AB1969" s="14">
        <v>40001</v>
      </c>
      <c r="AE1969" s="14" t="s">
        <v>1400</v>
      </c>
      <c r="AF1969" s="14" t="s">
        <v>1400</v>
      </c>
      <c r="AG1969" s="14" t="s">
        <v>89</v>
      </c>
    </row>
    <row r="1970" spans="2:33">
      <c r="B1970" s="14">
        <f>10000000+INDEX(编号表!$B:$B,MATCH(H1970,编号表!$A:$A,0))*100000+INDEX(编号表!$F:$F,MATCH(D1970,编号表!$E:$E,0))*10000+INDEX(编号表!$D:$D,MATCH(AG1970,编号表!$C:$C,0))*1000+F1970</f>
        <v>11913119</v>
      </c>
      <c r="C1970" s="14" t="s">
        <v>3107</v>
      </c>
      <c r="D1970" s="14" t="s">
        <v>72</v>
      </c>
      <c r="E1970" s="14" t="s">
        <v>89</v>
      </c>
      <c r="F1970" s="14">
        <v>119</v>
      </c>
      <c r="G1970" s="14">
        <v>60</v>
      </c>
      <c r="H1970" s="14" t="s">
        <v>1400</v>
      </c>
      <c r="I1970" s="14" t="s">
        <v>75</v>
      </c>
      <c r="J1970" s="14" t="s">
        <v>201</v>
      </c>
      <c r="K1970" s="14">
        <v>1</v>
      </c>
      <c r="L1970" s="14" t="s">
        <v>1400</v>
      </c>
      <c r="N1970" s="14">
        <v>0</v>
      </c>
      <c r="O1970" s="14" t="b">
        <v>1</v>
      </c>
      <c r="Q1970" s="14" t="b">
        <v>0</v>
      </c>
      <c r="R1970" s="14">
        <v>1</v>
      </c>
      <c r="S1970" s="14" t="s">
        <v>77</v>
      </c>
      <c r="T1970" s="14">
        <v>999</v>
      </c>
      <c r="U1970" s="14" t="s">
        <v>1401</v>
      </c>
      <c r="V1970" s="14">
        <v>31913119</v>
      </c>
      <c r="X1970" s="14" t="s">
        <v>3108</v>
      </c>
      <c r="Y1970" s="14" t="s">
        <v>215</v>
      </c>
      <c r="Z1970" s="14">
        <v>20733</v>
      </c>
      <c r="AA1970" s="14" t="s">
        <v>3109</v>
      </c>
      <c r="AB1970" s="14">
        <v>40001</v>
      </c>
      <c r="AE1970" s="14" t="s">
        <v>1400</v>
      </c>
      <c r="AF1970" s="14" t="s">
        <v>1400</v>
      </c>
      <c r="AG1970" s="14" t="s">
        <v>89</v>
      </c>
    </row>
    <row r="1971" spans="2:33">
      <c r="B1971" s="14">
        <f>10000000+INDEX(编号表!$B:$B,MATCH(H1971,编号表!$A:$A,0))*100000+INDEX(编号表!$F:$F,MATCH(D1971,编号表!$E:$E,0))*10000+INDEX(编号表!$D:$D,MATCH(AG1971,编号表!$C:$C,0))*1000+F1971</f>
        <v>11923120</v>
      </c>
      <c r="C1971" s="14" t="s">
        <v>3107</v>
      </c>
      <c r="D1971" s="14" t="s">
        <v>112</v>
      </c>
      <c r="E1971" s="14" t="s">
        <v>89</v>
      </c>
      <c r="F1971" s="14">
        <v>120</v>
      </c>
      <c r="G1971" s="14">
        <v>60</v>
      </c>
      <c r="H1971" s="14" t="s">
        <v>1400</v>
      </c>
      <c r="I1971" s="14" t="s">
        <v>75</v>
      </c>
      <c r="J1971" s="14" t="s">
        <v>201</v>
      </c>
      <c r="K1971" s="14">
        <v>1</v>
      </c>
      <c r="L1971" s="14" t="s">
        <v>1400</v>
      </c>
      <c r="N1971" s="14">
        <v>0</v>
      </c>
      <c r="O1971" s="14" t="b">
        <v>1</v>
      </c>
      <c r="Q1971" s="14" t="b">
        <v>0</v>
      </c>
      <c r="R1971" s="14">
        <v>1</v>
      </c>
      <c r="S1971" s="14" t="s">
        <v>77</v>
      </c>
      <c r="T1971" s="14">
        <v>999</v>
      </c>
      <c r="U1971" s="14" t="s">
        <v>1401</v>
      </c>
      <c r="V1971" s="14">
        <v>31923120</v>
      </c>
      <c r="X1971" s="14" t="s">
        <v>3110</v>
      </c>
      <c r="Y1971" s="14" t="s">
        <v>215</v>
      </c>
      <c r="Z1971" s="14">
        <v>20734</v>
      </c>
      <c r="AA1971" s="14" t="s">
        <v>3111</v>
      </c>
      <c r="AB1971" s="14">
        <v>40001</v>
      </c>
      <c r="AE1971" s="14" t="s">
        <v>1400</v>
      </c>
      <c r="AF1971" s="14" t="s">
        <v>1400</v>
      </c>
      <c r="AG1971" s="14" t="s">
        <v>89</v>
      </c>
    </row>
    <row r="1972" spans="2:33">
      <c r="B1972" s="14">
        <f>10000000+INDEX(编号表!$B:$B,MATCH(H1972,编号表!$A:$A,0))*100000+INDEX(编号表!$F:$F,MATCH(D1972,编号表!$E:$E,0))*10000+INDEX(编号表!$D:$D,MATCH(AG1972,编号表!$C:$C,0))*1000+F1972</f>
        <v>11933121</v>
      </c>
      <c r="C1972" s="14" t="s">
        <v>3107</v>
      </c>
      <c r="D1972" s="14" t="s">
        <v>276</v>
      </c>
      <c r="E1972" s="14" t="s">
        <v>89</v>
      </c>
      <c r="F1972" s="14">
        <v>121</v>
      </c>
      <c r="G1972" s="14">
        <v>60</v>
      </c>
      <c r="H1972" s="14" t="s">
        <v>1400</v>
      </c>
      <c r="I1972" s="14" t="s">
        <v>75</v>
      </c>
      <c r="J1972" s="14" t="s">
        <v>201</v>
      </c>
      <c r="K1972" s="14">
        <v>1</v>
      </c>
      <c r="L1972" s="14" t="s">
        <v>1400</v>
      </c>
      <c r="N1972" s="14">
        <v>0</v>
      </c>
      <c r="O1972" s="14" t="b">
        <v>1</v>
      </c>
      <c r="Q1972" s="14" t="b">
        <v>0</v>
      </c>
      <c r="R1972" s="14">
        <v>1</v>
      </c>
      <c r="S1972" s="14" t="s">
        <v>77</v>
      </c>
      <c r="T1972" s="14">
        <v>999</v>
      </c>
      <c r="U1972" s="14" t="s">
        <v>1401</v>
      </c>
      <c r="V1972" s="14">
        <v>31933121</v>
      </c>
      <c r="X1972" s="14" t="s">
        <v>3112</v>
      </c>
      <c r="Y1972" s="14" t="s">
        <v>215</v>
      </c>
      <c r="Z1972" s="14">
        <v>20735</v>
      </c>
      <c r="AA1972" s="14" t="s">
        <v>3113</v>
      </c>
      <c r="AB1972" s="14">
        <v>40001</v>
      </c>
      <c r="AE1972" s="14" t="s">
        <v>1400</v>
      </c>
      <c r="AF1972" s="14" t="s">
        <v>1400</v>
      </c>
      <c r="AG1972" s="14" t="s">
        <v>89</v>
      </c>
    </row>
    <row r="1973" spans="2:33">
      <c r="B1973" s="14">
        <f>10000000+INDEX(编号表!$B:$B,MATCH(H1973,编号表!$A:$A,0))*100000+INDEX(编号表!$F:$F,MATCH(D1973,编号表!$E:$E,0))*10000+INDEX(编号表!$D:$D,MATCH(AG1973,编号表!$C:$C,0))*1000+F1973</f>
        <v>11913120</v>
      </c>
      <c r="C1973" s="14" t="s">
        <v>3114</v>
      </c>
      <c r="D1973" s="14" t="s">
        <v>72</v>
      </c>
      <c r="E1973" s="14" t="s">
        <v>89</v>
      </c>
      <c r="F1973" s="14">
        <v>120</v>
      </c>
      <c r="G1973" s="14">
        <v>60</v>
      </c>
      <c r="H1973" s="14" t="s">
        <v>1400</v>
      </c>
      <c r="I1973" s="14" t="s">
        <v>75</v>
      </c>
      <c r="J1973" s="14" t="s">
        <v>201</v>
      </c>
      <c r="K1973" s="14">
        <v>1</v>
      </c>
      <c r="L1973" s="14" t="s">
        <v>1400</v>
      </c>
      <c r="N1973" s="14">
        <v>0</v>
      </c>
      <c r="O1973" s="14" t="b">
        <v>1</v>
      </c>
      <c r="Q1973" s="14" t="b">
        <v>0</v>
      </c>
      <c r="R1973" s="14">
        <v>1</v>
      </c>
      <c r="S1973" s="14" t="s">
        <v>77</v>
      </c>
      <c r="T1973" s="14">
        <v>999</v>
      </c>
      <c r="U1973" s="14" t="s">
        <v>1401</v>
      </c>
      <c r="V1973" s="14">
        <v>31913120</v>
      </c>
      <c r="X1973" s="14" t="s">
        <v>3115</v>
      </c>
      <c r="Y1973" s="14" t="s">
        <v>215</v>
      </c>
      <c r="Z1973" s="14">
        <v>20736</v>
      </c>
      <c r="AA1973" s="14" t="s">
        <v>3116</v>
      </c>
      <c r="AB1973" s="14">
        <v>40001</v>
      </c>
      <c r="AE1973" s="14" t="s">
        <v>1400</v>
      </c>
      <c r="AF1973" s="14" t="s">
        <v>1400</v>
      </c>
      <c r="AG1973" s="14" t="s">
        <v>89</v>
      </c>
    </row>
    <row r="1974" spans="2:33">
      <c r="B1974" s="14">
        <f>10000000+INDEX(编号表!$B:$B,MATCH(H1974,编号表!$A:$A,0))*100000+INDEX(编号表!$F:$F,MATCH(D1974,编号表!$E:$E,0))*10000+INDEX(编号表!$D:$D,MATCH(AG1974,编号表!$C:$C,0))*1000+F1974</f>
        <v>11923121</v>
      </c>
      <c r="C1974" s="14" t="s">
        <v>3114</v>
      </c>
      <c r="D1974" s="14" t="s">
        <v>112</v>
      </c>
      <c r="E1974" s="14" t="s">
        <v>89</v>
      </c>
      <c r="F1974" s="14">
        <v>121</v>
      </c>
      <c r="G1974" s="14">
        <v>60</v>
      </c>
      <c r="H1974" s="14" t="s">
        <v>1400</v>
      </c>
      <c r="I1974" s="14" t="s">
        <v>75</v>
      </c>
      <c r="J1974" s="14" t="s">
        <v>201</v>
      </c>
      <c r="K1974" s="14">
        <v>1</v>
      </c>
      <c r="L1974" s="14" t="s">
        <v>1400</v>
      </c>
      <c r="N1974" s="14">
        <v>0</v>
      </c>
      <c r="O1974" s="14" t="b">
        <v>1</v>
      </c>
      <c r="Q1974" s="14" t="b">
        <v>0</v>
      </c>
      <c r="R1974" s="14">
        <v>1</v>
      </c>
      <c r="S1974" s="14" t="s">
        <v>77</v>
      </c>
      <c r="T1974" s="14">
        <v>999</v>
      </c>
      <c r="U1974" s="14" t="s">
        <v>1401</v>
      </c>
      <c r="V1974" s="14">
        <v>31923121</v>
      </c>
      <c r="X1974" s="14" t="s">
        <v>3117</v>
      </c>
      <c r="Y1974" s="14" t="s">
        <v>215</v>
      </c>
      <c r="Z1974" s="14">
        <v>20737</v>
      </c>
      <c r="AA1974" s="14" t="s">
        <v>3118</v>
      </c>
      <c r="AB1974" s="14">
        <v>40001</v>
      </c>
      <c r="AE1974" s="14" t="s">
        <v>1400</v>
      </c>
      <c r="AF1974" s="14" t="s">
        <v>1400</v>
      </c>
      <c r="AG1974" s="14" t="s">
        <v>89</v>
      </c>
    </row>
    <row r="1975" spans="2:33">
      <c r="B1975" s="14">
        <f>10000000+INDEX(编号表!$B:$B,MATCH(H1975,编号表!$A:$A,0))*100000+INDEX(编号表!$F:$F,MATCH(D1975,编号表!$E:$E,0))*10000+INDEX(编号表!$D:$D,MATCH(AG1975,编号表!$C:$C,0))*1000+F1975</f>
        <v>11933122</v>
      </c>
      <c r="C1975" s="14" t="s">
        <v>3114</v>
      </c>
      <c r="D1975" s="14" t="s">
        <v>276</v>
      </c>
      <c r="E1975" s="14" t="s">
        <v>89</v>
      </c>
      <c r="F1975" s="14">
        <v>122</v>
      </c>
      <c r="G1975" s="14">
        <v>60</v>
      </c>
      <c r="H1975" s="14" t="s">
        <v>1400</v>
      </c>
      <c r="I1975" s="14" t="s">
        <v>75</v>
      </c>
      <c r="J1975" s="14" t="s">
        <v>201</v>
      </c>
      <c r="K1975" s="14">
        <v>1</v>
      </c>
      <c r="L1975" s="14" t="s">
        <v>1400</v>
      </c>
      <c r="N1975" s="14">
        <v>0</v>
      </c>
      <c r="O1975" s="14" t="b">
        <v>1</v>
      </c>
      <c r="Q1975" s="14" t="b">
        <v>0</v>
      </c>
      <c r="R1975" s="14">
        <v>1</v>
      </c>
      <c r="S1975" s="14" t="s">
        <v>77</v>
      </c>
      <c r="T1975" s="14">
        <v>999</v>
      </c>
      <c r="U1975" s="14" t="s">
        <v>1401</v>
      </c>
      <c r="V1975" s="14">
        <v>31933122</v>
      </c>
      <c r="X1975" s="14" t="s">
        <v>3119</v>
      </c>
      <c r="Y1975" s="14" t="s">
        <v>215</v>
      </c>
      <c r="Z1975" s="14">
        <v>20738</v>
      </c>
      <c r="AA1975" s="14" t="s">
        <v>3120</v>
      </c>
      <c r="AB1975" s="14">
        <v>40001</v>
      </c>
      <c r="AE1975" s="14" t="s">
        <v>1400</v>
      </c>
      <c r="AF1975" s="14" t="s">
        <v>1400</v>
      </c>
      <c r="AG1975" s="14" t="s">
        <v>89</v>
      </c>
    </row>
    <row r="1976" spans="2:33">
      <c r="B1976" s="14">
        <f>10000000+INDEX(编号表!$B:$B,MATCH(H1976,编号表!$A:$A,0))*100000+INDEX(编号表!$F:$F,MATCH(D1976,编号表!$E:$E,0))*10000+INDEX(编号表!$D:$D,MATCH(AG1976,编号表!$C:$C,0))*1000+F1976</f>
        <v>11913121</v>
      </c>
      <c r="C1976" s="14" t="s">
        <v>3121</v>
      </c>
      <c r="D1976" s="14" t="s">
        <v>72</v>
      </c>
      <c r="E1976" s="14" t="s">
        <v>89</v>
      </c>
      <c r="F1976" s="14">
        <v>121</v>
      </c>
      <c r="G1976" s="14">
        <v>60</v>
      </c>
      <c r="H1976" s="14" t="s">
        <v>1400</v>
      </c>
      <c r="I1976" s="14" t="s">
        <v>75</v>
      </c>
      <c r="J1976" s="14" t="s">
        <v>201</v>
      </c>
      <c r="K1976" s="14">
        <v>1</v>
      </c>
      <c r="L1976" s="14" t="s">
        <v>1400</v>
      </c>
      <c r="N1976" s="14">
        <v>0</v>
      </c>
      <c r="O1976" s="14" t="b">
        <v>1</v>
      </c>
      <c r="Q1976" s="14" t="b">
        <v>0</v>
      </c>
      <c r="R1976" s="14">
        <v>1</v>
      </c>
      <c r="S1976" s="14" t="s">
        <v>77</v>
      </c>
      <c r="T1976" s="14">
        <v>999</v>
      </c>
      <c r="U1976" s="14" t="s">
        <v>1401</v>
      </c>
      <c r="V1976" s="14">
        <v>31913121</v>
      </c>
      <c r="X1976" s="14" t="s">
        <v>3122</v>
      </c>
      <c r="Y1976" s="14" t="s">
        <v>215</v>
      </c>
      <c r="Z1976" s="14">
        <v>20739</v>
      </c>
      <c r="AA1976" s="14" t="s">
        <v>3123</v>
      </c>
      <c r="AB1976" s="14">
        <v>40001</v>
      </c>
      <c r="AE1976" s="14" t="s">
        <v>1400</v>
      </c>
      <c r="AF1976" s="14" t="s">
        <v>1400</v>
      </c>
      <c r="AG1976" s="14" t="s">
        <v>89</v>
      </c>
    </row>
    <row r="1977" spans="2:33">
      <c r="B1977" s="14">
        <f>10000000+INDEX(编号表!$B:$B,MATCH(H1977,编号表!$A:$A,0))*100000+INDEX(编号表!$F:$F,MATCH(D1977,编号表!$E:$E,0))*10000+INDEX(编号表!$D:$D,MATCH(AG1977,编号表!$C:$C,0))*1000+F1977</f>
        <v>11923122</v>
      </c>
      <c r="C1977" s="14" t="s">
        <v>3121</v>
      </c>
      <c r="D1977" s="14" t="s">
        <v>112</v>
      </c>
      <c r="E1977" s="14" t="s">
        <v>89</v>
      </c>
      <c r="F1977" s="14">
        <v>122</v>
      </c>
      <c r="G1977" s="14">
        <v>60</v>
      </c>
      <c r="H1977" s="14" t="s">
        <v>1400</v>
      </c>
      <c r="I1977" s="14" t="s">
        <v>75</v>
      </c>
      <c r="J1977" s="14" t="s">
        <v>201</v>
      </c>
      <c r="K1977" s="14">
        <v>1</v>
      </c>
      <c r="L1977" s="14" t="s">
        <v>1400</v>
      </c>
      <c r="N1977" s="14">
        <v>0</v>
      </c>
      <c r="O1977" s="14" t="b">
        <v>1</v>
      </c>
      <c r="Q1977" s="14" t="b">
        <v>0</v>
      </c>
      <c r="R1977" s="14">
        <v>1</v>
      </c>
      <c r="S1977" s="14" t="s">
        <v>77</v>
      </c>
      <c r="T1977" s="14">
        <v>999</v>
      </c>
      <c r="U1977" s="14" t="s">
        <v>1401</v>
      </c>
      <c r="V1977" s="14">
        <v>31923122</v>
      </c>
      <c r="X1977" s="14" t="s">
        <v>3124</v>
      </c>
      <c r="Y1977" s="14" t="s">
        <v>215</v>
      </c>
      <c r="Z1977" s="14">
        <v>20740</v>
      </c>
      <c r="AA1977" s="14" t="s">
        <v>3125</v>
      </c>
      <c r="AB1977" s="14">
        <v>40001</v>
      </c>
      <c r="AE1977" s="14" t="s">
        <v>1400</v>
      </c>
      <c r="AF1977" s="14" t="s">
        <v>1400</v>
      </c>
      <c r="AG1977" s="14" t="s">
        <v>89</v>
      </c>
    </row>
    <row r="1978" spans="2:33">
      <c r="B1978" s="14">
        <f>10000000+INDEX(编号表!$B:$B,MATCH(H1978,编号表!$A:$A,0))*100000+INDEX(编号表!$F:$F,MATCH(D1978,编号表!$E:$E,0))*10000+INDEX(编号表!$D:$D,MATCH(AG1978,编号表!$C:$C,0))*1000+F1978</f>
        <v>11933123</v>
      </c>
      <c r="C1978" s="14" t="s">
        <v>3121</v>
      </c>
      <c r="D1978" s="14" t="s">
        <v>276</v>
      </c>
      <c r="E1978" s="14" t="s">
        <v>89</v>
      </c>
      <c r="F1978" s="14">
        <v>123</v>
      </c>
      <c r="G1978" s="14">
        <v>60</v>
      </c>
      <c r="H1978" s="14" t="s">
        <v>1400</v>
      </c>
      <c r="I1978" s="14" t="s">
        <v>75</v>
      </c>
      <c r="J1978" s="14" t="s">
        <v>201</v>
      </c>
      <c r="K1978" s="14">
        <v>1</v>
      </c>
      <c r="L1978" s="14" t="s">
        <v>1400</v>
      </c>
      <c r="N1978" s="14">
        <v>0</v>
      </c>
      <c r="O1978" s="14" t="b">
        <v>1</v>
      </c>
      <c r="Q1978" s="14" t="b">
        <v>0</v>
      </c>
      <c r="R1978" s="14">
        <v>1</v>
      </c>
      <c r="S1978" s="14" t="s">
        <v>77</v>
      </c>
      <c r="T1978" s="14">
        <v>999</v>
      </c>
      <c r="U1978" s="14" t="s">
        <v>1401</v>
      </c>
      <c r="V1978" s="14">
        <v>31933123</v>
      </c>
      <c r="X1978" s="14" t="s">
        <v>3126</v>
      </c>
      <c r="Y1978" s="14" t="s">
        <v>215</v>
      </c>
      <c r="Z1978" s="14">
        <v>20741</v>
      </c>
      <c r="AA1978" s="14" t="s">
        <v>3127</v>
      </c>
      <c r="AB1978" s="14">
        <v>40001</v>
      </c>
      <c r="AE1978" s="14" t="s">
        <v>1400</v>
      </c>
      <c r="AF1978" s="14" t="s">
        <v>1400</v>
      </c>
      <c r="AG1978" s="14" t="s">
        <v>89</v>
      </c>
    </row>
    <row r="1979" spans="2:33">
      <c r="B1979" s="14">
        <f>10000000+INDEX(编号表!$B:$B,MATCH(H1979,编号表!$A:$A,0))*100000+INDEX(编号表!$F:$F,MATCH(D1979,编号表!$E:$E,0))*10000+INDEX(编号表!$D:$D,MATCH(AG1979,编号表!$C:$C,0))*1000+F1979</f>
        <v>11913122</v>
      </c>
      <c r="C1979" s="14" t="s">
        <v>3128</v>
      </c>
      <c r="D1979" s="14" t="s">
        <v>72</v>
      </c>
      <c r="E1979" s="14" t="s">
        <v>89</v>
      </c>
      <c r="F1979" s="14">
        <v>122</v>
      </c>
      <c r="G1979" s="14">
        <v>60</v>
      </c>
      <c r="H1979" s="14" t="s">
        <v>1400</v>
      </c>
      <c r="I1979" s="14" t="s">
        <v>75</v>
      </c>
      <c r="J1979" s="14" t="s">
        <v>201</v>
      </c>
      <c r="K1979" s="14">
        <v>1</v>
      </c>
      <c r="L1979" s="14" t="s">
        <v>1400</v>
      </c>
      <c r="N1979" s="14">
        <v>0</v>
      </c>
      <c r="O1979" s="14" t="b">
        <v>1</v>
      </c>
      <c r="Q1979" s="14" t="b">
        <v>0</v>
      </c>
      <c r="R1979" s="14">
        <v>1</v>
      </c>
      <c r="S1979" s="14" t="s">
        <v>77</v>
      </c>
      <c r="T1979" s="14">
        <v>999</v>
      </c>
      <c r="U1979" s="14" t="s">
        <v>1401</v>
      </c>
      <c r="V1979" s="14">
        <v>31913122</v>
      </c>
      <c r="X1979" s="14" t="s">
        <v>3129</v>
      </c>
      <c r="Y1979" s="14" t="s">
        <v>215</v>
      </c>
      <c r="Z1979" s="14">
        <v>20742</v>
      </c>
      <c r="AA1979" s="14" t="s">
        <v>3130</v>
      </c>
      <c r="AB1979" s="14">
        <v>40001</v>
      </c>
      <c r="AE1979" s="14" t="s">
        <v>1400</v>
      </c>
      <c r="AF1979" s="14" t="s">
        <v>1400</v>
      </c>
      <c r="AG1979" s="14" t="s">
        <v>89</v>
      </c>
    </row>
    <row r="1980" spans="2:33">
      <c r="B1980" s="14">
        <f>10000000+INDEX(编号表!$B:$B,MATCH(H1980,编号表!$A:$A,0))*100000+INDEX(编号表!$F:$F,MATCH(D1980,编号表!$E:$E,0))*10000+INDEX(编号表!$D:$D,MATCH(AG1980,编号表!$C:$C,0))*1000+F1980</f>
        <v>11923123</v>
      </c>
      <c r="C1980" s="14" t="s">
        <v>3128</v>
      </c>
      <c r="D1980" s="14" t="s">
        <v>112</v>
      </c>
      <c r="E1980" s="14" t="s">
        <v>89</v>
      </c>
      <c r="F1980" s="14">
        <v>123</v>
      </c>
      <c r="G1980" s="14">
        <v>60</v>
      </c>
      <c r="H1980" s="14" t="s">
        <v>1400</v>
      </c>
      <c r="I1980" s="14" t="s">
        <v>75</v>
      </c>
      <c r="J1980" s="14" t="s">
        <v>201</v>
      </c>
      <c r="K1980" s="14">
        <v>1</v>
      </c>
      <c r="L1980" s="14" t="s">
        <v>1400</v>
      </c>
      <c r="N1980" s="14">
        <v>0</v>
      </c>
      <c r="O1980" s="14" t="b">
        <v>1</v>
      </c>
      <c r="Q1980" s="14" t="b">
        <v>0</v>
      </c>
      <c r="R1980" s="14">
        <v>1</v>
      </c>
      <c r="S1980" s="14" t="s">
        <v>77</v>
      </c>
      <c r="T1980" s="14">
        <v>999</v>
      </c>
      <c r="U1980" s="14" t="s">
        <v>1401</v>
      </c>
      <c r="V1980" s="14">
        <v>31923123</v>
      </c>
      <c r="X1980" s="14" t="s">
        <v>3131</v>
      </c>
      <c r="Y1980" s="14" t="s">
        <v>215</v>
      </c>
      <c r="Z1980" s="14">
        <v>20743</v>
      </c>
      <c r="AA1980" s="14" t="s">
        <v>3132</v>
      </c>
      <c r="AB1980" s="14">
        <v>40001</v>
      </c>
      <c r="AE1980" s="14" t="s">
        <v>1400</v>
      </c>
      <c r="AF1980" s="14" t="s">
        <v>1400</v>
      </c>
      <c r="AG1980" s="14" t="s">
        <v>89</v>
      </c>
    </row>
    <row r="1981" spans="2:33">
      <c r="B1981" s="14">
        <f>10000000+INDEX(编号表!$B:$B,MATCH(H1981,编号表!$A:$A,0))*100000+INDEX(编号表!$F:$F,MATCH(D1981,编号表!$E:$E,0))*10000+INDEX(编号表!$D:$D,MATCH(AG1981,编号表!$C:$C,0))*1000+F1981</f>
        <v>11933124</v>
      </c>
      <c r="C1981" s="14" t="s">
        <v>3128</v>
      </c>
      <c r="D1981" s="14" t="s">
        <v>276</v>
      </c>
      <c r="E1981" s="14" t="s">
        <v>89</v>
      </c>
      <c r="F1981" s="14">
        <v>124</v>
      </c>
      <c r="G1981" s="14">
        <v>60</v>
      </c>
      <c r="H1981" s="14" t="s">
        <v>1400</v>
      </c>
      <c r="I1981" s="14" t="s">
        <v>75</v>
      </c>
      <c r="J1981" s="14" t="s">
        <v>201</v>
      </c>
      <c r="K1981" s="14">
        <v>1</v>
      </c>
      <c r="L1981" s="14" t="s">
        <v>1400</v>
      </c>
      <c r="N1981" s="14">
        <v>0</v>
      </c>
      <c r="O1981" s="14" t="b">
        <v>1</v>
      </c>
      <c r="Q1981" s="14" t="b">
        <v>0</v>
      </c>
      <c r="R1981" s="14">
        <v>1</v>
      </c>
      <c r="S1981" s="14" t="s">
        <v>77</v>
      </c>
      <c r="T1981" s="14">
        <v>999</v>
      </c>
      <c r="U1981" s="14" t="s">
        <v>1401</v>
      </c>
      <c r="V1981" s="14">
        <v>31933124</v>
      </c>
      <c r="X1981" s="14" t="s">
        <v>3133</v>
      </c>
      <c r="Y1981" s="14" t="s">
        <v>215</v>
      </c>
      <c r="Z1981" s="14">
        <v>20744</v>
      </c>
      <c r="AA1981" s="14" t="s">
        <v>3134</v>
      </c>
      <c r="AB1981" s="14">
        <v>40001</v>
      </c>
      <c r="AE1981" s="14" t="s">
        <v>1400</v>
      </c>
      <c r="AF1981" s="14" t="s">
        <v>1400</v>
      </c>
      <c r="AG1981" s="14" t="s">
        <v>89</v>
      </c>
    </row>
    <row r="1982" spans="2:33">
      <c r="B1982" s="14">
        <f>10000000+INDEX(编号表!$B:$B,MATCH(H1982,编号表!$A:$A,0))*100000+INDEX(编号表!$F:$F,MATCH(D1982,编号表!$E:$E,0))*10000+INDEX(编号表!$D:$D,MATCH(AG1982,编号表!$C:$C,0))*1000+F1982</f>
        <v>11913123</v>
      </c>
      <c r="C1982" s="14" t="s">
        <v>3135</v>
      </c>
      <c r="D1982" s="14" t="s">
        <v>72</v>
      </c>
      <c r="E1982" s="14" t="s">
        <v>89</v>
      </c>
      <c r="F1982" s="14">
        <v>123</v>
      </c>
      <c r="G1982" s="14">
        <v>60</v>
      </c>
      <c r="H1982" s="14" t="s">
        <v>1400</v>
      </c>
      <c r="I1982" s="14" t="s">
        <v>75</v>
      </c>
      <c r="J1982" s="14" t="s">
        <v>201</v>
      </c>
      <c r="K1982" s="14">
        <v>1</v>
      </c>
      <c r="L1982" s="14" t="s">
        <v>1400</v>
      </c>
      <c r="N1982" s="14">
        <v>0</v>
      </c>
      <c r="O1982" s="14" t="b">
        <v>1</v>
      </c>
      <c r="Q1982" s="14" t="b">
        <v>0</v>
      </c>
      <c r="R1982" s="14">
        <v>1</v>
      </c>
      <c r="S1982" s="14" t="s">
        <v>77</v>
      </c>
      <c r="T1982" s="14">
        <v>999</v>
      </c>
      <c r="U1982" s="14" t="s">
        <v>1401</v>
      </c>
      <c r="V1982" s="14">
        <v>31913123</v>
      </c>
      <c r="X1982" s="14" t="s">
        <v>3136</v>
      </c>
      <c r="Y1982" s="14" t="s">
        <v>215</v>
      </c>
      <c r="Z1982" s="14">
        <v>20745</v>
      </c>
      <c r="AA1982" s="14" t="s">
        <v>3137</v>
      </c>
      <c r="AB1982" s="14">
        <v>40001</v>
      </c>
      <c r="AE1982" s="14" t="s">
        <v>1400</v>
      </c>
      <c r="AF1982" s="14" t="s">
        <v>1400</v>
      </c>
      <c r="AG1982" s="14" t="s">
        <v>89</v>
      </c>
    </row>
    <row r="1983" spans="2:33">
      <c r="B1983" s="14">
        <f>10000000+INDEX(编号表!$B:$B,MATCH(H1983,编号表!$A:$A,0))*100000+INDEX(编号表!$F:$F,MATCH(D1983,编号表!$E:$E,0))*10000+INDEX(编号表!$D:$D,MATCH(AG1983,编号表!$C:$C,0))*1000+F1983</f>
        <v>11923124</v>
      </c>
      <c r="C1983" s="14" t="s">
        <v>3135</v>
      </c>
      <c r="D1983" s="14" t="s">
        <v>112</v>
      </c>
      <c r="E1983" s="14" t="s">
        <v>89</v>
      </c>
      <c r="F1983" s="14">
        <v>124</v>
      </c>
      <c r="G1983" s="14">
        <v>60</v>
      </c>
      <c r="H1983" s="14" t="s">
        <v>1400</v>
      </c>
      <c r="I1983" s="14" t="s">
        <v>75</v>
      </c>
      <c r="J1983" s="14" t="s">
        <v>201</v>
      </c>
      <c r="K1983" s="14">
        <v>1</v>
      </c>
      <c r="L1983" s="14" t="s">
        <v>1400</v>
      </c>
      <c r="N1983" s="14">
        <v>0</v>
      </c>
      <c r="O1983" s="14" t="b">
        <v>1</v>
      </c>
      <c r="Q1983" s="14" t="b">
        <v>0</v>
      </c>
      <c r="R1983" s="14">
        <v>1</v>
      </c>
      <c r="S1983" s="14" t="s">
        <v>77</v>
      </c>
      <c r="T1983" s="14">
        <v>999</v>
      </c>
      <c r="U1983" s="14" t="s">
        <v>1401</v>
      </c>
      <c r="V1983" s="14">
        <v>31923124</v>
      </c>
      <c r="X1983" s="14" t="s">
        <v>3138</v>
      </c>
      <c r="Y1983" s="14" t="s">
        <v>215</v>
      </c>
      <c r="Z1983" s="14">
        <v>20746</v>
      </c>
      <c r="AA1983" s="14" t="s">
        <v>3139</v>
      </c>
      <c r="AB1983" s="14">
        <v>40001</v>
      </c>
      <c r="AE1983" s="14" t="s">
        <v>1400</v>
      </c>
      <c r="AF1983" s="14" t="s">
        <v>1400</v>
      </c>
      <c r="AG1983" s="14" t="s">
        <v>89</v>
      </c>
    </row>
    <row r="1984" spans="2:33">
      <c r="B1984" s="14">
        <f>10000000+INDEX(编号表!$B:$B,MATCH(H1984,编号表!$A:$A,0))*100000+INDEX(编号表!$F:$F,MATCH(D1984,编号表!$E:$E,0))*10000+INDEX(编号表!$D:$D,MATCH(AG1984,编号表!$C:$C,0))*1000+F1984</f>
        <v>11933125</v>
      </c>
      <c r="C1984" s="14" t="s">
        <v>3135</v>
      </c>
      <c r="D1984" s="14" t="s">
        <v>276</v>
      </c>
      <c r="E1984" s="14" t="s">
        <v>89</v>
      </c>
      <c r="F1984" s="14">
        <v>125</v>
      </c>
      <c r="G1984" s="14">
        <v>60</v>
      </c>
      <c r="H1984" s="14" t="s">
        <v>1400</v>
      </c>
      <c r="I1984" s="14" t="s">
        <v>75</v>
      </c>
      <c r="J1984" s="14" t="s">
        <v>201</v>
      </c>
      <c r="K1984" s="14">
        <v>1</v>
      </c>
      <c r="L1984" s="14" t="s">
        <v>1400</v>
      </c>
      <c r="N1984" s="14">
        <v>0</v>
      </c>
      <c r="O1984" s="14" t="b">
        <v>1</v>
      </c>
      <c r="Q1984" s="14" t="b">
        <v>0</v>
      </c>
      <c r="R1984" s="14">
        <v>1</v>
      </c>
      <c r="S1984" s="14" t="s">
        <v>77</v>
      </c>
      <c r="T1984" s="14">
        <v>999</v>
      </c>
      <c r="U1984" s="14" t="s">
        <v>1401</v>
      </c>
      <c r="V1984" s="14">
        <v>31933125</v>
      </c>
      <c r="X1984" s="14" t="s">
        <v>3140</v>
      </c>
      <c r="Y1984" s="14" t="s">
        <v>215</v>
      </c>
      <c r="Z1984" s="14">
        <v>20747</v>
      </c>
      <c r="AA1984" s="14" t="s">
        <v>3141</v>
      </c>
      <c r="AB1984" s="14">
        <v>40001</v>
      </c>
      <c r="AE1984" s="14" t="s">
        <v>1400</v>
      </c>
      <c r="AF1984" s="14" t="s">
        <v>1400</v>
      </c>
      <c r="AG1984" s="14" t="s">
        <v>89</v>
      </c>
    </row>
    <row r="1985" spans="2:33">
      <c r="B1985" s="14">
        <f>10000000+INDEX(编号表!$B:$B,MATCH(H1985,编号表!$A:$A,0))*100000+INDEX(编号表!$F:$F,MATCH(D1985,编号表!$E:$E,0))*10000+INDEX(编号表!$D:$D,MATCH(AG1985,编号表!$C:$C,0))*1000+F1985</f>
        <v>11913124</v>
      </c>
      <c r="C1985" s="14" t="s">
        <v>3142</v>
      </c>
      <c r="D1985" s="14" t="s">
        <v>72</v>
      </c>
      <c r="E1985" s="14" t="s">
        <v>89</v>
      </c>
      <c r="F1985" s="14">
        <v>124</v>
      </c>
      <c r="G1985" s="14">
        <v>60</v>
      </c>
      <c r="H1985" s="14" t="s">
        <v>1400</v>
      </c>
      <c r="I1985" s="14" t="s">
        <v>75</v>
      </c>
      <c r="J1985" s="14" t="s">
        <v>201</v>
      </c>
      <c r="K1985" s="14">
        <v>1</v>
      </c>
      <c r="L1985" s="14" t="s">
        <v>1400</v>
      </c>
      <c r="N1985" s="14">
        <v>0</v>
      </c>
      <c r="O1985" s="14" t="b">
        <v>1</v>
      </c>
      <c r="Q1985" s="14" t="b">
        <v>0</v>
      </c>
      <c r="R1985" s="14">
        <v>1</v>
      </c>
      <c r="S1985" s="14" t="s">
        <v>77</v>
      </c>
      <c r="T1985" s="14">
        <v>999</v>
      </c>
      <c r="U1985" s="14" t="s">
        <v>1401</v>
      </c>
      <c r="V1985" s="14">
        <v>31913124</v>
      </c>
      <c r="X1985" s="14" t="s">
        <v>3143</v>
      </c>
      <c r="Y1985" s="14" t="s">
        <v>215</v>
      </c>
      <c r="Z1985" s="14">
        <v>20748</v>
      </c>
      <c r="AA1985" s="14" t="s">
        <v>3144</v>
      </c>
      <c r="AB1985" s="14">
        <v>40001</v>
      </c>
      <c r="AE1985" s="14" t="s">
        <v>1400</v>
      </c>
      <c r="AF1985" s="14" t="s">
        <v>1400</v>
      </c>
      <c r="AG1985" s="14" t="s">
        <v>89</v>
      </c>
    </row>
    <row r="1986" spans="2:33">
      <c r="B1986" s="14">
        <f>10000000+INDEX(编号表!$B:$B,MATCH(H1986,编号表!$A:$A,0))*100000+INDEX(编号表!$F:$F,MATCH(D1986,编号表!$E:$E,0))*10000+INDEX(编号表!$D:$D,MATCH(AG1986,编号表!$C:$C,0))*1000+F1986</f>
        <v>11923125</v>
      </c>
      <c r="C1986" s="14" t="s">
        <v>3142</v>
      </c>
      <c r="D1986" s="14" t="s">
        <v>112</v>
      </c>
      <c r="E1986" s="14" t="s">
        <v>89</v>
      </c>
      <c r="F1986" s="14">
        <v>125</v>
      </c>
      <c r="G1986" s="14">
        <v>60</v>
      </c>
      <c r="H1986" s="14" t="s">
        <v>1400</v>
      </c>
      <c r="I1986" s="14" t="s">
        <v>75</v>
      </c>
      <c r="J1986" s="14" t="s">
        <v>201</v>
      </c>
      <c r="K1986" s="14">
        <v>1</v>
      </c>
      <c r="L1986" s="14" t="s">
        <v>1400</v>
      </c>
      <c r="N1986" s="14">
        <v>0</v>
      </c>
      <c r="O1986" s="14" t="b">
        <v>1</v>
      </c>
      <c r="Q1986" s="14" t="b">
        <v>0</v>
      </c>
      <c r="R1986" s="14">
        <v>1</v>
      </c>
      <c r="S1986" s="14" t="s">
        <v>77</v>
      </c>
      <c r="T1986" s="14">
        <v>999</v>
      </c>
      <c r="U1986" s="14" t="s">
        <v>1401</v>
      </c>
      <c r="V1986" s="14">
        <v>31923125</v>
      </c>
      <c r="X1986" s="14" t="s">
        <v>3145</v>
      </c>
      <c r="Y1986" s="14" t="s">
        <v>215</v>
      </c>
      <c r="Z1986" s="14">
        <v>20749</v>
      </c>
      <c r="AA1986" s="14" t="s">
        <v>3146</v>
      </c>
      <c r="AB1986" s="14">
        <v>40001</v>
      </c>
      <c r="AE1986" s="14" t="s">
        <v>1400</v>
      </c>
      <c r="AF1986" s="14" t="s">
        <v>1400</v>
      </c>
      <c r="AG1986" s="14" t="s">
        <v>89</v>
      </c>
    </row>
    <row r="1987" spans="2:33">
      <c r="B1987" s="14">
        <f>10000000+INDEX(编号表!$B:$B,MATCH(H1987,编号表!$A:$A,0))*100000+INDEX(编号表!$F:$F,MATCH(D1987,编号表!$E:$E,0))*10000+INDEX(编号表!$D:$D,MATCH(AG1987,编号表!$C:$C,0))*1000+F1987</f>
        <v>11933126</v>
      </c>
      <c r="C1987" s="14" t="s">
        <v>3142</v>
      </c>
      <c r="D1987" s="14" t="s">
        <v>276</v>
      </c>
      <c r="E1987" s="14" t="s">
        <v>89</v>
      </c>
      <c r="F1987" s="14">
        <v>126</v>
      </c>
      <c r="G1987" s="14">
        <v>60</v>
      </c>
      <c r="H1987" s="14" t="s">
        <v>1400</v>
      </c>
      <c r="I1987" s="14" t="s">
        <v>75</v>
      </c>
      <c r="J1987" s="14" t="s">
        <v>201</v>
      </c>
      <c r="K1987" s="14">
        <v>1</v>
      </c>
      <c r="L1987" s="14" t="s">
        <v>1400</v>
      </c>
      <c r="N1987" s="14">
        <v>0</v>
      </c>
      <c r="O1987" s="14" t="b">
        <v>1</v>
      </c>
      <c r="Q1987" s="14" t="b">
        <v>0</v>
      </c>
      <c r="R1987" s="14">
        <v>1</v>
      </c>
      <c r="S1987" s="14" t="s">
        <v>77</v>
      </c>
      <c r="T1987" s="14">
        <v>999</v>
      </c>
      <c r="U1987" s="14" t="s">
        <v>1401</v>
      </c>
      <c r="V1987" s="14">
        <v>31933126</v>
      </c>
      <c r="X1987" s="14" t="s">
        <v>3147</v>
      </c>
      <c r="Y1987" s="14" t="s">
        <v>215</v>
      </c>
      <c r="Z1987" s="14">
        <v>20750</v>
      </c>
      <c r="AA1987" s="14" t="s">
        <v>3148</v>
      </c>
      <c r="AB1987" s="14">
        <v>40001</v>
      </c>
      <c r="AE1987" s="14" t="s">
        <v>1400</v>
      </c>
      <c r="AF1987" s="14" t="s">
        <v>1400</v>
      </c>
      <c r="AG1987" s="14" t="s">
        <v>89</v>
      </c>
    </row>
    <row r="1988" spans="2:33">
      <c r="B1988" s="14">
        <f>10000000+INDEX(编号表!$B:$B,MATCH(H1988,编号表!$A:$A,0))*100000+INDEX(编号表!$F:$F,MATCH(D1988,编号表!$E:$E,0))*10000+INDEX(编号表!$D:$D,MATCH(AG1988,编号表!$C:$C,0))*1000+F1988</f>
        <v>11914000</v>
      </c>
      <c r="C1988" s="14" t="s">
        <v>3149</v>
      </c>
      <c r="D1988" s="14" t="s">
        <v>72</v>
      </c>
      <c r="E1988" s="14" t="s">
        <v>92</v>
      </c>
      <c r="F1988" s="14">
        <v>0</v>
      </c>
      <c r="G1988" s="14">
        <v>60</v>
      </c>
      <c r="H1988" s="14" t="s">
        <v>1400</v>
      </c>
      <c r="I1988" s="14" t="s">
        <v>75</v>
      </c>
      <c r="J1988" s="14" t="s">
        <v>201</v>
      </c>
      <c r="K1988" s="14">
        <v>1</v>
      </c>
      <c r="L1988" s="14" t="s">
        <v>1400</v>
      </c>
      <c r="N1988" s="14">
        <v>0</v>
      </c>
      <c r="O1988" s="14" t="b">
        <v>1</v>
      </c>
      <c r="Q1988" s="14" t="b">
        <v>0</v>
      </c>
      <c r="R1988" s="14">
        <v>1</v>
      </c>
      <c r="S1988" s="14" t="s">
        <v>77</v>
      </c>
      <c r="T1988" s="14">
        <v>999</v>
      </c>
      <c r="U1988" s="14" t="s">
        <v>1401</v>
      </c>
      <c r="V1988" s="14">
        <v>31914000</v>
      </c>
      <c r="X1988" s="14" t="s">
        <v>3150</v>
      </c>
      <c r="Y1988" s="14" t="s">
        <v>215</v>
      </c>
      <c r="Z1988" s="14">
        <v>20751</v>
      </c>
      <c r="AA1988" s="14" t="s">
        <v>3151</v>
      </c>
      <c r="AB1988" s="14">
        <v>40001</v>
      </c>
      <c r="AE1988" s="14" t="s">
        <v>1400</v>
      </c>
      <c r="AF1988" s="14" t="s">
        <v>1400</v>
      </c>
      <c r="AG1988" s="14" t="s">
        <v>92</v>
      </c>
    </row>
    <row r="1989" spans="2:33">
      <c r="B1989" s="14">
        <f>10000000+INDEX(编号表!$B:$B,MATCH(H1989,编号表!$A:$A,0))*100000+INDEX(编号表!$F:$F,MATCH(D1989,编号表!$E:$E,0))*10000+INDEX(编号表!$D:$D,MATCH(AG1989,编号表!$C:$C,0))*1000+F1989</f>
        <v>11924001</v>
      </c>
      <c r="C1989" s="14" t="s">
        <v>3149</v>
      </c>
      <c r="D1989" s="14" t="s">
        <v>112</v>
      </c>
      <c r="E1989" s="14" t="s">
        <v>92</v>
      </c>
      <c r="F1989" s="14">
        <v>1</v>
      </c>
      <c r="G1989" s="14">
        <v>60</v>
      </c>
      <c r="H1989" s="14" t="s">
        <v>1400</v>
      </c>
      <c r="I1989" s="14" t="s">
        <v>75</v>
      </c>
      <c r="J1989" s="14" t="s">
        <v>201</v>
      </c>
      <c r="K1989" s="14">
        <v>1</v>
      </c>
      <c r="L1989" s="14" t="s">
        <v>1400</v>
      </c>
      <c r="N1989" s="14">
        <v>0</v>
      </c>
      <c r="O1989" s="14" t="b">
        <v>1</v>
      </c>
      <c r="Q1989" s="14" t="b">
        <v>0</v>
      </c>
      <c r="R1989" s="14">
        <v>1</v>
      </c>
      <c r="S1989" s="14" t="s">
        <v>77</v>
      </c>
      <c r="T1989" s="14">
        <v>999</v>
      </c>
      <c r="U1989" s="14" t="s">
        <v>1401</v>
      </c>
      <c r="V1989" s="14">
        <v>31924001</v>
      </c>
      <c r="X1989" s="14" t="s">
        <v>3152</v>
      </c>
      <c r="Y1989" s="14" t="s">
        <v>215</v>
      </c>
      <c r="Z1989" s="14">
        <v>20752</v>
      </c>
      <c r="AA1989" s="14" t="s">
        <v>3153</v>
      </c>
      <c r="AB1989" s="14">
        <v>40001</v>
      </c>
      <c r="AE1989" s="14" t="s">
        <v>1400</v>
      </c>
      <c r="AF1989" s="14" t="s">
        <v>1400</v>
      </c>
      <c r="AG1989" s="14" t="s">
        <v>92</v>
      </c>
    </row>
    <row r="1990" spans="2:33">
      <c r="B1990" s="14">
        <f>10000000+INDEX(编号表!$B:$B,MATCH(H1990,编号表!$A:$A,0))*100000+INDEX(编号表!$F:$F,MATCH(D1990,编号表!$E:$E,0))*10000+INDEX(编号表!$D:$D,MATCH(AG1990,编号表!$C:$C,0))*1000+F1990</f>
        <v>11934002</v>
      </c>
      <c r="C1990" s="14" t="s">
        <v>3149</v>
      </c>
      <c r="D1990" s="14" t="s">
        <v>276</v>
      </c>
      <c r="E1990" s="14" t="s">
        <v>92</v>
      </c>
      <c r="F1990" s="14">
        <v>2</v>
      </c>
      <c r="G1990" s="14">
        <v>60</v>
      </c>
      <c r="H1990" s="14" t="s">
        <v>1400</v>
      </c>
      <c r="I1990" s="14" t="s">
        <v>75</v>
      </c>
      <c r="J1990" s="14" t="s">
        <v>201</v>
      </c>
      <c r="K1990" s="14">
        <v>1</v>
      </c>
      <c r="L1990" s="14" t="s">
        <v>1400</v>
      </c>
      <c r="N1990" s="14">
        <v>0</v>
      </c>
      <c r="O1990" s="14" t="b">
        <v>1</v>
      </c>
      <c r="Q1990" s="14" t="b">
        <v>0</v>
      </c>
      <c r="R1990" s="14">
        <v>1</v>
      </c>
      <c r="S1990" s="14" t="s">
        <v>77</v>
      </c>
      <c r="T1990" s="14">
        <v>999</v>
      </c>
      <c r="U1990" s="14" t="s">
        <v>1401</v>
      </c>
      <c r="V1990" s="14">
        <v>31934002</v>
      </c>
      <c r="X1990" s="14" t="s">
        <v>3154</v>
      </c>
      <c r="Y1990" s="14" t="s">
        <v>215</v>
      </c>
      <c r="Z1990" s="14">
        <v>20753</v>
      </c>
      <c r="AA1990" s="14" t="s">
        <v>3155</v>
      </c>
      <c r="AB1990" s="14">
        <v>40001</v>
      </c>
      <c r="AE1990" s="14" t="s">
        <v>1400</v>
      </c>
      <c r="AF1990" s="14" t="s">
        <v>1400</v>
      </c>
      <c r="AG1990" s="14" t="s">
        <v>92</v>
      </c>
    </row>
    <row r="1991" spans="2:33">
      <c r="B1991" s="14">
        <f>10000000+INDEX(编号表!$B:$B,MATCH(H1991,编号表!$A:$A,0))*100000+INDEX(编号表!$F:$F,MATCH(D1991,编号表!$E:$E,0))*10000+INDEX(编号表!$D:$D,MATCH(AG1991,编号表!$C:$C,0))*1000+F1991</f>
        <v>11914001</v>
      </c>
      <c r="C1991" s="14" t="s">
        <v>3156</v>
      </c>
      <c r="D1991" s="14" t="s">
        <v>72</v>
      </c>
      <c r="E1991" s="14" t="s">
        <v>92</v>
      </c>
      <c r="F1991" s="14">
        <v>1</v>
      </c>
      <c r="G1991" s="14">
        <v>60</v>
      </c>
      <c r="H1991" s="14" t="s">
        <v>1400</v>
      </c>
      <c r="I1991" s="14" t="s">
        <v>75</v>
      </c>
      <c r="J1991" s="14" t="s">
        <v>201</v>
      </c>
      <c r="K1991" s="14">
        <v>1</v>
      </c>
      <c r="L1991" s="14" t="s">
        <v>1400</v>
      </c>
      <c r="N1991" s="14">
        <v>0</v>
      </c>
      <c r="O1991" s="14" t="b">
        <v>1</v>
      </c>
      <c r="Q1991" s="14" t="b">
        <v>0</v>
      </c>
      <c r="R1991" s="14">
        <v>1</v>
      </c>
      <c r="S1991" s="14" t="s">
        <v>77</v>
      </c>
      <c r="T1991" s="14">
        <v>999</v>
      </c>
      <c r="U1991" s="14" t="s">
        <v>1401</v>
      </c>
      <c r="V1991" s="14">
        <v>31914001</v>
      </c>
      <c r="X1991" s="14" t="s">
        <v>3157</v>
      </c>
      <c r="Y1991" s="14" t="s">
        <v>215</v>
      </c>
      <c r="Z1991" s="14">
        <v>20754</v>
      </c>
      <c r="AA1991" s="14" t="s">
        <v>3158</v>
      </c>
      <c r="AB1991" s="14">
        <v>40001</v>
      </c>
      <c r="AE1991" s="14" t="s">
        <v>1400</v>
      </c>
      <c r="AF1991" s="14" t="s">
        <v>1400</v>
      </c>
      <c r="AG1991" s="14" t="s">
        <v>92</v>
      </c>
    </row>
    <row r="1992" spans="2:33">
      <c r="B1992" s="14">
        <f>10000000+INDEX(编号表!$B:$B,MATCH(H1992,编号表!$A:$A,0))*100000+INDEX(编号表!$F:$F,MATCH(D1992,编号表!$E:$E,0))*10000+INDEX(编号表!$D:$D,MATCH(AG1992,编号表!$C:$C,0))*1000+F1992</f>
        <v>11924002</v>
      </c>
      <c r="C1992" s="14" t="s">
        <v>3156</v>
      </c>
      <c r="D1992" s="14" t="s">
        <v>112</v>
      </c>
      <c r="E1992" s="14" t="s">
        <v>92</v>
      </c>
      <c r="F1992" s="14">
        <v>2</v>
      </c>
      <c r="G1992" s="14">
        <v>60</v>
      </c>
      <c r="H1992" s="14" t="s">
        <v>1400</v>
      </c>
      <c r="I1992" s="14" t="s">
        <v>75</v>
      </c>
      <c r="J1992" s="14" t="s">
        <v>201</v>
      </c>
      <c r="K1992" s="14">
        <v>1</v>
      </c>
      <c r="L1992" s="14" t="s">
        <v>1400</v>
      </c>
      <c r="N1992" s="14">
        <v>0</v>
      </c>
      <c r="O1992" s="14" t="b">
        <v>1</v>
      </c>
      <c r="Q1992" s="14" t="b">
        <v>0</v>
      </c>
      <c r="R1992" s="14">
        <v>1</v>
      </c>
      <c r="S1992" s="14" t="s">
        <v>77</v>
      </c>
      <c r="T1992" s="14">
        <v>999</v>
      </c>
      <c r="U1992" s="14" t="s">
        <v>1401</v>
      </c>
      <c r="V1992" s="14">
        <v>31924002</v>
      </c>
      <c r="X1992" s="14" t="s">
        <v>3159</v>
      </c>
      <c r="Y1992" s="14" t="s">
        <v>215</v>
      </c>
      <c r="Z1992" s="14">
        <v>20755</v>
      </c>
      <c r="AA1992" s="14" t="s">
        <v>3160</v>
      </c>
      <c r="AB1992" s="14">
        <v>40001</v>
      </c>
      <c r="AE1992" s="14" t="s">
        <v>1400</v>
      </c>
      <c r="AF1992" s="14" t="s">
        <v>1400</v>
      </c>
      <c r="AG1992" s="14" t="s">
        <v>92</v>
      </c>
    </row>
    <row r="1993" spans="2:33">
      <c r="B1993" s="14">
        <f>10000000+INDEX(编号表!$B:$B,MATCH(H1993,编号表!$A:$A,0))*100000+INDEX(编号表!$F:$F,MATCH(D1993,编号表!$E:$E,0))*10000+INDEX(编号表!$D:$D,MATCH(AG1993,编号表!$C:$C,0))*1000+F1993</f>
        <v>11934003</v>
      </c>
      <c r="C1993" s="14" t="s">
        <v>3156</v>
      </c>
      <c r="D1993" s="14" t="s">
        <v>276</v>
      </c>
      <c r="E1993" s="14" t="s">
        <v>92</v>
      </c>
      <c r="F1993" s="14">
        <v>3</v>
      </c>
      <c r="G1993" s="14">
        <v>60</v>
      </c>
      <c r="H1993" s="14" t="s">
        <v>1400</v>
      </c>
      <c r="I1993" s="14" t="s">
        <v>75</v>
      </c>
      <c r="J1993" s="14" t="s">
        <v>201</v>
      </c>
      <c r="K1993" s="14">
        <v>1</v>
      </c>
      <c r="L1993" s="14" t="s">
        <v>1400</v>
      </c>
      <c r="N1993" s="14">
        <v>0</v>
      </c>
      <c r="O1993" s="14" t="b">
        <v>1</v>
      </c>
      <c r="Q1993" s="14" t="b">
        <v>0</v>
      </c>
      <c r="R1993" s="14">
        <v>1</v>
      </c>
      <c r="S1993" s="14" t="s">
        <v>77</v>
      </c>
      <c r="T1993" s="14">
        <v>999</v>
      </c>
      <c r="U1993" s="14" t="s">
        <v>1401</v>
      </c>
      <c r="V1993" s="14">
        <v>31934003</v>
      </c>
      <c r="X1993" s="14" t="s">
        <v>3161</v>
      </c>
      <c r="Y1993" s="14" t="s">
        <v>215</v>
      </c>
      <c r="Z1993" s="14">
        <v>20756</v>
      </c>
      <c r="AA1993" s="14" t="s">
        <v>3162</v>
      </c>
      <c r="AB1993" s="14">
        <v>40001</v>
      </c>
      <c r="AE1993" s="14" t="s">
        <v>1400</v>
      </c>
      <c r="AF1993" s="14" t="s">
        <v>1400</v>
      </c>
      <c r="AG1993" s="14" t="s">
        <v>92</v>
      </c>
    </row>
    <row r="1994" spans="2:33">
      <c r="B1994" s="14">
        <f>10000000+INDEX(编号表!$B:$B,MATCH(H1994,编号表!$A:$A,0))*100000+INDEX(编号表!$F:$F,MATCH(D1994,编号表!$E:$E,0))*10000+INDEX(编号表!$D:$D,MATCH(AG1994,编号表!$C:$C,0))*1000+F1994</f>
        <v>11914002</v>
      </c>
      <c r="C1994" s="14" t="s">
        <v>3163</v>
      </c>
      <c r="D1994" s="14" t="s">
        <v>72</v>
      </c>
      <c r="E1994" s="14" t="s">
        <v>92</v>
      </c>
      <c r="F1994" s="14">
        <v>2</v>
      </c>
      <c r="G1994" s="14">
        <v>60</v>
      </c>
      <c r="H1994" s="14" t="s">
        <v>1400</v>
      </c>
      <c r="I1994" s="14" t="s">
        <v>75</v>
      </c>
      <c r="J1994" s="14" t="s">
        <v>201</v>
      </c>
      <c r="K1994" s="14">
        <v>1</v>
      </c>
      <c r="L1994" s="14" t="s">
        <v>1400</v>
      </c>
      <c r="N1994" s="14">
        <v>0</v>
      </c>
      <c r="O1994" s="14" t="b">
        <v>1</v>
      </c>
      <c r="Q1994" s="14" t="b">
        <v>0</v>
      </c>
      <c r="R1994" s="14">
        <v>1</v>
      </c>
      <c r="S1994" s="14" t="s">
        <v>77</v>
      </c>
      <c r="T1994" s="14">
        <v>999</v>
      </c>
      <c r="U1994" s="14" t="s">
        <v>1401</v>
      </c>
      <c r="V1994" s="14">
        <v>31914002</v>
      </c>
      <c r="X1994" s="14" t="s">
        <v>3164</v>
      </c>
      <c r="Y1994" s="14" t="s">
        <v>215</v>
      </c>
      <c r="Z1994" s="14">
        <v>20757</v>
      </c>
      <c r="AA1994" s="14" t="s">
        <v>3165</v>
      </c>
      <c r="AB1994" s="14">
        <v>40001</v>
      </c>
      <c r="AE1994" s="14" t="s">
        <v>1400</v>
      </c>
      <c r="AF1994" s="14" t="s">
        <v>1400</v>
      </c>
      <c r="AG1994" s="14" t="s">
        <v>92</v>
      </c>
    </row>
    <row r="1995" spans="2:33">
      <c r="B1995" s="14">
        <f>10000000+INDEX(编号表!$B:$B,MATCH(H1995,编号表!$A:$A,0))*100000+INDEX(编号表!$F:$F,MATCH(D1995,编号表!$E:$E,0))*10000+INDEX(编号表!$D:$D,MATCH(AG1995,编号表!$C:$C,0))*1000+F1995</f>
        <v>11924003</v>
      </c>
      <c r="C1995" s="14" t="s">
        <v>3163</v>
      </c>
      <c r="D1995" s="14" t="s">
        <v>112</v>
      </c>
      <c r="E1995" s="14" t="s">
        <v>92</v>
      </c>
      <c r="F1995" s="14">
        <v>3</v>
      </c>
      <c r="G1995" s="14">
        <v>60</v>
      </c>
      <c r="H1995" s="14" t="s">
        <v>1400</v>
      </c>
      <c r="I1995" s="14" t="s">
        <v>75</v>
      </c>
      <c r="J1995" s="14" t="s">
        <v>201</v>
      </c>
      <c r="K1995" s="14">
        <v>1</v>
      </c>
      <c r="L1995" s="14" t="s">
        <v>1400</v>
      </c>
      <c r="N1995" s="14">
        <v>0</v>
      </c>
      <c r="O1995" s="14" t="b">
        <v>1</v>
      </c>
      <c r="Q1995" s="14" t="b">
        <v>0</v>
      </c>
      <c r="R1995" s="14">
        <v>1</v>
      </c>
      <c r="S1995" s="14" t="s">
        <v>77</v>
      </c>
      <c r="T1995" s="14">
        <v>999</v>
      </c>
      <c r="U1995" s="14" t="s">
        <v>1401</v>
      </c>
      <c r="V1995" s="14">
        <v>31924003</v>
      </c>
      <c r="X1995" s="14" t="s">
        <v>3166</v>
      </c>
      <c r="Y1995" s="14" t="s">
        <v>215</v>
      </c>
      <c r="Z1995" s="14">
        <v>20758</v>
      </c>
      <c r="AA1995" s="14" t="s">
        <v>3167</v>
      </c>
      <c r="AB1995" s="14">
        <v>40001</v>
      </c>
      <c r="AE1995" s="14" t="s">
        <v>1400</v>
      </c>
      <c r="AF1995" s="14" t="s">
        <v>1400</v>
      </c>
      <c r="AG1995" s="14" t="s">
        <v>92</v>
      </c>
    </row>
    <row r="1996" spans="2:33">
      <c r="B1996" s="14">
        <f>10000000+INDEX(编号表!$B:$B,MATCH(H1996,编号表!$A:$A,0))*100000+INDEX(编号表!$F:$F,MATCH(D1996,编号表!$E:$E,0))*10000+INDEX(编号表!$D:$D,MATCH(AG1996,编号表!$C:$C,0))*1000+F1996</f>
        <v>11934004</v>
      </c>
      <c r="C1996" s="14" t="s">
        <v>3163</v>
      </c>
      <c r="D1996" s="14" t="s">
        <v>276</v>
      </c>
      <c r="E1996" s="14" t="s">
        <v>92</v>
      </c>
      <c r="F1996" s="14">
        <v>4</v>
      </c>
      <c r="G1996" s="14">
        <v>60</v>
      </c>
      <c r="H1996" s="14" t="s">
        <v>1400</v>
      </c>
      <c r="I1996" s="14" t="s">
        <v>75</v>
      </c>
      <c r="J1996" s="14" t="s">
        <v>201</v>
      </c>
      <c r="K1996" s="14">
        <v>1</v>
      </c>
      <c r="L1996" s="14" t="s">
        <v>1400</v>
      </c>
      <c r="N1996" s="14">
        <v>0</v>
      </c>
      <c r="O1996" s="14" t="b">
        <v>1</v>
      </c>
      <c r="Q1996" s="14" t="b">
        <v>0</v>
      </c>
      <c r="R1996" s="14">
        <v>1</v>
      </c>
      <c r="S1996" s="14" t="s">
        <v>77</v>
      </c>
      <c r="T1996" s="14">
        <v>999</v>
      </c>
      <c r="U1996" s="14" t="s">
        <v>1401</v>
      </c>
      <c r="V1996" s="14">
        <v>31934004</v>
      </c>
      <c r="X1996" s="14" t="s">
        <v>3168</v>
      </c>
      <c r="Y1996" s="14" t="s">
        <v>215</v>
      </c>
      <c r="Z1996" s="14">
        <v>20759</v>
      </c>
      <c r="AA1996" s="14" t="s">
        <v>3169</v>
      </c>
      <c r="AB1996" s="14">
        <v>40001</v>
      </c>
      <c r="AE1996" s="14" t="s">
        <v>1400</v>
      </c>
      <c r="AF1996" s="14" t="s">
        <v>1400</v>
      </c>
      <c r="AG1996" s="14" t="s">
        <v>92</v>
      </c>
    </row>
    <row r="1997" spans="2:33">
      <c r="B1997" s="14">
        <f>10000000+INDEX(编号表!$B:$B,MATCH(H1997,编号表!$A:$A,0))*100000+INDEX(编号表!$F:$F,MATCH(D1997,编号表!$E:$E,0))*10000+INDEX(编号表!$D:$D,MATCH(AG1997,编号表!$C:$C,0))*1000+F1997</f>
        <v>11914003</v>
      </c>
      <c r="C1997" s="14" t="s">
        <v>3170</v>
      </c>
      <c r="D1997" s="14" t="s">
        <v>72</v>
      </c>
      <c r="E1997" s="14" t="s">
        <v>92</v>
      </c>
      <c r="F1997" s="14">
        <v>3</v>
      </c>
      <c r="G1997" s="14">
        <v>60</v>
      </c>
      <c r="H1997" s="14" t="s">
        <v>1400</v>
      </c>
      <c r="I1997" s="14" t="s">
        <v>75</v>
      </c>
      <c r="J1997" s="14" t="s">
        <v>201</v>
      </c>
      <c r="K1997" s="14">
        <v>1</v>
      </c>
      <c r="L1997" s="14" t="s">
        <v>1400</v>
      </c>
      <c r="N1997" s="14">
        <v>0</v>
      </c>
      <c r="O1997" s="14" t="b">
        <v>1</v>
      </c>
      <c r="Q1997" s="14" t="b">
        <v>0</v>
      </c>
      <c r="R1997" s="14">
        <v>1</v>
      </c>
      <c r="S1997" s="14" t="s">
        <v>77</v>
      </c>
      <c r="T1997" s="14">
        <v>999</v>
      </c>
      <c r="U1997" s="14" t="s">
        <v>1401</v>
      </c>
      <c r="V1997" s="14">
        <v>31914003</v>
      </c>
      <c r="X1997" s="14" t="s">
        <v>3171</v>
      </c>
      <c r="Y1997" s="14" t="s">
        <v>215</v>
      </c>
      <c r="Z1997" s="14">
        <v>20760</v>
      </c>
      <c r="AA1997" s="14" t="s">
        <v>3172</v>
      </c>
      <c r="AB1997" s="14">
        <v>40001</v>
      </c>
      <c r="AE1997" s="14" t="s">
        <v>1400</v>
      </c>
      <c r="AF1997" s="14" t="s">
        <v>1400</v>
      </c>
      <c r="AG1997" s="14" t="s">
        <v>92</v>
      </c>
    </row>
    <row r="1998" spans="2:33">
      <c r="B1998" s="14">
        <f>10000000+INDEX(编号表!$B:$B,MATCH(H1998,编号表!$A:$A,0))*100000+INDEX(编号表!$F:$F,MATCH(D1998,编号表!$E:$E,0))*10000+INDEX(编号表!$D:$D,MATCH(AG1998,编号表!$C:$C,0))*1000+F1998</f>
        <v>11924004</v>
      </c>
      <c r="C1998" s="14" t="s">
        <v>3170</v>
      </c>
      <c r="D1998" s="14" t="s">
        <v>112</v>
      </c>
      <c r="E1998" s="14" t="s">
        <v>92</v>
      </c>
      <c r="F1998" s="14">
        <v>4</v>
      </c>
      <c r="G1998" s="14">
        <v>60</v>
      </c>
      <c r="H1998" s="14" t="s">
        <v>1400</v>
      </c>
      <c r="I1998" s="14" t="s">
        <v>75</v>
      </c>
      <c r="J1998" s="14" t="s">
        <v>201</v>
      </c>
      <c r="K1998" s="14">
        <v>1</v>
      </c>
      <c r="L1998" s="14" t="s">
        <v>1400</v>
      </c>
      <c r="N1998" s="14">
        <v>0</v>
      </c>
      <c r="O1998" s="14" t="b">
        <v>1</v>
      </c>
      <c r="Q1998" s="14" t="b">
        <v>0</v>
      </c>
      <c r="R1998" s="14">
        <v>1</v>
      </c>
      <c r="S1998" s="14" t="s">
        <v>77</v>
      </c>
      <c r="T1998" s="14">
        <v>999</v>
      </c>
      <c r="U1998" s="14" t="s">
        <v>1401</v>
      </c>
      <c r="V1998" s="14">
        <v>31924004</v>
      </c>
      <c r="X1998" s="14" t="s">
        <v>3173</v>
      </c>
      <c r="Y1998" s="14" t="s">
        <v>215</v>
      </c>
      <c r="Z1998" s="14">
        <v>20761</v>
      </c>
      <c r="AA1998" s="14" t="s">
        <v>3174</v>
      </c>
      <c r="AB1998" s="14">
        <v>40001</v>
      </c>
      <c r="AE1998" s="14" t="s">
        <v>1400</v>
      </c>
      <c r="AF1998" s="14" t="s">
        <v>1400</v>
      </c>
      <c r="AG1998" s="14" t="s">
        <v>92</v>
      </c>
    </row>
    <row r="1999" spans="2:33">
      <c r="B1999" s="14">
        <f>10000000+INDEX(编号表!$B:$B,MATCH(H1999,编号表!$A:$A,0))*100000+INDEX(编号表!$F:$F,MATCH(D1999,编号表!$E:$E,0))*10000+INDEX(编号表!$D:$D,MATCH(AG1999,编号表!$C:$C,0))*1000+F1999</f>
        <v>11934005</v>
      </c>
      <c r="C1999" s="14" t="s">
        <v>3170</v>
      </c>
      <c r="D1999" s="14" t="s">
        <v>276</v>
      </c>
      <c r="E1999" s="14" t="s">
        <v>92</v>
      </c>
      <c r="F1999" s="14">
        <v>5</v>
      </c>
      <c r="G1999" s="14">
        <v>60</v>
      </c>
      <c r="H1999" s="14" t="s">
        <v>1400</v>
      </c>
      <c r="I1999" s="14" t="s">
        <v>75</v>
      </c>
      <c r="J1999" s="14" t="s">
        <v>201</v>
      </c>
      <c r="K1999" s="14">
        <v>1</v>
      </c>
      <c r="L1999" s="14" t="s">
        <v>1400</v>
      </c>
      <c r="N1999" s="14">
        <v>0</v>
      </c>
      <c r="O1999" s="14" t="b">
        <v>1</v>
      </c>
      <c r="Q1999" s="14" t="b">
        <v>0</v>
      </c>
      <c r="R1999" s="14">
        <v>1</v>
      </c>
      <c r="S1999" s="14" t="s">
        <v>77</v>
      </c>
      <c r="T1999" s="14">
        <v>999</v>
      </c>
      <c r="U1999" s="14" t="s">
        <v>1401</v>
      </c>
      <c r="V1999" s="14">
        <v>31934005</v>
      </c>
      <c r="X1999" s="14" t="s">
        <v>3175</v>
      </c>
      <c r="Y1999" s="14" t="s">
        <v>215</v>
      </c>
      <c r="Z1999" s="14">
        <v>20762</v>
      </c>
      <c r="AA1999" s="14" t="s">
        <v>3176</v>
      </c>
      <c r="AB1999" s="14">
        <v>40001</v>
      </c>
      <c r="AE1999" s="14" t="s">
        <v>1400</v>
      </c>
      <c r="AF1999" s="14" t="s">
        <v>1400</v>
      </c>
      <c r="AG1999" s="14" t="s">
        <v>92</v>
      </c>
    </row>
    <row r="2000" spans="2:33">
      <c r="B2000" s="14">
        <f>10000000+INDEX(编号表!$B:$B,MATCH(H2000,编号表!$A:$A,0))*100000+INDEX(编号表!$F:$F,MATCH(D2000,编号表!$E:$E,0))*10000+INDEX(编号表!$D:$D,MATCH(AG2000,编号表!$C:$C,0))*1000+F2000</f>
        <v>11914004</v>
      </c>
      <c r="C2000" s="14" t="s">
        <v>3177</v>
      </c>
      <c r="D2000" s="14" t="s">
        <v>72</v>
      </c>
      <c r="E2000" s="14" t="s">
        <v>92</v>
      </c>
      <c r="F2000" s="14">
        <v>4</v>
      </c>
      <c r="G2000" s="14">
        <v>60</v>
      </c>
      <c r="H2000" s="14" t="s">
        <v>1400</v>
      </c>
      <c r="I2000" s="14" t="s">
        <v>75</v>
      </c>
      <c r="J2000" s="14" t="s">
        <v>201</v>
      </c>
      <c r="K2000" s="14">
        <v>1</v>
      </c>
      <c r="L2000" s="14" t="s">
        <v>1400</v>
      </c>
      <c r="N2000" s="14">
        <v>0</v>
      </c>
      <c r="O2000" s="14" t="b">
        <v>1</v>
      </c>
      <c r="Q2000" s="14" t="b">
        <v>0</v>
      </c>
      <c r="R2000" s="14">
        <v>1</v>
      </c>
      <c r="S2000" s="14" t="s">
        <v>77</v>
      </c>
      <c r="T2000" s="14">
        <v>999</v>
      </c>
      <c r="U2000" s="14" t="s">
        <v>1401</v>
      </c>
      <c r="V2000" s="14">
        <v>31914004</v>
      </c>
      <c r="X2000" s="14" t="s">
        <v>3178</v>
      </c>
      <c r="Y2000" s="14" t="s">
        <v>215</v>
      </c>
      <c r="Z2000" s="14">
        <v>20763</v>
      </c>
      <c r="AA2000" s="14" t="s">
        <v>3179</v>
      </c>
      <c r="AB2000" s="14">
        <v>40001</v>
      </c>
      <c r="AE2000" s="14" t="s">
        <v>1400</v>
      </c>
      <c r="AF2000" s="14" t="s">
        <v>1400</v>
      </c>
      <c r="AG2000" s="14" t="s">
        <v>92</v>
      </c>
    </row>
    <row r="2001" spans="2:33">
      <c r="B2001" s="14">
        <f>10000000+INDEX(编号表!$B:$B,MATCH(H2001,编号表!$A:$A,0))*100000+INDEX(编号表!$F:$F,MATCH(D2001,编号表!$E:$E,0))*10000+INDEX(编号表!$D:$D,MATCH(AG2001,编号表!$C:$C,0))*1000+F2001</f>
        <v>11924005</v>
      </c>
      <c r="C2001" s="14" t="s">
        <v>3177</v>
      </c>
      <c r="D2001" s="14" t="s">
        <v>112</v>
      </c>
      <c r="E2001" s="14" t="s">
        <v>92</v>
      </c>
      <c r="F2001" s="14">
        <v>5</v>
      </c>
      <c r="G2001" s="14">
        <v>60</v>
      </c>
      <c r="H2001" s="14" t="s">
        <v>1400</v>
      </c>
      <c r="I2001" s="14" t="s">
        <v>75</v>
      </c>
      <c r="J2001" s="14" t="s">
        <v>201</v>
      </c>
      <c r="K2001" s="14">
        <v>1</v>
      </c>
      <c r="L2001" s="14" t="s">
        <v>1400</v>
      </c>
      <c r="N2001" s="14">
        <v>0</v>
      </c>
      <c r="O2001" s="14" t="b">
        <v>1</v>
      </c>
      <c r="Q2001" s="14" t="b">
        <v>0</v>
      </c>
      <c r="R2001" s="14">
        <v>1</v>
      </c>
      <c r="S2001" s="14" t="s">
        <v>77</v>
      </c>
      <c r="T2001" s="14">
        <v>999</v>
      </c>
      <c r="U2001" s="14" t="s">
        <v>1401</v>
      </c>
      <c r="V2001" s="14">
        <v>31924005</v>
      </c>
      <c r="X2001" s="14" t="s">
        <v>3180</v>
      </c>
      <c r="Y2001" s="14" t="s">
        <v>215</v>
      </c>
      <c r="Z2001" s="14">
        <v>20764</v>
      </c>
      <c r="AA2001" s="14" t="s">
        <v>3181</v>
      </c>
      <c r="AB2001" s="14">
        <v>40001</v>
      </c>
      <c r="AE2001" s="14" t="s">
        <v>1400</v>
      </c>
      <c r="AF2001" s="14" t="s">
        <v>1400</v>
      </c>
      <c r="AG2001" s="14" t="s">
        <v>92</v>
      </c>
    </row>
    <row r="2002" spans="2:33">
      <c r="B2002" s="14">
        <f>10000000+INDEX(编号表!$B:$B,MATCH(H2002,编号表!$A:$A,0))*100000+INDEX(编号表!$F:$F,MATCH(D2002,编号表!$E:$E,0))*10000+INDEX(编号表!$D:$D,MATCH(AG2002,编号表!$C:$C,0))*1000+F2002</f>
        <v>11934006</v>
      </c>
      <c r="C2002" s="14" t="s">
        <v>3177</v>
      </c>
      <c r="D2002" s="14" t="s">
        <v>276</v>
      </c>
      <c r="E2002" s="14" t="s">
        <v>92</v>
      </c>
      <c r="F2002" s="14">
        <v>6</v>
      </c>
      <c r="G2002" s="14">
        <v>60</v>
      </c>
      <c r="H2002" s="14" t="s">
        <v>1400</v>
      </c>
      <c r="I2002" s="14" t="s">
        <v>75</v>
      </c>
      <c r="J2002" s="14" t="s">
        <v>201</v>
      </c>
      <c r="K2002" s="14">
        <v>1</v>
      </c>
      <c r="L2002" s="14" t="s">
        <v>1400</v>
      </c>
      <c r="N2002" s="14">
        <v>0</v>
      </c>
      <c r="O2002" s="14" t="b">
        <v>1</v>
      </c>
      <c r="Q2002" s="14" t="b">
        <v>0</v>
      </c>
      <c r="R2002" s="14">
        <v>1</v>
      </c>
      <c r="S2002" s="14" t="s">
        <v>77</v>
      </c>
      <c r="T2002" s="14">
        <v>999</v>
      </c>
      <c r="U2002" s="14" t="s">
        <v>1401</v>
      </c>
      <c r="V2002" s="14">
        <v>31934006</v>
      </c>
      <c r="X2002" s="14" t="s">
        <v>3182</v>
      </c>
      <c r="Y2002" s="14" t="s">
        <v>215</v>
      </c>
      <c r="Z2002" s="14">
        <v>20765</v>
      </c>
      <c r="AA2002" s="14" t="s">
        <v>3183</v>
      </c>
      <c r="AB2002" s="14">
        <v>40001</v>
      </c>
      <c r="AE2002" s="14" t="s">
        <v>1400</v>
      </c>
      <c r="AF2002" s="14" t="s">
        <v>1400</v>
      </c>
      <c r="AG2002" s="14" t="s">
        <v>92</v>
      </c>
    </row>
    <row r="2003" spans="2:33">
      <c r="B2003" s="14">
        <f>10000000+INDEX(编号表!$B:$B,MATCH(H2003,编号表!$A:$A,0))*100000+INDEX(编号表!$F:$F,MATCH(D2003,编号表!$E:$E,0))*10000+INDEX(编号表!$D:$D,MATCH(AG2003,编号表!$C:$C,0))*1000+F2003</f>
        <v>11914005</v>
      </c>
      <c r="C2003" s="14" t="s">
        <v>3184</v>
      </c>
      <c r="D2003" s="14" t="s">
        <v>72</v>
      </c>
      <c r="E2003" s="14" t="s">
        <v>92</v>
      </c>
      <c r="F2003" s="14">
        <v>5</v>
      </c>
      <c r="G2003" s="14">
        <v>60</v>
      </c>
      <c r="H2003" s="14" t="s">
        <v>1400</v>
      </c>
      <c r="I2003" s="14" t="s">
        <v>75</v>
      </c>
      <c r="J2003" s="14" t="s">
        <v>201</v>
      </c>
      <c r="K2003" s="14">
        <v>1</v>
      </c>
      <c r="L2003" s="14" t="s">
        <v>1400</v>
      </c>
      <c r="N2003" s="14">
        <v>0</v>
      </c>
      <c r="O2003" s="14" t="b">
        <v>1</v>
      </c>
      <c r="Q2003" s="14" t="b">
        <v>0</v>
      </c>
      <c r="R2003" s="14">
        <v>1</v>
      </c>
      <c r="S2003" s="14" t="s">
        <v>77</v>
      </c>
      <c r="T2003" s="14">
        <v>999</v>
      </c>
      <c r="U2003" s="14" t="s">
        <v>1401</v>
      </c>
      <c r="V2003" s="14">
        <v>31914005</v>
      </c>
      <c r="X2003" s="14" t="s">
        <v>3185</v>
      </c>
      <c r="Y2003" s="14" t="s">
        <v>215</v>
      </c>
      <c r="Z2003" s="14">
        <v>20766</v>
      </c>
      <c r="AA2003" s="14" t="s">
        <v>3186</v>
      </c>
      <c r="AB2003" s="14">
        <v>40001</v>
      </c>
      <c r="AE2003" s="14" t="s">
        <v>1400</v>
      </c>
      <c r="AF2003" s="14" t="s">
        <v>1400</v>
      </c>
      <c r="AG2003" s="14" t="s">
        <v>92</v>
      </c>
    </row>
    <row r="2004" spans="2:33">
      <c r="B2004" s="14">
        <f>10000000+INDEX(编号表!$B:$B,MATCH(H2004,编号表!$A:$A,0))*100000+INDEX(编号表!$F:$F,MATCH(D2004,编号表!$E:$E,0))*10000+INDEX(编号表!$D:$D,MATCH(AG2004,编号表!$C:$C,0))*1000+F2004</f>
        <v>11924006</v>
      </c>
      <c r="C2004" s="14" t="s">
        <v>3184</v>
      </c>
      <c r="D2004" s="14" t="s">
        <v>112</v>
      </c>
      <c r="E2004" s="14" t="s">
        <v>92</v>
      </c>
      <c r="F2004" s="14">
        <v>6</v>
      </c>
      <c r="G2004" s="14">
        <v>60</v>
      </c>
      <c r="H2004" s="14" t="s">
        <v>1400</v>
      </c>
      <c r="I2004" s="14" t="s">
        <v>75</v>
      </c>
      <c r="J2004" s="14" t="s">
        <v>201</v>
      </c>
      <c r="K2004" s="14">
        <v>1</v>
      </c>
      <c r="L2004" s="14" t="s">
        <v>1400</v>
      </c>
      <c r="N2004" s="14">
        <v>0</v>
      </c>
      <c r="O2004" s="14" t="b">
        <v>1</v>
      </c>
      <c r="Q2004" s="14" t="b">
        <v>0</v>
      </c>
      <c r="R2004" s="14">
        <v>1</v>
      </c>
      <c r="S2004" s="14" t="s">
        <v>77</v>
      </c>
      <c r="T2004" s="14">
        <v>999</v>
      </c>
      <c r="U2004" s="14" t="s">
        <v>1401</v>
      </c>
      <c r="V2004" s="14">
        <v>31924006</v>
      </c>
      <c r="X2004" s="14" t="s">
        <v>3187</v>
      </c>
      <c r="Y2004" s="14" t="s">
        <v>215</v>
      </c>
      <c r="Z2004" s="14">
        <v>20767</v>
      </c>
      <c r="AA2004" s="14" t="s">
        <v>3188</v>
      </c>
      <c r="AB2004" s="14">
        <v>40001</v>
      </c>
      <c r="AE2004" s="14" t="s">
        <v>1400</v>
      </c>
      <c r="AF2004" s="14" t="s">
        <v>1400</v>
      </c>
      <c r="AG2004" s="14" t="s">
        <v>92</v>
      </c>
    </row>
    <row r="2005" spans="2:33">
      <c r="B2005" s="14">
        <f>10000000+INDEX(编号表!$B:$B,MATCH(H2005,编号表!$A:$A,0))*100000+INDEX(编号表!$F:$F,MATCH(D2005,编号表!$E:$E,0))*10000+INDEX(编号表!$D:$D,MATCH(AG2005,编号表!$C:$C,0))*1000+F2005</f>
        <v>11934007</v>
      </c>
      <c r="C2005" s="14" t="s">
        <v>3184</v>
      </c>
      <c r="D2005" s="14" t="s">
        <v>276</v>
      </c>
      <c r="E2005" s="14" t="s">
        <v>92</v>
      </c>
      <c r="F2005" s="14">
        <v>7</v>
      </c>
      <c r="G2005" s="14">
        <v>60</v>
      </c>
      <c r="H2005" s="14" t="s">
        <v>1400</v>
      </c>
      <c r="I2005" s="14" t="s">
        <v>75</v>
      </c>
      <c r="J2005" s="14" t="s">
        <v>201</v>
      </c>
      <c r="K2005" s="14">
        <v>1</v>
      </c>
      <c r="L2005" s="14" t="s">
        <v>1400</v>
      </c>
      <c r="N2005" s="14">
        <v>0</v>
      </c>
      <c r="O2005" s="14" t="b">
        <v>1</v>
      </c>
      <c r="Q2005" s="14" t="b">
        <v>0</v>
      </c>
      <c r="R2005" s="14">
        <v>1</v>
      </c>
      <c r="S2005" s="14" t="s">
        <v>77</v>
      </c>
      <c r="T2005" s="14">
        <v>999</v>
      </c>
      <c r="U2005" s="14" t="s">
        <v>1401</v>
      </c>
      <c r="V2005" s="14">
        <v>31934007</v>
      </c>
      <c r="X2005" s="14" t="s">
        <v>3189</v>
      </c>
      <c r="Y2005" s="14" t="s">
        <v>215</v>
      </c>
      <c r="Z2005" s="14">
        <v>20768</v>
      </c>
      <c r="AA2005" s="14" t="s">
        <v>3190</v>
      </c>
      <c r="AB2005" s="14">
        <v>40001</v>
      </c>
      <c r="AE2005" s="14" t="s">
        <v>1400</v>
      </c>
      <c r="AF2005" s="14" t="s">
        <v>1400</v>
      </c>
      <c r="AG2005" s="14" t="s">
        <v>92</v>
      </c>
    </row>
    <row r="2006" spans="2:33">
      <c r="B2006" s="14">
        <f>10000000+INDEX(编号表!$B:$B,MATCH(H2006,编号表!$A:$A,0))*100000+INDEX(编号表!$F:$F,MATCH(D2006,编号表!$E:$E,0))*10000+INDEX(编号表!$D:$D,MATCH(AG2006,编号表!$C:$C,0))*1000+F2006</f>
        <v>11914006</v>
      </c>
      <c r="C2006" s="14" t="s">
        <v>3191</v>
      </c>
      <c r="D2006" s="14" t="s">
        <v>72</v>
      </c>
      <c r="E2006" s="14" t="s">
        <v>92</v>
      </c>
      <c r="F2006" s="14">
        <v>6</v>
      </c>
      <c r="G2006" s="14">
        <v>60</v>
      </c>
      <c r="H2006" s="14" t="s">
        <v>1400</v>
      </c>
      <c r="I2006" s="14" t="s">
        <v>75</v>
      </c>
      <c r="J2006" s="14" t="s">
        <v>201</v>
      </c>
      <c r="K2006" s="14">
        <v>1</v>
      </c>
      <c r="L2006" s="14" t="s">
        <v>1400</v>
      </c>
      <c r="N2006" s="14">
        <v>0</v>
      </c>
      <c r="O2006" s="14" t="b">
        <v>1</v>
      </c>
      <c r="Q2006" s="14" t="b">
        <v>0</v>
      </c>
      <c r="R2006" s="14">
        <v>1</v>
      </c>
      <c r="S2006" s="14" t="s">
        <v>77</v>
      </c>
      <c r="T2006" s="14">
        <v>999</v>
      </c>
      <c r="U2006" s="14" t="s">
        <v>1401</v>
      </c>
      <c r="V2006" s="14">
        <v>31914006</v>
      </c>
      <c r="X2006" s="14" t="s">
        <v>3192</v>
      </c>
      <c r="Y2006" s="14" t="s">
        <v>215</v>
      </c>
      <c r="Z2006" s="14">
        <v>20769</v>
      </c>
      <c r="AA2006" s="14" t="s">
        <v>3193</v>
      </c>
      <c r="AB2006" s="14">
        <v>40001</v>
      </c>
      <c r="AE2006" s="14" t="s">
        <v>1400</v>
      </c>
      <c r="AF2006" s="14" t="s">
        <v>1400</v>
      </c>
      <c r="AG2006" s="14" t="s">
        <v>92</v>
      </c>
    </row>
    <row r="2007" spans="2:33">
      <c r="B2007" s="14">
        <f>10000000+INDEX(编号表!$B:$B,MATCH(H2007,编号表!$A:$A,0))*100000+INDEX(编号表!$F:$F,MATCH(D2007,编号表!$E:$E,0))*10000+INDEX(编号表!$D:$D,MATCH(AG2007,编号表!$C:$C,0))*1000+F2007</f>
        <v>11924007</v>
      </c>
      <c r="C2007" s="14" t="s">
        <v>3191</v>
      </c>
      <c r="D2007" s="14" t="s">
        <v>112</v>
      </c>
      <c r="E2007" s="14" t="s">
        <v>92</v>
      </c>
      <c r="F2007" s="14">
        <v>7</v>
      </c>
      <c r="G2007" s="14">
        <v>60</v>
      </c>
      <c r="H2007" s="14" t="s">
        <v>1400</v>
      </c>
      <c r="I2007" s="14" t="s">
        <v>75</v>
      </c>
      <c r="J2007" s="14" t="s">
        <v>201</v>
      </c>
      <c r="K2007" s="14">
        <v>1</v>
      </c>
      <c r="L2007" s="14" t="s">
        <v>1400</v>
      </c>
      <c r="N2007" s="14">
        <v>0</v>
      </c>
      <c r="O2007" s="14" t="b">
        <v>1</v>
      </c>
      <c r="Q2007" s="14" t="b">
        <v>0</v>
      </c>
      <c r="R2007" s="14">
        <v>1</v>
      </c>
      <c r="S2007" s="14" t="s">
        <v>77</v>
      </c>
      <c r="T2007" s="14">
        <v>999</v>
      </c>
      <c r="U2007" s="14" t="s">
        <v>1401</v>
      </c>
      <c r="V2007" s="14">
        <v>31924007</v>
      </c>
      <c r="X2007" s="14" t="s">
        <v>3194</v>
      </c>
      <c r="Y2007" s="14" t="s">
        <v>215</v>
      </c>
      <c r="Z2007" s="14">
        <v>20770</v>
      </c>
      <c r="AA2007" s="14" t="s">
        <v>3195</v>
      </c>
      <c r="AB2007" s="14">
        <v>40001</v>
      </c>
      <c r="AE2007" s="14" t="s">
        <v>1400</v>
      </c>
      <c r="AF2007" s="14" t="s">
        <v>1400</v>
      </c>
      <c r="AG2007" s="14" t="s">
        <v>92</v>
      </c>
    </row>
    <row r="2008" spans="2:33">
      <c r="B2008" s="14">
        <f>10000000+INDEX(编号表!$B:$B,MATCH(H2008,编号表!$A:$A,0))*100000+INDEX(编号表!$F:$F,MATCH(D2008,编号表!$E:$E,0))*10000+INDEX(编号表!$D:$D,MATCH(AG2008,编号表!$C:$C,0))*1000+F2008</f>
        <v>11934008</v>
      </c>
      <c r="C2008" s="14" t="s">
        <v>3191</v>
      </c>
      <c r="D2008" s="14" t="s">
        <v>276</v>
      </c>
      <c r="E2008" s="14" t="s">
        <v>92</v>
      </c>
      <c r="F2008" s="14">
        <v>8</v>
      </c>
      <c r="G2008" s="14">
        <v>60</v>
      </c>
      <c r="H2008" s="14" t="s">
        <v>1400</v>
      </c>
      <c r="I2008" s="14" t="s">
        <v>75</v>
      </c>
      <c r="J2008" s="14" t="s">
        <v>201</v>
      </c>
      <c r="K2008" s="14">
        <v>1</v>
      </c>
      <c r="L2008" s="14" t="s">
        <v>1400</v>
      </c>
      <c r="N2008" s="14">
        <v>0</v>
      </c>
      <c r="O2008" s="14" t="b">
        <v>1</v>
      </c>
      <c r="Q2008" s="14" t="b">
        <v>0</v>
      </c>
      <c r="R2008" s="14">
        <v>1</v>
      </c>
      <c r="S2008" s="14" t="s">
        <v>77</v>
      </c>
      <c r="T2008" s="14">
        <v>999</v>
      </c>
      <c r="U2008" s="14" t="s">
        <v>1401</v>
      </c>
      <c r="V2008" s="14">
        <v>31934008</v>
      </c>
      <c r="X2008" s="14" t="s">
        <v>3196</v>
      </c>
      <c r="Y2008" s="14" t="s">
        <v>215</v>
      </c>
      <c r="Z2008" s="14">
        <v>20771</v>
      </c>
      <c r="AA2008" s="14" t="s">
        <v>3197</v>
      </c>
      <c r="AB2008" s="14">
        <v>40001</v>
      </c>
      <c r="AE2008" s="14" t="s">
        <v>1400</v>
      </c>
      <c r="AF2008" s="14" t="s">
        <v>1400</v>
      </c>
      <c r="AG2008" s="14" t="s">
        <v>92</v>
      </c>
    </row>
    <row r="2009" spans="2:33">
      <c r="B2009" s="14">
        <f>10000000+INDEX(编号表!$B:$B,MATCH(H2009,编号表!$A:$A,0))*100000+INDEX(编号表!$F:$F,MATCH(D2009,编号表!$E:$E,0))*10000+INDEX(编号表!$D:$D,MATCH(AG2009,编号表!$C:$C,0))*1000+F2009</f>
        <v>11914007</v>
      </c>
      <c r="C2009" s="14" t="s">
        <v>3198</v>
      </c>
      <c r="D2009" s="14" t="s">
        <v>72</v>
      </c>
      <c r="E2009" s="14" t="s">
        <v>92</v>
      </c>
      <c r="F2009" s="14">
        <v>7</v>
      </c>
      <c r="G2009" s="14">
        <v>60</v>
      </c>
      <c r="H2009" s="14" t="s">
        <v>1400</v>
      </c>
      <c r="I2009" s="14" t="s">
        <v>75</v>
      </c>
      <c r="J2009" s="14" t="s">
        <v>201</v>
      </c>
      <c r="K2009" s="14">
        <v>1</v>
      </c>
      <c r="L2009" s="14" t="s">
        <v>1400</v>
      </c>
      <c r="N2009" s="14">
        <v>0</v>
      </c>
      <c r="O2009" s="14" t="b">
        <v>1</v>
      </c>
      <c r="Q2009" s="14" t="b">
        <v>0</v>
      </c>
      <c r="R2009" s="14">
        <v>1</v>
      </c>
      <c r="S2009" s="14" t="s">
        <v>77</v>
      </c>
      <c r="T2009" s="14">
        <v>999</v>
      </c>
      <c r="U2009" s="14" t="s">
        <v>1401</v>
      </c>
      <c r="V2009" s="14">
        <v>31914007</v>
      </c>
      <c r="X2009" s="14" t="s">
        <v>3199</v>
      </c>
      <c r="Y2009" s="14" t="s">
        <v>215</v>
      </c>
      <c r="Z2009" s="14">
        <v>20772</v>
      </c>
      <c r="AA2009" s="14" t="s">
        <v>3200</v>
      </c>
      <c r="AB2009" s="14">
        <v>40001</v>
      </c>
      <c r="AE2009" s="14" t="s">
        <v>1400</v>
      </c>
      <c r="AF2009" s="14" t="s">
        <v>1400</v>
      </c>
      <c r="AG2009" s="14" t="s">
        <v>92</v>
      </c>
    </row>
    <row r="2010" spans="2:33">
      <c r="B2010" s="14">
        <f>10000000+INDEX(编号表!$B:$B,MATCH(H2010,编号表!$A:$A,0))*100000+INDEX(编号表!$F:$F,MATCH(D2010,编号表!$E:$E,0))*10000+INDEX(编号表!$D:$D,MATCH(AG2010,编号表!$C:$C,0))*1000+F2010</f>
        <v>11924008</v>
      </c>
      <c r="C2010" s="14" t="s">
        <v>3198</v>
      </c>
      <c r="D2010" s="14" t="s">
        <v>112</v>
      </c>
      <c r="E2010" s="14" t="s">
        <v>92</v>
      </c>
      <c r="F2010" s="14">
        <v>8</v>
      </c>
      <c r="G2010" s="14">
        <v>60</v>
      </c>
      <c r="H2010" s="14" t="s">
        <v>1400</v>
      </c>
      <c r="I2010" s="14" t="s">
        <v>75</v>
      </c>
      <c r="J2010" s="14" t="s">
        <v>201</v>
      </c>
      <c r="K2010" s="14">
        <v>1</v>
      </c>
      <c r="L2010" s="14" t="s">
        <v>1400</v>
      </c>
      <c r="N2010" s="14">
        <v>0</v>
      </c>
      <c r="O2010" s="14" t="b">
        <v>1</v>
      </c>
      <c r="Q2010" s="14" t="b">
        <v>0</v>
      </c>
      <c r="R2010" s="14">
        <v>1</v>
      </c>
      <c r="S2010" s="14" t="s">
        <v>77</v>
      </c>
      <c r="T2010" s="14">
        <v>999</v>
      </c>
      <c r="U2010" s="14" t="s">
        <v>1401</v>
      </c>
      <c r="V2010" s="14">
        <v>31924008</v>
      </c>
      <c r="X2010" s="14" t="s">
        <v>3201</v>
      </c>
      <c r="Y2010" s="14" t="s">
        <v>215</v>
      </c>
      <c r="Z2010" s="14">
        <v>20773</v>
      </c>
      <c r="AA2010" s="14" t="s">
        <v>3202</v>
      </c>
      <c r="AB2010" s="14">
        <v>40001</v>
      </c>
      <c r="AE2010" s="14" t="s">
        <v>1400</v>
      </c>
      <c r="AF2010" s="14" t="s">
        <v>1400</v>
      </c>
      <c r="AG2010" s="14" t="s">
        <v>92</v>
      </c>
    </row>
    <row r="2011" spans="2:33">
      <c r="B2011" s="14">
        <f>10000000+INDEX(编号表!$B:$B,MATCH(H2011,编号表!$A:$A,0))*100000+INDEX(编号表!$F:$F,MATCH(D2011,编号表!$E:$E,0))*10000+INDEX(编号表!$D:$D,MATCH(AG2011,编号表!$C:$C,0))*1000+F2011</f>
        <v>11934009</v>
      </c>
      <c r="C2011" s="14" t="s">
        <v>3198</v>
      </c>
      <c r="D2011" s="14" t="s">
        <v>276</v>
      </c>
      <c r="E2011" s="14" t="s">
        <v>92</v>
      </c>
      <c r="F2011" s="14">
        <v>9</v>
      </c>
      <c r="G2011" s="14">
        <v>60</v>
      </c>
      <c r="H2011" s="14" t="s">
        <v>1400</v>
      </c>
      <c r="I2011" s="14" t="s">
        <v>75</v>
      </c>
      <c r="J2011" s="14" t="s">
        <v>201</v>
      </c>
      <c r="K2011" s="14">
        <v>1</v>
      </c>
      <c r="L2011" s="14" t="s">
        <v>1400</v>
      </c>
      <c r="N2011" s="14">
        <v>0</v>
      </c>
      <c r="O2011" s="14" t="b">
        <v>1</v>
      </c>
      <c r="Q2011" s="14" t="b">
        <v>0</v>
      </c>
      <c r="R2011" s="14">
        <v>1</v>
      </c>
      <c r="S2011" s="14" t="s">
        <v>77</v>
      </c>
      <c r="T2011" s="14">
        <v>999</v>
      </c>
      <c r="U2011" s="14" t="s">
        <v>1401</v>
      </c>
      <c r="V2011" s="14">
        <v>31934009</v>
      </c>
      <c r="X2011" s="14" t="s">
        <v>3203</v>
      </c>
      <c r="Y2011" s="14" t="s">
        <v>215</v>
      </c>
      <c r="Z2011" s="14">
        <v>20774</v>
      </c>
      <c r="AA2011" s="14" t="s">
        <v>3204</v>
      </c>
      <c r="AB2011" s="14">
        <v>40001</v>
      </c>
      <c r="AE2011" s="14" t="s">
        <v>1400</v>
      </c>
      <c r="AF2011" s="14" t="s">
        <v>1400</v>
      </c>
      <c r="AG2011" s="14" t="s">
        <v>92</v>
      </c>
    </row>
    <row r="2012" spans="2:33">
      <c r="B2012" s="14">
        <f>10000000+INDEX(编号表!$B:$B,MATCH(H2012,编号表!$A:$A,0))*100000+INDEX(编号表!$F:$F,MATCH(D2012,编号表!$E:$E,0))*10000+INDEX(编号表!$D:$D,MATCH(AG2012,编号表!$C:$C,0))*1000+F2012</f>
        <v>11914008</v>
      </c>
      <c r="C2012" s="14" t="s">
        <v>3205</v>
      </c>
      <c r="D2012" s="14" t="s">
        <v>72</v>
      </c>
      <c r="E2012" s="14" t="s">
        <v>92</v>
      </c>
      <c r="F2012" s="14">
        <v>8</v>
      </c>
      <c r="G2012" s="14">
        <v>60</v>
      </c>
      <c r="H2012" s="14" t="s">
        <v>1400</v>
      </c>
      <c r="I2012" s="14" t="s">
        <v>75</v>
      </c>
      <c r="J2012" s="14" t="s">
        <v>201</v>
      </c>
      <c r="K2012" s="14">
        <v>1</v>
      </c>
      <c r="L2012" s="14" t="s">
        <v>1400</v>
      </c>
      <c r="N2012" s="14">
        <v>0</v>
      </c>
      <c r="O2012" s="14" t="b">
        <v>1</v>
      </c>
      <c r="Q2012" s="14" t="b">
        <v>0</v>
      </c>
      <c r="R2012" s="14">
        <v>1</v>
      </c>
      <c r="S2012" s="14" t="s">
        <v>77</v>
      </c>
      <c r="T2012" s="14">
        <v>999</v>
      </c>
      <c r="U2012" s="14" t="s">
        <v>1401</v>
      </c>
      <c r="V2012" s="14">
        <v>31914008</v>
      </c>
      <c r="X2012" s="14" t="s">
        <v>3206</v>
      </c>
      <c r="Y2012" s="14" t="s">
        <v>215</v>
      </c>
      <c r="Z2012" s="14">
        <v>20775</v>
      </c>
      <c r="AA2012" s="14" t="s">
        <v>3207</v>
      </c>
      <c r="AB2012" s="14">
        <v>40001</v>
      </c>
      <c r="AE2012" s="14" t="s">
        <v>1400</v>
      </c>
      <c r="AF2012" s="14" t="s">
        <v>1400</v>
      </c>
      <c r="AG2012" s="14" t="s">
        <v>92</v>
      </c>
    </row>
    <row r="2013" spans="2:33">
      <c r="B2013" s="14">
        <f>10000000+INDEX(编号表!$B:$B,MATCH(H2013,编号表!$A:$A,0))*100000+INDEX(编号表!$F:$F,MATCH(D2013,编号表!$E:$E,0))*10000+INDEX(编号表!$D:$D,MATCH(AG2013,编号表!$C:$C,0))*1000+F2013</f>
        <v>11924009</v>
      </c>
      <c r="C2013" s="14" t="s">
        <v>3205</v>
      </c>
      <c r="D2013" s="14" t="s">
        <v>112</v>
      </c>
      <c r="E2013" s="14" t="s">
        <v>92</v>
      </c>
      <c r="F2013" s="14">
        <v>9</v>
      </c>
      <c r="G2013" s="14">
        <v>60</v>
      </c>
      <c r="H2013" s="14" t="s">
        <v>1400</v>
      </c>
      <c r="I2013" s="14" t="s">
        <v>75</v>
      </c>
      <c r="J2013" s="14" t="s">
        <v>201</v>
      </c>
      <c r="K2013" s="14">
        <v>1</v>
      </c>
      <c r="L2013" s="14" t="s">
        <v>1400</v>
      </c>
      <c r="N2013" s="14">
        <v>0</v>
      </c>
      <c r="O2013" s="14" t="b">
        <v>1</v>
      </c>
      <c r="Q2013" s="14" t="b">
        <v>0</v>
      </c>
      <c r="R2013" s="14">
        <v>1</v>
      </c>
      <c r="S2013" s="14" t="s">
        <v>77</v>
      </c>
      <c r="T2013" s="14">
        <v>999</v>
      </c>
      <c r="U2013" s="14" t="s">
        <v>1401</v>
      </c>
      <c r="V2013" s="14">
        <v>31924009</v>
      </c>
      <c r="X2013" s="14" t="s">
        <v>3208</v>
      </c>
      <c r="Y2013" s="14" t="s">
        <v>215</v>
      </c>
      <c r="Z2013" s="14">
        <v>20776</v>
      </c>
      <c r="AA2013" s="14" t="s">
        <v>3209</v>
      </c>
      <c r="AB2013" s="14">
        <v>40001</v>
      </c>
      <c r="AE2013" s="14" t="s">
        <v>1400</v>
      </c>
      <c r="AF2013" s="14" t="s">
        <v>1400</v>
      </c>
      <c r="AG2013" s="14" t="s">
        <v>92</v>
      </c>
    </row>
    <row r="2014" spans="2:33">
      <c r="B2014" s="14">
        <f>10000000+INDEX(编号表!$B:$B,MATCH(H2014,编号表!$A:$A,0))*100000+INDEX(编号表!$F:$F,MATCH(D2014,编号表!$E:$E,0))*10000+INDEX(编号表!$D:$D,MATCH(AG2014,编号表!$C:$C,0))*1000+F2014</f>
        <v>11934010</v>
      </c>
      <c r="C2014" s="14" t="s">
        <v>3205</v>
      </c>
      <c r="D2014" s="14" t="s">
        <v>276</v>
      </c>
      <c r="E2014" s="14" t="s">
        <v>92</v>
      </c>
      <c r="F2014" s="14">
        <v>10</v>
      </c>
      <c r="G2014" s="14">
        <v>60</v>
      </c>
      <c r="H2014" s="14" t="s">
        <v>1400</v>
      </c>
      <c r="I2014" s="14" t="s">
        <v>75</v>
      </c>
      <c r="J2014" s="14" t="s">
        <v>201</v>
      </c>
      <c r="K2014" s="14">
        <v>1</v>
      </c>
      <c r="L2014" s="14" t="s">
        <v>1400</v>
      </c>
      <c r="N2014" s="14">
        <v>0</v>
      </c>
      <c r="O2014" s="14" t="b">
        <v>1</v>
      </c>
      <c r="Q2014" s="14" t="b">
        <v>0</v>
      </c>
      <c r="R2014" s="14">
        <v>1</v>
      </c>
      <c r="S2014" s="14" t="s">
        <v>77</v>
      </c>
      <c r="T2014" s="14">
        <v>999</v>
      </c>
      <c r="U2014" s="14" t="s">
        <v>1401</v>
      </c>
      <c r="V2014" s="14">
        <v>31934010</v>
      </c>
      <c r="X2014" s="14" t="s">
        <v>3210</v>
      </c>
      <c r="Y2014" s="14" t="s">
        <v>215</v>
      </c>
      <c r="Z2014" s="14">
        <v>20777</v>
      </c>
      <c r="AA2014" s="14" t="s">
        <v>3211</v>
      </c>
      <c r="AB2014" s="14">
        <v>40001</v>
      </c>
      <c r="AE2014" s="14" t="s">
        <v>1400</v>
      </c>
      <c r="AF2014" s="14" t="s">
        <v>1400</v>
      </c>
      <c r="AG2014" s="14" t="s">
        <v>92</v>
      </c>
    </row>
    <row r="2015" spans="2:33">
      <c r="B2015" s="14">
        <f>10000000+INDEX(编号表!$B:$B,MATCH(H2015,编号表!$A:$A,0))*100000+INDEX(编号表!$F:$F,MATCH(D2015,编号表!$E:$E,0))*10000+INDEX(编号表!$D:$D,MATCH(AG2015,编号表!$C:$C,0))*1000+F2015</f>
        <v>11914009</v>
      </c>
      <c r="C2015" s="14" t="s">
        <v>3212</v>
      </c>
      <c r="D2015" s="14" t="s">
        <v>72</v>
      </c>
      <c r="E2015" s="14" t="s">
        <v>92</v>
      </c>
      <c r="F2015" s="14">
        <v>9</v>
      </c>
      <c r="G2015" s="14">
        <v>60</v>
      </c>
      <c r="H2015" s="14" t="s">
        <v>1400</v>
      </c>
      <c r="I2015" s="14" t="s">
        <v>75</v>
      </c>
      <c r="J2015" s="14" t="s">
        <v>201</v>
      </c>
      <c r="K2015" s="14">
        <v>1</v>
      </c>
      <c r="L2015" s="14" t="s">
        <v>1400</v>
      </c>
      <c r="N2015" s="14">
        <v>0</v>
      </c>
      <c r="O2015" s="14" t="b">
        <v>1</v>
      </c>
      <c r="Q2015" s="14" t="b">
        <v>0</v>
      </c>
      <c r="R2015" s="14">
        <v>1</v>
      </c>
      <c r="S2015" s="14" t="s">
        <v>77</v>
      </c>
      <c r="T2015" s="14">
        <v>999</v>
      </c>
      <c r="U2015" s="14" t="s">
        <v>1401</v>
      </c>
      <c r="V2015" s="14">
        <v>31914009</v>
      </c>
      <c r="X2015" s="14" t="s">
        <v>3213</v>
      </c>
      <c r="Y2015" s="14" t="s">
        <v>215</v>
      </c>
      <c r="Z2015" s="14">
        <v>20778</v>
      </c>
      <c r="AA2015" s="14" t="s">
        <v>3214</v>
      </c>
      <c r="AB2015" s="14">
        <v>40001</v>
      </c>
      <c r="AE2015" s="14" t="s">
        <v>1400</v>
      </c>
      <c r="AF2015" s="14" t="s">
        <v>1400</v>
      </c>
      <c r="AG2015" s="14" t="s">
        <v>92</v>
      </c>
    </row>
    <row r="2016" spans="2:33">
      <c r="B2016" s="14">
        <f>10000000+INDEX(编号表!$B:$B,MATCH(H2016,编号表!$A:$A,0))*100000+INDEX(编号表!$F:$F,MATCH(D2016,编号表!$E:$E,0))*10000+INDEX(编号表!$D:$D,MATCH(AG2016,编号表!$C:$C,0))*1000+F2016</f>
        <v>11924010</v>
      </c>
      <c r="C2016" s="14" t="s">
        <v>3212</v>
      </c>
      <c r="D2016" s="14" t="s">
        <v>112</v>
      </c>
      <c r="E2016" s="14" t="s">
        <v>92</v>
      </c>
      <c r="F2016" s="14">
        <v>10</v>
      </c>
      <c r="G2016" s="14">
        <v>60</v>
      </c>
      <c r="H2016" s="14" t="s">
        <v>1400</v>
      </c>
      <c r="I2016" s="14" t="s">
        <v>75</v>
      </c>
      <c r="J2016" s="14" t="s">
        <v>201</v>
      </c>
      <c r="K2016" s="14">
        <v>1</v>
      </c>
      <c r="L2016" s="14" t="s">
        <v>1400</v>
      </c>
      <c r="N2016" s="14">
        <v>0</v>
      </c>
      <c r="O2016" s="14" t="b">
        <v>1</v>
      </c>
      <c r="Q2016" s="14" t="b">
        <v>0</v>
      </c>
      <c r="R2016" s="14">
        <v>1</v>
      </c>
      <c r="S2016" s="14" t="s">
        <v>77</v>
      </c>
      <c r="T2016" s="14">
        <v>999</v>
      </c>
      <c r="U2016" s="14" t="s">
        <v>1401</v>
      </c>
      <c r="V2016" s="14">
        <v>31924010</v>
      </c>
      <c r="X2016" s="14" t="s">
        <v>3215</v>
      </c>
      <c r="Y2016" s="14" t="s">
        <v>215</v>
      </c>
      <c r="Z2016" s="14">
        <v>20779</v>
      </c>
      <c r="AA2016" s="14" t="s">
        <v>3216</v>
      </c>
      <c r="AB2016" s="14">
        <v>40001</v>
      </c>
      <c r="AE2016" s="14" t="s">
        <v>1400</v>
      </c>
      <c r="AF2016" s="14" t="s">
        <v>1400</v>
      </c>
      <c r="AG2016" s="14" t="s">
        <v>92</v>
      </c>
    </row>
    <row r="2017" spans="2:33">
      <c r="B2017" s="14">
        <f>10000000+INDEX(编号表!$B:$B,MATCH(H2017,编号表!$A:$A,0))*100000+INDEX(编号表!$F:$F,MATCH(D2017,编号表!$E:$E,0))*10000+INDEX(编号表!$D:$D,MATCH(AG2017,编号表!$C:$C,0))*1000+F2017</f>
        <v>11934011</v>
      </c>
      <c r="C2017" s="14" t="s">
        <v>3212</v>
      </c>
      <c r="D2017" s="14" t="s">
        <v>276</v>
      </c>
      <c r="E2017" s="14" t="s">
        <v>92</v>
      </c>
      <c r="F2017" s="14">
        <v>11</v>
      </c>
      <c r="G2017" s="14">
        <v>60</v>
      </c>
      <c r="H2017" s="14" t="s">
        <v>1400</v>
      </c>
      <c r="I2017" s="14" t="s">
        <v>75</v>
      </c>
      <c r="J2017" s="14" t="s">
        <v>201</v>
      </c>
      <c r="K2017" s="14">
        <v>1</v>
      </c>
      <c r="L2017" s="14" t="s">
        <v>1400</v>
      </c>
      <c r="N2017" s="14">
        <v>0</v>
      </c>
      <c r="O2017" s="14" t="b">
        <v>1</v>
      </c>
      <c r="Q2017" s="14" t="b">
        <v>0</v>
      </c>
      <c r="R2017" s="14">
        <v>1</v>
      </c>
      <c r="S2017" s="14" t="s">
        <v>77</v>
      </c>
      <c r="T2017" s="14">
        <v>999</v>
      </c>
      <c r="U2017" s="14" t="s">
        <v>1401</v>
      </c>
      <c r="V2017" s="14">
        <v>31934011</v>
      </c>
      <c r="X2017" s="14" t="s">
        <v>3217</v>
      </c>
      <c r="Y2017" s="14" t="s">
        <v>215</v>
      </c>
      <c r="Z2017" s="14">
        <v>20780</v>
      </c>
      <c r="AA2017" s="14" t="s">
        <v>3218</v>
      </c>
      <c r="AB2017" s="14">
        <v>40001</v>
      </c>
      <c r="AE2017" s="14" t="s">
        <v>1400</v>
      </c>
      <c r="AF2017" s="14" t="s">
        <v>1400</v>
      </c>
      <c r="AG2017" s="14" t="s">
        <v>92</v>
      </c>
    </row>
    <row r="2018" spans="2:33">
      <c r="B2018" s="14">
        <f>10000000+INDEX(编号表!$B:$B,MATCH(H2018,编号表!$A:$A,0))*100000+INDEX(编号表!$F:$F,MATCH(D2018,编号表!$E:$E,0))*10000+INDEX(编号表!$D:$D,MATCH(AG2018,编号表!$C:$C,0))*1000+F2018</f>
        <v>11914010</v>
      </c>
      <c r="C2018" s="14" t="s">
        <v>3219</v>
      </c>
      <c r="D2018" s="14" t="s">
        <v>72</v>
      </c>
      <c r="E2018" s="14" t="s">
        <v>92</v>
      </c>
      <c r="F2018" s="14">
        <v>10</v>
      </c>
      <c r="G2018" s="14">
        <v>60</v>
      </c>
      <c r="H2018" s="14" t="s">
        <v>1400</v>
      </c>
      <c r="I2018" s="14" t="s">
        <v>75</v>
      </c>
      <c r="J2018" s="14" t="s">
        <v>201</v>
      </c>
      <c r="K2018" s="14">
        <v>1</v>
      </c>
      <c r="L2018" s="14" t="s">
        <v>1400</v>
      </c>
      <c r="N2018" s="14">
        <v>0</v>
      </c>
      <c r="O2018" s="14" t="b">
        <v>1</v>
      </c>
      <c r="Q2018" s="14" t="b">
        <v>0</v>
      </c>
      <c r="R2018" s="14">
        <v>1</v>
      </c>
      <c r="S2018" s="14" t="s">
        <v>77</v>
      </c>
      <c r="T2018" s="14">
        <v>999</v>
      </c>
      <c r="U2018" s="14" t="s">
        <v>1401</v>
      </c>
      <c r="V2018" s="14">
        <v>31914010</v>
      </c>
      <c r="X2018" s="14" t="s">
        <v>3220</v>
      </c>
      <c r="Y2018" s="14" t="s">
        <v>215</v>
      </c>
      <c r="Z2018" s="14">
        <v>20781</v>
      </c>
      <c r="AA2018" s="14" t="s">
        <v>3221</v>
      </c>
      <c r="AB2018" s="14">
        <v>40001</v>
      </c>
      <c r="AE2018" s="14" t="s">
        <v>1400</v>
      </c>
      <c r="AF2018" s="14" t="s">
        <v>1400</v>
      </c>
      <c r="AG2018" s="14" t="s">
        <v>92</v>
      </c>
    </row>
    <row r="2019" spans="2:33">
      <c r="B2019" s="14">
        <f>10000000+INDEX(编号表!$B:$B,MATCH(H2019,编号表!$A:$A,0))*100000+INDEX(编号表!$F:$F,MATCH(D2019,编号表!$E:$E,0))*10000+INDEX(编号表!$D:$D,MATCH(AG2019,编号表!$C:$C,0))*1000+F2019</f>
        <v>11924011</v>
      </c>
      <c r="C2019" s="14" t="s">
        <v>3219</v>
      </c>
      <c r="D2019" s="14" t="s">
        <v>112</v>
      </c>
      <c r="E2019" s="14" t="s">
        <v>92</v>
      </c>
      <c r="F2019" s="14">
        <v>11</v>
      </c>
      <c r="G2019" s="14">
        <v>60</v>
      </c>
      <c r="H2019" s="14" t="s">
        <v>1400</v>
      </c>
      <c r="I2019" s="14" t="s">
        <v>75</v>
      </c>
      <c r="J2019" s="14" t="s">
        <v>201</v>
      </c>
      <c r="K2019" s="14">
        <v>1</v>
      </c>
      <c r="L2019" s="14" t="s">
        <v>1400</v>
      </c>
      <c r="N2019" s="14">
        <v>0</v>
      </c>
      <c r="O2019" s="14" t="b">
        <v>1</v>
      </c>
      <c r="Q2019" s="14" t="b">
        <v>0</v>
      </c>
      <c r="R2019" s="14">
        <v>1</v>
      </c>
      <c r="S2019" s="14" t="s">
        <v>77</v>
      </c>
      <c r="T2019" s="14">
        <v>999</v>
      </c>
      <c r="U2019" s="14" t="s">
        <v>1401</v>
      </c>
      <c r="V2019" s="14">
        <v>31924011</v>
      </c>
      <c r="X2019" s="14" t="s">
        <v>3222</v>
      </c>
      <c r="Y2019" s="14" t="s">
        <v>215</v>
      </c>
      <c r="Z2019" s="14">
        <v>20782</v>
      </c>
      <c r="AA2019" s="14" t="s">
        <v>3223</v>
      </c>
      <c r="AB2019" s="14">
        <v>40001</v>
      </c>
      <c r="AE2019" s="14" t="s">
        <v>1400</v>
      </c>
      <c r="AF2019" s="14" t="s">
        <v>1400</v>
      </c>
      <c r="AG2019" s="14" t="s">
        <v>92</v>
      </c>
    </row>
    <row r="2020" spans="2:33">
      <c r="B2020" s="14">
        <f>10000000+INDEX(编号表!$B:$B,MATCH(H2020,编号表!$A:$A,0))*100000+INDEX(编号表!$F:$F,MATCH(D2020,编号表!$E:$E,0))*10000+INDEX(编号表!$D:$D,MATCH(AG2020,编号表!$C:$C,0))*1000+F2020</f>
        <v>11934012</v>
      </c>
      <c r="C2020" s="14" t="s">
        <v>3219</v>
      </c>
      <c r="D2020" s="14" t="s">
        <v>276</v>
      </c>
      <c r="E2020" s="14" t="s">
        <v>92</v>
      </c>
      <c r="F2020" s="14">
        <v>12</v>
      </c>
      <c r="G2020" s="14">
        <v>60</v>
      </c>
      <c r="H2020" s="14" t="s">
        <v>1400</v>
      </c>
      <c r="I2020" s="14" t="s">
        <v>75</v>
      </c>
      <c r="J2020" s="14" t="s">
        <v>201</v>
      </c>
      <c r="K2020" s="14">
        <v>1</v>
      </c>
      <c r="L2020" s="14" t="s">
        <v>1400</v>
      </c>
      <c r="N2020" s="14">
        <v>0</v>
      </c>
      <c r="O2020" s="14" t="b">
        <v>1</v>
      </c>
      <c r="Q2020" s="14" t="b">
        <v>0</v>
      </c>
      <c r="R2020" s="14">
        <v>1</v>
      </c>
      <c r="S2020" s="14" t="s">
        <v>77</v>
      </c>
      <c r="T2020" s="14">
        <v>999</v>
      </c>
      <c r="U2020" s="14" t="s">
        <v>1401</v>
      </c>
      <c r="V2020" s="14">
        <v>31934012</v>
      </c>
      <c r="X2020" s="14" t="s">
        <v>3224</v>
      </c>
      <c r="Y2020" s="14" t="s">
        <v>215</v>
      </c>
      <c r="Z2020" s="14">
        <v>20783</v>
      </c>
      <c r="AA2020" s="14" t="s">
        <v>3225</v>
      </c>
      <c r="AB2020" s="14">
        <v>40001</v>
      </c>
      <c r="AE2020" s="14" t="s">
        <v>1400</v>
      </c>
      <c r="AF2020" s="14" t="s">
        <v>1400</v>
      </c>
      <c r="AG2020" s="14" t="s">
        <v>92</v>
      </c>
    </row>
    <row r="2021" spans="2:33">
      <c r="B2021" s="14">
        <f>10000000+INDEX(编号表!$B:$B,MATCH(H2021,编号表!$A:$A,0))*100000+INDEX(编号表!$F:$F,MATCH(D2021,编号表!$E:$E,0))*10000+INDEX(编号表!$D:$D,MATCH(AG2021,编号表!$C:$C,0))*1000+F2021</f>
        <v>11914011</v>
      </c>
      <c r="C2021" s="14" t="s">
        <v>3226</v>
      </c>
      <c r="D2021" s="14" t="s">
        <v>72</v>
      </c>
      <c r="E2021" s="14" t="s">
        <v>92</v>
      </c>
      <c r="F2021" s="14">
        <v>11</v>
      </c>
      <c r="G2021" s="14">
        <v>60</v>
      </c>
      <c r="H2021" s="14" t="s">
        <v>1400</v>
      </c>
      <c r="I2021" s="14" t="s">
        <v>75</v>
      </c>
      <c r="J2021" s="14" t="s">
        <v>201</v>
      </c>
      <c r="K2021" s="14">
        <v>1</v>
      </c>
      <c r="L2021" s="14" t="s">
        <v>1400</v>
      </c>
      <c r="N2021" s="14">
        <v>0</v>
      </c>
      <c r="O2021" s="14" t="b">
        <v>1</v>
      </c>
      <c r="Q2021" s="14" t="b">
        <v>0</v>
      </c>
      <c r="R2021" s="14">
        <v>1</v>
      </c>
      <c r="S2021" s="14" t="s">
        <v>77</v>
      </c>
      <c r="T2021" s="14">
        <v>999</v>
      </c>
      <c r="U2021" s="14" t="s">
        <v>1401</v>
      </c>
      <c r="V2021" s="14">
        <v>31914011</v>
      </c>
      <c r="X2021" s="14" t="s">
        <v>3227</v>
      </c>
      <c r="Y2021" s="14" t="s">
        <v>215</v>
      </c>
      <c r="Z2021" s="14">
        <v>20784</v>
      </c>
      <c r="AA2021" s="14" t="s">
        <v>3228</v>
      </c>
      <c r="AB2021" s="14">
        <v>40001</v>
      </c>
      <c r="AE2021" s="14" t="s">
        <v>1400</v>
      </c>
      <c r="AF2021" s="14" t="s">
        <v>1400</v>
      </c>
      <c r="AG2021" s="14" t="s">
        <v>92</v>
      </c>
    </row>
    <row r="2022" spans="2:33">
      <c r="B2022" s="14">
        <f>10000000+INDEX(编号表!$B:$B,MATCH(H2022,编号表!$A:$A,0))*100000+INDEX(编号表!$F:$F,MATCH(D2022,编号表!$E:$E,0))*10000+INDEX(编号表!$D:$D,MATCH(AG2022,编号表!$C:$C,0))*1000+F2022</f>
        <v>11924012</v>
      </c>
      <c r="C2022" s="14" t="s">
        <v>3226</v>
      </c>
      <c r="D2022" s="14" t="s">
        <v>112</v>
      </c>
      <c r="E2022" s="14" t="s">
        <v>92</v>
      </c>
      <c r="F2022" s="14">
        <v>12</v>
      </c>
      <c r="G2022" s="14">
        <v>60</v>
      </c>
      <c r="H2022" s="14" t="s">
        <v>1400</v>
      </c>
      <c r="I2022" s="14" t="s">
        <v>75</v>
      </c>
      <c r="J2022" s="14" t="s">
        <v>201</v>
      </c>
      <c r="K2022" s="14">
        <v>1</v>
      </c>
      <c r="L2022" s="14" t="s">
        <v>1400</v>
      </c>
      <c r="N2022" s="14">
        <v>0</v>
      </c>
      <c r="O2022" s="14" t="b">
        <v>1</v>
      </c>
      <c r="Q2022" s="14" t="b">
        <v>0</v>
      </c>
      <c r="R2022" s="14">
        <v>1</v>
      </c>
      <c r="S2022" s="14" t="s">
        <v>77</v>
      </c>
      <c r="T2022" s="14">
        <v>999</v>
      </c>
      <c r="U2022" s="14" t="s">
        <v>1401</v>
      </c>
      <c r="V2022" s="14">
        <v>31924012</v>
      </c>
      <c r="X2022" s="14" t="s">
        <v>3229</v>
      </c>
      <c r="Y2022" s="14" t="s">
        <v>215</v>
      </c>
      <c r="Z2022" s="14">
        <v>20785</v>
      </c>
      <c r="AA2022" s="14" t="s">
        <v>3230</v>
      </c>
      <c r="AB2022" s="14">
        <v>40001</v>
      </c>
      <c r="AE2022" s="14" t="s">
        <v>1400</v>
      </c>
      <c r="AF2022" s="14" t="s">
        <v>1400</v>
      </c>
      <c r="AG2022" s="14" t="s">
        <v>92</v>
      </c>
    </row>
    <row r="2023" spans="2:33">
      <c r="B2023" s="14">
        <f>10000000+INDEX(编号表!$B:$B,MATCH(H2023,编号表!$A:$A,0))*100000+INDEX(编号表!$F:$F,MATCH(D2023,编号表!$E:$E,0))*10000+INDEX(编号表!$D:$D,MATCH(AG2023,编号表!$C:$C,0))*1000+F2023</f>
        <v>11934013</v>
      </c>
      <c r="C2023" s="14" t="s">
        <v>3226</v>
      </c>
      <c r="D2023" s="14" t="s">
        <v>276</v>
      </c>
      <c r="E2023" s="14" t="s">
        <v>92</v>
      </c>
      <c r="F2023" s="14">
        <v>13</v>
      </c>
      <c r="G2023" s="14">
        <v>60</v>
      </c>
      <c r="H2023" s="14" t="s">
        <v>1400</v>
      </c>
      <c r="I2023" s="14" t="s">
        <v>75</v>
      </c>
      <c r="J2023" s="14" t="s">
        <v>201</v>
      </c>
      <c r="K2023" s="14">
        <v>1</v>
      </c>
      <c r="L2023" s="14" t="s">
        <v>1400</v>
      </c>
      <c r="N2023" s="14">
        <v>0</v>
      </c>
      <c r="O2023" s="14" t="b">
        <v>1</v>
      </c>
      <c r="Q2023" s="14" t="b">
        <v>0</v>
      </c>
      <c r="R2023" s="14">
        <v>1</v>
      </c>
      <c r="S2023" s="14" t="s">
        <v>77</v>
      </c>
      <c r="T2023" s="14">
        <v>999</v>
      </c>
      <c r="U2023" s="14" t="s">
        <v>1401</v>
      </c>
      <c r="V2023" s="14">
        <v>31934013</v>
      </c>
      <c r="X2023" s="14" t="s">
        <v>3231</v>
      </c>
      <c r="Y2023" s="14" t="s">
        <v>215</v>
      </c>
      <c r="Z2023" s="14">
        <v>20786</v>
      </c>
      <c r="AA2023" s="14" t="s">
        <v>3232</v>
      </c>
      <c r="AB2023" s="14">
        <v>40001</v>
      </c>
      <c r="AE2023" s="14" t="s">
        <v>1400</v>
      </c>
      <c r="AF2023" s="14" t="s">
        <v>1400</v>
      </c>
      <c r="AG2023" s="14" t="s">
        <v>92</v>
      </c>
    </row>
    <row r="2024" spans="2:33">
      <c r="B2024" s="14">
        <f>10000000+INDEX(编号表!$B:$B,MATCH(H2024,编号表!$A:$A,0))*100000+INDEX(编号表!$F:$F,MATCH(D2024,编号表!$E:$E,0))*10000+INDEX(编号表!$D:$D,MATCH(AG2024,编号表!$C:$C,0))*1000+F2024</f>
        <v>11914012</v>
      </c>
      <c r="C2024" s="14" t="s">
        <v>3233</v>
      </c>
      <c r="D2024" s="14" t="s">
        <v>72</v>
      </c>
      <c r="E2024" s="14" t="s">
        <v>92</v>
      </c>
      <c r="F2024" s="14">
        <v>12</v>
      </c>
      <c r="G2024" s="14">
        <v>60</v>
      </c>
      <c r="H2024" s="14" t="s">
        <v>1400</v>
      </c>
      <c r="I2024" s="14" t="s">
        <v>75</v>
      </c>
      <c r="J2024" s="14" t="s">
        <v>201</v>
      </c>
      <c r="K2024" s="14">
        <v>1</v>
      </c>
      <c r="L2024" s="14" t="s">
        <v>1400</v>
      </c>
      <c r="N2024" s="14">
        <v>0</v>
      </c>
      <c r="O2024" s="14" t="b">
        <v>1</v>
      </c>
      <c r="Q2024" s="14" t="b">
        <v>0</v>
      </c>
      <c r="R2024" s="14">
        <v>1</v>
      </c>
      <c r="S2024" s="14" t="s">
        <v>77</v>
      </c>
      <c r="T2024" s="14">
        <v>999</v>
      </c>
      <c r="U2024" s="14" t="s">
        <v>1401</v>
      </c>
      <c r="V2024" s="14">
        <v>31914012</v>
      </c>
      <c r="X2024" s="14" t="s">
        <v>3234</v>
      </c>
      <c r="Y2024" s="14" t="s">
        <v>215</v>
      </c>
      <c r="Z2024" s="14">
        <v>20787</v>
      </c>
      <c r="AA2024" s="14" t="s">
        <v>3235</v>
      </c>
      <c r="AB2024" s="14">
        <v>40001</v>
      </c>
      <c r="AE2024" s="14" t="s">
        <v>1400</v>
      </c>
      <c r="AF2024" s="14" t="s">
        <v>1400</v>
      </c>
      <c r="AG2024" s="14" t="s">
        <v>92</v>
      </c>
    </row>
    <row r="2025" spans="2:33">
      <c r="B2025" s="14">
        <f>10000000+INDEX(编号表!$B:$B,MATCH(H2025,编号表!$A:$A,0))*100000+INDEX(编号表!$F:$F,MATCH(D2025,编号表!$E:$E,0))*10000+INDEX(编号表!$D:$D,MATCH(AG2025,编号表!$C:$C,0))*1000+F2025</f>
        <v>11924013</v>
      </c>
      <c r="C2025" s="14" t="s">
        <v>3233</v>
      </c>
      <c r="D2025" s="14" t="s">
        <v>112</v>
      </c>
      <c r="E2025" s="14" t="s">
        <v>92</v>
      </c>
      <c r="F2025" s="14">
        <v>13</v>
      </c>
      <c r="G2025" s="14">
        <v>60</v>
      </c>
      <c r="H2025" s="14" t="s">
        <v>1400</v>
      </c>
      <c r="I2025" s="14" t="s">
        <v>75</v>
      </c>
      <c r="J2025" s="14" t="s">
        <v>201</v>
      </c>
      <c r="K2025" s="14">
        <v>1</v>
      </c>
      <c r="L2025" s="14" t="s">
        <v>1400</v>
      </c>
      <c r="N2025" s="14">
        <v>0</v>
      </c>
      <c r="O2025" s="14" t="b">
        <v>1</v>
      </c>
      <c r="Q2025" s="14" t="b">
        <v>0</v>
      </c>
      <c r="R2025" s="14">
        <v>1</v>
      </c>
      <c r="S2025" s="14" t="s">
        <v>77</v>
      </c>
      <c r="T2025" s="14">
        <v>999</v>
      </c>
      <c r="U2025" s="14" t="s">
        <v>1401</v>
      </c>
      <c r="V2025" s="14">
        <v>31924013</v>
      </c>
      <c r="X2025" s="14" t="s">
        <v>3236</v>
      </c>
      <c r="Y2025" s="14" t="s">
        <v>215</v>
      </c>
      <c r="Z2025" s="14">
        <v>20788</v>
      </c>
      <c r="AA2025" s="14" t="s">
        <v>3237</v>
      </c>
      <c r="AB2025" s="14">
        <v>40001</v>
      </c>
      <c r="AE2025" s="14" t="s">
        <v>1400</v>
      </c>
      <c r="AF2025" s="14" t="s">
        <v>1400</v>
      </c>
      <c r="AG2025" s="14" t="s">
        <v>92</v>
      </c>
    </row>
    <row r="2026" spans="2:33">
      <c r="B2026" s="14">
        <f>10000000+INDEX(编号表!$B:$B,MATCH(H2026,编号表!$A:$A,0))*100000+INDEX(编号表!$F:$F,MATCH(D2026,编号表!$E:$E,0))*10000+INDEX(编号表!$D:$D,MATCH(AG2026,编号表!$C:$C,0))*1000+F2026</f>
        <v>11934014</v>
      </c>
      <c r="C2026" s="14" t="s">
        <v>3233</v>
      </c>
      <c r="D2026" s="14" t="s">
        <v>276</v>
      </c>
      <c r="E2026" s="14" t="s">
        <v>92</v>
      </c>
      <c r="F2026" s="14">
        <v>14</v>
      </c>
      <c r="G2026" s="14">
        <v>60</v>
      </c>
      <c r="H2026" s="14" t="s">
        <v>1400</v>
      </c>
      <c r="I2026" s="14" t="s">
        <v>75</v>
      </c>
      <c r="J2026" s="14" t="s">
        <v>201</v>
      </c>
      <c r="K2026" s="14">
        <v>1</v>
      </c>
      <c r="L2026" s="14" t="s">
        <v>1400</v>
      </c>
      <c r="N2026" s="14">
        <v>0</v>
      </c>
      <c r="O2026" s="14" t="b">
        <v>1</v>
      </c>
      <c r="Q2026" s="14" t="b">
        <v>0</v>
      </c>
      <c r="R2026" s="14">
        <v>1</v>
      </c>
      <c r="S2026" s="14" t="s">
        <v>77</v>
      </c>
      <c r="T2026" s="14">
        <v>999</v>
      </c>
      <c r="U2026" s="14" t="s">
        <v>1401</v>
      </c>
      <c r="V2026" s="14">
        <v>31934014</v>
      </c>
      <c r="X2026" s="14" t="s">
        <v>3238</v>
      </c>
      <c r="Y2026" s="14" t="s">
        <v>215</v>
      </c>
      <c r="Z2026" s="14">
        <v>20789</v>
      </c>
      <c r="AA2026" s="14" t="s">
        <v>3239</v>
      </c>
      <c r="AB2026" s="14">
        <v>40001</v>
      </c>
      <c r="AE2026" s="14" t="s">
        <v>1400</v>
      </c>
      <c r="AF2026" s="14" t="s">
        <v>1400</v>
      </c>
      <c r="AG2026" s="14" t="s">
        <v>92</v>
      </c>
    </row>
    <row r="2027" spans="2:33">
      <c r="B2027" s="14">
        <f>10000000+INDEX(编号表!$B:$B,MATCH(H2027,编号表!$A:$A,0))*100000+INDEX(编号表!$F:$F,MATCH(D2027,编号表!$E:$E,0))*10000+INDEX(编号表!$D:$D,MATCH(AG2027,编号表!$C:$C,0))*1000+F2027</f>
        <v>11914013</v>
      </c>
      <c r="C2027" s="14" t="s">
        <v>3240</v>
      </c>
      <c r="D2027" s="14" t="s">
        <v>72</v>
      </c>
      <c r="E2027" s="14" t="s">
        <v>92</v>
      </c>
      <c r="F2027" s="14">
        <v>13</v>
      </c>
      <c r="G2027" s="14">
        <v>60</v>
      </c>
      <c r="H2027" s="14" t="s">
        <v>1400</v>
      </c>
      <c r="I2027" s="14" t="s">
        <v>75</v>
      </c>
      <c r="J2027" s="14" t="s">
        <v>201</v>
      </c>
      <c r="K2027" s="14">
        <v>1</v>
      </c>
      <c r="L2027" s="14" t="s">
        <v>1400</v>
      </c>
      <c r="N2027" s="14">
        <v>0</v>
      </c>
      <c r="O2027" s="14" t="b">
        <v>1</v>
      </c>
      <c r="Q2027" s="14" t="b">
        <v>0</v>
      </c>
      <c r="R2027" s="14">
        <v>1</v>
      </c>
      <c r="S2027" s="14" t="s">
        <v>77</v>
      </c>
      <c r="T2027" s="14">
        <v>999</v>
      </c>
      <c r="U2027" s="14" t="s">
        <v>1401</v>
      </c>
      <c r="V2027" s="14">
        <v>31914013</v>
      </c>
      <c r="X2027" s="14" t="s">
        <v>3241</v>
      </c>
      <c r="Y2027" s="14" t="s">
        <v>215</v>
      </c>
      <c r="Z2027" s="14">
        <v>20790</v>
      </c>
      <c r="AA2027" s="14" t="s">
        <v>3242</v>
      </c>
      <c r="AB2027" s="14">
        <v>40001</v>
      </c>
      <c r="AE2027" s="14" t="s">
        <v>1400</v>
      </c>
      <c r="AF2027" s="14" t="s">
        <v>1400</v>
      </c>
      <c r="AG2027" s="14" t="s">
        <v>92</v>
      </c>
    </row>
    <row r="2028" spans="2:33">
      <c r="B2028" s="14">
        <f>10000000+INDEX(编号表!$B:$B,MATCH(H2028,编号表!$A:$A,0))*100000+INDEX(编号表!$F:$F,MATCH(D2028,编号表!$E:$E,0))*10000+INDEX(编号表!$D:$D,MATCH(AG2028,编号表!$C:$C,0))*1000+F2028</f>
        <v>11924014</v>
      </c>
      <c r="C2028" s="14" t="s">
        <v>3240</v>
      </c>
      <c r="D2028" s="14" t="s">
        <v>112</v>
      </c>
      <c r="E2028" s="14" t="s">
        <v>92</v>
      </c>
      <c r="F2028" s="14">
        <v>14</v>
      </c>
      <c r="G2028" s="14">
        <v>60</v>
      </c>
      <c r="H2028" s="14" t="s">
        <v>1400</v>
      </c>
      <c r="I2028" s="14" t="s">
        <v>75</v>
      </c>
      <c r="J2028" s="14" t="s">
        <v>201</v>
      </c>
      <c r="K2028" s="14">
        <v>1</v>
      </c>
      <c r="L2028" s="14" t="s">
        <v>1400</v>
      </c>
      <c r="N2028" s="14">
        <v>0</v>
      </c>
      <c r="O2028" s="14" t="b">
        <v>1</v>
      </c>
      <c r="Q2028" s="14" t="b">
        <v>0</v>
      </c>
      <c r="R2028" s="14">
        <v>1</v>
      </c>
      <c r="S2028" s="14" t="s">
        <v>77</v>
      </c>
      <c r="T2028" s="14">
        <v>999</v>
      </c>
      <c r="U2028" s="14" t="s">
        <v>1401</v>
      </c>
      <c r="V2028" s="14">
        <v>31924014</v>
      </c>
      <c r="X2028" s="14" t="s">
        <v>3243</v>
      </c>
      <c r="Y2028" s="14" t="s">
        <v>215</v>
      </c>
      <c r="Z2028" s="14">
        <v>20791</v>
      </c>
      <c r="AA2028" s="14" t="s">
        <v>3244</v>
      </c>
      <c r="AB2028" s="14">
        <v>40001</v>
      </c>
      <c r="AE2028" s="14" t="s">
        <v>1400</v>
      </c>
      <c r="AF2028" s="14" t="s">
        <v>1400</v>
      </c>
      <c r="AG2028" s="14" t="s">
        <v>92</v>
      </c>
    </row>
    <row r="2029" spans="2:33">
      <c r="B2029" s="14">
        <f>10000000+INDEX(编号表!$B:$B,MATCH(H2029,编号表!$A:$A,0))*100000+INDEX(编号表!$F:$F,MATCH(D2029,编号表!$E:$E,0))*10000+INDEX(编号表!$D:$D,MATCH(AG2029,编号表!$C:$C,0))*1000+F2029</f>
        <v>11934015</v>
      </c>
      <c r="C2029" s="14" t="s">
        <v>3240</v>
      </c>
      <c r="D2029" s="14" t="s">
        <v>276</v>
      </c>
      <c r="E2029" s="14" t="s">
        <v>92</v>
      </c>
      <c r="F2029" s="14">
        <v>15</v>
      </c>
      <c r="G2029" s="14">
        <v>60</v>
      </c>
      <c r="H2029" s="14" t="s">
        <v>1400</v>
      </c>
      <c r="I2029" s="14" t="s">
        <v>75</v>
      </c>
      <c r="J2029" s="14" t="s">
        <v>201</v>
      </c>
      <c r="K2029" s="14">
        <v>1</v>
      </c>
      <c r="L2029" s="14" t="s">
        <v>1400</v>
      </c>
      <c r="N2029" s="14">
        <v>0</v>
      </c>
      <c r="O2029" s="14" t="b">
        <v>1</v>
      </c>
      <c r="Q2029" s="14" t="b">
        <v>0</v>
      </c>
      <c r="R2029" s="14">
        <v>1</v>
      </c>
      <c r="S2029" s="14" t="s">
        <v>77</v>
      </c>
      <c r="T2029" s="14">
        <v>999</v>
      </c>
      <c r="U2029" s="14" t="s">
        <v>1401</v>
      </c>
      <c r="V2029" s="14">
        <v>31934015</v>
      </c>
      <c r="X2029" s="14" t="s">
        <v>3245</v>
      </c>
      <c r="Y2029" s="14" t="s">
        <v>215</v>
      </c>
      <c r="Z2029" s="14">
        <v>20792</v>
      </c>
      <c r="AA2029" s="14" t="s">
        <v>3246</v>
      </c>
      <c r="AB2029" s="14">
        <v>40001</v>
      </c>
      <c r="AE2029" s="14" t="s">
        <v>1400</v>
      </c>
      <c r="AF2029" s="14" t="s">
        <v>1400</v>
      </c>
      <c r="AG2029" s="14" t="s">
        <v>92</v>
      </c>
    </row>
    <row r="2030" spans="2:33">
      <c r="B2030" s="14">
        <f>10000000+INDEX(编号表!$B:$B,MATCH(H2030,编号表!$A:$A,0))*100000+INDEX(编号表!$F:$F,MATCH(D2030,编号表!$E:$E,0))*10000+INDEX(编号表!$D:$D,MATCH(AG2030,编号表!$C:$C,0))*1000+F2030</f>
        <v>11914014</v>
      </c>
      <c r="C2030" s="14" t="s">
        <v>3247</v>
      </c>
      <c r="D2030" s="14" t="s">
        <v>72</v>
      </c>
      <c r="E2030" s="14" t="s">
        <v>92</v>
      </c>
      <c r="F2030" s="14">
        <v>14</v>
      </c>
      <c r="G2030" s="14">
        <v>60</v>
      </c>
      <c r="H2030" s="14" t="s">
        <v>1400</v>
      </c>
      <c r="I2030" s="14" t="s">
        <v>75</v>
      </c>
      <c r="J2030" s="14" t="s">
        <v>201</v>
      </c>
      <c r="K2030" s="14">
        <v>1</v>
      </c>
      <c r="L2030" s="14" t="s">
        <v>1400</v>
      </c>
      <c r="N2030" s="14">
        <v>0</v>
      </c>
      <c r="O2030" s="14" t="b">
        <v>1</v>
      </c>
      <c r="Q2030" s="14" t="b">
        <v>0</v>
      </c>
      <c r="R2030" s="14">
        <v>1</v>
      </c>
      <c r="S2030" s="14" t="s">
        <v>77</v>
      </c>
      <c r="T2030" s="14">
        <v>999</v>
      </c>
      <c r="U2030" s="14" t="s">
        <v>1401</v>
      </c>
      <c r="V2030" s="14">
        <v>31914014</v>
      </c>
      <c r="X2030" s="14" t="s">
        <v>3248</v>
      </c>
      <c r="Y2030" s="14" t="s">
        <v>215</v>
      </c>
      <c r="Z2030" s="14">
        <v>20793</v>
      </c>
      <c r="AA2030" s="14" t="s">
        <v>3249</v>
      </c>
      <c r="AB2030" s="14">
        <v>40001</v>
      </c>
      <c r="AE2030" s="14" t="s">
        <v>1400</v>
      </c>
      <c r="AF2030" s="14" t="s">
        <v>1400</v>
      </c>
      <c r="AG2030" s="14" t="s">
        <v>92</v>
      </c>
    </row>
    <row r="2031" spans="2:33">
      <c r="B2031" s="14">
        <f>10000000+INDEX(编号表!$B:$B,MATCH(H2031,编号表!$A:$A,0))*100000+INDEX(编号表!$F:$F,MATCH(D2031,编号表!$E:$E,0))*10000+INDEX(编号表!$D:$D,MATCH(AG2031,编号表!$C:$C,0))*1000+F2031</f>
        <v>11924015</v>
      </c>
      <c r="C2031" s="14" t="s">
        <v>3247</v>
      </c>
      <c r="D2031" s="14" t="s">
        <v>112</v>
      </c>
      <c r="E2031" s="14" t="s">
        <v>92</v>
      </c>
      <c r="F2031" s="14">
        <v>15</v>
      </c>
      <c r="G2031" s="14">
        <v>60</v>
      </c>
      <c r="H2031" s="14" t="s">
        <v>1400</v>
      </c>
      <c r="I2031" s="14" t="s">
        <v>75</v>
      </c>
      <c r="J2031" s="14" t="s">
        <v>201</v>
      </c>
      <c r="K2031" s="14">
        <v>1</v>
      </c>
      <c r="L2031" s="14" t="s">
        <v>1400</v>
      </c>
      <c r="N2031" s="14">
        <v>0</v>
      </c>
      <c r="O2031" s="14" t="b">
        <v>1</v>
      </c>
      <c r="Q2031" s="14" t="b">
        <v>0</v>
      </c>
      <c r="R2031" s="14">
        <v>1</v>
      </c>
      <c r="S2031" s="14" t="s">
        <v>77</v>
      </c>
      <c r="T2031" s="14">
        <v>999</v>
      </c>
      <c r="U2031" s="14" t="s">
        <v>1401</v>
      </c>
      <c r="V2031" s="14">
        <v>31924015</v>
      </c>
      <c r="X2031" s="14" t="s">
        <v>3250</v>
      </c>
      <c r="Y2031" s="14" t="s">
        <v>215</v>
      </c>
      <c r="Z2031" s="14">
        <v>20794</v>
      </c>
      <c r="AA2031" s="14" t="s">
        <v>3251</v>
      </c>
      <c r="AB2031" s="14">
        <v>40001</v>
      </c>
      <c r="AE2031" s="14" t="s">
        <v>1400</v>
      </c>
      <c r="AF2031" s="14" t="s">
        <v>1400</v>
      </c>
      <c r="AG2031" s="14" t="s">
        <v>92</v>
      </c>
    </row>
    <row r="2032" spans="2:33">
      <c r="B2032" s="14">
        <f>10000000+INDEX(编号表!$B:$B,MATCH(H2032,编号表!$A:$A,0))*100000+INDEX(编号表!$F:$F,MATCH(D2032,编号表!$E:$E,0))*10000+INDEX(编号表!$D:$D,MATCH(AG2032,编号表!$C:$C,0))*1000+F2032</f>
        <v>11934016</v>
      </c>
      <c r="C2032" s="14" t="s">
        <v>3247</v>
      </c>
      <c r="D2032" s="14" t="s">
        <v>276</v>
      </c>
      <c r="E2032" s="14" t="s">
        <v>92</v>
      </c>
      <c r="F2032" s="14">
        <v>16</v>
      </c>
      <c r="G2032" s="14">
        <v>60</v>
      </c>
      <c r="H2032" s="14" t="s">
        <v>1400</v>
      </c>
      <c r="I2032" s="14" t="s">
        <v>75</v>
      </c>
      <c r="J2032" s="14" t="s">
        <v>201</v>
      </c>
      <c r="K2032" s="14">
        <v>1</v>
      </c>
      <c r="L2032" s="14" t="s">
        <v>1400</v>
      </c>
      <c r="N2032" s="14">
        <v>0</v>
      </c>
      <c r="O2032" s="14" t="b">
        <v>1</v>
      </c>
      <c r="Q2032" s="14" t="b">
        <v>0</v>
      </c>
      <c r="R2032" s="14">
        <v>1</v>
      </c>
      <c r="S2032" s="14" t="s">
        <v>77</v>
      </c>
      <c r="T2032" s="14">
        <v>999</v>
      </c>
      <c r="U2032" s="14" t="s">
        <v>1401</v>
      </c>
      <c r="V2032" s="14">
        <v>31934016</v>
      </c>
      <c r="X2032" s="14" t="s">
        <v>3252</v>
      </c>
      <c r="Y2032" s="14" t="s">
        <v>215</v>
      </c>
      <c r="Z2032" s="14">
        <v>20795</v>
      </c>
      <c r="AA2032" s="14" t="s">
        <v>3253</v>
      </c>
      <c r="AB2032" s="14">
        <v>40001</v>
      </c>
      <c r="AE2032" s="14" t="s">
        <v>1400</v>
      </c>
      <c r="AF2032" s="14" t="s">
        <v>1400</v>
      </c>
      <c r="AG2032" s="14" t="s">
        <v>92</v>
      </c>
    </row>
    <row r="2033" spans="2:33">
      <c r="B2033" s="14">
        <f>10000000+INDEX(编号表!$B:$B,MATCH(H2033,编号表!$A:$A,0))*100000+INDEX(编号表!$F:$F,MATCH(D2033,编号表!$E:$E,0))*10000+INDEX(编号表!$D:$D,MATCH(AG2033,编号表!$C:$C,0))*1000+F2033</f>
        <v>11914015</v>
      </c>
      <c r="C2033" s="14" t="s">
        <v>3254</v>
      </c>
      <c r="D2033" s="14" t="s">
        <v>72</v>
      </c>
      <c r="E2033" s="14" t="s">
        <v>92</v>
      </c>
      <c r="F2033" s="14">
        <v>15</v>
      </c>
      <c r="G2033" s="14">
        <v>60</v>
      </c>
      <c r="H2033" s="14" t="s">
        <v>1400</v>
      </c>
      <c r="I2033" s="14" t="s">
        <v>75</v>
      </c>
      <c r="J2033" s="14" t="s">
        <v>201</v>
      </c>
      <c r="K2033" s="14">
        <v>1</v>
      </c>
      <c r="L2033" s="14" t="s">
        <v>1400</v>
      </c>
      <c r="N2033" s="14">
        <v>0</v>
      </c>
      <c r="O2033" s="14" t="b">
        <v>1</v>
      </c>
      <c r="Q2033" s="14" t="b">
        <v>0</v>
      </c>
      <c r="R2033" s="14">
        <v>1</v>
      </c>
      <c r="S2033" s="14" t="s">
        <v>77</v>
      </c>
      <c r="T2033" s="14">
        <v>999</v>
      </c>
      <c r="U2033" s="14" t="s">
        <v>1401</v>
      </c>
      <c r="V2033" s="14">
        <v>31914015</v>
      </c>
      <c r="X2033" s="14" t="s">
        <v>3255</v>
      </c>
      <c r="Y2033" s="14" t="s">
        <v>215</v>
      </c>
      <c r="Z2033" s="14">
        <v>20796</v>
      </c>
      <c r="AA2033" s="14" t="s">
        <v>3256</v>
      </c>
      <c r="AB2033" s="14">
        <v>40001</v>
      </c>
      <c r="AE2033" s="14" t="s">
        <v>1400</v>
      </c>
      <c r="AF2033" s="14" t="s">
        <v>1400</v>
      </c>
      <c r="AG2033" s="14" t="s">
        <v>92</v>
      </c>
    </row>
    <row r="2034" spans="2:33">
      <c r="B2034" s="14">
        <f>10000000+INDEX(编号表!$B:$B,MATCH(H2034,编号表!$A:$A,0))*100000+INDEX(编号表!$F:$F,MATCH(D2034,编号表!$E:$E,0))*10000+INDEX(编号表!$D:$D,MATCH(AG2034,编号表!$C:$C,0))*1000+F2034</f>
        <v>11924016</v>
      </c>
      <c r="C2034" s="14" t="s">
        <v>3254</v>
      </c>
      <c r="D2034" s="14" t="s">
        <v>112</v>
      </c>
      <c r="E2034" s="14" t="s">
        <v>92</v>
      </c>
      <c r="F2034" s="14">
        <v>16</v>
      </c>
      <c r="G2034" s="14">
        <v>60</v>
      </c>
      <c r="H2034" s="14" t="s">
        <v>1400</v>
      </c>
      <c r="I2034" s="14" t="s">
        <v>75</v>
      </c>
      <c r="J2034" s="14" t="s">
        <v>201</v>
      </c>
      <c r="K2034" s="14">
        <v>1</v>
      </c>
      <c r="L2034" s="14" t="s">
        <v>1400</v>
      </c>
      <c r="N2034" s="14">
        <v>0</v>
      </c>
      <c r="O2034" s="14" t="b">
        <v>1</v>
      </c>
      <c r="Q2034" s="14" t="b">
        <v>0</v>
      </c>
      <c r="R2034" s="14">
        <v>1</v>
      </c>
      <c r="S2034" s="14" t="s">
        <v>77</v>
      </c>
      <c r="T2034" s="14">
        <v>999</v>
      </c>
      <c r="U2034" s="14" t="s">
        <v>1401</v>
      </c>
      <c r="V2034" s="14">
        <v>31924016</v>
      </c>
      <c r="X2034" s="14" t="s">
        <v>3257</v>
      </c>
      <c r="Y2034" s="14" t="s">
        <v>215</v>
      </c>
      <c r="Z2034" s="14">
        <v>20797</v>
      </c>
      <c r="AA2034" s="14" t="s">
        <v>3258</v>
      </c>
      <c r="AB2034" s="14">
        <v>40001</v>
      </c>
      <c r="AE2034" s="14" t="s">
        <v>1400</v>
      </c>
      <c r="AF2034" s="14" t="s">
        <v>1400</v>
      </c>
      <c r="AG2034" s="14" t="s">
        <v>92</v>
      </c>
    </row>
    <row r="2035" spans="2:33">
      <c r="B2035" s="14">
        <f>10000000+INDEX(编号表!$B:$B,MATCH(H2035,编号表!$A:$A,0))*100000+INDEX(编号表!$F:$F,MATCH(D2035,编号表!$E:$E,0))*10000+INDEX(编号表!$D:$D,MATCH(AG2035,编号表!$C:$C,0))*1000+F2035</f>
        <v>11934017</v>
      </c>
      <c r="C2035" s="14" t="s">
        <v>3254</v>
      </c>
      <c r="D2035" s="14" t="s">
        <v>276</v>
      </c>
      <c r="E2035" s="14" t="s">
        <v>92</v>
      </c>
      <c r="F2035" s="14">
        <v>17</v>
      </c>
      <c r="G2035" s="14">
        <v>60</v>
      </c>
      <c r="H2035" s="14" t="s">
        <v>1400</v>
      </c>
      <c r="I2035" s="14" t="s">
        <v>75</v>
      </c>
      <c r="J2035" s="14" t="s">
        <v>201</v>
      </c>
      <c r="K2035" s="14">
        <v>1</v>
      </c>
      <c r="L2035" s="14" t="s">
        <v>1400</v>
      </c>
      <c r="N2035" s="14">
        <v>0</v>
      </c>
      <c r="O2035" s="14" t="b">
        <v>1</v>
      </c>
      <c r="Q2035" s="14" t="b">
        <v>0</v>
      </c>
      <c r="R2035" s="14">
        <v>1</v>
      </c>
      <c r="S2035" s="14" t="s">
        <v>77</v>
      </c>
      <c r="T2035" s="14">
        <v>999</v>
      </c>
      <c r="U2035" s="14" t="s">
        <v>1401</v>
      </c>
      <c r="V2035" s="14">
        <v>31934017</v>
      </c>
      <c r="X2035" s="14" t="s">
        <v>3259</v>
      </c>
      <c r="Y2035" s="14" t="s">
        <v>215</v>
      </c>
      <c r="Z2035" s="14">
        <v>20798</v>
      </c>
      <c r="AA2035" s="14" t="s">
        <v>3260</v>
      </c>
      <c r="AB2035" s="14">
        <v>40001</v>
      </c>
      <c r="AE2035" s="14" t="s">
        <v>1400</v>
      </c>
      <c r="AF2035" s="14" t="s">
        <v>1400</v>
      </c>
      <c r="AG2035" s="14" t="s">
        <v>92</v>
      </c>
    </row>
    <row r="2036" spans="2:33">
      <c r="B2036" s="14">
        <f>10000000+INDEX(编号表!$B:$B,MATCH(H2036,编号表!$A:$A,0))*100000+INDEX(编号表!$F:$F,MATCH(D2036,编号表!$E:$E,0))*10000+INDEX(编号表!$D:$D,MATCH(AG2036,编号表!$C:$C,0))*1000+F2036</f>
        <v>11914016</v>
      </c>
      <c r="C2036" s="14" t="s">
        <v>3261</v>
      </c>
      <c r="D2036" s="14" t="s">
        <v>72</v>
      </c>
      <c r="E2036" s="14" t="s">
        <v>92</v>
      </c>
      <c r="F2036" s="14">
        <v>16</v>
      </c>
      <c r="G2036" s="14">
        <v>60</v>
      </c>
      <c r="H2036" s="14" t="s">
        <v>1400</v>
      </c>
      <c r="I2036" s="14" t="s">
        <v>75</v>
      </c>
      <c r="J2036" s="14" t="s">
        <v>201</v>
      </c>
      <c r="K2036" s="14">
        <v>1</v>
      </c>
      <c r="L2036" s="14" t="s">
        <v>1400</v>
      </c>
      <c r="N2036" s="14">
        <v>0</v>
      </c>
      <c r="O2036" s="14" t="b">
        <v>1</v>
      </c>
      <c r="Q2036" s="14" t="b">
        <v>0</v>
      </c>
      <c r="R2036" s="14">
        <v>1</v>
      </c>
      <c r="S2036" s="14" t="s">
        <v>77</v>
      </c>
      <c r="T2036" s="14">
        <v>999</v>
      </c>
      <c r="U2036" s="14" t="s">
        <v>1401</v>
      </c>
      <c r="V2036" s="14">
        <v>31914016</v>
      </c>
      <c r="X2036" s="14" t="s">
        <v>3262</v>
      </c>
      <c r="Y2036" s="14" t="s">
        <v>215</v>
      </c>
      <c r="Z2036" s="14">
        <v>20799</v>
      </c>
      <c r="AA2036" s="14" t="s">
        <v>3263</v>
      </c>
      <c r="AB2036" s="14">
        <v>40001</v>
      </c>
      <c r="AE2036" s="14" t="s">
        <v>1400</v>
      </c>
      <c r="AF2036" s="14" t="s">
        <v>1400</v>
      </c>
      <c r="AG2036" s="14" t="s">
        <v>92</v>
      </c>
    </row>
    <row r="2037" spans="2:33">
      <c r="B2037" s="14">
        <f>10000000+INDEX(编号表!$B:$B,MATCH(H2037,编号表!$A:$A,0))*100000+INDEX(编号表!$F:$F,MATCH(D2037,编号表!$E:$E,0))*10000+INDEX(编号表!$D:$D,MATCH(AG2037,编号表!$C:$C,0))*1000+F2037</f>
        <v>11924017</v>
      </c>
      <c r="C2037" s="14" t="s">
        <v>3261</v>
      </c>
      <c r="D2037" s="14" t="s">
        <v>112</v>
      </c>
      <c r="E2037" s="14" t="s">
        <v>92</v>
      </c>
      <c r="F2037" s="14">
        <v>17</v>
      </c>
      <c r="G2037" s="14">
        <v>60</v>
      </c>
      <c r="H2037" s="14" t="s">
        <v>1400</v>
      </c>
      <c r="I2037" s="14" t="s">
        <v>75</v>
      </c>
      <c r="J2037" s="14" t="s">
        <v>201</v>
      </c>
      <c r="K2037" s="14">
        <v>1</v>
      </c>
      <c r="L2037" s="14" t="s">
        <v>1400</v>
      </c>
      <c r="N2037" s="14">
        <v>0</v>
      </c>
      <c r="O2037" s="14" t="b">
        <v>1</v>
      </c>
      <c r="Q2037" s="14" t="b">
        <v>0</v>
      </c>
      <c r="R2037" s="14">
        <v>1</v>
      </c>
      <c r="S2037" s="14" t="s">
        <v>77</v>
      </c>
      <c r="T2037" s="14">
        <v>999</v>
      </c>
      <c r="U2037" s="14" t="s">
        <v>1401</v>
      </c>
      <c r="V2037" s="14">
        <v>31924017</v>
      </c>
      <c r="X2037" s="14" t="s">
        <v>3264</v>
      </c>
      <c r="Y2037" s="14" t="s">
        <v>215</v>
      </c>
      <c r="Z2037" s="14">
        <v>20800</v>
      </c>
      <c r="AA2037" s="14" t="s">
        <v>3265</v>
      </c>
      <c r="AB2037" s="14">
        <v>40001</v>
      </c>
      <c r="AE2037" s="14" t="s">
        <v>1400</v>
      </c>
      <c r="AF2037" s="14" t="s">
        <v>1400</v>
      </c>
      <c r="AG2037" s="14" t="s">
        <v>92</v>
      </c>
    </row>
    <row r="2038" spans="2:33">
      <c r="B2038" s="14">
        <f>10000000+INDEX(编号表!$B:$B,MATCH(H2038,编号表!$A:$A,0))*100000+INDEX(编号表!$F:$F,MATCH(D2038,编号表!$E:$E,0))*10000+INDEX(编号表!$D:$D,MATCH(AG2038,编号表!$C:$C,0))*1000+F2038</f>
        <v>11934018</v>
      </c>
      <c r="C2038" s="14" t="s">
        <v>3261</v>
      </c>
      <c r="D2038" s="14" t="s">
        <v>276</v>
      </c>
      <c r="E2038" s="14" t="s">
        <v>92</v>
      </c>
      <c r="F2038" s="14">
        <v>18</v>
      </c>
      <c r="G2038" s="14">
        <v>60</v>
      </c>
      <c r="H2038" s="14" t="s">
        <v>1400</v>
      </c>
      <c r="I2038" s="14" t="s">
        <v>75</v>
      </c>
      <c r="J2038" s="14" t="s">
        <v>201</v>
      </c>
      <c r="K2038" s="14">
        <v>1</v>
      </c>
      <c r="L2038" s="14" t="s">
        <v>1400</v>
      </c>
      <c r="N2038" s="14">
        <v>0</v>
      </c>
      <c r="O2038" s="14" t="b">
        <v>1</v>
      </c>
      <c r="Q2038" s="14" t="b">
        <v>0</v>
      </c>
      <c r="R2038" s="14">
        <v>1</v>
      </c>
      <c r="S2038" s="14" t="s">
        <v>77</v>
      </c>
      <c r="T2038" s="14">
        <v>999</v>
      </c>
      <c r="U2038" s="14" t="s">
        <v>1401</v>
      </c>
      <c r="V2038" s="14">
        <v>31934018</v>
      </c>
      <c r="X2038" s="14" t="s">
        <v>3266</v>
      </c>
      <c r="Y2038" s="14" t="s">
        <v>215</v>
      </c>
      <c r="Z2038" s="14">
        <v>20801</v>
      </c>
      <c r="AA2038" s="14" t="s">
        <v>3267</v>
      </c>
      <c r="AB2038" s="14">
        <v>40001</v>
      </c>
      <c r="AE2038" s="14" t="s">
        <v>1400</v>
      </c>
      <c r="AF2038" s="14" t="s">
        <v>1400</v>
      </c>
      <c r="AG2038" s="14" t="s">
        <v>92</v>
      </c>
    </row>
    <row r="2039" spans="2:33">
      <c r="B2039" s="14">
        <f>10000000+INDEX(编号表!$B:$B,MATCH(H2039,编号表!$A:$A,0))*100000+INDEX(编号表!$F:$F,MATCH(D2039,编号表!$E:$E,0))*10000+INDEX(编号表!$D:$D,MATCH(AG2039,编号表!$C:$C,0))*1000+F2039</f>
        <v>11914017</v>
      </c>
      <c r="C2039" s="14" t="s">
        <v>3268</v>
      </c>
      <c r="D2039" s="14" t="s">
        <v>72</v>
      </c>
      <c r="E2039" s="14" t="s">
        <v>92</v>
      </c>
      <c r="F2039" s="14">
        <v>17</v>
      </c>
      <c r="G2039" s="14">
        <v>60</v>
      </c>
      <c r="H2039" s="14" t="s">
        <v>1400</v>
      </c>
      <c r="I2039" s="14" t="s">
        <v>75</v>
      </c>
      <c r="J2039" s="14" t="s">
        <v>201</v>
      </c>
      <c r="K2039" s="14">
        <v>1</v>
      </c>
      <c r="L2039" s="14" t="s">
        <v>1400</v>
      </c>
      <c r="N2039" s="14">
        <v>0</v>
      </c>
      <c r="O2039" s="14" t="b">
        <v>1</v>
      </c>
      <c r="Q2039" s="14" t="b">
        <v>0</v>
      </c>
      <c r="R2039" s="14">
        <v>1</v>
      </c>
      <c r="S2039" s="14" t="s">
        <v>77</v>
      </c>
      <c r="T2039" s="14">
        <v>999</v>
      </c>
      <c r="U2039" s="14" t="s">
        <v>1401</v>
      </c>
      <c r="V2039" s="14">
        <v>31914017</v>
      </c>
      <c r="X2039" s="14" t="s">
        <v>3269</v>
      </c>
      <c r="Y2039" s="14" t="s">
        <v>215</v>
      </c>
      <c r="Z2039" s="14">
        <v>20802</v>
      </c>
      <c r="AA2039" s="14" t="s">
        <v>3270</v>
      </c>
      <c r="AB2039" s="14">
        <v>40001</v>
      </c>
      <c r="AE2039" s="14" t="s">
        <v>1400</v>
      </c>
      <c r="AF2039" s="14" t="s">
        <v>1400</v>
      </c>
      <c r="AG2039" s="14" t="s">
        <v>92</v>
      </c>
    </row>
    <row r="2040" spans="2:33">
      <c r="B2040" s="14">
        <f>10000000+INDEX(编号表!$B:$B,MATCH(H2040,编号表!$A:$A,0))*100000+INDEX(编号表!$F:$F,MATCH(D2040,编号表!$E:$E,0))*10000+INDEX(编号表!$D:$D,MATCH(AG2040,编号表!$C:$C,0))*1000+F2040</f>
        <v>11924018</v>
      </c>
      <c r="C2040" s="14" t="s">
        <v>3268</v>
      </c>
      <c r="D2040" s="14" t="s">
        <v>112</v>
      </c>
      <c r="E2040" s="14" t="s">
        <v>92</v>
      </c>
      <c r="F2040" s="14">
        <v>18</v>
      </c>
      <c r="G2040" s="14">
        <v>60</v>
      </c>
      <c r="H2040" s="14" t="s">
        <v>1400</v>
      </c>
      <c r="I2040" s="14" t="s">
        <v>75</v>
      </c>
      <c r="J2040" s="14" t="s">
        <v>201</v>
      </c>
      <c r="K2040" s="14">
        <v>1</v>
      </c>
      <c r="L2040" s="14" t="s">
        <v>1400</v>
      </c>
      <c r="N2040" s="14">
        <v>0</v>
      </c>
      <c r="O2040" s="14" t="b">
        <v>1</v>
      </c>
      <c r="Q2040" s="14" t="b">
        <v>0</v>
      </c>
      <c r="R2040" s="14">
        <v>1</v>
      </c>
      <c r="S2040" s="14" t="s">
        <v>77</v>
      </c>
      <c r="T2040" s="14">
        <v>999</v>
      </c>
      <c r="U2040" s="14" t="s">
        <v>1401</v>
      </c>
      <c r="V2040" s="14">
        <v>31924018</v>
      </c>
      <c r="X2040" s="14" t="s">
        <v>3271</v>
      </c>
      <c r="Y2040" s="14" t="s">
        <v>215</v>
      </c>
      <c r="Z2040" s="14">
        <v>20803</v>
      </c>
      <c r="AA2040" s="14" t="s">
        <v>3272</v>
      </c>
      <c r="AB2040" s="14">
        <v>40001</v>
      </c>
      <c r="AE2040" s="14" t="s">
        <v>1400</v>
      </c>
      <c r="AF2040" s="14" t="s">
        <v>1400</v>
      </c>
      <c r="AG2040" s="14" t="s">
        <v>92</v>
      </c>
    </row>
    <row r="2041" spans="2:33">
      <c r="B2041" s="14">
        <f>10000000+INDEX(编号表!$B:$B,MATCH(H2041,编号表!$A:$A,0))*100000+INDEX(编号表!$F:$F,MATCH(D2041,编号表!$E:$E,0))*10000+INDEX(编号表!$D:$D,MATCH(AG2041,编号表!$C:$C,0))*1000+F2041</f>
        <v>11934019</v>
      </c>
      <c r="C2041" s="14" t="s">
        <v>3268</v>
      </c>
      <c r="D2041" s="14" t="s">
        <v>276</v>
      </c>
      <c r="E2041" s="14" t="s">
        <v>92</v>
      </c>
      <c r="F2041" s="14">
        <v>19</v>
      </c>
      <c r="G2041" s="14">
        <v>60</v>
      </c>
      <c r="H2041" s="14" t="s">
        <v>1400</v>
      </c>
      <c r="I2041" s="14" t="s">
        <v>75</v>
      </c>
      <c r="J2041" s="14" t="s">
        <v>201</v>
      </c>
      <c r="K2041" s="14">
        <v>1</v>
      </c>
      <c r="L2041" s="14" t="s">
        <v>1400</v>
      </c>
      <c r="N2041" s="14">
        <v>0</v>
      </c>
      <c r="O2041" s="14" t="b">
        <v>1</v>
      </c>
      <c r="Q2041" s="14" t="b">
        <v>0</v>
      </c>
      <c r="R2041" s="14">
        <v>1</v>
      </c>
      <c r="S2041" s="14" t="s">
        <v>77</v>
      </c>
      <c r="T2041" s="14">
        <v>999</v>
      </c>
      <c r="U2041" s="14" t="s">
        <v>1401</v>
      </c>
      <c r="V2041" s="14">
        <v>31934019</v>
      </c>
      <c r="X2041" s="14" t="s">
        <v>3273</v>
      </c>
      <c r="Y2041" s="14" t="s">
        <v>215</v>
      </c>
      <c r="Z2041" s="14">
        <v>20804</v>
      </c>
      <c r="AA2041" s="14" t="s">
        <v>3274</v>
      </c>
      <c r="AB2041" s="14">
        <v>40001</v>
      </c>
      <c r="AE2041" s="14" t="s">
        <v>1400</v>
      </c>
      <c r="AF2041" s="14" t="s">
        <v>1400</v>
      </c>
      <c r="AG2041" s="14" t="s">
        <v>92</v>
      </c>
    </row>
    <row r="2042" spans="2:33">
      <c r="B2042" s="14">
        <f>10000000+INDEX(编号表!$B:$B,MATCH(H2042,编号表!$A:$A,0))*100000+INDEX(编号表!$F:$F,MATCH(D2042,编号表!$E:$E,0))*10000+INDEX(编号表!$D:$D,MATCH(AG2042,编号表!$C:$C,0))*1000+F2042</f>
        <v>11914018</v>
      </c>
      <c r="C2042" s="14" t="s">
        <v>3275</v>
      </c>
      <c r="D2042" s="14" t="s">
        <v>72</v>
      </c>
      <c r="E2042" s="14" t="s">
        <v>92</v>
      </c>
      <c r="F2042" s="14">
        <v>18</v>
      </c>
      <c r="G2042" s="14">
        <v>60</v>
      </c>
      <c r="H2042" s="14" t="s">
        <v>1400</v>
      </c>
      <c r="I2042" s="14" t="s">
        <v>75</v>
      </c>
      <c r="J2042" s="14" t="s">
        <v>201</v>
      </c>
      <c r="K2042" s="14">
        <v>1</v>
      </c>
      <c r="L2042" s="14" t="s">
        <v>1400</v>
      </c>
      <c r="N2042" s="14">
        <v>0</v>
      </c>
      <c r="O2042" s="14" t="b">
        <v>1</v>
      </c>
      <c r="Q2042" s="14" t="b">
        <v>0</v>
      </c>
      <c r="R2042" s="14">
        <v>1</v>
      </c>
      <c r="S2042" s="14" t="s">
        <v>77</v>
      </c>
      <c r="T2042" s="14">
        <v>999</v>
      </c>
      <c r="U2042" s="14" t="s">
        <v>1401</v>
      </c>
      <c r="V2042" s="14">
        <v>31914018</v>
      </c>
      <c r="X2042" s="14" t="s">
        <v>3276</v>
      </c>
      <c r="Y2042" s="14" t="s">
        <v>215</v>
      </c>
      <c r="Z2042" s="14">
        <v>20805</v>
      </c>
      <c r="AA2042" s="14" t="s">
        <v>3277</v>
      </c>
      <c r="AB2042" s="14">
        <v>40001</v>
      </c>
      <c r="AE2042" s="14" t="s">
        <v>1400</v>
      </c>
      <c r="AF2042" s="14" t="s">
        <v>1400</v>
      </c>
      <c r="AG2042" s="14" t="s">
        <v>92</v>
      </c>
    </row>
    <row r="2043" spans="2:33">
      <c r="B2043" s="14">
        <f>10000000+INDEX(编号表!$B:$B,MATCH(H2043,编号表!$A:$A,0))*100000+INDEX(编号表!$F:$F,MATCH(D2043,编号表!$E:$E,0))*10000+INDEX(编号表!$D:$D,MATCH(AG2043,编号表!$C:$C,0))*1000+F2043</f>
        <v>11924019</v>
      </c>
      <c r="C2043" s="14" t="s">
        <v>3275</v>
      </c>
      <c r="D2043" s="14" t="s">
        <v>112</v>
      </c>
      <c r="E2043" s="14" t="s">
        <v>92</v>
      </c>
      <c r="F2043" s="14">
        <v>19</v>
      </c>
      <c r="G2043" s="14">
        <v>60</v>
      </c>
      <c r="H2043" s="14" t="s">
        <v>1400</v>
      </c>
      <c r="I2043" s="14" t="s">
        <v>75</v>
      </c>
      <c r="J2043" s="14" t="s">
        <v>201</v>
      </c>
      <c r="K2043" s="14">
        <v>1</v>
      </c>
      <c r="L2043" s="14" t="s">
        <v>1400</v>
      </c>
      <c r="N2043" s="14">
        <v>0</v>
      </c>
      <c r="O2043" s="14" t="b">
        <v>1</v>
      </c>
      <c r="Q2043" s="14" t="b">
        <v>0</v>
      </c>
      <c r="R2043" s="14">
        <v>1</v>
      </c>
      <c r="S2043" s="14" t="s">
        <v>77</v>
      </c>
      <c r="T2043" s="14">
        <v>999</v>
      </c>
      <c r="U2043" s="14" t="s">
        <v>1401</v>
      </c>
      <c r="V2043" s="14">
        <v>31924019</v>
      </c>
      <c r="X2043" s="14" t="s">
        <v>3278</v>
      </c>
      <c r="Y2043" s="14" t="s">
        <v>215</v>
      </c>
      <c r="Z2043" s="14">
        <v>20806</v>
      </c>
      <c r="AA2043" s="14" t="s">
        <v>3279</v>
      </c>
      <c r="AB2043" s="14">
        <v>40001</v>
      </c>
      <c r="AE2043" s="14" t="s">
        <v>1400</v>
      </c>
      <c r="AF2043" s="14" t="s">
        <v>1400</v>
      </c>
      <c r="AG2043" s="14" t="s">
        <v>92</v>
      </c>
    </row>
    <row r="2044" spans="2:33">
      <c r="B2044" s="14">
        <f>10000000+INDEX(编号表!$B:$B,MATCH(H2044,编号表!$A:$A,0))*100000+INDEX(编号表!$F:$F,MATCH(D2044,编号表!$E:$E,0))*10000+INDEX(编号表!$D:$D,MATCH(AG2044,编号表!$C:$C,0))*1000+F2044</f>
        <v>11934020</v>
      </c>
      <c r="C2044" s="14" t="s">
        <v>3275</v>
      </c>
      <c r="D2044" s="14" t="s">
        <v>276</v>
      </c>
      <c r="E2044" s="14" t="s">
        <v>92</v>
      </c>
      <c r="F2044" s="14">
        <v>20</v>
      </c>
      <c r="G2044" s="14">
        <v>60</v>
      </c>
      <c r="H2044" s="14" t="s">
        <v>1400</v>
      </c>
      <c r="I2044" s="14" t="s">
        <v>75</v>
      </c>
      <c r="J2044" s="14" t="s">
        <v>201</v>
      </c>
      <c r="K2044" s="14">
        <v>1</v>
      </c>
      <c r="L2044" s="14" t="s">
        <v>1400</v>
      </c>
      <c r="N2044" s="14">
        <v>0</v>
      </c>
      <c r="O2044" s="14" t="b">
        <v>1</v>
      </c>
      <c r="Q2044" s="14" t="b">
        <v>0</v>
      </c>
      <c r="R2044" s="14">
        <v>1</v>
      </c>
      <c r="S2044" s="14" t="s">
        <v>77</v>
      </c>
      <c r="T2044" s="14">
        <v>999</v>
      </c>
      <c r="U2044" s="14" t="s">
        <v>1401</v>
      </c>
      <c r="V2044" s="14">
        <v>31934020</v>
      </c>
      <c r="X2044" s="14" t="s">
        <v>3280</v>
      </c>
      <c r="Y2044" s="14" t="s">
        <v>215</v>
      </c>
      <c r="Z2044" s="14">
        <v>20807</v>
      </c>
      <c r="AA2044" s="14" t="s">
        <v>3281</v>
      </c>
      <c r="AB2044" s="14">
        <v>40001</v>
      </c>
      <c r="AE2044" s="14" t="s">
        <v>1400</v>
      </c>
      <c r="AF2044" s="14" t="s">
        <v>1400</v>
      </c>
      <c r="AG2044" s="14" t="s">
        <v>92</v>
      </c>
    </row>
    <row r="2045" spans="2:33">
      <c r="B2045" s="14">
        <f>10000000+INDEX(编号表!$B:$B,MATCH(H2045,编号表!$A:$A,0))*100000+INDEX(编号表!$F:$F,MATCH(D2045,编号表!$E:$E,0))*10000+INDEX(编号表!$D:$D,MATCH(AG2045,编号表!$C:$C,0))*1000+F2045</f>
        <v>11914019</v>
      </c>
      <c r="C2045" s="14" t="s">
        <v>3282</v>
      </c>
      <c r="D2045" s="14" t="s">
        <v>72</v>
      </c>
      <c r="E2045" s="14" t="s">
        <v>92</v>
      </c>
      <c r="F2045" s="14">
        <v>19</v>
      </c>
      <c r="G2045" s="14">
        <v>60</v>
      </c>
      <c r="H2045" s="14" t="s">
        <v>1400</v>
      </c>
      <c r="I2045" s="14" t="s">
        <v>75</v>
      </c>
      <c r="J2045" s="14" t="s">
        <v>201</v>
      </c>
      <c r="K2045" s="14">
        <v>1</v>
      </c>
      <c r="L2045" s="14" t="s">
        <v>1400</v>
      </c>
      <c r="N2045" s="14">
        <v>0</v>
      </c>
      <c r="O2045" s="14" t="b">
        <v>1</v>
      </c>
      <c r="Q2045" s="14" t="b">
        <v>0</v>
      </c>
      <c r="R2045" s="14">
        <v>1</v>
      </c>
      <c r="S2045" s="14" t="s">
        <v>77</v>
      </c>
      <c r="T2045" s="14">
        <v>999</v>
      </c>
      <c r="U2045" s="14" t="s">
        <v>1401</v>
      </c>
      <c r="V2045" s="14">
        <v>31914019</v>
      </c>
      <c r="X2045" s="14" t="s">
        <v>3283</v>
      </c>
      <c r="Y2045" s="14" t="s">
        <v>215</v>
      </c>
      <c r="Z2045" s="14">
        <v>20808</v>
      </c>
      <c r="AA2045" s="14" t="s">
        <v>3284</v>
      </c>
      <c r="AB2045" s="14">
        <v>40001</v>
      </c>
      <c r="AE2045" s="14" t="s">
        <v>1400</v>
      </c>
      <c r="AF2045" s="14" t="s">
        <v>1400</v>
      </c>
      <c r="AG2045" s="14" t="s">
        <v>92</v>
      </c>
    </row>
    <row r="2046" spans="2:33">
      <c r="B2046" s="14">
        <f>10000000+INDEX(编号表!$B:$B,MATCH(H2046,编号表!$A:$A,0))*100000+INDEX(编号表!$F:$F,MATCH(D2046,编号表!$E:$E,0))*10000+INDEX(编号表!$D:$D,MATCH(AG2046,编号表!$C:$C,0))*1000+F2046</f>
        <v>11924020</v>
      </c>
      <c r="C2046" s="14" t="s">
        <v>3282</v>
      </c>
      <c r="D2046" s="14" t="s">
        <v>112</v>
      </c>
      <c r="E2046" s="14" t="s">
        <v>92</v>
      </c>
      <c r="F2046" s="14">
        <v>20</v>
      </c>
      <c r="G2046" s="14">
        <v>60</v>
      </c>
      <c r="H2046" s="14" t="s">
        <v>1400</v>
      </c>
      <c r="I2046" s="14" t="s">
        <v>75</v>
      </c>
      <c r="J2046" s="14" t="s">
        <v>201</v>
      </c>
      <c r="K2046" s="14">
        <v>1</v>
      </c>
      <c r="L2046" s="14" t="s">
        <v>1400</v>
      </c>
      <c r="N2046" s="14">
        <v>0</v>
      </c>
      <c r="O2046" s="14" t="b">
        <v>1</v>
      </c>
      <c r="Q2046" s="14" t="b">
        <v>0</v>
      </c>
      <c r="R2046" s="14">
        <v>1</v>
      </c>
      <c r="S2046" s="14" t="s">
        <v>77</v>
      </c>
      <c r="T2046" s="14">
        <v>999</v>
      </c>
      <c r="U2046" s="14" t="s">
        <v>1401</v>
      </c>
      <c r="V2046" s="14">
        <v>31924020</v>
      </c>
      <c r="X2046" s="14" t="s">
        <v>3285</v>
      </c>
      <c r="Y2046" s="14" t="s">
        <v>215</v>
      </c>
      <c r="Z2046" s="14">
        <v>20809</v>
      </c>
      <c r="AA2046" s="14" t="s">
        <v>3286</v>
      </c>
      <c r="AB2046" s="14">
        <v>40001</v>
      </c>
      <c r="AE2046" s="14" t="s">
        <v>1400</v>
      </c>
      <c r="AF2046" s="14" t="s">
        <v>1400</v>
      </c>
      <c r="AG2046" s="14" t="s">
        <v>92</v>
      </c>
    </row>
    <row r="2047" spans="2:33">
      <c r="B2047" s="14">
        <f>10000000+INDEX(编号表!$B:$B,MATCH(H2047,编号表!$A:$A,0))*100000+INDEX(编号表!$F:$F,MATCH(D2047,编号表!$E:$E,0))*10000+INDEX(编号表!$D:$D,MATCH(AG2047,编号表!$C:$C,0))*1000+F2047</f>
        <v>11934021</v>
      </c>
      <c r="C2047" s="14" t="s">
        <v>3282</v>
      </c>
      <c r="D2047" s="14" t="s">
        <v>276</v>
      </c>
      <c r="E2047" s="14" t="s">
        <v>92</v>
      </c>
      <c r="F2047" s="14">
        <v>21</v>
      </c>
      <c r="G2047" s="14">
        <v>60</v>
      </c>
      <c r="H2047" s="14" t="s">
        <v>1400</v>
      </c>
      <c r="I2047" s="14" t="s">
        <v>75</v>
      </c>
      <c r="J2047" s="14" t="s">
        <v>201</v>
      </c>
      <c r="K2047" s="14">
        <v>1</v>
      </c>
      <c r="L2047" s="14" t="s">
        <v>1400</v>
      </c>
      <c r="N2047" s="14">
        <v>0</v>
      </c>
      <c r="O2047" s="14" t="b">
        <v>1</v>
      </c>
      <c r="Q2047" s="14" t="b">
        <v>0</v>
      </c>
      <c r="R2047" s="14">
        <v>1</v>
      </c>
      <c r="S2047" s="14" t="s">
        <v>77</v>
      </c>
      <c r="T2047" s="14">
        <v>999</v>
      </c>
      <c r="U2047" s="14" t="s">
        <v>1401</v>
      </c>
      <c r="V2047" s="14">
        <v>31934021</v>
      </c>
      <c r="X2047" s="14" t="s">
        <v>3287</v>
      </c>
      <c r="Y2047" s="14" t="s">
        <v>215</v>
      </c>
      <c r="Z2047" s="14">
        <v>20810</v>
      </c>
      <c r="AA2047" s="14" t="s">
        <v>3288</v>
      </c>
      <c r="AB2047" s="14">
        <v>40001</v>
      </c>
      <c r="AE2047" s="14" t="s">
        <v>1400</v>
      </c>
      <c r="AF2047" s="14" t="s">
        <v>1400</v>
      </c>
      <c r="AG2047" s="14" t="s">
        <v>92</v>
      </c>
    </row>
    <row r="2048" spans="2:33">
      <c r="B2048" s="14">
        <f>10000000+INDEX(编号表!$B:$B,MATCH(H2048,编号表!$A:$A,0))*100000+INDEX(编号表!$F:$F,MATCH(D2048,编号表!$E:$E,0))*10000+INDEX(编号表!$D:$D,MATCH(AG2048,编号表!$C:$C,0))*1000+F2048</f>
        <v>11914020</v>
      </c>
      <c r="C2048" s="14" t="s">
        <v>3289</v>
      </c>
      <c r="D2048" s="14" t="s">
        <v>72</v>
      </c>
      <c r="E2048" s="14" t="s">
        <v>92</v>
      </c>
      <c r="F2048" s="14">
        <v>20</v>
      </c>
      <c r="G2048" s="14">
        <v>60</v>
      </c>
      <c r="H2048" s="14" t="s">
        <v>1400</v>
      </c>
      <c r="I2048" s="14" t="s">
        <v>75</v>
      </c>
      <c r="J2048" s="14" t="s">
        <v>201</v>
      </c>
      <c r="K2048" s="14">
        <v>1</v>
      </c>
      <c r="L2048" s="14" t="s">
        <v>1400</v>
      </c>
      <c r="N2048" s="14">
        <v>0</v>
      </c>
      <c r="O2048" s="14" t="b">
        <v>1</v>
      </c>
      <c r="Q2048" s="14" t="b">
        <v>0</v>
      </c>
      <c r="R2048" s="14">
        <v>1</v>
      </c>
      <c r="S2048" s="14" t="s">
        <v>77</v>
      </c>
      <c r="T2048" s="14">
        <v>999</v>
      </c>
      <c r="U2048" s="14" t="s">
        <v>1401</v>
      </c>
      <c r="V2048" s="14">
        <v>31914020</v>
      </c>
      <c r="X2048" s="14" t="s">
        <v>3290</v>
      </c>
      <c r="Y2048" s="14" t="s">
        <v>215</v>
      </c>
      <c r="Z2048" s="14">
        <v>20811</v>
      </c>
      <c r="AA2048" s="14" t="s">
        <v>3291</v>
      </c>
      <c r="AB2048" s="14">
        <v>40001</v>
      </c>
      <c r="AE2048" s="14" t="s">
        <v>1400</v>
      </c>
      <c r="AF2048" s="14" t="s">
        <v>1400</v>
      </c>
      <c r="AG2048" s="14" t="s">
        <v>92</v>
      </c>
    </row>
    <row r="2049" spans="2:33">
      <c r="B2049" s="14">
        <f>10000000+INDEX(编号表!$B:$B,MATCH(H2049,编号表!$A:$A,0))*100000+INDEX(编号表!$F:$F,MATCH(D2049,编号表!$E:$E,0))*10000+INDEX(编号表!$D:$D,MATCH(AG2049,编号表!$C:$C,0))*1000+F2049</f>
        <v>11924021</v>
      </c>
      <c r="C2049" s="14" t="s">
        <v>3289</v>
      </c>
      <c r="D2049" s="14" t="s">
        <v>112</v>
      </c>
      <c r="E2049" s="14" t="s">
        <v>92</v>
      </c>
      <c r="F2049" s="14">
        <v>21</v>
      </c>
      <c r="G2049" s="14">
        <v>60</v>
      </c>
      <c r="H2049" s="14" t="s">
        <v>1400</v>
      </c>
      <c r="I2049" s="14" t="s">
        <v>75</v>
      </c>
      <c r="J2049" s="14" t="s">
        <v>201</v>
      </c>
      <c r="K2049" s="14">
        <v>1</v>
      </c>
      <c r="L2049" s="14" t="s">
        <v>1400</v>
      </c>
      <c r="N2049" s="14">
        <v>0</v>
      </c>
      <c r="O2049" s="14" t="b">
        <v>1</v>
      </c>
      <c r="Q2049" s="14" t="b">
        <v>0</v>
      </c>
      <c r="R2049" s="14">
        <v>1</v>
      </c>
      <c r="S2049" s="14" t="s">
        <v>77</v>
      </c>
      <c r="T2049" s="14">
        <v>999</v>
      </c>
      <c r="U2049" s="14" t="s">
        <v>1401</v>
      </c>
      <c r="V2049" s="14">
        <v>31924021</v>
      </c>
      <c r="X2049" s="14" t="s">
        <v>3292</v>
      </c>
      <c r="Y2049" s="14" t="s">
        <v>215</v>
      </c>
      <c r="Z2049" s="14">
        <v>20812</v>
      </c>
      <c r="AA2049" s="14" t="s">
        <v>3293</v>
      </c>
      <c r="AB2049" s="14">
        <v>40001</v>
      </c>
      <c r="AE2049" s="14" t="s">
        <v>1400</v>
      </c>
      <c r="AF2049" s="14" t="s">
        <v>1400</v>
      </c>
      <c r="AG2049" s="14" t="s">
        <v>92</v>
      </c>
    </row>
    <row r="2050" spans="2:33">
      <c r="B2050" s="14">
        <f>10000000+INDEX(编号表!$B:$B,MATCH(H2050,编号表!$A:$A,0))*100000+INDEX(编号表!$F:$F,MATCH(D2050,编号表!$E:$E,0))*10000+INDEX(编号表!$D:$D,MATCH(AG2050,编号表!$C:$C,0))*1000+F2050</f>
        <v>11934022</v>
      </c>
      <c r="C2050" s="14" t="s">
        <v>3289</v>
      </c>
      <c r="D2050" s="14" t="s">
        <v>276</v>
      </c>
      <c r="E2050" s="14" t="s">
        <v>92</v>
      </c>
      <c r="F2050" s="14">
        <v>22</v>
      </c>
      <c r="G2050" s="14">
        <v>60</v>
      </c>
      <c r="H2050" s="14" t="s">
        <v>1400</v>
      </c>
      <c r="I2050" s="14" t="s">
        <v>75</v>
      </c>
      <c r="J2050" s="14" t="s">
        <v>201</v>
      </c>
      <c r="K2050" s="14">
        <v>1</v>
      </c>
      <c r="L2050" s="14" t="s">
        <v>1400</v>
      </c>
      <c r="N2050" s="14">
        <v>0</v>
      </c>
      <c r="O2050" s="14" t="b">
        <v>1</v>
      </c>
      <c r="Q2050" s="14" t="b">
        <v>0</v>
      </c>
      <c r="R2050" s="14">
        <v>1</v>
      </c>
      <c r="S2050" s="14" t="s">
        <v>77</v>
      </c>
      <c r="T2050" s="14">
        <v>999</v>
      </c>
      <c r="U2050" s="14" t="s">
        <v>1401</v>
      </c>
      <c r="V2050" s="14">
        <v>31934022</v>
      </c>
      <c r="X2050" s="14" t="s">
        <v>3294</v>
      </c>
      <c r="Y2050" s="14" t="s">
        <v>215</v>
      </c>
      <c r="Z2050" s="14">
        <v>20813</v>
      </c>
      <c r="AA2050" s="14" t="s">
        <v>3295</v>
      </c>
      <c r="AB2050" s="14">
        <v>40001</v>
      </c>
      <c r="AE2050" s="14" t="s">
        <v>1400</v>
      </c>
      <c r="AF2050" s="14" t="s">
        <v>1400</v>
      </c>
      <c r="AG2050" s="14" t="s">
        <v>92</v>
      </c>
    </row>
    <row r="2051" spans="2:33">
      <c r="B2051" s="14">
        <f>10000000+INDEX(编号表!$B:$B,MATCH(H2051,编号表!$A:$A,0))*100000+INDEX(编号表!$F:$F,MATCH(D2051,编号表!$E:$E,0))*10000+INDEX(编号表!$D:$D,MATCH(AG2051,编号表!$C:$C,0))*1000+F2051</f>
        <v>11914021</v>
      </c>
      <c r="C2051" s="14" t="s">
        <v>3296</v>
      </c>
      <c r="D2051" s="14" t="s">
        <v>72</v>
      </c>
      <c r="E2051" s="14" t="s">
        <v>92</v>
      </c>
      <c r="F2051" s="14">
        <v>21</v>
      </c>
      <c r="G2051" s="14">
        <v>60</v>
      </c>
      <c r="H2051" s="14" t="s">
        <v>1400</v>
      </c>
      <c r="I2051" s="14" t="s">
        <v>75</v>
      </c>
      <c r="J2051" s="14" t="s">
        <v>201</v>
      </c>
      <c r="K2051" s="14">
        <v>1</v>
      </c>
      <c r="L2051" s="14" t="s">
        <v>1400</v>
      </c>
      <c r="N2051" s="14">
        <v>0</v>
      </c>
      <c r="O2051" s="14" t="b">
        <v>1</v>
      </c>
      <c r="Q2051" s="14" t="b">
        <v>0</v>
      </c>
      <c r="R2051" s="14">
        <v>1</v>
      </c>
      <c r="S2051" s="14" t="s">
        <v>77</v>
      </c>
      <c r="T2051" s="14">
        <v>999</v>
      </c>
      <c r="U2051" s="14" t="s">
        <v>1401</v>
      </c>
      <c r="V2051" s="14">
        <v>31914021</v>
      </c>
      <c r="X2051" s="14" t="s">
        <v>3297</v>
      </c>
      <c r="Y2051" s="14" t="s">
        <v>215</v>
      </c>
      <c r="Z2051" s="14">
        <v>20814</v>
      </c>
      <c r="AA2051" s="14" t="s">
        <v>3298</v>
      </c>
      <c r="AB2051" s="14">
        <v>40001</v>
      </c>
      <c r="AE2051" s="14" t="s">
        <v>1400</v>
      </c>
      <c r="AF2051" s="14" t="s">
        <v>1400</v>
      </c>
      <c r="AG2051" s="14" t="s">
        <v>92</v>
      </c>
    </row>
    <row r="2052" spans="2:33">
      <c r="B2052" s="14">
        <f>10000000+INDEX(编号表!$B:$B,MATCH(H2052,编号表!$A:$A,0))*100000+INDEX(编号表!$F:$F,MATCH(D2052,编号表!$E:$E,0))*10000+INDEX(编号表!$D:$D,MATCH(AG2052,编号表!$C:$C,0))*1000+F2052</f>
        <v>11924022</v>
      </c>
      <c r="C2052" s="14" t="s">
        <v>3296</v>
      </c>
      <c r="D2052" s="14" t="s">
        <v>112</v>
      </c>
      <c r="E2052" s="14" t="s">
        <v>92</v>
      </c>
      <c r="F2052" s="14">
        <v>22</v>
      </c>
      <c r="G2052" s="14">
        <v>60</v>
      </c>
      <c r="H2052" s="14" t="s">
        <v>1400</v>
      </c>
      <c r="I2052" s="14" t="s">
        <v>75</v>
      </c>
      <c r="J2052" s="14" t="s">
        <v>201</v>
      </c>
      <c r="K2052" s="14">
        <v>1</v>
      </c>
      <c r="L2052" s="14" t="s">
        <v>1400</v>
      </c>
      <c r="N2052" s="14">
        <v>0</v>
      </c>
      <c r="O2052" s="14" t="b">
        <v>1</v>
      </c>
      <c r="Q2052" s="14" t="b">
        <v>0</v>
      </c>
      <c r="R2052" s="14">
        <v>1</v>
      </c>
      <c r="S2052" s="14" t="s">
        <v>77</v>
      </c>
      <c r="T2052" s="14">
        <v>999</v>
      </c>
      <c r="U2052" s="14" t="s">
        <v>1401</v>
      </c>
      <c r="V2052" s="14">
        <v>31924022</v>
      </c>
      <c r="X2052" s="14" t="s">
        <v>3299</v>
      </c>
      <c r="Y2052" s="14" t="s">
        <v>215</v>
      </c>
      <c r="Z2052" s="14">
        <v>20815</v>
      </c>
      <c r="AA2052" s="14" t="s">
        <v>3300</v>
      </c>
      <c r="AB2052" s="14">
        <v>40001</v>
      </c>
      <c r="AE2052" s="14" t="s">
        <v>1400</v>
      </c>
      <c r="AF2052" s="14" t="s">
        <v>1400</v>
      </c>
      <c r="AG2052" s="14" t="s">
        <v>92</v>
      </c>
    </row>
    <row r="2053" spans="2:33">
      <c r="B2053" s="14">
        <f>10000000+INDEX(编号表!$B:$B,MATCH(H2053,编号表!$A:$A,0))*100000+INDEX(编号表!$F:$F,MATCH(D2053,编号表!$E:$E,0))*10000+INDEX(编号表!$D:$D,MATCH(AG2053,编号表!$C:$C,0))*1000+F2053</f>
        <v>11934023</v>
      </c>
      <c r="C2053" s="14" t="s">
        <v>3296</v>
      </c>
      <c r="D2053" s="14" t="s">
        <v>276</v>
      </c>
      <c r="E2053" s="14" t="s">
        <v>92</v>
      </c>
      <c r="F2053" s="14">
        <v>23</v>
      </c>
      <c r="G2053" s="14">
        <v>60</v>
      </c>
      <c r="H2053" s="14" t="s">
        <v>1400</v>
      </c>
      <c r="I2053" s="14" t="s">
        <v>75</v>
      </c>
      <c r="J2053" s="14" t="s">
        <v>201</v>
      </c>
      <c r="K2053" s="14">
        <v>1</v>
      </c>
      <c r="L2053" s="14" t="s">
        <v>1400</v>
      </c>
      <c r="N2053" s="14">
        <v>0</v>
      </c>
      <c r="O2053" s="14" t="b">
        <v>1</v>
      </c>
      <c r="Q2053" s="14" t="b">
        <v>0</v>
      </c>
      <c r="R2053" s="14">
        <v>1</v>
      </c>
      <c r="S2053" s="14" t="s">
        <v>77</v>
      </c>
      <c r="T2053" s="14">
        <v>999</v>
      </c>
      <c r="U2053" s="14" t="s">
        <v>1401</v>
      </c>
      <c r="V2053" s="14">
        <v>31934023</v>
      </c>
      <c r="X2053" s="14" t="s">
        <v>3301</v>
      </c>
      <c r="Y2053" s="14" t="s">
        <v>215</v>
      </c>
      <c r="Z2053" s="14">
        <v>20816</v>
      </c>
      <c r="AA2053" s="14" t="s">
        <v>3302</v>
      </c>
      <c r="AB2053" s="14">
        <v>40001</v>
      </c>
      <c r="AE2053" s="14" t="s">
        <v>1400</v>
      </c>
      <c r="AF2053" s="14" t="s">
        <v>1400</v>
      </c>
      <c r="AG2053" s="14" t="s">
        <v>92</v>
      </c>
    </row>
    <row r="2054" spans="2:33">
      <c r="B2054" s="14">
        <f>10000000+INDEX(编号表!$B:$B,MATCH(H2054,编号表!$A:$A,0))*100000+INDEX(编号表!$F:$F,MATCH(D2054,编号表!$E:$E,0))*10000+INDEX(编号表!$D:$D,MATCH(AG2054,编号表!$C:$C,0))*1000+F2054</f>
        <v>11914022</v>
      </c>
      <c r="C2054" s="14" t="s">
        <v>3303</v>
      </c>
      <c r="D2054" s="14" t="s">
        <v>72</v>
      </c>
      <c r="E2054" s="14" t="s">
        <v>92</v>
      </c>
      <c r="F2054" s="14">
        <v>22</v>
      </c>
      <c r="G2054" s="14">
        <v>60</v>
      </c>
      <c r="H2054" s="14" t="s">
        <v>1400</v>
      </c>
      <c r="I2054" s="14" t="s">
        <v>75</v>
      </c>
      <c r="J2054" s="14" t="s">
        <v>201</v>
      </c>
      <c r="K2054" s="14">
        <v>1</v>
      </c>
      <c r="L2054" s="14" t="s">
        <v>1400</v>
      </c>
      <c r="N2054" s="14">
        <v>0</v>
      </c>
      <c r="O2054" s="14" t="b">
        <v>1</v>
      </c>
      <c r="Q2054" s="14" t="b">
        <v>0</v>
      </c>
      <c r="R2054" s="14">
        <v>1</v>
      </c>
      <c r="S2054" s="14" t="s">
        <v>77</v>
      </c>
      <c r="T2054" s="14">
        <v>999</v>
      </c>
      <c r="U2054" s="14" t="s">
        <v>1401</v>
      </c>
      <c r="V2054" s="14">
        <v>31914022</v>
      </c>
      <c r="X2054" s="14" t="s">
        <v>3304</v>
      </c>
      <c r="Y2054" s="14" t="s">
        <v>215</v>
      </c>
      <c r="Z2054" s="14">
        <v>20817</v>
      </c>
      <c r="AA2054" s="14" t="s">
        <v>3305</v>
      </c>
      <c r="AB2054" s="14">
        <v>40001</v>
      </c>
      <c r="AE2054" s="14" t="s">
        <v>1400</v>
      </c>
      <c r="AF2054" s="14" t="s">
        <v>1400</v>
      </c>
      <c r="AG2054" s="14" t="s">
        <v>92</v>
      </c>
    </row>
    <row r="2055" spans="2:33">
      <c r="B2055" s="14">
        <f>10000000+INDEX(编号表!$B:$B,MATCH(H2055,编号表!$A:$A,0))*100000+INDEX(编号表!$F:$F,MATCH(D2055,编号表!$E:$E,0))*10000+INDEX(编号表!$D:$D,MATCH(AG2055,编号表!$C:$C,0))*1000+F2055</f>
        <v>11924023</v>
      </c>
      <c r="C2055" s="14" t="s">
        <v>3303</v>
      </c>
      <c r="D2055" s="14" t="s">
        <v>112</v>
      </c>
      <c r="E2055" s="14" t="s">
        <v>92</v>
      </c>
      <c r="F2055" s="14">
        <v>23</v>
      </c>
      <c r="G2055" s="14">
        <v>60</v>
      </c>
      <c r="H2055" s="14" t="s">
        <v>1400</v>
      </c>
      <c r="I2055" s="14" t="s">
        <v>75</v>
      </c>
      <c r="J2055" s="14" t="s">
        <v>201</v>
      </c>
      <c r="K2055" s="14">
        <v>1</v>
      </c>
      <c r="L2055" s="14" t="s">
        <v>1400</v>
      </c>
      <c r="N2055" s="14">
        <v>0</v>
      </c>
      <c r="O2055" s="14" t="b">
        <v>1</v>
      </c>
      <c r="Q2055" s="14" t="b">
        <v>0</v>
      </c>
      <c r="R2055" s="14">
        <v>1</v>
      </c>
      <c r="S2055" s="14" t="s">
        <v>77</v>
      </c>
      <c r="T2055" s="14">
        <v>999</v>
      </c>
      <c r="U2055" s="14" t="s">
        <v>1401</v>
      </c>
      <c r="V2055" s="14">
        <v>31924023</v>
      </c>
      <c r="X2055" s="14" t="s">
        <v>3306</v>
      </c>
      <c r="Y2055" s="14" t="s">
        <v>215</v>
      </c>
      <c r="Z2055" s="14">
        <v>20818</v>
      </c>
      <c r="AA2055" s="14" t="s">
        <v>3307</v>
      </c>
      <c r="AB2055" s="14">
        <v>40001</v>
      </c>
      <c r="AE2055" s="14" t="s">
        <v>1400</v>
      </c>
      <c r="AF2055" s="14" t="s">
        <v>1400</v>
      </c>
      <c r="AG2055" s="14" t="s">
        <v>92</v>
      </c>
    </row>
    <row r="2056" spans="2:33">
      <c r="B2056" s="14">
        <f>10000000+INDEX(编号表!$B:$B,MATCH(H2056,编号表!$A:$A,0))*100000+INDEX(编号表!$F:$F,MATCH(D2056,编号表!$E:$E,0))*10000+INDEX(编号表!$D:$D,MATCH(AG2056,编号表!$C:$C,0))*1000+F2056</f>
        <v>11934024</v>
      </c>
      <c r="C2056" s="14" t="s">
        <v>3303</v>
      </c>
      <c r="D2056" s="14" t="s">
        <v>276</v>
      </c>
      <c r="E2056" s="14" t="s">
        <v>92</v>
      </c>
      <c r="F2056" s="14">
        <v>24</v>
      </c>
      <c r="G2056" s="14">
        <v>60</v>
      </c>
      <c r="H2056" s="14" t="s">
        <v>1400</v>
      </c>
      <c r="I2056" s="14" t="s">
        <v>75</v>
      </c>
      <c r="J2056" s="14" t="s">
        <v>201</v>
      </c>
      <c r="K2056" s="14">
        <v>1</v>
      </c>
      <c r="L2056" s="14" t="s">
        <v>1400</v>
      </c>
      <c r="N2056" s="14">
        <v>0</v>
      </c>
      <c r="O2056" s="14" t="b">
        <v>1</v>
      </c>
      <c r="Q2056" s="14" t="b">
        <v>0</v>
      </c>
      <c r="R2056" s="14">
        <v>1</v>
      </c>
      <c r="S2056" s="14" t="s">
        <v>77</v>
      </c>
      <c r="T2056" s="14">
        <v>999</v>
      </c>
      <c r="U2056" s="14" t="s">
        <v>1401</v>
      </c>
      <c r="V2056" s="14">
        <v>31934024</v>
      </c>
      <c r="X2056" s="14" t="s">
        <v>3308</v>
      </c>
      <c r="Y2056" s="14" t="s">
        <v>215</v>
      </c>
      <c r="Z2056" s="14">
        <v>20819</v>
      </c>
      <c r="AA2056" s="14" t="s">
        <v>3309</v>
      </c>
      <c r="AB2056" s="14">
        <v>40001</v>
      </c>
      <c r="AE2056" s="14" t="s">
        <v>1400</v>
      </c>
      <c r="AF2056" s="14" t="s">
        <v>1400</v>
      </c>
      <c r="AG2056" s="14" t="s">
        <v>92</v>
      </c>
    </row>
    <row r="2057" spans="2:33">
      <c r="B2057" s="14">
        <f>10000000+INDEX(编号表!$B:$B,MATCH(H2057,编号表!$A:$A,0))*100000+INDEX(编号表!$F:$F,MATCH(D2057,编号表!$E:$E,0))*10000+INDEX(编号表!$D:$D,MATCH(AG2057,编号表!$C:$C,0))*1000+F2057</f>
        <v>11914023</v>
      </c>
      <c r="C2057" s="14" t="s">
        <v>3310</v>
      </c>
      <c r="D2057" s="14" t="s">
        <v>72</v>
      </c>
      <c r="E2057" s="14" t="s">
        <v>92</v>
      </c>
      <c r="F2057" s="14">
        <v>23</v>
      </c>
      <c r="G2057" s="14">
        <v>60</v>
      </c>
      <c r="H2057" s="14" t="s">
        <v>1400</v>
      </c>
      <c r="I2057" s="14" t="s">
        <v>75</v>
      </c>
      <c r="J2057" s="14" t="s">
        <v>201</v>
      </c>
      <c r="K2057" s="14">
        <v>1</v>
      </c>
      <c r="L2057" s="14" t="s">
        <v>1400</v>
      </c>
      <c r="N2057" s="14">
        <v>0</v>
      </c>
      <c r="O2057" s="14" t="b">
        <v>1</v>
      </c>
      <c r="Q2057" s="14" t="b">
        <v>0</v>
      </c>
      <c r="R2057" s="14">
        <v>1</v>
      </c>
      <c r="S2057" s="14" t="s">
        <v>77</v>
      </c>
      <c r="T2057" s="14">
        <v>999</v>
      </c>
      <c r="U2057" s="14" t="s">
        <v>1401</v>
      </c>
      <c r="V2057" s="14">
        <v>31914023</v>
      </c>
      <c r="X2057" s="14" t="s">
        <v>3311</v>
      </c>
      <c r="Y2057" s="14" t="s">
        <v>215</v>
      </c>
      <c r="Z2057" s="14">
        <v>20820</v>
      </c>
      <c r="AA2057" s="14" t="s">
        <v>3312</v>
      </c>
      <c r="AB2057" s="14">
        <v>40001</v>
      </c>
      <c r="AE2057" s="14" t="s">
        <v>1400</v>
      </c>
      <c r="AF2057" s="14" t="s">
        <v>1400</v>
      </c>
      <c r="AG2057" s="14" t="s">
        <v>92</v>
      </c>
    </row>
    <row r="2058" spans="2:33">
      <c r="B2058" s="14">
        <f>10000000+INDEX(编号表!$B:$B,MATCH(H2058,编号表!$A:$A,0))*100000+INDEX(编号表!$F:$F,MATCH(D2058,编号表!$E:$E,0))*10000+INDEX(编号表!$D:$D,MATCH(AG2058,编号表!$C:$C,0))*1000+F2058</f>
        <v>11924024</v>
      </c>
      <c r="C2058" s="14" t="s">
        <v>3310</v>
      </c>
      <c r="D2058" s="14" t="s">
        <v>112</v>
      </c>
      <c r="E2058" s="14" t="s">
        <v>92</v>
      </c>
      <c r="F2058" s="14">
        <v>24</v>
      </c>
      <c r="G2058" s="14">
        <v>60</v>
      </c>
      <c r="H2058" s="14" t="s">
        <v>1400</v>
      </c>
      <c r="I2058" s="14" t="s">
        <v>75</v>
      </c>
      <c r="J2058" s="14" t="s">
        <v>201</v>
      </c>
      <c r="K2058" s="14">
        <v>1</v>
      </c>
      <c r="L2058" s="14" t="s">
        <v>1400</v>
      </c>
      <c r="N2058" s="14">
        <v>0</v>
      </c>
      <c r="O2058" s="14" t="b">
        <v>1</v>
      </c>
      <c r="Q2058" s="14" t="b">
        <v>0</v>
      </c>
      <c r="R2058" s="14">
        <v>1</v>
      </c>
      <c r="S2058" s="14" t="s">
        <v>77</v>
      </c>
      <c r="T2058" s="14">
        <v>999</v>
      </c>
      <c r="U2058" s="14" t="s">
        <v>1401</v>
      </c>
      <c r="V2058" s="14">
        <v>31924024</v>
      </c>
      <c r="X2058" s="14" t="s">
        <v>3313</v>
      </c>
      <c r="Y2058" s="14" t="s">
        <v>215</v>
      </c>
      <c r="Z2058" s="14">
        <v>20821</v>
      </c>
      <c r="AA2058" s="14" t="s">
        <v>3314</v>
      </c>
      <c r="AB2058" s="14">
        <v>40001</v>
      </c>
      <c r="AE2058" s="14" t="s">
        <v>1400</v>
      </c>
      <c r="AF2058" s="14" t="s">
        <v>1400</v>
      </c>
      <c r="AG2058" s="14" t="s">
        <v>92</v>
      </c>
    </row>
    <row r="2059" spans="2:33">
      <c r="B2059" s="14">
        <f>10000000+INDEX(编号表!$B:$B,MATCH(H2059,编号表!$A:$A,0))*100000+INDEX(编号表!$F:$F,MATCH(D2059,编号表!$E:$E,0))*10000+INDEX(编号表!$D:$D,MATCH(AG2059,编号表!$C:$C,0))*1000+F2059</f>
        <v>11934025</v>
      </c>
      <c r="C2059" s="14" t="s">
        <v>3310</v>
      </c>
      <c r="D2059" s="14" t="s">
        <v>276</v>
      </c>
      <c r="E2059" s="14" t="s">
        <v>92</v>
      </c>
      <c r="F2059" s="14">
        <v>25</v>
      </c>
      <c r="G2059" s="14">
        <v>60</v>
      </c>
      <c r="H2059" s="14" t="s">
        <v>1400</v>
      </c>
      <c r="I2059" s="14" t="s">
        <v>75</v>
      </c>
      <c r="J2059" s="14" t="s">
        <v>201</v>
      </c>
      <c r="K2059" s="14">
        <v>1</v>
      </c>
      <c r="L2059" s="14" t="s">
        <v>1400</v>
      </c>
      <c r="N2059" s="14">
        <v>0</v>
      </c>
      <c r="O2059" s="14" t="b">
        <v>1</v>
      </c>
      <c r="Q2059" s="14" t="b">
        <v>0</v>
      </c>
      <c r="R2059" s="14">
        <v>1</v>
      </c>
      <c r="S2059" s="14" t="s">
        <v>77</v>
      </c>
      <c r="T2059" s="14">
        <v>999</v>
      </c>
      <c r="U2059" s="14" t="s">
        <v>1401</v>
      </c>
      <c r="V2059" s="14">
        <v>31934025</v>
      </c>
      <c r="X2059" s="14" t="s">
        <v>3315</v>
      </c>
      <c r="Y2059" s="14" t="s">
        <v>215</v>
      </c>
      <c r="Z2059" s="14">
        <v>20822</v>
      </c>
      <c r="AA2059" s="14" t="s">
        <v>3316</v>
      </c>
      <c r="AB2059" s="14">
        <v>40001</v>
      </c>
      <c r="AE2059" s="14" t="s">
        <v>1400</v>
      </c>
      <c r="AF2059" s="14" t="s">
        <v>1400</v>
      </c>
      <c r="AG2059" s="14" t="s">
        <v>92</v>
      </c>
    </row>
    <row r="2060" spans="2:33">
      <c r="B2060" s="14">
        <f>10000000+INDEX(编号表!$B:$B,MATCH(H2060,编号表!$A:$A,0))*100000+INDEX(编号表!$F:$F,MATCH(D2060,编号表!$E:$E,0))*10000+INDEX(编号表!$D:$D,MATCH(AG2060,编号表!$C:$C,0))*1000+F2060</f>
        <v>11914024</v>
      </c>
      <c r="C2060" s="14" t="s">
        <v>3317</v>
      </c>
      <c r="D2060" s="14" t="s">
        <v>72</v>
      </c>
      <c r="E2060" s="14" t="s">
        <v>92</v>
      </c>
      <c r="F2060" s="14">
        <v>24</v>
      </c>
      <c r="G2060" s="14">
        <v>60</v>
      </c>
      <c r="H2060" s="14" t="s">
        <v>1400</v>
      </c>
      <c r="I2060" s="14" t="s">
        <v>75</v>
      </c>
      <c r="J2060" s="14" t="s">
        <v>201</v>
      </c>
      <c r="K2060" s="14">
        <v>1</v>
      </c>
      <c r="L2060" s="14" t="s">
        <v>1400</v>
      </c>
      <c r="N2060" s="14">
        <v>0</v>
      </c>
      <c r="O2060" s="14" t="b">
        <v>1</v>
      </c>
      <c r="Q2060" s="14" t="b">
        <v>0</v>
      </c>
      <c r="R2060" s="14">
        <v>1</v>
      </c>
      <c r="S2060" s="14" t="s">
        <v>77</v>
      </c>
      <c r="T2060" s="14">
        <v>999</v>
      </c>
      <c r="U2060" s="14" t="s">
        <v>1401</v>
      </c>
      <c r="V2060" s="14">
        <v>31914024</v>
      </c>
      <c r="X2060" s="14" t="s">
        <v>3318</v>
      </c>
      <c r="Y2060" s="14" t="s">
        <v>215</v>
      </c>
      <c r="Z2060" s="14">
        <v>20823</v>
      </c>
      <c r="AA2060" s="14" t="s">
        <v>3319</v>
      </c>
      <c r="AB2060" s="14">
        <v>40001</v>
      </c>
      <c r="AE2060" s="14" t="s">
        <v>1400</v>
      </c>
      <c r="AF2060" s="14" t="s">
        <v>1400</v>
      </c>
      <c r="AG2060" s="14" t="s">
        <v>92</v>
      </c>
    </row>
    <row r="2061" spans="2:33">
      <c r="B2061" s="14">
        <f>10000000+INDEX(编号表!$B:$B,MATCH(H2061,编号表!$A:$A,0))*100000+INDEX(编号表!$F:$F,MATCH(D2061,编号表!$E:$E,0))*10000+INDEX(编号表!$D:$D,MATCH(AG2061,编号表!$C:$C,0))*1000+F2061</f>
        <v>11924025</v>
      </c>
      <c r="C2061" s="14" t="s">
        <v>3317</v>
      </c>
      <c r="D2061" s="14" t="s">
        <v>112</v>
      </c>
      <c r="E2061" s="14" t="s">
        <v>92</v>
      </c>
      <c r="F2061" s="14">
        <v>25</v>
      </c>
      <c r="G2061" s="14">
        <v>60</v>
      </c>
      <c r="H2061" s="14" t="s">
        <v>1400</v>
      </c>
      <c r="I2061" s="14" t="s">
        <v>75</v>
      </c>
      <c r="J2061" s="14" t="s">
        <v>201</v>
      </c>
      <c r="K2061" s="14">
        <v>1</v>
      </c>
      <c r="L2061" s="14" t="s">
        <v>1400</v>
      </c>
      <c r="N2061" s="14">
        <v>0</v>
      </c>
      <c r="O2061" s="14" t="b">
        <v>1</v>
      </c>
      <c r="Q2061" s="14" t="b">
        <v>0</v>
      </c>
      <c r="R2061" s="14">
        <v>1</v>
      </c>
      <c r="S2061" s="14" t="s">
        <v>77</v>
      </c>
      <c r="T2061" s="14">
        <v>999</v>
      </c>
      <c r="U2061" s="14" t="s">
        <v>1401</v>
      </c>
      <c r="V2061" s="14">
        <v>31924025</v>
      </c>
      <c r="X2061" s="14" t="s">
        <v>3320</v>
      </c>
      <c r="Y2061" s="14" t="s">
        <v>215</v>
      </c>
      <c r="Z2061" s="14">
        <v>20824</v>
      </c>
      <c r="AA2061" s="14" t="s">
        <v>3321</v>
      </c>
      <c r="AB2061" s="14">
        <v>40001</v>
      </c>
      <c r="AE2061" s="14" t="s">
        <v>1400</v>
      </c>
      <c r="AF2061" s="14" t="s">
        <v>1400</v>
      </c>
      <c r="AG2061" s="14" t="s">
        <v>92</v>
      </c>
    </row>
    <row r="2062" spans="2:33">
      <c r="B2062" s="14">
        <f>10000000+INDEX(编号表!$B:$B,MATCH(H2062,编号表!$A:$A,0))*100000+INDEX(编号表!$F:$F,MATCH(D2062,编号表!$E:$E,0))*10000+INDEX(编号表!$D:$D,MATCH(AG2062,编号表!$C:$C,0))*1000+F2062</f>
        <v>11934026</v>
      </c>
      <c r="C2062" s="14" t="s">
        <v>3317</v>
      </c>
      <c r="D2062" s="14" t="s">
        <v>276</v>
      </c>
      <c r="E2062" s="14" t="s">
        <v>92</v>
      </c>
      <c r="F2062" s="14">
        <v>26</v>
      </c>
      <c r="G2062" s="14">
        <v>60</v>
      </c>
      <c r="H2062" s="14" t="s">
        <v>1400</v>
      </c>
      <c r="I2062" s="14" t="s">
        <v>75</v>
      </c>
      <c r="J2062" s="14" t="s">
        <v>201</v>
      </c>
      <c r="K2062" s="14">
        <v>1</v>
      </c>
      <c r="L2062" s="14" t="s">
        <v>1400</v>
      </c>
      <c r="N2062" s="14">
        <v>0</v>
      </c>
      <c r="O2062" s="14" t="b">
        <v>1</v>
      </c>
      <c r="Q2062" s="14" t="b">
        <v>0</v>
      </c>
      <c r="R2062" s="14">
        <v>1</v>
      </c>
      <c r="S2062" s="14" t="s">
        <v>77</v>
      </c>
      <c r="T2062" s="14">
        <v>999</v>
      </c>
      <c r="U2062" s="14" t="s">
        <v>1401</v>
      </c>
      <c r="V2062" s="14">
        <v>31934026</v>
      </c>
      <c r="X2062" s="14" t="s">
        <v>3322</v>
      </c>
      <c r="Y2062" s="14" t="s">
        <v>215</v>
      </c>
      <c r="Z2062" s="14">
        <v>20825</v>
      </c>
      <c r="AA2062" s="14" t="s">
        <v>3323</v>
      </c>
      <c r="AB2062" s="14">
        <v>40001</v>
      </c>
      <c r="AE2062" s="14" t="s">
        <v>1400</v>
      </c>
      <c r="AF2062" s="14" t="s">
        <v>1400</v>
      </c>
      <c r="AG2062" s="14" t="s">
        <v>92</v>
      </c>
    </row>
    <row r="2063" spans="2:33">
      <c r="B2063" s="14">
        <f>10000000+INDEX(编号表!$B:$B,MATCH(H2063,编号表!$A:$A,0))*100000+INDEX(编号表!$F:$F,MATCH(D2063,编号表!$E:$E,0))*10000+INDEX(编号表!$D:$D,MATCH(AG2063,编号表!$C:$C,0))*1000+F2063</f>
        <v>11914025</v>
      </c>
      <c r="C2063" s="14" t="s">
        <v>3324</v>
      </c>
      <c r="D2063" s="14" t="s">
        <v>72</v>
      </c>
      <c r="E2063" s="14" t="s">
        <v>92</v>
      </c>
      <c r="F2063" s="14">
        <v>25</v>
      </c>
      <c r="G2063" s="14">
        <v>60</v>
      </c>
      <c r="H2063" s="14" t="s">
        <v>1400</v>
      </c>
      <c r="I2063" s="14" t="s">
        <v>75</v>
      </c>
      <c r="J2063" s="14" t="s">
        <v>201</v>
      </c>
      <c r="K2063" s="14">
        <v>1</v>
      </c>
      <c r="L2063" s="14" t="s">
        <v>1400</v>
      </c>
      <c r="N2063" s="14">
        <v>0</v>
      </c>
      <c r="O2063" s="14" t="b">
        <v>1</v>
      </c>
      <c r="Q2063" s="14" t="b">
        <v>0</v>
      </c>
      <c r="R2063" s="14">
        <v>1</v>
      </c>
      <c r="S2063" s="14" t="s">
        <v>77</v>
      </c>
      <c r="T2063" s="14">
        <v>999</v>
      </c>
      <c r="U2063" s="14" t="s">
        <v>1401</v>
      </c>
      <c r="V2063" s="14">
        <v>31914025</v>
      </c>
      <c r="X2063" s="14" t="s">
        <v>3325</v>
      </c>
      <c r="Y2063" s="14" t="s">
        <v>215</v>
      </c>
      <c r="Z2063" s="14">
        <v>20826</v>
      </c>
      <c r="AA2063" s="14" t="s">
        <v>3326</v>
      </c>
      <c r="AB2063" s="14">
        <v>40001</v>
      </c>
      <c r="AE2063" s="14" t="s">
        <v>1400</v>
      </c>
      <c r="AF2063" s="14" t="s">
        <v>1400</v>
      </c>
      <c r="AG2063" s="14" t="s">
        <v>92</v>
      </c>
    </row>
    <row r="2064" spans="2:33">
      <c r="B2064" s="14">
        <f>10000000+INDEX(编号表!$B:$B,MATCH(H2064,编号表!$A:$A,0))*100000+INDEX(编号表!$F:$F,MATCH(D2064,编号表!$E:$E,0))*10000+INDEX(编号表!$D:$D,MATCH(AG2064,编号表!$C:$C,0))*1000+F2064</f>
        <v>11924026</v>
      </c>
      <c r="C2064" s="14" t="s">
        <v>3324</v>
      </c>
      <c r="D2064" s="14" t="s">
        <v>112</v>
      </c>
      <c r="E2064" s="14" t="s">
        <v>92</v>
      </c>
      <c r="F2064" s="14">
        <v>26</v>
      </c>
      <c r="G2064" s="14">
        <v>60</v>
      </c>
      <c r="H2064" s="14" t="s">
        <v>1400</v>
      </c>
      <c r="I2064" s="14" t="s">
        <v>75</v>
      </c>
      <c r="J2064" s="14" t="s">
        <v>201</v>
      </c>
      <c r="K2064" s="14">
        <v>1</v>
      </c>
      <c r="L2064" s="14" t="s">
        <v>1400</v>
      </c>
      <c r="N2064" s="14">
        <v>0</v>
      </c>
      <c r="O2064" s="14" t="b">
        <v>1</v>
      </c>
      <c r="Q2064" s="14" t="b">
        <v>0</v>
      </c>
      <c r="R2064" s="14">
        <v>1</v>
      </c>
      <c r="S2064" s="14" t="s">
        <v>77</v>
      </c>
      <c r="T2064" s="14">
        <v>999</v>
      </c>
      <c r="U2064" s="14" t="s">
        <v>1401</v>
      </c>
      <c r="V2064" s="14">
        <v>31924026</v>
      </c>
      <c r="X2064" s="14" t="s">
        <v>3327</v>
      </c>
      <c r="Y2064" s="14" t="s">
        <v>215</v>
      </c>
      <c r="Z2064" s="14">
        <v>20827</v>
      </c>
      <c r="AA2064" s="14" t="s">
        <v>3328</v>
      </c>
      <c r="AB2064" s="14">
        <v>40001</v>
      </c>
      <c r="AE2064" s="14" t="s">
        <v>1400</v>
      </c>
      <c r="AF2064" s="14" t="s">
        <v>1400</v>
      </c>
      <c r="AG2064" s="14" t="s">
        <v>92</v>
      </c>
    </row>
    <row r="2065" spans="2:33">
      <c r="B2065" s="14">
        <f>10000000+INDEX(编号表!$B:$B,MATCH(H2065,编号表!$A:$A,0))*100000+INDEX(编号表!$F:$F,MATCH(D2065,编号表!$E:$E,0))*10000+INDEX(编号表!$D:$D,MATCH(AG2065,编号表!$C:$C,0))*1000+F2065</f>
        <v>11934027</v>
      </c>
      <c r="C2065" s="14" t="s">
        <v>3324</v>
      </c>
      <c r="D2065" s="14" t="s">
        <v>276</v>
      </c>
      <c r="E2065" s="14" t="s">
        <v>92</v>
      </c>
      <c r="F2065" s="14">
        <v>27</v>
      </c>
      <c r="G2065" s="14">
        <v>60</v>
      </c>
      <c r="H2065" s="14" t="s">
        <v>1400</v>
      </c>
      <c r="I2065" s="14" t="s">
        <v>75</v>
      </c>
      <c r="J2065" s="14" t="s">
        <v>201</v>
      </c>
      <c r="K2065" s="14">
        <v>1</v>
      </c>
      <c r="L2065" s="14" t="s">
        <v>1400</v>
      </c>
      <c r="N2065" s="14">
        <v>0</v>
      </c>
      <c r="O2065" s="14" t="b">
        <v>1</v>
      </c>
      <c r="Q2065" s="14" t="b">
        <v>0</v>
      </c>
      <c r="R2065" s="14">
        <v>1</v>
      </c>
      <c r="S2065" s="14" t="s">
        <v>77</v>
      </c>
      <c r="T2065" s="14">
        <v>999</v>
      </c>
      <c r="U2065" s="14" t="s">
        <v>1401</v>
      </c>
      <c r="V2065" s="14">
        <v>31934027</v>
      </c>
      <c r="X2065" s="14" t="s">
        <v>3329</v>
      </c>
      <c r="Y2065" s="14" t="s">
        <v>215</v>
      </c>
      <c r="Z2065" s="14">
        <v>20828</v>
      </c>
      <c r="AA2065" s="14" t="s">
        <v>3330</v>
      </c>
      <c r="AB2065" s="14">
        <v>40001</v>
      </c>
      <c r="AE2065" s="14" t="s">
        <v>1400</v>
      </c>
      <c r="AF2065" s="14" t="s">
        <v>1400</v>
      </c>
      <c r="AG2065" s="14" t="s">
        <v>92</v>
      </c>
    </row>
    <row r="2066" spans="2:33">
      <c r="B2066" s="14">
        <f>10000000+INDEX(编号表!$B:$B,MATCH(H2066,编号表!$A:$A,0))*100000+INDEX(编号表!$F:$F,MATCH(D2066,编号表!$E:$E,0))*10000+INDEX(编号表!$D:$D,MATCH(AG2066,编号表!$C:$C,0))*1000+F2066</f>
        <v>11914026</v>
      </c>
      <c r="C2066" s="14" t="s">
        <v>3331</v>
      </c>
      <c r="D2066" s="14" t="s">
        <v>72</v>
      </c>
      <c r="E2066" s="14" t="s">
        <v>92</v>
      </c>
      <c r="F2066" s="14">
        <v>26</v>
      </c>
      <c r="G2066" s="14">
        <v>60</v>
      </c>
      <c r="H2066" s="14" t="s">
        <v>1400</v>
      </c>
      <c r="I2066" s="14" t="s">
        <v>75</v>
      </c>
      <c r="J2066" s="14" t="s">
        <v>201</v>
      </c>
      <c r="K2066" s="14">
        <v>1</v>
      </c>
      <c r="L2066" s="14" t="s">
        <v>1400</v>
      </c>
      <c r="N2066" s="14">
        <v>0</v>
      </c>
      <c r="O2066" s="14" t="b">
        <v>1</v>
      </c>
      <c r="Q2066" s="14" t="b">
        <v>0</v>
      </c>
      <c r="R2066" s="14">
        <v>1</v>
      </c>
      <c r="S2066" s="14" t="s">
        <v>77</v>
      </c>
      <c r="T2066" s="14">
        <v>999</v>
      </c>
      <c r="U2066" s="14" t="s">
        <v>1401</v>
      </c>
      <c r="V2066" s="14">
        <v>31914026</v>
      </c>
      <c r="X2066" s="14" t="s">
        <v>3332</v>
      </c>
      <c r="Y2066" s="14" t="s">
        <v>215</v>
      </c>
      <c r="Z2066" s="14">
        <v>20829</v>
      </c>
      <c r="AA2066" s="14" t="s">
        <v>3333</v>
      </c>
      <c r="AB2066" s="14">
        <v>40001</v>
      </c>
      <c r="AE2066" s="14" t="s">
        <v>1400</v>
      </c>
      <c r="AF2066" s="14" t="s">
        <v>1400</v>
      </c>
      <c r="AG2066" s="14" t="s">
        <v>92</v>
      </c>
    </row>
    <row r="2067" spans="2:33">
      <c r="B2067" s="14">
        <f>10000000+INDEX(编号表!$B:$B,MATCH(H2067,编号表!$A:$A,0))*100000+INDEX(编号表!$F:$F,MATCH(D2067,编号表!$E:$E,0))*10000+INDEX(编号表!$D:$D,MATCH(AG2067,编号表!$C:$C,0))*1000+F2067</f>
        <v>11924027</v>
      </c>
      <c r="C2067" s="14" t="s">
        <v>3331</v>
      </c>
      <c r="D2067" s="14" t="s">
        <v>112</v>
      </c>
      <c r="E2067" s="14" t="s">
        <v>92</v>
      </c>
      <c r="F2067" s="14">
        <v>27</v>
      </c>
      <c r="G2067" s="14">
        <v>60</v>
      </c>
      <c r="H2067" s="14" t="s">
        <v>1400</v>
      </c>
      <c r="I2067" s="14" t="s">
        <v>75</v>
      </c>
      <c r="J2067" s="14" t="s">
        <v>201</v>
      </c>
      <c r="K2067" s="14">
        <v>1</v>
      </c>
      <c r="L2067" s="14" t="s">
        <v>1400</v>
      </c>
      <c r="N2067" s="14">
        <v>0</v>
      </c>
      <c r="O2067" s="14" t="b">
        <v>1</v>
      </c>
      <c r="Q2067" s="14" t="b">
        <v>0</v>
      </c>
      <c r="R2067" s="14">
        <v>1</v>
      </c>
      <c r="S2067" s="14" t="s">
        <v>77</v>
      </c>
      <c r="T2067" s="14">
        <v>999</v>
      </c>
      <c r="U2067" s="14" t="s">
        <v>1401</v>
      </c>
      <c r="V2067" s="14">
        <v>31924027</v>
      </c>
      <c r="X2067" s="14" t="s">
        <v>3334</v>
      </c>
      <c r="Y2067" s="14" t="s">
        <v>215</v>
      </c>
      <c r="Z2067" s="14">
        <v>20830</v>
      </c>
      <c r="AA2067" s="14" t="s">
        <v>3335</v>
      </c>
      <c r="AB2067" s="14">
        <v>40001</v>
      </c>
      <c r="AE2067" s="14" t="s">
        <v>1400</v>
      </c>
      <c r="AF2067" s="14" t="s">
        <v>1400</v>
      </c>
      <c r="AG2067" s="14" t="s">
        <v>92</v>
      </c>
    </row>
    <row r="2068" spans="2:33">
      <c r="B2068" s="14">
        <f>10000000+INDEX(编号表!$B:$B,MATCH(H2068,编号表!$A:$A,0))*100000+INDEX(编号表!$F:$F,MATCH(D2068,编号表!$E:$E,0))*10000+INDEX(编号表!$D:$D,MATCH(AG2068,编号表!$C:$C,0))*1000+F2068</f>
        <v>11934028</v>
      </c>
      <c r="C2068" s="14" t="s">
        <v>3331</v>
      </c>
      <c r="D2068" s="14" t="s">
        <v>276</v>
      </c>
      <c r="E2068" s="14" t="s">
        <v>92</v>
      </c>
      <c r="F2068" s="14">
        <v>28</v>
      </c>
      <c r="G2068" s="14">
        <v>60</v>
      </c>
      <c r="H2068" s="14" t="s">
        <v>1400</v>
      </c>
      <c r="I2068" s="14" t="s">
        <v>75</v>
      </c>
      <c r="J2068" s="14" t="s">
        <v>201</v>
      </c>
      <c r="K2068" s="14">
        <v>1</v>
      </c>
      <c r="L2068" s="14" t="s">
        <v>1400</v>
      </c>
      <c r="N2068" s="14">
        <v>0</v>
      </c>
      <c r="O2068" s="14" t="b">
        <v>1</v>
      </c>
      <c r="Q2068" s="14" t="b">
        <v>0</v>
      </c>
      <c r="R2068" s="14">
        <v>1</v>
      </c>
      <c r="S2068" s="14" t="s">
        <v>77</v>
      </c>
      <c r="T2068" s="14">
        <v>999</v>
      </c>
      <c r="U2068" s="14" t="s">
        <v>1401</v>
      </c>
      <c r="V2068" s="14">
        <v>31934028</v>
      </c>
      <c r="X2068" s="14" t="s">
        <v>3336</v>
      </c>
      <c r="Y2068" s="14" t="s">
        <v>215</v>
      </c>
      <c r="Z2068" s="14">
        <v>20831</v>
      </c>
      <c r="AA2068" s="14" t="s">
        <v>3337</v>
      </c>
      <c r="AB2068" s="14">
        <v>40001</v>
      </c>
      <c r="AE2068" s="14" t="s">
        <v>1400</v>
      </c>
      <c r="AF2068" s="14" t="s">
        <v>1400</v>
      </c>
      <c r="AG2068" s="14" t="s">
        <v>92</v>
      </c>
    </row>
    <row r="2069" spans="2:33">
      <c r="B2069" s="14">
        <f>10000000+INDEX(编号表!$B:$B,MATCH(H2069,编号表!$A:$A,0))*100000+INDEX(编号表!$F:$F,MATCH(D2069,编号表!$E:$E,0))*10000+INDEX(编号表!$D:$D,MATCH(AG2069,编号表!$C:$C,0))*1000+F2069</f>
        <v>11914027</v>
      </c>
      <c r="C2069" s="14" t="s">
        <v>3338</v>
      </c>
      <c r="D2069" s="14" t="s">
        <v>72</v>
      </c>
      <c r="E2069" s="14" t="s">
        <v>92</v>
      </c>
      <c r="F2069" s="14">
        <v>27</v>
      </c>
      <c r="G2069" s="14">
        <v>60</v>
      </c>
      <c r="H2069" s="14" t="s">
        <v>1400</v>
      </c>
      <c r="I2069" s="14" t="s">
        <v>75</v>
      </c>
      <c r="J2069" s="14" t="s">
        <v>201</v>
      </c>
      <c r="K2069" s="14">
        <v>1</v>
      </c>
      <c r="L2069" s="14" t="s">
        <v>1400</v>
      </c>
      <c r="N2069" s="14">
        <v>0</v>
      </c>
      <c r="O2069" s="14" t="b">
        <v>1</v>
      </c>
      <c r="Q2069" s="14" t="b">
        <v>0</v>
      </c>
      <c r="R2069" s="14">
        <v>1</v>
      </c>
      <c r="S2069" s="14" t="s">
        <v>77</v>
      </c>
      <c r="T2069" s="14">
        <v>999</v>
      </c>
      <c r="U2069" s="14" t="s">
        <v>1401</v>
      </c>
      <c r="V2069" s="14">
        <v>31914027</v>
      </c>
      <c r="X2069" s="14" t="s">
        <v>3339</v>
      </c>
      <c r="Y2069" s="14" t="s">
        <v>215</v>
      </c>
      <c r="Z2069" s="14">
        <v>20832</v>
      </c>
      <c r="AA2069" s="14" t="s">
        <v>3340</v>
      </c>
      <c r="AB2069" s="14">
        <v>40001</v>
      </c>
      <c r="AE2069" s="14" t="s">
        <v>1400</v>
      </c>
      <c r="AF2069" s="14" t="s">
        <v>1400</v>
      </c>
      <c r="AG2069" s="14" t="s">
        <v>92</v>
      </c>
    </row>
    <row r="2070" spans="2:33">
      <c r="B2070" s="14">
        <f>10000000+INDEX(编号表!$B:$B,MATCH(H2070,编号表!$A:$A,0))*100000+INDEX(编号表!$F:$F,MATCH(D2070,编号表!$E:$E,0))*10000+INDEX(编号表!$D:$D,MATCH(AG2070,编号表!$C:$C,0))*1000+F2070</f>
        <v>11924028</v>
      </c>
      <c r="C2070" s="14" t="s">
        <v>3338</v>
      </c>
      <c r="D2070" s="14" t="s">
        <v>112</v>
      </c>
      <c r="E2070" s="14" t="s">
        <v>92</v>
      </c>
      <c r="F2070" s="14">
        <v>28</v>
      </c>
      <c r="G2070" s="14">
        <v>60</v>
      </c>
      <c r="H2070" s="14" t="s">
        <v>1400</v>
      </c>
      <c r="I2070" s="14" t="s">
        <v>75</v>
      </c>
      <c r="J2070" s="14" t="s">
        <v>201</v>
      </c>
      <c r="K2070" s="14">
        <v>1</v>
      </c>
      <c r="L2070" s="14" t="s">
        <v>1400</v>
      </c>
      <c r="N2070" s="14">
        <v>0</v>
      </c>
      <c r="O2070" s="14" t="b">
        <v>1</v>
      </c>
      <c r="Q2070" s="14" t="b">
        <v>0</v>
      </c>
      <c r="R2070" s="14">
        <v>1</v>
      </c>
      <c r="S2070" s="14" t="s">
        <v>77</v>
      </c>
      <c r="T2070" s="14">
        <v>999</v>
      </c>
      <c r="U2070" s="14" t="s">
        <v>1401</v>
      </c>
      <c r="V2070" s="14">
        <v>31924028</v>
      </c>
      <c r="X2070" s="14" t="s">
        <v>3341</v>
      </c>
      <c r="Y2070" s="14" t="s">
        <v>215</v>
      </c>
      <c r="Z2070" s="14">
        <v>20833</v>
      </c>
      <c r="AA2070" s="14" t="s">
        <v>3342</v>
      </c>
      <c r="AB2070" s="14">
        <v>40001</v>
      </c>
      <c r="AE2070" s="14" t="s">
        <v>1400</v>
      </c>
      <c r="AF2070" s="14" t="s">
        <v>1400</v>
      </c>
      <c r="AG2070" s="14" t="s">
        <v>92</v>
      </c>
    </row>
    <row r="2071" spans="2:33">
      <c r="B2071" s="14">
        <f>10000000+INDEX(编号表!$B:$B,MATCH(H2071,编号表!$A:$A,0))*100000+INDEX(编号表!$F:$F,MATCH(D2071,编号表!$E:$E,0))*10000+INDEX(编号表!$D:$D,MATCH(AG2071,编号表!$C:$C,0))*1000+F2071</f>
        <v>11934029</v>
      </c>
      <c r="C2071" s="14" t="s">
        <v>3338</v>
      </c>
      <c r="D2071" s="14" t="s">
        <v>276</v>
      </c>
      <c r="E2071" s="14" t="s">
        <v>92</v>
      </c>
      <c r="F2071" s="14">
        <v>29</v>
      </c>
      <c r="G2071" s="14">
        <v>60</v>
      </c>
      <c r="H2071" s="14" t="s">
        <v>1400</v>
      </c>
      <c r="I2071" s="14" t="s">
        <v>75</v>
      </c>
      <c r="J2071" s="14" t="s">
        <v>201</v>
      </c>
      <c r="K2071" s="14">
        <v>1</v>
      </c>
      <c r="L2071" s="14" t="s">
        <v>1400</v>
      </c>
      <c r="N2071" s="14">
        <v>0</v>
      </c>
      <c r="O2071" s="14" t="b">
        <v>1</v>
      </c>
      <c r="Q2071" s="14" t="b">
        <v>0</v>
      </c>
      <c r="R2071" s="14">
        <v>1</v>
      </c>
      <c r="S2071" s="14" t="s">
        <v>77</v>
      </c>
      <c r="T2071" s="14">
        <v>999</v>
      </c>
      <c r="U2071" s="14" t="s">
        <v>1401</v>
      </c>
      <c r="V2071" s="14">
        <v>31934029</v>
      </c>
      <c r="X2071" s="14" t="s">
        <v>3343</v>
      </c>
      <c r="Y2071" s="14" t="s">
        <v>215</v>
      </c>
      <c r="Z2071" s="14">
        <v>20834</v>
      </c>
      <c r="AA2071" s="14" t="s">
        <v>3344</v>
      </c>
      <c r="AB2071" s="14">
        <v>40001</v>
      </c>
      <c r="AE2071" s="14" t="s">
        <v>1400</v>
      </c>
      <c r="AF2071" s="14" t="s">
        <v>1400</v>
      </c>
      <c r="AG2071" s="14" t="s">
        <v>92</v>
      </c>
    </row>
    <row r="2072" spans="2:33">
      <c r="B2072" s="14">
        <f>10000000+INDEX(编号表!$B:$B,MATCH(H2072,编号表!$A:$A,0))*100000+INDEX(编号表!$F:$F,MATCH(D2072,编号表!$E:$E,0))*10000+INDEX(编号表!$D:$D,MATCH(AG2072,编号表!$C:$C,0))*1000+F2072</f>
        <v>11914028</v>
      </c>
      <c r="C2072" s="14" t="s">
        <v>3345</v>
      </c>
      <c r="D2072" s="14" t="s">
        <v>72</v>
      </c>
      <c r="E2072" s="14" t="s">
        <v>92</v>
      </c>
      <c r="F2072" s="14">
        <v>28</v>
      </c>
      <c r="G2072" s="14">
        <v>60</v>
      </c>
      <c r="H2072" s="14" t="s">
        <v>1400</v>
      </c>
      <c r="I2072" s="14" t="s">
        <v>75</v>
      </c>
      <c r="J2072" s="14" t="s">
        <v>201</v>
      </c>
      <c r="K2072" s="14">
        <v>1</v>
      </c>
      <c r="L2072" s="14" t="s">
        <v>1400</v>
      </c>
      <c r="N2072" s="14">
        <v>0</v>
      </c>
      <c r="O2072" s="14" t="b">
        <v>1</v>
      </c>
      <c r="Q2072" s="14" t="b">
        <v>0</v>
      </c>
      <c r="R2072" s="14">
        <v>1</v>
      </c>
      <c r="S2072" s="14" t="s">
        <v>77</v>
      </c>
      <c r="T2072" s="14">
        <v>999</v>
      </c>
      <c r="U2072" s="14" t="s">
        <v>1401</v>
      </c>
      <c r="V2072" s="14">
        <v>31914028</v>
      </c>
      <c r="X2072" s="14" t="s">
        <v>3346</v>
      </c>
      <c r="Y2072" s="14" t="s">
        <v>215</v>
      </c>
      <c r="Z2072" s="14">
        <v>20835</v>
      </c>
      <c r="AA2072" s="14" t="s">
        <v>3347</v>
      </c>
      <c r="AB2072" s="14">
        <v>40001</v>
      </c>
      <c r="AE2072" s="14" t="s">
        <v>1400</v>
      </c>
      <c r="AF2072" s="14" t="s">
        <v>1400</v>
      </c>
      <c r="AG2072" s="14" t="s">
        <v>92</v>
      </c>
    </row>
    <row r="2073" spans="2:33">
      <c r="B2073" s="14">
        <f>10000000+INDEX(编号表!$B:$B,MATCH(H2073,编号表!$A:$A,0))*100000+INDEX(编号表!$F:$F,MATCH(D2073,编号表!$E:$E,0))*10000+INDEX(编号表!$D:$D,MATCH(AG2073,编号表!$C:$C,0))*1000+F2073</f>
        <v>11924029</v>
      </c>
      <c r="C2073" s="14" t="s">
        <v>3345</v>
      </c>
      <c r="D2073" s="14" t="s">
        <v>112</v>
      </c>
      <c r="E2073" s="14" t="s">
        <v>92</v>
      </c>
      <c r="F2073" s="14">
        <v>29</v>
      </c>
      <c r="G2073" s="14">
        <v>60</v>
      </c>
      <c r="H2073" s="14" t="s">
        <v>1400</v>
      </c>
      <c r="I2073" s="14" t="s">
        <v>75</v>
      </c>
      <c r="J2073" s="14" t="s">
        <v>201</v>
      </c>
      <c r="K2073" s="14">
        <v>1</v>
      </c>
      <c r="L2073" s="14" t="s">
        <v>1400</v>
      </c>
      <c r="N2073" s="14">
        <v>0</v>
      </c>
      <c r="O2073" s="14" t="b">
        <v>1</v>
      </c>
      <c r="Q2073" s="14" t="b">
        <v>0</v>
      </c>
      <c r="R2073" s="14">
        <v>1</v>
      </c>
      <c r="S2073" s="14" t="s">
        <v>77</v>
      </c>
      <c r="T2073" s="14">
        <v>999</v>
      </c>
      <c r="U2073" s="14" t="s">
        <v>1401</v>
      </c>
      <c r="V2073" s="14">
        <v>31924029</v>
      </c>
      <c r="X2073" s="14" t="s">
        <v>3348</v>
      </c>
      <c r="Y2073" s="14" t="s">
        <v>215</v>
      </c>
      <c r="Z2073" s="14">
        <v>20836</v>
      </c>
      <c r="AA2073" s="14" t="s">
        <v>3349</v>
      </c>
      <c r="AB2073" s="14">
        <v>40001</v>
      </c>
      <c r="AE2073" s="14" t="s">
        <v>1400</v>
      </c>
      <c r="AF2073" s="14" t="s">
        <v>1400</v>
      </c>
      <c r="AG2073" s="14" t="s">
        <v>92</v>
      </c>
    </row>
    <row r="2074" spans="2:33">
      <c r="B2074" s="14">
        <f>10000000+INDEX(编号表!$B:$B,MATCH(H2074,编号表!$A:$A,0))*100000+INDEX(编号表!$F:$F,MATCH(D2074,编号表!$E:$E,0))*10000+INDEX(编号表!$D:$D,MATCH(AG2074,编号表!$C:$C,0))*1000+F2074</f>
        <v>11934030</v>
      </c>
      <c r="C2074" s="14" t="s">
        <v>3345</v>
      </c>
      <c r="D2074" s="14" t="s">
        <v>276</v>
      </c>
      <c r="E2074" s="14" t="s">
        <v>92</v>
      </c>
      <c r="F2074" s="14">
        <v>30</v>
      </c>
      <c r="G2074" s="14">
        <v>60</v>
      </c>
      <c r="H2074" s="14" t="s">
        <v>1400</v>
      </c>
      <c r="I2074" s="14" t="s">
        <v>75</v>
      </c>
      <c r="J2074" s="14" t="s">
        <v>201</v>
      </c>
      <c r="K2074" s="14">
        <v>1</v>
      </c>
      <c r="L2074" s="14" t="s">
        <v>1400</v>
      </c>
      <c r="N2074" s="14">
        <v>0</v>
      </c>
      <c r="O2074" s="14" t="b">
        <v>1</v>
      </c>
      <c r="Q2074" s="14" t="b">
        <v>0</v>
      </c>
      <c r="R2074" s="14">
        <v>1</v>
      </c>
      <c r="S2074" s="14" t="s">
        <v>77</v>
      </c>
      <c r="T2074" s="14">
        <v>999</v>
      </c>
      <c r="U2074" s="14" t="s">
        <v>1401</v>
      </c>
      <c r="V2074" s="14">
        <v>31934030</v>
      </c>
      <c r="X2074" s="14" t="s">
        <v>3350</v>
      </c>
      <c r="Y2074" s="14" t="s">
        <v>215</v>
      </c>
      <c r="Z2074" s="14">
        <v>20837</v>
      </c>
      <c r="AA2074" s="14" t="s">
        <v>3351</v>
      </c>
      <c r="AB2074" s="14">
        <v>40001</v>
      </c>
      <c r="AE2074" s="14" t="s">
        <v>1400</v>
      </c>
      <c r="AF2074" s="14" t="s">
        <v>1400</v>
      </c>
      <c r="AG2074" s="14" t="s">
        <v>92</v>
      </c>
    </row>
    <row r="2075" spans="2:33">
      <c r="B2075" s="14">
        <f>10000000+INDEX(编号表!$B:$B,MATCH(H2075,编号表!$A:$A,0))*100000+INDEX(编号表!$F:$F,MATCH(D2075,编号表!$E:$E,0))*10000+INDEX(编号表!$D:$D,MATCH(AG2075,编号表!$C:$C,0))*1000+F2075</f>
        <v>11914029</v>
      </c>
      <c r="C2075" s="14" t="s">
        <v>3352</v>
      </c>
      <c r="D2075" s="14" t="s">
        <v>72</v>
      </c>
      <c r="E2075" s="14" t="s">
        <v>92</v>
      </c>
      <c r="F2075" s="14">
        <v>29</v>
      </c>
      <c r="G2075" s="14">
        <v>60</v>
      </c>
      <c r="H2075" s="14" t="s">
        <v>1400</v>
      </c>
      <c r="I2075" s="14" t="s">
        <v>75</v>
      </c>
      <c r="J2075" s="14" t="s">
        <v>201</v>
      </c>
      <c r="K2075" s="14">
        <v>1</v>
      </c>
      <c r="L2075" s="14" t="s">
        <v>1400</v>
      </c>
      <c r="N2075" s="14">
        <v>0</v>
      </c>
      <c r="O2075" s="14" t="b">
        <v>1</v>
      </c>
      <c r="Q2075" s="14" t="b">
        <v>0</v>
      </c>
      <c r="R2075" s="14">
        <v>1</v>
      </c>
      <c r="S2075" s="14" t="s">
        <v>77</v>
      </c>
      <c r="T2075" s="14">
        <v>999</v>
      </c>
      <c r="U2075" s="14" t="s">
        <v>1401</v>
      </c>
      <c r="V2075" s="14">
        <v>31914029</v>
      </c>
      <c r="X2075" s="14" t="s">
        <v>3353</v>
      </c>
      <c r="Y2075" s="14" t="s">
        <v>215</v>
      </c>
      <c r="Z2075" s="14">
        <v>20838</v>
      </c>
      <c r="AA2075" s="14" t="s">
        <v>3354</v>
      </c>
      <c r="AB2075" s="14">
        <v>40001</v>
      </c>
      <c r="AE2075" s="14" t="s">
        <v>1400</v>
      </c>
      <c r="AF2075" s="14" t="s">
        <v>1400</v>
      </c>
      <c r="AG2075" s="14" t="s">
        <v>92</v>
      </c>
    </row>
    <row r="2076" spans="2:33">
      <c r="B2076" s="14">
        <f>10000000+INDEX(编号表!$B:$B,MATCH(H2076,编号表!$A:$A,0))*100000+INDEX(编号表!$F:$F,MATCH(D2076,编号表!$E:$E,0))*10000+INDEX(编号表!$D:$D,MATCH(AG2076,编号表!$C:$C,0))*1000+F2076</f>
        <v>11924030</v>
      </c>
      <c r="C2076" s="14" t="s">
        <v>3352</v>
      </c>
      <c r="D2076" s="14" t="s">
        <v>112</v>
      </c>
      <c r="E2076" s="14" t="s">
        <v>92</v>
      </c>
      <c r="F2076" s="14">
        <v>30</v>
      </c>
      <c r="G2076" s="14">
        <v>60</v>
      </c>
      <c r="H2076" s="14" t="s">
        <v>1400</v>
      </c>
      <c r="I2076" s="14" t="s">
        <v>75</v>
      </c>
      <c r="J2076" s="14" t="s">
        <v>201</v>
      </c>
      <c r="K2076" s="14">
        <v>1</v>
      </c>
      <c r="L2076" s="14" t="s">
        <v>1400</v>
      </c>
      <c r="N2076" s="14">
        <v>0</v>
      </c>
      <c r="O2076" s="14" t="b">
        <v>1</v>
      </c>
      <c r="Q2076" s="14" t="b">
        <v>0</v>
      </c>
      <c r="R2076" s="14">
        <v>1</v>
      </c>
      <c r="S2076" s="14" t="s">
        <v>77</v>
      </c>
      <c r="T2076" s="14">
        <v>999</v>
      </c>
      <c r="U2076" s="14" t="s">
        <v>1401</v>
      </c>
      <c r="V2076" s="14">
        <v>31924030</v>
      </c>
      <c r="X2076" s="14" t="s">
        <v>3355</v>
      </c>
      <c r="Y2076" s="14" t="s">
        <v>215</v>
      </c>
      <c r="Z2076" s="14">
        <v>20839</v>
      </c>
      <c r="AA2076" s="14" t="s">
        <v>3356</v>
      </c>
      <c r="AB2076" s="14">
        <v>40001</v>
      </c>
      <c r="AE2076" s="14" t="s">
        <v>1400</v>
      </c>
      <c r="AF2076" s="14" t="s">
        <v>1400</v>
      </c>
      <c r="AG2076" s="14" t="s">
        <v>92</v>
      </c>
    </row>
    <row r="2077" spans="2:33">
      <c r="B2077" s="14">
        <f>10000000+INDEX(编号表!$B:$B,MATCH(H2077,编号表!$A:$A,0))*100000+INDEX(编号表!$F:$F,MATCH(D2077,编号表!$E:$E,0))*10000+INDEX(编号表!$D:$D,MATCH(AG2077,编号表!$C:$C,0))*1000+F2077</f>
        <v>11934031</v>
      </c>
      <c r="C2077" s="14" t="s">
        <v>3352</v>
      </c>
      <c r="D2077" s="14" t="s">
        <v>276</v>
      </c>
      <c r="E2077" s="14" t="s">
        <v>92</v>
      </c>
      <c r="F2077" s="14">
        <v>31</v>
      </c>
      <c r="G2077" s="14">
        <v>60</v>
      </c>
      <c r="H2077" s="14" t="s">
        <v>1400</v>
      </c>
      <c r="I2077" s="14" t="s">
        <v>75</v>
      </c>
      <c r="J2077" s="14" t="s">
        <v>201</v>
      </c>
      <c r="K2077" s="14">
        <v>1</v>
      </c>
      <c r="L2077" s="14" t="s">
        <v>1400</v>
      </c>
      <c r="N2077" s="14">
        <v>0</v>
      </c>
      <c r="O2077" s="14" t="b">
        <v>1</v>
      </c>
      <c r="Q2077" s="14" t="b">
        <v>0</v>
      </c>
      <c r="R2077" s="14">
        <v>1</v>
      </c>
      <c r="S2077" s="14" t="s">
        <v>77</v>
      </c>
      <c r="T2077" s="14">
        <v>999</v>
      </c>
      <c r="U2077" s="14" t="s">
        <v>1401</v>
      </c>
      <c r="V2077" s="14">
        <v>31934031</v>
      </c>
      <c r="X2077" s="14" t="s">
        <v>3357</v>
      </c>
      <c r="Y2077" s="14" t="s">
        <v>215</v>
      </c>
      <c r="Z2077" s="14">
        <v>20840</v>
      </c>
      <c r="AA2077" s="14" t="s">
        <v>3358</v>
      </c>
      <c r="AB2077" s="14">
        <v>40001</v>
      </c>
      <c r="AE2077" s="14" t="s">
        <v>1400</v>
      </c>
      <c r="AF2077" s="14" t="s">
        <v>1400</v>
      </c>
      <c r="AG2077" s="14" t="s">
        <v>92</v>
      </c>
    </row>
    <row r="2078" spans="2:33">
      <c r="B2078" s="14">
        <f>10000000+INDEX(编号表!$B:$B,MATCH(H2078,编号表!$A:$A,0))*100000+INDEX(编号表!$F:$F,MATCH(D2078,编号表!$E:$E,0))*10000+INDEX(编号表!$D:$D,MATCH(AG2078,编号表!$C:$C,0))*1000+F2078</f>
        <v>11914030</v>
      </c>
      <c r="C2078" s="14" t="s">
        <v>3359</v>
      </c>
      <c r="D2078" s="14" t="s">
        <v>72</v>
      </c>
      <c r="E2078" s="14" t="s">
        <v>92</v>
      </c>
      <c r="F2078" s="14">
        <v>30</v>
      </c>
      <c r="G2078" s="14">
        <v>60</v>
      </c>
      <c r="H2078" s="14" t="s">
        <v>1400</v>
      </c>
      <c r="I2078" s="14" t="s">
        <v>75</v>
      </c>
      <c r="J2078" s="14" t="s">
        <v>201</v>
      </c>
      <c r="K2078" s="14">
        <v>1</v>
      </c>
      <c r="L2078" s="14" t="s">
        <v>1400</v>
      </c>
      <c r="N2078" s="14">
        <v>0</v>
      </c>
      <c r="O2078" s="14" t="b">
        <v>1</v>
      </c>
      <c r="Q2078" s="14" t="b">
        <v>0</v>
      </c>
      <c r="R2078" s="14">
        <v>1</v>
      </c>
      <c r="S2078" s="14" t="s">
        <v>77</v>
      </c>
      <c r="T2078" s="14">
        <v>999</v>
      </c>
      <c r="U2078" s="14" t="s">
        <v>1401</v>
      </c>
      <c r="V2078" s="14">
        <v>31914030</v>
      </c>
      <c r="X2078" s="14" t="s">
        <v>3360</v>
      </c>
      <c r="Y2078" s="14" t="s">
        <v>215</v>
      </c>
      <c r="Z2078" s="14">
        <v>20841</v>
      </c>
      <c r="AA2078" s="14" t="s">
        <v>3361</v>
      </c>
      <c r="AB2078" s="14">
        <v>40001</v>
      </c>
      <c r="AE2078" s="14" t="s">
        <v>1400</v>
      </c>
      <c r="AF2078" s="14" t="s">
        <v>1400</v>
      </c>
      <c r="AG2078" s="14" t="s">
        <v>92</v>
      </c>
    </row>
    <row r="2079" spans="2:33">
      <c r="B2079" s="14">
        <f>10000000+INDEX(编号表!$B:$B,MATCH(H2079,编号表!$A:$A,0))*100000+INDEX(编号表!$F:$F,MATCH(D2079,编号表!$E:$E,0))*10000+INDEX(编号表!$D:$D,MATCH(AG2079,编号表!$C:$C,0))*1000+F2079</f>
        <v>11924031</v>
      </c>
      <c r="C2079" s="14" t="s">
        <v>3359</v>
      </c>
      <c r="D2079" s="14" t="s">
        <v>112</v>
      </c>
      <c r="E2079" s="14" t="s">
        <v>92</v>
      </c>
      <c r="F2079" s="14">
        <v>31</v>
      </c>
      <c r="G2079" s="14">
        <v>60</v>
      </c>
      <c r="H2079" s="14" t="s">
        <v>1400</v>
      </c>
      <c r="I2079" s="14" t="s">
        <v>75</v>
      </c>
      <c r="J2079" s="14" t="s">
        <v>201</v>
      </c>
      <c r="K2079" s="14">
        <v>1</v>
      </c>
      <c r="L2079" s="14" t="s">
        <v>1400</v>
      </c>
      <c r="N2079" s="14">
        <v>0</v>
      </c>
      <c r="O2079" s="14" t="b">
        <v>1</v>
      </c>
      <c r="Q2079" s="14" t="b">
        <v>0</v>
      </c>
      <c r="R2079" s="14">
        <v>1</v>
      </c>
      <c r="S2079" s="14" t="s">
        <v>77</v>
      </c>
      <c r="T2079" s="14">
        <v>999</v>
      </c>
      <c r="U2079" s="14" t="s">
        <v>1401</v>
      </c>
      <c r="V2079" s="14">
        <v>31924031</v>
      </c>
      <c r="X2079" s="14" t="s">
        <v>3362</v>
      </c>
      <c r="Y2079" s="14" t="s">
        <v>215</v>
      </c>
      <c r="Z2079" s="14">
        <v>20842</v>
      </c>
      <c r="AA2079" s="14" t="s">
        <v>3363</v>
      </c>
      <c r="AB2079" s="14">
        <v>40001</v>
      </c>
      <c r="AE2079" s="14" t="s">
        <v>1400</v>
      </c>
      <c r="AF2079" s="14" t="s">
        <v>1400</v>
      </c>
      <c r="AG2079" s="14" t="s">
        <v>92</v>
      </c>
    </row>
    <row r="2080" spans="2:33">
      <c r="B2080" s="14">
        <f>10000000+INDEX(编号表!$B:$B,MATCH(H2080,编号表!$A:$A,0))*100000+INDEX(编号表!$F:$F,MATCH(D2080,编号表!$E:$E,0))*10000+INDEX(编号表!$D:$D,MATCH(AG2080,编号表!$C:$C,0))*1000+F2080</f>
        <v>11934032</v>
      </c>
      <c r="C2080" s="14" t="s">
        <v>3359</v>
      </c>
      <c r="D2080" s="14" t="s">
        <v>276</v>
      </c>
      <c r="E2080" s="14" t="s">
        <v>92</v>
      </c>
      <c r="F2080" s="14">
        <v>32</v>
      </c>
      <c r="G2080" s="14">
        <v>60</v>
      </c>
      <c r="H2080" s="14" t="s">
        <v>1400</v>
      </c>
      <c r="I2080" s="14" t="s">
        <v>75</v>
      </c>
      <c r="J2080" s="14" t="s">
        <v>201</v>
      </c>
      <c r="K2080" s="14">
        <v>1</v>
      </c>
      <c r="L2080" s="14" t="s">
        <v>1400</v>
      </c>
      <c r="N2080" s="14">
        <v>0</v>
      </c>
      <c r="O2080" s="14" t="b">
        <v>1</v>
      </c>
      <c r="Q2080" s="14" t="b">
        <v>0</v>
      </c>
      <c r="R2080" s="14">
        <v>1</v>
      </c>
      <c r="S2080" s="14" t="s">
        <v>77</v>
      </c>
      <c r="T2080" s="14">
        <v>999</v>
      </c>
      <c r="U2080" s="14" t="s">
        <v>1401</v>
      </c>
      <c r="V2080" s="14">
        <v>31934032</v>
      </c>
      <c r="X2080" s="14" t="s">
        <v>3364</v>
      </c>
      <c r="Y2080" s="14" t="s">
        <v>215</v>
      </c>
      <c r="Z2080" s="14">
        <v>20843</v>
      </c>
      <c r="AA2080" s="14" t="s">
        <v>3365</v>
      </c>
      <c r="AB2080" s="14">
        <v>40001</v>
      </c>
      <c r="AE2080" s="14" t="s">
        <v>1400</v>
      </c>
      <c r="AF2080" s="14" t="s">
        <v>1400</v>
      </c>
      <c r="AG2080" s="14" t="s">
        <v>92</v>
      </c>
    </row>
    <row r="2081" spans="2:33">
      <c r="B2081" s="14">
        <f>10000000+INDEX(编号表!$B:$B,MATCH(H2081,编号表!$A:$A,0))*100000+INDEX(编号表!$F:$F,MATCH(D2081,编号表!$E:$E,0))*10000+INDEX(编号表!$D:$D,MATCH(AG2081,编号表!$C:$C,0))*1000+F2081</f>
        <v>11914031</v>
      </c>
      <c r="C2081" s="14" t="s">
        <v>3366</v>
      </c>
      <c r="D2081" s="14" t="s">
        <v>72</v>
      </c>
      <c r="E2081" s="14" t="s">
        <v>92</v>
      </c>
      <c r="F2081" s="14">
        <v>31</v>
      </c>
      <c r="G2081" s="14">
        <v>60</v>
      </c>
      <c r="H2081" s="14" t="s">
        <v>1400</v>
      </c>
      <c r="I2081" s="14" t="s">
        <v>75</v>
      </c>
      <c r="J2081" s="14" t="s">
        <v>201</v>
      </c>
      <c r="K2081" s="14">
        <v>1</v>
      </c>
      <c r="L2081" s="14" t="s">
        <v>1400</v>
      </c>
      <c r="N2081" s="14">
        <v>0</v>
      </c>
      <c r="O2081" s="14" t="b">
        <v>1</v>
      </c>
      <c r="Q2081" s="14" t="b">
        <v>0</v>
      </c>
      <c r="R2081" s="14">
        <v>1</v>
      </c>
      <c r="S2081" s="14" t="s">
        <v>77</v>
      </c>
      <c r="T2081" s="14">
        <v>999</v>
      </c>
      <c r="U2081" s="14" t="s">
        <v>1401</v>
      </c>
      <c r="V2081" s="14">
        <v>31914031</v>
      </c>
      <c r="X2081" s="14" t="s">
        <v>3367</v>
      </c>
      <c r="Y2081" s="14" t="s">
        <v>215</v>
      </c>
      <c r="Z2081" s="14">
        <v>20844</v>
      </c>
      <c r="AA2081" s="14" t="s">
        <v>3368</v>
      </c>
      <c r="AB2081" s="14">
        <v>40001</v>
      </c>
      <c r="AE2081" s="14" t="s">
        <v>1400</v>
      </c>
      <c r="AF2081" s="14" t="s">
        <v>1400</v>
      </c>
      <c r="AG2081" s="14" t="s">
        <v>92</v>
      </c>
    </row>
    <row r="2082" spans="2:33">
      <c r="B2082" s="14">
        <f>10000000+INDEX(编号表!$B:$B,MATCH(H2082,编号表!$A:$A,0))*100000+INDEX(编号表!$F:$F,MATCH(D2082,编号表!$E:$E,0))*10000+INDEX(编号表!$D:$D,MATCH(AG2082,编号表!$C:$C,0))*1000+F2082</f>
        <v>11924032</v>
      </c>
      <c r="C2082" s="14" t="s">
        <v>3366</v>
      </c>
      <c r="D2082" s="14" t="s">
        <v>112</v>
      </c>
      <c r="E2082" s="14" t="s">
        <v>92</v>
      </c>
      <c r="F2082" s="14">
        <v>32</v>
      </c>
      <c r="G2082" s="14">
        <v>60</v>
      </c>
      <c r="H2082" s="14" t="s">
        <v>1400</v>
      </c>
      <c r="I2082" s="14" t="s">
        <v>75</v>
      </c>
      <c r="J2082" s="14" t="s">
        <v>201</v>
      </c>
      <c r="K2082" s="14">
        <v>1</v>
      </c>
      <c r="L2082" s="14" t="s">
        <v>1400</v>
      </c>
      <c r="N2082" s="14">
        <v>0</v>
      </c>
      <c r="O2082" s="14" t="b">
        <v>1</v>
      </c>
      <c r="Q2082" s="14" t="b">
        <v>0</v>
      </c>
      <c r="R2082" s="14">
        <v>1</v>
      </c>
      <c r="S2082" s="14" t="s">
        <v>77</v>
      </c>
      <c r="T2082" s="14">
        <v>999</v>
      </c>
      <c r="U2082" s="14" t="s">
        <v>1401</v>
      </c>
      <c r="V2082" s="14">
        <v>31924032</v>
      </c>
      <c r="X2082" s="14" t="s">
        <v>3369</v>
      </c>
      <c r="Y2082" s="14" t="s">
        <v>215</v>
      </c>
      <c r="Z2082" s="14">
        <v>20845</v>
      </c>
      <c r="AA2082" s="14" t="s">
        <v>3370</v>
      </c>
      <c r="AB2082" s="14">
        <v>40001</v>
      </c>
      <c r="AE2082" s="14" t="s">
        <v>1400</v>
      </c>
      <c r="AF2082" s="14" t="s">
        <v>1400</v>
      </c>
      <c r="AG2082" s="14" t="s">
        <v>92</v>
      </c>
    </row>
    <row r="2083" spans="2:33">
      <c r="B2083" s="14">
        <f>10000000+INDEX(编号表!$B:$B,MATCH(H2083,编号表!$A:$A,0))*100000+INDEX(编号表!$F:$F,MATCH(D2083,编号表!$E:$E,0))*10000+INDEX(编号表!$D:$D,MATCH(AG2083,编号表!$C:$C,0))*1000+F2083</f>
        <v>11934033</v>
      </c>
      <c r="C2083" s="14" t="s">
        <v>3366</v>
      </c>
      <c r="D2083" s="14" t="s">
        <v>276</v>
      </c>
      <c r="E2083" s="14" t="s">
        <v>92</v>
      </c>
      <c r="F2083" s="14">
        <v>33</v>
      </c>
      <c r="G2083" s="14">
        <v>60</v>
      </c>
      <c r="H2083" s="14" t="s">
        <v>1400</v>
      </c>
      <c r="I2083" s="14" t="s">
        <v>75</v>
      </c>
      <c r="J2083" s="14" t="s">
        <v>201</v>
      </c>
      <c r="K2083" s="14">
        <v>1</v>
      </c>
      <c r="L2083" s="14" t="s">
        <v>1400</v>
      </c>
      <c r="N2083" s="14">
        <v>0</v>
      </c>
      <c r="O2083" s="14" t="b">
        <v>1</v>
      </c>
      <c r="Q2083" s="14" t="b">
        <v>0</v>
      </c>
      <c r="R2083" s="14">
        <v>1</v>
      </c>
      <c r="S2083" s="14" t="s">
        <v>77</v>
      </c>
      <c r="T2083" s="14">
        <v>999</v>
      </c>
      <c r="U2083" s="14" t="s">
        <v>1401</v>
      </c>
      <c r="V2083" s="14">
        <v>31934033</v>
      </c>
      <c r="X2083" s="14" t="s">
        <v>3371</v>
      </c>
      <c r="Y2083" s="14" t="s">
        <v>215</v>
      </c>
      <c r="Z2083" s="14">
        <v>20846</v>
      </c>
      <c r="AA2083" s="14" t="s">
        <v>3372</v>
      </c>
      <c r="AB2083" s="14">
        <v>40001</v>
      </c>
      <c r="AE2083" s="14" t="s">
        <v>1400</v>
      </c>
      <c r="AF2083" s="14" t="s">
        <v>1400</v>
      </c>
      <c r="AG2083" s="14" t="s">
        <v>92</v>
      </c>
    </row>
    <row r="2084" spans="2:33">
      <c r="B2084" s="14">
        <f>10000000+INDEX(编号表!$B:$B,MATCH(H2084,编号表!$A:$A,0))*100000+INDEX(编号表!$F:$F,MATCH(D2084,编号表!$E:$E,0))*10000+INDEX(编号表!$D:$D,MATCH(AG2084,编号表!$C:$C,0))*1000+F2084</f>
        <v>11914032</v>
      </c>
      <c r="C2084" s="14" t="s">
        <v>3373</v>
      </c>
      <c r="D2084" s="14" t="s">
        <v>72</v>
      </c>
      <c r="E2084" s="14" t="s">
        <v>92</v>
      </c>
      <c r="F2084" s="14">
        <v>32</v>
      </c>
      <c r="G2084" s="14">
        <v>60</v>
      </c>
      <c r="H2084" s="14" t="s">
        <v>1400</v>
      </c>
      <c r="I2084" s="14" t="s">
        <v>75</v>
      </c>
      <c r="J2084" s="14" t="s">
        <v>201</v>
      </c>
      <c r="K2084" s="14">
        <v>1</v>
      </c>
      <c r="L2084" s="14" t="s">
        <v>1400</v>
      </c>
      <c r="N2084" s="14">
        <v>0</v>
      </c>
      <c r="O2084" s="14" t="b">
        <v>1</v>
      </c>
      <c r="Q2084" s="14" t="b">
        <v>0</v>
      </c>
      <c r="R2084" s="14">
        <v>1</v>
      </c>
      <c r="S2084" s="14" t="s">
        <v>77</v>
      </c>
      <c r="T2084" s="14">
        <v>999</v>
      </c>
      <c r="U2084" s="14" t="s">
        <v>1401</v>
      </c>
      <c r="V2084" s="14">
        <v>31914032</v>
      </c>
      <c r="X2084" s="14" t="s">
        <v>3374</v>
      </c>
      <c r="Y2084" s="14" t="s">
        <v>215</v>
      </c>
      <c r="Z2084" s="14">
        <v>20847</v>
      </c>
      <c r="AA2084" s="14" t="s">
        <v>3375</v>
      </c>
      <c r="AB2084" s="14">
        <v>40001</v>
      </c>
      <c r="AE2084" s="14" t="s">
        <v>1400</v>
      </c>
      <c r="AF2084" s="14" t="s">
        <v>1400</v>
      </c>
      <c r="AG2084" s="14" t="s">
        <v>92</v>
      </c>
    </row>
    <row r="2085" spans="2:33">
      <c r="B2085" s="14">
        <f>10000000+INDEX(编号表!$B:$B,MATCH(H2085,编号表!$A:$A,0))*100000+INDEX(编号表!$F:$F,MATCH(D2085,编号表!$E:$E,0))*10000+INDEX(编号表!$D:$D,MATCH(AG2085,编号表!$C:$C,0))*1000+F2085</f>
        <v>11924033</v>
      </c>
      <c r="C2085" s="14" t="s">
        <v>3373</v>
      </c>
      <c r="D2085" s="14" t="s">
        <v>112</v>
      </c>
      <c r="E2085" s="14" t="s">
        <v>92</v>
      </c>
      <c r="F2085" s="14">
        <v>33</v>
      </c>
      <c r="G2085" s="14">
        <v>60</v>
      </c>
      <c r="H2085" s="14" t="s">
        <v>1400</v>
      </c>
      <c r="I2085" s="14" t="s">
        <v>75</v>
      </c>
      <c r="J2085" s="14" t="s">
        <v>201</v>
      </c>
      <c r="K2085" s="14">
        <v>1</v>
      </c>
      <c r="L2085" s="14" t="s">
        <v>1400</v>
      </c>
      <c r="N2085" s="14">
        <v>0</v>
      </c>
      <c r="O2085" s="14" t="b">
        <v>1</v>
      </c>
      <c r="Q2085" s="14" t="b">
        <v>0</v>
      </c>
      <c r="R2085" s="14">
        <v>1</v>
      </c>
      <c r="S2085" s="14" t="s">
        <v>77</v>
      </c>
      <c r="T2085" s="14">
        <v>999</v>
      </c>
      <c r="U2085" s="14" t="s">
        <v>1401</v>
      </c>
      <c r="V2085" s="14">
        <v>31924033</v>
      </c>
      <c r="X2085" s="14" t="s">
        <v>3376</v>
      </c>
      <c r="Y2085" s="14" t="s">
        <v>215</v>
      </c>
      <c r="Z2085" s="14">
        <v>20848</v>
      </c>
      <c r="AA2085" s="14" t="s">
        <v>3377</v>
      </c>
      <c r="AB2085" s="14">
        <v>40001</v>
      </c>
      <c r="AE2085" s="14" t="s">
        <v>1400</v>
      </c>
      <c r="AF2085" s="14" t="s">
        <v>1400</v>
      </c>
      <c r="AG2085" s="14" t="s">
        <v>92</v>
      </c>
    </row>
    <row r="2086" spans="2:33">
      <c r="B2086" s="14">
        <f>10000000+INDEX(编号表!$B:$B,MATCH(H2086,编号表!$A:$A,0))*100000+INDEX(编号表!$F:$F,MATCH(D2086,编号表!$E:$E,0))*10000+INDEX(编号表!$D:$D,MATCH(AG2086,编号表!$C:$C,0))*1000+F2086</f>
        <v>11934034</v>
      </c>
      <c r="C2086" s="14" t="s">
        <v>3373</v>
      </c>
      <c r="D2086" s="14" t="s">
        <v>276</v>
      </c>
      <c r="E2086" s="14" t="s">
        <v>92</v>
      </c>
      <c r="F2086" s="14">
        <v>34</v>
      </c>
      <c r="G2086" s="14">
        <v>60</v>
      </c>
      <c r="H2086" s="14" t="s">
        <v>1400</v>
      </c>
      <c r="I2086" s="14" t="s">
        <v>75</v>
      </c>
      <c r="J2086" s="14" t="s">
        <v>201</v>
      </c>
      <c r="K2086" s="14">
        <v>1</v>
      </c>
      <c r="L2086" s="14" t="s">
        <v>1400</v>
      </c>
      <c r="N2086" s="14">
        <v>0</v>
      </c>
      <c r="O2086" s="14" t="b">
        <v>1</v>
      </c>
      <c r="Q2086" s="14" t="b">
        <v>0</v>
      </c>
      <c r="R2086" s="14">
        <v>1</v>
      </c>
      <c r="S2086" s="14" t="s">
        <v>77</v>
      </c>
      <c r="T2086" s="14">
        <v>999</v>
      </c>
      <c r="U2086" s="14" t="s">
        <v>1401</v>
      </c>
      <c r="V2086" s="14">
        <v>31934034</v>
      </c>
      <c r="X2086" s="14" t="s">
        <v>3378</v>
      </c>
      <c r="Y2086" s="14" t="s">
        <v>215</v>
      </c>
      <c r="Z2086" s="14">
        <v>20849</v>
      </c>
      <c r="AA2086" s="14" t="s">
        <v>3379</v>
      </c>
      <c r="AB2086" s="14">
        <v>40001</v>
      </c>
      <c r="AE2086" s="14" t="s">
        <v>1400</v>
      </c>
      <c r="AF2086" s="14" t="s">
        <v>1400</v>
      </c>
      <c r="AG2086" s="14" t="s">
        <v>92</v>
      </c>
    </row>
    <row r="2087" spans="2:33">
      <c r="B2087" s="14">
        <f>10000000+INDEX(编号表!$B:$B,MATCH(H2087,编号表!$A:$A,0))*100000+INDEX(编号表!$F:$F,MATCH(D2087,编号表!$E:$E,0))*10000+INDEX(编号表!$D:$D,MATCH(AG2087,编号表!$C:$C,0))*1000+F2087</f>
        <v>11914033</v>
      </c>
      <c r="C2087" s="14" t="s">
        <v>3380</v>
      </c>
      <c r="D2087" s="14" t="s">
        <v>72</v>
      </c>
      <c r="E2087" s="14" t="s">
        <v>92</v>
      </c>
      <c r="F2087" s="14">
        <v>33</v>
      </c>
      <c r="G2087" s="14">
        <v>60</v>
      </c>
      <c r="H2087" s="14" t="s">
        <v>1400</v>
      </c>
      <c r="I2087" s="14" t="s">
        <v>75</v>
      </c>
      <c r="J2087" s="14" t="s">
        <v>201</v>
      </c>
      <c r="K2087" s="14">
        <v>1</v>
      </c>
      <c r="L2087" s="14" t="s">
        <v>1400</v>
      </c>
      <c r="N2087" s="14">
        <v>0</v>
      </c>
      <c r="O2087" s="14" t="b">
        <v>1</v>
      </c>
      <c r="Q2087" s="14" t="b">
        <v>0</v>
      </c>
      <c r="R2087" s="14">
        <v>1</v>
      </c>
      <c r="S2087" s="14" t="s">
        <v>77</v>
      </c>
      <c r="T2087" s="14">
        <v>999</v>
      </c>
      <c r="U2087" s="14" t="s">
        <v>1401</v>
      </c>
      <c r="V2087" s="14">
        <v>31914033</v>
      </c>
      <c r="X2087" s="14" t="s">
        <v>3381</v>
      </c>
      <c r="Y2087" s="14" t="s">
        <v>215</v>
      </c>
      <c r="Z2087" s="14">
        <v>20850</v>
      </c>
      <c r="AA2087" s="14" t="s">
        <v>3382</v>
      </c>
      <c r="AB2087" s="14">
        <v>40001</v>
      </c>
      <c r="AE2087" s="14" t="s">
        <v>1400</v>
      </c>
      <c r="AF2087" s="14" t="s">
        <v>1400</v>
      </c>
      <c r="AG2087" s="14" t="s">
        <v>92</v>
      </c>
    </row>
    <row r="2088" spans="2:33">
      <c r="B2088" s="14">
        <f>10000000+INDEX(编号表!$B:$B,MATCH(H2088,编号表!$A:$A,0))*100000+INDEX(编号表!$F:$F,MATCH(D2088,编号表!$E:$E,0))*10000+INDEX(编号表!$D:$D,MATCH(AG2088,编号表!$C:$C,0))*1000+F2088</f>
        <v>11924034</v>
      </c>
      <c r="C2088" s="14" t="s">
        <v>3380</v>
      </c>
      <c r="D2088" s="14" t="s">
        <v>112</v>
      </c>
      <c r="E2088" s="14" t="s">
        <v>92</v>
      </c>
      <c r="F2088" s="14">
        <v>34</v>
      </c>
      <c r="G2088" s="14">
        <v>60</v>
      </c>
      <c r="H2088" s="14" t="s">
        <v>1400</v>
      </c>
      <c r="I2088" s="14" t="s">
        <v>75</v>
      </c>
      <c r="J2088" s="14" t="s">
        <v>201</v>
      </c>
      <c r="K2088" s="14">
        <v>1</v>
      </c>
      <c r="L2088" s="14" t="s">
        <v>1400</v>
      </c>
      <c r="N2088" s="14">
        <v>0</v>
      </c>
      <c r="O2088" s="14" t="b">
        <v>1</v>
      </c>
      <c r="Q2088" s="14" t="b">
        <v>0</v>
      </c>
      <c r="R2088" s="14">
        <v>1</v>
      </c>
      <c r="S2088" s="14" t="s">
        <v>77</v>
      </c>
      <c r="T2088" s="14">
        <v>999</v>
      </c>
      <c r="U2088" s="14" t="s">
        <v>1401</v>
      </c>
      <c r="V2088" s="14">
        <v>31924034</v>
      </c>
      <c r="X2088" s="14" t="s">
        <v>3383</v>
      </c>
      <c r="Y2088" s="14" t="s">
        <v>215</v>
      </c>
      <c r="Z2088" s="14">
        <v>20851</v>
      </c>
      <c r="AA2088" s="14" t="s">
        <v>3384</v>
      </c>
      <c r="AB2088" s="14">
        <v>40001</v>
      </c>
      <c r="AE2088" s="14" t="s">
        <v>1400</v>
      </c>
      <c r="AF2088" s="14" t="s">
        <v>1400</v>
      </c>
      <c r="AG2088" s="14" t="s">
        <v>92</v>
      </c>
    </row>
    <row r="2089" spans="2:33">
      <c r="B2089" s="14">
        <f>10000000+INDEX(编号表!$B:$B,MATCH(H2089,编号表!$A:$A,0))*100000+INDEX(编号表!$F:$F,MATCH(D2089,编号表!$E:$E,0))*10000+INDEX(编号表!$D:$D,MATCH(AG2089,编号表!$C:$C,0))*1000+F2089</f>
        <v>11934035</v>
      </c>
      <c r="C2089" s="14" t="s">
        <v>3380</v>
      </c>
      <c r="D2089" s="14" t="s">
        <v>276</v>
      </c>
      <c r="E2089" s="14" t="s">
        <v>92</v>
      </c>
      <c r="F2089" s="14">
        <v>35</v>
      </c>
      <c r="G2089" s="14">
        <v>60</v>
      </c>
      <c r="H2089" s="14" t="s">
        <v>1400</v>
      </c>
      <c r="I2089" s="14" t="s">
        <v>75</v>
      </c>
      <c r="J2089" s="14" t="s">
        <v>201</v>
      </c>
      <c r="K2089" s="14">
        <v>1</v>
      </c>
      <c r="L2089" s="14" t="s">
        <v>1400</v>
      </c>
      <c r="N2089" s="14">
        <v>0</v>
      </c>
      <c r="O2089" s="14" t="b">
        <v>1</v>
      </c>
      <c r="Q2089" s="14" t="b">
        <v>0</v>
      </c>
      <c r="R2089" s="14">
        <v>1</v>
      </c>
      <c r="S2089" s="14" t="s">
        <v>77</v>
      </c>
      <c r="T2089" s="14">
        <v>999</v>
      </c>
      <c r="U2089" s="14" t="s">
        <v>1401</v>
      </c>
      <c r="V2089" s="14">
        <v>31934035</v>
      </c>
      <c r="X2089" s="14" t="s">
        <v>3385</v>
      </c>
      <c r="Y2089" s="14" t="s">
        <v>215</v>
      </c>
      <c r="Z2089" s="14">
        <v>20852</v>
      </c>
      <c r="AA2089" s="14" t="s">
        <v>3386</v>
      </c>
      <c r="AB2089" s="14">
        <v>40001</v>
      </c>
      <c r="AE2089" s="14" t="s">
        <v>1400</v>
      </c>
      <c r="AF2089" s="14" t="s">
        <v>1400</v>
      </c>
      <c r="AG2089" s="14" t="s">
        <v>92</v>
      </c>
    </row>
    <row r="2090" spans="2:33">
      <c r="B2090" s="14">
        <f>10000000+INDEX(编号表!$B:$B,MATCH(H2090,编号表!$A:$A,0))*100000+INDEX(编号表!$F:$F,MATCH(D2090,编号表!$E:$E,0))*10000+INDEX(编号表!$D:$D,MATCH(AG2090,编号表!$C:$C,0))*1000+F2090</f>
        <v>11914034</v>
      </c>
      <c r="C2090" s="14" t="s">
        <v>3387</v>
      </c>
      <c r="D2090" s="14" t="s">
        <v>72</v>
      </c>
      <c r="E2090" s="14" t="s">
        <v>92</v>
      </c>
      <c r="F2090" s="14">
        <v>34</v>
      </c>
      <c r="G2090" s="14">
        <v>60</v>
      </c>
      <c r="H2090" s="14" t="s">
        <v>1400</v>
      </c>
      <c r="I2090" s="14" t="s">
        <v>75</v>
      </c>
      <c r="J2090" s="14" t="s">
        <v>201</v>
      </c>
      <c r="K2090" s="14">
        <v>1</v>
      </c>
      <c r="L2090" s="14" t="s">
        <v>1400</v>
      </c>
      <c r="N2090" s="14">
        <v>0</v>
      </c>
      <c r="O2090" s="14" t="b">
        <v>1</v>
      </c>
      <c r="Q2090" s="14" t="b">
        <v>0</v>
      </c>
      <c r="R2090" s="14">
        <v>1</v>
      </c>
      <c r="S2090" s="14" t="s">
        <v>77</v>
      </c>
      <c r="T2090" s="14">
        <v>999</v>
      </c>
      <c r="U2090" s="14" t="s">
        <v>1401</v>
      </c>
      <c r="V2090" s="14">
        <v>31914034</v>
      </c>
      <c r="X2090" s="14" t="s">
        <v>3388</v>
      </c>
      <c r="Y2090" s="14" t="s">
        <v>215</v>
      </c>
      <c r="Z2090" s="14">
        <v>20853</v>
      </c>
      <c r="AA2090" s="14" t="s">
        <v>3389</v>
      </c>
      <c r="AB2090" s="14">
        <v>40001</v>
      </c>
      <c r="AE2090" s="14" t="s">
        <v>1400</v>
      </c>
      <c r="AF2090" s="14" t="s">
        <v>1400</v>
      </c>
      <c r="AG2090" s="14" t="s">
        <v>92</v>
      </c>
    </row>
    <row r="2091" spans="2:33">
      <c r="B2091" s="14">
        <f>10000000+INDEX(编号表!$B:$B,MATCH(H2091,编号表!$A:$A,0))*100000+INDEX(编号表!$F:$F,MATCH(D2091,编号表!$E:$E,0))*10000+INDEX(编号表!$D:$D,MATCH(AG2091,编号表!$C:$C,0))*1000+F2091</f>
        <v>11924035</v>
      </c>
      <c r="C2091" s="14" t="s">
        <v>3387</v>
      </c>
      <c r="D2091" s="14" t="s">
        <v>112</v>
      </c>
      <c r="E2091" s="14" t="s">
        <v>92</v>
      </c>
      <c r="F2091" s="14">
        <v>35</v>
      </c>
      <c r="G2091" s="14">
        <v>60</v>
      </c>
      <c r="H2091" s="14" t="s">
        <v>1400</v>
      </c>
      <c r="I2091" s="14" t="s">
        <v>75</v>
      </c>
      <c r="J2091" s="14" t="s">
        <v>201</v>
      </c>
      <c r="K2091" s="14">
        <v>1</v>
      </c>
      <c r="L2091" s="14" t="s">
        <v>1400</v>
      </c>
      <c r="N2091" s="14">
        <v>0</v>
      </c>
      <c r="O2091" s="14" t="b">
        <v>1</v>
      </c>
      <c r="Q2091" s="14" t="b">
        <v>0</v>
      </c>
      <c r="R2091" s="14">
        <v>1</v>
      </c>
      <c r="S2091" s="14" t="s">
        <v>77</v>
      </c>
      <c r="T2091" s="14">
        <v>999</v>
      </c>
      <c r="U2091" s="14" t="s">
        <v>1401</v>
      </c>
      <c r="V2091" s="14">
        <v>31924035</v>
      </c>
      <c r="X2091" s="14" t="s">
        <v>3390</v>
      </c>
      <c r="Y2091" s="14" t="s">
        <v>215</v>
      </c>
      <c r="Z2091" s="14">
        <v>20854</v>
      </c>
      <c r="AA2091" s="14" t="s">
        <v>3391</v>
      </c>
      <c r="AB2091" s="14">
        <v>40001</v>
      </c>
      <c r="AE2091" s="14" t="s">
        <v>1400</v>
      </c>
      <c r="AF2091" s="14" t="s">
        <v>1400</v>
      </c>
      <c r="AG2091" s="14" t="s">
        <v>92</v>
      </c>
    </row>
    <row r="2092" spans="2:33">
      <c r="B2092" s="14">
        <f>10000000+INDEX(编号表!$B:$B,MATCH(H2092,编号表!$A:$A,0))*100000+INDEX(编号表!$F:$F,MATCH(D2092,编号表!$E:$E,0))*10000+INDEX(编号表!$D:$D,MATCH(AG2092,编号表!$C:$C,0))*1000+F2092</f>
        <v>11934036</v>
      </c>
      <c r="C2092" s="14" t="s">
        <v>3387</v>
      </c>
      <c r="D2092" s="14" t="s">
        <v>276</v>
      </c>
      <c r="E2092" s="14" t="s">
        <v>92</v>
      </c>
      <c r="F2092" s="14">
        <v>36</v>
      </c>
      <c r="G2092" s="14">
        <v>60</v>
      </c>
      <c r="H2092" s="14" t="s">
        <v>1400</v>
      </c>
      <c r="I2092" s="14" t="s">
        <v>75</v>
      </c>
      <c r="J2092" s="14" t="s">
        <v>201</v>
      </c>
      <c r="K2092" s="14">
        <v>1</v>
      </c>
      <c r="L2092" s="14" t="s">
        <v>1400</v>
      </c>
      <c r="N2092" s="14">
        <v>0</v>
      </c>
      <c r="O2092" s="14" t="b">
        <v>1</v>
      </c>
      <c r="Q2092" s="14" t="b">
        <v>0</v>
      </c>
      <c r="R2092" s="14">
        <v>1</v>
      </c>
      <c r="S2092" s="14" t="s">
        <v>77</v>
      </c>
      <c r="T2092" s="14">
        <v>999</v>
      </c>
      <c r="U2092" s="14" t="s">
        <v>1401</v>
      </c>
      <c r="V2092" s="14">
        <v>31934036</v>
      </c>
      <c r="X2092" s="14" t="s">
        <v>3392</v>
      </c>
      <c r="Y2092" s="14" t="s">
        <v>215</v>
      </c>
      <c r="Z2092" s="14">
        <v>20855</v>
      </c>
      <c r="AA2092" s="14" t="s">
        <v>3393</v>
      </c>
      <c r="AB2092" s="14">
        <v>40001</v>
      </c>
      <c r="AE2092" s="14" t="s">
        <v>1400</v>
      </c>
      <c r="AF2092" s="14" t="s">
        <v>1400</v>
      </c>
      <c r="AG2092" s="14" t="s">
        <v>92</v>
      </c>
    </row>
    <row r="2093" spans="2:33">
      <c r="B2093" s="14">
        <f>10000000+INDEX(编号表!$B:$B,MATCH(H2093,编号表!$A:$A,0))*100000+INDEX(编号表!$F:$F,MATCH(D2093,编号表!$E:$E,0))*10000+INDEX(编号表!$D:$D,MATCH(AG2093,编号表!$C:$C,0))*1000+F2093</f>
        <v>11914035</v>
      </c>
      <c r="C2093" s="14" t="s">
        <v>3394</v>
      </c>
      <c r="D2093" s="14" t="s">
        <v>72</v>
      </c>
      <c r="E2093" s="14" t="s">
        <v>92</v>
      </c>
      <c r="F2093" s="14">
        <v>35</v>
      </c>
      <c r="G2093" s="14">
        <v>60</v>
      </c>
      <c r="H2093" s="14" t="s">
        <v>1400</v>
      </c>
      <c r="I2093" s="14" t="s">
        <v>75</v>
      </c>
      <c r="J2093" s="14" t="s">
        <v>201</v>
      </c>
      <c r="K2093" s="14">
        <v>1</v>
      </c>
      <c r="L2093" s="14" t="s">
        <v>1400</v>
      </c>
      <c r="N2093" s="14">
        <v>0</v>
      </c>
      <c r="O2093" s="14" t="b">
        <v>1</v>
      </c>
      <c r="Q2093" s="14" t="b">
        <v>0</v>
      </c>
      <c r="R2093" s="14">
        <v>1</v>
      </c>
      <c r="S2093" s="14" t="s">
        <v>77</v>
      </c>
      <c r="T2093" s="14">
        <v>999</v>
      </c>
      <c r="U2093" s="14" t="s">
        <v>1401</v>
      </c>
      <c r="V2093" s="14">
        <v>31914035</v>
      </c>
      <c r="X2093" s="14" t="s">
        <v>3395</v>
      </c>
      <c r="Y2093" s="14" t="s">
        <v>215</v>
      </c>
      <c r="Z2093" s="14">
        <v>20856</v>
      </c>
      <c r="AA2093" s="14" t="s">
        <v>3396</v>
      </c>
      <c r="AB2093" s="14">
        <v>40001</v>
      </c>
      <c r="AE2093" s="14" t="s">
        <v>1400</v>
      </c>
      <c r="AF2093" s="14" t="s">
        <v>1400</v>
      </c>
      <c r="AG2093" s="14" t="s">
        <v>92</v>
      </c>
    </row>
    <row r="2094" spans="2:33">
      <c r="B2094" s="14">
        <f>10000000+INDEX(编号表!$B:$B,MATCH(H2094,编号表!$A:$A,0))*100000+INDEX(编号表!$F:$F,MATCH(D2094,编号表!$E:$E,0))*10000+INDEX(编号表!$D:$D,MATCH(AG2094,编号表!$C:$C,0))*1000+F2094</f>
        <v>11924036</v>
      </c>
      <c r="C2094" s="14" t="s">
        <v>3394</v>
      </c>
      <c r="D2094" s="14" t="s">
        <v>112</v>
      </c>
      <c r="E2094" s="14" t="s">
        <v>92</v>
      </c>
      <c r="F2094" s="14">
        <v>36</v>
      </c>
      <c r="G2094" s="14">
        <v>60</v>
      </c>
      <c r="H2094" s="14" t="s">
        <v>1400</v>
      </c>
      <c r="I2094" s="14" t="s">
        <v>75</v>
      </c>
      <c r="J2094" s="14" t="s">
        <v>201</v>
      </c>
      <c r="K2094" s="14">
        <v>1</v>
      </c>
      <c r="L2094" s="14" t="s">
        <v>1400</v>
      </c>
      <c r="N2094" s="14">
        <v>0</v>
      </c>
      <c r="O2094" s="14" t="b">
        <v>1</v>
      </c>
      <c r="Q2094" s="14" t="b">
        <v>0</v>
      </c>
      <c r="R2094" s="14">
        <v>1</v>
      </c>
      <c r="S2094" s="14" t="s">
        <v>77</v>
      </c>
      <c r="T2094" s="14">
        <v>999</v>
      </c>
      <c r="U2094" s="14" t="s">
        <v>1401</v>
      </c>
      <c r="V2094" s="14">
        <v>31924036</v>
      </c>
      <c r="X2094" s="14" t="s">
        <v>3397</v>
      </c>
      <c r="Y2094" s="14" t="s">
        <v>215</v>
      </c>
      <c r="Z2094" s="14">
        <v>20857</v>
      </c>
      <c r="AA2094" s="14" t="s">
        <v>3398</v>
      </c>
      <c r="AB2094" s="14">
        <v>40001</v>
      </c>
      <c r="AE2094" s="14" t="s">
        <v>1400</v>
      </c>
      <c r="AF2094" s="14" t="s">
        <v>1400</v>
      </c>
      <c r="AG2094" s="14" t="s">
        <v>92</v>
      </c>
    </row>
    <row r="2095" spans="2:33">
      <c r="B2095" s="14">
        <f>10000000+INDEX(编号表!$B:$B,MATCH(H2095,编号表!$A:$A,0))*100000+INDEX(编号表!$F:$F,MATCH(D2095,编号表!$E:$E,0))*10000+INDEX(编号表!$D:$D,MATCH(AG2095,编号表!$C:$C,0))*1000+F2095</f>
        <v>11934037</v>
      </c>
      <c r="C2095" s="14" t="s">
        <v>3394</v>
      </c>
      <c r="D2095" s="14" t="s">
        <v>276</v>
      </c>
      <c r="E2095" s="14" t="s">
        <v>92</v>
      </c>
      <c r="F2095" s="14">
        <v>37</v>
      </c>
      <c r="G2095" s="14">
        <v>60</v>
      </c>
      <c r="H2095" s="14" t="s">
        <v>1400</v>
      </c>
      <c r="I2095" s="14" t="s">
        <v>75</v>
      </c>
      <c r="J2095" s="14" t="s">
        <v>201</v>
      </c>
      <c r="K2095" s="14">
        <v>1</v>
      </c>
      <c r="L2095" s="14" t="s">
        <v>1400</v>
      </c>
      <c r="N2095" s="14">
        <v>0</v>
      </c>
      <c r="O2095" s="14" t="b">
        <v>1</v>
      </c>
      <c r="Q2095" s="14" t="b">
        <v>0</v>
      </c>
      <c r="R2095" s="14">
        <v>1</v>
      </c>
      <c r="S2095" s="14" t="s">
        <v>77</v>
      </c>
      <c r="T2095" s="14">
        <v>999</v>
      </c>
      <c r="U2095" s="14" t="s">
        <v>1401</v>
      </c>
      <c r="V2095" s="14">
        <v>31934037</v>
      </c>
      <c r="X2095" s="14" t="s">
        <v>3399</v>
      </c>
      <c r="Y2095" s="14" t="s">
        <v>215</v>
      </c>
      <c r="Z2095" s="14">
        <v>20858</v>
      </c>
      <c r="AA2095" s="14" t="s">
        <v>3400</v>
      </c>
      <c r="AB2095" s="14">
        <v>40001</v>
      </c>
      <c r="AE2095" s="14" t="s">
        <v>1400</v>
      </c>
      <c r="AF2095" s="14" t="s">
        <v>1400</v>
      </c>
      <c r="AG2095" s="14" t="s">
        <v>92</v>
      </c>
    </row>
    <row r="2096" spans="2:33">
      <c r="B2096" s="14">
        <f>10000000+INDEX(编号表!$B:$B,MATCH(H2096,编号表!$A:$A,0))*100000+INDEX(编号表!$F:$F,MATCH(D2096,编号表!$E:$E,0))*10000+INDEX(编号表!$D:$D,MATCH(AG2096,编号表!$C:$C,0))*1000+F2096</f>
        <v>11914036</v>
      </c>
      <c r="C2096" s="14" t="s">
        <v>3401</v>
      </c>
      <c r="D2096" s="14" t="s">
        <v>72</v>
      </c>
      <c r="E2096" s="14" t="s">
        <v>92</v>
      </c>
      <c r="F2096" s="14">
        <v>36</v>
      </c>
      <c r="G2096" s="14">
        <v>60</v>
      </c>
      <c r="H2096" s="14" t="s">
        <v>1400</v>
      </c>
      <c r="I2096" s="14" t="s">
        <v>75</v>
      </c>
      <c r="J2096" s="14" t="s">
        <v>201</v>
      </c>
      <c r="K2096" s="14">
        <v>1</v>
      </c>
      <c r="L2096" s="14" t="s">
        <v>1400</v>
      </c>
      <c r="N2096" s="14">
        <v>0</v>
      </c>
      <c r="O2096" s="14" t="b">
        <v>1</v>
      </c>
      <c r="Q2096" s="14" t="b">
        <v>0</v>
      </c>
      <c r="R2096" s="14">
        <v>1</v>
      </c>
      <c r="S2096" s="14" t="s">
        <v>77</v>
      </c>
      <c r="T2096" s="14">
        <v>999</v>
      </c>
      <c r="U2096" s="14" t="s">
        <v>1401</v>
      </c>
      <c r="V2096" s="14">
        <v>31914036</v>
      </c>
      <c r="X2096" s="14" t="s">
        <v>3402</v>
      </c>
      <c r="Y2096" s="14" t="s">
        <v>215</v>
      </c>
      <c r="Z2096" s="14">
        <v>20859</v>
      </c>
      <c r="AA2096" s="14" t="s">
        <v>3403</v>
      </c>
      <c r="AB2096" s="14">
        <v>40001</v>
      </c>
      <c r="AE2096" s="14" t="s">
        <v>1400</v>
      </c>
      <c r="AF2096" s="14" t="s">
        <v>1400</v>
      </c>
      <c r="AG2096" s="14" t="s">
        <v>92</v>
      </c>
    </row>
    <row r="2097" spans="2:33">
      <c r="B2097" s="14">
        <f>10000000+INDEX(编号表!$B:$B,MATCH(H2097,编号表!$A:$A,0))*100000+INDEX(编号表!$F:$F,MATCH(D2097,编号表!$E:$E,0))*10000+INDEX(编号表!$D:$D,MATCH(AG2097,编号表!$C:$C,0))*1000+F2097</f>
        <v>11924037</v>
      </c>
      <c r="C2097" s="14" t="s">
        <v>3401</v>
      </c>
      <c r="D2097" s="14" t="s">
        <v>112</v>
      </c>
      <c r="E2097" s="14" t="s">
        <v>92</v>
      </c>
      <c r="F2097" s="14">
        <v>37</v>
      </c>
      <c r="G2097" s="14">
        <v>60</v>
      </c>
      <c r="H2097" s="14" t="s">
        <v>1400</v>
      </c>
      <c r="I2097" s="14" t="s">
        <v>75</v>
      </c>
      <c r="J2097" s="14" t="s">
        <v>201</v>
      </c>
      <c r="K2097" s="14">
        <v>1</v>
      </c>
      <c r="L2097" s="14" t="s">
        <v>1400</v>
      </c>
      <c r="N2097" s="14">
        <v>0</v>
      </c>
      <c r="O2097" s="14" t="b">
        <v>1</v>
      </c>
      <c r="Q2097" s="14" t="b">
        <v>0</v>
      </c>
      <c r="R2097" s="14">
        <v>1</v>
      </c>
      <c r="S2097" s="14" t="s">
        <v>77</v>
      </c>
      <c r="T2097" s="14">
        <v>999</v>
      </c>
      <c r="U2097" s="14" t="s">
        <v>1401</v>
      </c>
      <c r="V2097" s="14">
        <v>31924037</v>
      </c>
      <c r="X2097" s="14" t="s">
        <v>3404</v>
      </c>
      <c r="Y2097" s="14" t="s">
        <v>215</v>
      </c>
      <c r="Z2097" s="14">
        <v>20860</v>
      </c>
      <c r="AA2097" s="14" t="s">
        <v>3405</v>
      </c>
      <c r="AB2097" s="14">
        <v>40001</v>
      </c>
      <c r="AE2097" s="14" t="s">
        <v>1400</v>
      </c>
      <c r="AF2097" s="14" t="s">
        <v>1400</v>
      </c>
      <c r="AG2097" s="14" t="s">
        <v>92</v>
      </c>
    </row>
    <row r="2098" spans="2:33">
      <c r="B2098" s="14">
        <f>10000000+INDEX(编号表!$B:$B,MATCH(H2098,编号表!$A:$A,0))*100000+INDEX(编号表!$F:$F,MATCH(D2098,编号表!$E:$E,0))*10000+INDEX(编号表!$D:$D,MATCH(AG2098,编号表!$C:$C,0))*1000+F2098</f>
        <v>11934038</v>
      </c>
      <c r="C2098" s="14" t="s">
        <v>3401</v>
      </c>
      <c r="D2098" s="14" t="s">
        <v>276</v>
      </c>
      <c r="E2098" s="14" t="s">
        <v>92</v>
      </c>
      <c r="F2098" s="14">
        <v>38</v>
      </c>
      <c r="G2098" s="14">
        <v>60</v>
      </c>
      <c r="H2098" s="14" t="s">
        <v>1400</v>
      </c>
      <c r="I2098" s="14" t="s">
        <v>75</v>
      </c>
      <c r="J2098" s="14" t="s">
        <v>201</v>
      </c>
      <c r="K2098" s="14">
        <v>1</v>
      </c>
      <c r="L2098" s="14" t="s">
        <v>1400</v>
      </c>
      <c r="N2098" s="14">
        <v>0</v>
      </c>
      <c r="O2098" s="14" t="b">
        <v>1</v>
      </c>
      <c r="Q2098" s="14" t="b">
        <v>0</v>
      </c>
      <c r="R2098" s="14">
        <v>1</v>
      </c>
      <c r="S2098" s="14" t="s">
        <v>77</v>
      </c>
      <c r="T2098" s="14">
        <v>999</v>
      </c>
      <c r="U2098" s="14" t="s">
        <v>1401</v>
      </c>
      <c r="V2098" s="14">
        <v>31934038</v>
      </c>
      <c r="X2098" s="14" t="s">
        <v>3406</v>
      </c>
      <c r="Y2098" s="14" t="s">
        <v>215</v>
      </c>
      <c r="Z2098" s="14">
        <v>20861</v>
      </c>
      <c r="AA2098" s="14" t="s">
        <v>3407</v>
      </c>
      <c r="AB2098" s="14">
        <v>40001</v>
      </c>
      <c r="AE2098" s="14" t="s">
        <v>1400</v>
      </c>
      <c r="AF2098" s="14" t="s">
        <v>1400</v>
      </c>
      <c r="AG2098" s="14" t="s">
        <v>92</v>
      </c>
    </row>
    <row r="2099" spans="2:33">
      <c r="B2099" s="14">
        <f>10000000+INDEX(编号表!$B:$B,MATCH(H2099,编号表!$A:$A,0))*100000+INDEX(编号表!$F:$F,MATCH(D2099,编号表!$E:$E,0))*10000+INDEX(编号表!$D:$D,MATCH(AG2099,编号表!$C:$C,0))*1000+F2099</f>
        <v>11914037</v>
      </c>
      <c r="C2099" s="14" t="s">
        <v>3408</v>
      </c>
      <c r="D2099" s="14" t="s">
        <v>72</v>
      </c>
      <c r="E2099" s="14" t="s">
        <v>92</v>
      </c>
      <c r="F2099" s="14">
        <v>37</v>
      </c>
      <c r="G2099" s="14">
        <v>60</v>
      </c>
      <c r="H2099" s="14" t="s">
        <v>1400</v>
      </c>
      <c r="I2099" s="14" t="s">
        <v>75</v>
      </c>
      <c r="J2099" s="14" t="s">
        <v>201</v>
      </c>
      <c r="K2099" s="14">
        <v>1</v>
      </c>
      <c r="L2099" s="14" t="s">
        <v>1400</v>
      </c>
      <c r="N2099" s="14">
        <v>0</v>
      </c>
      <c r="O2099" s="14" t="b">
        <v>1</v>
      </c>
      <c r="Q2099" s="14" t="b">
        <v>0</v>
      </c>
      <c r="R2099" s="14">
        <v>1</v>
      </c>
      <c r="S2099" s="14" t="s">
        <v>77</v>
      </c>
      <c r="T2099" s="14">
        <v>999</v>
      </c>
      <c r="U2099" s="14" t="s">
        <v>1401</v>
      </c>
      <c r="V2099" s="14">
        <v>31914037</v>
      </c>
      <c r="X2099" s="14" t="s">
        <v>3409</v>
      </c>
      <c r="Y2099" s="14" t="s">
        <v>215</v>
      </c>
      <c r="Z2099" s="14">
        <v>20862</v>
      </c>
      <c r="AA2099" s="14" t="s">
        <v>3410</v>
      </c>
      <c r="AB2099" s="14">
        <v>40001</v>
      </c>
      <c r="AE2099" s="14" t="s">
        <v>1400</v>
      </c>
      <c r="AF2099" s="14" t="s">
        <v>1400</v>
      </c>
      <c r="AG2099" s="14" t="s">
        <v>92</v>
      </c>
    </row>
    <row r="2100" spans="2:33">
      <c r="B2100" s="14">
        <f>10000000+INDEX(编号表!$B:$B,MATCH(H2100,编号表!$A:$A,0))*100000+INDEX(编号表!$F:$F,MATCH(D2100,编号表!$E:$E,0))*10000+INDEX(编号表!$D:$D,MATCH(AG2100,编号表!$C:$C,0))*1000+F2100</f>
        <v>11924038</v>
      </c>
      <c r="C2100" s="14" t="s">
        <v>3408</v>
      </c>
      <c r="D2100" s="14" t="s">
        <v>112</v>
      </c>
      <c r="E2100" s="14" t="s">
        <v>92</v>
      </c>
      <c r="F2100" s="14">
        <v>38</v>
      </c>
      <c r="G2100" s="14">
        <v>60</v>
      </c>
      <c r="H2100" s="14" t="s">
        <v>1400</v>
      </c>
      <c r="I2100" s="14" t="s">
        <v>75</v>
      </c>
      <c r="J2100" s="14" t="s">
        <v>201</v>
      </c>
      <c r="K2100" s="14">
        <v>1</v>
      </c>
      <c r="L2100" s="14" t="s">
        <v>1400</v>
      </c>
      <c r="N2100" s="14">
        <v>0</v>
      </c>
      <c r="O2100" s="14" t="b">
        <v>1</v>
      </c>
      <c r="Q2100" s="14" t="b">
        <v>0</v>
      </c>
      <c r="R2100" s="14">
        <v>1</v>
      </c>
      <c r="S2100" s="14" t="s">
        <v>77</v>
      </c>
      <c r="T2100" s="14">
        <v>999</v>
      </c>
      <c r="U2100" s="14" t="s">
        <v>1401</v>
      </c>
      <c r="V2100" s="14">
        <v>31924038</v>
      </c>
      <c r="X2100" s="14" t="s">
        <v>3411</v>
      </c>
      <c r="Y2100" s="14" t="s">
        <v>215</v>
      </c>
      <c r="Z2100" s="14">
        <v>20863</v>
      </c>
      <c r="AA2100" s="14" t="s">
        <v>3412</v>
      </c>
      <c r="AB2100" s="14">
        <v>40001</v>
      </c>
      <c r="AE2100" s="14" t="s">
        <v>1400</v>
      </c>
      <c r="AF2100" s="14" t="s">
        <v>1400</v>
      </c>
      <c r="AG2100" s="14" t="s">
        <v>92</v>
      </c>
    </row>
    <row r="2101" spans="2:33">
      <c r="B2101" s="14">
        <f>10000000+INDEX(编号表!$B:$B,MATCH(H2101,编号表!$A:$A,0))*100000+INDEX(编号表!$F:$F,MATCH(D2101,编号表!$E:$E,0))*10000+INDEX(编号表!$D:$D,MATCH(AG2101,编号表!$C:$C,0))*1000+F2101</f>
        <v>11934039</v>
      </c>
      <c r="C2101" s="14" t="s">
        <v>3408</v>
      </c>
      <c r="D2101" s="14" t="s">
        <v>276</v>
      </c>
      <c r="E2101" s="14" t="s">
        <v>92</v>
      </c>
      <c r="F2101" s="14">
        <v>39</v>
      </c>
      <c r="G2101" s="14">
        <v>60</v>
      </c>
      <c r="H2101" s="14" t="s">
        <v>1400</v>
      </c>
      <c r="I2101" s="14" t="s">
        <v>75</v>
      </c>
      <c r="J2101" s="14" t="s">
        <v>201</v>
      </c>
      <c r="K2101" s="14">
        <v>1</v>
      </c>
      <c r="L2101" s="14" t="s">
        <v>1400</v>
      </c>
      <c r="N2101" s="14">
        <v>0</v>
      </c>
      <c r="O2101" s="14" t="b">
        <v>1</v>
      </c>
      <c r="Q2101" s="14" t="b">
        <v>0</v>
      </c>
      <c r="R2101" s="14">
        <v>1</v>
      </c>
      <c r="S2101" s="14" t="s">
        <v>77</v>
      </c>
      <c r="T2101" s="14">
        <v>999</v>
      </c>
      <c r="U2101" s="14" t="s">
        <v>1401</v>
      </c>
      <c r="V2101" s="14">
        <v>31934039</v>
      </c>
      <c r="X2101" s="14" t="s">
        <v>3413</v>
      </c>
      <c r="Y2101" s="14" t="s">
        <v>215</v>
      </c>
      <c r="Z2101" s="14">
        <v>20864</v>
      </c>
      <c r="AA2101" s="14" t="s">
        <v>3414</v>
      </c>
      <c r="AB2101" s="14">
        <v>40001</v>
      </c>
      <c r="AE2101" s="14" t="s">
        <v>1400</v>
      </c>
      <c r="AF2101" s="14" t="s">
        <v>1400</v>
      </c>
      <c r="AG2101" s="14" t="s">
        <v>92</v>
      </c>
    </row>
    <row r="2102" spans="2:33">
      <c r="B2102" s="14">
        <f>10000000+INDEX(编号表!$B:$B,MATCH(H2102,编号表!$A:$A,0))*100000+INDEX(编号表!$F:$F,MATCH(D2102,编号表!$E:$E,0))*10000+INDEX(编号表!$D:$D,MATCH(AG2102,编号表!$C:$C,0))*1000+F2102</f>
        <v>11914038</v>
      </c>
      <c r="C2102" s="14" t="s">
        <v>3415</v>
      </c>
      <c r="D2102" s="14" t="s">
        <v>72</v>
      </c>
      <c r="E2102" s="14" t="s">
        <v>92</v>
      </c>
      <c r="F2102" s="14">
        <v>38</v>
      </c>
      <c r="G2102" s="14">
        <v>60</v>
      </c>
      <c r="H2102" s="14" t="s">
        <v>1400</v>
      </c>
      <c r="I2102" s="14" t="s">
        <v>75</v>
      </c>
      <c r="J2102" s="14" t="s">
        <v>201</v>
      </c>
      <c r="K2102" s="14">
        <v>1</v>
      </c>
      <c r="L2102" s="14" t="s">
        <v>1400</v>
      </c>
      <c r="N2102" s="14">
        <v>0</v>
      </c>
      <c r="O2102" s="14" t="b">
        <v>1</v>
      </c>
      <c r="Q2102" s="14" t="b">
        <v>0</v>
      </c>
      <c r="R2102" s="14">
        <v>1</v>
      </c>
      <c r="S2102" s="14" t="s">
        <v>77</v>
      </c>
      <c r="T2102" s="14">
        <v>999</v>
      </c>
      <c r="U2102" s="14" t="s">
        <v>1401</v>
      </c>
      <c r="V2102" s="14">
        <v>31914038</v>
      </c>
      <c r="X2102" s="14" t="s">
        <v>3416</v>
      </c>
      <c r="Y2102" s="14" t="s">
        <v>215</v>
      </c>
      <c r="Z2102" s="14">
        <v>20865</v>
      </c>
      <c r="AA2102" s="14" t="s">
        <v>3417</v>
      </c>
      <c r="AB2102" s="14">
        <v>40001</v>
      </c>
      <c r="AE2102" s="14" t="s">
        <v>1400</v>
      </c>
      <c r="AF2102" s="14" t="s">
        <v>1400</v>
      </c>
      <c r="AG2102" s="14" t="s">
        <v>92</v>
      </c>
    </row>
    <row r="2103" spans="2:33">
      <c r="B2103" s="14">
        <f>10000000+INDEX(编号表!$B:$B,MATCH(H2103,编号表!$A:$A,0))*100000+INDEX(编号表!$F:$F,MATCH(D2103,编号表!$E:$E,0))*10000+INDEX(编号表!$D:$D,MATCH(AG2103,编号表!$C:$C,0))*1000+F2103</f>
        <v>11924039</v>
      </c>
      <c r="C2103" s="14" t="s">
        <v>3415</v>
      </c>
      <c r="D2103" s="14" t="s">
        <v>112</v>
      </c>
      <c r="E2103" s="14" t="s">
        <v>92</v>
      </c>
      <c r="F2103" s="14">
        <v>39</v>
      </c>
      <c r="G2103" s="14">
        <v>60</v>
      </c>
      <c r="H2103" s="14" t="s">
        <v>1400</v>
      </c>
      <c r="I2103" s="14" t="s">
        <v>75</v>
      </c>
      <c r="J2103" s="14" t="s">
        <v>201</v>
      </c>
      <c r="K2103" s="14">
        <v>1</v>
      </c>
      <c r="L2103" s="14" t="s">
        <v>1400</v>
      </c>
      <c r="N2103" s="14">
        <v>0</v>
      </c>
      <c r="O2103" s="14" t="b">
        <v>1</v>
      </c>
      <c r="Q2103" s="14" t="b">
        <v>0</v>
      </c>
      <c r="R2103" s="14">
        <v>1</v>
      </c>
      <c r="S2103" s="14" t="s">
        <v>77</v>
      </c>
      <c r="T2103" s="14">
        <v>999</v>
      </c>
      <c r="U2103" s="14" t="s">
        <v>1401</v>
      </c>
      <c r="V2103" s="14">
        <v>31924039</v>
      </c>
      <c r="X2103" s="14" t="s">
        <v>3418</v>
      </c>
      <c r="Y2103" s="14" t="s">
        <v>215</v>
      </c>
      <c r="Z2103" s="14">
        <v>20866</v>
      </c>
      <c r="AA2103" s="14" t="s">
        <v>3419</v>
      </c>
      <c r="AB2103" s="14">
        <v>40001</v>
      </c>
      <c r="AE2103" s="14" t="s">
        <v>1400</v>
      </c>
      <c r="AF2103" s="14" t="s">
        <v>1400</v>
      </c>
      <c r="AG2103" s="14" t="s">
        <v>92</v>
      </c>
    </row>
    <row r="2104" spans="2:33">
      <c r="B2104" s="14">
        <f>10000000+INDEX(编号表!$B:$B,MATCH(H2104,编号表!$A:$A,0))*100000+INDEX(编号表!$F:$F,MATCH(D2104,编号表!$E:$E,0))*10000+INDEX(编号表!$D:$D,MATCH(AG2104,编号表!$C:$C,0))*1000+F2104</f>
        <v>11934040</v>
      </c>
      <c r="C2104" s="14" t="s">
        <v>3415</v>
      </c>
      <c r="D2104" s="14" t="s">
        <v>276</v>
      </c>
      <c r="E2104" s="14" t="s">
        <v>92</v>
      </c>
      <c r="F2104" s="14">
        <v>40</v>
      </c>
      <c r="G2104" s="14">
        <v>60</v>
      </c>
      <c r="H2104" s="14" t="s">
        <v>1400</v>
      </c>
      <c r="I2104" s="14" t="s">
        <v>75</v>
      </c>
      <c r="J2104" s="14" t="s">
        <v>201</v>
      </c>
      <c r="K2104" s="14">
        <v>1</v>
      </c>
      <c r="L2104" s="14" t="s">
        <v>1400</v>
      </c>
      <c r="N2104" s="14">
        <v>0</v>
      </c>
      <c r="O2104" s="14" t="b">
        <v>1</v>
      </c>
      <c r="Q2104" s="14" t="b">
        <v>0</v>
      </c>
      <c r="R2104" s="14">
        <v>1</v>
      </c>
      <c r="S2104" s="14" t="s">
        <v>77</v>
      </c>
      <c r="T2104" s="14">
        <v>999</v>
      </c>
      <c r="U2104" s="14" t="s">
        <v>1401</v>
      </c>
      <c r="V2104" s="14">
        <v>31934040</v>
      </c>
      <c r="X2104" s="14" t="s">
        <v>3420</v>
      </c>
      <c r="Y2104" s="14" t="s">
        <v>215</v>
      </c>
      <c r="Z2104" s="14">
        <v>20867</v>
      </c>
      <c r="AA2104" s="14" t="s">
        <v>3421</v>
      </c>
      <c r="AB2104" s="14">
        <v>40001</v>
      </c>
      <c r="AE2104" s="14" t="s">
        <v>1400</v>
      </c>
      <c r="AF2104" s="14" t="s">
        <v>1400</v>
      </c>
      <c r="AG2104" s="14" t="s">
        <v>92</v>
      </c>
    </row>
    <row r="2105" spans="2:33">
      <c r="B2105" s="14">
        <f>10000000+INDEX(编号表!$B:$B,MATCH(H2105,编号表!$A:$A,0))*100000+INDEX(编号表!$F:$F,MATCH(D2105,编号表!$E:$E,0))*10000+INDEX(编号表!$D:$D,MATCH(AG2105,编号表!$C:$C,0))*1000+F2105</f>
        <v>11914039</v>
      </c>
      <c r="C2105" s="14" t="s">
        <v>3422</v>
      </c>
      <c r="D2105" s="14" t="s">
        <v>72</v>
      </c>
      <c r="E2105" s="14" t="s">
        <v>92</v>
      </c>
      <c r="F2105" s="14">
        <v>39</v>
      </c>
      <c r="G2105" s="14">
        <v>60</v>
      </c>
      <c r="H2105" s="14" t="s">
        <v>1400</v>
      </c>
      <c r="I2105" s="14" t="s">
        <v>75</v>
      </c>
      <c r="J2105" s="14" t="s">
        <v>201</v>
      </c>
      <c r="K2105" s="14">
        <v>1</v>
      </c>
      <c r="L2105" s="14" t="s">
        <v>1400</v>
      </c>
      <c r="N2105" s="14">
        <v>0</v>
      </c>
      <c r="O2105" s="14" t="b">
        <v>1</v>
      </c>
      <c r="Q2105" s="14" t="b">
        <v>0</v>
      </c>
      <c r="R2105" s="14">
        <v>1</v>
      </c>
      <c r="S2105" s="14" t="s">
        <v>77</v>
      </c>
      <c r="T2105" s="14">
        <v>999</v>
      </c>
      <c r="U2105" s="14" t="s">
        <v>1401</v>
      </c>
      <c r="V2105" s="14">
        <v>31914039</v>
      </c>
      <c r="X2105" s="14" t="s">
        <v>3423</v>
      </c>
      <c r="Y2105" s="14" t="s">
        <v>215</v>
      </c>
      <c r="Z2105" s="14">
        <v>20868</v>
      </c>
      <c r="AA2105" s="14" t="s">
        <v>3424</v>
      </c>
      <c r="AB2105" s="14">
        <v>40001</v>
      </c>
      <c r="AE2105" s="14" t="s">
        <v>1400</v>
      </c>
      <c r="AF2105" s="14" t="s">
        <v>1400</v>
      </c>
      <c r="AG2105" s="14" t="s">
        <v>92</v>
      </c>
    </row>
    <row r="2106" spans="2:33">
      <c r="B2106" s="14">
        <f>10000000+INDEX(编号表!$B:$B,MATCH(H2106,编号表!$A:$A,0))*100000+INDEX(编号表!$F:$F,MATCH(D2106,编号表!$E:$E,0))*10000+INDEX(编号表!$D:$D,MATCH(AG2106,编号表!$C:$C,0))*1000+F2106</f>
        <v>11924040</v>
      </c>
      <c r="C2106" s="14" t="s">
        <v>3422</v>
      </c>
      <c r="D2106" s="14" t="s">
        <v>112</v>
      </c>
      <c r="E2106" s="14" t="s">
        <v>92</v>
      </c>
      <c r="F2106" s="14">
        <v>40</v>
      </c>
      <c r="G2106" s="14">
        <v>60</v>
      </c>
      <c r="H2106" s="14" t="s">
        <v>1400</v>
      </c>
      <c r="I2106" s="14" t="s">
        <v>75</v>
      </c>
      <c r="J2106" s="14" t="s">
        <v>201</v>
      </c>
      <c r="K2106" s="14">
        <v>1</v>
      </c>
      <c r="L2106" s="14" t="s">
        <v>1400</v>
      </c>
      <c r="N2106" s="14">
        <v>0</v>
      </c>
      <c r="O2106" s="14" t="b">
        <v>1</v>
      </c>
      <c r="Q2106" s="14" t="b">
        <v>0</v>
      </c>
      <c r="R2106" s="14">
        <v>1</v>
      </c>
      <c r="S2106" s="14" t="s">
        <v>77</v>
      </c>
      <c r="T2106" s="14">
        <v>999</v>
      </c>
      <c r="U2106" s="14" t="s">
        <v>1401</v>
      </c>
      <c r="V2106" s="14">
        <v>31924040</v>
      </c>
      <c r="X2106" s="14" t="s">
        <v>3425</v>
      </c>
      <c r="Y2106" s="14" t="s">
        <v>215</v>
      </c>
      <c r="Z2106" s="14">
        <v>20869</v>
      </c>
      <c r="AA2106" s="14" t="s">
        <v>3426</v>
      </c>
      <c r="AB2106" s="14">
        <v>40001</v>
      </c>
      <c r="AE2106" s="14" t="s">
        <v>1400</v>
      </c>
      <c r="AF2106" s="14" t="s">
        <v>1400</v>
      </c>
      <c r="AG2106" s="14" t="s">
        <v>92</v>
      </c>
    </row>
    <row r="2107" spans="2:33">
      <c r="B2107" s="14">
        <f>10000000+INDEX(编号表!$B:$B,MATCH(H2107,编号表!$A:$A,0))*100000+INDEX(编号表!$F:$F,MATCH(D2107,编号表!$E:$E,0))*10000+INDEX(编号表!$D:$D,MATCH(AG2107,编号表!$C:$C,0))*1000+F2107</f>
        <v>11934041</v>
      </c>
      <c r="C2107" s="14" t="s">
        <v>3422</v>
      </c>
      <c r="D2107" s="14" t="s">
        <v>276</v>
      </c>
      <c r="E2107" s="14" t="s">
        <v>92</v>
      </c>
      <c r="F2107" s="14">
        <v>41</v>
      </c>
      <c r="G2107" s="14">
        <v>60</v>
      </c>
      <c r="H2107" s="14" t="s">
        <v>1400</v>
      </c>
      <c r="I2107" s="14" t="s">
        <v>75</v>
      </c>
      <c r="J2107" s="14" t="s">
        <v>201</v>
      </c>
      <c r="K2107" s="14">
        <v>1</v>
      </c>
      <c r="L2107" s="14" t="s">
        <v>1400</v>
      </c>
      <c r="N2107" s="14">
        <v>0</v>
      </c>
      <c r="O2107" s="14" t="b">
        <v>1</v>
      </c>
      <c r="Q2107" s="14" t="b">
        <v>0</v>
      </c>
      <c r="R2107" s="14">
        <v>1</v>
      </c>
      <c r="S2107" s="14" t="s">
        <v>77</v>
      </c>
      <c r="T2107" s="14">
        <v>999</v>
      </c>
      <c r="U2107" s="14" t="s">
        <v>1401</v>
      </c>
      <c r="V2107" s="14">
        <v>31934041</v>
      </c>
      <c r="X2107" s="14" t="s">
        <v>3427</v>
      </c>
      <c r="Y2107" s="14" t="s">
        <v>215</v>
      </c>
      <c r="Z2107" s="14">
        <v>20870</v>
      </c>
      <c r="AA2107" s="14" t="s">
        <v>3428</v>
      </c>
      <c r="AB2107" s="14">
        <v>40001</v>
      </c>
      <c r="AE2107" s="14" t="s">
        <v>1400</v>
      </c>
      <c r="AF2107" s="14" t="s">
        <v>1400</v>
      </c>
      <c r="AG2107" s="14" t="s">
        <v>92</v>
      </c>
    </row>
    <row r="2108" spans="2:33">
      <c r="B2108" s="14">
        <f>10000000+INDEX(编号表!$B:$B,MATCH(H2108,编号表!$A:$A,0))*100000+INDEX(编号表!$F:$F,MATCH(D2108,编号表!$E:$E,0))*10000+INDEX(编号表!$D:$D,MATCH(AG2108,编号表!$C:$C,0))*1000+F2108</f>
        <v>11914040</v>
      </c>
      <c r="C2108" s="14" t="s">
        <v>3429</v>
      </c>
      <c r="D2108" s="14" t="s">
        <v>72</v>
      </c>
      <c r="E2108" s="14" t="s">
        <v>92</v>
      </c>
      <c r="F2108" s="14">
        <v>40</v>
      </c>
      <c r="G2108" s="14">
        <v>60</v>
      </c>
      <c r="H2108" s="14" t="s">
        <v>1400</v>
      </c>
      <c r="I2108" s="14" t="s">
        <v>75</v>
      </c>
      <c r="J2108" s="14" t="s">
        <v>201</v>
      </c>
      <c r="K2108" s="14">
        <v>1</v>
      </c>
      <c r="L2108" s="14" t="s">
        <v>1400</v>
      </c>
      <c r="N2108" s="14">
        <v>0</v>
      </c>
      <c r="O2108" s="14" t="b">
        <v>1</v>
      </c>
      <c r="Q2108" s="14" t="b">
        <v>0</v>
      </c>
      <c r="R2108" s="14">
        <v>1</v>
      </c>
      <c r="S2108" s="14" t="s">
        <v>77</v>
      </c>
      <c r="T2108" s="14">
        <v>999</v>
      </c>
      <c r="U2108" s="14" t="s">
        <v>1401</v>
      </c>
      <c r="V2108" s="14">
        <v>31914040</v>
      </c>
      <c r="X2108" s="14" t="s">
        <v>3430</v>
      </c>
      <c r="Y2108" s="14" t="s">
        <v>215</v>
      </c>
      <c r="Z2108" s="14">
        <v>20871</v>
      </c>
      <c r="AA2108" s="14" t="s">
        <v>3431</v>
      </c>
      <c r="AB2108" s="14">
        <v>40001</v>
      </c>
      <c r="AE2108" s="14" t="s">
        <v>1400</v>
      </c>
      <c r="AF2108" s="14" t="s">
        <v>1400</v>
      </c>
      <c r="AG2108" s="14" t="s">
        <v>92</v>
      </c>
    </row>
    <row r="2109" spans="2:33">
      <c r="B2109" s="14">
        <f>10000000+INDEX(编号表!$B:$B,MATCH(H2109,编号表!$A:$A,0))*100000+INDEX(编号表!$F:$F,MATCH(D2109,编号表!$E:$E,0))*10000+INDEX(编号表!$D:$D,MATCH(AG2109,编号表!$C:$C,0))*1000+F2109</f>
        <v>11924041</v>
      </c>
      <c r="C2109" s="14" t="s">
        <v>3429</v>
      </c>
      <c r="D2109" s="14" t="s">
        <v>112</v>
      </c>
      <c r="E2109" s="14" t="s">
        <v>92</v>
      </c>
      <c r="F2109" s="14">
        <v>41</v>
      </c>
      <c r="G2109" s="14">
        <v>60</v>
      </c>
      <c r="H2109" s="14" t="s">
        <v>1400</v>
      </c>
      <c r="I2109" s="14" t="s">
        <v>75</v>
      </c>
      <c r="J2109" s="14" t="s">
        <v>201</v>
      </c>
      <c r="K2109" s="14">
        <v>1</v>
      </c>
      <c r="L2109" s="14" t="s">
        <v>1400</v>
      </c>
      <c r="N2109" s="14">
        <v>0</v>
      </c>
      <c r="O2109" s="14" t="b">
        <v>1</v>
      </c>
      <c r="Q2109" s="14" t="b">
        <v>0</v>
      </c>
      <c r="R2109" s="14">
        <v>1</v>
      </c>
      <c r="S2109" s="14" t="s">
        <v>77</v>
      </c>
      <c r="T2109" s="14">
        <v>999</v>
      </c>
      <c r="U2109" s="14" t="s">
        <v>1401</v>
      </c>
      <c r="V2109" s="14">
        <v>31924041</v>
      </c>
      <c r="X2109" s="14" t="s">
        <v>3432</v>
      </c>
      <c r="Y2109" s="14" t="s">
        <v>215</v>
      </c>
      <c r="Z2109" s="14">
        <v>20872</v>
      </c>
      <c r="AA2109" s="14" t="s">
        <v>3433</v>
      </c>
      <c r="AB2109" s="14">
        <v>40001</v>
      </c>
      <c r="AE2109" s="14" t="s">
        <v>1400</v>
      </c>
      <c r="AF2109" s="14" t="s">
        <v>1400</v>
      </c>
      <c r="AG2109" s="14" t="s">
        <v>92</v>
      </c>
    </row>
    <row r="2110" spans="2:33">
      <c r="B2110" s="14">
        <f>10000000+INDEX(编号表!$B:$B,MATCH(H2110,编号表!$A:$A,0))*100000+INDEX(编号表!$F:$F,MATCH(D2110,编号表!$E:$E,0))*10000+INDEX(编号表!$D:$D,MATCH(AG2110,编号表!$C:$C,0))*1000+F2110</f>
        <v>11934042</v>
      </c>
      <c r="C2110" s="14" t="s">
        <v>3429</v>
      </c>
      <c r="D2110" s="14" t="s">
        <v>276</v>
      </c>
      <c r="E2110" s="14" t="s">
        <v>92</v>
      </c>
      <c r="F2110" s="14">
        <v>42</v>
      </c>
      <c r="G2110" s="14">
        <v>60</v>
      </c>
      <c r="H2110" s="14" t="s">
        <v>1400</v>
      </c>
      <c r="I2110" s="14" t="s">
        <v>75</v>
      </c>
      <c r="J2110" s="14" t="s">
        <v>201</v>
      </c>
      <c r="K2110" s="14">
        <v>1</v>
      </c>
      <c r="L2110" s="14" t="s">
        <v>1400</v>
      </c>
      <c r="N2110" s="14">
        <v>0</v>
      </c>
      <c r="O2110" s="14" t="b">
        <v>1</v>
      </c>
      <c r="Q2110" s="14" t="b">
        <v>0</v>
      </c>
      <c r="R2110" s="14">
        <v>1</v>
      </c>
      <c r="S2110" s="14" t="s">
        <v>77</v>
      </c>
      <c r="T2110" s="14">
        <v>999</v>
      </c>
      <c r="U2110" s="14" t="s">
        <v>1401</v>
      </c>
      <c r="V2110" s="14">
        <v>31934042</v>
      </c>
      <c r="X2110" s="14" t="s">
        <v>3434</v>
      </c>
      <c r="Y2110" s="14" t="s">
        <v>215</v>
      </c>
      <c r="Z2110" s="14">
        <v>20873</v>
      </c>
      <c r="AA2110" s="14" t="s">
        <v>3435</v>
      </c>
      <c r="AB2110" s="14">
        <v>40001</v>
      </c>
      <c r="AE2110" s="14" t="s">
        <v>1400</v>
      </c>
      <c r="AF2110" s="14" t="s">
        <v>1400</v>
      </c>
      <c r="AG2110" s="14" t="s">
        <v>92</v>
      </c>
    </row>
    <row r="2111" spans="2:33">
      <c r="B2111" s="14">
        <f>10000000+INDEX(编号表!$B:$B,MATCH(H2111,编号表!$A:$A,0))*100000+INDEX(编号表!$F:$F,MATCH(D2111,编号表!$E:$E,0))*10000+INDEX(编号表!$D:$D,MATCH(AG2111,编号表!$C:$C,0))*1000+F2111</f>
        <v>11914041</v>
      </c>
      <c r="C2111" s="14" t="s">
        <v>3436</v>
      </c>
      <c r="D2111" s="14" t="s">
        <v>72</v>
      </c>
      <c r="E2111" s="14" t="s">
        <v>92</v>
      </c>
      <c r="F2111" s="14">
        <v>41</v>
      </c>
      <c r="G2111" s="14">
        <v>60</v>
      </c>
      <c r="H2111" s="14" t="s">
        <v>1400</v>
      </c>
      <c r="I2111" s="14" t="s">
        <v>75</v>
      </c>
      <c r="J2111" s="14" t="s">
        <v>201</v>
      </c>
      <c r="K2111" s="14">
        <v>1</v>
      </c>
      <c r="L2111" s="14" t="s">
        <v>1400</v>
      </c>
      <c r="N2111" s="14">
        <v>0</v>
      </c>
      <c r="O2111" s="14" t="b">
        <v>1</v>
      </c>
      <c r="Q2111" s="14" t="b">
        <v>0</v>
      </c>
      <c r="R2111" s="14">
        <v>1</v>
      </c>
      <c r="S2111" s="14" t="s">
        <v>77</v>
      </c>
      <c r="T2111" s="14">
        <v>999</v>
      </c>
      <c r="U2111" s="14" t="s">
        <v>1401</v>
      </c>
      <c r="V2111" s="14">
        <v>31914041</v>
      </c>
      <c r="X2111" s="14" t="s">
        <v>3437</v>
      </c>
      <c r="Y2111" s="14" t="s">
        <v>215</v>
      </c>
      <c r="Z2111" s="14">
        <v>20874</v>
      </c>
      <c r="AA2111" s="14" t="s">
        <v>3438</v>
      </c>
      <c r="AB2111" s="14">
        <v>40001</v>
      </c>
      <c r="AE2111" s="14" t="s">
        <v>1400</v>
      </c>
      <c r="AF2111" s="14" t="s">
        <v>1400</v>
      </c>
      <c r="AG2111" s="14" t="s">
        <v>92</v>
      </c>
    </row>
    <row r="2112" spans="2:33">
      <c r="B2112" s="14">
        <f>10000000+INDEX(编号表!$B:$B,MATCH(H2112,编号表!$A:$A,0))*100000+INDEX(编号表!$F:$F,MATCH(D2112,编号表!$E:$E,0))*10000+INDEX(编号表!$D:$D,MATCH(AG2112,编号表!$C:$C,0))*1000+F2112</f>
        <v>11924042</v>
      </c>
      <c r="C2112" s="14" t="s">
        <v>3436</v>
      </c>
      <c r="D2112" s="14" t="s">
        <v>112</v>
      </c>
      <c r="E2112" s="14" t="s">
        <v>92</v>
      </c>
      <c r="F2112" s="14">
        <v>42</v>
      </c>
      <c r="G2112" s="14">
        <v>60</v>
      </c>
      <c r="H2112" s="14" t="s">
        <v>1400</v>
      </c>
      <c r="I2112" s="14" t="s">
        <v>75</v>
      </c>
      <c r="J2112" s="14" t="s">
        <v>201</v>
      </c>
      <c r="K2112" s="14">
        <v>1</v>
      </c>
      <c r="L2112" s="14" t="s">
        <v>1400</v>
      </c>
      <c r="N2112" s="14">
        <v>0</v>
      </c>
      <c r="O2112" s="14" t="b">
        <v>1</v>
      </c>
      <c r="Q2112" s="14" t="b">
        <v>0</v>
      </c>
      <c r="R2112" s="14">
        <v>1</v>
      </c>
      <c r="S2112" s="14" t="s">
        <v>77</v>
      </c>
      <c r="T2112" s="14">
        <v>999</v>
      </c>
      <c r="U2112" s="14" t="s">
        <v>1401</v>
      </c>
      <c r="V2112" s="14">
        <v>31924042</v>
      </c>
      <c r="X2112" s="14" t="s">
        <v>3439</v>
      </c>
      <c r="Y2112" s="14" t="s">
        <v>215</v>
      </c>
      <c r="Z2112" s="14">
        <v>20875</v>
      </c>
      <c r="AA2112" s="14" t="s">
        <v>3440</v>
      </c>
      <c r="AB2112" s="14">
        <v>40001</v>
      </c>
      <c r="AE2112" s="14" t="s">
        <v>1400</v>
      </c>
      <c r="AF2112" s="14" t="s">
        <v>1400</v>
      </c>
      <c r="AG2112" s="14" t="s">
        <v>92</v>
      </c>
    </row>
    <row r="2113" spans="2:33">
      <c r="B2113" s="14">
        <f>10000000+INDEX(编号表!$B:$B,MATCH(H2113,编号表!$A:$A,0))*100000+INDEX(编号表!$F:$F,MATCH(D2113,编号表!$E:$E,0))*10000+INDEX(编号表!$D:$D,MATCH(AG2113,编号表!$C:$C,0))*1000+F2113</f>
        <v>11934043</v>
      </c>
      <c r="C2113" s="14" t="s">
        <v>3436</v>
      </c>
      <c r="D2113" s="14" t="s">
        <v>276</v>
      </c>
      <c r="E2113" s="14" t="s">
        <v>92</v>
      </c>
      <c r="F2113" s="14">
        <v>43</v>
      </c>
      <c r="G2113" s="14">
        <v>60</v>
      </c>
      <c r="H2113" s="14" t="s">
        <v>1400</v>
      </c>
      <c r="I2113" s="14" t="s">
        <v>75</v>
      </c>
      <c r="J2113" s="14" t="s">
        <v>201</v>
      </c>
      <c r="K2113" s="14">
        <v>1</v>
      </c>
      <c r="L2113" s="14" t="s">
        <v>1400</v>
      </c>
      <c r="N2113" s="14">
        <v>0</v>
      </c>
      <c r="O2113" s="14" t="b">
        <v>1</v>
      </c>
      <c r="Q2113" s="14" t="b">
        <v>0</v>
      </c>
      <c r="R2113" s="14">
        <v>1</v>
      </c>
      <c r="S2113" s="14" t="s">
        <v>77</v>
      </c>
      <c r="T2113" s="14">
        <v>999</v>
      </c>
      <c r="U2113" s="14" t="s">
        <v>1401</v>
      </c>
      <c r="V2113" s="14">
        <v>31934043</v>
      </c>
      <c r="X2113" s="14" t="s">
        <v>3441</v>
      </c>
      <c r="Y2113" s="14" t="s">
        <v>215</v>
      </c>
      <c r="Z2113" s="14">
        <v>20876</v>
      </c>
      <c r="AA2113" s="14" t="s">
        <v>3442</v>
      </c>
      <c r="AB2113" s="14">
        <v>40001</v>
      </c>
      <c r="AE2113" s="14" t="s">
        <v>1400</v>
      </c>
      <c r="AF2113" s="14" t="s">
        <v>1400</v>
      </c>
      <c r="AG2113" s="14" t="s">
        <v>92</v>
      </c>
    </row>
    <row r="2114" spans="2:33">
      <c r="B2114" s="14">
        <f>10000000+INDEX(编号表!$B:$B,MATCH(H2114,编号表!$A:$A,0))*100000+INDEX(编号表!$F:$F,MATCH(D2114,编号表!$E:$E,0))*10000+INDEX(编号表!$D:$D,MATCH(AG2114,编号表!$C:$C,0))*1000+F2114</f>
        <v>11914042</v>
      </c>
      <c r="C2114" s="14" t="s">
        <v>3443</v>
      </c>
      <c r="D2114" s="14" t="s">
        <v>72</v>
      </c>
      <c r="E2114" s="14" t="s">
        <v>92</v>
      </c>
      <c r="F2114" s="14">
        <v>42</v>
      </c>
      <c r="G2114" s="14">
        <v>60</v>
      </c>
      <c r="H2114" s="14" t="s">
        <v>1400</v>
      </c>
      <c r="I2114" s="14" t="s">
        <v>75</v>
      </c>
      <c r="J2114" s="14" t="s">
        <v>201</v>
      </c>
      <c r="K2114" s="14">
        <v>1</v>
      </c>
      <c r="L2114" s="14" t="s">
        <v>1400</v>
      </c>
      <c r="N2114" s="14">
        <v>0</v>
      </c>
      <c r="O2114" s="14" t="b">
        <v>1</v>
      </c>
      <c r="Q2114" s="14" t="b">
        <v>0</v>
      </c>
      <c r="R2114" s="14">
        <v>1</v>
      </c>
      <c r="S2114" s="14" t="s">
        <v>77</v>
      </c>
      <c r="T2114" s="14">
        <v>999</v>
      </c>
      <c r="U2114" s="14" t="s">
        <v>1401</v>
      </c>
      <c r="V2114" s="14">
        <v>31914042</v>
      </c>
      <c r="X2114" s="14" t="s">
        <v>3444</v>
      </c>
      <c r="Y2114" s="14" t="s">
        <v>215</v>
      </c>
      <c r="Z2114" s="14">
        <v>20877</v>
      </c>
      <c r="AA2114" s="14" t="s">
        <v>3445</v>
      </c>
      <c r="AB2114" s="14">
        <v>40001</v>
      </c>
      <c r="AE2114" s="14" t="s">
        <v>1400</v>
      </c>
      <c r="AF2114" s="14" t="s">
        <v>1400</v>
      </c>
      <c r="AG2114" s="14" t="s">
        <v>92</v>
      </c>
    </row>
    <row r="2115" spans="2:33">
      <c r="B2115" s="14">
        <f>10000000+INDEX(编号表!$B:$B,MATCH(H2115,编号表!$A:$A,0))*100000+INDEX(编号表!$F:$F,MATCH(D2115,编号表!$E:$E,0))*10000+INDEX(编号表!$D:$D,MATCH(AG2115,编号表!$C:$C,0))*1000+F2115</f>
        <v>11924043</v>
      </c>
      <c r="C2115" s="14" t="s">
        <v>3443</v>
      </c>
      <c r="D2115" s="14" t="s">
        <v>112</v>
      </c>
      <c r="E2115" s="14" t="s">
        <v>92</v>
      </c>
      <c r="F2115" s="14">
        <v>43</v>
      </c>
      <c r="G2115" s="14">
        <v>60</v>
      </c>
      <c r="H2115" s="14" t="s">
        <v>1400</v>
      </c>
      <c r="I2115" s="14" t="s">
        <v>75</v>
      </c>
      <c r="J2115" s="14" t="s">
        <v>201</v>
      </c>
      <c r="K2115" s="14">
        <v>1</v>
      </c>
      <c r="L2115" s="14" t="s">
        <v>1400</v>
      </c>
      <c r="N2115" s="14">
        <v>0</v>
      </c>
      <c r="O2115" s="14" t="b">
        <v>1</v>
      </c>
      <c r="Q2115" s="14" t="b">
        <v>0</v>
      </c>
      <c r="R2115" s="14">
        <v>1</v>
      </c>
      <c r="S2115" s="14" t="s">
        <v>77</v>
      </c>
      <c r="T2115" s="14">
        <v>999</v>
      </c>
      <c r="U2115" s="14" t="s">
        <v>1401</v>
      </c>
      <c r="V2115" s="14">
        <v>31924043</v>
      </c>
      <c r="X2115" s="14" t="s">
        <v>3446</v>
      </c>
      <c r="Y2115" s="14" t="s">
        <v>215</v>
      </c>
      <c r="Z2115" s="14">
        <v>20878</v>
      </c>
      <c r="AA2115" s="14" t="s">
        <v>3447</v>
      </c>
      <c r="AB2115" s="14">
        <v>40001</v>
      </c>
      <c r="AE2115" s="14" t="s">
        <v>1400</v>
      </c>
      <c r="AF2115" s="14" t="s">
        <v>1400</v>
      </c>
      <c r="AG2115" s="14" t="s">
        <v>92</v>
      </c>
    </row>
    <row r="2116" spans="2:33">
      <c r="B2116" s="14">
        <f>10000000+INDEX(编号表!$B:$B,MATCH(H2116,编号表!$A:$A,0))*100000+INDEX(编号表!$F:$F,MATCH(D2116,编号表!$E:$E,0))*10000+INDEX(编号表!$D:$D,MATCH(AG2116,编号表!$C:$C,0))*1000+F2116</f>
        <v>11934044</v>
      </c>
      <c r="C2116" s="14" t="s">
        <v>3443</v>
      </c>
      <c r="D2116" s="14" t="s">
        <v>276</v>
      </c>
      <c r="E2116" s="14" t="s">
        <v>92</v>
      </c>
      <c r="F2116" s="14">
        <v>44</v>
      </c>
      <c r="G2116" s="14">
        <v>60</v>
      </c>
      <c r="H2116" s="14" t="s">
        <v>1400</v>
      </c>
      <c r="I2116" s="14" t="s">
        <v>75</v>
      </c>
      <c r="J2116" s="14" t="s">
        <v>201</v>
      </c>
      <c r="K2116" s="14">
        <v>1</v>
      </c>
      <c r="L2116" s="14" t="s">
        <v>1400</v>
      </c>
      <c r="N2116" s="14">
        <v>0</v>
      </c>
      <c r="O2116" s="14" t="b">
        <v>1</v>
      </c>
      <c r="Q2116" s="14" t="b">
        <v>0</v>
      </c>
      <c r="R2116" s="14">
        <v>1</v>
      </c>
      <c r="S2116" s="14" t="s">
        <v>77</v>
      </c>
      <c r="T2116" s="14">
        <v>999</v>
      </c>
      <c r="U2116" s="14" t="s">
        <v>1401</v>
      </c>
      <c r="V2116" s="14">
        <v>31934044</v>
      </c>
      <c r="X2116" s="14" t="s">
        <v>3448</v>
      </c>
      <c r="Y2116" s="14" t="s">
        <v>215</v>
      </c>
      <c r="Z2116" s="14">
        <v>20879</v>
      </c>
      <c r="AA2116" s="14" t="s">
        <v>3449</v>
      </c>
      <c r="AB2116" s="14">
        <v>40001</v>
      </c>
      <c r="AE2116" s="14" t="s">
        <v>1400</v>
      </c>
      <c r="AF2116" s="14" t="s">
        <v>1400</v>
      </c>
      <c r="AG2116" s="14" t="s">
        <v>92</v>
      </c>
    </row>
    <row r="2117" spans="2:33">
      <c r="B2117" s="14">
        <f>10000000+INDEX(编号表!$B:$B,MATCH(H2117,编号表!$A:$A,0))*100000+INDEX(编号表!$F:$F,MATCH(D2117,编号表!$E:$E,0))*10000+INDEX(编号表!$D:$D,MATCH(AG2117,编号表!$C:$C,0))*1000+F2117</f>
        <v>11914043</v>
      </c>
      <c r="C2117" s="14" t="s">
        <v>3450</v>
      </c>
      <c r="D2117" s="14" t="s">
        <v>72</v>
      </c>
      <c r="E2117" s="14" t="s">
        <v>92</v>
      </c>
      <c r="F2117" s="14">
        <v>43</v>
      </c>
      <c r="G2117" s="14">
        <v>60</v>
      </c>
      <c r="H2117" s="14" t="s">
        <v>1400</v>
      </c>
      <c r="I2117" s="14" t="s">
        <v>75</v>
      </c>
      <c r="J2117" s="14" t="s">
        <v>201</v>
      </c>
      <c r="K2117" s="14">
        <v>1</v>
      </c>
      <c r="L2117" s="14" t="s">
        <v>1400</v>
      </c>
      <c r="N2117" s="14">
        <v>0</v>
      </c>
      <c r="O2117" s="14" t="b">
        <v>1</v>
      </c>
      <c r="Q2117" s="14" t="b">
        <v>0</v>
      </c>
      <c r="R2117" s="14">
        <v>1</v>
      </c>
      <c r="S2117" s="14" t="s">
        <v>77</v>
      </c>
      <c r="T2117" s="14">
        <v>999</v>
      </c>
      <c r="U2117" s="14" t="s">
        <v>1401</v>
      </c>
      <c r="V2117" s="14">
        <v>31914043</v>
      </c>
      <c r="X2117" s="14" t="s">
        <v>3451</v>
      </c>
      <c r="Y2117" s="14" t="s">
        <v>215</v>
      </c>
      <c r="Z2117" s="14">
        <v>20880</v>
      </c>
      <c r="AA2117" s="14" t="s">
        <v>3452</v>
      </c>
      <c r="AB2117" s="14">
        <v>40001</v>
      </c>
      <c r="AE2117" s="14" t="s">
        <v>1400</v>
      </c>
      <c r="AF2117" s="14" t="s">
        <v>1400</v>
      </c>
      <c r="AG2117" s="14" t="s">
        <v>92</v>
      </c>
    </row>
    <row r="2118" spans="2:33">
      <c r="B2118" s="14">
        <f>10000000+INDEX(编号表!$B:$B,MATCH(H2118,编号表!$A:$A,0))*100000+INDEX(编号表!$F:$F,MATCH(D2118,编号表!$E:$E,0))*10000+INDEX(编号表!$D:$D,MATCH(AG2118,编号表!$C:$C,0))*1000+F2118</f>
        <v>11924044</v>
      </c>
      <c r="C2118" s="14" t="s">
        <v>3450</v>
      </c>
      <c r="D2118" s="14" t="s">
        <v>112</v>
      </c>
      <c r="E2118" s="14" t="s">
        <v>92</v>
      </c>
      <c r="F2118" s="14">
        <v>44</v>
      </c>
      <c r="G2118" s="14">
        <v>60</v>
      </c>
      <c r="H2118" s="14" t="s">
        <v>1400</v>
      </c>
      <c r="I2118" s="14" t="s">
        <v>75</v>
      </c>
      <c r="J2118" s="14" t="s">
        <v>201</v>
      </c>
      <c r="K2118" s="14">
        <v>1</v>
      </c>
      <c r="L2118" s="14" t="s">
        <v>1400</v>
      </c>
      <c r="N2118" s="14">
        <v>0</v>
      </c>
      <c r="O2118" s="14" t="b">
        <v>1</v>
      </c>
      <c r="Q2118" s="14" t="b">
        <v>0</v>
      </c>
      <c r="R2118" s="14">
        <v>1</v>
      </c>
      <c r="S2118" s="14" t="s">
        <v>77</v>
      </c>
      <c r="T2118" s="14">
        <v>999</v>
      </c>
      <c r="U2118" s="14" t="s">
        <v>1401</v>
      </c>
      <c r="V2118" s="14">
        <v>31924044</v>
      </c>
      <c r="X2118" s="14" t="s">
        <v>3453</v>
      </c>
      <c r="Y2118" s="14" t="s">
        <v>215</v>
      </c>
      <c r="Z2118" s="14">
        <v>20881</v>
      </c>
      <c r="AA2118" s="14" t="s">
        <v>3454</v>
      </c>
      <c r="AB2118" s="14">
        <v>40001</v>
      </c>
      <c r="AE2118" s="14" t="s">
        <v>1400</v>
      </c>
      <c r="AF2118" s="14" t="s">
        <v>1400</v>
      </c>
      <c r="AG2118" s="14" t="s">
        <v>92</v>
      </c>
    </row>
    <row r="2119" spans="2:33">
      <c r="B2119" s="14">
        <f>10000000+INDEX(编号表!$B:$B,MATCH(H2119,编号表!$A:$A,0))*100000+INDEX(编号表!$F:$F,MATCH(D2119,编号表!$E:$E,0))*10000+INDEX(编号表!$D:$D,MATCH(AG2119,编号表!$C:$C,0))*1000+F2119</f>
        <v>11934045</v>
      </c>
      <c r="C2119" s="14" t="s">
        <v>3450</v>
      </c>
      <c r="D2119" s="14" t="s">
        <v>276</v>
      </c>
      <c r="E2119" s="14" t="s">
        <v>92</v>
      </c>
      <c r="F2119" s="14">
        <v>45</v>
      </c>
      <c r="G2119" s="14">
        <v>60</v>
      </c>
      <c r="H2119" s="14" t="s">
        <v>1400</v>
      </c>
      <c r="I2119" s="14" t="s">
        <v>75</v>
      </c>
      <c r="J2119" s="14" t="s">
        <v>201</v>
      </c>
      <c r="K2119" s="14">
        <v>1</v>
      </c>
      <c r="L2119" s="14" t="s">
        <v>1400</v>
      </c>
      <c r="N2119" s="14">
        <v>0</v>
      </c>
      <c r="O2119" s="14" t="b">
        <v>1</v>
      </c>
      <c r="Q2119" s="14" t="b">
        <v>0</v>
      </c>
      <c r="R2119" s="14">
        <v>1</v>
      </c>
      <c r="S2119" s="14" t="s">
        <v>77</v>
      </c>
      <c r="T2119" s="14">
        <v>999</v>
      </c>
      <c r="U2119" s="14" t="s">
        <v>1401</v>
      </c>
      <c r="V2119" s="14">
        <v>31934045</v>
      </c>
      <c r="X2119" s="14" t="s">
        <v>3455</v>
      </c>
      <c r="Y2119" s="14" t="s">
        <v>215</v>
      </c>
      <c r="Z2119" s="14">
        <v>20882</v>
      </c>
      <c r="AA2119" s="14" t="s">
        <v>3456</v>
      </c>
      <c r="AB2119" s="14">
        <v>40001</v>
      </c>
      <c r="AE2119" s="14" t="s">
        <v>1400</v>
      </c>
      <c r="AF2119" s="14" t="s">
        <v>1400</v>
      </c>
      <c r="AG2119" s="14" t="s">
        <v>92</v>
      </c>
    </row>
    <row r="2120" spans="2:33">
      <c r="B2120" s="14">
        <f>10000000+INDEX(编号表!$B:$B,MATCH(H2120,编号表!$A:$A,0))*100000+INDEX(编号表!$F:$F,MATCH(D2120,编号表!$E:$E,0))*10000+INDEX(编号表!$D:$D,MATCH(AG2120,编号表!$C:$C,0))*1000+F2120</f>
        <v>11914044</v>
      </c>
      <c r="C2120" s="14" t="s">
        <v>3457</v>
      </c>
      <c r="D2120" s="14" t="s">
        <v>72</v>
      </c>
      <c r="E2120" s="14" t="s">
        <v>92</v>
      </c>
      <c r="F2120" s="14">
        <v>44</v>
      </c>
      <c r="G2120" s="14">
        <v>60</v>
      </c>
      <c r="H2120" s="14" t="s">
        <v>1400</v>
      </c>
      <c r="I2120" s="14" t="s">
        <v>75</v>
      </c>
      <c r="J2120" s="14" t="s">
        <v>201</v>
      </c>
      <c r="K2120" s="14">
        <v>1</v>
      </c>
      <c r="L2120" s="14" t="s">
        <v>1400</v>
      </c>
      <c r="N2120" s="14">
        <v>0</v>
      </c>
      <c r="O2120" s="14" t="b">
        <v>1</v>
      </c>
      <c r="Q2120" s="14" t="b">
        <v>0</v>
      </c>
      <c r="R2120" s="14">
        <v>1</v>
      </c>
      <c r="S2120" s="14" t="s">
        <v>77</v>
      </c>
      <c r="T2120" s="14">
        <v>999</v>
      </c>
      <c r="U2120" s="14" t="s">
        <v>1401</v>
      </c>
      <c r="V2120" s="14">
        <v>31914044</v>
      </c>
      <c r="X2120" s="14" t="s">
        <v>3458</v>
      </c>
      <c r="Y2120" s="14" t="s">
        <v>215</v>
      </c>
      <c r="Z2120" s="14">
        <v>20883</v>
      </c>
      <c r="AA2120" s="14" t="s">
        <v>3459</v>
      </c>
      <c r="AB2120" s="14">
        <v>40001</v>
      </c>
      <c r="AE2120" s="14" t="s">
        <v>1400</v>
      </c>
      <c r="AF2120" s="14" t="s">
        <v>1400</v>
      </c>
      <c r="AG2120" s="14" t="s">
        <v>92</v>
      </c>
    </row>
    <row r="2121" spans="2:33">
      <c r="B2121" s="14">
        <f>10000000+INDEX(编号表!$B:$B,MATCH(H2121,编号表!$A:$A,0))*100000+INDEX(编号表!$F:$F,MATCH(D2121,编号表!$E:$E,0))*10000+INDEX(编号表!$D:$D,MATCH(AG2121,编号表!$C:$C,0))*1000+F2121</f>
        <v>11924045</v>
      </c>
      <c r="C2121" s="14" t="s">
        <v>3457</v>
      </c>
      <c r="D2121" s="14" t="s">
        <v>112</v>
      </c>
      <c r="E2121" s="14" t="s">
        <v>92</v>
      </c>
      <c r="F2121" s="14">
        <v>45</v>
      </c>
      <c r="G2121" s="14">
        <v>60</v>
      </c>
      <c r="H2121" s="14" t="s">
        <v>1400</v>
      </c>
      <c r="I2121" s="14" t="s">
        <v>75</v>
      </c>
      <c r="J2121" s="14" t="s">
        <v>201</v>
      </c>
      <c r="K2121" s="14">
        <v>1</v>
      </c>
      <c r="L2121" s="14" t="s">
        <v>1400</v>
      </c>
      <c r="N2121" s="14">
        <v>0</v>
      </c>
      <c r="O2121" s="14" t="b">
        <v>1</v>
      </c>
      <c r="Q2121" s="14" t="b">
        <v>0</v>
      </c>
      <c r="R2121" s="14">
        <v>1</v>
      </c>
      <c r="S2121" s="14" t="s">
        <v>77</v>
      </c>
      <c r="T2121" s="14">
        <v>999</v>
      </c>
      <c r="U2121" s="14" t="s">
        <v>1401</v>
      </c>
      <c r="V2121" s="14">
        <v>31924045</v>
      </c>
      <c r="X2121" s="14" t="s">
        <v>3460</v>
      </c>
      <c r="Y2121" s="14" t="s">
        <v>215</v>
      </c>
      <c r="Z2121" s="14">
        <v>20884</v>
      </c>
      <c r="AA2121" s="14" t="s">
        <v>3461</v>
      </c>
      <c r="AB2121" s="14">
        <v>40001</v>
      </c>
      <c r="AE2121" s="14" t="s">
        <v>1400</v>
      </c>
      <c r="AF2121" s="14" t="s">
        <v>1400</v>
      </c>
      <c r="AG2121" s="14" t="s">
        <v>92</v>
      </c>
    </row>
    <row r="2122" spans="2:33">
      <c r="B2122" s="14">
        <f>10000000+INDEX(编号表!$B:$B,MATCH(H2122,编号表!$A:$A,0))*100000+INDEX(编号表!$F:$F,MATCH(D2122,编号表!$E:$E,0))*10000+INDEX(编号表!$D:$D,MATCH(AG2122,编号表!$C:$C,0))*1000+F2122</f>
        <v>11934046</v>
      </c>
      <c r="C2122" s="14" t="s">
        <v>3457</v>
      </c>
      <c r="D2122" s="14" t="s">
        <v>276</v>
      </c>
      <c r="E2122" s="14" t="s">
        <v>92</v>
      </c>
      <c r="F2122" s="14">
        <v>46</v>
      </c>
      <c r="G2122" s="14">
        <v>60</v>
      </c>
      <c r="H2122" s="14" t="s">
        <v>1400</v>
      </c>
      <c r="I2122" s="14" t="s">
        <v>75</v>
      </c>
      <c r="J2122" s="14" t="s">
        <v>201</v>
      </c>
      <c r="K2122" s="14">
        <v>1</v>
      </c>
      <c r="L2122" s="14" t="s">
        <v>1400</v>
      </c>
      <c r="N2122" s="14">
        <v>0</v>
      </c>
      <c r="O2122" s="14" t="b">
        <v>1</v>
      </c>
      <c r="Q2122" s="14" t="b">
        <v>0</v>
      </c>
      <c r="R2122" s="14">
        <v>1</v>
      </c>
      <c r="S2122" s="14" t="s">
        <v>77</v>
      </c>
      <c r="T2122" s="14">
        <v>999</v>
      </c>
      <c r="U2122" s="14" t="s">
        <v>1401</v>
      </c>
      <c r="V2122" s="14">
        <v>31934046</v>
      </c>
      <c r="X2122" s="14" t="s">
        <v>3462</v>
      </c>
      <c r="Y2122" s="14" t="s">
        <v>215</v>
      </c>
      <c r="Z2122" s="14">
        <v>20885</v>
      </c>
      <c r="AA2122" s="14" t="s">
        <v>3463</v>
      </c>
      <c r="AB2122" s="14">
        <v>40001</v>
      </c>
      <c r="AE2122" s="14" t="s">
        <v>1400</v>
      </c>
      <c r="AF2122" s="14" t="s">
        <v>1400</v>
      </c>
      <c r="AG2122" s="14" t="s">
        <v>92</v>
      </c>
    </row>
    <row r="2123" spans="2:33">
      <c r="B2123" s="14">
        <f>10000000+INDEX(编号表!$B:$B,MATCH(H2123,编号表!$A:$A,0))*100000+INDEX(编号表!$F:$F,MATCH(D2123,编号表!$E:$E,0))*10000+INDEX(编号表!$D:$D,MATCH(AG2123,编号表!$C:$C,0))*1000+F2123</f>
        <v>11914045</v>
      </c>
      <c r="C2123" s="14" t="s">
        <v>3464</v>
      </c>
      <c r="D2123" s="14" t="s">
        <v>72</v>
      </c>
      <c r="E2123" s="14" t="s">
        <v>92</v>
      </c>
      <c r="F2123" s="14">
        <v>45</v>
      </c>
      <c r="G2123" s="14">
        <v>60</v>
      </c>
      <c r="H2123" s="14" t="s">
        <v>1400</v>
      </c>
      <c r="I2123" s="14" t="s">
        <v>75</v>
      </c>
      <c r="J2123" s="14" t="s">
        <v>201</v>
      </c>
      <c r="K2123" s="14">
        <v>1</v>
      </c>
      <c r="L2123" s="14" t="s">
        <v>1400</v>
      </c>
      <c r="N2123" s="14">
        <v>0</v>
      </c>
      <c r="O2123" s="14" t="b">
        <v>1</v>
      </c>
      <c r="Q2123" s="14" t="b">
        <v>0</v>
      </c>
      <c r="R2123" s="14">
        <v>1</v>
      </c>
      <c r="S2123" s="14" t="s">
        <v>77</v>
      </c>
      <c r="T2123" s="14">
        <v>999</v>
      </c>
      <c r="U2123" s="14" t="s">
        <v>1401</v>
      </c>
      <c r="V2123" s="14">
        <v>31914045</v>
      </c>
      <c r="X2123" s="14" t="s">
        <v>3465</v>
      </c>
      <c r="Y2123" s="14" t="s">
        <v>215</v>
      </c>
      <c r="Z2123" s="14">
        <v>20886</v>
      </c>
      <c r="AA2123" s="14" t="s">
        <v>3466</v>
      </c>
      <c r="AB2123" s="14">
        <v>40001</v>
      </c>
      <c r="AE2123" s="14" t="s">
        <v>1400</v>
      </c>
      <c r="AF2123" s="14" t="s">
        <v>1400</v>
      </c>
      <c r="AG2123" s="14" t="s">
        <v>92</v>
      </c>
    </row>
    <row r="2124" spans="2:33">
      <c r="B2124" s="14">
        <f>10000000+INDEX(编号表!$B:$B,MATCH(H2124,编号表!$A:$A,0))*100000+INDEX(编号表!$F:$F,MATCH(D2124,编号表!$E:$E,0))*10000+INDEX(编号表!$D:$D,MATCH(AG2124,编号表!$C:$C,0))*1000+F2124</f>
        <v>11924046</v>
      </c>
      <c r="C2124" s="14" t="s">
        <v>3464</v>
      </c>
      <c r="D2124" s="14" t="s">
        <v>112</v>
      </c>
      <c r="E2124" s="14" t="s">
        <v>92</v>
      </c>
      <c r="F2124" s="14">
        <v>46</v>
      </c>
      <c r="G2124" s="14">
        <v>60</v>
      </c>
      <c r="H2124" s="14" t="s">
        <v>1400</v>
      </c>
      <c r="I2124" s="14" t="s">
        <v>75</v>
      </c>
      <c r="J2124" s="14" t="s">
        <v>201</v>
      </c>
      <c r="K2124" s="14">
        <v>1</v>
      </c>
      <c r="L2124" s="14" t="s">
        <v>1400</v>
      </c>
      <c r="N2124" s="14">
        <v>0</v>
      </c>
      <c r="O2124" s="14" t="b">
        <v>1</v>
      </c>
      <c r="Q2124" s="14" t="b">
        <v>0</v>
      </c>
      <c r="R2124" s="14">
        <v>1</v>
      </c>
      <c r="S2124" s="14" t="s">
        <v>77</v>
      </c>
      <c r="T2124" s="14">
        <v>999</v>
      </c>
      <c r="U2124" s="14" t="s">
        <v>1401</v>
      </c>
      <c r="V2124" s="14">
        <v>31924046</v>
      </c>
      <c r="X2124" s="14" t="s">
        <v>3467</v>
      </c>
      <c r="Y2124" s="14" t="s">
        <v>215</v>
      </c>
      <c r="Z2124" s="14">
        <v>20887</v>
      </c>
      <c r="AA2124" s="14" t="s">
        <v>3468</v>
      </c>
      <c r="AB2124" s="14">
        <v>40001</v>
      </c>
      <c r="AE2124" s="14" t="s">
        <v>1400</v>
      </c>
      <c r="AF2124" s="14" t="s">
        <v>1400</v>
      </c>
      <c r="AG2124" s="14" t="s">
        <v>92</v>
      </c>
    </row>
    <row r="2125" spans="2:33">
      <c r="B2125" s="14">
        <f>10000000+INDEX(编号表!$B:$B,MATCH(H2125,编号表!$A:$A,0))*100000+INDEX(编号表!$F:$F,MATCH(D2125,编号表!$E:$E,0))*10000+INDEX(编号表!$D:$D,MATCH(AG2125,编号表!$C:$C,0))*1000+F2125</f>
        <v>11934047</v>
      </c>
      <c r="C2125" s="14" t="s">
        <v>3464</v>
      </c>
      <c r="D2125" s="14" t="s">
        <v>276</v>
      </c>
      <c r="E2125" s="14" t="s">
        <v>92</v>
      </c>
      <c r="F2125" s="14">
        <v>47</v>
      </c>
      <c r="G2125" s="14">
        <v>60</v>
      </c>
      <c r="H2125" s="14" t="s">
        <v>1400</v>
      </c>
      <c r="I2125" s="14" t="s">
        <v>75</v>
      </c>
      <c r="J2125" s="14" t="s">
        <v>201</v>
      </c>
      <c r="K2125" s="14">
        <v>1</v>
      </c>
      <c r="L2125" s="14" t="s">
        <v>1400</v>
      </c>
      <c r="N2125" s="14">
        <v>0</v>
      </c>
      <c r="O2125" s="14" t="b">
        <v>1</v>
      </c>
      <c r="Q2125" s="14" t="b">
        <v>0</v>
      </c>
      <c r="R2125" s="14">
        <v>1</v>
      </c>
      <c r="S2125" s="14" t="s">
        <v>77</v>
      </c>
      <c r="T2125" s="14">
        <v>999</v>
      </c>
      <c r="U2125" s="14" t="s">
        <v>1401</v>
      </c>
      <c r="V2125" s="14">
        <v>31934047</v>
      </c>
      <c r="X2125" s="14" t="s">
        <v>3469</v>
      </c>
      <c r="Y2125" s="14" t="s">
        <v>215</v>
      </c>
      <c r="Z2125" s="14">
        <v>20888</v>
      </c>
      <c r="AA2125" s="14" t="s">
        <v>3470</v>
      </c>
      <c r="AB2125" s="14">
        <v>40001</v>
      </c>
      <c r="AE2125" s="14" t="s">
        <v>1400</v>
      </c>
      <c r="AF2125" s="14" t="s">
        <v>1400</v>
      </c>
      <c r="AG2125" s="14" t="s">
        <v>92</v>
      </c>
    </row>
    <row r="2126" spans="2:33">
      <c r="B2126" s="14">
        <f>10000000+INDEX(编号表!$B:$B,MATCH(H2126,编号表!$A:$A,0))*100000+INDEX(编号表!$F:$F,MATCH(D2126,编号表!$E:$E,0))*10000+INDEX(编号表!$D:$D,MATCH(AG2126,编号表!$C:$C,0))*1000+F2126</f>
        <v>11914046</v>
      </c>
      <c r="C2126" s="14" t="s">
        <v>3471</v>
      </c>
      <c r="D2126" s="14" t="s">
        <v>72</v>
      </c>
      <c r="E2126" s="14" t="s">
        <v>92</v>
      </c>
      <c r="F2126" s="14">
        <v>46</v>
      </c>
      <c r="G2126" s="14">
        <v>60</v>
      </c>
      <c r="H2126" s="14" t="s">
        <v>1400</v>
      </c>
      <c r="I2126" s="14" t="s">
        <v>75</v>
      </c>
      <c r="J2126" s="14" t="s">
        <v>201</v>
      </c>
      <c r="K2126" s="14">
        <v>1</v>
      </c>
      <c r="L2126" s="14" t="s">
        <v>1400</v>
      </c>
      <c r="N2126" s="14">
        <v>0</v>
      </c>
      <c r="O2126" s="14" t="b">
        <v>1</v>
      </c>
      <c r="Q2126" s="14" t="b">
        <v>0</v>
      </c>
      <c r="R2126" s="14">
        <v>1</v>
      </c>
      <c r="S2126" s="14" t="s">
        <v>77</v>
      </c>
      <c r="T2126" s="14">
        <v>999</v>
      </c>
      <c r="U2126" s="14" t="s">
        <v>1401</v>
      </c>
      <c r="V2126" s="14">
        <v>31914046</v>
      </c>
      <c r="X2126" s="14" t="s">
        <v>3472</v>
      </c>
      <c r="Y2126" s="14" t="s">
        <v>215</v>
      </c>
      <c r="Z2126" s="14">
        <v>20889</v>
      </c>
      <c r="AA2126" s="14" t="s">
        <v>3473</v>
      </c>
      <c r="AB2126" s="14">
        <v>40001</v>
      </c>
      <c r="AE2126" s="14" t="s">
        <v>1400</v>
      </c>
      <c r="AF2126" s="14" t="s">
        <v>1400</v>
      </c>
      <c r="AG2126" s="14" t="s">
        <v>92</v>
      </c>
    </row>
    <row r="2127" spans="2:33">
      <c r="B2127" s="14">
        <f>10000000+INDEX(编号表!$B:$B,MATCH(H2127,编号表!$A:$A,0))*100000+INDEX(编号表!$F:$F,MATCH(D2127,编号表!$E:$E,0))*10000+INDEX(编号表!$D:$D,MATCH(AG2127,编号表!$C:$C,0))*1000+F2127</f>
        <v>11924047</v>
      </c>
      <c r="C2127" s="14" t="s">
        <v>3471</v>
      </c>
      <c r="D2127" s="14" t="s">
        <v>112</v>
      </c>
      <c r="E2127" s="14" t="s">
        <v>92</v>
      </c>
      <c r="F2127" s="14">
        <v>47</v>
      </c>
      <c r="G2127" s="14">
        <v>60</v>
      </c>
      <c r="H2127" s="14" t="s">
        <v>1400</v>
      </c>
      <c r="I2127" s="14" t="s">
        <v>75</v>
      </c>
      <c r="J2127" s="14" t="s">
        <v>201</v>
      </c>
      <c r="K2127" s="14">
        <v>1</v>
      </c>
      <c r="L2127" s="14" t="s">
        <v>1400</v>
      </c>
      <c r="N2127" s="14">
        <v>0</v>
      </c>
      <c r="O2127" s="14" t="b">
        <v>1</v>
      </c>
      <c r="Q2127" s="14" t="b">
        <v>0</v>
      </c>
      <c r="R2127" s="14">
        <v>1</v>
      </c>
      <c r="S2127" s="14" t="s">
        <v>77</v>
      </c>
      <c r="T2127" s="14">
        <v>999</v>
      </c>
      <c r="U2127" s="14" t="s">
        <v>1401</v>
      </c>
      <c r="V2127" s="14">
        <v>31924047</v>
      </c>
      <c r="X2127" s="14" t="s">
        <v>3474</v>
      </c>
      <c r="Y2127" s="14" t="s">
        <v>215</v>
      </c>
      <c r="Z2127" s="14">
        <v>20890</v>
      </c>
      <c r="AA2127" s="14" t="s">
        <v>3475</v>
      </c>
      <c r="AB2127" s="14">
        <v>40001</v>
      </c>
      <c r="AE2127" s="14" t="s">
        <v>1400</v>
      </c>
      <c r="AF2127" s="14" t="s">
        <v>1400</v>
      </c>
      <c r="AG2127" s="14" t="s">
        <v>92</v>
      </c>
    </row>
    <row r="2128" spans="2:33">
      <c r="B2128" s="14">
        <f>10000000+INDEX(编号表!$B:$B,MATCH(H2128,编号表!$A:$A,0))*100000+INDEX(编号表!$F:$F,MATCH(D2128,编号表!$E:$E,0))*10000+INDEX(编号表!$D:$D,MATCH(AG2128,编号表!$C:$C,0))*1000+F2128</f>
        <v>11934048</v>
      </c>
      <c r="C2128" s="14" t="s">
        <v>3471</v>
      </c>
      <c r="D2128" s="14" t="s">
        <v>276</v>
      </c>
      <c r="E2128" s="14" t="s">
        <v>92</v>
      </c>
      <c r="F2128" s="14">
        <v>48</v>
      </c>
      <c r="G2128" s="14">
        <v>60</v>
      </c>
      <c r="H2128" s="14" t="s">
        <v>1400</v>
      </c>
      <c r="I2128" s="14" t="s">
        <v>75</v>
      </c>
      <c r="J2128" s="14" t="s">
        <v>201</v>
      </c>
      <c r="K2128" s="14">
        <v>1</v>
      </c>
      <c r="L2128" s="14" t="s">
        <v>1400</v>
      </c>
      <c r="N2128" s="14">
        <v>0</v>
      </c>
      <c r="O2128" s="14" t="b">
        <v>1</v>
      </c>
      <c r="Q2128" s="14" t="b">
        <v>0</v>
      </c>
      <c r="R2128" s="14">
        <v>1</v>
      </c>
      <c r="S2128" s="14" t="s">
        <v>77</v>
      </c>
      <c r="T2128" s="14">
        <v>999</v>
      </c>
      <c r="U2128" s="14" t="s">
        <v>1401</v>
      </c>
      <c r="V2128" s="14">
        <v>31934048</v>
      </c>
      <c r="X2128" s="14" t="s">
        <v>3476</v>
      </c>
      <c r="Y2128" s="14" t="s">
        <v>215</v>
      </c>
      <c r="Z2128" s="14">
        <v>20891</v>
      </c>
      <c r="AA2128" s="14" t="s">
        <v>3477</v>
      </c>
      <c r="AB2128" s="14">
        <v>40001</v>
      </c>
      <c r="AE2128" s="14" t="s">
        <v>1400</v>
      </c>
      <c r="AF2128" s="14" t="s">
        <v>1400</v>
      </c>
      <c r="AG2128" s="14" t="s">
        <v>92</v>
      </c>
    </row>
    <row r="2129" spans="2:33">
      <c r="B2129" s="14">
        <f>10000000+INDEX(编号表!$B:$B,MATCH(H2129,编号表!$A:$A,0))*100000+INDEX(编号表!$F:$F,MATCH(D2129,编号表!$E:$E,0))*10000+INDEX(编号表!$D:$D,MATCH(AG2129,编号表!$C:$C,0))*1000+F2129</f>
        <v>11914047</v>
      </c>
      <c r="C2129" s="14" t="s">
        <v>3478</v>
      </c>
      <c r="D2129" s="14" t="s">
        <v>72</v>
      </c>
      <c r="E2129" s="14" t="s">
        <v>92</v>
      </c>
      <c r="F2129" s="14">
        <v>47</v>
      </c>
      <c r="G2129" s="14">
        <v>60</v>
      </c>
      <c r="H2129" s="14" t="s">
        <v>1400</v>
      </c>
      <c r="I2129" s="14" t="s">
        <v>75</v>
      </c>
      <c r="J2129" s="14" t="s">
        <v>201</v>
      </c>
      <c r="K2129" s="14">
        <v>1</v>
      </c>
      <c r="L2129" s="14" t="s">
        <v>1400</v>
      </c>
      <c r="N2129" s="14">
        <v>0</v>
      </c>
      <c r="O2129" s="14" t="b">
        <v>1</v>
      </c>
      <c r="Q2129" s="14" t="b">
        <v>0</v>
      </c>
      <c r="R2129" s="14">
        <v>1</v>
      </c>
      <c r="S2129" s="14" t="s">
        <v>77</v>
      </c>
      <c r="T2129" s="14">
        <v>999</v>
      </c>
      <c r="U2129" s="14" t="s">
        <v>1401</v>
      </c>
      <c r="V2129" s="14">
        <v>31914047</v>
      </c>
      <c r="X2129" s="14" t="s">
        <v>3479</v>
      </c>
      <c r="Y2129" s="14" t="s">
        <v>215</v>
      </c>
      <c r="Z2129" s="14">
        <v>20892</v>
      </c>
      <c r="AA2129" s="14" t="s">
        <v>3480</v>
      </c>
      <c r="AB2129" s="14">
        <v>40001</v>
      </c>
      <c r="AE2129" s="14" t="s">
        <v>1400</v>
      </c>
      <c r="AF2129" s="14" t="s">
        <v>1400</v>
      </c>
      <c r="AG2129" s="14" t="s">
        <v>92</v>
      </c>
    </row>
    <row r="2130" spans="2:33">
      <c r="B2130" s="14">
        <f>10000000+INDEX(编号表!$B:$B,MATCH(H2130,编号表!$A:$A,0))*100000+INDEX(编号表!$F:$F,MATCH(D2130,编号表!$E:$E,0))*10000+INDEX(编号表!$D:$D,MATCH(AG2130,编号表!$C:$C,0))*1000+F2130</f>
        <v>11924048</v>
      </c>
      <c r="C2130" s="14" t="s">
        <v>3478</v>
      </c>
      <c r="D2130" s="14" t="s">
        <v>112</v>
      </c>
      <c r="E2130" s="14" t="s">
        <v>92</v>
      </c>
      <c r="F2130" s="14">
        <v>48</v>
      </c>
      <c r="G2130" s="14">
        <v>60</v>
      </c>
      <c r="H2130" s="14" t="s">
        <v>1400</v>
      </c>
      <c r="I2130" s="14" t="s">
        <v>75</v>
      </c>
      <c r="J2130" s="14" t="s">
        <v>201</v>
      </c>
      <c r="K2130" s="14">
        <v>1</v>
      </c>
      <c r="L2130" s="14" t="s">
        <v>1400</v>
      </c>
      <c r="N2130" s="14">
        <v>0</v>
      </c>
      <c r="O2130" s="14" t="b">
        <v>1</v>
      </c>
      <c r="Q2130" s="14" t="b">
        <v>0</v>
      </c>
      <c r="R2130" s="14">
        <v>1</v>
      </c>
      <c r="S2130" s="14" t="s">
        <v>77</v>
      </c>
      <c r="T2130" s="14">
        <v>999</v>
      </c>
      <c r="U2130" s="14" t="s">
        <v>1401</v>
      </c>
      <c r="V2130" s="14">
        <v>31924048</v>
      </c>
      <c r="X2130" s="14" t="s">
        <v>3481</v>
      </c>
      <c r="Y2130" s="14" t="s">
        <v>215</v>
      </c>
      <c r="Z2130" s="14">
        <v>20893</v>
      </c>
      <c r="AA2130" s="14" t="s">
        <v>3482</v>
      </c>
      <c r="AB2130" s="14">
        <v>40001</v>
      </c>
      <c r="AE2130" s="14" t="s">
        <v>1400</v>
      </c>
      <c r="AF2130" s="14" t="s">
        <v>1400</v>
      </c>
      <c r="AG2130" s="14" t="s">
        <v>92</v>
      </c>
    </row>
    <row r="2131" spans="2:33">
      <c r="B2131" s="14">
        <f>10000000+INDEX(编号表!$B:$B,MATCH(H2131,编号表!$A:$A,0))*100000+INDEX(编号表!$F:$F,MATCH(D2131,编号表!$E:$E,0))*10000+INDEX(编号表!$D:$D,MATCH(AG2131,编号表!$C:$C,0))*1000+F2131</f>
        <v>11934049</v>
      </c>
      <c r="C2131" s="14" t="s">
        <v>3478</v>
      </c>
      <c r="D2131" s="14" t="s">
        <v>276</v>
      </c>
      <c r="E2131" s="14" t="s">
        <v>92</v>
      </c>
      <c r="F2131" s="14">
        <v>49</v>
      </c>
      <c r="G2131" s="14">
        <v>60</v>
      </c>
      <c r="H2131" s="14" t="s">
        <v>1400</v>
      </c>
      <c r="I2131" s="14" t="s">
        <v>75</v>
      </c>
      <c r="J2131" s="14" t="s">
        <v>201</v>
      </c>
      <c r="K2131" s="14">
        <v>1</v>
      </c>
      <c r="L2131" s="14" t="s">
        <v>1400</v>
      </c>
      <c r="N2131" s="14">
        <v>0</v>
      </c>
      <c r="O2131" s="14" t="b">
        <v>1</v>
      </c>
      <c r="Q2131" s="14" t="b">
        <v>0</v>
      </c>
      <c r="R2131" s="14">
        <v>1</v>
      </c>
      <c r="S2131" s="14" t="s">
        <v>77</v>
      </c>
      <c r="T2131" s="14">
        <v>999</v>
      </c>
      <c r="U2131" s="14" t="s">
        <v>1401</v>
      </c>
      <c r="V2131" s="14">
        <v>31934049</v>
      </c>
      <c r="X2131" s="14" t="s">
        <v>3483</v>
      </c>
      <c r="Y2131" s="14" t="s">
        <v>215</v>
      </c>
      <c r="Z2131" s="14">
        <v>20894</v>
      </c>
      <c r="AA2131" s="14" t="s">
        <v>3484</v>
      </c>
      <c r="AB2131" s="14">
        <v>40001</v>
      </c>
      <c r="AE2131" s="14" t="s">
        <v>1400</v>
      </c>
      <c r="AF2131" s="14" t="s">
        <v>1400</v>
      </c>
      <c r="AG2131" s="14" t="s">
        <v>92</v>
      </c>
    </row>
    <row r="2132" spans="2:33">
      <c r="B2132" s="14">
        <f>10000000+INDEX(编号表!$B:$B,MATCH(H2132,编号表!$A:$A,0))*100000+INDEX(编号表!$F:$F,MATCH(D2132,编号表!$E:$E,0))*10000+INDEX(编号表!$D:$D,MATCH(AG2132,编号表!$C:$C,0))*1000+F2132</f>
        <v>11914048</v>
      </c>
      <c r="C2132" s="14" t="s">
        <v>3485</v>
      </c>
      <c r="D2132" s="14" t="s">
        <v>72</v>
      </c>
      <c r="E2132" s="14" t="s">
        <v>92</v>
      </c>
      <c r="F2132" s="14">
        <v>48</v>
      </c>
      <c r="G2132" s="14">
        <v>60</v>
      </c>
      <c r="H2132" s="14" t="s">
        <v>1400</v>
      </c>
      <c r="I2132" s="14" t="s">
        <v>75</v>
      </c>
      <c r="J2132" s="14" t="s">
        <v>201</v>
      </c>
      <c r="K2132" s="14">
        <v>1</v>
      </c>
      <c r="L2132" s="14" t="s">
        <v>1400</v>
      </c>
      <c r="N2132" s="14">
        <v>0</v>
      </c>
      <c r="O2132" s="14" t="b">
        <v>1</v>
      </c>
      <c r="Q2132" s="14" t="b">
        <v>0</v>
      </c>
      <c r="R2132" s="14">
        <v>1</v>
      </c>
      <c r="S2132" s="14" t="s">
        <v>77</v>
      </c>
      <c r="T2132" s="14">
        <v>999</v>
      </c>
      <c r="U2132" s="14" t="s">
        <v>1401</v>
      </c>
      <c r="V2132" s="14">
        <v>31914048</v>
      </c>
      <c r="X2132" s="14" t="s">
        <v>3486</v>
      </c>
      <c r="Y2132" s="14" t="s">
        <v>215</v>
      </c>
      <c r="Z2132" s="14">
        <v>20895</v>
      </c>
      <c r="AA2132" s="14" t="s">
        <v>3487</v>
      </c>
      <c r="AB2132" s="14">
        <v>40001</v>
      </c>
      <c r="AE2132" s="14" t="s">
        <v>1400</v>
      </c>
      <c r="AF2132" s="14" t="s">
        <v>1400</v>
      </c>
      <c r="AG2132" s="14" t="s">
        <v>92</v>
      </c>
    </row>
    <row r="2133" spans="2:33">
      <c r="B2133" s="14">
        <f>10000000+INDEX(编号表!$B:$B,MATCH(H2133,编号表!$A:$A,0))*100000+INDEX(编号表!$F:$F,MATCH(D2133,编号表!$E:$E,0))*10000+INDEX(编号表!$D:$D,MATCH(AG2133,编号表!$C:$C,0))*1000+F2133</f>
        <v>11924049</v>
      </c>
      <c r="C2133" s="14" t="s">
        <v>3485</v>
      </c>
      <c r="D2133" s="14" t="s">
        <v>112</v>
      </c>
      <c r="E2133" s="14" t="s">
        <v>92</v>
      </c>
      <c r="F2133" s="14">
        <v>49</v>
      </c>
      <c r="G2133" s="14">
        <v>60</v>
      </c>
      <c r="H2133" s="14" t="s">
        <v>1400</v>
      </c>
      <c r="I2133" s="14" t="s">
        <v>75</v>
      </c>
      <c r="J2133" s="14" t="s">
        <v>201</v>
      </c>
      <c r="K2133" s="14">
        <v>1</v>
      </c>
      <c r="L2133" s="14" t="s">
        <v>1400</v>
      </c>
      <c r="N2133" s="14">
        <v>0</v>
      </c>
      <c r="O2133" s="14" t="b">
        <v>1</v>
      </c>
      <c r="Q2133" s="14" t="b">
        <v>0</v>
      </c>
      <c r="R2133" s="14">
        <v>1</v>
      </c>
      <c r="S2133" s="14" t="s">
        <v>77</v>
      </c>
      <c r="T2133" s="14">
        <v>999</v>
      </c>
      <c r="U2133" s="14" t="s">
        <v>1401</v>
      </c>
      <c r="V2133" s="14">
        <v>31924049</v>
      </c>
      <c r="X2133" s="14" t="s">
        <v>3488</v>
      </c>
      <c r="Y2133" s="14" t="s">
        <v>215</v>
      </c>
      <c r="Z2133" s="14">
        <v>20896</v>
      </c>
      <c r="AA2133" s="14" t="s">
        <v>3489</v>
      </c>
      <c r="AB2133" s="14">
        <v>40001</v>
      </c>
      <c r="AE2133" s="14" t="s">
        <v>1400</v>
      </c>
      <c r="AF2133" s="14" t="s">
        <v>1400</v>
      </c>
      <c r="AG2133" s="14" t="s">
        <v>92</v>
      </c>
    </row>
    <row r="2134" spans="2:33">
      <c r="B2134" s="14">
        <f>10000000+INDEX(编号表!$B:$B,MATCH(H2134,编号表!$A:$A,0))*100000+INDEX(编号表!$F:$F,MATCH(D2134,编号表!$E:$E,0))*10000+INDEX(编号表!$D:$D,MATCH(AG2134,编号表!$C:$C,0))*1000+F2134</f>
        <v>11934050</v>
      </c>
      <c r="C2134" s="14" t="s">
        <v>3485</v>
      </c>
      <c r="D2134" s="14" t="s">
        <v>276</v>
      </c>
      <c r="E2134" s="14" t="s">
        <v>92</v>
      </c>
      <c r="F2134" s="14">
        <v>50</v>
      </c>
      <c r="G2134" s="14">
        <v>60</v>
      </c>
      <c r="H2134" s="14" t="s">
        <v>1400</v>
      </c>
      <c r="I2134" s="14" t="s">
        <v>75</v>
      </c>
      <c r="J2134" s="14" t="s">
        <v>201</v>
      </c>
      <c r="K2134" s="14">
        <v>1</v>
      </c>
      <c r="L2134" s="14" t="s">
        <v>1400</v>
      </c>
      <c r="N2134" s="14">
        <v>0</v>
      </c>
      <c r="O2134" s="14" t="b">
        <v>1</v>
      </c>
      <c r="Q2134" s="14" t="b">
        <v>0</v>
      </c>
      <c r="R2134" s="14">
        <v>1</v>
      </c>
      <c r="S2134" s="14" t="s">
        <v>77</v>
      </c>
      <c r="T2134" s="14">
        <v>999</v>
      </c>
      <c r="U2134" s="14" t="s">
        <v>1401</v>
      </c>
      <c r="V2134" s="14">
        <v>31934050</v>
      </c>
      <c r="X2134" s="14" t="s">
        <v>3490</v>
      </c>
      <c r="Y2134" s="14" t="s">
        <v>215</v>
      </c>
      <c r="Z2134" s="14">
        <v>20897</v>
      </c>
      <c r="AA2134" s="14" t="s">
        <v>3491</v>
      </c>
      <c r="AB2134" s="14">
        <v>40001</v>
      </c>
      <c r="AE2134" s="14" t="s">
        <v>1400</v>
      </c>
      <c r="AF2134" s="14" t="s">
        <v>1400</v>
      </c>
      <c r="AG2134" s="14" t="s">
        <v>92</v>
      </c>
    </row>
    <row r="2135" spans="2:33">
      <c r="B2135" s="14">
        <f>10000000+INDEX(编号表!$B:$B,MATCH(H2135,编号表!$A:$A,0))*100000+INDEX(编号表!$F:$F,MATCH(D2135,编号表!$E:$E,0))*10000+INDEX(编号表!$D:$D,MATCH(AG2135,编号表!$C:$C,0))*1000+F2135</f>
        <v>11914049</v>
      </c>
      <c r="C2135" s="14" t="s">
        <v>3492</v>
      </c>
      <c r="D2135" s="14" t="s">
        <v>72</v>
      </c>
      <c r="E2135" s="14" t="s">
        <v>92</v>
      </c>
      <c r="F2135" s="14">
        <v>49</v>
      </c>
      <c r="G2135" s="14">
        <v>60</v>
      </c>
      <c r="H2135" s="14" t="s">
        <v>1400</v>
      </c>
      <c r="I2135" s="14" t="s">
        <v>75</v>
      </c>
      <c r="J2135" s="14" t="s">
        <v>201</v>
      </c>
      <c r="K2135" s="14">
        <v>1</v>
      </c>
      <c r="L2135" s="14" t="s">
        <v>1400</v>
      </c>
      <c r="N2135" s="14">
        <v>0</v>
      </c>
      <c r="O2135" s="14" t="b">
        <v>1</v>
      </c>
      <c r="Q2135" s="14" t="b">
        <v>0</v>
      </c>
      <c r="R2135" s="14">
        <v>1</v>
      </c>
      <c r="S2135" s="14" t="s">
        <v>77</v>
      </c>
      <c r="T2135" s="14">
        <v>999</v>
      </c>
      <c r="U2135" s="14" t="s">
        <v>1401</v>
      </c>
      <c r="V2135" s="14">
        <v>31914049</v>
      </c>
      <c r="X2135" s="14" t="s">
        <v>3493</v>
      </c>
      <c r="Y2135" s="14" t="s">
        <v>215</v>
      </c>
      <c r="Z2135" s="14">
        <v>20898</v>
      </c>
      <c r="AA2135" s="14" t="s">
        <v>3494</v>
      </c>
      <c r="AB2135" s="14">
        <v>40001</v>
      </c>
      <c r="AE2135" s="14" t="s">
        <v>1400</v>
      </c>
      <c r="AF2135" s="14" t="s">
        <v>1400</v>
      </c>
      <c r="AG2135" s="14" t="s">
        <v>92</v>
      </c>
    </row>
    <row r="2136" spans="2:33">
      <c r="B2136" s="14">
        <f>10000000+INDEX(编号表!$B:$B,MATCH(H2136,编号表!$A:$A,0))*100000+INDEX(编号表!$F:$F,MATCH(D2136,编号表!$E:$E,0))*10000+INDEX(编号表!$D:$D,MATCH(AG2136,编号表!$C:$C,0))*1000+F2136</f>
        <v>11924050</v>
      </c>
      <c r="C2136" s="14" t="s">
        <v>3492</v>
      </c>
      <c r="D2136" s="14" t="s">
        <v>112</v>
      </c>
      <c r="E2136" s="14" t="s">
        <v>92</v>
      </c>
      <c r="F2136" s="14">
        <v>50</v>
      </c>
      <c r="G2136" s="14">
        <v>60</v>
      </c>
      <c r="H2136" s="14" t="s">
        <v>1400</v>
      </c>
      <c r="I2136" s="14" t="s">
        <v>75</v>
      </c>
      <c r="J2136" s="14" t="s">
        <v>201</v>
      </c>
      <c r="K2136" s="14">
        <v>1</v>
      </c>
      <c r="L2136" s="14" t="s">
        <v>1400</v>
      </c>
      <c r="N2136" s="14">
        <v>0</v>
      </c>
      <c r="O2136" s="14" t="b">
        <v>1</v>
      </c>
      <c r="Q2136" s="14" t="b">
        <v>0</v>
      </c>
      <c r="R2136" s="14">
        <v>1</v>
      </c>
      <c r="S2136" s="14" t="s">
        <v>77</v>
      </c>
      <c r="T2136" s="14">
        <v>999</v>
      </c>
      <c r="U2136" s="14" t="s">
        <v>1401</v>
      </c>
      <c r="V2136" s="14">
        <v>31924050</v>
      </c>
      <c r="X2136" s="14" t="s">
        <v>3495</v>
      </c>
      <c r="Y2136" s="14" t="s">
        <v>215</v>
      </c>
      <c r="Z2136" s="14">
        <v>20899</v>
      </c>
      <c r="AA2136" s="14" t="s">
        <v>3496</v>
      </c>
      <c r="AB2136" s="14">
        <v>40001</v>
      </c>
      <c r="AE2136" s="14" t="s">
        <v>1400</v>
      </c>
      <c r="AF2136" s="14" t="s">
        <v>1400</v>
      </c>
      <c r="AG2136" s="14" t="s">
        <v>92</v>
      </c>
    </row>
    <row r="2137" spans="2:33">
      <c r="B2137" s="14">
        <f>10000000+INDEX(编号表!$B:$B,MATCH(H2137,编号表!$A:$A,0))*100000+INDEX(编号表!$F:$F,MATCH(D2137,编号表!$E:$E,0))*10000+INDEX(编号表!$D:$D,MATCH(AG2137,编号表!$C:$C,0))*1000+F2137</f>
        <v>11934051</v>
      </c>
      <c r="C2137" s="14" t="s">
        <v>3492</v>
      </c>
      <c r="D2137" s="14" t="s">
        <v>276</v>
      </c>
      <c r="E2137" s="14" t="s">
        <v>92</v>
      </c>
      <c r="F2137" s="14">
        <v>51</v>
      </c>
      <c r="G2137" s="14">
        <v>60</v>
      </c>
      <c r="H2137" s="14" t="s">
        <v>1400</v>
      </c>
      <c r="I2137" s="14" t="s">
        <v>75</v>
      </c>
      <c r="J2137" s="14" t="s">
        <v>201</v>
      </c>
      <c r="K2137" s="14">
        <v>1</v>
      </c>
      <c r="L2137" s="14" t="s">
        <v>1400</v>
      </c>
      <c r="N2137" s="14">
        <v>0</v>
      </c>
      <c r="O2137" s="14" t="b">
        <v>1</v>
      </c>
      <c r="Q2137" s="14" t="b">
        <v>0</v>
      </c>
      <c r="R2137" s="14">
        <v>1</v>
      </c>
      <c r="S2137" s="14" t="s">
        <v>77</v>
      </c>
      <c r="T2137" s="14">
        <v>999</v>
      </c>
      <c r="U2137" s="14" t="s">
        <v>1401</v>
      </c>
      <c r="V2137" s="14">
        <v>31934051</v>
      </c>
      <c r="X2137" s="14" t="s">
        <v>3497</v>
      </c>
      <c r="Y2137" s="14" t="s">
        <v>215</v>
      </c>
      <c r="Z2137" s="14">
        <v>20900</v>
      </c>
      <c r="AA2137" s="14" t="s">
        <v>3498</v>
      </c>
      <c r="AB2137" s="14">
        <v>40001</v>
      </c>
      <c r="AE2137" s="14" t="s">
        <v>1400</v>
      </c>
      <c r="AF2137" s="14" t="s">
        <v>1400</v>
      </c>
      <c r="AG2137" s="14" t="s">
        <v>92</v>
      </c>
    </row>
    <row r="2138" spans="2:33">
      <c r="B2138" s="14">
        <f>10000000+INDEX(编号表!$B:$B,MATCH(H2138,编号表!$A:$A,0))*100000+INDEX(编号表!$F:$F,MATCH(D2138,编号表!$E:$E,0))*10000+INDEX(编号表!$D:$D,MATCH(AG2138,编号表!$C:$C,0))*1000+F2138</f>
        <v>11914050</v>
      </c>
      <c r="C2138" s="14" t="s">
        <v>3499</v>
      </c>
      <c r="D2138" s="14" t="s">
        <v>72</v>
      </c>
      <c r="E2138" s="14" t="s">
        <v>92</v>
      </c>
      <c r="F2138" s="14">
        <v>50</v>
      </c>
      <c r="G2138" s="14">
        <v>60</v>
      </c>
      <c r="H2138" s="14" t="s">
        <v>1400</v>
      </c>
      <c r="I2138" s="14" t="s">
        <v>75</v>
      </c>
      <c r="J2138" s="14" t="s">
        <v>201</v>
      </c>
      <c r="K2138" s="14">
        <v>1</v>
      </c>
      <c r="L2138" s="14" t="s">
        <v>1400</v>
      </c>
      <c r="N2138" s="14">
        <v>0</v>
      </c>
      <c r="O2138" s="14" t="b">
        <v>1</v>
      </c>
      <c r="Q2138" s="14" t="b">
        <v>0</v>
      </c>
      <c r="R2138" s="14">
        <v>1</v>
      </c>
      <c r="S2138" s="14" t="s">
        <v>77</v>
      </c>
      <c r="T2138" s="14">
        <v>999</v>
      </c>
      <c r="U2138" s="14" t="s">
        <v>1401</v>
      </c>
      <c r="V2138" s="14">
        <v>31914050</v>
      </c>
      <c r="X2138" s="14" t="s">
        <v>3500</v>
      </c>
      <c r="Y2138" s="14" t="s">
        <v>215</v>
      </c>
      <c r="Z2138" s="14">
        <v>20901</v>
      </c>
      <c r="AA2138" s="14" t="s">
        <v>3501</v>
      </c>
      <c r="AB2138" s="14">
        <v>40001</v>
      </c>
      <c r="AE2138" s="14" t="s">
        <v>1400</v>
      </c>
      <c r="AF2138" s="14" t="s">
        <v>1400</v>
      </c>
      <c r="AG2138" s="14" t="s">
        <v>92</v>
      </c>
    </row>
    <row r="2139" spans="2:33">
      <c r="B2139" s="14">
        <f>10000000+INDEX(编号表!$B:$B,MATCH(H2139,编号表!$A:$A,0))*100000+INDEX(编号表!$F:$F,MATCH(D2139,编号表!$E:$E,0))*10000+INDEX(编号表!$D:$D,MATCH(AG2139,编号表!$C:$C,0))*1000+F2139</f>
        <v>11924051</v>
      </c>
      <c r="C2139" s="14" t="s">
        <v>3499</v>
      </c>
      <c r="D2139" s="14" t="s">
        <v>112</v>
      </c>
      <c r="E2139" s="14" t="s">
        <v>92</v>
      </c>
      <c r="F2139" s="14">
        <v>51</v>
      </c>
      <c r="G2139" s="14">
        <v>60</v>
      </c>
      <c r="H2139" s="14" t="s">
        <v>1400</v>
      </c>
      <c r="I2139" s="14" t="s">
        <v>75</v>
      </c>
      <c r="J2139" s="14" t="s">
        <v>201</v>
      </c>
      <c r="K2139" s="14">
        <v>1</v>
      </c>
      <c r="L2139" s="14" t="s">
        <v>1400</v>
      </c>
      <c r="N2139" s="14">
        <v>0</v>
      </c>
      <c r="O2139" s="14" t="b">
        <v>1</v>
      </c>
      <c r="Q2139" s="14" t="b">
        <v>0</v>
      </c>
      <c r="R2139" s="14">
        <v>1</v>
      </c>
      <c r="S2139" s="14" t="s">
        <v>77</v>
      </c>
      <c r="T2139" s="14">
        <v>999</v>
      </c>
      <c r="U2139" s="14" t="s">
        <v>1401</v>
      </c>
      <c r="V2139" s="14">
        <v>31924051</v>
      </c>
      <c r="X2139" s="14" t="s">
        <v>3502</v>
      </c>
      <c r="Y2139" s="14" t="s">
        <v>215</v>
      </c>
      <c r="Z2139" s="14">
        <v>20902</v>
      </c>
      <c r="AA2139" s="14" t="s">
        <v>3503</v>
      </c>
      <c r="AB2139" s="14">
        <v>40001</v>
      </c>
      <c r="AE2139" s="14" t="s">
        <v>1400</v>
      </c>
      <c r="AF2139" s="14" t="s">
        <v>1400</v>
      </c>
      <c r="AG2139" s="14" t="s">
        <v>92</v>
      </c>
    </row>
    <row r="2140" spans="2:33">
      <c r="B2140" s="14">
        <f>10000000+INDEX(编号表!$B:$B,MATCH(H2140,编号表!$A:$A,0))*100000+INDEX(编号表!$F:$F,MATCH(D2140,编号表!$E:$E,0))*10000+INDEX(编号表!$D:$D,MATCH(AG2140,编号表!$C:$C,0))*1000+F2140</f>
        <v>11934052</v>
      </c>
      <c r="C2140" s="14" t="s">
        <v>3499</v>
      </c>
      <c r="D2140" s="14" t="s">
        <v>276</v>
      </c>
      <c r="E2140" s="14" t="s">
        <v>92</v>
      </c>
      <c r="F2140" s="14">
        <v>52</v>
      </c>
      <c r="G2140" s="14">
        <v>60</v>
      </c>
      <c r="H2140" s="14" t="s">
        <v>1400</v>
      </c>
      <c r="I2140" s="14" t="s">
        <v>75</v>
      </c>
      <c r="J2140" s="14" t="s">
        <v>201</v>
      </c>
      <c r="K2140" s="14">
        <v>1</v>
      </c>
      <c r="L2140" s="14" t="s">
        <v>1400</v>
      </c>
      <c r="N2140" s="14">
        <v>0</v>
      </c>
      <c r="O2140" s="14" t="b">
        <v>1</v>
      </c>
      <c r="Q2140" s="14" t="b">
        <v>0</v>
      </c>
      <c r="R2140" s="14">
        <v>1</v>
      </c>
      <c r="S2140" s="14" t="s">
        <v>77</v>
      </c>
      <c r="T2140" s="14">
        <v>999</v>
      </c>
      <c r="U2140" s="14" t="s">
        <v>1401</v>
      </c>
      <c r="V2140" s="14">
        <v>31934052</v>
      </c>
      <c r="X2140" s="14" t="s">
        <v>3504</v>
      </c>
      <c r="Y2140" s="14" t="s">
        <v>215</v>
      </c>
      <c r="Z2140" s="14">
        <v>20903</v>
      </c>
      <c r="AA2140" s="14" t="s">
        <v>3505</v>
      </c>
      <c r="AB2140" s="14">
        <v>40001</v>
      </c>
      <c r="AE2140" s="14" t="s">
        <v>1400</v>
      </c>
      <c r="AF2140" s="14" t="s">
        <v>1400</v>
      </c>
      <c r="AG2140" s="14" t="s">
        <v>92</v>
      </c>
    </row>
    <row r="2141" spans="2:33">
      <c r="B2141" s="14">
        <f>10000000+INDEX(编号表!$B:$B,MATCH(H2141,编号表!$A:$A,0))*100000+INDEX(编号表!$F:$F,MATCH(D2141,编号表!$E:$E,0))*10000+INDEX(编号表!$D:$D,MATCH(AG2141,编号表!$C:$C,0))*1000+F2141</f>
        <v>11914051</v>
      </c>
      <c r="C2141" s="14" t="s">
        <v>3506</v>
      </c>
      <c r="D2141" s="14" t="s">
        <v>72</v>
      </c>
      <c r="E2141" s="14" t="s">
        <v>92</v>
      </c>
      <c r="F2141" s="14">
        <v>51</v>
      </c>
      <c r="G2141" s="14">
        <v>60</v>
      </c>
      <c r="H2141" s="14" t="s">
        <v>1400</v>
      </c>
      <c r="I2141" s="14" t="s">
        <v>75</v>
      </c>
      <c r="J2141" s="14" t="s">
        <v>201</v>
      </c>
      <c r="K2141" s="14">
        <v>1</v>
      </c>
      <c r="L2141" s="14" t="s">
        <v>1400</v>
      </c>
      <c r="N2141" s="14">
        <v>0</v>
      </c>
      <c r="O2141" s="14" t="b">
        <v>1</v>
      </c>
      <c r="Q2141" s="14" t="b">
        <v>0</v>
      </c>
      <c r="R2141" s="14">
        <v>1</v>
      </c>
      <c r="S2141" s="14" t="s">
        <v>77</v>
      </c>
      <c r="T2141" s="14">
        <v>999</v>
      </c>
      <c r="U2141" s="14" t="s">
        <v>1401</v>
      </c>
      <c r="V2141" s="14">
        <v>31914051</v>
      </c>
      <c r="X2141" s="14" t="s">
        <v>3507</v>
      </c>
      <c r="Y2141" s="14" t="s">
        <v>215</v>
      </c>
      <c r="Z2141" s="14">
        <v>20904</v>
      </c>
      <c r="AA2141" s="14" t="s">
        <v>3508</v>
      </c>
      <c r="AB2141" s="14">
        <v>40001</v>
      </c>
      <c r="AE2141" s="14" t="s">
        <v>1400</v>
      </c>
      <c r="AF2141" s="14" t="s">
        <v>1400</v>
      </c>
      <c r="AG2141" s="14" t="s">
        <v>92</v>
      </c>
    </row>
    <row r="2142" spans="2:33">
      <c r="B2142" s="14">
        <f>10000000+INDEX(编号表!$B:$B,MATCH(H2142,编号表!$A:$A,0))*100000+INDEX(编号表!$F:$F,MATCH(D2142,编号表!$E:$E,0))*10000+INDEX(编号表!$D:$D,MATCH(AG2142,编号表!$C:$C,0))*1000+F2142</f>
        <v>11924052</v>
      </c>
      <c r="C2142" s="14" t="s">
        <v>3506</v>
      </c>
      <c r="D2142" s="14" t="s">
        <v>112</v>
      </c>
      <c r="E2142" s="14" t="s">
        <v>92</v>
      </c>
      <c r="F2142" s="14">
        <v>52</v>
      </c>
      <c r="G2142" s="14">
        <v>60</v>
      </c>
      <c r="H2142" s="14" t="s">
        <v>1400</v>
      </c>
      <c r="I2142" s="14" t="s">
        <v>75</v>
      </c>
      <c r="J2142" s="14" t="s">
        <v>201</v>
      </c>
      <c r="K2142" s="14">
        <v>1</v>
      </c>
      <c r="L2142" s="14" t="s">
        <v>1400</v>
      </c>
      <c r="N2142" s="14">
        <v>0</v>
      </c>
      <c r="O2142" s="14" t="b">
        <v>1</v>
      </c>
      <c r="Q2142" s="14" t="b">
        <v>0</v>
      </c>
      <c r="R2142" s="14">
        <v>1</v>
      </c>
      <c r="S2142" s="14" t="s">
        <v>77</v>
      </c>
      <c r="T2142" s="14">
        <v>999</v>
      </c>
      <c r="U2142" s="14" t="s">
        <v>1401</v>
      </c>
      <c r="V2142" s="14">
        <v>31924052</v>
      </c>
      <c r="X2142" s="14" t="s">
        <v>3509</v>
      </c>
      <c r="Y2142" s="14" t="s">
        <v>215</v>
      </c>
      <c r="Z2142" s="14">
        <v>20905</v>
      </c>
      <c r="AA2142" s="14" t="s">
        <v>3510</v>
      </c>
      <c r="AB2142" s="14">
        <v>40001</v>
      </c>
      <c r="AE2142" s="14" t="s">
        <v>1400</v>
      </c>
      <c r="AF2142" s="14" t="s">
        <v>1400</v>
      </c>
      <c r="AG2142" s="14" t="s">
        <v>92</v>
      </c>
    </row>
    <row r="2143" spans="2:33">
      <c r="B2143" s="14">
        <f>10000000+INDEX(编号表!$B:$B,MATCH(H2143,编号表!$A:$A,0))*100000+INDEX(编号表!$F:$F,MATCH(D2143,编号表!$E:$E,0))*10000+INDEX(编号表!$D:$D,MATCH(AG2143,编号表!$C:$C,0))*1000+F2143</f>
        <v>11934053</v>
      </c>
      <c r="C2143" s="14" t="s">
        <v>3506</v>
      </c>
      <c r="D2143" s="14" t="s">
        <v>276</v>
      </c>
      <c r="E2143" s="14" t="s">
        <v>92</v>
      </c>
      <c r="F2143" s="14">
        <v>53</v>
      </c>
      <c r="G2143" s="14">
        <v>60</v>
      </c>
      <c r="H2143" s="14" t="s">
        <v>1400</v>
      </c>
      <c r="I2143" s="14" t="s">
        <v>75</v>
      </c>
      <c r="J2143" s="14" t="s">
        <v>201</v>
      </c>
      <c r="K2143" s="14">
        <v>1</v>
      </c>
      <c r="L2143" s="14" t="s">
        <v>1400</v>
      </c>
      <c r="N2143" s="14">
        <v>0</v>
      </c>
      <c r="O2143" s="14" t="b">
        <v>1</v>
      </c>
      <c r="Q2143" s="14" t="b">
        <v>0</v>
      </c>
      <c r="R2143" s="14">
        <v>1</v>
      </c>
      <c r="S2143" s="14" t="s">
        <v>77</v>
      </c>
      <c r="T2143" s="14">
        <v>999</v>
      </c>
      <c r="U2143" s="14" t="s">
        <v>1401</v>
      </c>
      <c r="V2143" s="14">
        <v>31934053</v>
      </c>
      <c r="X2143" s="14" t="s">
        <v>3511</v>
      </c>
      <c r="Y2143" s="14" t="s">
        <v>215</v>
      </c>
      <c r="Z2143" s="14">
        <v>20906</v>
      </c>
      <c r="AA2143" s="14" t="s">
        <v>3512</v>
      </c>
      <c r="AB2143" s="14">
        <v>40001</v>
      </c>
      <c r="AE2143" s="14" t="s">
        <v>1400</v>
      </c>
      <c r="AF2143" s="14" t="s">
        <v>1400</v>
      </c>
      <c r="AG2143" s="14" t="s">
        <v>92</v>
      </c>
    </row>
    <row r="2144" spans="2:33">
      <c r="B2144" s="14">
        <f>10000000+INDEX(编号表!$B:$B,MATCH(H2144,编号表!$A:$A,0))*100000+INDEX(编号表!$F:$F,MATCH(D2144,编号表!$E:$E,0))*10000+INDEX(编号表!$D:$D,MATCH(AG2144,编号表!$C:$C,0))*1000+F2144</f>
        <v>11914052</v>
      </c>
      <c r="C2144" s="14" t="s">
        <v>3513</v>
      </c>
      <c r="D2144" s="14" t="s">
        <v>72</v>
      </c>
      <c r="E2144" s="14" t="s">
        <v>92</v>
      </c>
      <c r="F2144" s="14">
        <v>52</v>
      </c>
      <c r="G2144" s="14">
        <v>60</v>
      </c>
      <c r="H2144" s="14" t="s">
        <v>1400</v>
      </c>
      <c r="I2144" s="14" t="s">
        <v>75</v>
      </c>
      <c r="J2144" s="14" t="s">
        <v>201</v>
      </c>
      <c r="K2144" s="14">
        <v>1</v>
      </c>
      <c r="L2144" s="14" t="s">
        <v>1400</v>
      </c>
      <c r="N2144" s="14">
        <v>0</v>
      </c>
      <c r="O2144" s="14" t="b">
        <v>1</v>
      </c>
      <c r="Q2144" s="14" t="b">
        <v>0</v>
      </c>
      <c r="R2144" s="14">
        <v>1</v>
      </c>
      <c r="S2144" s="14" t="s">
        <v>77</v>
      </c>
      <c r="T2144" s="14">
        <v>999</v>
      </c>
      <c r="U2144" s="14" t="s">
        <v>1401</v>
      </c>
      <c r="V2144" s="14">
        <v>31914052</v>
      </c>
      <c r="X2144" s="14" t="s">
        <v>3514</v>
      </c>
      <c r="Y2144" s="14" t="s">
        <v>215</v>
      </c>
      <c r="Z2144" s="14">
        <v>20907</v>
      </c>
      <c r="AA2144" s="14" t="s">
        <v>3515</v>
      </c>
      <c r="AB2144" s="14">
        <v>40001</v>
      </c>
      <c r="AE2144" s="14" t="s">
        <v>1400</v>
      </c>
      <c r="AF2144" s="14" t="s">
        <v>1400</v>
      </c>
      <c r="AG2144" s="14" t="s">
        <v>92</v>
      </c>
    </row>
    <row r="2145" spans="2:33">
      <c r="B2145" s="14">
        <f>10000000+INDEX(编号表!$B:$B,MATCH(H2145,编号表!$A:$A,0))*100000+INDEX(编号表!$F:$F,MATCH(D2145,编号表!$E:$E,0))*10000+INDEX(编号表!$D:$D,MATCH(AG2145,编号表!$C:$C,0))*1000+F2145</f>
        <v>11924053</v>
      </c>
      <c r="C2145" s="14" t="s">
        <v>3513</v>
      </c>
      <c r="D2145" s="14" t="s">
        <v>112</v>
      </c>
      <c r="E2145" s="14" t="s">
        <v>92</v>
      </c>
      <c r="F2145" s="14">
        <v>53</v>
      </c>
      <c r="G2145" s="14">
        <v>60</v>
      </c>
      <c r="H2145" s="14" t="s">
        <v>1400</v>
      </c>
      <c r="I2145" s="14" t="s">
        <v>75</v>
      </c>
      <c r="J2145" s="14" t="s">
        <v>201</v>
      </c>
      <c r="K2145" s="14">
        <v>1</v>
      </c>
      <c r="L2145" s="14" t="s">
        <v>1400</v>
      </c>
      <c r="N2145" s="14">
        <v>0</v>
      </c>
      <c r="O2145" s="14" t="b">
        <v>1</v>
      </c>
      <c r="Q2145" s="14" t="b">
        <v>0</v>
      </c>
      <c r="R2145" s="14">
        <v>1</v>
      </c>
      <c r="S2145" s="14" t="s">
        <v>77</v>
      </c>
      <c r="T2145" s="14">
        <v>999</v>
      </c>
      <c r="U2145" s="14" t="s">
        <v>1401</v>
      </c>
      <c r="V2145" s="14">
        <v>31924053</v>
      </c>
      <c r="X2145" s="14" t="s">
        <v>3516</v>
      </c>
      <c r="Y2145" s="14" t="s">
        <v>215</v>
      </c>
      <c r="Z2145" s="14">
        <v>20908</v>
      </c>
      <c r="AA2145" s="14" t="s">
        <v>3517</v>
      </c>
      <c r="AB2145" s="14">
        <v>40001</v>
      </c>
      <c r="AE2145" s="14" t="s">
        <v>1400</v>
      </c>
      <c r="AF2145" s="14" t="s">
        <v>1400</v>
      </c>
      <c r="AG2145" s="14" t="s">
        <v>92</v>
      </c>
    </row>
    <row r="2146" spans="2:33">
      <c r="B2146" s="14">
        <f>10000000+INDEX(编号表!$B:$B,MATCH(H2146,编号表!$A:$A,0))*100000+INDEX(编号表!$F:$F,MATCH(D2146,编号表!$E:$E,0))*10000+INDEX(编号表!$D:$D,MATCH(AG2146,编号表!$C:$C,0))*1000+F2146</f>
        <v>11934054</v>
      </c>
      <c r="C2146" s="14" t="s">
        <v>3513</v>
      </c>
      <c r="D2146" s="14" t="s">
        <v>276</v>
      </c>
      <c r="E2146" s="14" t="s">
        <v>92</v>
      </c>
      <c r="F2146" s="14">
        <v>54</v>
      </c>
      <c r="G2146" s="14">
        <v>60</v>
      </c>
      <c r="H2146" s="14" t="s">
        <v>1400</v>
      </c>
      <c r="I2146" s="14" t="s">
        <v>75</v>
      </c>
      <c r="J2146" s="14" t="s">
        <v>201</v>
      </c>
      <c r="K2146" s="14">
        <v>1</v>
      </c>
      <c r="L2146" s="14" t="s">
        <v>1400</v>
      </c>
      <c r="N2146" s="14">
        <v>0</v>
      </c>
      <c r="O2146" s="14" t="b">
        <v>1</v>
      </c>
      <c r="Q2146" s="14" t="b">
        <v>0</v>
      </c>
      <c r="R2146" s="14">
        <v>1</v>
      </c>
      <c r="S2146" s="14" t="s">
        <v>77</v>
      </c>
      <c r="T2146" s="14">
        <v>999</v>
      </c>
      <c r="U2146" s="14" t="s">
        <v>1401</v>
      </c>
      <c r="V2146" s="14">
        <v>31934054</v>
      </c>
      <c r="X2146" s="14" t="s">
        <v>3518</v>
      </c>
      <c r="Y2146" s="14" t="s">
        <v>215</v>
      </c>
      <c r="Z2146" s="14">
        <v>20909</v>
      </c>
      <c r="AA2146" s="14" t="s">
        <v>3519</v>
      </c>
      <c r="AB2146" s="14">
        <v>40001</v>
      </c>
      <c r="AE2146" s="14" t="s">
        <v>1400</v>
      </c>
      <c r="AF2146" s="14" t="s">
        <v>1400</v>
      </c>
      <c r="AG2146" s="14" t="s">
        <v>92</v>
      </c>
    </row>
    <row r="2147" spans="2:33">
      <c r="B2147" s="14">
        <f>10000000+INDEX(编号表!$B:$B,MATCH(H2147,编号表!$A:$A,0))*100000+INDEX(编号表!$F:$F,MATCH(D2147,编号表!$E:$E,0))*10000+INDEX(编号表!$D:$D,MATCH(AG2147,编号表!$C:$C,0))*1000+F2147</f>
        <v>11914053</v>
      </c>
      <c r="C2147" s="14" t="s">
        <v>3520</v>
      </c>
      <c r="D2147" s="14" t="s">
        <v>72</v>
      </c>
      <c r="E2147" s="14" t="s">
        <v>92</v>
      </c>
      <c r="F2147" s="14">
        <v>53</v>
      </c>
      <c r="G2147" s="14">
        <v>60</v>
      </c>
      <c r="H2147" s="14" t="s">
        <v>1400</v>
      </c>
      <c r="I2147" s="14" t="s">
        <v>75</v>
      </c>
      <c r="J2147" s="14" t="s">
        <v>201</v>
      </c>
      <c r="K2147" s="14">
        <v>1</v>
      </c>
      <c r="L2147" s="14" t="s">
        <v>1400</v>
      </c>
      <c r="N2147" s="14">
        <v>0</v>
      </c>
      <c r="O2147" s="14" t="b">
        <v>1</v>
      </c>
      <c r="Q2147" s="14" t="b">
        <v>0</v>
      </c>
      <c r="R2147" s="14">
        <v>1</v>
      </c>
      <c r="S2147" s="14" t="s">
        <v>77</v>
      </c>
      <c r="T2147" s="14">
        <v>999</v>
      </c>
      <c r="U2147" s="14" t="s">
        <v>1401</v>
      </c>
      <c r="V2147" s="14">
        <v>31914053</v>
      </c>
      <c r="X2147" s="14" t="s">
        <v>3521</v>
      </c>
      <c r="Y2147" s="14" t="s">
        <v>215</v>
      </c>
      <c r="Z2147" s="14">
        <v>20910</v>
      </c>
      <c r="AA2147" s="14" t="s">
        <v>3522</v>
      </c>
      <c r="AB2147" s="14">
        <v>40001</v>
      </c>
      <c r="AE2147" s="14" t="s">
        <v>1400</v>
      </c>
      <c r="AF2147" s="14" t="s">
        <v>1400</v>
      </c>
      <c r="AG2147" s="14" t="s">
        <v>92</v>
      </c>
    </row>
    <row r="2148" spans="2:33">
      <c r="B2148" s="14">
        <f>10000000+INDEX(编号表!$B:$B,MATCH(H2148,编号表!$A:$A,0))*100000+INDEX(编号表!$F:$F,MATCH(D2148,编号表!$E:$E,0))*10000+INDEX(编号表!$D:$D,MATCH(AG2148,编号表!$C:$C,0))*1000+F2148</f>
        <v>11924054</v>
      </c>
      <c r="C2148" s="14" t="s">
        <v>3520</v>
      </c>
      <c r="D2148" s="14" t="s">
        <v>112</v>
      </c>
      <c r="E2148" s="14" t="s">
        <v>92</v>
      </c>
      <c r="F2148" s="14">
        <v>54</v>
      </c>
      <c r="G2148" s="14">
        <v>60</v>
      </c>
      <c r="H2148" s="14" t="s">
        <v>1400</v>
      </c>
      <c r="I2148" s="14" t="s">
        <v>75</v>
      </c>
      <c r="J2148" s="14" t="s">
        <v>201</v>
      </c>
      <c r="K2148" s="14">
        <v>1</v>
      </c>
      <c r="L2148" s="14" t="s">
        <v>1400</v>
      </c>
      <c r="N2148" s="14">
        <v>0</v>
      </c>
      <c r="O2148" s="14" t="b">
        <v>1</v>
      </c>
      <c r="Q2148" s="14" t="b">
        <v>0</v>
      </c>
      <c r="R2148" s="14">
        <v>1</v>
      </c>
      <c r="S2148" s="14" t="s">
        <v>77</v>
      </c>
      <c r="T2148" s="14">
        <v>999</v>
      </c>
      <c r="U2148" s="14" t="s">
        <v>1401</v>
      </c>
      <c r="V2148" s="14">
        <v>31924054</v>
      </c>
      <c r="X2148" s="14" t="s">
        <v>3523</v>
      </c>
      <c r="Y2148" s="14" t="s">
        <v>215</v>
      </c>
      <c r="Z2148" s="14">
        <v>20911</v>
      </c>
      <c r="AA2148" s="14" t="s">
        <v>3524</v>
      </c>
      <c r="AB2148" s="14">
        <v>40001</v>
      </c>
      <c r="AE2148" s="14" t="s">
        <v>1400</v>
      </c>
      <c r="AF2148" s="14" t="s">
        <v>1400</v>
      </c>
      <c r="AG2148" s="14" t="s">
        <v>92</v>
      </c>
    </row>
    <row r="2149" spans="2:33">
      <c r="B2149" s="14">
        <f>10000000+INDEX(编号表!$B:$B,MATCH(H2149,编号表!$A:$A,0))*100000+INDEX(编号表!$F:$F,MATCH(D2149,编号表!$E:$E,0))*10000+INDEX(编号表!$D:$D,MATCH(AG2149,编号表!$C:$C,0))*1000+F2149</f>
        <v>11934055</v>
      </c>
      <c r="C2149" s="14" t="s">
        <v>3520</v>
      </c>
      <c r="D2149" s="14" t="s">
        <v>276</v>
      </c>
      <c r="E2149" s="14" t="s">
        <v>92</v>
      </c>
      <c r="F2149" s="14">
        <v>55</v>
      </c>
      <c r="G2149" s="14">
        <v>60</v>
      </c>
      <c r="H2149" s="14" t="s">
        <v>1400</v>
      </c>
      <c r="I2149" s="14" t="s">
        <v>75</v>
      </c>
      <c r="J2149" s="14" t="s">
        <v>201</v>
      </c>
      <c r="K2149" s="14">
        <v>1</v>
      </c>
      <c r="L2149" s="14" t="s">
        <v>1400</v>
      </c>
      <c r="N2149" s="14">
        <v>0</v>
      </c>
      <c r="O2149" s="14" t="b">
        <v>1</v>
      </c>
      <c r="Q2149" s="14" t="b">
        <v>0</v>
      </c>
      <c r="R2149" s="14">
        <v>1</v>
      </c>
      <c r="S2149" s="14" t="s">
        <v>77</v>
      </c>
      <c r="T2149" s="14">
        <v>999</v>
      </c>
      <c r="U2149" s="14" t="s">
        <v>1401</v>
      </c>
      <c r="V2149" s="14">
        <v>31934055</v>
      </c>
      <c r="X2149" s="14" t="s">
        <v>3525</v>
      </c>
      <c r="Y2149" s="14" t="s">
        <v>215</v>
      </c>
      <c r="Z2149" s="14">
        <v>20912</v>
      </c>
      <c r="AA2149" s="14" t="s">
        <v>3526</v>
      </c>
      <c r="AB2149" s="14">
        <v>40001</v>
      </c>
      <c r="AE2149" s="14" t="s">
        <v>1400</v>
      </c>
      <c r="AF2149" s="14" t="s">
        <v>1400</v>
      </c>
      <c r="AG2149" s="14" t="s">
        <v>92</v>
      </c>
    </row>
    <row r="2150" spans="2:33">
      <c r="B2150" s="14">
        <f>10000000+INDEX(编号表!$B:$B,MATCH(H2150,编号表!$A:$A,0))*100000+INDEX(编号表!$F:$F,MATCH(D2150,编号表!$E:$E,0))*10000+INDEX(编号表!$D:$D,MATCH(AG2150,编号表!$C:$C,0))*1000+F2150</f>
        <v>11914054</v>
      </c>
      <c r="C2150" s="14" t="s">
        <v>3527</v>
      </c>
      <c r="D2150" s="14" t="s">
        <v>72</v>
      </c>
      <c r="E2150" s="14" t="s">
        <v>92</v>
      </c>
      <c r="F2150" s="14">
        <v>54</v>
      </c>
      <c r="G2150" s="14">
        <v>60</v>
      </c>
      <c r="H2150" s="14" t="s">
        <v>1400</v>
      </c>
      <c r="I2150" s="14" t="s">
        <v>75</v>
      </c>
      <c r="J2150" s="14" t="s">
        <v>201</v>
      </c>
      <c r="K2150" s="14">
        <v>1</v>
      </c>
      <c r="L2150" s="14" t="s">
        <v>1400</v>
      </c>
      <c r="N2150" s="14">
        <v>0</v>
      </c>
      <c r="O2150" s="14" t="b">
        <v>1</v>
      </c>
      <c r="Q2150" s="14" t="b">
        <v>0</v>
      </c>
      <c r="R2150" s="14">
        <v>1</v>
      </c>
      <c r="S2150" s="14" t="s">
        <v>77</v>
      </c>
      <c r="T2150" s="14">
        <v>999</v>
      </c>
      <c r="U2150" s="14" t="s">
        <v>1401</v>
      </c>
      <c r="V2150" s="14">
        <v>31914054</v>
      </c>
      <c r="X2150" s="14" t="s">
        <v>3528</v>
      </c>
      <c r="Y2150" s="14" t="s">
        <v>215</v>
      </c>
      <c r="Z2150" s="14">
        <v>20913</v>
      </c>
      <c r="AA2150" s="14" t="s">
        <v>3529</v>
      </c>
      <c r="AB2150" s="14">
        <v>40001</v>
      </c>
      <c r="AE2150" s="14" t="s">
        <v>1400</v>
      </c>
      <c r="AF2150" s="14" t="s">
        <v>1400</v>
      </c>
      <c r="AG2150" s="14" t="s">
        <v>92</v>
      </c>
    </row>
    <row r="2151" spans="2:33">
      <c r="B2151" s="14">
        <f>10000000+INDEX(编号表!$B:$B,MATCH(H2151,编号表!$A:$A,0))*100000+INDEX(编号表!$F:$F,MATCH(D2151,编号表!$E:$E,0))*10000+INDEX(编号表!$D:$D,MATCH(AG2151,编号表!$C:$C,0))*1000+F2151</f>
        <v>11924055</v>
      </c>
      <c r="C2151" s="14" t="s">
        <v>3527</v>
      </c>
      <c r="D2151" s="14" t="s">
        <v>112</v>
      </c>
      <c r="E2151" s="14" t="s">
        <v>92</v>
      </c>
      <c r="F2151" s="14">
        <v>55</v>
      </c>
      <c r="G2151" s="14">
        <v>60</v>
      </c>
      <c r="H2151" s="14" t="s">
        <v>1400</v>
      </c>
      <c r="I2151" s="14" t="s">
        <v>75</v>
      </c>
      <c r="J2151" s="14" t="s">
        <v>201</v>
      </c>
      <c r="K2151" s="14">
        <v>1</v>
      </c>
      <c r="L2151" s="14" t="s">
        <v>1400</v>
      </c>
      <c r="N2151" s="14">
        <v>0</v>
      </c>
      <c r="O2151" s="14" t="b">
        <v>1</v>
      </c>
      <c r="Q2151" s="14" t="b">
        <v>0</v>
      </c>
      <c r="R2151" s="14">
        <v>1</v>
      </c>
      <c r="S2151" s="14" t="s">
        <v>77</v>
      </c>
      <c r="T2151" s="14">
        <v>999</v>
      </c>
      <c r="U2151" s="14" t="s">
        <v>1401</v>
      </c>
      <c r="V2151" s="14">
        <v>31924055</v>
      </c>
      <c r="X2151" s="14" t="s">
        <v>3530</v>
      </c>
      <c r="Y2151" s="14" t="s">
        <v>215</v>
      </c>
      <c r="Z2151" s="14">
        <v>20914</v>
      </c>
      <c r="AA2151" s="14" t="s">
        <v>3531</v>
      </c>
      <c r="AB2151" s="14">
        <v>40001</v>
      </c>
      <c r="AE2151" s="14" t="s">
        <v>1400</v>
      </c>
      <c r="AF2151" s="14" t="s">
        <v>1400</v>
      </c>
      <c r="AG2151" s="14" t="s">
        <v>92</v>
      </c>
    </row>
    <row r="2152" spans="2:33">
      <c r="B2152" s="14">
        <f>10000000+INDEX(编号表!$B:$B,MATCH(H2152,编号表!$A:$A,0))*100000+INDEX(编号表!$F:$F,MATCH(D2152,编号表!$E:$E,0))*10000+INDEX(编号表!$D:$D,MATCH(AG2152,编号表!$C:$C,0))*1000+F2152</f>
        <v>11934056</v>
      </c>
      <c r="C2152" s="14" t="s">
        <v>3527</v>
      </c>
      <c r="D2152" s="14" t="s">
        <v>276</v>
      </c>
      <c r="E2152" s="14" t="s">
        <v>92</v>
      </c>
      <c r="F2152" s="14">
        <v>56</v>
      </c>
      <c r="G2152" s="14">
        <v>60</v>
      </c>
      <c r="H2152" s="14" t="s">
        <v>1400</v>
      </c>
      <c r="I2152" s="14" t="s">
        <v>75</v>
      </c>
      <c r="J2152" s="14" t="s">
        <v>201</v>
      </c>
      <c r="K2152" s="14">
        <v>1</v>
      </c>
      <c r="L2152" s="14" t="s">
        <v>1400</v>
      </c>
      <c r="N2152" s="14">
        <v>0</v>
      </c>
      <c r="O2152" s="14" t="b">
        <v>1</v>
      </c>
      <c r="Q2152" s="14" t="b">
        <v>0</v>
      </c>
      <c r="R2152" s="14">
        <v>1</v>
      </c>
      <c r="S2152" s="14" t="s">
        <v>77</v>
      </c>
      <c r="T2152" s="14">
        <v>999</v>
      </c>
      <c r="U2152" s="14" t="s">
        <v>1401</v>
      </c>
      <c r="V2152" s="14">
        <v>31934056</v>
      </c>
      <c r="X2152" s="14" t="s">
        <v>3532</v>
      </c>
      <c r="Y2152" s="14" t="s">
        <v>215</v>
      </c>
      <c r="Z2152" s="14">
        <v>20915</v>
      </c>
      <c r="AA2152" s="14" t="s">
        <v>3533</v>
      </c>
      <c r="AB2152" s="14">
        <v>40001</v>
      </c>
      <c r="AE2152" s="14" t="s">
        <v>1400</v>
      </c>
      <c r="AF2152" s="14" t="s">
        <v>1400</v>
      </c>
      <c r="AG2152" s="14" t="s">
        <v>92</v>
      </c>
    </row>
    <row r="2153" spans="2:33">
      <c r="B2153" s="14">
        <f>10000000+INDEX(编号表!$B:$B,MATCH(H2153,编号表!$A:$A,0))*100000+INDEX(编号表!$F:$F,MATCH(D2153,编号表!$E:$E,0))*10000+INDEX(编号表!$D:$D,MATCH(AG2153,编号表!$C:$C,0))*1000+F2153</f>
        <v>11914055</v>
      </c>
      <c r="C2153" s="14" t="s">
        <v>3534</v>
      </c>
      <c r="D2153" s="14" t="s">
        <v>72</v>
      </c>
      <c r="E2153" s="14" t="s">
        <v>92</v>
      </c>
      <c r="F2153" s="14">
        <v>55</v>
      </c>
      <c r="G2153" s="14">
        <v>60</v>
      </c>
      <c r="H2153" s="14" t="s">
        <v>1400</v>
      </c>
      <c r="I2153" s="14" t="s">
        <v>75</v>
      </c>
      <c r="J2153" s="14" t="s">
        <v>201</v>
      </c>
      <c r="K2153" s="14">
        <v>1</v>
      </c>
      <c r="L2153" s="14" t="s">
        <v>1400</v>
      </c>
      <c r="N2153" s="14">
        <v>0</v>
      </c>
      <c r="O2153" s="14" t="b">
        <v>1</v>
      </c>
      <c r="Q2153" s="14" t="b">
        <v>0</v>
      </c>
      <c r="R2153" s="14">
        <v>1</v>
      </c>
      <c r="S2153" s="14" t="s">
        <v>77</v>
      </c>
      <c r="T2153" s="14">
        <v>999</v>
      </c>
      <c r="U2153" s="14" t="s">
        <v>1401</v>
      </c>
      <c r="V2153" s="14">
        <v>31914055</v>
      </c>
      <c r="X2153" s="14" t="s">
        <v>3535</v>
      </c>
      <c r="Y2153" s="14" t="s">
        <v>215</v>
      </c>
      <c r="Z2153" s="14">
        <v>20916</v>
      </c>
      <c r="AA2153" s="14" t="s">
        <v>3536</v>
      </c>
      <c r="AB2153" s="14">
        <v>40001</v>
      </c>
      <c r="AE2153" s="14" t="s">
        <v>1400</v>
      </c>
      <c r="AF2153" s="14" t="s">
        <v>1400</v>
      </c>
      <c r="AG2153" s="14" t="s">
        <v>92</v>
      </c>
    </row>
    <row r="2154" spans="2:33">
      <c r="B2154" s="14">
        <f>10000000+INDEX(编号表!$B:$B,MATCH(H2154,编号表!$A:$A,0))*100000+INDEX(编号表!$F:$F,MATCH(D2154,编号表!$E:$E,0))*10000+INDEX(编号表!$D:$D,MATCH(AG2154,编号表!$C:$C,0))*1000+F2154</f>
        <v>11924056</v>
      </c>
      <c r="C2154" s="14" t="s">
        <v>3534</v>
      </c>
      <c r="D2154" s="14" t="s">
        <v>112</v>
      </c>
      <c r="E2154" s="14" t="s">
        <v>92</v>
      </c>
      <c r="F2154" s="14">
        <v>56</v>
      </c>
      <c r="G2154" s="14">
        <v>60</v>
      </c>
      <c r="H2154" s="14" t="s">
        <v>1400</v>
      </c>
      <c r="I2154" s="14" t="s">
        <v>75</v>
      </c>
      <c r="J2154" s="14" t="s">
        <v>201</v>
      </c>
      <c r="K2154" s="14">
        <v>1</v>
      </c>
      <c r="L2154" s="14" t="s">
        <v>1400</v>
      </c>
      <c r="N2154" s="14">
        <v>0</v>
      </c>
      <c r="O2154" s="14" t="b">
        <v>1</v>
      </c>
      <c r="Q2154" s="14" t="b">
        <v>0</v>
      </c>
      <c r="R2154" s="14">
        <v>1</v>
      </c>
      <c r="S2154" s="14" t="s">
        <v>77</v>
      </c>
      <c r="T2154" s="14">
        <v>999</v>
      </c>
      <c r="U2154" s="14" t="s">
        <v>1401</v>
      </c>
      <c r="V2154" s="14">
        <v>31924056</v>
      </c>
      <c r="X2154" s="14" t="s">
        <v>3537</v>
      </c>
      <c r="Y2154" s="14" t="s">
        <v>215</v>
      </c>
      <c r="Z2154" s="14">
        <v>20917</v>
      </c>
      <c r="AA2154" s="14" t="s">
        <v>3538</v>
      </c>
      <c r="AB2154" s="14">
        <v>40001</v>
      </c>
      <c r="AE2154" s="14" t="s">
        <v>1400</v>
      </c>
      <c r="AF2154" s="14" t="s">
        <v>1400</v>
      </c>
      <c r="AG2154" s="14" t="s">
        <v>92</v>
      </c>
    </row>
    <row r="2155" spans="2:33">
      <c r="B2155" s="14">
        <f>10000000+INDEX(编号表!$B:$B,MATCH(H2155,编号表!$A:$A,0))*100000+INDEX(编号表!$F:$F,MATCH(D2155,编号表!$E:$E,0))*10000+INDEX(编号表!$D:$D,MATCH(AG2155,编号表!$C:$C,0))*1000+F2155</f>
        <v>11934057</v>
      </c>
      <c r="C2155" s="14" t="s">
        <v>3534</v>
      </c>
      <c r="D2155" s="14" t="s">
        <v>276</v>
      </c>
      <c r="E2155" s="14" t="s">
        <v>92</v>
      </c>
      <c r="F2155" s="14">
        <v>57</v>
      </c>
      <c r="G2155" s="14">
        <v>60</v>
      </c>
      <c r="H2155" s="14" t="s">
        <v>1400</v>
      </c>
      <c r="I2155" s="14" t="s">
        <v>75</v>
      </c>
      <c r="J2155" s="14" t="s">
        <v>201</v>
      </c>
      <c r="K2155" s="14">
        <v>1</v>
      </c>
      <c r="L2155" s="14" t="s">
        <v>1400</v>
      </c>
      <c r="N2155" s="14">
        <v>0</v>
      </c>
      <c r="O2155" s="14" t="b">
        <v>1</v>
      </c>
      <c r="Q2155" s="14" t="b">
        <v>0</v>
      </c>
      <c r="R2155" s="14">
        <v>1</v>
      </c>
      <c r="S2155" s="14" t="s">
        <v>77</v>
      </c>
      <c r="T2155" s="14">
        <v>999</v>
      </c>
      <c r="U2155" s="14" t="s">
        <v>1401</v>
      </c>
      <c r="V2155" s="14">
        <v>31934057</v>
      </c>
      <c r="X2155" s="14" t="s">
        <v>3539</v>
      </c>
      <c r="Y2155" s="14" t="s">
        <v>215</v>
      </c>
      <c r="Z2155" s="14">
        <v>20918</v>
      </c>
      <c r="AA2155" s="14" t="s">
        <v>3540</v>
      </c>
      <c r="AB2155" s="14">
        <v>40001</v>
      </c>
      <c r="AE2155" s="14" t="s">
        <v>1400</v>
      </c>
      <c r="AF2155" s="14" t="s">
        <v>1400</v>
      </c>
      <c r="AG2155" s="14" t="s">
        <v>92</v>
      </c>
    </row>
    <row r="2156" spans="2:33">
      <c r="B2156" s="14">
        <f>10000000+INDEX(编号表!$B:$B,MATCH(H2156,编号表!$A:$A,0))*100000+INDEX(编号表!$F:$F,MATCH(D2156,编号表!$E:$E,0))*10000+INDEX(编号表!$D:$D,MATCH(AG2156,编号表!$C:$C,0))*1000+F2156</f>
        <v>11914056</v>
      </c>
      <c r="C2156" s="14" t="s">
        <v>3541</v>
      </c>
      <c r="D2156" s="14" t="s">
        <v>72</v>
      </c>
      <c r="E2156" s="14" t="s">
        <v>92</v>
      </c>
      <c r="F2156" s="14">
        <v>56</v>
      </c>
      <c r="G2156" s="14">
        <v>60</v>
      </c>
      <c r="H2156" s="14" t="s">
        <v>1400</v>
      </c>
      <c r="I2156" s="14" t="s">
        <v>75</v>
      </c>
      <c r="J2156" s="14" t="s">
        <v>201</v>
      </c>
      <c r="K2156" s="14">
        <v>1</v>
      </c>
      <c r="L2156" s="14" t="s">
        <v>1400</v>
      </c>
      <c r="N2156" s="14">
        <v>0</v>
      </c>
      <c r="O2156" s="14" t="b">
        <v>1</v>
      </c>
      <c r="Q2156" s="14" t="b">
        <v>0</v>
      </c>
      <c r="R2156" s="14">
        <v>1</v>
      </c>
      <c r="S2156" s="14" t="s">
        <v>77</v>
      </c>
      <c r="T2156" s="14">
        <v>999</v>
      </c>
      <c r="U2156" s="14" t="s">
        <v>1401</v>
      </c>
      <c r="V2156" s="14">
        <v>31914056</v>
      </c>
      <c r="X2156" s="14" t="s">
        <v>3542</v>
      </c>
      <c r="Y2156" s="14" t="s">
        <v>215</v>
      </c>
      <c r="Z2156" s="14">
        <v>20919</v>
      </c>
      <c r="AA2156" s="14" t="s">
        <v>3543</v>
      </c>
      <c r="AB2156" s="14">
        <v>40001</v>
      </c>
      <c r="AE2156" s="14" t="s">
        <v>1400</v>
      </c>
      <c r="AF2156" s="14" t="s">
        <v>1400</v>
      </c>
      <c r="AG2156" s="14" t="s">
        <v>92</v>
      </c>
    </row>
    <row r="2157" spans="2:33">
      <c r="B2157" s="14">
        <f>10000000+INDEX(编号表!$B:$B,MATCH(H2157,编号表!$A:$A,0))*100000+INDEX(编号表!$F:$F,MATCH(D2157,编号表!$E:$E,0))*10000+INDEX(编号表!$D:$D,MATCH(AG2157,编号表!$C:$C,0))*1000+F2157</f>
        <v>11924057</v>
      </c>
      <c r="C2157" s="14" t="s">
        <v>3541</v>
      </c>
      <c r="D2157" s="14" t="s">
        <v>112</v>
      </c>
      <c r="E2157" s="14" t="s">
        <v>92</v>
      </c>
      <c r="F2157" s="14">
        <v>57</v>
      </c>
      <c r="G2157" s="14">
        <v>60</v>
      </c>
      <c r="H2157" s="14" t="s">
        <v>1400</v>
      </c>
      <c r="I2157" s="14" t="s">
        <v>75</v>
      </c>
      <c r="J2157" s="14" t="s">
        <v>201</v>
      </c>
      <c r="K2157" s="14">
        <v>1</v>
      </c>
      <c r="L2157" s="14" t="s">
        <v>1400</v>
      </c>
      <c r="N2157" s="14">
        <v>0</v>
      </c>
      <c r="O2157" s="14" t="b">
        <v>1</v>
      </c>
      <c r="Q2157" s="14" t="b">
        <v>0</v>
      </c>
      <c r="R2157" s="14">
        <v>1</v>
      </c>
      <c r="S2157" s="14" t="s">
        <v>77</v>
      </c>
      <c r="T2157" s="14">
        <v>999</v>
      </c>
      <c r="U2157" s="14" t="s">
        <v>1401</v>
      </c>
      <c r="V2157" s="14">
        <v>31924057</v>
      </c>
      <c r="X2157" s="14" t="s">
        <v>3544</v>
      </c>
      <c r="Y2157" s="14" t="s">
        <v>215</v>
      </c>
      <c r="Z2157" s="14">
        <v>20920</v>
      </c>
      <c r="AA2157" s="14" t="s">
        <v>3545</v>
      </c>
      <c r="AB2157" s="14">
        <v>40001</v>
      </c>
      <c r="AE2157" s="14" t="s">
        <v>1400</v>
      </c>
      <c r="AF2157" s="14" t="s">
        <v>1400</v>
      </c>
      <c r="AG2157" s="14" t="s">
        <v>92</v>
      </c>
    </row>
    <row r="2158" spans="2:33">
      <c r="B2158" s="14">
        <f>10000000+INDEX(编号表!$B:$B,MATCH(H2158,编号表!$A:$A,0))*100000+INDEX(编号表!$F:$F,MATCH(D2158,编号表!$E:$E,0))*10000+INDEX(编号表!$D:$D,MATCH(AG2158,编号表!$C:$C,0))*1000+F2158</f>
        <v>11934058</v>
      </c>
      <c r="C2158" s="14" t="s">
        <v>3541</v>
      </c>
      <c r="D2158" s="14" t="s">
        <v>276</v>
      </c>
      <c r="E2158" s="14" t="s">
        <v>92</v>
      </c>
      <c r="F2158" s="14">
        <v>58</v>
      </c>
      <c r="G2158" s="14">
        <v>60</v>
      </c>
      <c r="H2158" s="14" t="s">
        <v>1400</v>
      </c>
      <c r="I2158" s="14" t="s">
        <v>75</v>
      </c>
      <c r="J2158" s="14" t="s">
        <v>201</v>
      </c>
      <c r="K2158" s="14">
        <v>1</v>
      </c>
      <c r="L2158" s="14" t="s">
        <v>1400</v>
      </c>
      <c r="N2158" s="14">
        <v>0</v>
      </c>
      <c r="O2158" s="14" t="b">
        <v>1</v>
      </c>
      <c r="Q2158" s="14" t="b">
        <v>0</v>
      </c>
      <c r="R2158" s="14">
        <v>1</v>
      </c>
      <c r="S2158" s="14" t="s">
        <v>77</v>
      </c>
      <c r="T2158" s="14">
        <v>999</v>
      </c>
      <c r="U2158" s="14" t="s">
        <v>1401</v>
      </c>
      <c r="V2158" s="14">
        <v>31934058</v>
      </c>
      <c r="X2158" s="14" t="s">
        <v>3546</v>
      </c>
      <c r="Y2158" s="14" t="s">
        <v>215</v>
      </c>
      <c r="Z2158" s="14">
        <v>20921</v>
      </c>
      <c r="AA2158" s="14" t="s">
        <v>3547</v>
      </c>
      <c r="AB2158" s="14">
        <v>40001</v>
      </c>
      <c r="AE2158" s="14" t="s">
        <v>1400</v>
      </c>
      <c r="AF2158" s="14" t="s">
        <v>1400</v>
      </c>
      <c r="AG2158" s="14" t="s">
        <v>92</v>
      </c>
    </row>
    <row r="2159" spans="2:33">
      <c r="B2159" s="14">
        <f>10000000+INDEX(编号表!$B:$B,MATCH(H2159,编号表!$A:$A,0))*100000+INDEX(编号表!$F:$F,MATCH(D2159,编号表!$E:$E,0))*10000+INDEX(编号表!$D:$D,MATCH(AG2159,编号表!$C:$C,0))*1000+F2159</f>
        <v>11914057</v>
      </c>
      <c r="C2159" s="14" t="s">
        <v>3548</v>
      </c>
      <c r="D2159" s="14" t="s">
        <v>72</v>
      </c>
      <c r="E2159" s="14" t="s">
        <v>92</v>
      </c>
      <c r="F2159" s="14">
        <v>57</v>
      </c>
      <c r="G2159" s="14">
        <v>60</v>
      </c>
      <c r="H2159" s="14" t="s">
        <v>1400</v>
      </c>
      <c r="I2159" s="14" t="s">
        <v>75</v>
      </c>
      <c r="J2159" s="14" t="s">
        <v>201</v>
      </c>
      <c r="K2159" s="14">
        <v>1</v>
      </c>
      <c r="L2159" s="14" t="s">
        <v>1400</v>
      </c>
      <c r="N2159" s="14">
        <v>0</v>
      </c>
      <c r="O2159" s="14" t="b">
        <v>1</v>
      </c>
      <c r="Q2159" s="14" t="b">
        <v>0</v>
      </c>
      <c r="R2159" s="14">
        <v>1</v>
      </c>
      <c r="S2159" s="14" t="s">
        <v>77</v>
      </c>
      <c r="T2159" s="14">
        <v>999</v>
      </c>
      <c r="U2159" s="14" t="s">
        <v>1401</v>
      </c>
      <c r="V2159" s="14">
        <v>31914057</v>
      </c>
      <c r="X2159" s="14" t="s">
        <v>3549</v>
      </c>
      <c r="Y2159" s="14" t="s">
        <v>215</v>
      </c>
      <c r="Z2159" s="14">
        <v>20922</v>
      </c>
      <c r="AA2159" s="14" t="s">
        <v>3550</v>
      </c>
      <c r="AB2159" s="14">
        <v>40001</v>
      </c>
      <c r="AE2159" s="14" t="s">
        <v>1400</v>
      </c>
      <c r="AF2159" s="14" t="s">
        <v>1400</v>
      </c>
      <c r="AG2159" s="14" t="s">
        <v>92</v>
      </c>
    </row>
    <row r="2160" spans="2:33">
      <c r="B2160" s="14">
        <f>10000000+INDEX(编号表!$B:$B,MATCH(H2160,编号表!$A:$A,0))*100000+INDEX(编号表!$F:$F,MATCH(D2160,编号表!$E:$E,0))*10000+INDEX(编号表!$D:$D,MATCH(AG2160,编号表!$C:$C,0))*1000+F2160</f>
        <v>11924058</v>
      </c>
      <c r="C2160" s="14" t="s">
        <v>3548</v>
      </c>
      <c r="D2160" s="14" t="s">
        <v>112</v>
      </c>
      <c r="E2160" s="14" t="s">
        <v>92</v>
      </c>
      <c r="F2160" s="14">
        <v>58</v>
      </c>
      <c r="G2160" s="14">
        <v>60</v>
      </c>
      <c r="H2160" s="14" t="s">
        <v>1400</v>
      </c>
      <c r="I2160" s="14" t="s">
        <v>75</v>
      </c>
      <c r="J2160" s="14" t="s">
        <v>201</v>
      </c>
      <c r="K2160" s="14">
        <v>1</v>
      </c>
      <c r="L2160" s="14" t="s">
        <v>1400</v>
      </c>
      <c r="N2160" s="14">
        <v>0</v>
      </c>
      <c r="O2160" s="14" t="b">
        <v>1</v>
      </c>
      <c r="Q2160" s="14" t="b">
        <v>0</v>
      </c>
      <c r="R2160" s="14">
        <v>1</v>
      </c>
      <c r="S2160" s="14" t="s">
        <v>77</v>
      </c>
      <c r="T2160" s="14">
        <v>999</v>
      </c>
      <c r="U2160" s="14" t="s">
        <v>1401</v>
      </c>
      <c r="V2160" s="14">
        <v>31924058</v>
      </c>
      <c r="X2160" s="14" t="s">
        <v>3551</v>
      </c>
      <c r="Y2160" s="14" t="s">
        <v>215</v>
      </c>
      <c r="Z2160" s="14">
        <v>20923</v>
      </c>
      <c r="AA2160" s="14" t="s">
        <v>3552</v>
      </c>
      <c r="AB2160" s="14">
        <v>40001</v>
      </c>
      <c r="AE2160" s="14" t="s">
        <v>1400</v>
      </c>
      <c r="AF2160" s="14" t="s">
        <v>1400</v>
      </c>
      <c r="AG2160" s="14" t="s">
        <v>92</v>
      </c>
    </row>
    <row r="2161" spans="2:33">
      <c r="B2161" s="14">
        <f>10000000+INDEX(编号表!$B:$B,MATCH(H2161,编号表!$A:$A,0))*100000+INDEX(编号表!$F:$F,MATCH(D2161,编号表!$E:$E,0))*10000+INDEX(编号表!$D:$D,MATCH(AG2161,编号表!$C:$C,0))*1000+F2161</f>
        <v>11934059</v>
      </c>
      <c r="C2161" s="14" t="s">
        <v>3548</v>
      </c>
      <c r="D2161" s="14" t="s">
        <v>276</v>
      </c>
      <c r="E2161" s="14" t="s">
        <v>92</v>
      </c>
      <c r="F2161" s="14">
        <v>59</v>
      </c>
      <c r="G2161" s="14">
        <v>60</v>
      </c>
      <c r="H2161" s="14" t="s">
        <v>1400</v>
      </c>
      <c r="I2161" s="14" t="s">
        <v>75</v>
      </c>
      <c r="J2161" s="14" t="s">
        <v>201</v>
      </c>
      <c r="K2161" s="14">
        <v>1</v>
      </c>
      <c r="L2161" s="14" t="s">
        <v>1400</v>
      </c>
      <c r="N2161" s="14">
        <v>0</v>
      </c>
      <c r="O2161" s="14" t="b">
        <v>1</v>
      </c>
      <c r="Q2161" s="14" t="b">
        <v>0</v>
      </c>
      <c r="R2161" s="14">
        <v>1</v>
      </c>
      <c r="S2161" s="14" t="s">
        <v>77</v>
      </c>
      <c r="T2161" s="14">
        <v>999</v>
      </c>
      <c r="U2161" s="14" t="s">
        <v>1401</v>
      </c>
      <c r="V2161" s="14">
        <v>31934059</v>
      </c>
      <c r="X2161" s="14" t="s">
        <v>3553</v>
      </c>
      <c r="Y2161" s="14" t="s">
        <v>215</v>
      </c>
      <c r="Z2161" s="14">
        <v>20924</v>
      </c>
      <c r="AA2161" s="14" t="s">
        <v>3554</v>
      </c>
      <c r="AB2161" s="14">
        <v>40001</v>
      </c>
      <c r="AE2161" s="14" t="s">
        <v>1400</v>
      </c>
      <c r="AF2161" s="14" t="s">
        <v>1400</v>
      </c>
      <c r="AG2161" s="14" t="s">
        <v>92</v>
      </c>
    </row>
    <row r="2162" spans="2:33">
      <c r="B2162" s="14">
        <f>10000000+INDEX(编号表!$B:$B,MATCH(H2162,编号表!$A:$A,0))*100000+INDEX(编号表!$F:$F,MATCH(D2162,编号表!$E:$E,0))*10000+INDEX(编号表!$D:$D,MATCH(AG2162,编号表!$C:$C,0))*1000+F2162</f>
        <v>11914058</v>
      </c>
      <c r="C2162" s="14" t="s">
        <v>3555</v>
      </c>
      <c r="D2162" s="14" t="s">
        <v>72</v>
      </c>
      <c r="E2162" s="14" t="s">
        <v>92</v>
      </c>
      <c r="F2162" s="14">
        <v>58</v>
      </c>
      <c r="G2162" s="14">
        <v>60</v>
      </c>
      <c r="H2162" s="14" t="s">
        <v>1400</v>
      </c>
      <c r="I2162" s="14" t="s">
        <v>75</v>
      </c>
      <c r="J2162" s="14" t="s">
        <v>201</v>
      </c>
      <c r="K2162" s="14">
        <v>1</v>
      </c>
      <c r="L2162" s="14" t="s">
        <v>1400</v>
      </c>
      <c r="N2162" s="14">
        <v>0</v>
      </c>
      <c r="O2162" s="14" t="b">
        <v>1</v>
      </c>
      <c r="Q2162" s="14" t="b">
        <v>0</v>
      </c>
      <c r="R2162" s="14">
        <v>1</v>
      </c>
      <c r="S2162" s="14" t="s">
        <v>77</v>
      </c>
      <c r="T2162" s="14">
        <v>999</v>
      </c>
      <c r="U2162" s="14" t="s">
        <v>1401</v>
      </c>
      <c r="V2162" s="14">
        <v>31914058</v>
      </c>
      <c r="X2162" s="14" t="s">
        <v>3556</v>
      </c>
      <c r="Y2162" s="14" t="s">
        <v>215</v>
      </c>
      <c r="Z2162" s="14">
        <v>20925</v>
      </c>
      <c r="AA2162" s="14" t="s">
        <v>3557</v>
      </c>
      <c r="AB2162" s="14">
        <v>40001</v>
      </c>
      <c r="AE2162" s="14" t="s">
        <v>1400</v>
      </c>
      <c r="AF2162" s="14" t="s">
        <v>1400</v>
      </c>
      <c r="AG2162" s="14" t="s">
        <v>92</v>
      </c>
    </row>
    <row r="2163" spans="2:33">
      <c r="B2163" s="14">
        <f>10000000+INDEX(编号表!$B:$B,MATCH(H2163,编号表!$A:$A,0))*100000+INDEX(编号表!$F:$F,MATCH(D2163,编号表!$E:$E,0))*10000+INDEX(编号表!$D:$D,MATCH(AG2163,编号表!$C:$C,0))*1000+F2163</f>
        <v>11924059</v>
      </c>
      <c r="C2163" s="14" t="s">
        <v>3555</v>
      </c>
      <c r="D2163" s="14" t="s">
        <v>112</v>
      </c>
      <c r="E2163" s="14" t="s">
        <v>92</v>
      </c>
      <c r="F2163" s="14">
        <v>59</v>
      </c>
      <c r="G2163" s="14">
        <v>60</v>
      </c>
      <c r="H2163" s="14" t="s">
        <v>1400</v>
      </c>
      <c r="I2163" s="14" t="s">
        <v>75</v>
      </c>
      <c r="J2163" s="14" t="s">
        <v>201</v>
      </c>
      <c r="K2163" s="14">
        <v>1</v>
      </c>
      <c r="L2163" s="14" t="s">
        <v>1400</v>
      </c>
      <c r="N2163" s="14">
        <v>0</v>
      </c>
      <c r="O2163" s="14" t="b">
        <v>1</v>
      </c>
      <c r="Q2163" s="14" t="b">
        <v>0</v>
      </c>
      <c r="R2163" s="14">
        <v>1</v>
      </c>
      <c r="S2163" s="14" t="s">
        <v>77</v>
      </c>
      <c r="T2163" s="14">
        <v>999</v>
      </c>
      <c r="U2163" s="14" t="s">
        <v>1401</v>
      </c>
      <c r="V2163" s="14">
        <v>31924059</v>
      </c>
      <c r="X2163" s="14" t="s">
        <v>3558</v>
      </c>
      <c r="Y2163" s="14" t="s">
        <v>215</v>
      </c>
      <c r="Z2163" s="14">
        <v>20926</v>
      </c>
      <c r="AA2163" s="14" t="s">
        <v>3559</v>
      </c>
      <c r="AB2163" s="14">
        <v>40001</v>
      </c>
      <c r="AE2163" s="14" t="s">
        <v>1400</v>
      </c>
      <c r="AF2163" s="14" t="s">
        <v>1400</v>
      </c>
      <c r="AG2163" s="14" t="s">
        <v>92</v>
      </c>
    </row>
    <row r="2164" spans="2:33">
      <c r="B2164" s="14">
        <f>10000000+INDEX(编号表!$B:$B,MATCH(H2164,编号表!$A:$A,0))*100000+INDEX(编号表!$F:$F,MATCH(D2164,编号表!$E:$E,0))*10000+INDEX(编号表!$D:$D,MATCH(AG2164,编号表!$C:$C,0))*1000+F2164</f>
        <v>11934060</v>
      </c>
      <c r="C2164" s="14" t="s">
        <v>3555</v>
      </c>
      <c r="D2164" s="14" t="s">
        <v>276</v>
      </c>
      <c r="E2164" s="14" t="s">
        <v>92</v>
      </c>
      <c r="F2164" s="14">
        <v>60</v>
      </c>
      <c r="G2164" s="14">
        <v>60</v>
      </c>
      <c r="H2164" s="14" t="s">
        <v>1400</v>
      </c>
      <c r="I2164" s="14" t="s">
        <v>75</v>
      </c>
      <c r="J2164" s="14" t="s">
        <v>201</v>
      </c>
      <c r="K2164" s="14">
        <v>1</v>
      </c>
      <c r="L2164" s="14" t="s">
        <v>1400</v>
      </c>
      <c r="N2164" s="14">
        <v>0</v>
      </c>
      <c r="O2164" s="14" t="b">
        <v>1</v>
      </c>
      <c r="Q2164" s="14" t="b">
        <v>0</v>
      </c>
      <c r="R2164" s="14">
        <v>1</v>
      </c>
      <c r="S2164" s="14" t="s">
        <v>77</v>
      </c>
      <c r="T2164" s="14">
        <v>999</v>
      </c>
      <c r="U2164" s="14" t="s">
        <v>1401</v>
      </c>
      <c r="V2164" s="14">
        <v>31934060</v>
      </c>
      <c r="X2164" s="14" t="s">
        <v>3560</v>
      </c>
      <c r="Y2164" s="14" t="s">
        <v>215</v>
      </c>
      <c r="Z2164" s="14">
        <v>20927</v>
      </c>
      <c r="AA2164" s="14" t="s">
        <v>3561</v>
      </c>
      <c r="AB2164" s="14">
        <v>40001</v>
      </c>
      <c r="AE2164" s="14" t="s">
        <v>1400</v>
      </c>
      <c r="AF2164" s="14" t="s">
        <v>1400</v>
      </c>
      <c r="AG2164" s="14" t="s">
        <v>92</v>
      </c>
    </row>
    <row r="2165" spans="2:33">
      <c r="B2165" s="14">
        <f>10000000+INDEX(编号表!$B:$B,MATCH(H2165,编号表!$A:$A,0))*100000+INDEX(编号表!$F:$F,MATCH(D2165,编号表!$E:$E,0))*10000+INDEX(编号表!$D:$D,MATCH(AG2165,编号表!$C:$C,0))*1000+F2165</f>
        <v>11914059</v>
      </c>
      <c r="C2165" s="14" t="s">
        <v>3562</v>
      </c>
      <c r="D2165" s="14" t="s">
        <v>72</v>
      </c>
      <c r="E2165" s="14" t="s">
        <v>92</v>
      </c>
      <c r="F2165" s="14">
        <v>59</v>
      </c>
      <c r="G2165" s="14">
        <v>60</v>
      </c>
      <c r="H2165" s="14" t="s">
        <v>1400</v>
      </c>
      <c r="I2165" s="14" t="s">
        <v>75</v>
      </c>
      <c r="J2165" s="14" t="s">
        <v>201</v>
      </c>
      <c r="K2165" s="14">
        <v>1</v>
      </c>
      <c r="L2165" s="14" t="s">
        <v>1400</v>
      </c>
      <c r="N2165" s="14">
        <v>0</v>
      </c>
      <c r="O2165" s="14" t="b">
        <v>1</v>
      </c>
      <c r="Q2165" s="14" t="b">
        <v>0</v>
      </c>
      <c r="R2165" s="14">
        <v>1</v>
      </c>
      <c r="S2165" s="14" t="s">
        <v>77</v>
      </c>
      <c r="T2165" s="14">
        <v>999</v>
      </c>
      <c r="U2165" s="14" t="s">
        <v>1401</v>
      </c>
      <c r="V2165" s="14">
        <v>31914059</v>
      </c>
      <c r="X2165" s="14" t="s">
        <v>3563</v>
      </c>
      <c r="Y2165" s="14" t="s">
        <v>215</v>
      </c>
      <c r="Z2165" s="14">
        <v>20928</v>
      </c>
      <c r="AA2165" s="14" t="s">
        <v>3564</v>
      </c>
      <c r="AB2165" s="14">
        <v>40001</v>
      </c>
      <c r="AE2165" s="14" t="s">
        <v>1400</v>
      </c>
      <c r="AF2165" s="14" t="s">
        <v>1400</v>
      </c>
      <c r="AG2165" s="14" t="s">
        <v>92</v>
      </c>
    </row>
    <row r="2166" spans="2:33">
      <c r="B2166" s="14">
        <f>10000000+INDEX(编号表!$B:$B,MATCH(H2166,编号表!$A:$A,0))*100000+INDEX(编号表!$F:$F,MATCH(D2166,编号表!$E:$E,0))*10000+INDEX(编号表!$D:$D,MATCH(AG2166,编号表!$C:$C,0))*1000+F2166</f>
        <v>11924060</v>
      </c>
      <c r="C2166" s="14" t="s">
        <v>3562</v>
      </c>
      <c r="D2166" s="14" t="s">
        <v>112</v>
      </c>
      <c r="E2166" s="14" t="s">
        <v>92</v>
      </c>
      <c r="F2166" s="14">
        <v>60</v>
      </c>
      <c r="G2166" s="14">
        <v>60</v>
      </c>
      <c r="H2166" s="14" t="s">
        <v>1400</v>
      </c>
      <c r="I2166" s="14" t="s">
        <v>75</v>
      </c>
      <c r="J2166" s="14" t="s">
        <v>201</v>
      </c>
      <c r="K2166" s="14">
        <v>1</v>
      </c>
      <c r="L2166" s="14" t="s">
        <v>1400</v>
      </c>
      <c r="N2166" s="14">
        <v>0</v>
      </c>
      <c r="O2166" s="14" t="b">
        <v>1</v>
      </c>
      <c r="Q2166" s="14" t="b">
        <v>0</v>
      </c>
      <c r="R2166" s="14">
        <v>1</v>
      </c>
      <c r="S2166" s="14" t="s">
        <v>77</v>
      </c>
      <c r="T2166" s="14">
        <v>999</v>
      </c>
      <c r="U2166" s="14" t="s">
        <v>1401</v>
      </c>
      <c r="V2166" s="14">
        <v>31924060</v>
      </c>
      <c r="X2166" s="14" t="s">
        <v>3565</v>
      </c>
      <c r="Y2166" s="14" t="s">
        <v>215</v>
      </c>
      <c r="Z2166" s="14">
        <v>20929</v>
      </c>
      <c r="AA2166" s="14" t="s">
        <v>3566</v>
      </c>
      <c r="AB2166" s="14">
        <v>40001</v>
      </c>
      <c r="AE2166" s="14" t="s">
        <v>1400</v>
      </c>
      <c r="AF2166" s="14" t="s">
        <v>1400</v>
      </c>
      <c r="AG2166" s="14" t="s">
        <v>92</v>
      </c>
    </row>
    <row r="2167" spans="2:33">
      <c r="B2167" s="14">
        <f>10000000+INDEX(编号表!$B:$B,MATCH(H2167,编号表!$A:$A,0))*100000+INDEX(编号表!$F:$F,MATCH(D2167,编号表!$E:$E,0))*10000+INDEX(编号表!$D:$D,MATCH(AG2167,编号表!$C:$C,0))*1000+F2167</f>
        <v>11934061</v>
      </c>
      <c r="C2167" s="14" t="s">
        <v>3562</v>
      </c>
      <c r="D2167" s="14" t="s">
        <v>276</v>
      </c>
      <c r="E2167" s="14" t="s">
        <v>92</v>
      </c>
      <c r="F2167" s="14">
        <v>61</v>
      </c>
      <c r="G2167" s="14">
        <v>60</v>
      </c>
      <c r="H2167" s="14" t="s">
        <v>1400</v>
      </c>
      <c r="I2167" s="14" t="s">
        <v>75</v>
      </c>
      <c r="J2167" s="14" t="s">
        <v>201</v>
      </c>
      <c r="K2167" s="14">
        <v>1</v>
      </c>
      <c r="L2167" s="14" t="s">
        <v>1400</v>
      </c>
      <c r="N2167" s="14">
        <v>0</v>
      </c>
      <c r="O2167" s="14" t="b">
        <v>1</v>
      </c>
      <c r="Q2167" s="14" t="b">
        <v>0</v>
      </c>
      <c r="R2167" s="14">
        <v>1</v>
      </c>
      <c r="S2167" s="14" t="s">
        <v>77</v>
      </c>
      <c r="T2167" s="14">
        <v>999</v>
      </c>
      <c r="U2167" s="14" t="s">
        <v>1401</v>
      </c>
      <c r="V2167" s="14">
        <v>31934061</v>
      </c>
      <c r="X2167" s="14" t="s">
        <v>3567</v>
      </c>
      <c r="Y2167" s="14" t="s">
        <v>215</v>
      </c>
      <c r="Z2167" s="14">
        <v>20930</v>
      </c>
      <c r="AA2167" s="14" t="s">
        <v>3568</v>
      </c>
      <c r="AB2167" s="14">
        <v>40001</v>
      </c>
      <c r="AE2167" s="14" t="s">
        <v>1400</v>
      </c>
      <c r="AF2167" s="14" t="s">
        <v>1400</v>
      </c>
      <c r="AG2167" s="14" t="s">
        <v>92</v>
      </c>
    </row>
    <row r="2168" spans="2:33">
      <c r="B2168" s="14">
        <f>10000000+INDEX(编号表!$B:$B,MATCH(H2168,编号表!$A:$A,0))*100000+INDEX(编号表!$F:$F,MATCH(D2168,编号表!$E:$E,0))*10000+INDEX(编号表!$D:$D,MATCH(AG2168,编号表!$C:$C,0))*1000+F2168</f>
        <v>11914060</v>
      </c>
      <c r="C2168" s="14" t="s">
        <v>3569</v>
      </c>
      <c r="D2168" s="14" t="s">
        <v>72</v>
      </c>
      <c r="E2168" s="14" t="s">
        <v>92</v>
      </c>
      <c r="F2168" s="14">
        <v>60</v>
      </c>
      <c r="G2168" s="14">
        <v>60</v>
      </c>
      <c r="H2168" s="14" t="s">
        <v>1400</v>
      </c>
      <c r="I2168" s="14" t="s">
        <v>75</v>
      </c>
      <c r="J2168" s="14" t="s">
        <v>201</v>
      </c>
      <c r="K2168" s="14">
        <v>1</v>
      </c>
      <c r="L2168" s="14" t="s">
        <v>1400</v>
      </c>
      <c r="N2168" s="14">
        <v>0</v>
      </c>
      <c r="O2168" s="14" t="b">
        <v>1</v>
      </c>
      <c r="Q2168" s="14" t="b">
        <v>0</v>
      </c>
      <c r="R2168" s="14">
        <v>1</v>
      </c>
      <c r="S2168" s="14" t="s">
        <v>77</v>
      </c>
      <c r="T2168" s="14">
        <v>999</v>
      </c>
      <c r="U2168" s="14" t="s">
        <v>1401</v>
      </c>
      <c r="V2168" s="14">
        <v>31914060</v>
      </c>
      <c r="X2168" s="14" t="s">
        <v>3570</v>
      </c>
      <c r="Y2168" s="14" t="s">
        <v>215</v>
      </c>
      <c r="Z2168" s="14">
        <v>20931</v>
      </c>
      <c r="AA2168" s="14" t="s">
        <v>3571</v>
      </c>
      <c r="AB2168" s="14">
        <v>40001</v>
      </c>
      <c r="AE2168" s="14" t="s">
        <v>1400</v>
      </c>
      <c r="AF2168" s="14" t="s">
        <v>1400</v>
      </c>
      <c r="AG2168" s="14" t="s">
        <v>92</v>
      </c>
    </row>
    <row r="2169" spans="2:33">
      <c r="B2169" s="14">
        <f>10000000+INDEX(编号表!$B:$B,MATCH(H2169,编号表!$A:$A,0))*100000+INDEX(编号表!$F:$F,MATCH(D2169,编号表!$E:$E,0))*10000+INDEX(编号表!$D:$D,MATCH(AG2169,编号表!$C:$C,0))*1000+F2169</f>
        <v>11924061</v>
      </c>
      <c r="C2169" s="14" t="s">
        <v>3569</v>
      </c>
      <c r="D2169" s="14" t="s">
        <v>112</v>
      </c>
      <c r="E2169" s="14" t="s">
        <v>92</v>
      </c>
      <c r="F2169" s="14">
        <v>61</v>
      </c>
      <c r="G2169" s="14">
        <v>60</v>
      </c>
      <c r="H2169" s="14" t="s">
        <v>1400</v>
      </c>
      <c r="I2169" s="14" t="s">
        <v>75</v>
      </c>
      <c r="J2169" s="14" t="s">
        <v>201</v>
      </c>
      <c r="K2169" s="14">
        <v>1</v>
      </c>
      <c r="L2169" s="14" t="s">
        <v>1400</v>
      </c>
      <c r="N2169" s="14">
        <v>0</v>
      </c>
      <c r="O2169" s="14" t="b">
        <v>1</v>
      </c>
      <c r="Q2169" s="14" t="b">
        <v>0</v>
      </c>
      <c r="R2169" s="14">
        <v>1</v>
      </c>
      <c r="S2169" s="14" t="s">
        <v>77</v>
      </c>
      <c r="T2169" s="14">
        <v>999</v>
      </c>
      <c r="U2169" s="14" t="s">
        <v>1401</v>
      </c>
      <c r="V2169" s="14">
        <v>31924061</v>
      </c>
      <c r="X2169" s="14" t="s">
        <v>3572</v>
      </c>
      <c r="Y2169" s="14" t="s">
        <v>215</v>
      </c>
      <c r="Z2169" s="14">
        <v>20932</v>
      </c>
      <c r="AA2169" s="14" t="s">
        <v>3573</v>
      </c>
      <c r="AB2169" s="14">
        <v>40001</v>
      </c>
      <c r="AE2169" s="14" t="s">
        <v>1400</v>
      </c>
      <c r="AF2169" s="14" t="s">
        <v>1400</v>
      </c>
      <c r="AG2169" s="14" t="s">
        <v>92</v>
      </c>
    </row>
    <row r="2170" spans="2:33">
      <c r="B2170" s="14">
        <f>10000000+INDEX(编号表!$B:$B,MATCH(H2170,编号表!$A:$A,0))*100000+INDEX(编号表!$F:$F,MATCH(D2170,编号表!$E:$E,0))*10000+INDEX(编号表!$D:$D,MATCH(AG2170,编号表!$C:$C,0))*1000+F2170</f>
        <v>11934062</v>
      </c>
      <c r="C2170" s="14" t="s">
        <v>3569</v>
      </c>
      <c r="D2170" s="14" t="s">
        <v>276</v>
      </c>
      <c r="E2170" s="14" t="s">
        <v>92</v>
      </c>
      <c r="F2170" s="14">
        <v>62</v>
      </c>
      <c r="G2170" s="14">
        <v>60</v>
      </c>
      <c r="H2170" s="14" t="s">
        <v>1400</v>
      </c>
      <c r="I2170" s="14" t="s">
        <v>75</v>
      </c>
      <c r="J2170" s="14" t="s">
        <v>201</v>
      </c>
      <c r="K2170" s="14">
        <v>1</v>
      </c>
      <c r="L2170" s="14" t="s">
        <v>1400</v>
      </c>
      <c r="N2170" s="14">
        <v>0</v>
      </c>
      <c r="O2170" s="14" t="b">
        <v>1</v>
      </c>
      <c r="Q2170" s="14" t="b">
        <v>0</v>
      </c>
      <c r="R2170" s="14">
        <v>1</v>
      </c>
      <c r="S2170" s="14" t="s">
        <v>77</v>
      </c>
      <c r="T2170" s="14">
        <v>999</v>
      </c>
      <c r="U2170" s="14" t="s">
        <v>1401</v>
      </c>
      <c r="V2170" s="14">
        <v>31934062</v>
      </c>
      <c r="X2170" s="14" t="s">
        <v>3574</v>
      </c>
      <c r="Y2170" s="14" t="s">
        <v>215</v>
      </c>
      <c r="Z2170" s="14">
        <v>20933</v>
      </c>
      <c r="AA2170" s="14" t="s">
        <v>3575</v>
      </c>
      <c r="AB2170" s="14">
        <v>40001</v>
      </c>
      <c r="AE2170" s="14" t="s">
        <v>1400</v>
      </c>
      <c r="AF2170" s="14" t="s">
        <v>1400</v>
      </c>
      <c r="AG2170" s="14" t="s">
        <v>92</v>
      </c>
    </row>
    <row r="2171" spans="2:33">
      <c r="B2171" s="14">
        <f>10000000+INDEX(编号表!$B:$B,MATCH(H2171,编号表!$A:$A,0))*100000+INDEX(编号表!$F:$F,MATCH(D2171,编号表!$E:$E,0))*10000+INDEX(编号表!$D:$D,MATCH(AG2171,编号表!$C:$C,0))*1000+F2171</f>
        <v>11914061</v>
      </c>
      <c r="C2171" s="14" t="s">
        <v>3576</v>
      </c>
      <c r="D2171" s="14" t="s">
        <v>72</v>
      </c>
      <c r="E2171" s="14" t="s">
        <v>92</v>
      </c>
      <c r="F2171" s="14">
        <v>61</v>
      </c>
      <c r="G2171" s="14">
        <v>60</v>
      </c>
      <c r="H2171" s="14" t="s">
        <v>1400</v>
      </c>
      <c r="I2171" s="14" t="s">
        <v>75</v>
      </c>
      <c r="J2171" s="14" t="s">
        <v>201</v>
      </c>
      <c r="K2171" s="14">
        <v>1</v>
      </c>
      <c r="L2171" s="14" t="s">
        <v>1400</v>
      </c>
      <c r="N2171" s="14">
        <v>0</v>
      </c>
      <c r="O2171" s="14" t="b">
        <v>1</v>
      </c>
      <c r="Q2171" s="14" t="b">
        <v>0</v>
      </c>
      <c r="R2171" s="14">
        <v>1</v>
      </c>
      <c r="S2171" s="14" t="s">
        <v>77</v>
      </c>
      <c r="T2171" s="14">
        <v>999</v>
      </c>
      <c r="U2171" s="14" t="s">
        <v>1401</v>
      </c>
      <c r="V2171" s="14">
        <v>31914061</v>
      </c>
      <c r="X2171" s="14" t="s">
        <v>3577</v>
      </c>
      <c r="Y2171" s="14" t="s">
        <v>215</v>
      </c>
      <c r="Z2171" s="14">
        <v>20934</v>
      </c>
      <c r="AA2171" s="14" t="s">
        <v>3578</v>
      </c>
      <c r="AB2171" s="14">
        <v>40001</v>
      </c>
      <c r="AE2171" s="14" t="s">
        <v>1400</v>
      </c>
      <c r="AF2171" s="14" t="s">
        <v>1400</v>
      </c>
      <c r="AG2171" s="14" t="s">
        <v>92</v>
      </c>
    </row>
    <row r="2172" spans="2:33">
      <c r="B2172" s="14">
        <f>10000000+INDEX(编号表!$B:$B,MATCH(H2172,编号表!$A:$A,0))*100000+INDEX(编号表!$F:$F,MATCH(D2172,编号表!$E:$E,0))*10000+INDEX(编号表!$D:$D,MATCH(AG2172,编号表!$C:$C,0))*1000+F2172</f>
        <v>11924062</v>
      </c>
      <c r="C2172" s="14" t="s">
        <v>3576</v>
      </c>
      <c r="D2172" s="14" t="s">
        <v>112</v>
      </c>
      <c r="E2172" s="14" t="s">
        <v>92</v>
      </c>
      <c r="F2172" s="14">
        <v>62</v>
      </c>
      <c r="G2172" s="14">
        <v>60</v>
      </c>
      <c r="H2172" s="14" t="s">
        <v>1400</v>
      </c>
      <c r="I2172" s="14" t="s">
        <v>75</v>
      </c>
      <c r="J2172" s="14" t="s">
        <v>201</v>
      </c>
      <c r="K2172" s="14">
        <v>1</v>
      </c>
      <c r="L2172" s="14" t="s">
        <v>1400</v>
      </c>
      <c r="N2172" s="14">
        <v>0</v>
      </c>
      <c r="O2172" s="14" t="b">
        <v>1</v>
      </c>
      <c r="Q2172" s="14" t="b">
        <v>0</v>
      </c>
      <c r="R2172" s="14">
        <v>1</v>
      </c>
      <c r="S2172" s="14" t="s">
        <v>77</v>
      </c>
      <c r="T2172" s="14">
        <v>999</v>
      </c>
      <c r="U2172" s="14" t="s">
        <v>1401</v>
      </c>
      <c r="V2172" s="14">
        <v>31924062</v>
      </c>
      <c r="X2172" s="14" t="s">
        <v>3579</v>
      </c>
      <c r="Y2172" s="14" t="s">
        <v>215</v>
      </c>
      <c r="Z2172" s="14">
        <v>20935</v>
      </c>
      <c r="AA2172" s="14" t="s">
        <v>3580</v>
      </c>
      <c r="AB2172" s="14">
        <v>40001</v>
      </c>
      <c r="AE2172" s="14" t="s">
        <v>1400</v>
      </c>
      <c r="AF2172" s="14" t="s">
        <v>1400</v>
      </c>
      <c r="AG2172" s="14" t="s">
        <v>92</v>
      </c>
    </row>
    <row r="2173" spans="2:33">
      <c r="B2173" s="14">
        <f>10000000+INDEX(编号表!$B:$B,MATCH(H2173,编号表!$A:$A,0))*100000+INDEX(编号表!$F:$F,MATCH(D2173,编号表!$E:$E,0))*10000+INDEX(编号表!$D:$D,MATCH(AG2173,编号表!$C:$C,0))*1000+F2173</f>
        <v>11934063</v>
      </c>
      <c r="C2173" s="14" t="s">
        <v>3576</v>
      </c>
      <c r="D2173" s="14" t="s">
        <v>276</v>
      </c>
      <c r="E2173" s="14" t="s">
        <v>92</v>
      </c>
      <c r="F2173" s="14">
        <v>63</v>
      </c>
      <c r="G2173" s="14">
        <v>60</v>
      </c>
      <c r="H2173" s="14" t="s">
        <v>1400</v>
      </c>
      <c r="I2173" s="14" t="s">
        <v>75</v>
      </c>
      <c r="J2173" s="14" t="s">
        <v>201</v>
      </c>
      <c r="K2173" s="14">
        <v>1</v>
      </c>
      <c r="L2173" s="14" t="s">
        <v>1400</v>
      </c>
      <c r="N2173" s="14">
        <v>0</v>
      </c>
      <c r="O2173" s="14" t="b">
        <v>1</v>
      </c>
      <c r="Q2173" s="14" t="b">
        <v>0</v>
      </c>
      <c r="R2173" s="14">
        <v>1</v>
      </c>
      <c r="S2173" s="14" t="s">
        <v>77</v>
      </c>
      <c r="T2173" s="14">
        <v>999</v>
      </c>
      <c r="U2173" s="14" t="s">
        <v>1401</v>
      </c>
      <c r="V2173" s="14">
        <v>31934063</v>
      </c>
      <c r="X2173" s="14" t="s">
        <v>3581</v>
      </c>
      <c r="Y2173" s="14" t="s">
        <v>215</v>
      </c>
      <c r="Z2173" s="14">
        <v>20936</v>
      </c>
      <c r="AA2173" s="14" t="s">
        <v>3582</v>
      </c>
      <c r="AB2173" s="14">
        <v>40001</v>
      </c>
      <c r="AE2173" s="14" t="s">
        <v>1400</v>
      </c>
      <c r="AF2173" s="14" t="s">
        <v>1400</v>
      </c>
      <c r="AG2173" s="14" t="s">
        <v>92</v>
      </c>
    </row>
    <row r="2174" spans="2:33">
      <c r="B2174" s="14">
        <f>10000000+INDEX(编号表!$B:$B,MATCH(H2174,编号表!$A:$A,0))*100000+INDEX(编号表!$F:$F,MATCH(D2174,编号表!$E:$E,0))*10000+INDEX(编号表!$D:$D,MATCH(AG2174,编号表!$C:$C,0))*1000+F2174</f>
        <v>11914062</v>
      </c>
      <c r="C2174" s="14" t="s">
        <v>3583</v>
      </c>
      <c r="D2174" s="14" t="s">
        <v>72</v>
      </c>
      <c r="E2174" s="14" t="s">
        <v>92</v>
      </c>
      <c r="F2174" s="14">
        <v>62</v>
      </c>
      <c r="G2174" s="14">
        <v>60</v>
      </c>
      <c r="H2174" s="14" t="s">
        <v>1400</v>
      </c>
      <c r="I2174" s="14" t="s">
        <v>75</v>
      </c>
      <c r="J2174" s="14" t="s">
        <v>201</v>
      </c>
      <c r="K2174" s="14">
        <v>1</v>
      </c>
      <c r="L2174" s="14" t="s">
        <v>1400</v>
      </c>
      <c r="N2174" s="14">
        <v>0</v>
      </c>
      <c r="O2174" s="14" t="b">
        <v>1</v>
      </c>
      <c r="Q2174" s="14" t="b">
        <v>0</v>
      </c>
      <c r="R2174" s="14">
        <v>1</v>
      </c>
      <c r="S2174" s="14" t="s">
        <v>77</v>
      </c>
      <c r="T2174" s="14">
        <v>999</v>
      </c>
      <c r="U2174" s="14" t="s">
        <v>1401</v>
      </c>
      <c r="V2174" s="14">
        <v>31914062</v>
      </c>
      <c r="X2174" s="14" t="s">
        <v>3584</v>
      </c>
      <c r="Y2174" s="14" t="s">
        <v>215</v>
      </c>
      <c r="Z2174" s="14">
        <v>20937</v>
      </c>
      <c r="AA2174" s="14" t="s">
        <v>3585</v>
      </c>
      <c r="AB2174" s="14">
        <v>40001</v>
      </c>
      <c r="AE2174" s="14" t="s">
        <v>1400</v>
      </c>
      <c r="AF2174" s="14" t="s">
        <v>1400</v>
      </c>
      <c r="AG2174" s="14" t="s">
        <v>92</v>
      </c>
    </row>
    <row r="2175" spans="2:33">
      <c r="B2175" s="14">
        <f>10000000+INDEX(编号表!$B:$B,MATCH(H2175,编号表!$A:$A,0))*100000+INDEX(编号表!$F:$F,MATCH(D2175,编号表!$E:$E,0))*10000+INDEX(编号表!$D:$D,MATCH(AG2175,编号表!$C:$C,0))*1000+F2175</f>
        <v>11924063</v>
      </c>
      <c r="C2175" s="14" t="s">
        <v>3583</v>
      </c>
      <c r="D2175" s="14" t="s">
        <v>112</v>
      </c>
      <c r="E2175" s="14" t="s">
        <v>92</v>
      </c>
      <c r="F2175" s="14">
        <v>63</v>
      </c>
      <c r="G2175" s="14">
        <v>60</v>
      </c>
      <c r="H2175" s="14" t="s">
        <v>1400</v>
      </c>
      <c r="I2175" s="14" t="s">
        <v>75</v>
      </c>
      <c r="J2175" s="14" t="s">
        <v>201</v>
      </c>
      <c r="K2175" s="14">
        <v>1</v>
      </c>
      <c r="L2175" s="14" t="s">
        <v>1400</v>
      </c>
      <c r="N2175" s="14">
        <v>0</v>
      </c>
      <c r="O2175" s="14" t="b">
        <v>1</v>
      </c>
      <c r="Q2175" s="14" t="b">
        <v>0</v>
      </c>
      <c r="R2175" s="14">
        <v>1</v>
      </c>
      <c r="S2175" s="14" t="s">
        <v>77</v>
      </c>
      <c r="T2175" s="14">
        <v>999</v>
      </c>
      <c r="U2175" s="14" t="s">
        <v>1401</v>
      </c>
      <c r="V2175" s="14">
        <v>31924063</v>
      </c>
      <c r="X2175" s="14" t="s">
        <v>3586</v>
      </c>
      <c r="Y2175" s="14" t="s">
        <v>215</v>
      </c>
      <c r="Z2175" s="14">
        <v>20938</v>
      </c>
      <c r="AA2175" s="14" t="s">
        <v>3587</v>
      </c>
      <c r="AB2175" s="14">
        <v>40001</v>
      </c>
      <c r="AE2175" s="14" t="s">
        <v>1400</v>
      </c>
      <c r="AF2175" s="14" t="s">
        <v>1400</v>
      </c>
      <c r="AG2175" s="14" t="s">
        <v>92</v>
      </c>
    </row>
    <row r="2176" spans="2:33">
      <c r="B2176" s="14">
        <f>10000000+INDEX(编号表!$B:$B,MATCH(H2176,编号表!$A:$A,0))*100000+INDEX(编号表!$F:$F,MATCH(D2176,编号表!$E:$E,0))*10000+INDEX(编号表!$D:$D,MATCH(AG2176,编号表!$C:$C,0))*1000+F2176</f>
        <v>11934064</v>
      </c>
      <c r="C2176" s="14" t="s">
        <v>3583</v>
      </c>
      <c r="D2176" s="14" t="s">
        <v>276</v>
      </c>
      <c r="E2176" s="14" t="s">
        <v>92</v>
      </c>
      <c r="F2176" s="14">
        <v>64</v>
      </c>
      <c r="G2176" s="14">
        <v>60</v>
      </c>
      <c r="H2176" s="14" t="s">
        <v>1400</v>
      </c>
      <c r="I2176" s="14" t="s">
        <v>75</v>
      </c>
      <c r="J2176" s="14" t="s">
        <v>201</v>
      </c>
      <c r="K2176" s="14">
        <v>1</v>
      </c>
      <c r="L2176" s="14" t="s">
        <v>1400</v>
      </c>
      <c r="N2176" s="14">
        <v>0</v>
      </c>
      <c r="O2176" s="14" t="b">
        <v>1</v>
      </c>
      <c r="Q2176" s="14" t="b">
        <v>0</v>
      </c>
      <c r="R2176" s="14">
        <v>1</v>
      </c>
      <c r="S2176" s="14" t="s">
        <v>77</v>
      </c>
      <c r="T2176" s="14">
        <v>999</v>
      </c>
      <c r="U2176" s="14" t="s">
        <v>1401</v>
      </c>
      <c r="V2176" s="14">
        <v>31934064</v>
      </c>
      <c r="X2176" s="14" t="s">
        <v>3588</v>
      </c>
      <c r="Y2176" s="14" t="s">
        <v>215</v>
      </c>
      <c r="Z2176" s="14">
        <v>20939</v>
      </c>
      <c r="AA2176" s="14" t="s">
        <v>3589</v>
      </c>
      <c r="AB2176" s="14">
        <v>40001</v>
      </c>
      <c r="AE2176" s="14" t="s">
        <v>1400</v>
      </c>
      <c r="AF2176" s="14" t="s">
        <v>1400</v>
      </c>
      <c r="AG2176" s="14" t="s">
        <v>92</v>
      </c>
    </row>
    <row r="2177" spans="2:33">
      <c r="B2177" s="14">
        <f>10000000+INDEX(编号表!$B:$B,MATCH(H2177,编号表!$A:$A,0))*100000+INDEX(编号表!$F:$F,MATCH(D2177,编号表!$E:$E,0))*10000+INDEX(编号表!$D:$D,MATCH(AG2177,编号表!$C:$C,0))*1000+F2177</f>
        <v>11914063</v>
      </c>
      <c r="C2177" s="14" t="s">
        <v>3590</v>
      </c>
      <c r="D2177" s="14" t="s">
        <v>72</v>
      </c>
      <c r="E2177" s="14" t="s">
        <v>92</v>
      </c>
      <c r="F2177" s="14">
        <v>63</v>
      </c>
      <c r="G2177" s="14">
        <v>60</v>
      </c>
      <c r="H2177" s="14" t="s">
        <v>1400</v>
      </c>
      <c r="I2177" s="14" t="s">
        <v>75</v>
      </c>
      <c r="J2177" s="14" t="s">
        <v>201</v>
      </c>
      <c r="K2177" s="14">
        <v>1</v>
      </c>
      <c r="L2177" s="14" t="s">
        <v>1400</v>
      </c>
      <c r="N2177" s="14">
        <v>0</v>
      </c>
      <c r="O2177" s="14" t="b">
        <v>1</v>
      </c>
      <c r="Q2177" s="14" t="b">
        <v>0</v>
      </c>
      <c r="R2177" s="14">
        <v>1</v>
      </c>
      <c r="S2177" s="14" t="s">
        <v>77</v>
      </c>
      <c r="T2177" s="14">
        <v>999</v>
      </c>
      <c r="U2177" s="14" t="s">
        <v>1401</v>
      </c>
      <c r="V2177" s="14">
        <v>31914063</v>
      </c>
      <c r="X2177" s="14" t="s">
        <v>3591</v>
      </c>
      <c r="Y2177" s="14" t="s">
        <v>215</v>
      </c>
      <c r="Z2177" s="14">
        <v>20940</v>
      </c>
      <c r="AA2177" s="14" t="s">
        <v>3592</v>
      </c>
      <c r="AB2177" s="14">
        <v>40001</v>
      </c>
      <c r="AE2177" s="14" t="s">
        <v>1400</v>
      </c>
      <c r="AF2177" s="14" t="s">
        <v>1400</v>
      </c>
      <c r="AG2177" s="14" t="s">
        <v>92</v>
      </c>
    </row>
    <row r="2178" spans="2:33">
      <c r="B2178" s="14">
        <f>10000000+INDEX(编号表!$B:$B,MATCH(H2178,编号表!$A:$A,0))*100000+INDEX(编号表!$F:$F,MATCH(D2178,编号表!$E:$E,0))*10000+INDEX(编号表!$D:$D,MATCH(AG2178,编号表!$C:$C,0))*1000+F2178</f>
        <v>11924064</v>
      </c>
      <c r="C2178" s="14" t="s">
        <v>3590</v>
      </c>
      <c r="D2178" s="14" t="s">
        <v>112</v>
      </c>
      <c r="E2178" s="14" t="s">
        <v>92</v>
      </c>
      <c r="F2178" s="14">
        <v>64</v>
      </c>
      <c r="G2178" s="14">
        <v>60</v>
      </c>
      <c r="H2178" s="14" t="s">
        <v>1400</v>
      </c>
      <c r="I2178" s="14" t="s">
        <v>75</v>
      </c>
      <c r="J2178" s="14" t="s">
        <v>201</v>
      </c>
      <c r="K2178" s="14">
        <v>1</v>
      </c>
      <c r="L2178" s="14" t="s">
        <v>1400</v>
      </c>
      <c r="N2178" s="14">
        <v>0</v>
      </c>
      <c r="O2178" s="14" t="b">
        <v>1</v>
      </c>
      <c r="Q2178" s="14" t="b">
        <v>0</v>
      </c>
      <c r="R2178" s="14">
        <v>1</v>
      </c>
      <c r="S2178" s="14" t="s">
        <v>77</v>
      </c>
      <c r="T2178" s="14">
        <v>999</v>
      </c>
      <c r="U2178" s="14" t="s">
        <v>1401</v>
      </c>
      <c r="V2178" s="14">
        <v>31924064</v>
      </c>
      <c r="X2178" s="14" t="s">
        <v>3593</v>
      </c>
      <c r="Y2178" s="14" t="s">
        <v>215</v>
      </c>
      <c r="Z2178" s="14">
        <v>20941</v>
      </c>
      <c r="AA2178" s="14" t="s">
        <v>3594</v>
      </c>
      <c r="AB2178" s="14">
        <v>40001</v>
      </c>
      <c r="AE2178" s="14" t="s">
        <v>1400</v>
      </c>
      <c r="AF2178" s="14" t="s">
        <v>1400</v>
      </c>
      <c r="AG2178" s="14" t="s">
        <v>92</v>
      </c>
    </row>
    <row r="2179" spans="2:33">
      <c r="B2179" s="14">
        <f>10000000+INDEX(编号表!$B:$B,MATCH(H2179,编号表!$A:$A,0))*100000+INDEX(编号表!$F:$F,MATCH(D2179,编号表!$E:$E,0))*10000+INDEX(编号表!$D:$D,MATCH(AG2179,编号表!$C:$C,0))*1000+F2179</f>
        <v>11934065</v>
      </c>
      <c r="C2179" s="14" t="s">
        <v>3590</v>
      </c>
      <c r="D2179" s="14" t="s">
        <v>276</v>
      </c>
      <c r="E2179" s="14" t="s">
        <v>92</v>
      </c>
      <c r="F2179" s="14">
        <v>65</v>
      </c>
      <c r="G2179" s="14">
        <v>60</v>
      </c>
      <c r="H2179" s="14" t="s">
        <v>1400</v>
      </c>
      <c r="I2179" s="14" t="s">
        <v>75</v>
      </c>
      <c r="J2179" s="14" t="s">
        <v>201</v>
      </c>
      <c r="K2179" s="14">
        <v>1</v>
      </c>
      <c r="L2179" s="14" t="s">
        <v>1400</v>
      </c>
      <c r="N2179" s="14">
        <v>0</v>
      </c>
      <c r="O2179" s="14" t="b">
        <v>1</v>
      </c>
      <c r="Q2179" s="14" t="b">
        <v>0</v>
      </c>
      <c r="R2179" s="14">
        <v>1</v>
      </c>
      <c r="S2179" s="14" t="s">
        <v>77</v>
      </c>
      <c r="T2179" s="14">
        <v>999</v>
      </c>
      <c r="U2179" s="14" t="s">
        <v>1401</v>
      </c>
      <c r="V2179" s="14">
        <v>31934065</v>
      </c>
      <c r="X2179" s="14" t="s">
        <v>3595</v>
      </c>
      <c r="Y2179" s="14" t="s">
        <v>215</v>
      </c>
      <c r="Z2179" s="14">
        <v>20942</v>
      </c>
      <c r="AA2179" s="14" t="s">
        <v>3596</v>
      </c>
      <c r="AB2179" s="14">
        <v>40001</v>
      </c>
      <c r="AE2179" s="14" t="s">
        <v>1400</v>
      </c>
      <c r="AF2179" s="14" t="s">
        <v>1400</v>
      </c>
      <c r="AG2179" s="14" t="s">
        <v>92</v>
      </c>
    </row>
    <row r="2180" spans="2:33">
      <c r="B2180" s="14">
        <f>10000000+INDEX(编号表!$B:$B,MATCH(H2180,编号表!$A:$A,0))*100000+INDEX(编号表!$F:$F,MATCH(D2180,编号表!$E:$E,0))*10000+INDEX(编号表!$D:$D,MATCH(AG2180,编号表!$C:$C,0))*1000+F2180</f>
        <v>11914064</v>
      </c>
      <c r="C2180" s="14" t="s">
        <v>3597</v>
      </c>
      <c r="D2180" s="14" t="s">
        <v>72</v>
      </c>
      <c r="E2180" s="14" t="s">
        <v>92</v>
      </c>
      <c r="F2180" s="14">
        <v>64</v>
      </c>
      <c r="G2180" s="14">
        <v>60</v>
      </c>
      <c r="H2180" s="14" t="s">
        <v>1400</v>
      </c>
      <c r="I2180" s="14" t="s">
        <v>75</v>
      </c>
      <c r="J2180" s="14" t="s">
        <v>201</v>
      </c>
      <c r="K2180" s="14">
        <v>1</v>
      </c>
      <c r="L2180" s="14" t="s">
        <v>1400</v>
      </c>
      <c r="N2180" s="14">
        <v>0</v>
      </c>
      <c r="O2180" s="14" t="b">
        <v>1</v>
      </c>
      <c r="Q2180" s="14" t="b">
        <v>0</v>
      </c>
      <c r="R2180" s="14">
        <v>1</v>
      </c>
      <c r="S2180" s="14" t="s">
        <v>77</v>
      </c>
      <c r="T2180" s="14">
        <v>999</v>
      </c>
      <c r="U2180" s="14" t="s">
        <v>1401</v>
      </c>
      <c r="V2180" s="14">
        <v>31914064</v>
      </c>
      <c r="X2180" s="14" t="s">
        <v>3598</v>
      </c>
      <c r="Y2180" s="14" t="s">
        <v>215</v>
      </c>
      <c r="Z2180" s="14">
        <v>20943</v>
      </c>
      <c r="AA2180" s="14" t="s">
        <v>3599</v>
      </c>
      <c r="AB2180" s="14">
        <v>40001</v>
      </c>
      <c r="AE2180" s="14" t="s">
        <v>1400</v>
      </c>
      <c r="AF2180" s="14" t="s">
        <v>1400</v>
      </c>
      <c r="AG2180" s="14" t="s">
        <v>92</v>
      </c>
    </row>
    <row r="2181" spans="2:33">
      <c r="B2181" s="14">
        <f>10000000+INDEX(编号表!$B:$B,MATCH(H2181,编号表!$A:$A,0))*100000+INDEX(编号表!$F:$F,MATCH(D2181,编号表!$E:$E,0))*10000+INDEX(编号表!$D:$D,MATCH(AG2181,编号表!$C:$C,0))*1000+F2181</f>
        <v>11924065</v>
      </c>
      <c r="C2181" s="14" t="s">
        <v>3597</v>
      </c>
      <c r="D2181" s="14" t="s">
        <v>112</v>
      </c>
      <c r="E2181" s="14" t="s">
        <v>92</v>
      </c>
      <c r="F2181" s="14">
        <v>65</v>
      </c>
      <c r="G2181" s="14">
        <v>60</v>
      </c>
      <c r="H2181" s="14" t="s">
        <v>1400</v>
      </c>
      <c r="I2181" s="14" t="s">
        <v>75</v>
      </c>
      <c r="J2181" s="14" t="s">
        <v>201</v>
      </c>
      <c r="K2181" s="14">
        <v>1</v>
      </c>
      <c r="L2181" s="14" t="s">
        <v>1400</v>
      </c>
      <c r="N2181" s="14">
        <v>0</v>
      </c>
      <c r="O2181" s="14" t="b">
        <v>1</v>
      </c>
      <c r="Q2181" s="14" t="b">
        <v>0</v>
      </c>
      <c r="R2181" s="14">
        <v>1</v>
      </c>
      <c r="S2181" s="14" t="s">
        <v>77</v>
      </c>
      <c r="T2181" s="14">
        <v>999</v>
      </c>
      <c r="U2181" s="14" t="s">
        <v>1401</v>
      </c>
      <c r="V2181" s="14">
        <v>31924065</v>
      </c>
      <c r="X2181" s="14" t="s">
        <v>3600</v>
      </c>
      <c r="Y2181" s="14" t="s">
        <v>215</v>
      </c>
      <c r="Z2181" s="14">
        <v>20944</v>
      </c>
      <c r="AA2181" s="14" t="s">
        <v>3601</v>
      </c>
      <c r="AB2181" s="14">
        <v>40001</v>
      </c>
      <c r="AE2181" s="14" t="s">
        <v>1400</v>
      </c>
      <c r="AF2181" s="14" t="s">
        <v>1400</v>
      </c>
      <c r="AG2181" s="14" t="s">
        <v>92</v>
      </c>
    </row>
    <row r="2182" spans="2:33">
      <c r="B2182" s="14">
        <f>10000000+INDEX(编号表!$B:$B,MATCH(H2182,编号表!$A:$A,0))*100000+INDEX(编号表!$F:$F,MATCH(D2182,编号表!$E:$E,0))*10000+INDEX(编号表!$D:$D,MATCH(AG2182,编号表!$C:$C,0))*1000+F2182</f>
        <v>11934066</v>
      </c>
      <c r="C2182" s="14" t="s">
        <v>3597</v>
      </c>
      <c r="D2182" s="14" t="s">
        <v>276</v>
      </c>
      <c r="E2182" s="14" t="s">
        <v>92</v>
      </c>
      <c r="F2182" s="14">
        <v>66</v>
      </c>
      <c r="G2182" s="14">
        <v>60</v>
      </c>
      <c r="H2182" s="14" t="s">
        <v>1400</v>
      </c>
      <c r="I2182" s="14" t="s">
        <v>75</v>
      </c>
      <c r="J2182" s="14" t="s">
        <v>201</v>
      </c>
      <c r="K2182" s="14">
        <v>1</v>
      </c>
      <c r="L2182" s="14" t="s">
        <v>1400</v>
      </c>
      <c r="N2182" s="14">
        <v>0</v>
      </c>
      <c r="O2182" s="14" t="b">
        <v>1</v>
      </c>
      <c r="Q2182" s="14" t="b">
        <v>0</v>
      </c>
      <c r="R2182" s="14">
        <v>1</v>
      </c>
      <c r="S2182" s="14" t="s">
        <v>77</v>
      </c>
      <c r="T2182" s="14">
        <v>999</v>
      </c>
      <c r="U2182" s="14" t="s">
        <v>1401</v>
      </c>
      <c r="V2182" s="14">
        <v>31934066</v>
      </c>
      <c r="X2182" s="14" t="s">
        <v>3602</v>
      </c>
      <c r="Y2182" s="14" t="s">
        <v>215</v>
      </c>
      <c r="Z2182" s="14">
        <v>20945</v>
      </c>
      <c r="AA2182" s="14" t="s">
        <v>3603</v>
      </c>
      <c r="AB2182" s="14">
        <v>40001</v>
      </c>
      <c r="AE2182" s="14" t="s">
        <v>1400</v>
      </c>
      <c r="AF2182" s="14" t="s">
        <v>1400</v>
      </c>
      <c r="AG2182" s="14" t="s">
        <v>92</v>
      </c>
    </row>
    <row r="2183" spans="2:33">
      <c r="B2183" s="14">
        <f>10000000+INDEX(编号表!$B:$B,MATCH(H2183,编号表!$A:$A,0))*100000+INDEX(编号表!$F:$F,MATCH(D2183,编号表!$E:$E,0))*10000+INDEX(编号表!$D:$D,MATCH(AG2183,编号表!$C:$C,0))*1000+F2183</f>
        <v>11914065</v>
      </c>
      <c r="C2183" s="14" t="s">
        <v>3604</v>
      </c>
      <c r="D2183" s="14" t="s">
        <v>72</v>
      </c>
      <c r="E2183" s="14" t="s">
        <v>92</v>
      </c>
      <c r="F2183" s="14">
        <v>65</v>
      </c>
      <c r="G2183" s="14">
        <v>60</v>
      </c>
      <c r="H2183" s="14" t="s">
        <v>1400</v>
      </c>
      <c r="I2183" s="14" t="s">
        <v>75</v>
      </c>
      <c r="J2183" s="14" t="s">
        <v>201</v>
      </c>
      <c r="K2183" s="14">
        <v>1</v>
      </c>
      <c r="L2183" s="14" t="s">
        <v>1400</v>
      </c>
      <c r="N2183" s="14">
        <v>0</v>
      </c>
      <c r="O2183" s="14" t="b">
        <v>1</v>
      </c>
      <c r="Q2183" s="14" t="b">
        <v>0</v>
      </c>
      <c r="R2183" s="14">
        <v>1</v>
      </c>
      <c r="S2183" s="14" t="s">
        <v>77</v>
      </c>
      <c r="T2183" s="14">
        <v>999</v>
      </c>
      <c r="U2183" s="14" t="s">
        <v>1401</v>
      </c>
      <c r="V2183" s="14">
        <v>31914065</v>
      </c>
      <c r="X2183" s="14" t="s">
        <v>3605</v>
      </c>
      <c r="Y2183" s="14" t="s">
        <v>215</v>
      </c>
      <c r="Z2183" s="14">
        <v>20946</v>
      </c>
      <c r="AA2183" s="14" t="s">
        <v>3606</v>
      </c>
      <c r="AB2183" s="14">
        <v>40001</v>
      </c>
      <c r="AE2183" s="14" t="s">
        <v>1400</v>
      </c>
      <c r="AF2183" s="14" t="s">
        <v>1400</v>
      </c>
      <c r="AG2183" s="14" t="s">
        <v>92</v>
      </c>
    </row>
    <row r="2184" spans="2:33">
      <c r="B2184" s="14">
        <f>10000000+INDEX(编号表!$B:$B,MATCH(H2184,编号表!$A:$A,0))*100000+INDEX(编号表!$F:$F,MATCH(D2184,编号表!$E:$E,0))*10000+INDEX(编号表!$D:$D,MATCH(AG2184,编号表!$C:$C,0))*1000+F2184</f>
        <v>11924066</v>
      </c>
      <c r="C2184" s="14" t="s">
        <v>3604</v>
      </c>
      <c r="D2184" s="14" t="s">
        <v>112</v>
      </c>
      <c r="E2184" s="14" t="s">
        <v>92</v>
      </c>
      <c r="F2184" s="14">
        <v>66</v>
      </c>
      <c r="G2184" s="14">
        <v>60</v>
      </c>
      <c r="H2184" s="14" t="s">
        <v>1400</v>
      </c>
      <c r="I2184" s="14" t="s">
        <v>75</v>
      </c>
      <c r="J2184" s="14" t="s">
        <v>201</v>
      </c>
      <c r="K2184" s="14">
        <v>1</v>
      </c>
      <c r="L2184" s="14" t="s">
        <v>1400</v>
      </c>
      <c r="N2184" s="14">
        <v>0</v>
      </c>
      <c r="O2184" s="14" t="b">
        <v>1</v>
      </c>
      <c r="Q2184" s="14" t="b">
        <v>0</v>
      </c>
      <c r="R2184" s="14">
        <v>1</v>
      </c>
      <c r="S2184" s="14" t="s">
        <v>77</v>
      </c>
      <c r="T2184" s="14">
        <v>999</v>
      </c>
      <c r="U2184" s="14" t="s">
        <v>1401</v>
      </c>
      <c r="V2184" s="14">
        <v>31924066</v>
      </c>
      <c r="X2184" s="14" t="s">
        <v>3607</v>
      </c>
      <c r="Y2184" s="14" t="s">
        <v>215</v>
      </c>
      <c r="Z2184" s="14">
        <v>20947</v>
      </c>
      <c r="AA2184" s="14" t="s">
        <v>3608</v>
      </c>
      <c r="AB2184" s="14">
        <v>40001</v>
      </c>
      <c r="AE2184" s="14" t="s">
        <v>1400</v>
      </c>
      <c r="AF2184" s="14" t="s">
        <v>1400</v>
      </c>
      <c r="AG2184" s="14" t="s">
        <v>92</v>
      </c>
    </row>
    <row r="2185" spans="2:33">
      <c r="B2185" s="14">
        <f>10000000+INDEX(编号表!$B:$B,MATCH(H2185,编号表!$A:$A,0))*100000+INDEX(编号表!$F:$F,MATCH(D2185,编号表!$E:$E,0))*10000+INDEX(编号表!$D:$D,MATCH(AG2185,编号表!$C:$C,0))*1000+F2185</f>
        <v>11934067</v>
      </c>
      <c r="C2185" s="14" t="s">
        <v>3604</v>
      </c>
      <c r="D2185" s="14" t="s">
        <v>276</v>
      </c>
      <c r="E2185" s="14" t="s">
        <v>92</v>
      </c>
      <c r="F2185" s="14">
        <v>67</v>
      </c>
      <c r="G2185" s="14">
        <v>60</v>
      </c>
      <c r="H2185" s="14" t="s">
        <v>1400</v>
      </c>
      <c r="I2185" s="14" t="s">
        <v>75</v>
      </c>
      <c r="J2185" s="14" t="s">
        <v>201</v>
      </c>
      <c r="K2185" s="14">
        <v>1</v>
      </c>
      <c r="L2185" s="14" t="s">
        <v>1400</v>
      </c>
      <c r="N2185" s="14">
        <v>0</v>
      </c>
      <c r="O2185" s="14" t="b">
        <v>1</v>
      </c>
      <c r="Q2185" s="14" t="b">
        <v>0</v>
      </c>
      <c r="R2185" s="14">
        <v>1</v>
      </c>
      <c r="S2185" s="14" t="s">
        <v>77</v>
      </c>
      <c r="T2185" s="14">
        <v>999</v>
      </c>
      <c r="U2185" s="14" t="s">
        <v>1401</v>
      </c>
      <c r="V2185" s="14">
        <v>31934067</v>
      </c>
      <c r="X2185" s="14" t="s">
        <v>3609</v>
      </c>
      <c r="Y2185" s="14" t="s">
        <v>215</v>
      </c>
      <c r="Z2185" s="14">
        <v>20948</v>
      </c>
      <c r="AA2185" s="14" t="s">
        <v>3610</v>
      </c>
      <c r="AB2185" s="14">
        <v>40001</v>
      </c>
      <c r="AE2185" s="14" t="s">
        <v>1400</v>
      </c>
      <c r="AF2185" s="14" t="s">
        <v>1400</v>
      </c>
      <c r="AG2185" s="14" t="s">
        <v>92</v>
      </c>
    </row>
    <row r="2186" spans="2:33">
      <c r="B2186" s="14">
        <f>10000000+INDEX(编号表!$B:$B,MATCH(H2186,编号表!$A:$A,0))*100000+INDEX(编号表!$F:$F,MATCH(D2186,编号表!$E:$E,0))*10000+INDEX(编号表!$D:$D,MATCH(AG2186,编号表!$C:$C,0))*1000+F2186</f>
        <v>11914066</v>
      </c>
      <c r="C2186" s="14" t="s">
        <v>3611</v>
      </c>
      <c r="D2186" s="14" t="s">
        <v>72</v>
      </c>
      <c r="E2186" s="14" t="s">
        <v>92</v>
      </c>
      <c r="F2186" s="14">
        <v>66</v>
      </c>
      <c r="G2186" s="14">
        <v>60</v>
      </c>
      <c r="H2186" s="14" t="s">
        <v>1400</v>
      </c>
      <c r="I2186" s="14" t="s">
        <v>75</v>
      </c>
      <c r="J2186" s="14" t="s">
        <v>201</v>
      </c>
      <c r="K2186" s="14">
        <v>1</v>
      </c>
      <c r="L2186" s="14" t="s">
        <v>1400</v>
      </c>
      <c r="N2186" s="14">
        <v>0</v>
      </c>
      <c r="O2186" s="14" t="b">
        <v>1</v>
      </c>
      <c r="Q2186" s="14" t="b">
        <v>0</v>
      </c>
      <c r="R2186" s="14">
        <v>1</v>
      </c>
      <c r="S2186" s="14" t="s">
        <v>77</v>
      </c>
      <c r="T2186" s="14">
        <v>999</v>
      </c>
      <c r="U2186" s="14" t="s">
        <v>1401</v>
      </c>
      <c r="V2186" s="14">
        <v>31914066</v>
      </c>
      <c r="X2186" s="14" t="s">
        <v>3612</v>
      </c>
      <c r="Y2186" s="14" t="s">
        <v>215</v>
      </c>
      <c r="Z2186" s="14">
        <v>20949</v>
      </c>
      <c r="AA2186" s="14" t="s">
        <v>3613</v>
      </c>
      <c r="AB2186" s="14">
        <v>40001</v>
      </c>
      <c r="AE2186" s="14" t="s">
        <v>1400</v>
      </c>
      <c r="AF2186" s="14" t="s">
        <v>1400</v>
      </c>
      <c r="AG2186" s="14" t="s">
        <v>92</v>
      </c>
    </row>
    <row r="2187" spans="2:33">
      <c r="B2187" s="14">
        <f>10000000+INDEX(编号表!$B:$B,MATCH(H2187,编号表!$A:$A,0))*100000+INDEX(编号表!$F:$F,MATCH(D2187,编号表!$E:$E,0))*10000+INDEX(编号表!$D:$D,MATCH(AG2187,编号表!$C:$C,0))*1000+F2187</f>
        <v>11924067</v>
      </c>
      <c r="C2187" s="14" t="s">
        <v>3611</v>
      </c>
      <c r="D2187" s="14" t="s">
        <v>112</v>
      </c>
      <c r="E2187" s="14" t="s">
        <v>92</v>
      </c>
      <c r="F2187" s="14">
        <v>67</v>
      </c>
      <c r="G2187" s="14">
        <v>60</v>
      </c>
      <c r="H2187" s="14" t="s">
        <v>1400</v>
      </c>
      <c r="I2187" s="14" t="s">
        <v>75</v>
      </c>
      <c r="J2187" s="14" t="s">
        <v>201</v>
      </c>
      <c r="K2187" s="14">
        <v>1</v>
      </c>
      <c r="L2187" s="14" t="s">
        <v>1400</v>
      </c>
      <c r="N2187" s="14">
        <v>0</v>
      </c>
      <c r="O2187" s="14" t="b">
        <v>1</v>
      </c>
      <c r="Q2187" s="14" t="b">
        <v>0</v>
      </c>
      <c r="R2187" s="14">
        <v>1</v>
      </c>
      <c r="S2187" s="14" t="s">
        <v>77</v>
      </c>
      <c r="T2187" s="14">
        <v>999</v>
      </c>
      <c r="U2187" s="14" t="s">
        <v>1401</v>
      </c>
      <c r="V2187" s="14">
        <v>31924067</v>
      </c>
      <c r="X2187" s="14" t="s">
        <v>3614</v>
      </c>
      <c r="Y2187" s="14" t="s">
        <v>215</v>
      </c>
      <c r="Z2187" s="14">
        <v>20950</v>
      </c>
      <c r="AA2187" s="14" t="s">
        <v>3615</v>
      </c>
      <c r="AB2187" s="14">
        <v>40001</v>
      </c>
      <c r="AE2187" s="14" t="s">
        <v>1400</v>
      </c>
      <c r="AF2187" s="14" t="s">
        <v>1400</v>
      </c>
      <c r="AG2187" s="14" t="s">
        <v>92</v>
      </c>
    </row>
    <row r="2188" spans="2:33">
      <c r="B2188" s="14">
        <f>10000000+INDEX(编号表!$B:$B,MATCH(H2188,编号表!$A:$A,0))*100000+INDEX(编号表!$F:$F,MATCH(D2188,编号表!$E:$E,0))*10000+INDEX(编号表!$D:$D,MATCH(AG2188,编号表!$C:$C,0))*1000+F2188</f>
        <v>11934068</v>
      </c>
      <c r="C2188" s="14" t="s">
        <v>3611</v>
      </c>
      <c r="D2188" s="14" t="s">
        <v>276</v>
      </c>
      <c r="E2188" s="14" t="s">
        <v>92</v>
      </c>
      <c r="F2188" s="14">
        <v>68</v>
      </c>
      <c r="G2188" s="14">
        <v>60</v>
      </c>
      <c r="H2188" s="14" t="s">
        <v>1400</v>
      </c>
      <c r="I2188" s="14" t="s">
        <v>75</v>
      </c>
      <c r="J2188" s="14" t="s">
        <v>201</v>
      </c>
      <c r="K2188" s="14">
        <v>1</v>
      </c>
      <c r="L2188" s="14" t="s">
        <v>1400</v>
      </c>
      <c r="N2188" s="14">
        <v>0</v>
      </c>
      <c r="O2188" s="14" t="b">
        <v>1</v>
      </c>
      <c r="Q2188" s="14" t="b">
        <v>0</v>
      </c>
      <c r="R2188" s="14">
        <v>1</v>
      </c>
      <c r="S2188" s="14" t="s">
        <v>77</v>
      </c>
      <c r="T2188" s="14">
        <v>999</v>
      </c>
      <c r="U2188" s="14" t="s">
        <v>1401</v>
      </c>
      <c r="V2188" s="14">
        <v>31934068</v>
      </c>
      <c r="X2188" s="14" t="s">
        <v>3616</v>
      </c>
      <c r="Y2188" s="14" t="s">
        <v>215</v>
      </c>
      <c r="Z2188" s="14">
        <v>20951</v>
      </c>
      <c r="AA2188" s="14" t="s">
        <v>3617</v>
      </c>
      <c r="AB2188" s="14">
        <v>40001</v>
      </c>
      <c r="AE2188" s="14" t="s">
        <v>1400</v>
      </c>
      <c r="AF2188" s="14" t="s">
        <v>1400</v>
      </c>
      <c r="AG2188" s="14" t="s">
        <v>92</v>
      </c>
    </row>
    <row r="2189" spans="2:33">
      <c r="B2189" s="14">
        <f>10000000+INDEX(编号表!$B:$B,MATCH(H2189,编号表!$A:$A,0))*100000+INDEX(编号表!$F:$F,MATCH(D2189,编号表!$E:$E,0))*10000+INDEX(编号表!$D:$D,MATCH(AG2189,编号表!$C:$C,0))*1000+F2189</f>
        <v>11914067</v>
      </c>
      <c r="C2189" s="14" t="s">
        <v>3618</v>
      </c>
      <c r="D2189" s="14" t="s">
        <v>72</v>
      </c>
      <c r="E2189" s="14" t="s">
        <v>92</v>
      </c>
      <c r="F2189" s="14">
        <v>67</v>
      </c>
      <c r="G2189" s="14">
        <v>60</v>
      </c>
      <c r="H2189" s="14" t="s">
        <v>1400</v>
      </c>
      <c r="I2189" s="14" t="s">
        <v>75</v>
      </c>
      <c r="J2189" s="14" t="s">
        <v>201</v>
      </c>
      <c r="K2189" s="14">
        <v>1</v>
      </c>
      <c r="L2189" s="14" t="s">
        <v>1400</v>
      </c>
      <c r="N2189" s="14">
        <v>0</v>
      </c>
      <c r="O2189" s="14" t="b">
        <v>1</v>
      </c>
      <c r="Q2189" s="14" t="b">
        <v>0</v>
      </c>
      <c r="R2189" s="14">
        <v>1</v>
      </c>
      <c r="S2189" s="14" t="s">
        <v>77</v>
      </c>
      <c r="T2189" s="14">
        <v>999</v>
      </c>
      <c r="U2189" s="14" t="s">
        <v>1401</v>
      </c>
      <c r="V2189" s="14">
        <v>31914067</v>
      </c>
      <c r="X2189" s="14" t="s">
        <v>3619</v>
      </c>
      <c r="Y2189" s="14" t="s">
        <v>215</v>
      </c>
      <c r="Z2189" s="14">
        <v>20952</v>
      </c>
      <c r="AA2189" s="14" t="s">
        <v>3620</v>
      </c>
      <c r="AB2189" s="14">
        <v>40001</v>
      </c>
      <c r="AE2189" s="14" t="s">
        <v>1400</v>
      </c>
      <c r="AF2189" s="14" t="s">
        <v>1400</v>
      </c>
      <c r="AG2189" s="14" t="s">
        <v>92</v>
      </c>
    </row>
    <row r="2190" spans="2:33">
      <c r="B2190" s="14">
        <f>10000000+INDEX(编号表!$B:$B,MATCH(H2190,编号表!$A:$A,0))*100000+INDEX(编号表!$F:$F,MATCH(D2190,编号表!$E:$E,0))*10000+INDEX(编号表!$D:$D,MATCH(AG2190,编号表!$C:$C,0))*1000+F2190</f>
        <v>11924068</v>
      </c>
      <c r="C2190" s="14" t="s">
        <v>3618</v>
      </c>
      <c r="D2190" s="14" t="s">
        <v>112</v>
      </c>
      <c r="E2190" s="14" t="s">
        <v>92</v>
      </c>
      <c r="F2190" s="14">
        <v>68</v>
      </c>
      <c r="G2190" s="14">
        <v>60</v>
      </c>
      <c r="H2190" s="14" t="s">
        <v>1400</v>
      </c>
      <c r="I2190" s="14" t="s">
        <v>75</v>
      </c>
      <c r="J2190" s="14" t="s">
        <v>201</v>
      </c>
      <c r="K2190" s="14">
        <v>1</v>
      </c>
      <c r="L2190" s="14" t="s">
        <v>1400</v>
      </c>
      <c r="N2190" s="14">
        <v>0</v>
      </c>
      <c r="O2190" s="14" t="b">
        <v>1</v>
      </c>
      <c r="Q2190" s="14" t="b">
        <v>0</v>
      </c>
      <c r="R2190" s="14">
        <v>1</v>
      </c>
      <c r="S2190" s="14" t="s">
        <v>77</v>
      </c>
      <c r="T2190" s="14">
        <v>999</v>
      </c>
      <c r="U2190" s="14" t="s">
        <v>1401</v>
      </c>
      <c r="V2190" s="14">
        <v>31924068</v>
      </c>
      <c r="X2190" s="14" t="s">
        <v>3621</v>
      </c>
      <c r="Y2190" s="14" t="s">
        <v>215</v>
      </c>
      <c r="Z2190" s="14">
        <v>20953</v>
      </c>
      <c r="AA2190" s="14" t="s">
        <v>3622</v>
      </c>
      <c r="AB2190" s="14">
        <v>40001</v>
      </c>
      <c r="AE2190" s="14" t="s">
        <v>1400</v>
      </c>
      <c r="AF2190" s="14" t="s">
        <v>1400</v>
      </c>
      <c r="AG2190" s="14" t="s">
        <v>92</v>
      </c>
    </row>
    <row r="2191" spans="2:33">
      <c r="B2191" s="14">
        <f>10000000+INDEX(编号表!$B:$B,MATCH(H2191,编号表!$A:$A,0))*100000+INDEX(编号表!$F:$F,MATCH(D2191,编号表!$E:$E,0))*10000+INDEX(编号表!$D:$D,MATCH(AG2191,编号表!$C:$C,0))*1000+F2191</f>
        <v>11934069</v>
      </c>
      <c r="C2191" s="14" t="s">
        <v>3618</v>
      </c>
      <c r="D2191" s="14" t="s">
        <v>276</v>
      </c>
      <c r="E2191" s="14" t="s">
        <v>92</v>
      </c>
      <c r="F2191" s="14">
        <v>69</v>
      </c>
      <c r="G2191" s="14">
        <v>60</v>
      </c>
      <c r="H2191" s="14" t="s">
        <v>1400</v>
      </c>
      <c r="I2191" s="14" t="s">
        <v>75</v>
      </c>
      <c r="J2191" s="14" t="s">
        <v>201</v>
      </c>
      <c r="K2191" s="14">
        <v>1</v>
      </c>
      <c r="L2191" s="14" t="s">
        <v>1400</v>
      </c>
      <c r="N2191" s="14">
        <v>0</v>
      </c>
      <c r="O2191" s="14" t="b">
        <v>1</v>
      </c>
      <c r="Q2191" s="14" t="b">
        <v>0</v>
      </c>
      <c r="R2191" s="14">
        <v>1</v>
      </c>
      <c r="S2191" s="14" t="s">
        <v>77</v>
      </c>
      <c r="T2191" s="14">
        <v>999</v>
      </c>
      <c r="U2191" s="14" t="s">
        <v>1401</v>
      </c>
      <c r="V2191" s="14">
        <v>31934069</v>
      </c>
      <c r="X2191" s="14" t="s">
        <v>3623</v>
      </c>
      <c r="Y2191" s="14" t="s">
        <v>215</v>
      </c>
      <c r="Z2191" s="14">
        <v>20954</v>
      </c>
      <c r="AA2191" s="14" t="s">
        <v>3624</v>
      </c>
      <c r="AB2191" s="14">
        <v>40001</v>
      </c>
      <c r="AE2191" s="14" t="s">
        <v>1400</v>
      </c>
      <c r="AF2191" s="14" t="s">
        <v>1400</v>
      </c>
      <c r="AG2191" s="14" t="s">
        <v>92</v>
      </c>
    </row>
    <row r="2192" spans="2:33">
      <c r="B2192" s="14">
        <f>10000000+INDEX(编号表!$B:$B,MATCH(H2192,编号表!$A:$A,0))*100000+INDEX(编号表!$F:$F,MATCH(D2192,编号表!$E:$E,0))*10000+INDEX(编号表!$D:$D,MATCH(AG2192,编号表!$C:$C,0))*1000+F2192</f>
        <v>11914068</v>
      </c>
      <c r="C2192" s="14" t="s">
        <v>3625</v>
      </c>
      <c r="D2192" s="14" t="s">
        <v>72</v>
      </c>
      <c r="E2192" s="14" t="s">
        <v>92</v>
      </c>
      <c r="F2192" s="14">
        <v>68</v>
      </c>
      <c r="G2192" s="14">
        <v>60</v>
      </c>
      <c r="H2192" s="14" t="s">
        <v>1400</v>
      </c>
      <c r="I2192" s="14" t="s">
        <v>75</v>
      </c>
      <c r="J2192" s="14" t="s">
        <v>201</v>
      </c>
      <c r="K2192" s="14">
        <v>1</v>
      </c>
      <c r="L2192" s="14" t="s">
        <v>1400</v>
      </c>
      <c r="N2192" s="14">
        <v>0</v>
      </c>
      <c r="O2192" s="14" t="b">
        <v>1</v>
      </c>
      <c r="Q2192" s="14" t="b">
        <v>0</v>
      </c>
      <c r="R2192" s="14">
        <v>1</v>
      </c>
      <c r="S2192" s="14" t="s">
        <v>77</v>
      </c>
      <c r="T2192" s="14">
        <v>999</v>
      </c>
      <c r="U2192" s="14" t="s">
        <v>1401</v>
      </c>
      <c r="V2192" s="14">
        <v>31914068</v>
      </c>
      <c r="X2192" s="14" t="s">
        <v>3626</v>
      </c>
      <c r="Y2192" s="14" t="s">
        <v>215</v>
      </c>
      <c r="Z2192" s="14">
        <v>20955</v>
      </c>
      <c r="AA2192" s="14" t="s">
        <v>3627</v>
      </c>
      <c r="AB2192" s="14">
        <v>40001</v>
      </c>
      <c r="AE2192" s="14" t="s">
        <v>1400</v>
      </c>
      <c r="AF2192" s="14" t="s">
        <v>1400</v>
      </c>
      <c r="AG2192" s="14" t="s">
        <v>92</v>
      </c>
    </row>
    <row r="2193" spans="2:33">
      <c r="B2193" s="14">
        <f>10000000+INDEX(编号表!$B:$B,MATCH(H2193,编号表!$A:$A,0))*100000+INDEX(编号表!$F:$F,MATCH(D2193,编号表!$E:$E,0))*10000+INDEX(编号表!$D:$D,MATCH(AG2193,编号表!$C:$C,0))*1000+F2193</f>
        <v>11924069</v>
      </c>
      <c r="C2193" s="14" t="s">
        <v>3625</v>
      </c>
      <c r="D2193" s="14" t="s">
        <v>112</v>
      </c>
      <c r="E2193" s="14" t="s">
        <v>92</v>
      </c>
      <c r="F2193" s="14">
        <v>69</v>
      </c>
      <c r="G2193" s="14">
        <v>60</v>
      </c>
      <c r="H2193" s="14" t="s">
        <v>1400</v>
      </c>
      <c r="I2193" s="14" t="s">
        <v>75</v>
      </c>
      <c r="J2193" s="14" t="s">
        <v>201</v>
      </c>
      <c r="K2193" s="14">
        <v>1</v>
      </c>
      <c r="L2193" s="14" t="s">
        <v>1400</v>
      </c>
      <c r="N2193" s="14">
        <v>0</v>
      </c>
      <c r="O2193" s="14" t="b">
        <v>1</v>
      </c>
      <c r="Q2193" s="14" t="b">
        <v>0</v>
      </c>
      <c r="R2193" s="14">
        <v>1</v>
      </c>
      <c r="S2193" s="14" t="s">
        <v>77</v>
      </c>
      <c r="T2193" s="14">
        <v>999</v>
      </c>
      <c r="U2193" s="14" t="s">
        <v>1401</v>
      </c>
      <c r="V2193" s="14">
        <v>31924069</v>
      </c>
      <c r="X2193" s="14" t="s">
        <v>3628</v>
      </c>
      <c r="Y2193" s="14" t="s">
        <v>215</v>
      </c>
      <c r="Z2193" s="14">
        <v>20956</v>
      </c>
      <c r="AA2193" s="14" t="s">
        <v>3629</v>
      </c>
      <c r="AB2193" s="14">
        <v>40001</v>
      </c>
      <c r="AE2193" s="14" t="s">
        <v>1400</v>
      </c>
      <c r="AF2193" s="14" t="s">
        <v>1400</v>
      </c>
      <c r="AG2193" s="14" t="s">
        <v>92</v>
      </c>
    </row>
    <row r="2194" spans="2:33">
      <c r="B2194" s="14">
        <f>10000000+INDEX(编号表!$B:$B,MATCH(H2194,编号表!$A:$A,0))*100000+INDEX(编号表!$F:$F,MATCH(D2194,编号表!$E:$E,0))*10000+INDEX(编号表!$D:$D,MATCH(AG2194,编号表!$C:$C,0))*1000+F2194</f>
        <v>11934070</v>
      </c>
      <c r="C2194" s="14" t="s">
        <v>3625</v>
      </c>
      <c r="D2194" s="14" t="s">
        <v>276</v>
      </c>
      <c r="E2194" s="14" t="s">
        <v>92</v>
      </c>
      <c r="F2194" s="14">
        <v>70</v>
      </c>
      <c r="G2194" s="14">
        <v>60</v>
      </c>
      <c r="H2194" s="14" t="s">
        <v>1400</v>
      </c>
      <c r="I2194" s="14" t="s">
        <v>75</v>
      </c>
      <c r="J2194" s="14" t="s">
        <v>201</v>
      </c>
      <c r="K2194" s="14">
        <v>1</v>
      </c>
      <c r="L2194" s="14" t="s">
        <v>1400</v>
      </c>
      <c r="N2194" s="14">
        <v>0</v>
      </c>
      <c r="O2194" s="14" t="b">
        <v>1</v>
      </c>
      <c r="Q2194" s="14" t="b">
        <v>0</v>
      </c>
      <c r="R2194" s="14">
        <v>1</v>
      </c>
      <c r="S2194" s="14" t="s">
        <v>77</v>
      </c>
      <c r="T2194" s="14">
        <v>999</v>
      </c>
      <c r="U2194" s="14" t="s">
        <v>1401</v>
      </c>
      <c r="V2194" s="14">
        <v>31934070</v>
      </c>
      <c r="X2194" s="14" t="s">
        <v>3630</v>
      </c>
      <c r="Y2194" s="14" t="s">
        <v>215</v>
      </c>
      <c r="Z2194" s="14">
        <v>20957</v>
      </c>
      <c r="AA2194" s="14" t="s">
        <v>3631</v>
      </c>
      <c r="AB2194" s="14">
        <v>40001</v>
      </c>
      <c r="AE2194" s="14" t="s">
        <v>1400</v>
      </c>
      <c r="AF2194" s="14" t="s">
        <v>1400</v>
      </c>
      <c r="AG2194" s="14" t="s">
        <v>92</v>
      </c>
    </row>
    <row r="2195" spans="2:33">
      <c r="B2195" s="14">
        <f>10000000+INDEX(编号表!$B:$B,MATCH(H2195,编号表!$A:$A,0))*100000+INDEX(编号表!$F:$F,MATCH(D2195,编号表!$E:$E,0))*10000+INDEX(编号表!$D:$D,MATCH(AG2195,编号表!$C:$C,0))*1000+F2195</f>
        <v>11914069</v>
      </c>
      <c r="C2195" s="14" t="s">
        <v>3632</v>
      </c>
      <c r="D2195" s="14" t="s">
        <v>72</v>
      </c>
      <c r="E2195" s="14" t="s">
        <v>92</v>
      </c>
      <c r="F2195" s="14">
        <v>69</v>
      </c>
      <c r="G2195" s="14">
        <v>60</v>
      </c>
      <c r="H2195" s="14" t="s">
        <v>1400</v>
      </c>
      <c r="I2195" s="14" t="s">
        <v>75</v>
      </c>
      <c r="J2195" s="14" t="s">
        <v>201</v>
      </c>
      <c r="K2195" s="14">
        <v>1</v>
      </c>
      <c r="L2195" s="14" t="s">
        <v>1400</v>
      </c>
      <c r="N2195" s="14">
        <v>0</v>
      </c>
      <c r="O2195" s="14" t="b">
        <v>1</v>
      </c>
      <c r="Q2195" s="14" t="b">
        <v>0</v>
      </c>
      <c r="R2195" s="14">
        <v>1</v>
      </c>
      <c r="S2195" s="14" t="s">
        <v>77</v>
      </c>
      <c r="T2195" s="14">
        <v>999</v>
      </c>
      <c r="U2195" s="14" t="s">
        <v>1401</v>
      </c>
      <c r="V2195" s="14">
        <v>31914069</v>
      </c>
      <c r="X2195" s="14" t="s">
        <v>3633</v>
      </c>
      <c r="Y2195" s="14" t="s">
        <v>215</v>
      </c>
      <c r="Z2195" s="14">
        <v>20958</v>
      </c>
      <c r="AA2195" s="14" t="s">
        <v>3634</v>
      </c>
      <c r="AB2195" s="14">
        <v>40001</v>
      </c>
      <c r="AE2195" s="14" t="s">
        <v>1400</v>
      </c>
      <c r="AF2195" s="14" t="s">
        <v>1400</v>
      </c>
      <c r="AG2195" s="14" t="s">
        <v>92</v>
      </c>
    </row>
    <row r="2196" spans="2:33">
      <c r="B2196" s="14">
        <f>10000000+INDEX(编号表!$B:$B,MATCH(H2196,编号表!$A:$A,0))*100000+INDEX(编号表!$F:$F,MATCH(D2196,编号表!$E:$E,0))*10000+INDEX(编号表!$D:$D,MATCH(AG2196,编号表!$C:$C,0))*1000+F2196</f>
        <v>11924070</v>
      </c>
      <c r="C2196" s="14" t="s">
        <v>3632</v>
      </c>
      <c r="D2196" s="14" t="s">
        <v>112</v>
      </c>
      <c r="E2196" s="14" t="s">
        <v>92</v>
      </c>
      <c r="F2196" s="14">
        <v>70</v>
      </c>
      <c r="G2196" s="14">
        <v>60</v>
      </c>
      <c r="H2196" s="14" t="s">
        <v>1400</v>
      </c>
      <c r="I2196" s="14" t="s">
        <v>75</v>
      </c>
      <c r="J2196" s="14" t="s">
        <v>201</v>
      </c>
      <c r="K2196" s="14">
        <v>1</v>
      </c>
      <c r="L2196" s="14" t="s">
        <v>1400</v>
      </c>
      <c r="N2196" s="14">
        <v>0</v>
      </c>
      <c r="O2196" s="14" t="b">
        <v>1</v>
      </c>
      <c r="Q2196" s="14" t="b">
        <v>0</v>
      </c>
      <c r="R2196" s="14">
        <v>1</v>
      </c>
      <c r="S2196" s="14" t="s">
        <v>77</v>
      </c>
      <c r="T2196" s="14">
        <v>999</v>
      </c>
      <c r="U2196" s="14" t="s">
        <v>1401</v>
      </c>
      <c r="V2196" s="14">
        <v>31924070</v>
      </c>
      <c r="X2196" s="14" t="s">
        <v>3635</v>
      </c>
      <c r="Y2196" s="14" t="s">
        <v>215</v>
      </c>
      <c r="Z2196" s="14">
        <v>20959</v>
      </c>
      <c r="AA2196" s="14" t="s">
        <v>3636</v>
      </c>
      <c r="AB2196" s="14">
        <v>40001</v>
      </c>
      <c r="AE2196" s="14" t="s">
        <v>1400</v>
      </c>
      <c r="AF2196" s="14" t="s">
        <v>1400</v>
      </c>
      <c r="AG2196" s="14" t="s">
        <v>92</v>
      </c>
    </row>
    <row r="2197" spans="2:33">
      <c r="B2197" s="14">
        <f>10000000+INDEX(编号表!$B:$B,MATCH(H2197,编号表!$A:$A,0))*100000+INDEX(编号表!$F:$F,MATCH(D2197,编号表!$E:$E,0))*10000+INDEX(编号表!$D:$D,MATCH(AG2197,编号表!$C:$C,0))*1000+F2197</f>
        <v>11934071</v>
      </c>
      <c r="C2197" s="14" t="s">
        <v>3632</v>
      </c>
      <c r="D2197" s="14" t="s">
        <v>276</v>
      </c>
      <c r="E2197" s="14" t="s">
        <v>92</v>
      </c>
      <c r="F2197" s="14">
        <v>71</v>
      </c>
      <c r="G2197" s="14">
        <v>60</v>
      </c>
      <c r="H2197" s="14" t="s">
        <v>1400</v>
      </c>
      <c r="I2197" s="14" t="s">
        <v>75</v>
      </c>
      <c r="J2197" s="14" t="s">
        <v>201</v>
      </c>
      <c r="K2197" s="14">
        <v>1</v>
      </c>
      <c r="L2197" s="14" t="s">
        <v>1400</v>
      </c>
      <c r="N2197" s="14">
        <v>0</v>
      </c>
      <c r="O2197" s="14" t="b">
        <v>1</v>
      </c>
      <c r="Q2197" s="14" t="b">
        <v>0</v>
      </c>
      <c r="R2197" s="14">
        <v>1</v>
      </c>
      <c r="S2197" s="14" t="s">
        <v>77</v>
      </c>
      <c r="T2197" s="14">
        <v>999</v>
      </c>
      <c r="U2197" s="14" t="s">
        <v>1401</v>
      </c>
      <c r="V2197" s="14">
        <v>31934071</v>
      </c>
      <c r="X2197" s="14" t="s">
        <v>3637</v>
      </c>
      <c r="Y2197" s="14" t="s">
        <v>215</v>
      </c>
      <c r="Z2197" s="14">
        <v>20960</v>
      </c>
      <c r="AA2197" s="14" t="s">
        <v>3638</v>
      </c>
      <c r="AB2197" s="14">
        <v>40001</v>
      </c>
      <c r="AE2197" s="14" t="s">
        <v>1400</v>
      </c>
      <c r="AF2197" s="14" t="s">
        <v>1400</v>
      </c>
      <c r="AG2197" s="14" t="s">
        <v>92</v>
      </c>
    </row>
    <row r="2198" spans="2:33">
      <c r="B2198" s="14">
        <f>10000000+INDEX(编号表!$B:$B,MATCH(H2198,编号表!$A:$A,0))*100000+INDEX(编号表!$F:$F,MATCH(D2198,编号表!$E:$E,0))*10000+INDEX(编号表!$D:$D,MATCH(AG2198,编号表!$C:$C,0))*1000+F2198</f>
        <v>11914070</v>
      </c>
      <c r="C2198" s="14" t="s">
        <v>3639</v>
      </c>
      <c r="D2198" s="14" t="s">
        <v>72</v>
      </c>
      <c r="E2198" s="14" t="s">
        <v>92</v>
      </c>
      <c r="F2198" s="14">
        <v>70</v>
      </c>
      <c r="G2198" s="14">
        <v>60</v>
      </c>
      <c r="H2198" s="14" t="s">
        <v>1400</v>
      </c>
      <c r="I2198" s="14" t="s">
        <v>75</v>
      </c>
      <c r="J2198" s="14" t="s">
        <v>201</v>
      </c>
      <c r="K2198" s="14">
        <v>1</v>
      </c>
      <c r="L2198" s="14" t="s">
        <v>1400</v>
      </c>
      <c r="N2198" s="14">
        <v>0</v>
      </c>
      <c r="O2198" s="14" t="b">
        <v>1</v>
      </c>
      <c r="Q2198" s="14" t="b">
        <v>0</v>
      </c>
      <c r="R2198" s="14">
        <v>1</v>
      </c>
      <c r="S2198" s="14" t="s">
        <v>77</v>
      </c>
      <c r="T2198" s="14">
        <v>999</v>
      </c>
      <c r="U2198" s="14" t="s">
        <v>1401</v>
      </c>
      <c r="V2198" s="14">
        <v>31914070</v>
      </c>
      <c r="X2198" s="14" t="s">
        <v>3640</v>
      </c>
      <c r="Y2198" s="14" t="s">
        <v>215</v>
      </c>
      <c r="Z2198" s="14">
        <v>20961</v>
      </c>
      <c r="AA2198" s="14" t="s">
        <v>3641</v>
      </c>
      <c r="AB2198" s="14">
        <v>40001</v>
      </c>
      <c r="AE2198" s="14" t="s">
        <v>1400</v>
      </c>
      <c r="AF2198" s="14" t="s">
        <v>1400</v>
      </c>
      <c r="AG2198" s="14" t="s">
        <v>92</v>
      </c>
    </row>
    <row r="2199" spans="2:33">
      <c r="B2199" s="14">
        <f>10000000+INDEX(编号表!$B:$B,MATCH(H2199,编号表!$A:$A,0))*100000+INDEX(编号表!$F:$F,MATCH(D2199,编号表!$E:$E,0))*10000+INDEX(编号表!$D:$D,MATCH(AG2199,编号表!$C:$C,0))*1000+F2199</f>
        <v>11924071</v>
      </c>
      <c r="C2199" s="14" t="s">
        <v>3639</v>
      </c>
      <c r="D2199" s="14" t="s">
        <v>112</v>
      </c>
      <c r="E2199" s="14" t="s">
        <v>92</v>
      </c>
      <c r="F2199" s="14">
        <v>71</v>
      </c>
      <c r="G2199" s="14">
        <v>60</v>
      </c>
      <c r="H2199" s="14" t="s">
        <v>1400</v>
      </c>
      <c r="I2199" s="14" t="s">
        <v>75</v>
      </c>
      <c r="J2199" s="14" t="s">
        <v>201</v>
      </c>
      <c r="K2199" s="14">
        <v>1</v>
      </c>
      <c r="L2199" s="14" t="s">
        <v>1400</v>
      </c>
      <c r="N2199" s="14">
        <v>0</v>
      </c>
      <c r="O2199" s="14" t="b">
        <v>1</v>
      </c>
      <c r="Q2199" s="14" t="b">
        <v>0</v>
      </c>
      <c r="R2199" s="14">
        <v>1</v>
      </c>
      <c r="S2199" s="14" t="s">
        <v>77</v>
      </c>
      <c r="T2199" s="14">
        <v>999</v>
      </c>
      <c r="U2199" s="14" t="s">
        <v>1401</v>
      </c>
      <c r="V2199" s="14">
        <v>31924071</v>
      </c>
      <c r="X2199" s="14" t="s">
        <v>3642</v>
      </c>
      <c r="Y2199" s="14" t="s">
        <v>215</v>
      </c>
      <c r="Z2199" s="14">
        <v>20962</v>
      </c>
      <c r="AA2199" s="14" t="s">
        <v>3643</v>
      </c>
      <c r="AB2199" s="14">
        <v>40001</v>
      </c>
      <c r="AE2199" s="14" t="s">
        <v>1400</v>
      </c>
      <c r="AF2199" s="14" t="s">
        <v>1400</v>
      </c>
      <c r="AG2199" s="14" t="s">
        <v>92</v>
      </c>
    </row>
    <row r="2200" spans="2:33">
      <c r="B2200" s="14">
        <f>10000000+INDEX(编号表!$B:$B,MATCH(H2200,编号表!$A:$A,0))*100000+INDEX(编号表!$F:$F,MATCH(D2200,编号表!$E:$E,0))*10000+INDEX(编号表!$D:$D,MATCH(AG2200,编号表!$C:$C,0))*1000+F2200</f>
        <v>11934072</v>
      </c>
      <c r="C2200" s="14" t="s">
        <v>3639</v>
      </c>
      <c r="D2200" s="14" t="s">
        <v>276</v>
      </c>
      <c r="E2200" s="14" t="s">
        <v>92</v>
      </c>
      <c r="F2200" s="14">
        <v>72</v>
      </c>
      <c r="G2200" s="14">
        <v>60</v>
      </c>
      <c r="H2200" s="14" t="s">
        <v>1400</v>
      </c>
      <c r="I2200" s="14" t="s">
        <v>75</v>
      </c>
      <c r="J2200" s="14" t="s">
        <v>201</v>
      </c>
      <c r="K2200" s="14">
        <v>1</v>
      </c>
      <c r="L2200" s="14" t="s">
        <v>1400</v>
      </c>
      <c r="N2200" s="14">
        <v>0</v>
      </c>
      <c r="O2200" s="14" t="b">
        <v>1</v>
      </c>
      <c r="Q2200" s="14" t="b">
        <v>0</v>
      </c>
      <c r="R2200" s="14">
        <v>1</v>
      </c>
      <c r="S2200" s="14" t="s">
        <v>77</v>
      </c>
      <c r="T2200" s="14">
        <v>999</v>
      </c>
      <c r="U2200" s="14" t="s">
        <v>1401</v>
      </c>
      <c r="V2200" s="14">
        <v>31934072</v>
      </c>
      <c r="X2200" s="14" t="s">
        <v>3644</v>
      </c>
      <c r="Y2200" s="14" t="s">
        <v>215</v>
      </c>
      <c r="Z2200" s="14">
        <v>20963</v>
      </c>
      <c r="AA2200" s="14" t="s">
        <v>3645</v>
      </c>
      <c r="AB2200" s="14">
        <v>40001</v>
      </c>
      <c r="AE2200" s="14" t="s">
        <v>1400</v>
      </c>
      <c r="AF2200" s="14" t="s">
        <v>1400</v>
      </c>
      <c r="AG2200" s="14" t="s">
        <v>92</v>
      </c>
    </row>
    <row r="2201" spans="2:33">
      <c r="B2201" s="14">
        <f>10000000+INDEX(编号表!$B:$B,MATCH(H2201,编号表!$A:$A,0))*100000+INDEX(编号表!$F:$F,MATCH(D2201,编号表!$E:$E,0))*10000+INDEX(编号表!$D:$D,MATCH(AG2201,编号表!$C:$C,0))*1000+F2201</f>
        <v>11914071</v>
      </c>
      <c r="C2201" s="14" t="s">
        <v>3646</v>
      </c>
      <c r="D2201" s="14" t="s">
        <v>72</v>
      </c>
      <c r="E2201" s="14" t="s">
        <v>92</v>
      </c>
      <c r="F2201" s="14">
        <v>71</v>
      </c>
      <c r="G2201" s="14">
        <v>60</v>
      </c>
      <c r="H2201" s="14" t="s">
        <v>1400</v>
      </c>
      <c r="I2201" s="14" t="s">
        <v>75</v>
      </c>
      <c r="J2201" s="14" t="s">
        <v>201</v>
      </c>
      <c r="K2201" s="14">
        <v>1</v>
      </c>
      <c r="L2201" s="14" t="s">
        <v>1400</v>
      </c>
      <c r="N2201" s="14">
        <v>0</v>
      </c>
      <c r="O2201" s="14" t="b">
        <v>1</v>
      </c>
      <c r="Q2201" s="14" t="b">
        <v>0</v>
      </c>
      <c r="R2201" s="14">
        <v>1</v>
      </c>
      <c r="S2201" s="14" t="s">
        <v>77</v>
      </c>
      <c r="T2201" s="14">
        <v>999</v>
      </c>
      <c r="U2201" s="14" t="s">
        <v>1401</v>
      </c>
      <c r="V2201" s="14">
        <v>31914071</v>
      </c>
      <c r="X2201" s="14" t="s">
        <v>3647</v>
      </c>
      <c r="Y2201" s="14" t="s">
        <v>215</v>
      </c>
      <c r="Z2201" s="14">
        <v>20964</v>
      </c>
      <c r="AA2201" s="14" t="s">
        <v>3648</v>
      </c>
      <c r="AB2201" s="14">
        <v>40001</v>
      </c>
      <c r="AE2201" s="14" t="s">
        <v>1400</v>
      </c>
      <c r="AF2201" s="14" t="s">
        <v>1400</v>
      </c>
      <c r="AG2201" s="14" t="s">
        <v>92</v>
      </c>
    </row>
    <row r="2202" spans="2:33">
      <c r="B2202" s="14">
        <f>10000000+INDEX(编号表!$B:$B,MATCH(H2202,编号表!$A:$A,0))*100000+INDEX(编号表!$F:$F,MATCH(D2202,编号表!$E:$E,0))*10000+INDEX(编号表!$D:$D,MATCH(AG2202,编号表!$C:$C,0))*1000+F2202</f>
        <v>11924072</v>
      </c>
      <c r="C2202" s="14" t="s">
        <v>3646</v>
      </c>
      <c r="D2202" s="14" t="s">
        <v>112</v>
      </c>
      <c r="E2202" s="14" t="s">
        <v>92</v>
      </c>
      <c r="F2202" s="14">
        <v>72</v>
      </c>
      <c r="G2202" s="14">
        <v>60</v>
      </c>
      <c r="H2202" s="14" t="s">
        <v>1400</v>
      </c>
      <c r="I2202" s="14" t="s">
        <v>75</v>
      </c>
      <c r="J2202" s="14" t="s">
        <v>201</v>
      </c>
      <c r="K2202" s="14">
        <v>1</v>
      </c>
      <c r="L2202" s="14" t="s">
        <v>1400</v>
      </c>
      <c r="N2202" s="14">
        <v>0</v>
      </c>
      <c r="O2202" s="14" t="b">
        <v>1</v>
      </c>
      <c r="Q2202" s="14" t="b">
        <v>0</v>
      </c>
      <c r="R2202" s="14">
        <v>1</v>
      </c>
      <c r="S2202" s="14" t="s">
        <v>77</v>
      </c>
      <c r="T2202" s="14">
        <v>999</v>
      </c>
      <c r="U2202" s="14" t="s">
        <v>1401</v>
      </c>
      <c r="V2202" s="14">
        <v>31924072</v>
      </c>
      <c r="X2202" s="14" t="s">
        <v>3649</v>
      </c>
      <c r="Y2202" s="14" t="s">
        <v>215</v>
      </c>
      <c r="Z2202" s="14">
        <v>20965</v>
      </c>
      <c r="AA2202" s="14" t="s">
        <v>3650</v>
      </c>
      <c r="AB2202" s="14">
        <v>40001</v>
      </c>
      <c r="AE2202" s="14" t="s">
        <v>1400</v>
      </c>
      <c r="AF2202" s="14" t="s">
        <v>1400</v>
      </c>
      <c r="AG2202" s="14" t="s">
        <v>92</v>
      </c>
    </row>
    <row r="2203" spans="2:33">
      <c r="B2203" s="14">
        <f>10000000+INDEX(编号表!$B:$B,MATCH(H2203,编号表!$A:$A,0))*100000+INDEX(编号表!$F:$F,MATCH(D2203,编号表!$E:$E,0))*10000+INDEX(编号表!$D:$D,MATCH(AG2203,编号表!$C:$C,0))*1000+F2203</f>
        <v>11934073</v>
      </c>
      <c r="C2203" s="14" t="s">
        <v>3646</v>
      </c>
      <c r="D2203" s="14" t="s">
        <v>276</v>
      </c>
      <c r="E2203" s="14" t="s">
        <v>92</v>
      </c>
      <c r="F2203" s="14">
        <v>73</v>
      </c>
      <c r="G2203" s="14">
        <v>60</v>
      </c>
      <c r="H2203" s="14" t="s">
        <v>1400</v>
      </c>
      <c r="I2203" s="14" t="s">
        <v>75</v>
      </c>
      <c r="J2203" s="14" t="s">
        <v>201</v>
      </c>
      <c r="K2203" s="14">
        <v>1</v>
      </c>
      <c r="L2203" s="14" t="s">
        <v>1400</v>
      </c>
      <c r="N2203" s="14">
        <v>0</v>
      </c>
      <c r="O2203" s="14" t="b">
        <v>1</v>
      </c>
      <c r="Q2203" s="14" t="b">
        <v>0</v>
      </c>
      <c r="R2203" s="14">
        <v>1</v>
      </c>
      <c r="S2203" s="14" t="s">
        <v>77</v>
      </c>
      <c r="T2203" s="14">
        <v>999</v>
      </c>
      <c r="U2203" s="14" t="s">
        <v>1401</v>
      </c>
      <c r="V2203" s="14">
        <v>31934073</v>
      </c>
      <c r="X2203" s="14" t="s">
        <v>3651</v>
      </c>
      <c r="Y2203" s="14" t="s">
        <v>215</v>
      </c>
      <c r="Z2203" s="14">
        <v>20966</v>
      </c>
      <c r="AA2203" s="14" t="s">
        <v>3652</v>
      </c>
      <c r="AB2203" s="14">
        <v>40001</v>
      </c>
      <c r="AE2203" s="14" t="s">
        <v>1400</v>
      </c>
      <c r="AF2203" s="14" t="s">
        <v>1400</v>
      </c>
      <c r="AG2203" s="14" t="s">
        <v>92</v>
      </c>
    </row>
    <row r="2204" spans="2:33">
      <c r="B2204" s="14">
        <f>10000000+INDEX(编号表!$B:$B,MATCH(H2204,编号表!$A:$A,0))*100000+INDEX(编号表!$F:$F,MATCH(D2204,编号表!$E:$E,0))*10000+INDEX(编号表!$D:$D,MATCH(AG2204,编号表!$C:$C,0))*1000+F2204</f>
        <v>11914072</v>
      </c>
      <c r="C2204" s="14" t="s">
        <v>3653</v>
      </c>
      <c r="D2204" s="14" t="s">
        <v>72</v>
      </c>
      <c r="E2204" s="14" t="s">
        <v>92</v>
      </c>
      <c r="F2204" s="14">
        <v>72</v>
      </c>
      <c r="G2204" s="14">
        <v>60</v>
      </c>
      <c r="H2204" s="14" t="s">
        <v>1400</v>
      </c>
      <c r="I2204" s="14" t="s">
        <v>75</v>
      </c>
      <c r="J2204" s="14" t="s">
        <v>201</v>
      </c>
      <c r="K2204" s="14">
        <v>1</v>
      </c>
      <c r="L2204" s="14" t="s">
        <v>1400</v>
      </c>
      <c r="N2204" s="14">
        <v>0</v>
      </c>
      <c r="O2204" s="14" t="b">
        <v>1</v>
      </c>
      <c r="Q2204" s="14" t="b">
        <v>0</v>
      </c>
      <c r="R2204" s="14">
        <v>1</v>
      </c>
      <c r="S2204" s="14" t="s">
        <v>77</v>
      </c>
      <c r="T2204" s="14">
        <v>999</v>
      </c>
      <c r="U2204" s="14" t="s">
        <v>1401</v>
      </c>
      <c r="V2204" s="14">
        <v>31914072</v>
      </c>
      <c r="X2204" s="14" t="s">
        <v>3654</v>
      </c>
      <c r="Y2204" s="14" t="s">
        <v>215</v>
      </c>
      <c r="Z2204" s="14">
        <v>20967</v>
      </c>
      <c r="AA2204" s="14" t="s">
        <v>3655</v>
      </c>
      <c r="AB2204" s="14">
        <v>40001</v>
      </c>
      <c r="AE2204" s="14" t="s">
        <v>1400</v>
      </c>
      <c r="AF2204" s="14" t="s">
        <v>1400</v>
      </c>
      <c r="AG2204" s="14" t="s">
        <v>92</v>
      </c>
    </row>
    <row r="2205" spans="2:33">
      <c r="B2205" s="14">
        <f>10000000+INDEX(编号表!$B:$B,MATCH(H2205,编号表!$A:$A,0))*100000+INDEX(编号表!$F:$F,MATCH(D2205,编号表!$E:$E,0))*10000+INDEX(编号表!$D:$D,MATCH(AG2205,编号表!$C:$C,0))*1000+F2205</f>
        <v>11924073</v>
      </c>
      <c r="C2205" s="14" t="s">
        <v>3653</v>
      </c>
      <c r="D2205" s="14" t="s">
        <v>112</v>
      </c>
      <c r="E2205" s="14" t="s">
        <v>92</v>
      </c>
      <c r="F2205" s="14">
        <v>73</v>
      </c>
      <c r="G2205" s="14">
        <v>60</v>
      </c>
      <c r="H2205" s="14" t="s">
        <v>1400</v>
      </c>
      <c r="I2205" s="14" t="s">
        <v>75</v>
      </c>
      <c r="J2205" s="14" t="s">
        <v>201</v>
      </c>
      <c r="K2205" s="14">
        <v>1</v>
      </c>
      <c r="L2205" s="14" t="s">
        <v>1400</v>
      </c>
      <c r="N2205" s="14">
        <v>0</v>
      </c>
      <c r="O2205" s="14" t="b">
        <v>1</v>
      </c>
      <c r="Q2205" s="14" t="b">
        <v>0</v>
      </c>
      <c r="R2205" s="14">
        <v>1</v>
      </c>
      <c r="S2205" s="14" t="s">
        <v>77</v>
      </c>
      <c r="T2205" s="14">
        <v>999</v>
      </c>
      <c r="U2205" s="14" t="s">
        <v>1401</v>
      </c>
      <c r="V2205" s="14">
        <v>31924073</v>
      </c>
      <c r="X2205" s="14" t="s">
        <v>3656</v>
      </c>
      <c r="Y2205" s="14" t="s">
        <v>215</v>
      </c>
      <c r="Z2205" s="14">
        <v>20968</v>
      </c>
      <c r="AA2205" s="14" t="s">
        <v>3657</v>
      </c>
      <c r="AB2205" s="14">
        <v>40001</v>
      </c>
      <c r="AE2205" s="14" t="s">
        <v>1400</v>
      </c>
      <c r="AF2205" s="14" t="s">
        <v>1400</v>
      </c>
      <c r="AG2205" s="14" t="s">
        <v>92</v>
      </c>
    </row>
    <row r="2206" spans="2:33">
      <c r="B2206" s="14">
        <f>10000000+INDEX(编号表!$B:$B,MATCH(H2206,编号表!$A:$A,0))*100000+INDEX(编号表!$F:$F,MATCH(D2206,编号表!$E:$E,0))*10000+INDEX(编号表!$D:$D,MATCH(AG2206,编号表!$C:$C,0))*1000+F2206</f>
        <v>11934074</v>
      </c>
      <c r="C2206" s="14" t="s">
        <v>3653</v>
      </c>
      <c r="D2206" s="14" t="s">
        <v>276</v>
      </c>
      <c r="E2206" s="14" t="s">
        <v>92</v>
      </c>
      <c r="F2206" s="14">
        <v>74</v>
      </c>
      <c r="G2206" s="14">
        <v>60</v>
      </c>
      <c r="H2206" s="14" t="s">
        <v>1400</v>
      </c>
      <c r="I2206" s="14" t="s">
        <v>75</v>
      </c>
      <c r="J2206" s="14" t="s">
        <v>201</v>
      </c>
      <c r="K2206" s="14">
        <v>1</v>
      </c>
      <c r="L2206" s="14" t="s">
        <v>1400</v>
      </c>
      <c r="N2206" s="14">
        <v>0</v>
      </c>
      <c r="O2206" s="14" t="b">
        <v>1</v>
      </c>
      <c r="Q2206" s="14" t="b">
        <v>0</v>
      </c>
      <c r="R2206" s="14">
        <v>1</v>
      </c>
      <c r="S2206" s="14" t="s">
        <v>77</v>
      </c>
      <c r="T2206" s="14">
        <v>999</v>
      </c>
      <c r="U2206" s="14" t="s">
        <v>1401</v>
      </c>
      <c r="V2206" s="14">
        <v>31934074</v>
      </c>
      <c r="X2206" s="14" t="s">
        <v>3658</v>
      </c>
      <c r="Y2206" s="14" t="s">
        <v>215</v>
      </c>
      <c r="Z2206" s="14">
        <v>20969</v>
      </c>
      <c r="AA2206" s="14" t="s">
        <v>3659</v>
      </c>
      <c r="AB2206" s="14">
        <v>40001</v>
      </c>
      <c r="AE2206" s="14" t="s">
        <v>1400</v>
      </c>
      <c r="AF2206" s="14" t="s">
        <v>1400</v>
      </c>
      <c r="AG2206" s="14" t="s">
        <v>92</v>
      </c>
    </row>
    <row r="2207" spans="2:33">
      <c r="B2207" s="14">
        <f>10000000+INDEX(编号表!$B:$B,MATCH(H2207,编号表!$A:$A,0))*100000+INDEX(编号表!$F:$F,MATCH(D2207,编号表!$E:$E,0))*10000+INDEX(编号表!$D:$D,MATCH(AG2207,编号表!$C:$C,0))*1000+F2207</f>
        <v>11914073</v>
      </c>
      <c r="C2207" s="14" t="s">
        <v>3660</v>
      </c>
      <c r="D2207" s="14" t="s">
        <v>72</v>
      </c>
      <c r="E2207" s="14" t="s">
        <v>92</v>
      </c>
      <c r="F2207" s="14">
        <v>73</v>
      </c>
      <c r="G2207" s="14">
        <v>60</v>
      </c>
      <c r="H2207" s="14" t="s">
        <v>1400</v>
      </c>
      <c r="I2207" s="14" t="s">
        <v>75</v>
      </c>
      <c r="J2207" s="14" t="s">
        <v>201</v>
      </c>
      <c r="K2207" s="14">
        <v>1</v>
      </c>
      <c r="L2207" s="14" t="s">
        <v>1400</v>
      </c>
      <c r="N2207" s="14">
        <v>0</v>
      </c>
      <c r="O2207" s="14" t="b">
        <v>1</v>
      </c>
      <c r="Q2207" s="14" t="b">
        <v>0</v>
      </c>
      <c r="R2207" s="14">
        <v>1</v>
      </c>
      <c r="S2207" s="14" t="s">
        <v>77</v>
      </c>
      <c r="T2207" s="14">
        <v>999</v>
      </c>
      <c r="U2207" s="14" t="s">
        <v>1401</v>
      </c>
      <c r="V2207" s="14">
        <v>31914073</v>
      </c>
      <c r="X2207" s="14" t="s">
        <v>3661</v>
      </c>
      <c r="Y2207" s="14" t="s">
        <v>215</v>
      </c>
      <c r="Z2207" s="14">
        <v>20970</v>
      </c>
      <c r="AA2207" s="14" t="s">
        <v>3662</v>
      </c>
      <c r="AB2207" s="14">
        <v>40001</v>
      </c>
      <c r="AE2207" s="14" t="s">
        <v>1400</v>
      </c>
      <c r="AF2207" s="14" t="s">
        <v>1400</v>
      </c>
      <c r="AG2207" s="14" t="s">
        <v>92</v>
      </c>
    </row>
    <row r="2208" spans="2:33">
      <c r="B2208" s="14">
        <f>10000000+INDEX(编号表!$B:$B,MATCH(H2208,编号表!$A:$A,0))*100000+INDEX(编号表!$F:$F,MATCH(D2208,编号表!$E:$E,0))*10000+INDEX(编号表!$D:$D,MATCH(AG2208,编号表!$C:$C,0))*1000+F2208</f>
        <v>11924074</v>
      </c>
      <c r="C2208" s="14" t="s">
        <v>3660</v>
      </c>
      <c r="D2208" s="14" t="s">
        <v>112</v>
      </c>
      <c r="E2208" s="14" t="s">
        <v>92</v>
      </c>
      <c r="F2208" s="14">
        <v>74</v>
      </c>
      <c r="G2208" s="14">
        <v>60</v>
      </c>
      <c r="H2208" s="14" t="s">
        <v>1400</v>
      </c>
      <c r="I2208" s="14" t="s">
        <v>75</v>
      </c>
      <c r="J2208" s="14" t="s">
        <v>201</v>
      </c>
      <c r="K2208" s="14">
        <v>1</v>
      </c>
      <c r="L2208" s="14" t="s">
        <v>1400</v>
      </c>
      <c r="N2208" s="14">
        <v>0</v>
      </c>
      <c r="O2208" s="14" t="b">
        <v>1</v>
      </c>
      <c r="Q2208" s="14" t="b">
        <v>0</v>
      </c>
      <c r="R2208" s="14">
        <v>1</v>
      </c>
      <c r="S2208" s="14" t="s">
        <v>77</v>
      </c>
      <c r="T2208" s="14">
        <v>999</v>
      </c>
      <c r="U2208" s="14" t="s">
        <v>1401</v>
      </c>
      <c r="V2208" s="14">
        <v>31924074</v>
      </c>
      <c r="X2208" s="14" t="s">
        <v>3663</v>
      </c>
      <c r="Y2208" s="14" t="s">
        <v>215</v>
      </c>
      <c r="Z2208" s="14">
        <v>20971</v>
      </c>
      <c r="AA2208" s="14" t="s">
        <v>3664</v>
      </c>
      <c r="AB2208" s="14">
        <v>40001</v>
      </c>
      <c r="AE2208" s="14" t="s">
        <v>1400</v>
      </c>
      <c r="AF2208" s="14" t="s">
        <v>1400</v>
      </c>
      <c r="AG2208" s="14" t="s">
        <v>92</v>
      </c>
    </row>
    <row r="2209" spans="2:33">
      <c r="B2209" s="14">
        <f>10000000+INDEX(编号表!$B:$B,MATCH(H2209,编号表!$A:$A,0))*100000+INDEX(编号表!$F:$F,MATCH(D2209,编号表!$E:$E,0))*10000+INDEX(编号表!$D:$D,MATCH(AG2209,编号表!$C:$C,0))*1000+F2209</f>
        <v>11934075</v>
      </c>
      <c r="C2209" s="14" t="s">
        <v>3660</v>
      </c>
      <c r="D2209" s="14" t="s">
        <v>276</v>
      </c>
      <c r="E2209" s="14" t="s">
        <v>92</v>
      </c>
      <c r="F2209" s="14">
        <v>75</v>
      </c>
      <c r="G2209" s="14">
        <v>60</v>
      </c>
      <c r="H2209" s="14" t="s">
        <v>1400</v>
      </c>
      <c r="I2209" s="14" t="s">
        <v>75</v>
      </c>
      <c r="J2209" s="14" t="s">
        <v>201</v>
      </c>
      <c r="K2209" s="14">
        <v>1</v>
      </c>
      <c r="L2209" s="14" t="s">
        <v>1400</v>
      </c>
      <c r="N2209" s="14">
        <v>0</v>
      </c>
      <c r="O2209" s="14" t="b">
        <v>1</v>
      </c>
      <c r="Q2209" s="14" t="b">
        <v>0</v>
      </c>
      <c r="R2209" s="14">
        <v>1</v>
      </c>
      <c r="S2209" s="14" t="s">
        <v>77</v>
      </c>
      <c r="T2209" s="14">
        <v>999</v>
      </c>
      <c r="U2209" s="14" t="s">
        <v>1401</v>
      </c>
      <c r="V2209" s="14">
        <v>31934075</v>
      </c>
      <c r="X2209" s="14" t="s">
        <v>3665</v>
      </c>
      <c r="Y2209" s="14" t="s">
        <v>215</v>
      </c>
      <c r="Z2209" s="14">
        <v>20972</v>
      </c>
      <c r="AA2209" s="14" t="s">
        <v>3666</v>
      </c>
      <c r="AB2209" s="14">
        <v>40001</v>
      </c>
      <c r="AE2209" s="14" t="s">
        <v>1400</v>
      </c>
      <c r="AF2209" s="14" t="s">
        <v>1400</v>
      </c>
      <c r="AG2209" s="14" t="s">
        <v>92</v>
      </c>
    </row>
    <row r="2210" spans="2:33">
      <c r="B2210" s="14">
        <f>10000000+INDEX(编号表!$B:$B,MATCH(H2210,编号表!$A:$A,0))*100000+INDEX(编号表!$F:$F,MATCH(D2210,编号表!$E:$E,0))*10000+INDEX(编号表!$D:$D,MATCH(AG2210,编号表!$C:$C,0))*1000+F2210</f>
        <v>11914074</v>
      </c>
      <c r="C2210" s="14" t="s">
        <v>3667</v>
      </c>
      <c r="D2210" s="14" t="s">
        <v>72</v>
      </c>
      <c r="E2210" s="14" t="s">
        <v>92</v>
      </c>
      <c r="F2210" s="14">
        <v>74</v>
      </c>
      <c r="G2210" s="14">
        <v>60</v>
      </c>
      <c r="H2210" s="14" t="s">
        <v>1400</v>
      </c>
      <c r="I2210" s="14" t="s">
        <v>75</v>
      </c>
      <c r="J2210" s="14" t="s">
        <v>201</v>
      </c>
      <c r="K2210" s="14">
        <v>1</v>
      </c>
      <c r="L2210" s="14" t="s">
        <v>1400</v>
      </c>
      <c r="N2210" s="14">
        <v>0</v>
      </c>
      <c r="O2210" s="14" t="b">
        <v>1</v>
      </c>
      <c r="Q2210" s="14" t="b">
        <v>0</v>
      </c>
      <c r="R2210" s="14">
        <v>1</v>
      </c>
      <c r="S2210" s="14" t="s">
        <v>77</v>
      </c>
      <c r="T2210" s="14">
        <v>999</v>
      </c>
      <c r="U2210" s="14" t="s">
        <v>1401</v>
      </c>
      <c r="V2210" s="14">
        <v>31914074</v>
      </c>
      <c r="X2210" s="14" t="s">
        <v>3668</v>
      </c>
      <c r="Y2210" s="14" t="s">
        <v>215</v>
      </c>
      <c r="Z2210" s="14">
        <v>20973</v>
      </c>
      <c r="AA2210" s="14" t="s">
        <v>3669</v>
      </c>
      <c r="AB2210" s="14">
        <v>40001</v>
      </c>
      <c r="AE2210" s="14" t="s">
        <v>1400</v>
      </c>
      <c r="AF2210" s="14" t="s">
        <v>1400</v>
      </c>
      <c r="AG2210" s="14" t="s">
        <v>92</v>
      </c>
    </row>
    <row r="2211" spans="2:33">
      <c r="B2211" s="14">
        <f>10000000+INDEX(编号表!$B:$B,MATCH(H2211,编号表!$A:$A,0))*100000+INDEX(编号表!$F:$F,MATCH(D2211,编号表!$E:$E,0))*10000+INDEX(编号表!$D:$D,MATCH(AG2211,编号表!$C:$C,0))*1000+F2211</f>
        <v>11924075</v>
      </c>
      <c r="C2211" s="14" t="s">
        <v>3667</v>
      </c>
      <c r="D2211" s="14" t="s">
        <v>112</v>
      </c>
      <c r="E2211" s="14" t="s">
        <v>92</v>
      </c>
      <c r="F2211" s="14">
        <v>75</v>
      </c>
      <c r="G2211" s="14">
        <v>60</v>
      </c>
      <c r="H2211" s="14" t="s">
        <v>1400</v>
      </c>
      <c r="I2211" s="14" t="s">
        <v>75</v>
      </c>
      <c r="J2211" s="14" t="s">
        <v>201</v>
      </c>
      <c r="K2211" s="14">
        <v>1</v>
      </c>
      <c r="L2211" s="14" t="s">
        <v>1400</v>
      </c>
      <c r="N2211" s="14">
        <v>0</v>
      </c>
      <c r="O2211" s="14" t="b">
        <v>1</v>
      </c>
      <c r="Q2211" s="14" t="b">
        <v>0</v>
      </c>
      <c r="R2211" s="14">
        <v>1</v>
      </c>
      <c r="S2211" s="14" t="s">
        <v>77</v>
      </c>
      <c r="T2211" s="14">
        <v>999</v>
      </c>
      <c r="U2211" s="14" t="s">
        <v>1401</v>
      </c>
      <c r="V2211" s="14">
        <v>31924075</v>
      </c>
      <c r="X2211" s="14" t="s">
        <v>3670</v>
      </c>
      <c r="Y2211" s="14" t="s">
        <v>215</v>
      </c>
      <c r="Z2211" s="14">
        <v>20974</v>
      </c>
      <c r="AA2211" s="14" t="s">
        <v>3671</v>
      </c>
      <c r="AB2211" s="14">
        <v>40001</v>
      </c>
      <c r="AE2211" s="14" t="s">
        <v>1400</v>
      </c>
      <c r="AF2211" s="14" t="s">
        <v>1400</v>
      </c>
      <c r="AG2211" s="14" t="s">
        <v>92</v>
      </c>
    </row>
    <row r="2212" spans="2:33">
      <c r="B2212" s="14">
        <f>10000000+INDEX(编号表!$B:$B,MATCH(H2212,编号表!$A:$A,0))*100000+INDEX(编号表!$F:$F,MATCH(D2212,编号表!$E:$E,0))*10000+INDEX(编号表!$D:$D,MATCH(AG2212,编号表!$C:$C,0))*1000+F2212</f>
        <v>11934076</v>
      </c>
      <c r="C2212" s="14" t="s">
        <v>3667</v>
      </c>
      <c r="D2212" s="14" t="s">
        <v>276</v>
      </c>
      <c r="E2212" s="14" t="s">
        <v>92</v>
      </c>
      <c r="F2212" s="14">
        <v>76</v>
      </c>
      <c r="G2212" s="14">
        <v>60</v>
      </c>
      <c r="H2212" s="14" t="s">
        <v>1400</v>
      </c>
      <c r="I2212" s="14" t="s">
        <v>75</v>
      </c>
      <c r="J2212" s="14" t="s">
        <v>201</v>
      </c>
      <c r="K2212" s="14">
        <v>1</v>
      </c>
      <c r="L2212" s="14" t="s">
        <v>1400</v>
      </c>
      <c r="N2212" s="14">
        <v>0</v>
      </c>
      <c r="O2212" s="14" t="b">
        <v>1</v>
      </c>
      <c r="Q2212" s="14" t="b">
        <v>0</v>
      </c>
      <c r="R2212" s="14">
        <v>1</v>
      </c>
      <c r="S2212" s="14" t="s">
        <v>77</v>
      </c>
      <c r="T2212" s="14">
        <v>999</v>
      </c>
      <c r="U2212" s="14" t="s">
        <v>1401</v>
      </c>
      <c r="V2212" s="14">
        <v>31934076</v>
      </c>
      <c r="X2212" s="14" t="s">
        <v>3672</v>
      </c>
      <c r="Y2212" s="14" t="s">
        <v>215</v>
      </c>
      <c r="Z2212" s="14">
        <v>20975</v>
      </c>
      <c r="AA2212" s="14" t="s">
        <v>3673</v>
      </c>
      <c r="AB2212" s="14">
        <v>40001</v>
      </c>
      <c r="AE2212" s="14" t="s">
        <v>1400</v>
      </c>
      <c r="AF2212" s="14" t="s">
        <v>1400</v>
      </c>
      <c r="AG2212" s="14" t="s">
        <v>92</v>
      </c>
    </row>
    <row r="2213" spans="2:33">
      <c r="B2213" s="14">
        <f>10000000+INDEX(编号表!$B:$B,MATCH(H2213,编号表!$A:$A,0))*100000+INDEX(编号表!$F:$F,MATCH(D2213,编号表!$E:$E,0))*10000+INDEX(编号表!$D:$D,MATCH(AG2213,编号表!$C:$C,0))*1000+F2213</f>
        <v>11914075</v>
      </c>
      <c r="C2213" s="14" t="s">
        <v>3674</v>
      </c>
      <c r="D2213" s="14" t="s">
        <v>72</v>
      </c>
      <c r="E2213" s="14" t="s">
        <v>92</v>
      </c>
      <c r="F2213" s="14">
        <v>75</v>
      </c>
      <c r="G2213" s="14">
        <v>60</v>
      </c>
      <c r="H2213" s="14" t="s">
        <v>1400</v>
      </c>
      <c r="I2213" s="14" t="s">
        <v>75</v>
      </c>
      <c r="J2213" s="14" t="s">
        <v>201</v>
      </c>
      <c r="K2213" s="14">
        <v>1</v>
      </c>
      <c r="L2213" s="14" t="s">
        <v>1400</v>
      </c>
      <c r="N2213" s="14">
        <v>0</v>
      </c>
      <c r="O2213" s="14" t="b">
        <v>1</v>
      </c>
      <c r="Q2213" s="14" t="b">
        <v>0</v>
      </c>
      <c r="R2213" s="14">
        <v>1</v>
      </c>
      <c r="S2213" s="14" t="s">
        <v>77</v>
      </c>
      <c r="T2213" s="14">
        <v>999</v>
      </c>
      <c r="U2213" s="14" t="s">
        <v>1401</v>
      </c>
      <c r="V2213" s="14">
        <v>31914075</v>
      </c>
      <c r="X2213" s="14" t="s">
        <v>3675</v>
      </c>
      <c r="Y2213" s="14" t="s">
        <v>215</v>
      </c>
      <c r="Z2213" s="14">
        <v>20976</v>
      </c>
      <c r="AA2213" s="14" t="s">
        <v>3676</v>
      </c>
      <c r="AB2213" s="14">
        <v>40001</v>
      </c>
      <c r="AE2213" s="14" t="s">
        <v>1400</v>
      </c>
      <c r="AF2213" s="14" t="s">
        <v>1400</v>
      </c>
      <c r="AG2213" s="14" t="s">
        <v>92</v>
      </c>
    </row>
    <row r="2214" spans="2:33">
      <c r="B2214" s="14">
        <f>10000000+INDEX(编号表!$B:$B,MATCH(H2214,编号表!$A:$A,0))*100000+INDEX(编号表!$F:$F,MATCH(D2214,编号表!$E:$E,0))*10000+INDEX(编号表!$D:$D,MATCH(AG2214,编号表!$C:$C,0))*1000+F2214</f>
        <v>11924076</v>
      </c>
      <c r="C2214" s="14" t="s">
        <v>3674</v>
      </c>
      <c r="D2214" s="14" t="s">
        <v>112</v>
      </c>
      <c r="E2214" s="14" t="s">
        <v>92</v>
      </c>
      <c r="F2214" s="14">
        <v>76</v>
      </c>
      <c r="G2214" s="14">
        <v>60</v>
      </c>
      <c r="H2214" s="14" t="s">
        <v>1400</v>
      </c>
      <c r="I2214" s="14" t="s">
        <v>75</v>
      </c>
      <c r="J2214" s="14" t="s">
        <v>201</v>
      </c>
      <c r="K2214" s="14">
        <v>1</v>
      </c>
      <c r="L2214" s="14" t="s">
        <v>1400</v>
      </c>
      <c r="N2214" s="14">
        <v>0</v>
      </c>
      <c r="O2214" s="14" t="b">
        <v>1</v>
      </c>
      <c r="Q2214" s="14" t="b">
        <v>0</v>
      </c>
      <c r="R2214" s="14">
        <v>1</v>
      </c>
      <c r="S2214" s="14" t="s">
        <v>77</v>
      </c>
      <c r="T2214" s="14">
        <v>999</v>
      </c>
      <c r="U2214" s="14" t="s">
        <v>1401</v>
      </c>
      <c r="V2214" s="14">
        <v>31924076</v>
      </c>
      <c r="X2214" s="14" t="s">
        <v>3677</v>
      </c>
      <c r="Y2214" s="14" t="s">
        <v>215</v>
      </c>
      <c r="Z2214" s="14">
        <v>20977</v>
      </c>
      <c r="AA2214" s="14" t="s">
        <v>3678</v>
      </c>
      <c r="AB2214" s="14">
        <v>40001</v>
      </c>
      <c r="AE2214" s="14" t="s">
        <v>1400</v>
      </c>
      <c r="AF2214" s="14" t="s">
        <v>1400</v>
      </c>
      <c r="AG2214" s="14" t="s">
        <v>92</v>
      </c>
    </row>
    <row r="2215" spans="2:33">
      <c r="B2215" s="14">
        <f>10000000+INDEX(编号表!$B:$B,MATCH(H2215,编号表!$A:$A,0))*100000+INDEX(编号表!$F:$F,MATCH(D2215,编号表!$E:$E,0))*10000+INDEX(编号表!$D:$D,MATCH(AG2215,编号表!$C:$C,0))*1000+F2215</f>
        <v>11934077</v>
      </c>
      <c r="C2215" s="14" t="s">
        <v>3674</v>
      </c>
      <c r="D2215" s="14" t="s">
        <v>276</v>
      </c>
      <c r="E2215" s="14" t="s">
        <v>92</v>
      </c>
      <c r="F2215" s="14">
        <v>77</v>
      </c>
      <c r="G2215" s="14">
        <v>60</v>
      </c>
      <c r="H2215" s="14" t="s">
        <v>1400</v>
      </c>
      <c r="I2215" s="14" t="s">
        <v>75</v>
      </c>
      <c r="J2215" s="14" t="s">
        <v>201</v>
      </c>
      <c r="K2215" s="14">
        <v>1</v>
      </c>
      <c r="L2215" s="14" t="s">
        <v>1400</v>
      </c>
      <c r="N2215" s="14">
        <v>0</v>
      </c>
      <c r="O2215" s="14" t="b">
        <v>1</v>
      </c>
      <c r="Q2215" s="14" t="b">
        <v>0</v>
      </c>
      <c r="R2215" s="14">
        <v>1</v>
      </c>
      <c r="S2215" s="14" t="s">
        <v>77</v>
      </c>
      <c r="T2215" s="14">
        <v>999</v>
      </c>
      <c r="U2215" s="14" t="s">
        <v>1401</v>
      </c>
      <c r="V2215" s="14">
        <v>31934077</v>
      </c>
      <c r="X2215" s="14" t="s">
        <v>3679</v>
      </c>
      <c r="Y2215" s="14" t="s">
        <v>215</v>
      </c>
      <c r="Z2215" s="14">
        <v>20978</v>
      </c>
      <c r="AA2215" s="14" t="s">
        <v>3680</v>
      </c>
      <c r="AB2215" s="14">
        <v>40001</v>
      </c>
      <c r="AE2215" s="14" t="s">
        <v>1400</v>
      </c>
      <c r="AF2215" s="14" t="s">
        <v>1400</v>
      </c>
      <c r="AG2215" s="14" t="s">
        <v>92</v>
      </c>
    </row>
    <row r="2216" spans="2:33">
      <c r="B2216" s="14">
        <f>10000000+INDEX(编号表!$B:$B,MATCH(H2216,编号表!$A:$A,0))*100000+INDEX(编号表!$F:$F,MATCH(D2216,编号表!$E:$E,0))*10000+INDEX(编号表!$D:$D,MATCH(AG2216,编号表!$C:$C,0))*1000+F2216</f>
        <v>11914076</v>
      </c>
      <c r="C2216" s="14" t="s">
        <v>3681</v>
      </c>
      <c r="D2216" s="14" t="s">
        <v>72</v>
      </c>
      <c r="E2216" s="14" t="s">
        <v>92</v>
      </c>
      <c r="F2216" s="14">
        <v>76</v>
      </c>
      <c r="G2216" s="14">
        <v>60</v>
      </c>
      <c r="H2216" s="14" t="s">
        <v>1400</v>
      </c>
      <c r="I2216" s="14" t="s">
        <v>75</v>
      </c>
      <c r="J2216" s="14" t="s">
        <v>201</v>
      </c>
      <c r="K2216" s="14">
        <v>1</v>
      </c>
      <c r="L2216" s="14" t="s">
        <v>1400</v>
      </c>
      <c r="N2216" s="14">
        <v>0</v>
      </c>
      <c r="O2216" s="14" t="b">
        <v>1</v>
      </c>
      <c r="Q2216" s="14" t="b">
        <v>0</v>
      </c>
      <c r="R2216" s="14">
        <v>1</v>
      </c>
      <c r="S2216" s="14" t="s">
        <v>77</v>
      </c>
      <c r="T2216" s="14">
        <v>999</v>
      </c>
      <c r="U2216" s="14" t="s">
        <v>1401</v>
      </c>
      <c r="V2216" s="14">
        <v>31914076</v>
      </c>
      <c r="X2216" s="14" t="s">
        <v>3682</v>
      </c>
      <c r="Y2216" s="14" t="s">
        <v>215</v>
      </c>
      <c r="Z2216" s="14">
        <v>20979</v>
      </c>
      <c r="AA2216" s="14" t="s">
        <v>3683</v>
      </c>
      <c r="AB2216" s="14">
        <v>40001</v>
      </c>
      <c r="AE2216" s="14" t="s">
        <v>1400</v>
      </c>
      <c r="AF2216" s="14" t="s">
        <v>1400</v>
      </c>
      <c r="AG2216" s="14" t="s">
        <v>92</v>
      </c>
    </row>
    <row r="2217" spans="2:33">
      <c r="B2217" s="14">
        <f>10000000+INDEX(编号表!$B:$B,MATCH(H2217,编号表!$A:$A,0))*100000+INDEX(编号表!$F:$F,MATCH(D2217,编号表!$E:$E,0))*10000+INDEX(编号表!$D:$D,MATCH(AG2217,编号表!$C:$C,0))*1000+F2217</f>
        <v>11924077</v>
      </c>
      <c r="C2217" s="14" t="s">
        <v>3681</v>
      </c>
      <c r="D2217" s="14" t="s">
        <v>112</v>
      </c>
      <c r="E2217" s="14" t="s">
        <v>92</v>
      </c>
      <c r="F2217" s="14">
        <v>77</v>
      </c>
      <c r="G2217" s="14">
        <v>60</v>
      </c>
      <c r="H2217" s="14" t="s">
        <v>1400</v>
      </c>
      <c r="I2217" s="14" t="s">
        <v>75</v>
      </c>
      <c r="J2217" s="14" t="s">
        <v>201</v>
      </c>
      <c r="K2217" s="14">
        <v>1</v>
      </c>
      <c r="L2217" s="14" t="s">
        <v>1400</v>
      </c>
      <c r="N2217" s="14">
        <v>0</v>
      </c>
      <c r="O2217" s="14" t="b">
        <v>1</v>
      </c>
      <c r="Q2217" s="14" t="b">
        <v>0</v>
      </c>
      <c r="R2217" s="14">
        <v>1</v>
      </c>
      <c r="S2217" s="14" t="s">
        <v>77</v>
      </c>
      <c r="T2217" s="14">
        <v>999</v>
      </c>
      <c r="U2217" s="14" t="s">
        <v>1401</v>
      </c>
      <c r="V2217" s="14">
        <v>31924077</v>
      </c>
      <c r="X2217" s="14" t="s">
        <v>3684</v>
      </c>
      <c r="Y2217" s="14" t="s">
        <v>215</v>
      </c>
      <c r="Z2217" s="14">
        <v>20980</v>
      </c>
      <c r="AA2217" s="14" t="s">
        <v>3685</v>
      </c>
      <c r="AB2217" s="14">
        <v>40001</v>
      </c>
      <c r="AE2217" s="14" t="s">
        <v>1400</v>
      </c>
      <c r="AF2217" s="14" t="s">
        <v>1400</v>
      </c>
      <c r="AG2217" s="14" t="s">
        <v>92</v>
      </c>
    </row>
    <row r="2218" spans="2:33">
      <c r="B2218" s="14">
        <f>10000000+INDEX(编号表!$B:$B,MATCH(H2218,编号表!$A:$A,0))*100000+INDEX(编号表!$F:$F,MATCH(D2218,编号表!$E:$E,0))*10000+INDEX(编号表!$D:$D,MATCH(AG2218,编号表!$C:$C,0))*1000+F2218</f>
        <v>11934078</v>
      </c>
      <c r="C2218" s="14" t="s">
        <v>3681</v>
      </c>
      <c r="D2218" s="14" t="s">
        <v>276</v>
      </c>
      <c r="E2218" s="14" t="s">
        <v>92</v>
      </c>
      <c r="F2218" s="14">
        <v>78</v>
      </c>
      <c r="G2218" s="14">
        <v>60</v>
      </c>
      <c r="H2218" s="14" t="s">
        <v>1400</v>
      </c>
      <c r="I2218" s="14" t="s">
        <v>75</v>
      </c>
      <c r="J2218" s="14" t="s">
        <v>201</v>
      </c>
      <c r="K2218" s="14">
        <v>1</v>
      </c>
      <c r="L2218" s="14" t="s">
        <v>1400</v>
      </c>
      <c r="N2218" s="14">
        <v>0</v>
      </c>
      <c r="O2218" s="14" t="b">
        <v>1</v>
      </c>
      <c r="Q2218" s="14" t="b">
        <v>0</v>
      </c>
      <c r="R2218" s="14">
        <v>1</v>
      </c>
      <c r="S2218" s="14" t="s">
        <v>77</v>
      </c>
      <c r="T2218" s="14">
        <v>999</v>
      </c>
      <c r="U2218" s="14" t="s">
        <v>1401</v>
      </c>
      <c r="V2218" s="14">
        <v>31934078</v>
      </c>
      <c r="X2218" s="14" t="s">
        <v>3686</v>
      </c>
      <c r="Y2218" s="14" t="s">
        <v>215</v>
      </c>
      <c r="Z2218" s="14">
        <v>20981</v>
      </c>
      <c r="AA2218" s="14" t="s">
        <v>3687</v>
      </c>
      <c r="AB2218" s="14">
        <v>40001</v>
      </c>
      <c r="AE2218" s="14" t="s">
        <v>1400</v>
      </c>
      <c r="AF2218" s="14" t="s">
        <v>1400</v>
      </c>
      <c r="AG2218" s="14" t="s">
        <v>92</v>
      </c>
    </row>
    <row r="2219" spans="2:33">
      <c r="B2219" s="14">
        <f>10000000+INDEX(编号表!$B:$B,MATCH(H2219,编号表!$A:$A,0))*100000+INDEX(编号表!$F:$F,MATCH(D2219,编号表!$E:$E,0))*10000+INDEX(编号表!$D:$D,MATCH(AG2219,编号表!$C:$C,0))*1000+F2219</f>
        <v>11914077</v>
      </c>
      <c r="C2219" s="14" t="s">
        <v>3688</v>
      </c>
      <c r="D2219" s="14" t="s">
        <v>72</v>
      </c>
      <c r="E2219" s="14" t="s">
        <v>92</v>
      </c>
      <c r="F2219" s="14">
        <v>77</v>
      </c>
      <c r="G2219" s="14">
        <v>60</v>
      </c>
      <c r="H2219" s="14" t="s">
        <v>1400</v>
      </c>
      <c r="I2219" s="14" t="s">
        <v>75</v>
      </c>
      <c r="J2219" s="14" t="s">
        <v>201</v>
      </c>
      <c r="K2219" s="14">
        <v>1</v>
      </c>
      <c r="L2219" s="14" t="s">
        <v>1400</v>
      </c>
      <c r="N2219" s="14">
        <v>0</v>
      </c>
      <c r="O2219" s="14" t="b">
        <v>1</v>
      </c>
      <c r="Q2219" s="14" t="b">
        <v>0</v>
      </c>
      <c r="R2219" s="14">
        <v>1</v>
      </c>
      <c r="S2219" s="14" t="s">
        <v>77</v>
      </c>
      <c r="T2219" s="14">
        <v>999</v>
      </c>
      <c r="U2219" s="14" t="s">
        <v>1401</v>
      </c>
      <c r="V2219" s="14">
        <v>31914077</v>
      </c>
      <c r="X2219" s="14" t="s">
        <v>3689</v>
      </c>
      <c r="Y2219" s="14" t="s">
        <v>215</v>
      </c>
      <c r="Z2219" s="14">
        <v>20982</v>
      </c>
      <c r="AA2219" s="14" t="s">
        <v>3690</v>
      </c>
      <c r="AB2219" s="14">
        <v>40001</v>
      </c>
      <c r="AE2219" s="14" t="s">
        <v>1400</v>
      </c>
      <c r="AF2219" s="14" t="s">
        <v>1400</v>
      </c>
      <c r="AG2219" s="14" t="s">
        <v>92</v>
      </c>
    </row>
    <row r="2220" spans="2:33">
      <c r="B2220" s="14">
        <f>10000000+INDEX(编号表!$B:$B,MATCH(H2220,编号表!$A:$A,0))*100000+INDEX(编号表!$F:$F,MATCH(D2220,编号表!$E:$E,0))*10000+INDEX(编号表!$D:$D,MATCH(AG2220,编号表!$C:$C,0))*1000+F2220</f>
        <v>11924078</v>
      </c>
      <c r="C2220" s="14" t="s">
        <v>3688</v>
      </c>
      <c r="D2220" s="14" t="s">
        <v>112</v>
      </c>
      <c r="E2220" s="14" t="s">
        <v>92</v>
      </c>
      <c r="F2220" s="14">
        <v>78</v>
      </c>
      <c r="G2220" s="14">
        <v>60</v>
      </c>
      <c r="H2220" s="14" t="s">
        <v>1400</v>
      </c>
      <c r="I2220" s="14" t="s">
        <v>75</v>
      </c>
      <c r="J2220" s="14" t="s">
        <v>201</v>
      </c>
      <c r="K2220" s="14">
        <v>1</v>
      </c>
      <c r="L2220" s="14" t="s">
        <v>1400</v>
      </c>
      <c r="N2220" s="14">
        <v>0</v>
      </c>
      <c r="O2220" s="14" t="b">
        <v>1</v>
      </c>
      <c r="Q2220" s="14" t="b">
        <v>0</v>
      </c>
      <c r="R2220" s="14">
        <v>1</v>
      </c>
      <c r="S2220" s="14" t="s">
        <v>77</v>
      </c>
      <c r="T2220" s="14">
        <v>999</v>
      </c>
      <c r="U2220" s="14" t="s">
        <v>1401</v>
      </c>
      <c r="V2220" s="14">
        <v>31924078</v>
      </c>
      <c r="X2220" s="14" t="s">
        <v>3691</v>
      </c>
      <c r="Y2220" s="14" t="s">
        <v>215</v>
      </c>
      <c r="Z2220" s="14">
        <v>20983</v>
      </c>
      <c r="AA2220" s="14" t="s">
        <v>3692</v>
      </c>
      <c r="AB2220" s="14">
        <v>40001</v>
      </c>
      <c r="AE2220" s="14" t="s">
        <v>1400</v>
      </c>
      <c r="AF2220" s="14" t="s">
        <v>1400</v>
      </c>
      <c r="AG2220" s="14" t="s">
        <v>92</v>
      </c>
    </row>
    <row r="2221" spans="2:33">
      <c r="B2221" s="14">
        <f>10000000+INDEX(编号表!$B:$B,MATCH(H2221,编号表!$A:$A,0))*100000+INDEX(编号表!$F:$F,MATCH(D2221,编号表!$E:$E,0))*10000+INDEX(编号表!$D:$D,MATCH(AG2221,编号表!$C:$C,0))*1000+F2221</f>
        <v>11934079</v>
      </c>
      <c r="C2221" s="14" t="s">
        <v>3688</v>
      </c>
      <c r="D2221" s="14" t="s">
        <v>276</v>
      </c>
      <c r="E2221" s="14" t="s">
        <v>92</v>
      </c>
      <c r="F2221" s="14">
        <v>79</v>
      </c>
      <c r="G2221" s="14">
        <v>60</v>
      </c>
      <c r="H2221" s="14" t="s">
        <v>1400</v>
      </c>
      <c r="I2221" s="14" t="s">
        <v>75</v>
      </c>
      <c r="J2221" s="14" t="s">
        <v>201</v>
      </c>
      <c r="K2221" s="14">
        <v>1</v>
      </c>
      <c r="L2221" s="14" t="s">
        <v>1400</v>
      </c>
      <c r="N2221" s="14">
        <v>0</v>
      </c>
      <c r="O2221" s="14" t="b">
        <v>1</v>
      </c>
      <c r="Q2221" s="14" t="b">
        <v>0</v>
      </c>
      <c r="R2221" s="14">
        <v>1</v>
      </c>
      <c r="S2221" s="14" t="s">
        <v>77</v>
      </c>
      <c r="T2221" s="14">
        <v>999</v>
      </c>
      <c r="U2221" s="14" t="s">
        <v>1401</v>
      </c>
      <c r="V2221" s="14">
        <v>31934079</v>
      </c>
      <c r="X2221" s="14" t="s">
        <v>3693</v>
      </c>
      <c r="Y2221" s="14" t="s">
        <v>215</v>
      </c>
      <c r="Z2221" s="14">
        <v>20984</v>
      </c>
      <c r="AA2221" s="14" t="s">
        <v>3694</v>
      </c>
      <c r="AB2221" s="14">
        <v>40001</v>
      </c>
      <c r="AE2221" s="14" t="s">
        <v>1400</v>
      </c>
      <c r="AF2221" s="14" t="s">
        <v>1400</v>
      </c>
      <c r="AG2221" s="14" t="s">
        <v>92</v>
      </c>
    </row>
    <row r="2222" spans="2:33">
      <c r="B2222" s="14">
        <f>10000000+INDEX(编号表!$B:$B,MATCH(H2222,编号表!$A:$A,0))*100000+INDEX(编号表!$F:$F,MATCH(D2222,编号表!$E:$E,0))*10000+INDEX(编号表!$D:$D,MATCH(AG2222,编号表!$C:$C,0))*1000+F2222</f>
        <v>11914078</v>
      </c>
      <c r="C2222" s="14" t="s">
        <v>3695</v>
      </c>
      <c r="D2222" s="14" t="s">
        <v>72</v>
      </c>
      <c r="E2222" s="14" t="s">
        <v>92</v>
      </c>
      <c r="F2222" s="14">
        <v>78</v>
      </c>
      <c r="G2222" s="14">
        <v>60</v>
      </c>
      <c r="H2222" s="14" t="s">
        <v>1400</v>
      </c>
      <c r="I2222" s="14" t="s">
        <v>75</v>
      </c>
      <c r="J2222" s="14" t="s">
        <v>201</v>
      </c>
      <c r="K2222" s="14">
        <v>1</v>
      </c>
      <c r="L2222" s="14" t="s">
        <v>1400</v>
      </c>
      <c r="N2222" s="14">
        <v>0</v>
      </c>
      <c r="O2222" s="14" t="b">
        <v>1</v>
      </c>
      <c r="Q2222" s="14" t="b">
        <v>0</v>
      </c>
      <c r="R2222" s="14">
        <v>1</v>
      </c>
      <c r="S2222" s="14" t="s">
        <v>77</v>
      </c>
      <c r="T2222" s="14">
        <v>999</v>
      </c>
      <c r="U2222" s="14" t="s">
        <v>1401</v>
      </c>
      <c r="V2222" s="14">
        <v>31914078</v>
      </c>
      <c r="X2222" s="14" t="s">
        <v>3696</v>
      </c>
      <c r="Y2222" s="14" t="s">
        <v>215</v>
      </c>
      <c r="Z2222" s="14">
        <v>20985</v>
      </c>
      <c r="AA2222" s="14" t="s">
        <v>3697</v>
      </c>
      <c r="AB2222" s="14">
        <v>40001</v>
      </c>
      <c r="AE2222" s="14" t="s">
        <v>1400</v>
      </c>
      <c r="AF2222" s="14" t="s">
        <v>1400</v>
      </c>
      <c r="AG2222" s="14" t="s">
        <v>92</v>
      </c>
    </row>
    <row r="2223" spans="2:33">
      <c r="B2223" s="14">
        <f>10000000+INDEX(编号表!$B:$B,MATCH(H2223,编号表!$A:$A,0))*100000+INDEX(编号表!$F:$F,MATCH(D2223,编号表!$E:$E,0))*10000+INDEX(编号表!$D:$D,MATCH(AG2223,编号表!$C:$C,0))*1000+F2223</f>
        <v>11924079</v>
      </c>
      <c r="C2223" s="14" t="s">
        <v>3695</v>
      </c>
      <c r="D2223" s="14" t="s">
        <v>112</v>
      </c>
      <c r="E2223" s="14" t="s">
        <v>92</v>
      </c>
      <c r="F2223" s="14">
        <v>79</v>
      </c>
      <c r="G2223" s="14">
        <v>60</v>
      </c>
      <c r="H2223" s="14" t="s">
        <v>1400</v>
      </c>
      <c r="I2223" s="14" t="s">
        <v>75</v>
      </c>
      <c r="J2223" s="14" t="s">
        <v>201</v>
      </c>
      <c r="K2223" s="14">
        <v>1</v>
      </c>
      <c r="L2223" s="14" t="s">
        <v>1400</v>
      </c>
      <c r="N2223" s="14">
        <v>0</v>
      </c>
      <c r="O2223" s="14" t="b">
        <v>1</v>
      </c>
      <c r="Q2223" s="14" t="b">
        <v>0</v>
      </c>
      <c r="R2223" s="14">
        <v>1</v>
      </c>
      <c r="S2223" s="14" t="s">
        <v>77</v>
      </c>
      <c r="T2223" s="14">
        <v>999</v>
      </c>
      <c r="U2223" s="14" t="s">
        <v>1401</v>
      </c>
      <c r="V2223" s="14">
        <v>31924079</v>
      </c>
      <c r="X2223" s="14" t="s">
        <v>3698</v>
      </c>
      <c r="Y2223" s="14" t="s">
        <v>215</v>
      </c>
      <c r="Z2223" s="14">
        <v>20986</v>
      </c>
      <c r="AA2223" s="14" t="s">
        <v>3699</v>
      </c>
      <c r="AB2223" s="14">
        <v>40001</v>
      </c>
      <c r="AE2223" s="14" t="s">
        <v>1400</v>
      </c>
      <c r="AF2223" s="14" t="s">
        <v>1400</v>
      </c>
      <c r="AG2223" s="14" t="s">
        <v>92</v>
      </c>
    </row>
    <row r="2224" spans="2:33">
      <c r="B2224" s="14">
        <f>10000000+INDEX(编号表!$B:$B,MATCH(H2224,编号表!$A:$A,0))*100000+INDEX(编号表!$F:$F,MATCH(D2224,编号表!$E:$E,0))*10000+INDEX(编号表!$D:$D,MATCH(AG2224,编号表!$C:$C,0))*1000+F2224</f>
        <v>11934080</v>
      </c>
      <c r="C2224" s="14" t="s">
        <v>3695</v>
      </c>
      <c r="D2224" s="14" t="s">
        <v>276</v>
      </c>
      <c r="E2224" s="14" t="s">
        <v>92</v>
      </c>
      <c r="F2224" s="14">
        <v>80</v>
      </c>
      <c r="G2224" s="14">
        <v>60</v>
      </c>
      <c r="H2224" s="14" t="s">
        <v>1400</v>
      </c>
      <c r="I2224" s="14" t="s">
        <v>75</v>
      </c>
      <c r="J2224" s="14" t="s">
        <v>201</v>
      </c>
      <c r="K2224" s="14">
        <v>1</v>
      </c>
      <c r="L2224" s="14" t="s">
        <v>1400</v>
      </c>
      <c r="N2224" s="14">
        <v>0</v>
      </c>
      <c r="O2224" s="14" t="b">
        <v>1</v>
      </c>
      <c r="Q2224" s="14" t="b">
        <v>0</v>
      </c>
      <c r="R2224" s="14">
        <v>1</v>
      </c>
      <c r="S2224" s="14" t="s">
        <v>77</v>
      </c>
      <c r="T2224" s="14">
        <v>999</v>
      </c>
      <c r="U2224" s="14" t="s">
        <v>1401</v>
      </c>
      <c r="V2224" s="14">
        <v>31934080</v>
      </c>
      <c r="X2224" s="14" t="s">
        <v>3700</v>
      </c>
      <c r="Y2224" s="14" t="s">
        <v>215</v>
      </c>
      <c r="Z2224" s="14">
        <v>20987</v>
      </c>
      <c r="AA2224" s="14" t="s">
        <v>3701</v>
      </c>
      <c r="AB2224" s="14">
        <v>40001</v>
      </c>
      <c r="AE2224" s="14" t="s">
        <v>1400</v>
      </c>
      <c r="AF2224" s="14" t="s">
        <v>1400</v>
      </c>
      <c r="AG2224" s="14" t="s">
        <v>92</v>
      </c>
    </row>
    <row r="2225" spans="2:33">
      <c r="B2225" s="14">
        <f>10000000+INDEX(编号表!$B:$B,MATCH(H2225,编号表!$A:$A,0))*100000+INDEX(编号表!$F:$F,MATCH(D2225,编号表!$E:$E,0))*10000+INDEX(编号表!$D:$D,MATCH(AG2225,编号表!$C:$C,0))*1000+F2225</f>
        <v>11914079</v>
      </c>
      <c r="C2225" s="14" t="s">
        <v>3702</v>
      </c>
      <c r="D2225" s="14" t="s">
        <v>72</v>
      </c>
      <c r="E2225" s="14" t="s">
        <v>92</v>
      </c>
      <c r="F2225" s="14">
        <v>79</v>
      </c>
      <c r="G2225" s="14">
        <v>60</v>
      </c>
      <c r="H2225" s="14" t="s">
        <v>1400</v>
      </c>
      <c r="I2225" s="14" t="s">
        <v>75</v>
      </c>
      <c r="J2225" s="14" t="s">
        <v>201</v>
      </c>
      <c r="K2225" s="14">
        <v>1</v>
      </c>
      <c r="L2225" s="14" t="s">
        <v>1400</v>
      </c>
      <c r="N2225" s="14">
        <v>0</v>
      </c>
      <c r="O2225" s="14" t="b">
        <v>1</v>
      </c>
      <c r="Q2225" s="14" t="b">
        <v>0</v>
      </c>
      <c r="R2225" s="14">
        <v>1</v>
      </c>
      <c r="S2225" s="14" t="s">
        <v>77</v>
      </c>
      <c r="T2225" s="14">
        <v>999</v>
      </c>
      <c r="U2225" s="14" t="s">
        <v>1401</v>
      </c>
      <c r="V2225" s="14">
        <v>31914079</v>
      </c>
      <c r="X2225" s="14" t="s">
        <v>3703</v>
      </c>
      <c r="Y2225" s="14" t="s">
        <v>215</v>
      </c>
      <c r="Z2225" s="14">
        <v>20988</v>
      </c>
      <c r="AA2225" s="14" t="s">
        <v>3704</v>
      </c>
      <c r="AB2225" s="14">
        <v>40001</v>
      </c>
      <c r="AE2225" s="14" t="s">
        <v>1400</v>
      </c>
      <c r="AF2225" s="14" t="s">
        <v>1400</v>
      </c>
      <c r="AG2225" s="14" t="s">
        <v>92</v>
      </c>
    </row>
    <row r="2226" spans="2:33">
      <c r="B2226" s="14">
        <f>10000000+INDEX(编号表!$B:$B,MATCH(H2226,编号表!$A:$A,0))*100000+INDEX(编号表!$F:$F,MATCH(D2226,编号表!$E:$E,0))*10000+INDEX(编号表!$D:$D,MATCH(AG2226,编号表!$C:$C,0))*1000+F2226</f>
        <v>11924080</v>
      </c>
      <c r="C2226" s="14" t="s">
        <v>3702</v>
      </c>
      <c r="D2226" s="14" t="s">
        <v>112</v>
      </c>
      <c r="E2226" s="14" t="s">
        <v>92</v>
      </c>
      <c r="F2226" s="14">
        <v>80</v>
      </c>
      <c r="G2226" s="14">
        <v>60</v>
      </c>
      <c r="H2226" s="14" t="s">
        <v>1400</v>
      </c>
      <c r="I2226" s="14" t="s">
        <v>75</v>
      </c>
      <c r="J2226" s="14" t="s">
        <v>201</v>
      </c>
      <c r="K2226" s="14">
        <v>1</v>
      </c>
      <c r="L2226" s="14" t="s">
        <v>1400</v>
      </c>
      <c r="N2226" s="14">
        <v>0</v>
      </c>
      <c r="O2226" s="14" t="b">
        <v>1</v>
      </c>
      <c r="Q2226" s="14" t="b">
        <v>0</v>
      </c>
      <c r="R2226" s="14">
        <v>1</v>
      </c>
      <c r="S2226" s="14" t="s">
        <v>77</v>
      </c>
      <c r="T2226" s="14">
        <v>999</v>
      </c>
      <c r="U2226" s="14" t="s">
        <v>1401</v>
      </c>
      <c r="V2226" s="14">
        <v>31924080</v>
      </c>
      <c r="X2226" s="14" t="s">
        <v>3705</v>
      </c>
      <c r="Y2226" s="14" t="s">
        <v>215</v>
      </c>
      <c r="Z2226" s="14">
        <v>20989</v>
      </c>
      <c r="AA2226" s="14" t="s">
        <v>3706</v>
      </c>
      <c r="AB2226" s="14">
        <v>40001</v>
      </c>
      <c r="AE2226" s="14" t="s">
        <v>1400</v>
      </c>
      <c r="AF2226" s="14" t="s">
        <v>1400</v>
      </c>
      <c r="AG2226" s="14" t="s">
        <v>92</v>
      </c>
    </row>
    <row r="2227" spans="2:33">
      <c r="B2227" s="14">
        <f>10000000+INDEX(编号表!$B:$B,MATCH(H2227,编号表!$A:$A,0))*100000+INDEX(编号表!$F:$F,MATCH(D2227,编号表!$E:$E,0))*10000+INDEX(编号表!$D:$D,MATCH(AG2227,编号表!$C:$C,0))*1000+F2227</f>
        <v>11934081</v>
      </c>
      <c r="C2227" s="14" t="s">
        <v>3702</v>
      </c>
      <c r="D2227" s="14" t="s">
        <v>276</v>
      </c>
      <c r="E2227" s="14" t="s">
        <v>92</v>
      </c>
      <c r="F2227" s="14">
        <v>81</v>
      </c>
      <c r="G2227" s="14">
        <v>60</v>
      </c>
      <c r="H2227" s="14" t="s">
        <v>1400</v>
      </c>
      <c r="I2227" s="14" t="s">
        <v>75</v>
      </c>
      <c r="J2227" s="14" t="s">
        <v>201</v>
      </c>
      <c r="K2227" s="14">
        <v>1</v>
      </c>
      <c r="L2227" s="14" t="s">
        <v>1400</v>
      </c>
      <c r="N2227" s="14">
        <v>0</v>
      </c>
      <c r="O2227" s="14" t="b">
        <v>1</v>
      </c>
      <c r="Q2227" s="14" t="b">
        <v>0</v>
      </c>
      <c r="R2227" s="14">
        <v>1</v>
      </c>
      <c r="S2227" s="14" t="s">
        <v>77</v>
      </c>
      <c r="T2227" s="14">
        <v>999</v>
      </c>
      <c r="U2227" s="14" t="s">
        <v>1401</v>
      </c>
      <c r="V2227" s="14">
        <v>31934081</v>
      </c>
      <c r="X2227" s="14" t="s">
        <v>3707</v>
      </c>
      <c r="Y2227" s="14" t="s">
        <v>215</v>
      </c>
      <c r="Z2227" s="14">
        <v>20990</v>
      </c>
      <c r="AA2227" s="14" t="s">
        <v>3708</v>
      </c>
      <c r="AB2227" s="14">
        <v>40001</v>
      </c>
      <c r="AE2227" s="14" t="s">
        <v>1400</v>
      </c>
      <c r="AF2227" s="14" t="s">
        <v>1400</v>
      </c>
      <c r="AG2227" s="14" t="s">
        <v>92</v>
      </c>
    </row>
    <row r="2228" spans="2:33">
      <c r="B2228" s="14">
        <f>10000000+INDEX(编号表!$B:$B,MATCH(H2228,编号表!$A:$A,0))*100000+INDEX(编号表!$F:$F,MATCH(D2228,编号表!$E:$E,0))*10000+INDEX(编号表!$D:$D,MATCH(AG2228,编号表!$C:$C,0))*1000+F2228</f>
        <v>11914080</v>
      </c>
      <c r="C2228" s="14" t="s">
        <v>3709</v>
      </c>
      <c r="D2228" s="14" t="s">
        <v>72</v>
      </c>
      <c r="E2228" s="14" t="s">
        <v>92</v>
      </c>
      <c r="F2228" s="14">
        <v>80</v>
      </c>
      <c r="G2228" s="14">
        <v>60</v>
      </c>
      <c r="H2228" s="14" t="s">
        <v>1400</v>
      </c>
      <c r="I2228" s="14" t="s">
        <v>75</v>
      </c>
      <c r="J2228" s="14" t="s">
        <v>201</v>
      </c>
      <c r="K2228" s="14">
        <v>1</v>
      </c>
      <c r="L2228" s="14" t="s">
        <v>1400</v>
      </c>
      <c r="N2228" s="14">
        <v>0</v>
      </c>
      <c r="O2228" s="14" t="b">
        <v>1</v>
      </c>
      <c r="Q2228" s="14" t="b">
        <v>0</v>
      </c>
      <c r="R2228" s="14">
        <v>1</v>
      </c>
      <c r="S2228" s="14" t="s">
        <v>77</v>
      </c>
      <c r="T2228" s="14">
        <v>999</v>
      </c>
      <c r="U2228" s="14" t="s">
        <v>1401</v>
      </c>
      <c r="V2228" s="14">
        <v>31914080</v>
      </c>
      <c r="X2228" s="14" t="s">
        <v>3710</v>
      </c>
      <c r="Y2228" s="14" t="s">
        <v>215</v>
      </c>
      <c r="Z2228" s="14">
        <v>20991</v>
      </c>
      <c r="AA2228" s="14" t="s">
        <v>3711</v>
      </c>
      <c r="AB2228" s="14">
        <v>40001</v>
      </c>
      <c r="AE2228" s="14" t="s">
        <v>1400</v>
      </c>
      <c r="AF2228" s="14" t="s">
        <v>1400</v>
      </c>
      <c r="AG2228" s="14" t="s">
        <v>92</v>
      </c>
    </row>
    <row r="2229" spans="2:33">
      <c r="B2229" s="14">
        <f>10000000+INDEX(编号表!$B:$B,MATCH(H2229,编号表!$A:$A,0))*100000+INDEX(编号表!$F:$F,MATCH(D2229,编号表!$E:$E,0))*10000+INDEX(编号表!$D:$D,MATCH(AG2229,编号表!$C:$C,0))*1000+F2229</f>
        <v>11924081</v>
      </c>
      <c r="C2229" s="14" t="s">
        <v>3709</v>
      </c>
      <c r="D2229" s="14" t="s">
        <v>112</v>
      </c>
      <c r="E2229" s="14" t="s">
        <v>92</v>
      </c>
      <c r="F2229" s="14">
        <v>81</v>
      </c>
      <c r="G2229" s="14">
        <v>60</v>
      </c>
      <c r="H2229" s="14" t="s">
        <v>1400</v>
      </c>
      <c r="I2229" s="14" t="s">
        <v>75</v>
      </c>
      <c r="J2229" s="14" t="s">
        <v>201</v>
      </c>
      <c r="K2229" s="14">
        <v>1</v>
      </c>
      <c r="L2229" s="14" t="s">
        <v>1400</v>
      </c>
      <c r="N2229" s="14">
        <v>0</v>
      </c>
      <c r="O2229" s="14" t="b">
        <v>1</v>
      </c>
      <c r="Q2229" s="14" t="b">
        <v>0</v>
      </c>
      <c r="R2229" s="14">
        <v>1</v>
      </c>
      <c r="S2229" s="14" t="s">
        <v>77</v>
      </c>
      <c r="T2229" s="14">
        <v>999</v>
      </c>
      <c r="U2229" s="14" t="s">
        <v>1401</v>
      </c>
      <c r="V2229" s="14">
        <v>31924081</v>
      </c>
      <c r="X2229" s="14" t="s">
        <v>3712</v>
      </c>
      <c r="Y2229" s="14" t="s">
        <v>215</v>
      </c>
      <c r="Z2229" s="14">
        <v>20992</v>
      </c>
      <c r="AA2229" s="14" t="s">
        <v>3713</v>
      </c>
      <c r="AB2229" s="14">
        <v>40001</v>
      </c>
      <c r="AE2229" s="14" t="s">
        <v>1400</v>
      </c>
      <c r="AF2229" s="14" t="s">
        <v>1400</v>
      </c>
      <c r="AG2229" s="14" t="s">
        <v>92</v>
      </c>
    </row>
    <row r="2230" spans="2:33">
      <c r="B2230" s="14">
        <f>10000000+INDEX(编号表!$B:$B,MATCH(H2230,编号表!$A:$A,0))*100000+INDEX(编号表!$F:$F,MATCH(D2230,编号表!$E:$E,0))*10000+INDEX(编号表!$D:$D,MATCH(AG2230,编号表!$C:$C,0))*1000+F2230</f>
        <v>11934082</v>
      </c>
      <c r="C2230" s="14" t="s">
        <v>3709</v>
      </c>
      <c r="D2230" s="14" t="s">
        <v>276</v>
      </c>
      <c r="E2230" s="14" t="s">
        <v>92</v>
      </c>
      <c r="F2230" s="14">
        <v>82</v>
      </c>
      <c r="G2230" s="14">
        <v>60</v>
      </c>
      <c r="H2230" s="14" t="s">
        <v>1400</v>
      </c>
      <c r="I2230" s="14" t="s">
        <v>75</v>
      </c>
      <c r="J2230" s="14" t="s">
        <v>201</v>
      </c>
      <c r="K2230" s="14">
        <v>1</v>
      </c>
      <c r="L2230" s="14" t="s">
        <v>1400</v>
      </c>
      <c r="N2230" s="14">
        <v>0</v>
      </c>
      <c r="O2230" s="14" t="b">
        <v>1</v>
      </c>
      <c r="Q2230" s="14" t="b">
        <v>0</v>
      </c>
      <c r="R2230" s="14">
        <v>1</v>
      </c>
      <c r="S2230" s="14" t="s">
        <v>77</v>
      </c>
      <c r="T2230" s="14">
        <v>999</v>
      </c>
      <c r="U2230" s="14" t="s">
        <v>1401</v>
      </c>
      <c r="V2230" s="14">
        <v>31934082</v>
      </c>
      <c r="X2230" s="14" t="s">
        <v>3714</v>
      </c>
      <c r="Y2230" s="14" t="s">
        <v>215</v>
      </c>
      <c r="Z2230" s="14">
        <v>20993</v>
      </c>
      <c r="AA2230" s="14" t="s">
        <v>3715</v>
      </c>
      <c r="AB2230" s="14">
        <v>40001</v>
      </c>
      <c r="AE2230" s="14" t="s">
        <v>1400</v>
      </c>
      <c r="AF2230" s="14" t="s">
        <v>1400</v>
      </c>
      <c r="AG2230" s="14" t="s">
        <v>92</v>
      </c>
    </row>
    <row r="2231" spans="2:33">
      <c r="B2231" s="14">
        <f>10000000+INDEX(编号表!$B:$B,MATCH(H2231,编号表!$A:$A,0))*100000+INDEX(编号表!$F:$F,MATCH(D2231,编号表!$E:$E,0))*10000+INDEX(编号表!$D:$D,MATCH(AG2231,编号表!$C:$C,0))*1000+F2231</f>
        <v>11914081</v>
      </c>
      <c r="C2231" s="14" t="s">
        <v>3716</v>
      </c>
      <c r="D2231" s="14" t="s">
        <v>72</v>
      </c>
      <c r="E2231" s="14" t="s">
        <v>92</v>
      </c>
      <c r="F2231" s="14">
        <v>81</v>
      </c>
      <c r="G2231" s="14">
        <v>60</v>
      </c>
      <c r="H2231" s="14" t="s">
        <v>1400</v>
      </c>
      <c r="I2231" s="14" t="s">
        <v>75</v>
      </c>
      <c r="J2231" s="14" t="s">
        <v>201</v>
      </c>
      <c r="K2231" s="14">
        <v>1</v>
      </c>
      <c r="L2231" s="14" t="s">
        <v>1400</v>
      </c>
      <c r="N2231" s="14">
        <v>0</v>
      </c>
      <c r="O2231" s="14" t="b">
        <v>1</v>
      </c>
      <c r="Q2231" s="14" t="b">
        <v>0</v>
      </c>
      <c r="R2231" s="14">
        <v>1</v>
      </c>
      <c r="S2231" s="14" t="s">
        <v>77</v>
      </c>
      <c r="T2231" s="14">
        <v>999</v>
      </c>
      <c r="U2231" s="14" t="s">
        <v>1401</v>
      </c>
      <c r="V2231" s="14">
        <v>31914081</v>
      </c>
      <c r="X2231" s="14" t="s">
        <v>3717</v>
      </c>
      <c r="Y2231" s="14" t="s">
        <v>215</v>
      </c>
      <c r="Z2231" s="14">
        <v>20994</v>
      </c>
      <c r="AA2231" s="14" t="s">
        <v>3718</v>
      </c>
      <c r="AB2231" s="14">
        <v>40001</v>
      </c>
      <c r="AE2231" s="14" t="s">
        <v>1400</v>
      </c>
      <c r="AF2231" s="14" t="s">
        <v>1400</v>
      </c>
      <c r="AG2231" s="14" t="s">
        <v>92</v>
      </c>
    </row>
    <row r="2232" spans="2:33">
      <c r="B2232" s="14">
        <f>10000000+INDEX(编号表!$B:$B,MATCH(H2232,编号表!$A:$A,0))*100000+INDEX(编号表!$F:$F,MATCH(D2232,编号表!$E:$E,0))*10000+INDEX(编号表!$D:$D,MATCH(AG2232,编号表!$C:$C,0))*1000+F2232</f>
        <v>11924082</v>
      </c>
      <c r="C2232" s="14" t="s">
        <v>3716</v>
      </c>
      <c r="D2232" s="14" t="s">
        <v>112</v>
      </c>
      <c r="E2232" s="14" t="s">
        <v>92</v>
      </c>
      <c r="F2232" s="14">
        <v>82</v>
      </c>
      <c r="G2232" s="14">
        <v>60</v>
      </c>
      <c r="H2232" s="14" t="s">
        <v>1400</v>
      </c>
      <c r="I2232" s="14" t="s">
        <v>75</v>
      </c>
      <c r="J2232" s="14" t="s">
        <v>201</v>
      </c>
      <c r="K2232" s="14">
        <v>1</v>
      </c>
      <c r="L2232" s="14" t="s">
        <v>1400</v>
      </c>
      <c r="N2232" s="14">
        <v>0</v>
      </c>
      <c r="O2232" s="14" t="b">
        <v>1</v>
      </c>
      <c r="Q2232" s="14" t="b">
        <v>0</v>
      </c>
      <c r="R2232" s="14">
        <v>1</v>
      </c>
      <c r="S2232" s="14" t="s">
        <v>77</v>
      </c>
      <c r="T2232" s="14">
        <v>999</v>
      </c>
      <c r="U2232" s="14" t="s">
        <v>1401</v>
      </c>
      <c r="V2232" s="14">
        <v>31924082</v>
      </c>
      <c r="X2232" s="14" t="s">
        <v>3719</v>
      </c>
      <c r="Y2232" s="14" t="s">
        <v>215</v>
      </c>
      <c r="Z2232" s="14">
        <v>20995</v>
      </c>
      <c r="AA2232" s="14" t="s">
        <v>3720</v>
      </c>
      <c r="AB2232" s="14">
        <v>40001</v>
      </c>
      <c r="AE2232" s="14" t="s">
        <v>1400</v>
      </c>
      <c r="AF2232" s="14" t="s">
        <v>1400</v>
      </c>
      <c r="AG2232" s="14" t="s">
        <v>92</v>
      </c>
    </row>
    <row r="2233" spans="2:33">
      <c r="B2233" s="14">
        <f>10000000+INDEX(编号表!$B:$B,MATCH(H2233,编号表!$A:$A,0))*100000+INDEX(编号表!$F:$F,MATCH(D2233,编号表!$E:$E,0))*10000+INDEX(编号表!$D:$D,MATCH(AG2233,编号表!$C:$C,0))*1000+F2233</f>
        <v>11934083</v>
      </c>
      <c r="C2233" s="14" t="s">
        <v>3716</v>
      </c>
      <c r="D2233" s="14" t="s">
        <v>276</v>
      </c>
      <c r="E2233" s="14" t="s">
        <v>92</v>
      </c>
      <c r="F2233" s="14">
        <v>83</v>
      </c>
      <c r="G2233" s="14">
        <v>60</v>
      </c>
      <c r="H2233" s="14" t="s">
        <v>1400</v>
      </c>
      <c r="I2233" s="14" t="s">
        <v>75</v>
      </c>
      <c r="J2233" s="14" t="s">
        <v>201</v>
      </c>
      <c r="K2233" s="14">
        <v>1</v>
      </c>
      <c r="L2233" s="14" t="s">
        <v>1400</v>
      </c>
      <c r="N2233" s="14">
        <v>0</v>
      </c>
      <c r="O2233" s="14" t="b">
        <v>1</v>
      </c>
      <c r="Q2233" s="14" t="b">
        <v>0</v>
      </c>
      <c r="R2233" s="14">
        <v>1</v>
      </c>
      <c r="S2233" s="14" t="s">
        <v>77</v>
      </c>
      <c r="T2233" s="14">
        <v>999</v>
      </c>
      <c r="U2233" s="14" t="s">
        <v>1401</v>
      </c>
      <c r="V2233" s="14">
        <v>31934083</v>
      </c>
      <c r="X2233" s="14" t="s">
        <v>3721</v>
      </c>
      <c r="Y2233" s="14" t="s">
        <v>215</v>
      </c>
      <c r="Z2233" s="14">
        <v>20996</v>
      </c>
      <c r="AA2233" s="14" t="s">
        <v>3722</v>
      </c>
      <c r="AB2233" s="14">
        <v>40001</v>
      </c>
      <c r="AE2233" s="14" t="s">
        <v>1400</v>
      </c>
      <c r="AF2233" s="14" t="s">
        <v>1400</v>
      </c>
      <c r="AG2233" s="14" t="s">
        <v>92</v>
      </c>
    </row>
    <row r="2234" spans="2:33">
      <c r="B2234" s="14">
        <f>10000000+INDEX(编号表!$B:$B,MATCH(H2234,编号表!$A:$A,0))*100000+INDEX(编号表!$F:$F,MATCH(D2234,编号表!$E:$E,0))*10000+INDEX(编号表!$D:$D,MATCH(AG2234,编号表!$C:$C,0))*1000+F2234</f>
        <v>11914082</v>
      </c>
      <c r="C2234" s="14" t="s">
        <v>3723</v>
      </c>
      <c r="D2234" s="14" t="s">
        <v>72</v>
      </c>
      <c r="E2234" s="14" t="s">
        <v>92</v>
      </c>
      <c r="F2234" s="14">
        <v>82</v>
      </c>
      <c r="G2234" s="14">
        <v>60</v>
      </c>
      <c r="H2234" s="14" t="s">
        <v>1400</v>
      </c>
      <c r="I2234" s="14" t="s">
        <v>75</v>
      </c>
      <c r="J2234" s="14" t="s">
        <v>201</v>
      </c>
      <c r="K2234" s="14">
        <v>1</v>
      </c>
      <c r="L2234" s="14" t="s">
        <v>1400</v>
      </c>
      <c r="N2234" s="14">
        <v>0</v>
      </c>
      <c r="O2234" s="14" t="b">
        <v>1</v>
      </c>
      <c r="Q2234" s="14" t="b">
        <v>0</v>
      </c>
      <c r="R2234" s="14">
        <v>1</v>
      </c>
      <c r="S2234" s="14" t="s">
        <v>77</v>
      </c>
      <c r="T2234" s="14">
        <v>999</v>
      </c>
      <c r="U2234" s="14" t="s">
        <v>1401</v>
      </c>
      <c r="V2234" s="14">
        <v>31914082</v>
      </c>
      <c r="X2234" s="14" t="s">
        <v>3724</v>
      </c>
      <c r="Y2234" s="14" t="s">
        <v>215</v>
      </c>
      <c r="Z2234" s="14">
        <v>20997</v>
      </c>
      <c r="AA2234" s="14" t="s">
        <v>3725</v>
      </c>
      <c r="AB2234" s="14">
        <v>40001</v>
      </c>
      <c r="AE2234" s="14" t="s">
        <v>1400</v>
      </c>
      <c r="AF2234" s="14" t="s">
        <v>1400</v>
      </c>
      <c r="AG2234" s="14" t="s">
        <v>92</v>
      </c>
    </row>
    <row r="2235" spans="2:33">
      <c r="B2235" s="14">
        <f>10000000+INDEX(编号表!$B:$B,MATCH(H2235,编号表!$A:$A,0))*100000+INDEX(编号表!$F:$F,MATCH(D2235,编号表!$E:$E,0))*10000+INDEX(编号表!$D:$D,MATCH(AG2235,编号表!$C:$C,0))*1000+F2235</f>
        <v>11924083</v>
      </c>
      <c r="C2235" s="14" t="s">
        <v>3723</v>
      </c>
      <c r="D2235" s="14" t="s">
        <v>112</v>
      </c>
      <c r="E2235" s="14" t="s">
        <v>92</v>
      </c>
      <c r="F2235" s="14">
        <v>83</v>
      </c>
      <c r="G2235" s="14">
        <v>60</v>
      </c>
      <c r="H2235" s="14" t="s">
        <v>1400</v>
      </c>
      <c r="I2235" s="14" t="s">
        <v>75</v>
      </c>
      <c r="J2235" s="14" t="s">
        <v>201</v>
      </c>
      <c r="K2235" s="14">
        <v>1</v>
      </c>
      <c r="L2235" s="14" t="s">
        <v>1400</v>
      </c>
      <c r="N2235" s="14">
        <v>0</v>
      </c>
      <c r="O2235" s="14" t="b">
        <v>1</v>
      </c>
      <c r="Q2235" s="14" t="b">
        <v>0</v>
      </c>
      <c r="R2235" s="14">
        <v>1</v>
      </c>
      <c r="S2235" s="14" t="s">
        <v>77</v>
      </c>
      <c r="T2235" s="14">
        <v>999</v>
      </c>
      <c r="U2235" s="14" t="s">
        <v>1401</v>
      </c>
      <c r="V2235" s="14">
        <v>31924083</v>
      </c>
      <c r="X2235" s="14" t="s">
        <v>3726</v>
      </c>
      <c r="Y2235" s="14" t="s">
        <v>215</v>
      </c>
      <c r="Z2235" s="14">
        <v>20998</v>
      </c>
      <c r="AA2235" s="14" t="s">
        <v>3727</v>
      </c>
      <c r="AB2235" s="14">
        <v>40001</v>
      </c>
      <c r="AE2235" s="14" t="s">
        <v>1400</v>
      </c>
      <c r="AF2235" s="14" t="s">
        <v>1400</v>
      </c>
      <c r="AG2235" s="14" t="s">
        <v>92</v>
      </c>
    </row>
    <row r="2236" spans="2:33">
      <c r="B2236" s="14">
        <f>10000000+INDEX(编号表!$B:$B,MATCH(H2236,编号表!$A:$A,0))*100000+INDEX(编号表!$F:$F,MATCH(D2236,编号表!$E:$E,0))*10000+INDEX(编号表!$D:$D,MATCH(AG2236,编号表!$C:$C,0))*1000+F2236</f>
        <v>11934084</v>
      </c>
      <c r="C2236" s="14" t="s">
        <v>3723</v>
      </c>
      <c r="D2236" s="14" t="s">
        <v>276</v>
      </c>
      <c r="E2236" s="14" t="s">
        <v>92</v>
      </c>
      <c r="F2236" s="14">
        <v>84</v>
      </c>
      <c r="G2236" s="14">
        <v>60</v>
      </c>
      <c r="H2236" s="14" t="s">
        <v>1400</v>
      </c>
      <c r="I2236" s="14" t="s">
        <v>75</v>
      </c>
      <c r="J2236" s="14" t="s">
        <v>201</v>
      </c>
      <c r="K2236" s="14">
        <v>1</v>
      </c>
      <c r="L2236" s="14" t="s">
        <v>1400</v>
      </c>
      <c r="N2236" s="14">
        <v>0</v>
      </c>
      <c r="O2236" s="14" t="b">
        <v>1</v>
      </c>
      <c r="Q2236" s="14" t="b">
        <v>0</v>
      </c>
      <c r="R2236" s="14">
        <v>1</v>
      </c>
      <c r="S2236" s="14" t="s">
        <v>77</v>
      </c>
      <c r="T2236" s="14">
        <v>999</v>
      </c>
      <c r="U2236" s="14" t="s">
        <v>1401</v>
      </c>
      <c r="V2236" s="14">
        <v>31934084</v>
      </c>
      <c r="X2236" s="14" t="s">
        <v>3728</v>
      </c>
      <c r="Y2236" s="14" t="s">
        <v>215</v>
      </c>
      <c r="Z2236" s="14">
        <v>20999</v>
      </c>
      <c r="AA2236" s="14" t="s">
        <v>3729</v>
      </c>
      <c r="AB2236" s="14">
        <v>40001</v>
      </c>
      <c r="AE2236" s="14" t="s">
        <v>1400</v>
      </c>
      <c r="AF2236" s="14" t="s">
        <v>1400</v>
      </c>
      <c r="AG2236" s="14" t="s">
        <v>92</v>
      </c>
    </row>
    <row r="2237" spans="2:33">
      <c r="B2237" s="14">
        <f>10000000+INDEX(编号表!$B:$B,MATCH(H2237,编号表!$A:$A,0))*100000+INDEX(编号表!$F:$F,MATCH(D2237,编号表!$E:$E,0))*10000+INDEX(编号表!$D:$D,MATCH(AG2237,编号表!$C:$C,0))*1000+F2237</f>
        <v>11914083</v>
      </c>
      <c r="C2237" s="14" t="s">
        <v>3730</v>
      </c>
      <c r="D2237" s="14" t="s">
        <v>72</v>
      </c>
      <c r="E2237" s="14" t="s">
        <v>92</v>
      </c>
      <c r="F2237" s="14">
        <v>83</v>
      </c>
      <c r="G2237" s="14">
        <v>60</v>
      </c>
      <c r="H2237" s="14" t="s">
        <v>1400</v>
      </c>
      <c r="I2237" s="14" t="s">
        <v>75</v>
      </c>
      <c r="J2237" s="14" t="s">
        <v>201</v>
      </c>
      <c r="K2237" s="14">
        <v>1</v>
      </c>
      <c r="L2237" s="14" t="s">
        <v>1400</v>
      </c>
      <c r="N2237" s="14">
        <v>0</v>
      </c>
      <c r="O2237" s="14" t="b">
        <v>1</v>
      </c>
      <c r="Q2237" s="14" t="b">
        <v>0</v>
      </c>
      <c r="R2237" s="14">
        <v>1</v>
      </c>
      <c r="S2237" s="14" t="s">
        <v>77</v>
      </c>
      <c r="T2237" s="14">
        <v>999</v>
      </c>
      <c r="U2237" s="14" t="s">
        <v>1401</v>
      </c>
      <c r="V2237" s="14">
        <v>31914083</v>
      </c>
      <c r="X2237" s="14" t="s">
        <v>3731</v>
      </c>
      <c r="Y2237" s="14" t="s">
        <v>215</v>
      </c>
      <c r="Z2237" s="14">
        <v>21000</v>
      </c>
      <c r="AA2237" s="14" t="s">
        <v>3732</v>
      </c>
      <c r="AB2237" s="14">
        <v>40001</v>
      </c>
      <c r="AE2237" s="14" t="s">
        <v>1400</v>
      </c>
      <c r="AF2237" s="14" t="s">
        <v>1400</v>
      </c>
      <c r="AG2237" s="14" t="s">
        <v>92</v>
      </c>
    </row>
    <row r="2238" spans="2:33">
      <c r="B2238" s="14">
        <f>10000000+INDEX(编号表!$B:$B,MATCH(H2238,编号表!$A:$A,0))*100000+INDEX(编号表!$F:$F,MATCH(D2238,编号表!$E:$E,0))*10000+INDEX(编号表!$D:$D,MATCH(AG2238,编号表!$C:$C,0))*1000+F2238</f>
        <v>11924084</v>
      </c>
      <c r="C2238" s="14" t="s">
        <v>3730</v>
      </c>
      <c r="D2238" s="14" t="s">
        <v>112</v>
      </c>
      <c r="E2238" s="14" t="s">
        <v>92</v>
      </c>
      <c r="F2238" s="14">
        <v>84</v>
      </c>
      <c r="G2238" s="14">
        <v>60</v>
      </c>
      <c r="H2238" s="14" t="s">
        <v>1400</v>
      </c>
      <c r="I2238" s="14" t="s">
        <v>75</v>
      </c>
      <c r="J2238" s="14" t="s">
        <v>201</v>
      </c>
      <c r="K2238" s="14">
        <v>1</v>
      </c>
      <c r="L2238" s="14" t="s">
        <v>1400</v>
      </c>
      <c r="N2238" s="14">
        <v>0</v>
      </c>
      <c r="O2238" s="14" t="b">
        <v>1</v>
      </c>
      <c r="Q2238" s="14" t="b">
        <v>0</v>
      </c>
      <c r="R2238" s="14">
        <v>1</v>
      </c>
      <c r="S2238" s="14" t="s">
        <v>77</v>
      </c>
      <c r="T2238" s="14">
        <v>999</v>
      </c>
      <c r="U2238" s="14" t="s">
        <v>1401</v>
      </c>
      <c r="V2238" s="14">
        <v>31924084</v>
      </c>
      <c r="X2238" s="14" t="s">
        <v>3733</v>
      </c>
      <c r="Y2238" s="14" t="s">
        <v>215</v>
      </c>
      <c r="Z2238" s="14">
        <v>21001</v>
      </c>
      <c r="AA2238" s="14" t="s">
        <v>3734</v>
      </c>
      <c r="AB2238" s="14">
        <v>40001</v>
      </c>
      <c r="AE2238" s="14" t="s">
        <v>1400</v>
      </c>
      <c r="AF2238" s="14" t="s">
        <v>1400</v>
      </c>
      <c r="AG2238" s="14" t="s">
        <v>92</v>
      </c>
    </row>
    <row r="2239" spans="2:33">
      <c r="B2239" s="14">
        <f>10000000+INDEX(编号表!$B:$B,MATCH(H2239,编号表!$A:$A,0))*100000+INDEX(编号表!$F:$F,MATCH(D2239,编号表!$E:$E,0))*10000+INDEX(编号表!$D:$D,MATCH(AG2239,编号表!$C:$C,0))*1000+F2239</f>
        <v>11934085</v>
      </c>
      <c r="C2239" s="14" t="s">
        <v>3730</v>
      </c>
      <c r="D2239" s="14" t="s">
        <v>276</v>
      </c>
      <c r="E2239" s="14" t="s">
        <v>92</v>
      </c>
      <c r="F2239" s="14">
        <v>85</v>
      </c>
      <c r="G2239" s="14">
        <v>60</v>
      </c>
      <c r="H2239" s="14" t="s">
        <v>1400</v>
      </c>
      <c r="I2239" s="14" t="s">
        <v>75</v>
      </c>
      <c r="J2239" s="14" t="s">
        <v>201</v>
      </c>
      <c r="K2239" s="14">
        <v>1</v>
      </c>
      <c r="L2239" s="14" t="s">
        <v>1400</v>
      </c>
      <c r="N2239" s="14">
        <v>0</v>
      </c>
      <c r="O2239" s="14" t="b">
        <v>1</v>
      </c>
      <c r="Q2239" s="14" t="b">
        <v>0</v>
      </c>
      <c r="R2239" s="14">
        <v>1</v>
      </c>
      <c r="S2239" s="14" t="s">
        <v>77</v>
      </c>
      <c r="T2239" s="14">
        <v>999</v>
      </c>
      <c r="U2239" s="14" t="s">
        <v>1401</v>
      </c>
      <c r="V2239" s="14">
        <v>31934085</v>
      </c>
      <c r="X2239" s="14" t="s">
        <v>3735</v>
      </c>
      <c r="Y2239" s="14" t="s">
        <v>215</v>
      </c>
      <c r="Z2239" s="14">
        <v>21002</v>
      </c>
      <c r="AA2239" s="14" t="s">
        <v>3736</v>
      </c>
      <c r="AB2239" s="14">
        <v>40001</v>
      </c>
      <c r="AE2239" s="14" t="s">
        <v>1400</v>
      </c>
      <c r="AF2239" s="14" t="s">
        <v>1400</v>
      </c>
      <c r="AG2239" s="14" t="s">
        <v>92</v>
      </c>
    </row>
    <row r="2240" spans="2:33">
      <c r="B2240" s="14">
        <f>10000000+INDEX(编号表!$B:$B,MATCH(H2240,编号表!$A:$A,0))*100000+INDEX(编号表!$F:$F,MATCH(D2240,编号表!$E:$E,0))*10000+INDEX(编号表!$D:$D,MATCH(AG2240,编号表!$C:$C,0))*1000+F2240</f>
        <v>11914084</v>
      </c>
      <c r="C2240" s="14" t="s">
        <v>3737</v>
      </c>
      <c r="D2240" s="14" t="s">
        <v>72</v>
      </c>
      <c r="E2240" s="14" t="s">
        <v>92</v>
      </c>
      <c r="F2240" s="14">
        <v>84</v>
      </c>
      <c r="G2240" s="14">
        <v>60</v>
      </c>
      <c r="H2240" s="14" t="s">
        <v>1400</v>
      </c>
      <c r="I2240" s="14" t="s">
        <v>75</v>
      </c>
      <c r="J2240" s="14" t="s">
        <v>201</v>
      </c>
      <c r="K2240" s="14">
        <v>1</v>
      </c>
      <c r="L2240" s="14" t="s">
        <v>1400</v>
      </c>
      <c r="N2240" s="14">
        <v>0</v>
      </c>
      <c r="O2240" s="14" t="b">
        <v>1</v>
      </c>
      <c r="Q2240" s="14" t="b">
        <v>0</v>
      </c>
      <c r="R2240" s="14">
        <v>1</v>
      </c>
      <c r="S2240" s="14" t="s">
        <v>77</v>
      </c>
      <c r="T2240" s="14">
        <v>999</v>
      </c>
      <c r="U2240" s="14" t="s">
        <v>1401</v>
      </c>
      <c r="V2240" s="14">
        <v>31914084</v>
      </c>
      <c r="X2240" s="14" t="s">
        <v>3738</v>
      </c>
      <c r="Y2240" s="14" t="s">
        <v>215</v>
      </c>
      <c r="Z2240" s="14">
        <v>21003</v>
      </c>
      <c r="AA2240" s="14" t="s">
        <v>3739</v>
      </c>
      <c r="AB2240" s="14">
        <v>40001</v>
      </c>
      <c r="AE2240" s="14" t="s">
        <v>1400</v>
      </c>
      <c r="AF2240" s="14" t="s">
        <v>1400</v>
      </c>
      <c r="AG2240" s="14" t="s">
        <v>92</v>
      </c>
    </row>
    <row r="2241" spans="2:33">
      <c r="B2241" s="14">
        <f>10000000+INDEX(编号表!$B:$B,MATCH(H2241,编号表!$A:$A,0))*100000+INDEX(编号表!$F:$F,MATCH(D2241,编号表!$E:$E,0))*10000+INDEX(编号表!$D:$D,MATCH(AG2241,编号表!$C:$C,0))*1000+F2241</f>
        <v>11924085</v>
      </c>
      <c r="C2241" s="14" t="s">
        <v>3737</v>
      </c>
      <c r="D2241" s="14" t="s">
        <v>112</v>
      </c>
      <c r="E2241" s="14" t="s">
        <v>92</v>
      </c>
      <c r="F2241" s="14">
        <v>85</v>
      </c>
      <c r="G2241" s="14">
        <v>60</v>
      </c>
      <c r="H2241" s="14" t="s">
        <v>1400</v>
      </c>
      <c r="I2241" s="14" t="s">
        <v>75</v>
      </c>
      <c r="J2241" s="14" t="s">
        <v>201</v>
      </c>
      <c r="K2241" s="14">
        <v>1</v>
      </c>
      <c r="L2241" s="14" t="s">
        <v>1400</v>
      </c>
      <c r="N2241" s="14">
        <v>0</v>
      </c>
      <c r="O2241" s="14" t="b">
        <v>1</v>
      </c>
      <c r="Q2241" s="14" t="b">
        <v>0</v>
      </c>
      <c r="R2241" s="14">
        <v>1</v>
      </c>
      <c r="S2241" s="14" t="s">
        <v>77</v>
      </c>
      <c r="T2241" s="14">
        <v>999</v>
      </c>
      <c r="U2241" s="14" t="s">
        <v>1401</v>
      </c>
      <c r="V2241" s="14">
        <v>31924085</v>
      </c>
      <c r="X2241" s="14" t="s">
        <v>3740</v>
      </c>
      <c r="Y2241" s="14" t="s">
        <v>215</v>
      </c>
      <c r="Z2241" s="14">
        <v>21004</v>
      </c>
      <c r="AA2241" s="14" t="s">
        <v>3741</v>
      </c>
      <c r="AB2241" s="14">
        <v>40001</v>
      </c>
      <c r="AE2241" s="14" t="s">
        <v>1400</v>
      </c>
      <c r="AF2241" s="14" t="s">
        <v>1400</v>
      </c>
      <c r="AG2241" s="14" t="s">
        <v>92</v>
      </c>
    </row>
    <row r="2242" spans="2:33">
      <c r="B2242" s="14">
        <f>10000000+INDEX(编号表!$B:$B,MATCH(H2242,编号表!$A:$A,0))*100000+INDEX(编号表!$F:$F,MATCH(D2242,编号表!$E:$E,0))*10000+INDEX(编号表!$D:$D,MATCH(AG2242,编号表!$C:$C,0))*1000+F2242</f>
        <v>11934086</v>
      </c>
      <c r="C2242" s="14" t="s">
        <v>3737</v>
      </c>
      <c r="D2242" s="14" t="s">
        <v>276</v>
      </c>
      <c r="E2242" s="14" t="s">
        <v>92</v>
      </c>
      <c r="F2242" s="14">
        <v>86</v>
      </c>
      <c r="G2242" s="14">
        <v>60</v>
      </c>
      <c r="H2242" s="14" t="s">
        <v>1400</v>
      </c>
      <c r="I2242" s="14" t="s">
        <v>75</v>
      </c>
      <c r="J2242" s="14" t="s">
        <v>201</v>
      </c>
      <c r="K2242" s="14">
        <v>1</v>
      </c>
      <c r="L2242" s="14" t="s">
        <v>1400</v>
      </c>
      <c r="N2242" s="14">
        <v>0</v>
      </c>
      <c r="O2242" s="14" t="b">
        <v>1</v>
      </c>
      <c r="Q2242" s="14" t="b">
        <v>0</v>
      </c>
      <c r="R2242" s="14">
        <v>1</v>
      </c>
      <c r="S2242" s="14" t="s">
        <v>77</v>
      </c>
      <c r="T2242" s="14">
        <v>999</v>
      </c>
      <c r="U2242" s="14" t="s">
        <v>1401</v>
      </c>
      <c r="V2242" s="14">
        <v>31934086</v>
      </c>
      <c r="X2242" s="14" t="s">
        <v>3742</v>
      </c>
      <c r="Y2242" s="14" t="s">
        <v>215</v>
      </c>
      <c r="Z2242" s="14">
        <v>21005</v>
      </c>
      <c r="AA2242" s="14" t="s">
        <v>3743</v>
      </c>
      <c r="AB2242" s="14">
        <v>40001</v>
      </c>
      <c r="AE2242" s="14" t="s">
        <v>1400</v>
      </c>
      <c r="AF2242" s="14" t="s">
        <v>1400</v>
      </c>
      <c r="AG2242" s="14" t="s">
        <v>92</v>
      </c>
    </row>
    <row r="2243" spans="2:33">
      <c r="B2243" s="14">
        <f>10000000+INDEX(编号表!$B:$B,MATCH(H2243,编号表!$A:$A,0))*100000+INDEX(编号表!$F:$F,MATCH(D2243,编号表!$E:$E,0))*10000+INDEX(编号表!$D:$D,MATCH(AG2243,编号表!$C:$C,0))*1000+F2243</f>
        <v>11914085</v>
      </c>
      <c r="C2243" s="14" t="s">
        <v>3744</v>
      </c>
      <c r="D2243" s="14" t="s">
        <v>72</v>
      </c>
      <c r="E2243" s="14" t="s">
        <v>92</v>
      </c>
      <c r="F2243" s="14">
        <v>85</v>
      </c>
      <c r="G2243" s="14">
        <v>60</v>
      </c>
      <c r="H2243" s="14" t="s">
        <v>1400</v>
      </c>
      <c r="I2243" s="14" t="s">
        <v>75</v>
      </c>
      <c r="J2243" s="14" t="s">
        <v>201</v>
      </c>
      <c r="K2243" s="14">
        <v>1</v>
      </c>
      <c r="L2243" s="14" t="s">
        <v>1400</v>
      </c>
      <c r="N2243" s="14">
        <v>0</v>
      </c>
      <c r="O2243" s="14" t="b">
        <v>1</v>
      </c>
      <c r="Q2243" s="14" t="b">
        <v>0</v>
      </c>
      <c r="R2243" s="14">
        <v>1</v>
      </c>
      <c r="S2243" s="14" t="s">
        <v>77</v>
      </c>
      <c r="T2243" s="14">
        <v>999</v>
      </c>
      <c r="U2243" s="14" t="s">
        <v>1401</v>
      </c>
      <c r="V2243" s="14">
        <v>31914085</v>
      </c>
      <c r="X2243" s="14" t="s">
        <v>3745</v>
      </c>
      <c r="Y2243" s="14" t="s">
        <v>215</v>
      </c>
      <c r="Z2243" s="14">
        <v>21006</v>
      </c>
      <c r="AA2243" s="14" t="s">
        <v>3746</v>
      </c>
      <c r="AB2243" s="14">
        <v>40001</v>
      </c>
      <c r="AE2243" s="14" t="s">
        <v>1400</v>
      </c>
      <c r="AF2243" s="14" t="s">
        <v>1400</v>
      </c>
      <c r="AG2243" s="14" t="s">
        <v>92</v>
      </c>
    </row>
    <row r="2244" spans="2:33">
      <c r="B2244" s="14">
        <f>10000000+INDEX(编号表!$B:$B,MATCH(H2244,编号表!$A:$A,0))*100000+INDEX(编号表!$F:$F,MATCH(D2244,编号表!$E:$E,0))*10000+INDEX(编号表!$D:$D,MATCH(AG2244,编号表!$C:$C,0))*1000+F2244</f>
        <v>11924086</v>
      </c>
      <c r="C2244" s="14" t="s">
        <v>3744</v>
      </c>
      <c r="D2244" s="14" t="s">
        <v>112</v>
      </c>
      <c r="E2244" s="14" t="s">
        <v>92</v>
      </c>
      <c r="F2244" s="14">
        <v>86</v>
      </c>
      <c r="G2244" s="14">
        <v>60</v>
      </c>
      <c r="H2244" s="14" t="s">
        <v>1400</v>
      </c>
      <c r="I2244" s="14" t="s">
        <v>75</v>
      </c>
      <c r="J2244" s="14" t="s">
        <v>201</v>
      </c>
      <c r="K2244" s="14">
        <v>1</v>
      </c>
      <c r="L2244" s="14" t="s">
        <v>1400</v>
      </c>
      <c r="N2244" s="14">
        <v>0</v>
      </c>
      <c r="O2244" s="14" t="b">
        <v>1</v>
      </c>
      <c r="Q2244" s="14" t="b">
        <v>0</v>
      </c>
      <c r="R2244" s="14">
        <v>1</v>
      </c>
      <c r="S2244" s="14" t="s">
        <v>77</v>
      </c>
      <c r="T2244" s="14">
        <v>999</v>
      </c>
      <c r="U2244" s="14" t="s">
        <v>1401</v>
      </c>
      <c r="V2244" s="14">
        <v>31924086</v>
      </c>
      <c r="X2244" s="14" t="s">
        <v>3747</v>
      </c>
      <c r="Y2244" s="14" t="s">
        <v>215</v>
      </c>
      <c r="Z2244" s="14">
        <v>21007</v>
      </c>
      <c r="AA2244" s="14" t="s">
        <v>3748</v>
      </c>
      <c r="AB2244" s="14">
        <v>40001</v>
      </c>
      <c r="AE2244" s="14" t="s">
        <v>1400</v>
      </c>
      <c r="AF2244" s="14" t="s">
        <v>1400</v>
      </c>
      <c r="AG2244" s="14" t="s">
        <v>92</v>
      </c>
    </row>
    <row r="2245" spans="2:33">
      <c r="B2245" s="14">
        <f>10000000+INDEX(编号表!$B:$B,MATCH(H2245,编号表!$A:$A,0))*100000+INDEX(编号表!$F:$F,MATCH(D2245,编号表!$E:$E,0))*10000+INDEX(编号表!$D:$D,MATCH(AG2245,编号表!$C:$C,0))*1000+F2245</f>
        <v>11934087</v>
      </c>
      <c r="C2245" s="14" t="s">
        <v>3744</v>
      </c>
      <c r="D2245" s="14" t="s">
        <v>276</v>
      </c>
      <c r="E2245" s="14" t="s">
        <v>92</v>
      </c>
      <c r="F2245" s="14">
        <v>87</v>
      </c>
      <c r="G2245" s="14">
        <v>60</v>
      </c>
      <c r="H2245" s="14" t="s">
        <v>1400</v>
      </c>
      <c r="I2245" s="14" t="s">
        <v>75</v>
      </c>
      <c r="J2245" s="14" t="s">
        <v>201</v>
      </c>
      <c r="K2245" s="14">
        <v>1</v>
      </c>
      <c r="L2245" s="14" t="s">
        <v>1400</v>
      </c>
      <c r="N2245" s="14">
        <v>0</v>
      </c>
      <c r="O2245" s="14" t="b">
        <v>1</v>
      </c>
      <c r="Q2245" s="14" t="b">
        <v>0</v>
      </c>
      <c r="R2245" s="14">
        <v>1</v>
      </c>
      <c r="S2245" s="14" t="s">
        <v>77</v>
      </c>
      <c r="T2245" s="14">
        <v>999</v>
      </c>
      <c r="U2245" s="14" t="s">
        <v>1401</v>
      </c>
      <c r="V2245" s="14">
        <v>31934087</v>
      </c>
      <c r="X2245" s="14" t="s">
        <v>3749</v>
      </c>
      <c r="Y2245" s="14" t="s">
        <v>215</v>
      </c>
      <c r="Z2245" s="14">
        <v>21008</v>
      </c>
      <c r="AA2245" s="14" t="s">
        <v>3750</v>
      </c>
      <c r="AB2245" s="14">
        <v>40001</v>
      </c>
      <c r="AE2245" s="14" t="s">
        <v>1400</v>
      </c>
      <c r="AF2245" s="14" t="s">
        <v>1400</v>
      </c>
      <c r="AG2245" s="14" t="s">
        <v>92</v>
      </c>
    </row>
    <row r="2246" spans="2:33">
      <c r="B2246" s="14">
        <f>10000000+INDEX(编号表!$B:$B,MATCH(H2246,编号表!$A:$A,0))*100000+INDEX(编号表!$F:$F,MATCH(D2246,编号表!$E:$E,0))*10000+INDEX(编号表!$D:$D,MATCH(AG2246,编号表!$C:$C,0))*1000+F2246</f>
        <v>11914086</v>
      </c>
      <c r="C2246" s="14" t="s">
        <v>3751</v>
      </c>
      <c r="D2246" s="14" t="s">
        <v>72</v>
      </c>
      <c r="E2246" s="14" t="s">
        <v>92</v>
      </c>
      <c r="F2246" s="14">
        <v>86</v>
      </c>
      <c r="G2246" s="14">
        <v>60</v>
      </c>
      <c r="H2246" s="14" t="s">
        <v>1400</v>
      </c>
      <c r="I2246" s="14" t="s">
        <v>75</v>
      </c>
      <c r="J2246" s="14" t="s">
        <v>201</v>
      </c>
      <c r="K2246" s="14">
        <v>1</v>
      </c>
      <c r="L2246" s="14" t="s">
        <v>1400</v>
      </c>
      <c r="N2246" s="14">
        <v>0</v>
      </c>
      <c r="O2246" s="14" t="b">
        <v>1</v>
      </c>
      <c r="Q2246" s="14" t="b">
        <v>0</v>
      </c>
      <c r="R2246" s="14">
        <v>1</v>
      </c>
      <c r="S2246" s="14" t="s">
        <v>77</v>
      </c>
      <c r="T2246" s="14">
        <v>999</v>
      </c>
      <c r="U2246" s="14" t="s">
        <v>1401</v>
      </c>
      <c r="V2246" s="14">
        <v>31914086</v>
      </c>
      <c r="X2246" s="14" t="s">
        <v>3752</v>
      </c>
      <c r="Y2246" s="14" t="s">
        <v>215</v>
      </c>
      <c r="Z2246" s="14">
        <v>21009</v>
      </c>
      <c r="AA2246" s="14" t="s">
        <v>3753</v>
      </c>
      <c r="AB2246" s="14">
        <v>40001</v>
      </c>
      <c r="AE2246" s="14" t="s">
        <v>1400</v>
      </c>
      <c r="AF2246" s="14" t="s">
        <v>1400</v>
      </c>
      <c r="AG2246" s="14" t="s">
        <v>92</v>
      </c>
    </row>
    <row r="2247" spans="2:33">
      <c r="B2247" s="14">
        <f>10000000+INDEX(编号表!$B:$B,MATCH(H2247,编号表!$A:$A,0))*100000+INDEX(编号表!$F:$F,MATCH(D2247,编号表!$E:$E,0))*10000+INDEX(编号表!$D:$D,MATCH(AG2247,编号表!$C:$C,0))*1000+F2247</f>
        <v>11924087</v>
      </c>
      <c r="C2247" s="14" t="s">
        <v>3751</v>
      </c>
      <c r="D2247" s="14" t="s">
        <v>112</v>
      </c>
      <c r="E2247" s="14" t="s">
        <v>92</v>
      </c>
      <c r="F2247" s="14">
        <v>87</v>
      </c>
      <c r="G2247" s="14">
        <v>60</v>
      </c>
      <c r="H2247" s="14" t="s">
        <v>1400</v>
      </c>
      <c r="I2247" s="14" t="s">
        <v>75</v>
      </c>
      <c r="J2247" s="14" t="s">
        <v>201</v>
      </c>
      <c r="K2247" s="14">
        <v>1</v>
      </c>
      <c r="L2247" s="14" t="s">
        <v>1400</v>
      </c>
      <c r="N2247" s="14">
        <v>0</v>
      </c>
      <c r="O2247" s="14" t="b">
        <v>1</v>
      </c>
      <c r="Q2247" s="14" t="b">
        <v>0</v>
      </c>
      <c r="R2247" s="14">
        <v>1</v>
      </c>
      <c r="S2247" s="14" t="s">
        <v>77</v>
      </c>
      <c r="T2247" s="14">
        <v>999</v>
      </c>
      <c r="U2247" s="14" t="s">
        <v>1401</v>
      </c>
      <c r="V2247" s="14">
        <v>31924087</v>
      </c>
      <c r="X2247" s="14" t="s">
        <v>3754</v>
      </c>
      <c r="Y2247" s="14" t="s">
        <v>215</v>
      </c>
      <c r="Z2247" s="14">
        <v>21010</v>
      </c>
      <c r="AA2247" s="14" t="s">
        <v>3755</v>
      </c>
      <c r="AB2247" s="14">
        <v>40001</v>
      </c>
      <c r="AE2247" s="14" t="s">
        <v>1400</v>
      </c>
      <c r="AF2247" s="14" t="s">
        <v>1400</v>
      </c>
      <c r="AG2247" s="14" t="s">
        <v>92</v>
      </c>
    </row>
    <row r="2248" spans="2:33">
      <c r="B2248" s="14">
        <f>10000000+INDEX(编号表!$B:$B,MATCH(H2248,编号表!$A:$A,0))*100000+INDEX(编号表!$F:$F,MATCH(D2248,编号表!$E:$E,0))*10000+INDEX(编号表!$D:$D,MATCH(AG2248,编号表!$C:$C,0))*1000+F2248</f>
        <v>11934088</v>
      </c>
      <c r="C2248" s="14" t="s">
        <v>3751</v>
      </c>
      <c r="D2248" s="14" t="s">
        <v>276</v>
      </c>
      <c r="E2248" s="14" t="s">
        <v>92</v>
      </c>
      <c r="F2248" s="14">
        <v>88</v>
      </c>
      <c r="G2248" s="14">
        <v>60</v>
      </c>
      <c r="H2248" s="14" t="s">
        <v>1400</v>
      </c>
      <c r="I2248" s="14" t="s">
        <v>75</v>
      </c>
      <c r="J2248" s="14" t="s">
        <v>201</v>
      </c>
      <c r="K2248" s="14">
        <v>1</v>
      </c>
      <c r="L2248" s="14" t="s">
        <v>1400</v>
      </c>
      <c r="N2248" s="14">
        <v>0</v>
      </c>
      <c r="O2248" s="14" t="b">
        <v>1</v>
      </c>
      <c r="Q2248" s="14" t="b">
        <v>0</v>
      </c>
      <c r="R2248" s="14">
        <v>1</v>
      </c>
      <c r="S2248" s="14" t="s">
        <v>77</v>
      </c>
      <c r="T2248" s="14">
        <v>999</v>
      </c>
      <c r="U2248" s="14" t="s">
        <v>1401</v>
      </c>
      <c r="V2248" s="14">
        <v>31934088</v>
      </c>
      <c r="X2248" s="14" t="s">
        <v>3756</v>
      </c>
      <c r="Y2248" s="14" t="s">
        <v>215</v>
      </c>
      <c r="Z2248" s="14">
        <v>21011</v>
      </c>
      <c r="AA2248" s="14" t="s">
        <v>3757</v>
      </c>
      <c r="AB2248" s="14">
        <v>40001</v>
      </c>
      <c r="AE2248" s="14" t="s">
        <v>1400</v>
      </c>
      <c r="AF2248" s="14" t="s">
        <v>1400</v>
      </c>
      <c r="AG2248" s="14" t="s">
        <v>92</v>
      </c>
    </row>
    <row r="2249" spans="2:33">
      <c r="B2249" s="14">
        <f>10000000+INDEX(编号表!$B:$B,MATCH(H2249,编号表!$A:$A,0))*100000+INDEX(编号表!$F:$F,MATCH(D2249,编号表!$E:$E,0))*10000+INDEX(编号表!$D:$D,MATCH(AG2249,编号表!$C:$C,0))*1000+F2249</f>
        <v>11914087</v>
      </c>
      <c r="C2249" s="14" t="s">
        <v>3758</v>
      </c>
      <c r="D2249" s="14" t="s">
        <v>72</v>
      </c>
      <c r="E2249" s="14" t="s">
        <v>92</v>
      </c>
      <c r="F2249" s="14">
        <v>87</v>
      </c>
      <c r="G2249" s="14">
        <v>60</v>
      </c>
      <c r="H2249" s="14" t="s">
        <v>1400</v>
      </c>
      <c r="I2249" s="14" t="s">
        <v>75</v>
      </c>
      <c r="J2249" s="14" t="s">
        <v>201</v>
      </c>
      <c r="K2249" s="14">
        <v>1</v>
      </c>
      <c r="L2249" s="14" t="s">
        <v>1400</v>
      </c>
      <c r="N2249" s="14">
        <v>0</v>
      </c>
      <c r="O2249" s="14" t="b">
        <v>1</v>
      </c>
      <c r="Q2249" s="14" t="b">
        <v>0</v>
      </c>
      <c r="R2249" s="14">
        <v>1</v>
      </c>
      <c r="S2249" s="14" t="s">
        <v>77</v>
      </c>
      <c r="T2249" s="14">
        <v>999</v>
      </c>
      <c r="U2249" s="14" t="s">
        <v>1401</v>
      </c>
      <c r="V2249" s="14">
        <v>31914087</v>
      </c>
      <c r="X2249" s="14" t="s">
        <v>3759</v>
      </c>
      <c r="Y2249" s="14" t="s">
        <v>215</v>
      </c>
      <c r="Z2249" s="14">
        <v>21012</v>
      </c>
      <c r="AA2249" s="14" t="s">
        <v>3760</v>
      </c>
      <c r="AB2249" s="14">
        <v>40001</v>
      </c>
      <c r="AE2249" s="14" t="s">
        <v>1400</v>
      </c>
      <c r="AF2249" s="14" t="s">
        <v>1400</v>
      </c>
      <c r="AG2249" s="14" t="s">
        <v>92</v>
      </c>
    </row>
    <row r="2250" spans="2:33">
      <c r="B2250" s="14">
        <f>10000000+INDEX(编号表!$B:$B,MATCH(H2250,编号表!$A:$A,0))*100000+INDEX(编号表!$F:$F,MATCH(D2250,编号表!$E:$E,0))*10000+INDEX(编号表!$D:$D,MATCH(AG2250,编号表!$C:$C,0))*1000+F2250</f>
        <v>11924088</v>
      </c>
      <c r="C2250" s="14" t="s">
        <v>3758</v>
      </c>
      <c r="D2250" s="14" t="s">
        <v>112</v>
      </c>
      <c r="E2250" s="14" t="s">
        <v>92</v>
      </c>
      <c r="F2250" s="14">
        <v>88</v>
      </c>
      <c r="G2250" s="14">
        <v>60</v>
      </c>
      <c r="H2250" s="14" t="s">
        <v>1400</v>
      </c>
      <c r="I2250" s="14" t="s">
        <v>75</v>
      </c>
      <c r="J2250" s="14" t="s">
        <v>201</v>
      </c>
      <c r="K2250" s="14">
        <v>1</v>
      </c>
      <c r="L2250" s="14" t="s">
        <v>1400</v>
      </c>
      <c r="N2250" s="14">
        <v>0</v>
      </c>
      <c r="O2250" s="14" t="b">
        <v>1</v>
      </c>
      <c r="Q2250" s="14" t="b">
        <v>0</v>
      </c>
      <c r="R2250" s="14">
        <v>1</v>
      </c>
      <c r="S2250" s="14" t="s">
        <v>77</v>
      </c>
      <c r="T2250" s="14">
        <v>999</v>
      </c>
      <c r="U2250" s="14" t="s">
        <v>1401</v>
      </c>
      <c r="V2250" s="14">
        <v>31924088</v>
      </c>
      <c r="X2250" s="14" t="s">
        <v>3761</v>
      </c>
      <c r="Y2250" s="14" t="s">
        <v>215</v>
      </c>
      <c r="Z2250" s="14">
        <v>21013</v>
      </c>
      <c r="AA2250" s="14" t="s">
        <v>3762</v>
      </c>
      <c r="AB2250" s="14">
        <v>40001</v>
      </c>
      <c r="AE2250" s="14" t="s">
        <v>1400</v>
      </c>
      <c r="AF2250" s="14" t="s">
        <v>1400</v>
      </c>
      <c r="AG2250" s="14" t="s">
        <v>92</v>
      </c>
    </row>
    <row r="2251" spans="2:33">
      <c r="B2251" s="14">
        <f>10000000+INDEX(编号表!$B:$B,MATCH(H2251,编号表!$A:$A,0))*100000+INDEX(编号表!$F:$F,MATCH(D2251,编号表!$E:$E,0))*10000+INDEX(编号表!$D:$D,MATCH(AG2251,编号表!$C:$C,0))*1000+F2251</f>
        <v>11934089</v>
      </c>
      <c r="C2251" s="14" t="s">
        <v>3758</v>
      </c>
      <c r="D2251" s="14" t="s">
        <v>276</v>
      </c>
      <c r="E2251" s="14" t="s">
        <v>92</v>
      </c>
      <c r="F2251" s="14">
        <v>89</v>
      </c>
      <c r="G2251" s="14">
        <v>60</v>
      </c>
      <c r="H2251" s="14" t="s">
        <v>1400</v>
      </c>
      <c r="I2251" s="14" t="s">
        <v>75</v>
      </c>
      <c r="J2251" s="14" t="s">
        <v>201</v>
      </c>
      <c r="K2251" s="14">
        <v>1</v>
      </c>
      <c r="L2251" s="14" t="s">
        <v>1400</v>
      </c>
      <c r="N2251" s="14">
        <v>0</v>
      </c>
      <c r="O2251" s="14" t="b">
        <v>1</v>
      </c>
      <c r="Q2251" s="14" t="b">
        <v>0</v>
      </c>
      <c r="R2251" s="14">
        <v>1</v>
      </c>
      <c r="S2251" s="14" t="s">
        <v>77</v>
      </c>
      <c r="T2251" s="14">
        <v>999</v>
      </c>
      <c r="U2251" s="14" t="s">
        <v>1401</v>
      </c>
      <c r="V2251" s="14">
        <v>31934089</v>
      </c>
      <c r="X2251" s="14" t="s">
        <v>3763</v>
      </c>
      <c r="Y2251" s="14" t="s">
        <v>215</v>
      </c>
      <c r="Z2251" s="14">
        <v>21014</v>
      </c>
      <c r="AA2251" s="14" t="s">
        <v>3764</v>
      </c>
      <c r="AB2251" s="14">
        <v>40001</v>
      </c>
      <c r="AE2251" s="14" t="s">
        <v>1400</v>
      </c>
      <c r="AF2251" s="14" t="s">
        <v>1400</v>
      </c>
      <c r="AG2251" s="14" t="s">
        <v>92</v>
      </c>
    </row>
    <row r="2252" spans="2:33">
      <c r="B2252" s="14">
        <f>10000000+INDEX(编号表!$B:$B,MATCH(H2252,编号表!$A:$A,0))*100000+INDEX(编号表!$F:$F,MATCH(D2252,编号表!$E:$E,0))*10000+INDEX(编号表!$D:$D,MATCH(AG2252,编号表!$C:$C,0))*1000+F2252</f>
        <v>11914088</v>
      </c>
      <c r="C2252" s="14" t="s">
        <v>3765</v>
      </c>
      <c r="D2252" s="14" t="s">
        <v>72</v>
      </c>
      <c r="E2252" s="14" t="s">
        <v>92</v>
      </c>
      <c r="F2252" s="14">
        <v>88</v>
      </c>
      <c r="G2252" s="14">
        <v>60</v>
      </c>
      <c r="H2252" s="14" t="s">
        <v>1400</v>
      </c>
      <c r="I2252" s="14" t="s">
        <v>75</v>
      </c>
      <c r="J2252" s="14" t="s">
        <v>201</v>
      </c>
      <c r="K2252" s="14">
        <v>1</v>
      </c>
      <c r="L2252" s="14" t="s">
        <v>1400</v>
      </c>
      <c r="N2252" s="14">
        <v>0</v>
      </c>
      <c r="O2252" s="14" t="b">
        <v>1</v>
      </c>
      <c r="Q2252" s="14" t="b">
        <v>0</v>
      </c>
      <c r="R2252" s="14">
        <v>1</v>
      </c>
      <c r="S2252" s="14" t="s">
        <v>77</v>
      </c>
      <c r="T2252" s="14">
        <v>999</v>
      </c>
      <c r="U2252" s="14" t="s">
        <v>1401</v>
      </c>
      <c r="V2252" s="14">
        <v>31914088</v>
      </c>
      <c r="X2252" s="14" t="s">
        <v>3766</v>
      </c>
      <c r="Y2252" s="14" t="s">
        <v>215</v>
      </c>
      <c r="Z2252" s="14">
        <v>21015</v>
      </c>
      <c r="AA2252" s="14" t="s">
        <v>3767</v>
      </c>
      <c r="AB2252" s="14">
        <v>40001</v>
      </c>
      <c r="AE2252" s="14" t="s">
        <v>1400</v>
      </c>
      <c r="AF2252" s="14" t="s">
        <v>1400</v>
      </c>
      <c r="AG2252" s="14" t="s">
        <v>92</v>
      </c>
    </row>
    <row r="2253" spans="2:33">
      <c r="B2253" s="14">
        <f>10000000+INDEX(编号表!$B:$B,MATCH(H2253,编号表!$A:$A,0))*100000+INDEX(编号表!$F:$F,MATCH(D2253,编号表!$E:$E,0))*10000+INDEX(编号表!$D:$D,MATCH(AG2253,编号表!$C:$C,0))*1000+F2253</f>
        <v>11924089</v>
      </c>
      <c r="C2253" s="14" t="s">
        <v>3765</v>
      </c>
      <c r="D2253" s="14" t="s">
        <v>112</v>
      </c>
      <c r="E2253" s="14" t="s">
        <v>92</v>
      </c>
      <c r="F2253" s="14">
        <v>89</v>
      </c>
      <c r="G2253" s="14">
        <v>60</v>
      </c>
      <c r="H2253" s="14" t="s">
        <v>1400</v>
      </c>
      <c r="I2253" s="14" t="s">
        <v>75</v>
      </c>
      <c r="J2253" s="14" t="s">
        <v>201</v>
      </c>
      <c r="K2253" s="14">
        <v>1</v>
      </c>
      <c r="L2253" s="14" t="s">
        <v>1400</v>
      </c>
      <c r="N2253" s="14">
        <v>0</v>
      </c>
      <c r="O2253" s="14" t="b">
        <v>1</v>
      </c>
      <c r="Q2253" s="14" t="b">
        <v>0</v>
      </c>
      <c r="R2253" s="14">
        <v>1</v>
      </c>
      <c r="S2253" s="14" t="s">
        <v>77</v>
      </c>
      <c r="T2253" s="14">
        <v>999</v>
      </c>
      <c r="U2253" s="14" t="s">
        <v>1401</v>
      </c>
      <c r="V2253" s="14">
        <v>31924089</v>
      </c>
      <c r="X2253" s="14" t="s">
        <v>3768</v>
      </c>
      <c r="Y2253" s="14" t="s">
        <v>215</v>
      </c>
      <c r="Z2253" s="14">
        <v>21016</v>
      </c>
      <c r="AA2253" s="14" t="s">
        <v>3769</v>
      </c>
      <c r="AB2253" s="14">
        <v>40001</v>
      </c>
      <c r="AE2253" s="14" t="s">
        <v>1400</v>
      </c>
      <c r="AF2253" s="14" t="s">
        <v>1400</v>
      </c>
      <c r="AG2253" s="14" t="s">
        <v>92</v>
      </c>
    </row>
    <row r="2254" spans="2:33">
      <c r="B2254" s="14">
        <f>10000000+INDEX(编号表!$B:$B,MATCH(H2254,编号表!$A:$A,0))*100000+INDEX(编号表!$F:$F,MATCH(D2254,编号表!$E:$E,0))*10000+INDEX(编号表!$D:$D,MATCH(AG2254,编号表!$C:$C,0))*1000+F2254</f>
        <v>11934090</v>
      </c>
      <c r="C2254" s="14" t="s">
        <v>3765</v>
      </c>
      <c r="D2254" s="14" t="s">
        <v>276</v>
      </c>
      <c r="E2254" s="14" t="s">
        <v>92</v>
      </c>
      <c r="F2254" s="14">
        <v>90</v>
      </c>
      <c r="G2254" s="14">
        <v>60</v>
      </c>
      <c r="H2254" s="14" t="s">
        <v>1400</v>
      </c>
      <c r="I2254" s="14" t="s">
        <v>75</v>
      </c>
      <c r="J2254" s="14" t="s">
        <v>201</v>
      </c>
      <c r="K2254" s="14">
        <v>1</v>
      </c>
      <c r="L2254" s="14" t="s">
        <v>1400</v>
      </c>
      <c r="N2254" s="14">
        <v>0</v>
      </c>
      <c r="O2254" s="14" t="b">
        <v>1</v>
      </c>
      <c r="Q2254" s="14" t="b">
        <v>0</v>
      </c>
      <c r="R2254" s="14">
        <v>1</v>
      </c>
      <c r="S2254" s="14" t="s">
        <v>77</v>
      </c>
      <c r="T2254" s="14">
        <v>999</v>
      </c>
      <c r="U2254" s="14" t="s">
        <v>1401</v>
      </c>
      <c r="V2254" s="14">
        <v>31934090</v>
      </c>
      <c r="X2254" s="14" t="s">
        <v>3770</v>
      </c>
      <c r="Y2254" s="14" t="s">
        <v>215</v>
      </c>
      <c r="Z2254" s="14">
        <v>21017</v>
      </c>
      <c r="AA2254" s="14" t="s">
        <v>3771</v>
      </c>
      <c r="AB2254" s="14">
        <v>40001</v>
      </c>
      <c r="AE2254" s="14" t="s">
        <v>1400</v>
      </c>
      <c r="AF2254" s="14" t="s">
        <v>1400</v>
      </c>
      <c r="AG2254" s="14" t="s">
        <v>92</v>
      </c>
    </row>
    <row r="2255" spans="2:33">
      <c r="B2255" s="14">
        <f>10000000+INDEX(编号表!$B:$B,MATCH(H2255,编号表!$A:$A,0))*100000+INDEX(编号表!$F:$F,MATCH(D2255,编号表!$E:$E,0))*10000+INDEX(编号表!$D:$D,MATCH(AG2255,编号表!$C:$C,0))*1000+F2255</f>
        <v>11914089</v>
      </c>
      <c r="C2255" s="14" t="s">
        <v>3772</v>
      </c>
      <c r="D2255" s="14" t="s">
        <v>72</v>
      </c>
      <c r="E2255" s="14" t="s">
        <v>92</v>
      </c>
      <c r="F2255" s="14">
        <v>89</v>
      </c>
      <c r="G2255" s="14">
        <v>60</v>
      </c>
      <c r="H2255" s="14" t="s">
        <v>1400</v>
      </c>
      <c r="I2255" s="14" t="s">
        <v>75</v>
      </c>
      <c r="J2255" s="14" t="s">
        <v>201</v>
      </c>
      <c r="K2255" s="14">
        <v>1</v>
      </c>
      <c r="L2255" s="14" t="s">
        <v>1400</v>
      </c>
      <c r="N2255" s="14">
        <v>0</v>
      </c>
      <c r="O2255" s="14" t="b">
        <v>1</v>
      </c>
      <c r="Q2255" s="14" t="b">
        <v>0</v>
      </c>
      <c r="R2255" s="14">
        <v>1</v>
      </c>
      <c r="S2255" s="14" t="s">
        <v>77</v>
      </c>
      <c r="T2255" s="14">
        <v>999</v>
      </c>
      <c r="U2255" s="14" t="s">
        <v>1401</v>
      </c>
      <c r="V2255" s="14">
        <v>31914089</v>
      </c>
      <c r="X2255" s="14" t="s">
        <v>3773</v>
      </c>
      <c r="Y2255" s="14" t="s">
        <v>215</v>
      </c>
      <c r="Z2255" s="14">
        <v>21018</v>
      </c>
      <c r="AA2255" s="14" t="s">
        <v>3774</v>
      </c>
      <c r="AB2255" s="14">
        <v>40001</v>
      </c>
      <c r="AE2255" s="14" t="s">
        <v>1400</v>
      </c>
      <c r="AF2255" s="14" t="s">
        <v>1400</v>
      </c>
      <c r="AG2255" s="14" t="s">
        <v>92</v>
      </c>
    </row>
    <row r="2256" spans="2:33">
      <c r="B2256" s="14">
        <f>10000000+INDEX(编号表!$B:$B,MATCH(H2256,编号表!$A:$A,0))*100000+INDEX(编号表!$F:$F,MATCH(D2256,编号表!$E:$E,0))*10000+INDEX(编号表!$D:$D,MATCH(AG2256,编号表!$C:$C,0))*1000+F2256</f>
        <v>11924090</v>
      </c>
      <c r="C2256" s="14" t="s">
        <v>3772</v>
      </c>
      <c r="D2256" s="14" t="s">
        <v>112</v>
      </c>
      <c r="E2256" s="14" t="s">
        <v>92</v>
      </c>
      <c r="F2256" s="14">
        <v>90</v>
      </c>
      <c r="G2256" s="14">
        <v>60</v>
      </c>
      <c r="H2256" s="14" t="s">
        <v>1400</v>
      </c>
      <c r="I2256" s="14" t="s">
        <v>75</v>
      </c>
      <c r="J2256" s="14" t="s">
        <v>201</v>
      </c>
      <c r="K2256" s="14">
        <v>1</v>
      </c>
      <c r="L2256" s="14" t="s">
        <v>1400</v>
      </c>
      <c r="N2256" s="14">
        <v>0</v>
      </c>
      <c r="O2256" s="14" t="b">
        <v>1</v>
      </c>
      <c r="Q2256" s="14" t="b">
        <v>0</v>
      </c>
      <c r="R2256" s="14">
        <v>1</v>
      </c>
      <c r="S2256" s="14" t="s">
        <v>77</v>
      </c>
      <c r="T2256" s="14">
        <v>999</v>
      </c>
      <c r="U2256" s="14" t="s">
        <v>1401</v>
      </c>
      <c r="V2256" s="14">
        <v>31924090</v>
      </c>
      <c r="X2256" s="14" t="s">
        <v>3775</v>
      </c>
      <c r="Y2256" s="14" t="s">
        <v>215</v>
      </c>
      <c r="Z2256" s="14">
        <v>21019</v>
      </c>
      <c r="AA2256" s="14" t="s">
        <v>3776</v>
      </c>
      <c r="AB2256" s="14">
        <v>40001</v>
      </c>
      <c r="AE2256" s="14" t="s">
        <v>1400</v>
      </c>
      <c r="AF2256" s="14" t="s">
        <v>1400</v>
      </c>
      <c r="AG2256" s="14" t="s">
        <v>92</v>
      </c>
    </row>
    <row r="2257" spans="2:33">
      <c r="B2257" s="14">
        <f>10000000+INDEX(编号表!$B:$B,MATCH(H2257,编号表!$A:$A,0))*100000+INDEX(编号表!$F:$F,MATCH(D2257,编号表!$E:$E,0))*10000+INDEX(编号表!$D:$D,MATCH(AG2257,编号表!$C:$C,0))*1000+F2257</f>
        <v>11934091</v>
      </c>
      <c r="C2257" s="14" t="s">
        <v>3772</v>
      </c>
      <c r="D2257" s="14" t="s">
        <v>276</v>
      </c>
      <c r="E2257" s="14" t="s">
        <v>92</v>
      </c>
      <c r="F2257" s="14">
        <v>91</v>
      </c>
      <c r="G2257" s="14">
        <v>60</v>
      </c>
      <c r="H2257" s="14" t="s">
        <v>1400</v>
      </c>
      <c r="I2257" s="14" t="s">
        <v>75</v>
      </c>
      <c r="J2257" s="14" t="s">
        <v>201</v>
      </c>
      <c r="K2257" s="14">
        <v>1</v>
      </c>
      <c r="L2257" s="14" t="s">
        <v>1400</v>
      </c>
      <c r="N2257" s="14">
        <v>0</v>
      </c>
      <c r="O2257" s="14" t="b">
        <v>1</v>
      </c>
      <c r="Q2257" s="14" t="b">
        <v>0</v>
      </c>
      <c r="R2257" s="14">
        <v>1</v>
      </c>
      <c r="S2257" s="14" t="s">
        <v>77</v>
      </c>
      <c r="T2257" s="14">
        <v>999</v>
      </c>
      <c r="U2257" s="14" t="s">
        <v>1401</v>
      </c>
      <c r="V2257" s="14">
        <v>31934091</v>
      </c>
      <c r="X2257" s="14" t="s">
        <v>3777</v>
      </c>
      <c r="Y2257" s="14" t="s">
        <v>215</v>
      </c>
      <c r="Z2257" s="14">
        <v>21020</v>
      </c>
      <c r="AA2257" s="14" t="s">
        <v>3778</v>
      </c>
      <c r="AB2257" s="14">
        <v>40001</v>
      </c>
      <c r="AE2257" s="14" t="s">
        <v>1400</v>
      </c>
      <c r="AF2257" s="14" t="s">
        <v>1400</v>
      </c>
      <c r="AG2257" s="14" t="s">
        <v>92</v>
      </c>
    </row>
    <row r="2258" spans="2:33">
      <c r="B2258" s="14">
        <f>10000000+INDEX(编号表!$B:$B,MATCH(H2258,编号表!$A:$A,0))*100000+INDEX(编号表!$F:$F,MATCH(D2258,编号表!$E:$E,0))*10000+INDEX(编号表!$D:$D,MATCH(AG2258,编号表!$C:$C,0))*1000+F2258</f>
        <v>11914090</v>
      </c>
      <c r="C2258" s="14" t="s">
        <v>3779</v>
      </c>
      <c r="D2258" s="14" t="s">
        <v>72</v>
      </c>
      <c r="E2258" s="14" t="s">
        <v>92</v>
      </c>
      <c r="F2258" s="14">
        <v>90</v>
      </c>
      <c r="G2258" s="14">
        <v>60</v>
      </c>
      <c r="H2258" s="14" t="s">
        <v>1400</v>
      </c>
      <c r="I2258" s="14" t="s">
        <v>75</v>
      </c>
      <c r="J2258" s="14" t="s">
        <v>201</v>
      </c>
      <c r="K2258" s="14">
        <v>1</v>
      </c>
      <c r="L2258" s="14" t="s">
        <v>1400</v>
      </c>
      <c r="N2258" s="14">
        <v>0</v>
      </c>
      <c r="O2258" s="14" t="b">
        <v>1</v>
      </c>
      <c r="Q2258" s="14" t="b">
        <v>0</v>
      </c>
      <c r="R2258" s="14">
        <v>1</v>
      </c>
      <c r="S2258" s="14" t="s">
        <v>77</v>
      </c>
      <c r="T2258" s="14">
        <v>999</v>
      </c>
      <c r="U2258" s="14" t="s">
        <v>1401</v>
      </c>
      <c r="V2258" s="14">
        <v>31914090</v>
      </c>
      <c r="X2258" s="14" t="s">
        <v>3780</v>
      </c>
      <c r="Y2258" s="14" t="s">
        <v>215</v>
      </c>
      <c r="Z2258" s="14">
        <v>21021</v>
      </c>
      <c r="AA2258" s="14" t="s">
        <v>3781</v>
      </c>
      <c r="AB2258" s="14">
        <v>40001</v>
      </c>
      <c r="AE2258" s="14" t="s">
        <v>1400</v>
      </c>
      <c r="AF2258" s="14" t="s">
        <v>1400</v>
      </c>
      <c r="AG2258" s="14" t="s">
        <v>92</v>
      </c>
    </row>
    <row r="2259" spans="2:33">
      <c r="B2259" s="14">
        <f>10000000+INDEX(编号表!$B:$B,MATCH(H2259,编号表!$A:$A,0))*100000+INDEX(编号表!$F:$F,MATCH(D2259,编号表!$E:$E,0))*10000+INDEX(编号表!$D:$D,MATCH(AG2259,编号表!$C:$C,0))*1000+F2259</f>
        <v>11924091</v>
      </c>
      <c r="C2259" s="14" t="s">
        <v>3779</v>
      </c>
      <c r="D2259" s="14" t="s">
        <v>112</v>
      </c>
      <c r="E2259" s="14" t="s">
        <v>92</v>
      </c>
      <c r="F2259" s="14">
        <v>91</v>
      </c>
      <c r="G2259" s="14">
        <v>60</v>
      </c>
      <c r="H2259" s="14" t="s">
        <v>1400</v>
      </c>
      <c r="I2259" s="14" t="s">
        <v>75</v>
      </c>
      <c r="J2259" s="14" t="s">
        <v>201</v>
      </c>
      <c r="K2259" s="14">
        <v>1</v>
      </c>
      <c r="L2259" s="14" t="s">
        <v>1400</v>
      </c>
      <c r="N2259" s="14">
        <v>0</v>
      </c>
      <c r="O2259" s="14" t="b">
        <v>1</v>
      </c>
      <c r="Q2259" s="14" t="b">
        <v>0</v>
      </c>
      <c r="R2259" s="14">
        <v>1</v>
      </c>
      <c r="S2259" s="14" t="s">
        <v>77</v>
      </c>
      <c r="T2259" s="14">
        <v>999</v>
      </c>
      <c r="U2259" s="14" t="s">
        <v>1401</v>
      </c>
      <c r="V2259" s="14">
        <v>31924091</v>
      </c>
      <c r="X2259" s="14" t="s">
        <v>3782</v>
      </c>
      <c r="Y2259" s="14" t="s">
        <v>215</v>
      </c>
      <c r="Z2259" s="14">
        <v>21022</v>
      </c>
      <c r="AA2259" s="14" t="s">
        <v>3783</v>
      </c>
      <c r="AB2259" s="14">
        <v>40001</v>
      </c>
      <c r="AE2259" s="14" t="s">
        <v>1400</v>
      </c>
      <c r="AF2259" s="14" t="s">
        <v>1400</v>
      </c>
      <c r="AG2259" s="14" t="s">
        <v>92</v>
      </c>
    </row>
    <row r="2260" spans="2:33">
      <c r="B2260" s="14">
        <f>10000000+INDEX(编号表!$B:$B,MATCH(H2260,编号表!$A:$A,0))*100000+INDEX(编号表!$F:$F,MATCH(D2260,编号表!$E:$E,0))*10000+INDEX(编号表!$D:$D,MATCH(AG2260,编号表!$C:$C,0))*1000+F2260</f>
        <v>11934092</v>
      </c>
      <c r="C2260" s="14" t="s">
        <v>3779</v>
      </c>
      <c r="D2260" s="14" t="s">
        <v>276</v>
      </c>
      <c r="E2260" s="14" t="s">
        <v>92</v>
      </c>
      <c r="F2260" s="14">
        <v>92</v>
      </c>
      <c r="G2260" s="14">
        <v>60</v>
      </c>
      <c r="H2260" s="14" t="s">
        <v>1400</v>
      </c>
      <c r="I2260" s="14" t="s">
        <v>75</v>
      </c>
      <c r="J2260" s="14" t="s">
        <v>201</v>
      </c>
      <c r="K2260" s="14">
        <v>1</v>
      </c>
      <c r="L2260" s="14" t="s">
        <v>1400</v>
      </c>
      <c r="N2260" s="14">
        <v>0</v>
      </c>
      <c r="O2260" s="14" t="b">
        <v>1</v>
      </c>
      <c r="Q2260" s="14" t="b">
        <v>0</v>
      </c>
      <c r="R2260" s="14">
        <v>1</v>
      </c>
      <c r="S2260" s="14" t="s">
        <v>77</v>
      </c>
      <c r="T2260" s="14">
        <v>999</v>
      </c>
      <c r="U2260" s="14" t="s">
        <v>1401</v>
      </c>
      <c r="V2260" s="14">
        <v>31934092</v>
      </c>
      <c r="X2260" s="14" t="s">
        <v>3784</v>
      </c>
      <c r="Y2260" s="14" t="s">
        <v>215</v>
      </c>
      <c r="Z2260" s="14">
        <v>21023</v>
      </c>
      <c r="AA2260" s="14" t="s">
        <v>3785</v>
      </c>
      <c r="AB2260" s="14">
        <v>40001</v>
      </c>
      <c r="AE2260" s="14" t="s">
        <v>1400</v>
      </c>
      <c r="AF2260" s="14" t="s">
        <v>1400</v>
      </c>
      <c r="AG2260" s="14" t="s">
        <v>92</v>
      </c>
    </row>
    <row r="2261" spans="2:33">
      <c r="B2261" s="14">
        <f>10000000+INDEX(编号表!$B:$B,MATCH(H2261,编号表!$A:$A,0))*100000+INDEX(编号表!$F:$F,MATCH(D2261,编号表!$E:$E,0))*10000+INDEX(编号表!$D:$D,MATCH(AG2261,编号表!$C:$C,0))*1000+F2261</f>
        <v>11914091</v>
      </c>
      <c r="C2261" s="14" t="s">
        <v>3786</v>
      </c>
      <c r="D2261" s="14" t="s">
        <v>72</v>
      </c>
      <c r="E2261" s="14" t="s">
        <v>92</v>
      </c>
      <c r="F2261" s="14">
        <v>91</v>
      </c>
      <c r="G2261" s="14">
        <v>60</v>
      </c>
      <c r="H2261" s="14" t="s">
        <v>1400</v>
      </c>
      <c r="I2261" s="14" t="s">
        <v>75</v>
      </c>
      <c r="J2261" s="14" t="s">
        <v>201</v>
      </c>
      <c r="K2261" s="14">
        <v>1</v>
      </c>
      <c r="L2261" s="14" t="s">
        <v>1400</v>
      </c>
      <c r="N2261" s="14">
        <v>0</v>
      </c>
      <c r="O2261" s="14" t="b">
        <v>1</v>
      </c>
      <c r="Q2261" s="14" t="b">
        <v>0</v>
      </c>
      <c r="R2261" s="14">
        <v>1</v>
      </c>
      <c r="S2261" s="14" t="s">
        <v>77</v>
      </c>
      <c r="T2261" s="14">
        <v>999</v>
      </c>
      <c r="U2261" s="14" t="s">
        <v>1401</v>
      </c>
      <c r="V2261" s="14">
        <v>31914091</v>
      </c>
      <c r="X2261" s="14" t="s">
        <v>3787</v>
      </c>
      <c r="Y2261" s="14" t="s">
        <v>215</v>
      </c>
      <c r="Z2261" s="14">
        <v>21024</v>
      </c>
      <c r="AA2261" s="14" t="s">
        <v>3788</v>
      </c>
      <c r="AB2261" s="14">
        <v>40001</v>
      </c>
      <c r="AE2261" s="14" t="s">
        <v>1400</v>
      </c>
      <c r="AF2261" s="14" t="s">
        <v>1400</v>
      </c>
      <c r="AG2261" s="14" t="s">
        <v>92</v>
      </c>
    </row>
    <row r="2262" spans="2:33">
      <c r="B2262" s="14">
        <f>10000000+INDEX(编号表!$B:$B,MATCH(H2262,编号表!$A:$A,0))*100000+INDEX(编号表!$F:$F,MATCH(D2262,编号表!$E:$E,0))*10000+INDEX(编号表!$D:$D,MATCH(AG2262,编号表!$C:$C,0))*1000+F2262</f>
        <v>11924092</v>
      </c>
      <c r="C2262" s="14" t="s">
        <v>3786</v>
      </c>
      <c r="D2262" s="14" t="s">
        <v>112</v>
      </c>
      <c r="E2262" s="14" t="s">
        <v>92</v>
      </c>
      <c r="F2262" s="14">
        <v>92</v>
      </c>
      <c r="G2262" s="14">
        <v>60</v>
      </c>
      <c r="H2262" s="14" t="s">
        <v>1400</v>
      </c>
      <c r="I2262" s="14" t="s">
        <v>75</v>
      </c>
      <c r="J2262" s="14" t="s">
        <v>201</v>
      </c>
      <c r="K2262" s="14">
        <v>1</v>
      </c>
      <c r="L2262" s="14" t="s">
        <v>1400</v>
      </c>
      <c r="N2262" s="14">
        <v>0</v>
      </c>
      <c r="O2262" s="14" t="b">
        <v>1</v>
      </c>
      <c r="Q2262" s="14" t="b">
        <v>0</v>
      </c>
      <c r="R2262" s="14">
        <v>1</v>
      </c>
      <c r="S2262" s="14" t="s">
        <v>77</v>
      </c>
      <c r="T2262" s="14">
        <v>999</v>
      </c>
      <c r="U2262" s="14" t="s">
        <v>1401</v>
      </c>
      <c r="V2262" s="14">
        <v>31924092</v>
      </c>
      <c r="X2262" s="14" t="s">
        <v>3789</v>
      </c>
      <c r="Y2262" s="14" t="s">
        <v>215</v>
      </c>
      <c r="Z2262" s="14">
        <v>21025</v>
      </c>
      <c r="AA2262" s="14" t="s">
        <v>3790</v>
      </c>
      <c r="AB2262" s="14">
        <v>40001</v>
      </c>
      <c r="AE2262" s="14" t="s">
        <v>1400</v>
      </c>
      <c r="AF2262" s="14" t="s">
        <v>1400</v>
      </c>
      <c r="AG2262" s="14" t="s">
        <v>92</v>
      </c>
    </row>
    <row r="2263" spans="2:33">
      <c r="B2263" s="14">
        <f>10000000+INDEX(编号表!$B:$B,MATCH(H2263,编号表!$A:$A,0))*100000+INDEX(编号表!$F:$F,MATCH(D2263,编号表!$E:$E,0))*10000+INDEX(编号表!$D:$D,MATCH(AG2263,编号表!$C:$C,0))*1000+F2263</f>
        <v>11934093</v>
      </c>
      <c r="C2263" s="14" t="s">
        <v>3786</v>
      </c>
      <c r="D2263" s="14" t="s">
        <v>276</v>
      </c>
      <c r="E2263" s="14" t="s">
        <v>92</v>
      </c>
      <c r="F2263" s="14">
        <v>93</v>
      </c>
      <c r="G2263" s="14">
        <v>60</v>
      </c>
      <c r="H2263" s="14" t="s">
        <v>1400</v>
      </c>
      <c r="I2263" s="14" t="s">
        <v>75</v>
      </c>
      <c r="J2263" s="14" t="s">
        <v>201</v>
      </c>
      <c r="K2263" s="14">
        <v>1</v>
      </c>
      <c r="L2263" s="14" t="s">
        <v>1400</v>
      </c>
      <c r="N2263" s="14">
        <v>0</v>
      </c>
      <c r="O2263" s="14" t="b">
        <v>1</v>
      </c>
      <c r="Q2263" s="14" t="b">
        <v>0</v>
      </c>
      <c r="R2263" s="14">
        <v>1</v>
      </c>
      <c r="S2263" s="14" t="s">
        <v>77</v>
      </c>
      <c r="T2263" s="14">
        <v>999</v>
      </c>
      <c r="U2263" s="14" t="s">
        <v>1401</v>
      </c>
      <c r="V2263" s="14">
        <v>31934093</v>
      </c>
      <c r="X2263" s="14" t="s">
        <v>3791</v>
      </c>
      <c r="Y2263" s="14" t="s">
        <v>215</v>
      </c>
      <c r="Z2263" s="14">
        <v>21026</v>
      </c>
      <c r="AA2263" s="14" t="s">
        <v>3792</v>
      </c>
      <c r="AB2263" s="14">
        <v>40001</v>
      </c>
      <c r="AE2263" s="14" t="s">
        <v>1400</v>
      </c>
      <c r="AF2263" s="14" t="s">
        <v>1400</v>
      </c>
      <c r="AG2263" s="14" t="s">
        <v>92</v>
      </c>
    </row>
    <row r="2264" spans="2:33">
      <c r="B2264" s="14">
        <f>10000000+INDEX(编号表!$B:$B,MATCH(H2264,编号表!$A:$A,0))*100000+INDEX(编号表!$F:$F,MATCH(D2264,编号表!$E:$E,0))*10000+INDEX(编号表!$D:$D,MATCH(AG2264,编号表!$C:$C,0))*1000+F2264</f>
        <v>11914092</v>
      </c>
      <c r="C2264" s="14" t="s">
        <v>3793</v>
      </c>
      <c r="D2264" s="14" t="s">
        <v>72</v>
      </c>
      <c r="E2264" s="14" t="s">
        <v>92</v>
      </c>
      <c r="F2264" s="14">
        <v>92</v>
      </c>
      <c r="G2264" s="14">
        <v>60</v>
      </c>
      <c r="H2264" s="14" t="s">
        <v>1400</v>
      </c>
      <c r="I2264" s="14" t="s">
        <v>75</v>
      </c>
      <c r="J2264" s="14" t="s">
        <v>201</v>
      </c>
      <c r="K2264" s="14">
        <v>1</v>
      </c>
      <c r="L2264" s="14" t="s">
        <v>1400</v>
      </c>
      <c r="N2264" s="14">
        <v>0</v>
      </c>
      <c r="O2264" s="14" t="b">
        <v>1</v>
      </c>
      <c r="Q2264" s="14" t="b">
        <v>0</v>
      </c>
      <c r="R2264" s="14">
        <v>1</v>
      </c>
      <c r="S2264" s="14" t="s">
        <v>77</v>
      </c>
      <c r="T2264" s="14">
        <v>999</v>
      </c>
      <c r="U2264" s="14" t="s">
        <v>1401</v>
      </c>
      <c r="V2264" s="14">
        <v>31914092</v>
      </c>
      <c r="X2264" s="14" t="s">
        <v>3794</v>
      </c>
      <c r="Y2264" s="14" t="s">
        <v>215</v>
      </c>
      <c r="Z2264" s="14">
        <v>21027</v>
      </c>
      <c r="AA2264" s="14" t="s">
        <v>3795</v>
      </c>
      <c r="AB2264" s="14">
        <v>40001</v>
      </c>
      <c r="AE2264" s="14" t="s">
        <v>1400</v>
      </c>
      <c r="AF2264" s="14" t="s">
        <v>1400</v>
      </c>
      <c r="AG2264" s="14" t="s">
        <v>92</v>
      </c>
    </row>
    <row r="2265" spans="2:33">
      <c r="B2265" s="14">
        <f>10000000+INDEX(编号表!$B:$B,MATCH(H2265,编号表!$A:$A,0))*100000+INDEX(编号表!$F:$F,MATCH(D2265,编号表!$E:$E,0))*10000+INDEX(编号表!$D:$D,MATCH(AG2265,编号表!$C:$C,0))*1000+F2265</f>
        <v>11924093</v>
      </c>
      <c r="C2265" s="14" t="s">
        <v>3793</v>
      </c>
      <c r="D2265" s="14" t="s">
        <v>112</v>
      </c>
      <c r="E2265" s="14" t="s">
        <v>92</v>
      </c>
      <c r="F2265" s="14">
        <v>93</v>
      </c>
      <c r="G2265" s="14">
        <v>60</v>
      </c>
      <c r="H2265" s="14" t="s">
        <v>1400</v>
      </c>
      <c r="I2265" s="14" t="s">
        <v>75</v>
      </c>
      <c r="J2265" s="14" t="s">
        <v>201</v>
      </c>
      <c r="K2265" s="14">
        <v>1</v>
      </c>
      <c r="L2265" s="14" t="s">
        <v>1400</v>
      </c>
      <c r="N2265" s="14">
        <v>0</v>
      </c>
      <c r="O2265" s="14" t="b">
        <v>1</v>
      </c>
      <c r="Q2265" s="14" t="b">
        <v>0</v>
      </c>
      <c r="R2265" s="14">
        <v>1</v>
      </c>
      <c r="S2265" s="14" t="s">
        <v>77</v>
      </c>
      <c r="T2265" s="14">
        <v>999</v>
      </c>
      <c r="U2265" s="14" t="s">
        <v>1401</v>
      </c>
      <c r="V2265" s="14">
        <v>31924093</v>
      </c>
      <c r="X2265" s="14" t="s">
        <v>3796</v>
      </c>
      <c r="Y2265" s="14" t="s">
        <v>215</v>
      </c>
      <c r="Z2265" s="14">
        <v>21028</v>
      </c>
      <c r="AA2265" s="14" t="s">
        <v>3797</v>
      </c>
      <c r="AB2265" s="14">
        <v>40001</v>
      </c>
      <c r="AE2265" s="14" t="s">
        <v>1400</v>
      </c>
      <c r="AF2265" s="14" t="s">
        <v>1400</v>
      </c>
      <c r="AG2265" s="14" t="s">
        <v>92</v>
      </c>
    </row>
    <row r="2266" spans="2:33">
      <c r="B2266" s="14">
        <f>10000000+INDEX(编号表!$B:$B,MATCH(H2266,编号表!$A:$A,0))*100000+INDEX(编号表!$F:$F,MATCH(D2266,编号表!$E:$E,0))*10000+INDEX(编号表!$D:$D,MATCH(AG2266,编号表!$C:$C,0))*1000+F2266</f>
        <v>11934094</v>
      </c>
      <c r="C2266" s="14" t="s">
        <v>3793</v>
      </c>
      <c r="D2266" s="14" t="s">
        <v>276</v>
      </c>
      <c r="E2266" s="14" t="s">
        <v>92</v>
      </c>
      <c r="F2266" s="14">
        <v>94</v>
      </c>
      <c r="G2266" s="14">
        <v>60</v>
      </c>
      <c r="H2266" s="14" t="s">
        <v>1400</v>
      </c>
      <c r="I2266" s="14" t="s">
        <v>75</v>
      </c>
      <c r="J2266" s="14" t="s">
        <v>201</v>
      </c>
      <c r="K2266" s="14">
        <v>1</v>
      </c>
      <c r="L2266" s="14" t="s">
        <v>1400</v>
      </c>
      <c r="N2266" s="14">
        <v>0</v>
      </c>
      <c r="O2266" s="14" t="b">
        <v>1</v>
      </c>
      <c r="Q2266" s="14" t="b">
        <v>0</v>
      </c>
      <c r="R2266" s="14">
        <v>1</v>
      </c>
      <c r="S2266" s="14" t="s">
        <v>77</v>
      </c>
      <c r="T2266" s="14">
        <v>999</v>
      </c>
      <c r="U2266" s="14" t="s">
        <v>1401</v>
      </c>
      <c r="V2266" s="14">
        <v>31934094</v>
      </c>
      <c r="X2266" s="14" t="s">
        <v>3798</v>
      </c>
      <c r="Y2266" s="14" t="s">
        <v>215</v>
      </c>
      <c r="Z2266" s="14">
        <v>21029</v>
      </c>
      <c r="AA2266" s="14" t="s">
        <v>3799</v>
      </c>
      <c r="AB2266" s="14">
        <v>40001</v>
      </c>
      <c r="AE2266" s="14" t="s">
        <v>1400</v>
      </c>
      <c r="AF2266" s="14" t="s">
        <v>1400</v>
      </c>
      <c r="AG2266" s="14" t="s">
        <v>92</v>
      </c>
    </row>
    <row r="2267" spans="2:33">
      <c r="B2267" s="14">
        <f>10000000+INDEX(编号表!$B:$B,MATCH(H2267,编号表!$A:$A,0))*100000+INDEX(编号表!$F:$F,MATCH(D2267,编号表!$E:$E,0))*10000+INDEX(编号表!$D:$D,MATCH(AG2267,编号表!$C:$C,0))*1000+F2267</f>
        <v>11914093</v>
      </c>
      <c r="C2267" s="14" t="s">
        <v>3800</v>
      </c>
      <c r="D2267" s="14" t="s">
        <v>72</v>
      </c>
      <c r="E2267" s="14" t="s">
        <v>92</v>
      </c>
      <c r="F2267" s="14">
        <v>93</v>
      </c>
      <c r="G2267" s="14">
        <v>60</v>
      </c>
      <c r="H2267" s="14" t="s">
        <v>1400</v>
      </c>
      <c r="I2267" s="14" t="s">
        <v>75</v>
      </c>
      <c r="J2267" s="14" t="s">
        <v>201</v>
      </c>
      <c r="K2267" s="14">
        <v>1</v>
      </c>
      <c r="L2267" s="14" t="s">
        <v>1400</v>
      </c>
      <c r="N2267" s="14">
        <v>0</v>
      </c>
      <c r="O2267" s="14" t="b">
        <v>1</v>
      </c>
      <c r="Q2267" s="14" t="b">
        <v>0</v>
      </c>
      <c r="R2267" s="14">
        <v>1</v>
      </c>
      <c r="S2267" s="14" t="s">
        <v>77</v>
      </c>
      <c r="T2267" s="14">
        <v>999</v>
      </c>
      <c r="U2267" s="14" t="s">
        <v>1401</v>
      </c>
      <c r="V2267" s="14">
        <v>31914093</v>
      </c>
      <c r="X2267" s="14" t="s">
        <v>3801</v>
      </c>
      <c r="Y2267" s="14" t="s">
        <v>215</v>
      </c>
      <c r="Z2267" s="14">
        <v>21030</v>
      </c>
      <c r="AA2267" s="14" t="s">
        <v>3802</v>
      </c>
      <c r="AB2267" s="14">
        <v>40001</v>
      </c>
      <c r="AE2267" s="14" t="s">
        <v>1400</v>
      </c>
      <c r="AF2267" s="14" t="s">
        <v>1400</v>
      </c>
      <c r="AG2267" s="14" t="s">
        <v>92</v>
      </c>
    </row>
    <row r="2268" spans="2:33">
      <c r="B2268" s="14">
        <f>10000000+INDEX(编号表!$B:$B,MATCH(H2268,编号表!$A:$A,0))*100000+INDEX(编号表!$F:$F,MATCH(D2268,编号表!$E:$E,0))*10000+INDEX(编号表!$D:$D,MATCH(AG2268,编号表!$C:$C,0))*1000+F2268</f>
        <v>11924094</v>
      </c>
      <c r="C2268" s="14" t="s">
        <v>3800</v>
      </c>
      <c r="D2268" s="14" t="s">
        <v>112</v>
      </c>
      <c r="E2268" s="14" t="s">
        <v>92</v>
      </c>
      <c r="F2268" s="14">
        <v>94</v>
      </c>
      <c r="G2268" s="14">
        <v>60</v>
      </c>
      <c r="H2268" s="14" t="s">
        <v>1400</v>
      </c>
      <c r="I2268" s="14" t="s">
        <v>75</v>
      </c>
      <c r="J2268" s="14" t="s">
        <v>201</v>
      </c>
      <c r="K2268" s="14">
        <v>1</v>
      </c>
      <c r="L2268" s="14" t="s">
        <v>1400</v>
      </c>
      <c r="N2268" s="14">
        <v>0</v>
      </c>
      <c r="O2268" s="14" t="b">
        <v>1</v>
      </c>
      <c r="Q2268" s="14" t="b">
        <v>0</v>
      </c>
      <c r="R2268" s="14">
        <v>1</v>
      </c>
      <c r="S2268" s="14" t="s">
        <v>77</v>
      </c>
      <c r="T2268" s="14">
        <v>999</v>
      </c>
      <c r="U2268" s="14" t="s">
        <v>1401</v>
      </c>
      <c r="V2268" s="14">
        <v>31924094</v>
      </c>
      <c r="X2268" s="14" t="s">
        <v>3803</v>
      </c>
      <c r="Y2268" s="14" t="s">
        <v>215</v>
      </c>
      <c r="Z2268" s="14">
        <v>21031</v>
      </c>
      <c r="AA2268" s="14" t="s">
        <v>3804</v>
      </c>
      <c r="AB2268" s="14">
        <v>40001</v>
      </c>
      <c r="AE2268" s="14" t="s">
        <v>1400</v>
      </c>
      <c r="AF2268" s="14" t="s">
        <v>1400</v>
      </c>
      <c r="AG2268" s="14" t="s">
        <v>92</v>
      </c>
    </row>
    <row r="2269" spans="2:33">
      <c r="B2269" s="14">
        <f>10000000+INDEX(编号表!$B:$B,MATCH(H2269,编号表!$A:$A,0))*100000+INDEX(编号表!$F:$F,MATCH(D2269,编号表!$E:$E,0))*10000+INDEX(编号表!$D:$D,MATCH(AG2269,编号表!$C:$C,0))*1000+F2269</f>
        <v>11934095</v>
      </c>
      <c r="C2269" s="14" t="s">
        <v>3800</v>
      </c>
      <c r="D2269" s="14" t="s">
        <v>276</v>
      </c>
      <c r="E2269" s="14" t="s">
        <v>92</v>
      </c>
      <c r="F2269" s="14">
        <v>95</v>
      </c>
      <c r="G2269" s="14">
        <v>60</v>
      </c>
      <c r="H2269" s="14" t="s">
        <v>1400</v>
      </c>
      <c r="I2269" s="14" t="s">
        <v>75</v>
      </c>
      <c r="J2269" s="14" t="s">
        <v>201</v>
      </c>
      <c r="K2269" s="14">
        <v>1</v>
      </c>
      <c r="L2269" s="14" t="s">
        <v>1400</v>
      </c>
      <c r="N2269" s="14">
        <v>0</v>
      </c>
      <c r="O2269" s="14" t="b">
        <v>1</v>
      </c>
      <c r="Q2269" s="14" t="b">
        <v>0</v>
      </c>
      <c r="R2269" s="14">
        <v>1</v>
      </c>
      <c r="S2269" s="14" t="s">
        <v>77</v>
      </c>
      <c r="T2269" s="14">
        <v>999</v>
      </c>
      <c r="U2269" s="14" t="s">
        <v>1401</v>
      </c>
      <c r="V2269" s="14">
        <v>31934095</v>
      </c>
      <c r="X2269" s="14" t="s">
        <v>3805</v>
      </c>
      <c r="Y2269" s="14" t="s">
        <v>215</v>
      </c>
      <c r="Z2269" s="14">
        <v>21032</v>
      </c>
      <c r="AA2269" s="14" t="s">
        <v>3806</v>
      </c>
      <c r="AB2269" s="14">
        <v>40001</v>
      </c>
      <c r="AE2269" s="14" t="s">
        <v>1400</v>
      </c>
      <c r="AF2269" s="14" t="s">
        <v>1400</v>
      </c>
      <c r="AG2269" s="14" t="s">
        <v>92</v>
      </c>
    </row>
    <row r="2270" spans="2:33">
      <c r="B2270" s="14">
        <f>10000000+INDEX(编号表!$B:$B,MATCH(H2270,编号表!$A:$A,0))*100000+INDEX(编号表!$F:$F,MATCH(D2270,编号表!$E:$E,0))*10000+INDEX(编号表!$D:$D,MATCH(AG2270,编号表!$C:$C,0))*1000+F2270</f>
        <v>11914094</v>
      </c>
      <c r="C2270" s="14" t="s">
        <v>3807</v>
      </c>
      <c r="D2270" s="14" t="s">
        <v>72</v>
      </c>
      <c r="E2270" s="14" t="s">
        <v>92</v>
      </c>
      <c r="F2270" s="14">
        <v>94</v>
      </c>
      <c r="G2270" s="14">
        <v>60</v>
      </c>
      <c r="H2270" s="14" t="s">
        <v>1400</v>
      </c>
      <c r="I2270" s="14" t="s">
        <v>75</v>
      </c>
      <c r="J2270" s="14" t="s">
        <v>201</v>
      </c>
      <c r="K2270" s="14">
        <v>1</v>
      </c>
      <c r="L2270" s="14" t="s">
        <v>1400</v>
      </c>
      <c r="N2270" s="14">
        <v>0</v>
      </c>
      <c r="O2270" s="14" t="b">
        <v>1</v>
      </c>
      <c r="Q2270" s="14" t="b">
        <v>0</v>
      </c>
      <c r="R2270" s="14">
        <v>1</v>
      </c>
      <c r="S2270" s="14" t="s">
        <v>77</v>
      </c>
      <c r="T2270" s="14">
        <v>999</v>
      </c>
      <c r="U2270" s="14" t="s">
        <v>1401</v>
      </c>
      <c r="V2270" s="14">
        <v>31914094</v>
      </c>
      <c r="X2270" s="14" t="s">
        <v>3808</v>
      </c>
      <c r="Y2270" s="14" t="s">
        <v>215</v>
      </c>
      <c r="Z2270" s="14">
        <v>21033</v>
      </c>
      <c r="AA2270" s="14" t="s">
        <v>3809</v>
      </c>
      <c r="AB2270" s="14">
        <v>40001</v>
      </c>
      <c r="AE2270" s="14" t="s">
        <v>1400</v>
      </c>
      <c r="AF2270" s="14" t="s">
        <v>1400</v>
      </c>
      <c r="AG2270" s="14" t="s">
        <v>92</v>
      </c>
    </row>
    <row r="2271" spans="2:33">
      <c r="B2271" s="14">
        <f>10000000+INDEX(编号表!$B:$B,MATCH(H2271,编号表!$A:$A,0))*100000+INDEX(编号表!$F:$F,MATCH(D2271,编号表!$E:$E,0))*10000+INDEX(编号表!$D:$D,MATCH(AG2271,编号表!$C:$C,0))*1000+F2271</f>
        <v>11924095</v>
      </c>
      <c r="C2271" s="14" t="s">
        <v>3807</v>
      </c>
      <c r="D2271" s="14" t="s">
        <v>112</v>
      </c>
      <c r="E2271" s="14" t="s">
        <v>92</v>
      </c>
      <c r="F2271" s="14">
        <v>95</v>
      </c>
      <c r="G2271" s="14">
        <v>60</v>
      </c>
      <c r="H2271" s="14" t="s">
        <v>1400</v>
      </c>
      <c r="I2271" s="14" t="s">
        <v>75</v>
      </c>
      <c r="J2271" s="14" t="s">
        <v>201</v>
      </c>
      <c r="K2271" s="14">
        <v>1</v>
      </c>
      <c r="L2271" s="14" t="s">
        <v>1400</v>
      </c>
      <c r="N2271" s="14">
        <v>0</v>
      </c>
      <c r="O2271" s="14" t="b">
        <v>1</v>
      </c>
      <c r="Q2271" s="14" t="b">
        <v>0</v>
      </c>
      <c r="R2271" s="14">
        <v>1</v>
      </c>
      <c r="S2271" s="14" t="s">
        <v>77</v>
      </c>
      <c r="T2271" s="14">
        <v>999</v>
      </c>
      <c r="U2271" s="14" t="s">
        <v>1401</v>
      </c>
      <c r="V2271" s="14">
        <v>31924095</v>
      </c>
      <c r="X2271" s="14" t="s">
        <v>3810</v>
      </c>
      <c r="Y2271" s="14" t="s">
        <v>215</v>
      </c>
      <c r="Z2271" s="14">
        <v>21034</v>
      </c>
      <c r="AA2271" s="14" t="s">
        <v>3811</v>
      </c>
      <c r="AB2271" s="14">
        <v>40001</v>
      </c>
      <c r="AE2271" s="14" t="s">
        <v>1400</v>
      </c>
      <c r="AF2271" s="14" t="s">
        <v>1400</v>
      </c>
      <c r="AG2271" s="14" t="s">
        <v>92</v>
      </c>
    </row>
    <row r="2272" spans="2:33">
      <c r="B2272" s="14">
        <f>10000000+INDEX(编号表!$B:$B,MATCH(H2272,编号表!$A:$A,0))*100000+INDEX(编号表!$F:$F,MATCH(D2272,编号表!$E:$E,0))*10000+INDEX(编号表!$D:$D,MATCH(AG2272,编号表!$C:$C,0))*1000+F2272</f>
        <v>11934096</v>
      </c>
      <c r="C2272" s="14" t="s">
        <v>3807</v>
      </c>
      <c r="D2272" s="14" t="s">
        <v>276</v>
      </c>
      <c r="E2272" s="14" t="s">
        <v>92</v>
      </c>
      <c r="F2272" s="14">
        <v>96</v>
      </c>
      <c r="G2272" s="14">
        <v>60</v>
      </c>
      <c r="H2272" s="14" t="s">
        <v>1400</v>
      </c>
      <c r="I2272" s="14" t="s">
        <v>75</v>
      </c>
      <c r="J2272" s="14" t="s">
        <v>201</v>
      </c>
      <c r="K2272" s="14">
        <v>1</v>
      </c>
      <c r="L2272" s="14" t="s">
        <v>1400</v>
      </c>
      <c r="N2272" s="14">
        <v>0</v>
      </c>
      <c r="O2272" s="14" t="b">
        <v>1</v>
      </c>
      <c r="Q2272" s="14" t="b">
        <v>0</v>
      </c>
      <c r="R2272" s="14">
        <v>1</v>
      </c>
      <c r="S2272" s="14" t="s">
        <v>77</v>
      </c>
      <c r="T2272" s="14">
        <v>999</v>
      </c>
      <c r="U2272" s="14" t="s">
        <v>1401</v>
      </c>
      <c r="V2272" s="14">
        <v>31934096</v>
      </c>
      <c r="X2272" s="14" t="s">
        <v>3812</v>
      </c>
      <c r="Y2272" s="14" t="s">
        <v>215</v>
      </c>
      <c r="Z2272" s="14">
        <v>21035</v>
      </c>
      <c r="AA2272" s="14" t="s">
        <v>3813</v>
      </c>
      <c r="AB2272" s="14">
        <v>40001</v>
      </c>
      <c r="AE2272" s="14" t="s">
        <v>1400</v>
      </c>
      <c r="AF2272" s="14" t="s">
        <v>1400</v>
      </c>
      <c r="AG2272" s="14" t="s">
        <v>92</v>
      </c>
    </row>
    <row r="2273" spans="2:33">
      <c r="B2273" s="14">
        <f>10000000+INDEX(编号表!$B:$B,MATCH(H2273,编号表!$A:$A,0))*100000+INDEX(编号表!$F:$F,MATCH(D2273,编号表!$E:$E,0))*10000+INDEX(编号表!$D:$D,MATCH(AG2273,编号表!$C:$C,0))*1000+F2273</f>
        <v>11914095</v>
      </c>
      <c r="C2273" s="14" t="s">
        <v>3814</v>
      </c>
      <c r="D2273" s="14" t="s">
        <v>72</v>
      </c>
      <c r="E2273" s="14" t="s">
        <v>92</v>
      </c>
      <c r="F2273" s="14">
        <v>95</v>
      </c>
      <c r="G2273" s="14">
        <v>60</v>
      </c>
      <c r="H2273" s="14" t="s">
        <v>1400</v>
      </c>
      <c r="I2273" s="14" t="s">
        <v>75</v>
      </c>
      <c r="J2273" s="14" t="s">
        <v>201</v>
      </c>
      <c r="K2273" s="14">
        <v>1</v>
      </c>
      <c r="L2273" s="14" t="s">
        <v>1400</v>
      </c>
      <c r="N2273" s="14">
        <v>0</v>
      </c>
      <c r="O2273" s="14" t="b">
        <v>1</v>
      </c>
      <c r="Q2273" s="14" t="b">
        <v>0</v>
      </c>
      <c r="R2273" s="14">
        <v>1</v>
      </c>
      <c r="S2273" s="14" t="s">
        <v>77</v>
      </c>
      <c r="T2273" s="14">
        <v>999</v>
      </c>
      <c r="U2273" s="14" t="s">
        <v>1401</v>
      </c>
      <c r="V2273" s="14">
        <v>31914095</v>
      </c>
      <c r="X2273" s="14" t="s">
        <v>3815</v>
      </c>
      <c r="Y2273" s="14" t="s">
        <v>215</v>
      </c>
      <c r="Z2273" s="14">
        <v>21036</v>
      </c>
      <c r="AA2273" s="14" t="s">
        <v>3816</v>
      </c>
      <c r="AB2273" s="14">
        <v>40001</v>
      </c>
      <c r="AE2273" s="14" t="s">
        <v>1400</v>
      </c>
      <c r="AF2273" s="14" t="s">
        <v>1400</v>
      </c>
      <c r="AG2273" s="14" t="s">
        <v>92</v>
      </c>
    </row>
    <row r="2274" spans="2:33">
      <c r="B2274" s="14">
        <f>10000000+INDEX(编号表!$B:$B,MATCH(H2274,编号表!$A:$A,0))*100000+INDEX(编号表!$F:$F,MATCH(D2274,编号表!$E:$E,0))*10000+INDEX(编号表!$D:$D,MATCH(AG2274,编号表!$C:$C,0))*1000+F2274</f>
        <v>11924096</v>
      </c>
      <c r="C2274" s="14" t="s">
        <v>3814</v>
      </c>
      <c r="D2274" s="14" t="s">
        <v>112</v>
      </c>
      <c r="E2274" s="14" t="s">
        <v>92</v>
      </c>
      <c r="F2274" s="14">
        <v>96</v>
      </c>
      <c r="G2274" s="14">
        <v>60</v>
      </c>
      <c r="H2274" s="14" t="s">
        <v>1400</v>
      </c>
      <c r="I2274" s="14" t="s">
        <v>75</v>
      </c>
      <c r="J2274" s="14" t="s">
        <v>201</v>
      </c>
      <c r="K2274" s="14">
        <v>1</v>
      </c>
      <c r="L2274" s="14" t="s">
        <v>1400</v>
      </c>
      <c r="N2274" s="14">
        <v>0</v>
      </c>
      <c r="O2274" s="14" t="b">
        <v>1</v>
      </c>
      <c r="Q2274" s="14" t="b">
        <v>0</v>
      </c>
      <c r="R2274" s="14">
        <v>1</v>
      </c>
      <c r="S2274" s="14" t="s">
        <v>77</v>
      </c>
      <c r="T2274" s="14">
        <v>999</v>
      </c>
      <c r="U2274" s="14" t="s">
        <v>1401</v>
      </c>
      <c r="V2274" s="14">
        <v>31924096</v>
      </c>
      <c r="X2274" s="14" t="s">
        <v>3817</v>
      </c>
      <c r="Y2274" s="14" t="s">
        <v>215</v>
      </c>
      <c r="Z2274" s="14">
        <v>21037</v>
      </c>
      <c r="AA2274" s="14" t="s">
        <v>3818</v>
      </c>
      <c r="AB2274" s="14">
        <v>40001</v>
      </c>
      <c r="AE2274" s="14" t="s">
        <v>1400</v>
      </c>
      <c r="AF2274" s="14" t="s">
        <v>1400</v>
      </c>
      <c r="AG2274" s="14" t="s">
        <v>92</v>
      </c>
    </row>
    <row r="2275" spans="2:33">
      <c r="B2275" s="14">
        <f>10000000+INDEX(编号表!$B:$B,MATCH(H2275,编号表!$A:$A,0))*100000+INDEX(编号表!$F:$F,MATCH(D2275,编号表!$E:$E,0))*10000+INDEX(编号表!$D:$D,MATCH(AG2275,编号表!$C:$C,0))*1000+F2275</f>
        <v>11934097</v>
      </c>
      <c r="C2275" s="14" t="s">
        <v>3814</v>
      </c>
      <c r="D2275" s="14" t="s">
        <v>276</v>
      </c>
      <c r="E2275" s="14" t="s">
        <v>92</v>
      </c>
      <c r="F2275" s="14">
        <v>97</v>
      </c>
      <c r="G2275" s="14">
        <v>60</v>
      </c>
      <c r="H2275" s="14" t="s">
        <v>1400</v>
      </c>
      <c r="I2275" s="14" t="s">
        <v>75</v>
      </c>
      <c r="J2275" s="14" t="s">
        <v>201</v>
      </c>
      <c r="K2275" s="14">
        <v>1</v>
      </c>
      <c r="L2275" s="14" t="s">
        <v>1400</v>
      </c>
      <c r="N2275" s="14">
        <v>0</v>
      </c>
      <c r="O2275" s="14" t="b">
        <v>1</v>
      </c>
      <c r="Q2275" s="14" t="b">
        <v>0</v>
      </c>
      <c r="R2275" s="14">
        <v>1</v>
      </c>
      <c r="S2275" s="14" t="s">
        <v>77</v>
      </c>
      <c r="T2275" s="14">
        <v>999</v>
      </c>
      <c r="U2275" s="14" t="s">
        <v>1401</v>
      </c>
      <c r="V2275" s="14">
        <v>31934097</v>
      </c>
      <c r="X2275" s="14" t="s">
        <v>3819</v>
      </c>
      <c r="Y2275" s="14" t="s">
        <v>215</v>
      </c>
      <c r="Z2275" s="14">
        <v>21038</v>
      </c>
      <c r="AA2275" s="14" t="s">
        <v>3820</v>
      </c>
      <c r="AB2275" s="14">
        <v>40001</v>
      </c>
      <c r="AE2275" s="14" t="s">
        <v>1400</v>
      </c>
      <c r="AF2275" s="14" t="s">
        <v>1400</v>
      </c>
      <c r="AG2275" s="14" t="s">
        <v>92</v>
      </c>
    </row>
    <row r="2276" spans="2:33">
      <c r="B2276" s="14">
        <f>10000000+INDEX(编号表!$B:$B,MATCH(H2276,编号表!$A:$A,0))*100000+INDEX(编号表!$F:$F,MATCH(D2276,编号表!$E:$E,0))*10000+INDEX(编号表!$D:$D,MATCH(AG2276,编号表!$C:$C,0))*1000+F2276</f>
        <v>11914096</v>
      </c>
      <c r="C2276" s="14" t="s">
        <v>3821</v>
      </c>
      <c r="D2276" s="14" t="s">
        <v>72</v>
      </c>
      <c r="E2276" s="14" t="s">
        <v>92</v>
      </c>
      <c r="F2276" s="14">
        <v>96</v>
      </c>
      <c r="G2276" s="14">
        <v>60</v>
      </c>
      <c r="H2276" s="14" t="s">
        <v>1400</v>
      </c>
      <c r="I2276" s="14" t="s">
        <v>75</v>
      </c>
      <c r="J2276" s="14" t="s">
        <v>201</v>
      </c>
      <c r="K2276" s="14">
        <v>1</v>
      </c>
      <c r="L2276" s="14" t="s">
        <v>1400</v>
      </c>
      <c r="N2276" s="14">
        <v>0</v>
      </c>
      <c r="O2276" s="14" t="b">
        <v>1</v>
      </c>
      <c r="Q2276" s="14" t="b">
        <v>0</v>
      </c>
      <c r="R2276" s="14">
        <v>1</v>
      </c>
      <c r="S2276" s="14" t="s">
        <v>77</v>
      </c>
      <c r="T2276" s="14">
        <v>999</v>
      </c>
      <c r="U2276" s="14" t="s">
        <v>1401</v>
      </c>
      <c r="V2276" s="14">
        <v>31914096</v>
      </c>
      <c r="X2276" s="14" t="s">
        <v>3822</v>
      </c>
      <c r="Y2276" s="14" t="s">
        <v>215</v>
      </c>
      <c r="Z2276" s="14">
        <v>21039</v>
      </c>
      <c r="AA2276" s="14" t="s">
        <v>3823</v>
      </c>
      <c r="AB2276" s="14">
        <v>40001</v>
      </c>
      <c r="AE2276" s="14" t="s">
        <v>1400</v>
      </c>
      <c r="AF2276" s="14" t="s">
        <v>1400</v>
      </c>
      <c r="AG2276" s="14" t="s">
        <v>92</v>
      </c>
    </row>
    <row r="2277" spans="2:33">
      <c r="B2277" s="14">
        <f>10000000+INDEX(编号表!$B:$B,MATCH(H2277,编号表!$A:$A,0))*100000+INDEX(编号表!$F:$F,MATCH(D2277,编号表!$E:$E,0))*10000+INDEX(编号表!$D:$D,MATCH(AG2277,编号表!$C:$C,0))*1000+F2277</f>
        <v>11924097</v>
      </c>
      <c r="C2277" s="14" t="s">
        <v>3821</v>
      </c>
      <c r="D2277" s="14" t="s">
        <v>112</v>
      </c>
      <c r="E2277" s="14" t="s">
        <v>92</v>
      </c>
      <c r="F2277" s="14">
        <v>97</v>
      </c>
      <c r="G2277" s="14">
        <v>60</v>
      </c>
      <c r="H2277" s="14" t="s">
        <v>1400</v>
      </c>
      <c r="I2277" s="14" t="s">
        <v>75</v>
      </c>
      <c r="J2277" s="14" t="s">
        <v>201</v>
      </c>
      <c r="K2277" s="14">
        <v>1</v>
      </c>
      <c r="L2277" s="14" t="s">
        <v>1400</v>
      </c>
      <c r="N2277" s="14">
        <v>0</v>
      </c>
      <c r="O2277" s="14" t="b">
        <v>1</v>
      </c>
      <c r="Q2277" s="14" t="b">
        <v>0</v>
      </c>
      <c r="R2277" s="14">
        <v>1</v>
      </c>
      <c r="S2277" s="14" t="s">
        <v>77</v>
      </c>
      <c r="T2277" s="14">
        <v>999</v>
      </c>
      <c r="U2277" s="14" t="s">
        <v>1401</v>
      </c>
      <c r="V2277" s="14">
        <v>31924097</v>
      </c>
      <c r="X2277" s="14" t="s">
        <v>3824</v>
      </c>
      <c r="Y2277" s="14" t="s">
        <v>215</v>
      </c>
      <c r="Z2277" s="14">
        <v>21040</v>
      </c>
      <c r="AA2277" s="14" t="s">
        <v>3825</v>
      </c>
      <c r="AB2277" s="14">
        <v>40001</v>
      </c>
      <c r="AE2277" s="14" t="s">
        <v>1400</v>
      </c>
      <c r="AF2277" s="14" t="s">
        <v>1400</v>
      </c>
      <c r="AG2277" s="14" t="s">
        <v>92</v>
      </c>
    </row>
    <row r="2278" spans="2:33">
      <c r="B2278" s="14">
        <f>10000000+INDEX(编号表!$B:$B,MATCH(H2278,编号表!$A:$A,0))*100000+INDEX(编号表!$F:$F,MATCH(D2278,编号表!$E:$E,0))*10000+INDEX(编号表!$D:$D,MATCH(AG2278,编号表!$C:$C,0))*1000+F2278</f>
        <v>11934098</v>
      </c>
      <c r="C2278" s="14" t="s">
        <v>3821</v>
      </c>
      <c r="D2278" s="14" t="s">
        <v>276</v>
      </c>
      <c r="E2278" s="14" t="s">
        <v>92</v>
      </c>
      <c r="F2278" s="14">
        <v>98</v>
      </c>
      <c r="G2278" s="14">
        <v>60</v>
      </c>
      <c r="H2278" s="14" t="s">
        <v>1400</v>
      </c>
      <c r="I2278" s="14" t="s">
        <v>75</v>
      </c>
      <c r="J2278" s="14" t="s">
        <v>201</v>
      </c>
      <c r="K2278" s="14">
        <v>1</v>
      </c>
      <c r="L2278" s="14" t="s">
        <v>1400</v>
      </c>
      <c r="N2278" s="14">
        <v>0</v>
      </c>
      <c r="O2278" s="14" t="b">
        <v>1</v>
      </c>
      <c r="Q2278" s="14" t="b">
        <v>0</v>
      </c>
      <c r="R2278" s="14">
        <v>1</v>
      </c>
      <c r="S2278" s="14" t="s">
        <v>77</v>
      </c>
      <c r="T2278" s="14">
        <v>999</v>
      </c>
      <c r="U2278" s="14" t="s">
        <v>1401</v>
      </c>
      <c r="V2278" s="14">
        <v>31934098</v>
      </c>
      <c r="X2278" s="14" t="s">
        <v>3826</v>
      </c>
      <c r="Y2278" s="14" t="s">
        <v>215</v>
      </c>
      <c r="Z2278" s="14">
        <v>21041</v>
      </c>
      <c r="AA2278" s="14" t="s">
        <v>3827</v>
      </c>
      <c r="AB2278" s="14">
        <v>40001</v>
      </c>
      <c r="AE2278" s="14" t="s">
        <v>1400</v>
      </c>
      <c r="AF2278" s="14" t="s">
        <v>1400</v>
      </c>
      <c r="AG2278" s="14" t="s">
        <v>92</v>
      </c>
    </row>
    <row r="2279" spans="2:33">
      <c r="B2279" s="14">
        <f>10000000+INDEX(编号表!$B:$B,MATCH(H2279,编号表!$A:$A,0))*100000+INDEX(编号表!$F:$F,MATCH(D2279,编号表!$E:$E,0))*10000+INDEX(编号表!$D:$D,MATCH(AG2279,编号表!$C:$C,0))*1000+F2279</f>
        <v>11914097</v>
      </c>
      <c r="C2279" s="14" t="s">
        <v>3828</v>
      </c>
      <c r="D2279" s="14" t="s">
        <v>72</v>
      </c>
      <c r="E2279" s="14" t="s">
        <v>92</v>
      </c>
      <c r="F2279" s="14">
        <v>97</v>
      </c>
      <c r="G2279" s="14">
        <v>60</v>
      </c>
      <c r="H2279" s="14" t="s">
        <v>1400</v>
      </c>
      <c r="I2279" s="14" t="s">
        <v>75</v>
      </c>
      <c r="J2279" s="14" t="s">
        <v>201</v>
      </c>
      <c r="K2279" s="14">
        <v>1</v>
      </c>
      <c r="L2279" s="14" t="s">
        <v>1400</v>
      </c>
      <c r="N2279" s="14">
        <v>0</v>
      </c>
      <c r="O2279" s="14" t="b">
        <v>1</v>
      </c>
      <c r="Q2279" s="14" t="b">
        <v>0</v>
      </c>
      <c r="R2279" s="14">
        <v>1</v>
      </c>
      <c r="S2279" s="14" t="s">
        <v>77</v>
      </c>
      <c r="T2279" s="14">
        <v>999</v>
      </c>
      <c r="U2279" s="14" t="s">
        <v>1401</v>
      </c>
      <c r="V2279" s="14">
        <v>31914097</v>
      </c>
      <c r="X2279" s="14" t="s">
        <v>3829</v>
      </c>
      <c r="Y2279" s="14" t="s">
        <v>215</v>
      </c>
      <c r="Z2279" s="14">
        <v>21042</v>
      </c>
      <c r="AA2279" s="14" t="s">
        <v>3830</v>
      </c>
      <c r="AB2279" s="14">
        <v>40001</v>
      </c>
      <c r="AE2279" s="14" t="s">
        <v>1400</v>
      </c>
      <c r="AF2279" s="14" t="s">
        <v>1400</v>
      </c>
      <c r="AG2279" s="14" t="s">
        <v>92</v>
      </c>
    </row>
    <row r="2280" spans="2:33">
      <c r="B2280" s="14">
        <f>10000000+INDEX(编号表!$B:$B,MATCH(H2280,编号表!$A:$A,0))*100000+INDEX(编号表!$F:$F,MATCH(D2280,编号表!$E:$E,0))*10000+INDEX(编号表!$D:$D,MATCH(AG2280,编号表!$C:$C,0))*1000+F2280</f>
        <v>11924098</v>
      </c>
      <c r="C2280" s="14" t="s">
        <v>3828</v>
      </c>
      <c r="D2280" s="14" t="s">
        <v>112</v>
      </c>
      <c r="E2280" s="14" t="s">
        <v>92</v>
      </c>
      <c r="F2280" s="14">
        <v>98</v>
      </c>
      <c r="G2280" s="14">
        <v>60</v>
      </c>
      <c r="H2280" s="14" t="s">
        <v>1400</v>
      </c>
      <c r="I2280" s="14" t="s">
        <v>75</v>
      </c>
      <c r="J2280" s="14" t="s">
        <v>201</v>
      </c>
      <c r="K2280" s="14">
        <v>1</v>
      </c>
      <c r="L2280" s="14" t="s">
        <v>1400</v>
      </c>
      <c r="N2280" s="14">
        <v>0</v>
      </c>
      <c r="O2280" s="14" t="b">
        <v>1</v>
      </c>
      <c r="Q2280" s="14" t="b">
        <v>0</v>
      </c>
      <c r="R2280" s="14">
        <v>1</v>
      </c>
      <c r="S2280" s="14" t="s">
        <v>77</v>
      </c>
      <c r="T2280" s="14">
        <v>999</v>
      </c>
      <c r="U2280" s="14" t="s">
        <v>1401</v>
      </c>
      <c r="V2280" s="14">
        <v>31924098</v>
      </c>
      <c r="X2280" s="14" t="s">
        <v>3831</v>
      </c>
      <c r="Y2280" s="14" t="s">
        <v>215</v>
      </c>
      <c r="Z2280" s="14">
        <v>21043</v>
      </c>
      <c r="AA2280" s="14" t="s">
        <v>3832</v>
      </c>
      <c r="AB2280" s="14">
        <v>40001</v>
      </c>
      <c r="AE2280" s="14" t="s">
        <v>1400</v>
      </c>
      <c r="AF2280" s="14" t="s">
        <v>1400</v>
      </c>
      <c r="AG2280" s="14" t="s">
        <v>92</v>
      </c>
    </row>
    <row r="2281" spans="2:33">
      <c r="B2281" s="14">
        <f>10000000+INDEX(编号表!$B:$B,MATCH(H2281,编号表!$A:$A,0))*100000+INDEX(编号表!$F:$F,MATCH(D2281,编号表!$E:$E,0))*10000+INDEX(编号表!$D:$D,MATCH(AG2281,编号表!$C:$C,0))*1000+F2281</f>
        <v>11934099</v>
      </c>
      <c r="C2281" s="14" t="s">
        <v>3828</v>
      </c>
      <c r="D2281" s="14" t="s">
        <v>276</v>
      </c>
      <c r="E2281" s="14" t="s">
        <v>92</v>
      </c>
      <c r="F2281" s="14">
        <v>99</v>
      </c>
      <c r="G2281" s="14">
        <v>60</v>
      </c>
      <c r="H2281" s="14" t="s">
        <v>1400</v>
      </c>
      <c r="I2281" s="14" t="s">
        <v>75</v>
      </c>
      <c r="J2281" s="14" t="s">
        <v>201</v>
      </c>
      <c r="K2281" s="14">
        <v>1</v>
      </c>
      <c r="L2281" s="14" t="s">
        <v>1400</v>
      </c>
      <c r="N2281" s="14">
        <v>0</v>
      </c>
      <c r="O2281" s="14" t="b">
        <v>1</v>
      </c>
      <c r="Q2281" s="14" t="b">
        <v>0</v>
      </c>
      <c r="R2281" s="14">
        <v>1</v>
      </c>
      <c r="S2281" s="14" t="s">
        <v>77</v>
      </c>
      <c r="T2281" s="14">
        <v>999</v>
      </c>
      <c r="U2281" s="14" t="s">
        <v>1401</v>
      </c>
      <c r="V2281" s="14">
        <v>31934099</v>
      </c>
      <c r="X2281" s="14" t="s">
        <v>3833</v>
      </c>
      <c r="Y2281" s="14" t="s">
        <v>215</v>
      </c>
      <c r="Z2281" s="14">
        <v>21044</v>
      </c>
      <c r="AA2281" s="14" t="s">
        <v>3834</v>
      </c>
      <c r="AB2281" s="14">
        <v>40001</v>
      </c>
      <c r="AE2281" s="14" t="s">
        <v>1400</v>
      </c>
      <c r="AF2281" s="14" t="s">
        <v>1400</v>
      </c>
      <c r="AG2281" s="14" t="s">
        <v>92</v>
      </c>
    </row>
    <row r="2282" spans="2:33">
      <c r="B2282" s="14">
        <f>10000000+INDEX(编号表!$B:$B,MATCH(H2282,编号表!$A:$A,0))*100000+INDEX(编号表!$F:$F,MATCH(D2282,编号表!$E:$E,0))*10000+INDEX(编号表!$D:$D,MATCH(AG2282,编号表!$C:$C,0))*1000+F2282</f>
        <v>11914098</v>
      </c>
      <c r="C2282" s="14" t="s">
        <v>3835</v>
      </c>
      <c r="D2282" s="14" t="s">
        <v>72</v>
      </c>
      <c r="E2282" s="14" t="s">
        <v>92</v>
      </c>
      <c r="F2282" s="14">
        <v>98</v>
      </c>
      <c r="G2282" s="14">
        <v>60</v>
      </c>
      <c r="H2282" s="14" t="s">
        <v>1400</v>
      </c>
      <c r="I2282" s="14" t="s">
        <v>75</v>
      </c>
      <c r="J2282" s="14" t="s">
        <v>201</v>
      </c>
      <c r="K2282" s="14">
        <v>1</v>
      </c>
      <c r="L2282" s="14" t="s">
        <v>1400</v>
      </c>
      <c r="N2282" s="14">
        <v>0</v>
      </c>
      <c r="O2282" s="14" t="b">
        <v>1</v>
      </c>
      <c r="Q2282" s="14" t="b">
        <v>0</v>
      </c>
      <c r="R2282" s="14">
        <v>1</v>
      </c>
      <c r="S2282" s="14" t="s">
        <v>77</v>
      </c>
      <c r="T2282" s="14">
        <v>999</v>
      </c>
      <c r="U2282" s="14" t="s">
        <v>1401</v>
      </c>
      <c r="V2282" s="14">
        <v>31914098</v>
      </c>
      <c r="X2282" s="14" t="s">
        <v>3836</v>
      </c>
      <c r="Y2282" s="14" t="s">
        <v>215</v>
      </c>
      <c r="Z2282" s="14">
        <v>21045</v>
      </c>
      <c r="AA2282" s="14" t="s">
        <v>3837</v>
      </c>
      <c r="AB2282" s="14">
        <v>40001</v>
      </c>
      <c r="AE2282" s="14" t="s">
        <v>1400</v>
      </c>
      <c r="AF2282" s="14" t="s">
        <v>1400</v>
      </c>
      <c r="AG2282" s="14" t="s">
        <v>92</v>
      </c>
    </row>
    <row r="2283" spans="2:33">
      <c r="B2283" s="14">
        <f>10000000+INDEX(编号表!$B:$B,MATCH(H2283,编号表!$A:$A,0))*100000+INDEX(编号表!$F:$F,MATCH(D2283,编号表!$E:$E,0))*10000+INDEX(编号表!$D:$D,MATCH(AG2283,编号表!$C:$C,0))*1000+F2283</f>
        <v>11924099</v>
      </c>
      <c r="C2283" s="14" t="s">
        <v>3835</v>
      </c>
      <c r="D2283" s="14" t="s">
        <v>112</v>
      </c>
      <c r="E2283" s="14" t="s">
        <v>92</v>
      </c>
      <c r="F2283" s="14">
        <v>99</v>
      </c>
      <c r="G2283" s="14">
        <v>60</v>
      </c>
      <c r="H2283" s="14" t="s">
        <v>1400</v>
      </c>
      <c r="I2283" s="14" t="s">
        <v>75</v>
      </c>
      <c r="J2283" s="14" t="s">
        <v>201</v>
      </c>
      <c r="K2283" s="14">
        <v>1</v>
      </c>
      <c r="L2283" s="14" t="s">
        <v>1400</v>
      </c>
      <c r="N2283" s="14">
        <v>0</v>
      </c>
      <c r="O2283" s="14" t="b">
        <v>1</v>
      </c>
      <c r="Q2283" s="14" t="b">
        <v>0</v>
      </c>
      <c r="R2283" s="14">
        <v>1</v>
      </c>
      <c r="S2283" s="14" t="s">
        <v>77</v>
      </c>
      <c r="T2283" s="14">
        <v>999</v>
      </c>
      <c r="U2283" s="14" t="s">
        <v>1401</v>
      </c>
      <c r="V2283" s="14">
        <v>31924099</v>
      </c>
      <c r="X2283" s="14" t="s">
        <v>3838</v>
      </c>
      <c r="Y2283" s="14" t="s">
        <v>215</v>
      </c>
      <c r="Z2283" s="14">
        <v>21046</v>
      </c>
      <c r="AA2283" s="14" t="s">
        <v>3839</v>
      </c>
      <c r="AB2283" s="14">
        <v>40001</v>
      </c>
      <c r="AE2283" s="14" t="s">
        <v>1400</v>
      </c>
      <c r="AF2283" s="14" t="s">
        <v>1400</v>
      </c>
      <c r="AG2283" s="14" t="s">
        <v>92</v>
      </c>
    </row>
    <row r="2284" spans="2:33">
      <c r="B2284" s="14">
        <f>10000000+INDEX(编号表!$B:$B,MATCH(H2284,编号表!$A:$A,0))*100000+INDEX(编号表!$F:$F,MATCH(D2284,编号表!$E:$E,0))*10000+INDEX(编号表!$D:$D,MATCH(AG2284,编号表!$C:$C,0))*1000+F2284</f>
        <v>11934100</v>
      </c>
      <c r="C2284" s="14" t="s">
        <v>3835</v>
      </c>
      <c r="D2284" s="14" t="s">
        <v>276</v>
      </c>
      <c r="E2284" s="14" t="s">
        <v>92</v>
      </c>
      <c r="F2284" s="14">
        <v>100</v>
      </c>
      <c r="G2284" s="14">
        <v>60</v>
      </c>
      <c r="H2284" s="14" t="s">
        <v>1400</v>
      </c>
      <c r="I2284" s="14" t="s">
        <v>75</v>
      </c>
      <c r="J2284" s="14" t="s">
        <v>201</v>
      </c>
      <c r="K2284" s="14">
        <v>1</v>
      </c>
      <c r="L2284" s="14" t="s">
        <v>1400</v>
      </c>
      <c r="N2284" s="14">
        <v>0</v>
      </c>
      <c r="O2284" s="14" t="b">
        <v>1</v>
      </c>
      <c r="Q2284" s="14" t="b">
        <v>0</v>
      </c>
      <c r="R2284" s="14">
        <v>1</v>
      </c>
      <c r="S2284" s="14" t="s">
        <v>77</v>
      </c>
      <c r="T2284" s="14">
        <v>999</v>
      </c>
      <c r="U2284" s="14" t="s">
        <v>1401</v>
      </c>
      <c r="V2284" s="14">
        <v>31934100</v>
      </c>
      <c r="X2284" s="14" t="s">
        <v>3840</v>
      </c>
      <c r="Y2284" s="14" t="s">
        <v>215</v>
      </c>
      <c r="Z2284" s="14">
        <v>21047</v>
      </c>
      <c r="AA2284" s="14" t="s">
        <v>3841</v>
      </c>
      <c r="AB2284" s="14">
        <v>40001</v>
      </c>
      <c r="AE2284" s="14" t="s">
        <v>1400</v>
      </c>
      <c r="AF2284" s="14" t="s">
        <v>1400</v>
      </c>
      <c r="AG2284" s="14" t="s">
        <v>92</v>
      </c>
    </row>
    <row r="2285" spans="2:33">
      <c r="B2285" s="14">
        <f>10000000+INDEX(编号表!$B:$B,MATCH(H2285,编号表!$A:$A,0))*100000+INDEX(编号表!$F:$F,MATCH(D2285,编号表!$E:$E,0))*10000+INDEX(编号表!$D:$D,MATCH(AG2285,编号表!$C:$C,0))*1000+F2285</f>
        <v>11914099</v>
      </c>
      <c r="C2285" s="14" t="s">
        <v>3842</v>
      </c>
      <c r="D2285" s="14" t="s">
        <v>72</v>
      </c>
      <c r="E2285" s="14" t="s">
        <v>92</v>
      </c>
      <c r="F2285" s="14">
        <v>99</v>
      </c>
      <c r="G2285" s="14">
        <v>60</v>
      </c>
      <c r="H2285" s="14" t="s">
        <v>1400</v>
      </c>
      <c r="I2285" s="14" t="s">
        <v>75</v>
      </c>
      <c r="J2285" s="14" t="s">
        <v>201</v>
      </c>
      <c r="K2285" s="14">
        <v>1</v>
      </c>
      <c r="L2285" s="14" t="s">
        <v>1400</v>
      </c>
      <c r="N2285" s="14">
        <v>0</v>
      </c>
      <c r="O2285" s="14" t="b">
        <v>1</v>
      </c>
      <c r="Q2285" s="14" t="b">
        <v>0</v>
      </c>
      <c r="R2285" s="14">
        <v>1</v>
      </c>
      <c r="S2285" s="14" t="s">
        <v>77</v>
      </c>
      <c r="T2285" s="14">
        <v>999</v>
      </c>
      <c r="U2285" s="14" t="s">
        <v>1401</v>
      </c>
      <c r="V2285" s="14">
        <v>31914099</v>
      </c>
      <c r="X2285" s="14" t="s">
        <v>3843</v>
      </c>
      <c r="Y2285" s="14" t="s">
        <v>215</v>
      </c>
      <c r="Z2285" s="14">
        <v>21048</v>
      </c>
      <c r="AA2285" s="14" t="s">
        <v>3844</v>
      </c>
      <c r="AB2285" s="14">
        <v>40001</v>
      </c>
      <c r="AE2285" s="14" t="s">
        <v>1400</v>
      </c>
      <c r="AF2285" s="14" t="s">
        <v>1400</v>
      </c>
      <c r="AG2285" s="14" t="s">
        <v>92</v>
      </c>
    </row>
    <row r="2286" spans="2:33">
      <c r="B2286" s="14">
        <f>10000000+INDEX(编号表!$B:$B,MATCH(H2286,编号表!$A:$A,0))*100000+INDEX(编号表!$F:$F,MATCH(D2286,编号表!$E:$E,0))*10000+INDEX(编号表!$D:$D,MATCH(AG2286,编号表!$C:$C,0))*1000+F2286</f>
        <v>11924100</v>
      </c>
      <c r="C2286" s="14" t="s">
        <v>3842</v>
      </c>
      <c r="D2286" s="14" t="s">
        <v>112</v>
      </c>
      <c r="E2286" s="14" t="s">
        <v>92</v>
      </c>
      <c r="F2286" s="14">
        <v>100</v>
      </c>
      <c r="G2286" s="14">
        <v>60</v>
      </c>
      <c r="H2286" s="14" t="s">
        <v>1400</v>
      </c>
      <c r="I2286" s="14" t="s">
        <v>75</v>
      </c>
      <c r="J2286" s="14" t="s">
        <v>201</v>
      </c>
      <c r="K2286" s="14">
        <v>1</v>
      </c>
      <c r="L2286" s="14" t="s">
        <v>1400</v>
      </c>
      <c r="N2286" s="14">
        <v>0</v>
      </c>
      <c r="O2286" s="14" t="b">
        <v>1</v>
      </c>
      <c r="Q2286" s="14" t="b">
        <v>0</v>
      </c>
      <c r="R2286" s="14">
        <v>1</v>
      </c>
      <c r="S2286" s="14" t="s">
        <v>77</v>
      </c>
      <c r="T2286" s="14">
        <v>999</v>
      </c>
      <c r="U2286" s="14" t="s">
        <v>1401</v>
      </c>
      <c r="V2286" s="14">
        <v>31924100</v>
      </c>
      <c r="X2286" s="14" t="s">
        <v>3845</v>
      </c>
      <c r="Y2286" s="14" t="s">
        <v>215</v>
      </c>
      <c r="Z2286" s="14">
        <v>21049</v>
      </c>
      <c r="AA2286" s="14" t="s">
        <v>3846</v>
      </c>
      <c r="AB2286" s="14">
        <v>40001</v>
      </c>
      <c r="AE2286" s="14" t="s">
        <v>1400</v>
      </c>
      <c r="AF2286" s="14" t="s">
        <v>1400</v>
      </c>
      <c r="AG2286" s="14" t="s">
        <v>92</v>
      </c>
    </row>
    <row r="2287" spans="2:33">
      <c r="B2287" s="14">
        <f>10000000+INDEX(编号表!$B:$B,MATCH(H2287,编号表!$A:$A,0))*100000+INDEX(编号表!$F:$F,MATCH(D2287,编号表!$E:$E,0))*10000+INDEX(编号表!$D:$D,MATCH(AG2287,编号表!$C:$C,0))*1000+F2287</f>
        <v>11934101</v>
      </c>
      <c r="C2287" s="14" t="s">
        <v>3842</v>
      </c>
      <c r="D2287" s="14" t="s">
        <v>276</v>
      </c>
      <c r="E2287" s="14" t="s">
        <v>92</v>
      </c>
      <c r="F2287" s="14">
        <v>101</v>
      </c>
      <c r="G2287" s="14">
        <v>60</v>
      </c>
      <c r="H2287" s="14" t="s">
        <v>1400</v>
      </c>
      <c r="I2287" s="14" t="s">
        <v>75</v>
      </c>
      <c r="J2287" s="14" t="s">
        <v>201</v>
      </c>
      <c r="K2287" s="14">
        <v>1</v>
      </c>
      <c r="L2287" s="14" t="s">
        <v>1400</v>
      </c>
      <c r="N2287" s="14">
        <v>0</v>
      </c>
      <c r="O2287" s="14" t="b">
        <v>1</v>
      </c>
      <c r="Q2287" s="14" t="b">
        <v>0</v>
      </c>
      <c r="R2287" s="14">
        <v>1</v>
      </c>
      <c r="S2287" s="14" t="s">
        <v>77</v>
      </c>
      <c r="T2287" s="14">
        <v>999</v>
      </c>
      <c r="U2287" s="14" t="s">
        <v>1401</v>
      </c>
      <c r="V2287" s="14">
        <v>31934101</v>
      </c>
      <c r="X2287" s="14" t="s">
        <v>3847</v>
      </c>
      <c r="Y2287" s="14" t="s">
        <v>215</v>
      </c>
      <c r="Z2287" s="14">
        <v>21050</v>
      </c>
      <c r="AA2287" s="14" t="s">
        <v>3848</v>
      </c>
      <c r="AB2287" s="14">
        <v>40001</v>
      </c>
      <c r="AE2287" s="14" t="s">
        <v>1400</v>
      </c>
      <c r="AF2287" s="14" t="s">
        <v>1400</v>
      </c>
      <c r="AG2287" s="14" t="s">
        <v>92</v>
      </c>
    </row>
    <row r="2288" spans="2:33">
      <c r="B2288" s="14">
        <f>10000000+INDEX(编号表!$B:$B,MATCH(H2288,编号表!$A:$A,0))*100000+INDEX(编号表!$F:$F,MATCH(D2288,编号表!$E:$E,0))*10000+INDEX(编号表!$D:$D,MATCH(AG2288,编号表!$C:$C,0))*1000+F2288</f>
        <v>11914100</v>
      </c>
      <c r="C2288" s="14" t="s">
        <v>3849</v>
      </c>
      <c r="D2288" s="14" t="s">
        <v>72</v>
      </c>
      <c r="E2288" s="14" t="s">
        <v>92</v>
      </c>
      <c r="F2288" s="14">
        <v>100</v>
      </c>
      <c r="G2288" s="14">
        <v>60</v>
      </c>
      <c r="H2288" s="14" t="s">
        <v>1400</v>
      </c>
      <c r="I2288" s="14" t="s">
        <v>75</v>
      </c>
      <c r="J2288" s="14" t="s">
        <v>201</v>
      </c>
      <c r="K2288" s="14">
        <v>1</v>
      </c>
      <c r="L2288" s="14" t="s">
        <v>1400</v>
      </c>
      <c r="N2288" s="14">
        <v>0</v>
      </c>
      <c r="O2288" s="14" t="b">
        <v>1</v>
      </c>
      <c r="Q2288" s="14" t="b">
        <v>0</v>
      </c>
      <c r="R2288" s="14">
        <v>1</v>
      </c>
      <c r="S2288" s="14" t="s">
        <v>77</v>
      </c>
      <c r="T2288" s="14">
        <v>999</v>
      </c>
      <c r="U2288" s="14" t="s">
        <v>1401</v>
      </c>
      <c r="V2288" s="14">
        <v>31914100</v>
      </c>
      <c r="X2288" s="14" t="s">
        <v>3850</v>
      </c>
      <c r="Y2288" s="14" t="s">
        <v>215</v>
      </c>
      <c r="Z2288" s="14">
        <v>21051</v>
      </c>
      <c r="AA2288" s="14" t="s">
        <v>3851</v>
      </c>
      <c r="AB2288" s="14">
        <v>40001</v>
      </c>
      <c r="AE2288" s="14" t="s">
        <v>1400</v>
      </c>
      <c r="AF2288" s="14" t="s">
        <v>1400</v>
      </c>
      <c r="AG2288" s="14" t="s">
        <v>92</v>
      </c>
    </row>
    <row r="2289" spans="2:33">
      <c r="B2289" s="14">
        <f>10000000+INDEX(编号表!$B:$B,MATCH(H2289,编号表!$A:$A,0))*100000+INDEX(编号表!$F:$F,MATCH(D2289,编号表!$E:$E,0))*10000+INDEX(编号表!$D:$D,MATCH(AG2289,编号表!$C:$C,0))*1000+F2289</f>
        <v>11924101</v>
      </c>
      <c r="C2289" s="14" t="s">
        <v>3849</v>
      </c>
      <c r="D2289" s="14" t="s">
        <v>112</v>
      </c>
      <c r="E2289" s="14" t="s">
        <v>92</v>
      </c>
      <c r="F2289" s="14">
        <v>101</v>
      </c>
      <c r="G2289" s="14">
        <v>60</v>
      </c>
      <c r="H2289" s="14" t="s">
        <v>1400</v>
      </c>
      <c r="I2289" s="14" t="s">
        <v>75</v>
      </c>
      <c r="J2289" s="14" t="s">
        <v>201</v>
      </c>
      <c r="K2289" s="14">
        <v>1</v>
      </c>
      <c r="L2289" s="14" t="s">
        <v>1400</v>
      </c>
      <c r="N2289" s="14">
        <v>0</v>
      </c>
      <c r="O2289" s="14" t="b">
        <v>1</v>
      </c>
      <c r="Q2289" s="14" t="b">
        <v>0</v>
      </c>
      <c r="R2289" s="14">
        <v>1</v>
      </c>
      <c r="S2289" s="14" t="s">
        <v>77</v>
      </c>
      <c r="T2289" s="14">
        <v>999</v>
      </c>
      <c r="U2289" s="14" t="s">
        <v>1401</v>
      </c>
      <c r="V2289" s="14">
        <v>31924101</v>
      </c>
      <c r="X2289" s="14" t="s">
        <v>3852</v>
      </c>
      <c r="Y2289" s="14" t="s">
        <v>215</v>
      </c>
      <c r="Z2289" s="14">
        <v>21052</v>
      </c>
      <c r="AA2289" s="14" t="s">
        <v>3853</v>
      </c>
      <c r="AB2289" s="14">
        <v>40001</v>
      </c>
      <c r="AE2289" s="14" t="s">
        <v>1400</v>
      </c>
      <c r="AF2289" s="14" t="s">
        <v>1400</v>
      </c>
      <c r="AG2289" s="14" t="s">
        <v>92</v>
      </c>
    </row>
    <row r="2290" spans="2:33">
      <c r="B2290" s="14">
        <f>10000000+INDEX(编号表!$B:$B,MATCH(H2290,编号表!$A:$A,0))*100000+INDEX(编号表!$F:$F,MATCH(D2290,编号表!$E:$E,0))*10000+INDEX(编号表!$D:$D,MATCH(AG2290,编号表!$C:$C,0))*1000+F2290</f>
        <v>11934102</v>
      </c>
      <c r="C2290" s="14" t="s">
        <v>3849</v>
      </c>
      <c r="D2290" s="14" t="s">
        <v>276</v>
      </c>
      <c r="E2290" s="14" t="s">
        <v>92</v>
      </c>
      <c r="F2290" s="14">
        <v>102</v>
      </c>
      <c r="G2290" s="14">
        <v>60</v>
      </c>
      <c r="H2290" s="14" t="s">
        <v>1400</v>
      </c>
      <c r="I2290" s="14" t="s">
        <v>75</v>
      </c>
      <c r="J2290" s="14" t="s">
        <v>201</v>
      </c>
      <c r="K2290" s="14">
        <v>1</v>
      </c>
      <c r="L2290" s="14" t="s">
        <v>1400</v>
      </c>
      <c r="N2290" s="14">
        <v>0</v>
      </c>
      <c r="O2290" s="14" t="b">
        <v>1</v>
      </c>
      <c r="Q2290" s="14" t="b">
        <v>0</v>
      </c>
      <c r="R2290" s="14">
        <v>1</v>
      </c>
      <c r="S2290" s="14" t="s">
        <v>77</v>
      </c>
      <c r="T2290" s="14">
        <v>999</v>
      </c>
      <c r="U2290" s="14" t="s">
        <v>1401</v>
      </c>
      <c r="V2290" s="14">
        <v>31934102</v>
      </c>
      <c r="X2290" s="14" t="s">
        <v>3854</v>
      </c>
      <c r="Y2290" s="14" t="s">
        <v>215</v>
      </c>
      <c r="Z2290" s="14">
        <v>21053</v>
      </c>
      <c r="AA2290" s="14" t="s">
        <v>3855</v>
      </c>
      <c r="AB2290" s="14">
        <v>40001</v>
      </c>
      <c r="AE2290" s="14" t="s">
        <v>1400</v>
      </c>
      <c r="AF2290" s="14" t="s">
        <v>1400</v>
      </c>
      <c r="AG2290" s="14" t="s">
        <v>92</v>
      </c>
    </row>
    <row r="2291" spans="2:33">
      <c r="B2291" s="14">
        <f>10000000+INDEX(编号表!$B:$B,MATCH(H2291,编号表!$A:$A,0))*100000+INDEX(编号表!$F:$F,MATCH(D2291,编号表!$E:$E,0))*10000+INDEX(编号表!$D:$D,MATCH(AG2291,编号表!$C:$C,0))*1000+F2291</f>
        <v>11914101</v>
      </c>
      <c r="C2291" s="14" t="s">
        <v>3856</v>
      </c>
      <c r="D2291" s="14" t="s">
        <v>72</v>
      </c>
      <c r="E2291" s="14" t="s">
        <v>92</v>
      </c>
      <c r="F2291" s="14">
        <v>101</v>
      </c>
      <c r="G2291" s="14">
        <v>60</v>
      </c>
      <c r="H2291" s="14" t="s">
        <v>1400</v>
      </c>
      <c r="I2291" s="14" t="s">
        <v>75</v>
      </c>
      <c r="J2291" s="14" t="s">
        <v>201</v>
      </c>
      <c r="K2291" s="14">
        <v>1</v>
      </c>
      <c r="L2291" s="14" t="s">
        <v>1400</v>
      </c>
      <c r="N2291" s="14">
        <v>0</v>
      </c>
      <c r="O2291" s="14" t="b">
        <v>1</v>
      </c>
      <c r="Q2291" s="14" t="b">
        <v>0</v>
      </c>
      <c r="R2291" s="14">
        <v>1</v>
      </c>
      <c r="S2291" s="14" t="s">
        <v>77</v>
      </c>
      <c r="T2291" s="14">
        <v>999</v>
      </c>
      <c r="U2291" s="14" t="s">
        <v>1401</v>
      </c>
      <c r="V2291" s="14">
        <v>31914101</v>
      </c>
      <c r="X2291" s="14" t="s">
        <v>3857</v>
      </c>
      <c r="Y2291" s="14" t="s">
        <v>215</v>
      </c>
      <c r="Z2291" s="14">
        <v>21054</v>
      </c>
      <c r="AA2291" s="14" t="s">
        <v>3858</v>
      </c>
      <c r="AB2291" s="14">
        <v>40001</v>
      </c>
      <c r="AE2291" s="14" t="s">
        <v>1400</v>
      </c>
      <c r="AF2291" s="14" t="s">
        <v>1400</v>
      </c>
      <c r="AG2291" s="14" t="s">
        <v>92</v>
      </c>
    </row>
    <row r="2292" spans="2:33">
      <c r="B2292" s="14">
        <f>10000000+INDEX(编号表!$B:$B,MATCH(H2292,编号表!$A:$A,0))*100000+INDEX(编号表!$F:$F,MATCH(D2292,编号表!$E:$E,0))*10000+INDEX(编号表!$D:$D,MATCH(AG2292,编号表!$C:$C,0))*1000+F2292</f>
        <v>11924102</v>
      </c>
      <c r="C2292" s="14" t="s">
        <v>3856</v>
      </c>
      <c r="D2292" s="14" t="s">
        <v>112</v>
      </c>
      <c r="E2292" s="14" t="s">
        <v>92</v>
      </c>
      <c r="F2292" s="14">
        <v>102</v>
      </c>
      <c r="G2292" s="14">
        <v>60</v>
      </c>
      <c r="H2292" s="14" t="s">
        <v>1400</v>
      </c>
      <c r="I2292" s="14" t="s">
        <v>75</v>
      </c>
      <c r="J2292" s="14" t="s">
        <v>201</v>
      </c>
      <c r="K2292" s="14">
        <v>1</v>
      </c>
      <c r="L2292" s="14" t="s">
        <v>1400</v>
      </c>
      <c r="N2292" s="14">
        <v>0</v>
      </c>
      <c r="O2292" s="14" t="b">
        <v>1</v>
      </c>
      <c r="Q2292" s="14" t="b">
        <v>0</v>
      </c>
      <c r="R2292" s="14">
        <v>1</v>
      </c>
      <c r="S2292" s="14" t="s">
        <v>77</v>
      </c>
      <c r="T2292" s="14">
        <v>999</v>
      </c>
      <c r="U2292" s="14" t="s">
        <v>1401</v>
      </c>
      <c r="V2292" s="14">
        <v>31924102</v>
      </c>
      <c r="X2292" s="14" t="s">
        <v>3859</v>
      </c>
      <c r="Y2292" s="14" t="s">
        <v>215</v>
      </c>
      <c r="Z2292" s="14">
        <v>21055</v>
      </c>
      <c r="AA2292" s="14" t="s">
        <v>3860</v>
      </c>
      <c r="AB2292" s="14">
        <v>40001</v>
      </c>
      <c r="AE2292" s="14" t="s">
        <v>1400</v>
      </c>
      <c r="AF2292" s="14" t="s">
        <v>1400</v>
      </c>
      <c r="AG2292" s="14" t="s">
        <v>92</v>
      </c>
    </row>
    <row r="2293" spans="2:33">
      <c r="B2293" s="14">
        <f>10000000+INDEX(编号表!$B:$B,MATCH(H2293,编号表!$A:$A,0))*100000+INDEX(编号表!$F:$F,MATCH(D2293,编号表!$E:$E,0))*10000+INDEX(编号表!$D:$D,MATCH(AG2293,编号表!$C:$C,0))*1000+F2293</f>
        <v>11934103</v>
      </c>
      <c r="C2293" s="14" t="s">
        <v>3856</v>
      </c>
      <c r="D2293" s="14" t="s">
        <v>276</v>
      </c>
      <c r="E2293" s="14" t="s">
        <v>92</v>
      </c>
      <c r="F2293" s="14">
        <v>103</v>
      </c>
      <c r="G2293" s="14">
        <v>60</v>
      </c>
      <c r="H2293" s="14" t="s">
        <v>1400</v>
      </c>
      <c r="I2293" s="14" t="s">
        <v>75</v>
      </c>
      <c r="J2293" s="14" t="s">
        <v>201</v>
      </c>
      <c r="K2293" s="14">
        <v>1</v>
      </c>
      <c r="L2293" s="14" t="s">
        <v>1400</v>
      </c>
      <c r="N2293" s="14">
        <v>0</v>
      </c>
      <c r="O2293" s="14" t="b">
        <v>1</v>
      </c>
      <c r="Q2293" s="14" t="b">
        <v>0</v>
      </c>
      <c r="R2293" s="14">
        <v>1</v>
      </c>
      <c r="S2293" s="14" t="s">
        <v>77</v>
      </c>
      <c r="T2293" s="14">
        <v>999</v>
      </c>
      <c r="U2293" s="14" t="s">
        <v>1401</v>
      </c>
      <c r="V2293" s="14">
        <v>31934103</v>
      </c>
      <c r="X2293" s="14" t="s">
        <v>3861</v>
      </c>
      <c r="Y2293" s="14" t="s">
        <v>215</v>
      </c>
      <c r="Z2293" s="14">
        <v>21056</v>
      </c>
      <c r="AA2293" s="14" t="s">
        <v>3862</v>
      </c>
      <c r="AB2293" s="14">
        <v>40001</v>
      </c>
      <c r="AE2293" s="14" t="s">
        <v>1400</v>
      </c>
      <c r="AF2293" s="14" t="s">
        <v>1400</v>
      </c>
      <c r="AG2293" s="14" t="s">
        <v>92</v>
      </c>
    </row>
    <row r="2294" spans="2:33">
      <c r="B2294" s="14">
        <f>10000000+INDEX(编号表!$B:$B,MATCH(H2294,编号表!$A:$A,0))*100000+INDEX(编号表!$F:$F,MATCH(D2294,编号表!$E:$E,0))*10000+INDEX(编号表!$D:$D,MATCH(AG2294,编号表!$C:$C,0))*1000+F2294</f>
        <v>11914102</v>
      </c>
      <c r="C2294" s="14" t="s">
        <v>3863</v>
      </c>
      <c r="D2294" s="14" t="s">
        <v>72</v>
      </c>
      <c r="E2294" s="14" t="s">
        <v>92</v>
      </c>
      <c r="F2294" s="14">
        <v>102</v>
      </c>
      <c r="G2294" s="14">
        <v>60</v>
      </c>
      <c r="H2294" s="14" t="s">
        <v>1400</v>
      </c>
      <c r="I2294" s="14" t="s">
        <v>75</v>
      </c>
      <c r="J2294" s="14" t="s">
        <v>201</v>
      </c>
      <c r="K2294" s="14">
        <v>1</v>
      </c>
      <c r="L2294" s="14" t="s">
        <v>1400</v>
      </c>
      <c r="N2294" s="14">
        <v>0</v>
      </c>
      <c r="O2294" s="14" t="b">
        <v>1</v>
      </c>
      <c r="Q2294" s="14" t="b">
        <v>0</v>
      </c>
      <c r="R2294" s="14">
        <v>1</v>
      </c>
      <c r="S2294" s="14" t="s">
        <v>77</v>
      </c>
      <c r="T2294" s="14">
        <v>999</v>
      </c>
      <c r="U2294" s="14" t="s">
        <v>1401</v>
      </c>
      <c r="V2294" s="14">
        <v>31914102</v>
      </c>
      <c r="X2294" s="14" t="s">
        <v>3864</v>
      </c>
      <c r="Y2294" s="14" t="s">
        <v>215</v>
      </c>
      <c r="Z2294" s="14">
        <v>21057</v>
      </c>
      <c r="AA2294" s="14" t="s">
        <v>3865</v>
      </c>
      <c r="AB2294" s="14">
        <v>40001</v>
      </c>
      <c r="AE2294" s="14" t="s">
        <v>1400</v>
      </c>
      <c r="AF2294" s="14" t="s">
        <v>1400</v>
      </c>
      <c r="AG2294" s="14" t="s">
        <v>92</v>
      </c>
    </row>
    <row r="2295" spans="2:33">
      <c r="B2295" s="14">
        <f>10000000+INDEX(编号表!$B:$B,MATCH(H2295,编号表!$A:$A,0))*100000+INDEX(编号表!$F:$F,MATCH(D2295,编号表!$E:$E,0))*10000+INDEX(编号表!$D:$D,MATCH(AG2295,编号表!$C:$C,0))*1000+F2295</f>
        <v>11924103</v>
      </c>
      <c r="C2295" s="14" t="s">
        <v>3863</v>
      </c>
      <c r="D2295" s="14" t="s">
        <v>112</v>
      </c>
      <c r="E2295" s="14" t="s">
        <v>92</v>
      </c>
      <c r="F2295" s="14">
        <v>103</v>
      </c>
      <c r="G2295" s="14">
        <v>60</v>
      </c>
      <c r="H2295" s="14" t="s">
        <v>1400</v>
      </c>
      <c r="I2295" s="14" t="s">
        <v>75</v>
      </c>
      <c r="J2295" s="14" t="s">
        <v>201</v>
      </c>
      <c r="K2295" s="14">
        <v>1</v>
      </c>
      <c r="L2295" s="14" t="s">
        <v>1400</v>
      </c>
      <c r="N2295" s="14">
        <v>0</v>
      </c>
      <c r="O2295" s="14" t="b">
        <v>1</v>
      </c>
      <c r="Q2295" s="14" t="b">
        <v>0</v>
      </c>
      <c r="R2295" s="14">
        <v>1</v>
      </c>
      <c r="S2295" s="14" t="s">
        <v>77</v>
      </c>
      <c r="T2295" s="14">
        <v>999</v>
      </c>
      <c r="U2295" s="14" t="s">
        <v>1401</v>
      </c>
      <c r="V2295" s="14">
        <v>31924103</v>
      </c>
      <c r="X2295" s="14" t="s">
        <v>3866</v>
      </c>
      <c r="Y2295" s="14" t="s">
        <v>215</v>
      </c>
      <c r="Z2295" s="14">
        <v>21058</v>
      </c>
      <c r="AA2295" s="14" t="s">
        <v>3867</v>
      </c>
      <c r="AB2295" s="14">
        <v>40001</v>
      </c>
      <c r="AE2295" s="14" t="s">
        <v>1400</v>
      </c>
      <c r="AF2295" s="14" t="s">
        <v>1400</v>
      </c>
      <c r="AG2295" s="14" t="s">
        <v>92</v>
      </c>
    </row>
    <row r="2296" spans="2:33">
      <c r="B2296" s="14">
        <f>10000000+INDEX(编号表!$B:$B,MATCH(H2296,编号表!$A:$A,0))*100000+INDEX(编号表!$F:$F,MATCH(D2296,编号表!$E:$E,0))*10000+INDEX(编号表!$D:$D,MATCH(AG2296,编号表!$C:$C,0))*1000+F2296</f>
        <v>11934104</v>
      </c>
      <c r="C2296" s="14" t="s">
        <v>3863</v>
      </c>
      <c r="D2296" s="14" t="s">
        <v>276</v>
      </c>
      <c r="E2296" s="14" t="s">
        <v>92</v>
      </c>
      <c r="F2296" s="14">
        <v>104</v>
      </c>
      <c r="G2296" s="14">
        <v>60</v>
      </c>
      <c r="H2296" s="14" t="s">
        <v>1400</v>
      </c>
      <c r="I2296" s="14" t="s">
        <v>75</v>
      </c>
      <c r="J2296" s="14" t="s">
        <v>201</v>
      </c>
      <c r="K2296" s="14">
        <v>1</v>
      </c>
      <c r="L2296" s="14" t="s">
        <v>1400</v>
      </c>
      <c r="N2296" s="14">
        <v>0</v>
      </c>
      <c r="O2296" s="14" t="b">
        <v>1</v>
      </c>
      <c r="Q2296" s="14" t="b">
        <v>0</v>
      </c>
      <c r="R2296" s="14">
        <v>1</v>
      </c>
      <c r="S2296" s="14" t="s">
        <v>77</v>
      </c>
      <c r="T2296" s="14">
        <v>999</v>
      </c>
      <c r="U2296" s="14" t="s">
        <v>1401</v>
      </c>
      <c r="V2296" s="14">
        <v>31934104</v>
      </c>
      <c r="X2296" s="14" t="s">
        <v>3868</v>
      </c>
      <c r="Y2296" s="14" t="s">
        <v>215</v>
      </c>
      <c r="Z2296" s="14">
        <v>21059</v>
      </c>
      <c r="AA2296" s="14" t="s">
        <v>3869</v>
      </c>
      <c r="AB2296" s="14">
        <v>40001</v>
      </c>
      <c r="AE2296" s="14" t="s">
        <v>1400</v>
      </c>
      <c r="AF2296" s="14" t="s">
        <v>1400</v>
      </c>
      <c r="AG2296" s="14" t="s">
        <v>92</v>
      </c>
    </row>
    <row r="2297" spans="2:33">
      <c r="B2297" s="14">
        <f>10000000+INDEX(编号表!$B:$B,MATCH(H2297,编号表!$A:$A,0))*100000+INDEX(编号表!$F:$F,MATCH(D2297,编号表!$E:$E,0))*10000+INDEX(编号表!$D:$D,MATCH(AG2297,编号表!$C:$C,0))*1000+F2297</f>
        <v>11914103</v>
      </c>
      <c r="C2297" s="14" t="s">
        <v>3870</v>
      </c>
      <c r="D2297" s="14" t="s">
        <v>72</v>
      </c>
      <c r="E2297" s="14" t="s">
        <v>92</v>
      </c>
      <c r="F2297" s="14">
        <v>103</v>
      </c>
      <c r="G2297" s="14">
        <v>60</v>
      </c>
      <c r="H2297" s="14" t="s">
        <v>1400</v>
      </c>
      <c r="I2297" s="14" t="s">
        <v>75</v>
      </c>
      <c r="J2297" s="14" t="s">
        <v>201</v>
      </c>
      <c r="K2297" s="14">
        <v>1</v>
      </c>
      <c r="L2297" s="14" t="s">
        <v>1400</v>
      </c>
      <c r="N2297" s="14">
        <v>0</v>
      </c>
      <c r="O2297" s="14" t="b">
        <v>1</v>
      </c>
      <c r="Q2297" s="14" t="b">
        <v>0</v>
      </c>
      <c r="R2297" s="14">
        <v>1</v>
      </c>
      <c r="S2297" s="14" t="s">
        <v>77</v>
      </c>
      <c r="T2297" s="14">
        <v>999</v>
      </c>
      <c r="U2297" s="14" t="s">
        <v>1401</v>
      </c>
      <c r="V2297" s="14">
        <v>31914103</v>
      </c>
      <c r="X2297" s="14" t="s">
        <v>3871</v>
      </c>
      <c r="Y2297" s="14" t="s">
        <v>215</v>
      </c>
      <c r="Z2297" s="14">
        <v>21060</v>
      </c>
      <c r="AA2297" s="14" t="s">
        <v>3872</v>
      </c>
      <c r="AB2297" s="14">
        <v>40001</v>
      </c>
      <c r="AE2297" s="14" t="s">
        <v>1400</v>
      </c>
      <c r="AF2297" s="14" t="s">
        <v>1400</v>
      </c>
      <c r="AG2297" s="14" t="s">
        <v>92</v>
      </c>
    </row>
    <row r="2298" spans="2:33">
      <c r="B2298" s="14">
        <f>10000000+INDEX(编号表!$B:$B,MATCH(H2298,编号表!$A:$A,0))*100000+INDEX(编号表!$F:$F,MATCH(D2298,编号表!$E:$E,0))*10000+INDEX(编号表!$D:$D,MATCH(AG2298,编号表!$C:$C,0))*1000+F2298</f>
        <v>11924104</v>
      </c>
      <c r="C2298" s="14" t="s">
        <v>3870</v>
      </c>
      <c r="D2298" s="14" t="s">
        <v>112</v>
      </c>
      <c r="E2298" s="14" t="s">
        <v>92</v>
      </c>
      <c r="F2298" s="14">
        <v>104</v>
      </c>
      <c r="G2298" s="14">
        <v>60</v>
      </c>
      <c r="H2298" s="14" t="s">
        <v>1400</v>
      </c>
      <c r="I2298" s="14" t="s">
        <v>75</v>
      </c>
      <c r="J2298" s="14" t="s">
        <v>201</v>
      </c>
      <c r="K2298" s="14">
        <v>1</v>
      </c>
      <c r="L2298" s="14" t="s">
        <v>1400</v>
      </c>
      <c r="N2298" s="14">
        <v>0</v>
      </c>
      <c r="O2298" s="14" t="b">
        <v>1</v>
      </c>
      <c r="Q2298" s="14" t="b">
        <v>0</v>
      </c>
      <c r="R2298" s="14">
        <v>1</v>
      </c>
      <c r="S2298" s="14" t="s">
        <v>77</v>
      </c>
      <c r="T2298" s="14">
        <v>999</v>
      </c>
      <c r="U2298" s="14" t="s">
        <v>1401</v>
      </c>
      <c r="V2298" s="14">
        <v>31924104</v>
      </c>
      <c r="X2298" s="14" t="s">
        <v>3873</v>
      </c>
      <c r="Y2298" s="14" t="s">
        <v>215</v>
      </c>
      <c r="Z2298" s="14">
        <v>21061</v>
      </c>
      <c r="AA2298" s="14" t="s">
        <v>3874</v>
      </c>
      <c r="AB2298" s="14">
        <v>40001</v>
      </c>
      <c r="AE2298" s="14" t="s">
        <v>1400</v>
      </c>
      <c r="AF2298" s="14" t="s">
        <v>1400</v>
      </c>
      <c r="AG2298" s="14" t="s">
        <v>92</v>
      </c>
    </row>
    <row r="2299" spans="2:33">
      <c r="B2299" s="14">
        <f>10000000+INDEX(编号表!$B:$B,MATCH(H2299,编号表!$A:$A,0))*100000+INDEX(编号表!$F:$F,MATCH(D2299,编号表!$E:$E,0))*10000+INDEX(编号表!$D:$D,MATCH(AG2299,编号表!$C:$C,0))*1000+F2299</f>
        <v>11934105</v>
      </c>
      <c r="C2299" s="14" t="s">
        <v>3870</v>
      </c>
      <c r="D2299" s="14" t="s">
        <v>276</v>
      </c>
      <c r="E2299" s="14" t="s">
        <v>92</v>
      </c>
      <c r="F2299" s="14">
        <v>105</v>
      </c>
      <c r="G2299" s="14">
        <v>60</v>
      </c>
      <c r="H2299" s="14" t="s">
        <v>1400</v>
      </c>
      <c r="I2299" s="14" t="s">
        <v>75</v>
      </c>
      <c r="J2299" s="14" t="s">
        <v>201</v>
      </c>
      <c r="K2299" s="14">
        <v>1</v>
      </c>
      <c r="L2299" s="14" t="s">
        <v>1400</v>
      </c>
      <c r="N2299" s="14">
        <v>0</v>
      </c>
      <c r="O2299" s="14" t="b">
        <v>1</v>
      </c>
      <c r="Q2299" s="14" t="b">
        <v>0</v>
      </c>
      <c r="R2299" s="14">
        <v>1</v>
      </c>
      <c r="S2299" s="14" t="s">
        <v>77</v>
      </c>
      <c r="T2299" s="14">
        <v>999</v>
      </c>
      <c r="U2299" s="14" t="s">
        <v>1401</v>
      </c>
      <c r="V2299" s="14">
        <v>31934105</v>
      </c>
      <c r="X2299" s="14" t="s">
        <v>3875</v>
      </c>
      <c r="Y2299" s="14" t="s">
        <v>215</v>
      </c>
      <c r="Z2299" s="14">
        <v>21062</v>
      </c>
      <c r="AA2299" s="14" t="s">
        <v>3876</v>
      </c>
      <c r="AB2299" s="14">
        <v>40001</v>
      </c>
      <c r="AE2299" s="14" t="s">
        <v>1400</v>
      </c>
      <c r="AF2299" s="14" t="s">
        <v>1400</v>
      </c>
      <c r="AG2299" s="14" t="s">
        <v>92</v>
      </c>
    </row>
    <row r="2300" spans="2:33">
      <c r="B2300" s="14">
        <f>10000000+INDEX(编号表!$B:$B,MATCH(H2300,编号表!$A:$A,0))*100000+INDEX(编号表!$F:$F,MATCH(D2300,编号表!$E:$E,0))*10000+INDEX(编号表!$D:$D,MATCH(AG2300,编号表!$C:$C,0))*1000+F2300</f>
        <v>11914104</v>
      </c>
      <c r="C2300" s="14" t="s">
        <v>3877</v>
      </c>
      <c r="D2300" s="14" t="s">
        <v>72</v>
      </c>
      <c r="E2300" s="14" t="s">
        <v>92</v>
      </c>
      <c r="F2300" s="14">
        <v>104</v>
      </c>
      <c r="G2300" s="14">
        <v>60</v>
      </c>
      <c r="H2300" s="14" t="s">
        <v>1400</v>
      </c>
      <c r="I2300" s="14" t="s">
        <v>75</v>
      </c>
      <c r="J2300" s="14" t="s">
        <v>201</v>
      </c>
      <c r="K2300" s="14">
        <v>1</v>
      </c>
      <c r="L2300" s="14" t="s">
        <v>1400</v>
      </c>
      <c r="N2300" s="14">
        <v>0</v>
      </c>
      <c r="O2300" s="14" t="b">
        <v>1</v>
      </c>
      <c r="Q2300" s="14" t="b">
        <v>0</v>
      </c>
      <c r="R2300" s="14">
        <v>1</v>
      </c>
      <c r="S2300" s="14" t="s">
        <v>77</v>
      </c>
      <c r="T2300" s="14">
        <v>999</v>
      </c>
      <c r="U2300" s="14" t="s">
        <v>1401</v>
      </c>
      <c r="V2300" s="14">
        <v>31914104</v>
      </c>
      <c r="X2300" s="14" t="s">
        <v>3878</v>
      </c>
      <c r="Y2300" s="14" t="s">
        <v>215</v>
      </c>
      <c r="Z2300" s="14">
        <v>21063</v>
      </c>
      <c r="AA2300" s="14" t="s">
        <v>3879</v>
      </c>
      <c r="AB2300" s="14">
        <v>40001</v>
      </c>
      <c r="AE2300" s="14" t="s">
        <v>1400</v>
      </c>
      <c r="AF2300" s="14" t="s">
        <v>1400</v>
      </c>
      <c r="AG2300" s="14" t="s">
        <v>92</v>
      </c>
    </row>
    <row r="2301" spans="2:33">
      <c r="B2301" s="14">
        <f>10000000+INDEX(编号表!$B:$B,MATCH(H2301,编号表!$A:$A,0))*100000+INDEX(编号表!$F:$F,MATCH(D2301,编号表!$E:$E,0))*10000+INDEX(编号表!$D:$D,MATCH(AG2301,编号表!$C:$C,0))*1000+F2301</f>
        <v>11924105</v>
      </c>
      <c r="C2301" s="14" t="s">
        <v>3877</v>
      </c>
      <c r="D2301" s="14" t="s">
        <v>112</v>
      </c>
      <c r="E2301" s="14" t="s">
        <v>92</v>
      </c>
      <c r="F2301" s="14">
        <v>105</v>
      </c>
      <c r="G2301" s="14">
        <v>60</v>
      </c>
      <c r="H2301" s="14" t="s">
        <v>1400</v>
      </c>
      <c r="I2301" s="14" t="s">
        <v>75</v>
      </c>
      <c r="J2301" s="14" t="s">
        <v>201</v>
      </c>
      <c r="K2301" s="14">
        <v>1</v>
      </c>
      <c r="L2301" s="14" t="s">
        <v>1400</v>
      </c>
      <c r="N2301" s="14">
        <v>0</v>
      </c>
      <c r="O2301" s="14" t="b">
        <v>1</v>
      </c>
      <c r="Q2301" s="14" t="b">
        <v>0</v>
      </c>
      <c r="R2301" s="14">
        <v>1</v>
      </c>
      <c r="S2301" s="14" t="s">
        <v>77</v>
      </c>
      <c r="T2301" s="14">
        <v>999</v>
      </c>
      <c r="U2301" s="14" t="s">
        <v>1401</v>
      </c>
      <c r="V2301" s="14">
        <v>31924105</v>
      </c>
      <c r="X2301" s="14" t="s">
        <v>3880</v>
      </c>
      <c r="Y2301" s="14" t="s">
        <v>215</v>
      </c>
      <c r="Z2301" s="14">
        <v>21064</v>
      </c>
      <c r="AA2301" s="14" t="s">
        <v>3881</v>
      </c>
      <c r="AB2301" s="14">
        <v>40001</v>
      </c>
      <c r="AE2301" s="14" t="s">
        <v>1400</v>
      </c>
      <c r="AF2301" s="14" t="s">
        <v>1400</v>
      </c>
      <c r="AG2301" s="14" t="s">
        <v>92</v>
      </c>
    </row>
    <row r="2302" spans="2:33">
      <c r="B2302" s="14">
        <f>10000000+INDEX(编号表!$B:$B,MATCH(H2302,编号表!$A:$A,0))*100000+INDEX(编号表!$F:$F,MATCH(D2302,编号表!$E:$E,0))*10000+INDEX(编号表!$D:$D,MATCH(AG2302,编号表!$C:$C,0))*1000+F2302</f>
        <v>11934106</v>
      </c>
      <c r="C2302" s="14" t="s">
        <v>3877</v>
      </c>
      <c r="D2302" s="14" t="s">
        <v>276</v>
      </c>
      <c r="E2302" s="14" t="s">
        <v>92</v>
      </c>
      <c r="F2302" s="14">
        <v>106</v>
      </c>
      <c r="G2302" s="14">
        <v>60</v>
      </c>
      <c r="H2302" s="14" t="s">
        <v>1400</v>
      </c>
      <c r="I2302" s="14" t="s">
        <v>75</v>
      </c>
      <c r="J2302" s="14" t="s">
        <v>201</v>
      </c>
      <c r="K2302" s="14">
        <v>1</v>
      </c>
      <c r="L2302" s="14" t="s">
        <v>1400</v>
      </c>
      <c r="N2302" s="14">
        <v>0</v>
      </c>
      <c r="O2302" s="14" t="b">
        <v>1</v>
      </c>
      <c r="Q2302" s="14" t="b">
        <v>0</v>
      </c>
      <c r="R2302" s="14">
        <v>1</v>
      </c>
      <c r="S2302" s="14" t="s">
        <v>77</v>
      </c>
      <c r="T2302" s="14">
        <v>999</v>
      </c>
      <c r="U2302" s="14" t="s">
        <v>1401</v>
      </c>
      <c r="V2302" s="14">
        <v>31934106</v>
      </c>
      <c r="X2302" s="14" t="s">
        <v>3882</v>
      </c>
      <c r="Y2302" s="14" t="s">
        <v>215</v>
      </c>
      <c r="Z2302" s="14">
        <v>21065</v>
      </c>
      <c r="AA2302" s="14" t="s">
        <v>3883</v>
      </c>
      <c r="AB2302" s="14">
        <v>40001</v>
      </c>
      <c r="AE2302" s="14" t="s">
        <v>1400</v>
      </c>
      <c r="AF2302" s="14" t="s">
        <v>1400</v>
      </c>
      <c r="AG2302" s="14" t="s">
        <v>92</v>
      </c>
    </row>
    <row r="2303" spans="2:33">
      <c r="B2303" s="14">
        <f>10000000+INDEX(编号表!$B:$B,MATCH(H2303,编号表!$A:$A,0))*100000+INDEX(编号表!$F:$F,MATCH(D2303,编号表!$E:$E,0))*10000+INDEX(编号表!$D:$D,MATCH(AG2303,编号表!$C:$C,0))*1000+F2303</f>
        <v>11914105</v>
      </c>
      <c r="C2303" s="14" t="s">
        <v>3884</v>
      </c>
      <c r="D2303" s="14" t="s">
        <v>72</v>
      </c>
      <c r="E2303" s="14" t="s">
        <v>92</v>
      </c>
      <c r="F2303" s="14">
        <v>105</v>
      </c>
      <c r="G2303" s="14">
        <v>60</v>
      </c>
      <c r="H2303" s="14" t="s">
        <v>1400</v>
      </c>
      <c r="I2303" s="14" t="s">
        <v>75</v>
      </c>
      <c r="J2303" s="14" t="s">
        <v>201</v>
      </c>
      <c r="K2303" s="14">
        <v>1</v>
      </c>
      <c r="L2303" s="14" t="s">
        <v>1400</v>
      </c>
      <c r="N2303" s="14">
        <v>0</v>
      </c>
      <c r="O2303" s="14" t="b">
        <v>1</v>
      </c>
      <c r="Q2303" s="14" t="b">
        <v>0</v>
      </c>
      <c r="R2303" s="14">
        <v>1</v>
      </c>
      <c r="S2303" s="14" t="s">
        <v>77</v>
      </c>
      <c r="T2303" s="14">
        <v>999</v>
      </c>
      <c r="U2303" s="14" t="s">
        <v>1401</v>
      </c>
      <c r="V2303" s="14">
        <v>31914105</v>
      </c>
      <c r="X2303" s="14" t="s">
        <v>3885</v>
      </c>
      <c r="Y2303" s="14" t="s">
        <v>215</v>
      </c>
      <c r="Z2303" s="14">
        <v>21066</v>
      </c>
      <c r="AA2303" s="14" t="s">
        <v>3886</v>
      </c>
      <c r="AB2303" s="14">
        <v>40001</v>
      </c>
      <c r="AE2303" s="14" t="s">
        <v>1400</v>
      </c>
      <c r="AF2303" s="14" t="s">
        <v>1400</v>
      </c>
      <c r="AG2303" s="14" t="s">
        <v>92</v>
      </c>
    </row>
    <row r="2304" spans="2:33">
      <c r="B2304" s="14">
        <f>10000000+INDEX(编号表!$B:$B,MATCH(H2304,编号表!$A:$A,0))*100000+INDEX(编号表!$F:$F,MATCH(D2304,编号表!$E:$E,0))*10000+INDEX(编号表!$D:$D,MATCH(AG2304,编号表!$C:$C,0))*1000+F2304</f>
        <v>11924106</v>
      </c>
      <c r="C2304" s="14" t="s">
        <v>3884</v>
      </c>
      <c r="D2304" s="14" t="s">
        <v>112</v>
      </c>
      <c r="E2304" s="14" t="s">
        <v>92</v>
      </c>
      <c r="F2304" s="14">
        <v>106</v>
      </c>
      <c r="G2304" s="14">
        <v>60</v>
      </c>
      <c r="H2304" s="14" t="s">
        <v>1400</v>
      </c>
      <c r="I2304" s="14" t="s">
        <v>75</v>
      </c>
      <c r="J2304" s="14" t="s">
        <v>201</v>
      </c>
      <c r="K2304" s="14">
        <v>1</v>
      </c>
      <c r="L2304" s="14" t="s">
        <v>1400</v>
      </c>
      <c r="N2304" s="14">
        <v>0</v>
      </c>
      <c r="O2304" s="14" t="b">
        <v>1</v>
      </c>
      <c r="Q2304" s="14" t="b">
        <v>0</v>
      </c>
      <c r="R2304" s="14">
        <v>1</v>
      </c>
      <c r="S2304" s="14" t="s">
        <v>77</v>
      </c>
      <c r="T2304" s="14">
        <v>999</v>
      </c>
      <c r="U2304" s="14" t="s">
        <v>1401</v>
      </c>
      <c r="V2304" s="14">
        <v>31924106</v>
      </c>
      <c r="X2304" s="14" t="s">
        <v>3887</v>
      </c>
      <c r="Y2304" s="14" t="s">
        <v>215</v>
      </c>
      <c r="Z2304" s="14">
        <v>21067</v>
      </c>
      <c r="AA2304" s="14" t="s">
        <v>3888</v>
      </c>
      <c r="AB2304" s="14">
        <v>40001</v>
      </c>
      <c r="AE2304" s="14" t="s">
        <v>1400</v>
      </c>
      <c r="AF2304" s="14" t="s">
        <v>1400</v>
      </c>
      <c r="AG2304" s="14" t="s">
        <v>92</v>
      </c>
    </row>
    <row r="2305" spans="2:33">
      <c r="B2305" s="14">
        <f>10000000+INDEX(编号表!$B:$B,MATCH(H2305,编号表!$A:$A,0))*100000+INDEX(编号表!$F:$F,MATCH(D2305,编号表!$E:$E,0))*10000+INDEX(编号表!$D:$D,MATCH(AG2305,编号表!$C:$C,0))*1000+F2305</f>
        <v>11934107</v>
      </c>
      <c r="C2305" s="14" t="s">
        <v>3884</v>
      </c>
      <c r="D2305" s="14" t="s">
        <v>276</v>
      </c>
      <c r="E2305" s="14" t="s">
        <v>92</v>
      </c>
      <c r="F2305" s="14">
        <v>107</v>
      </c>
      <c r="G2305" s="14">
        <v>60</v>
      </c>
      <c r="H2305" s="14" t="s">
        <v>1400</v>
      </c>
      <c r="I2305" s="14" t="s">
        <v>75</v>
      </c>
      <c r="J2305" s="14" t="s">
        <v>201</v>
      </c>
      <c r="K2305" s="14">
        <v>1</v>
      </c>
      <c r="L2305" s="14" t="s">
        <v>1400</v>
      </c>
      <c r="N2305" s="14">
        <v>0</v>
      </c>
      <c r="O2305" s="14" t="b">
        <v>1</v>
      </c>
      <c r="Q2305" s="14" t="b">
        <v>0</v>
      </c>
      <c r="R2305" s="14">
        <v>1</v>
      </c>
      <c r="S2305" s="14" t="s">
        <v>77</v>
      </c>
      <c r="T2305" s="14">
        <v>999</v>
      </c>
      <c r="U2305" s="14" t="s">
        <v>1401</v>
      </c>
      <c r="V2305" s="14">
        <v>31934107</v>
      </c>
      <c r="X2305" s="14" t="s">
        <v>3889</v>
      </c>
      <c r="Y2305" s="14" t="s">
        <v>215</v>
      </c>
      <c r="Z2305" s="14">
        <v>21068</v>
      </c>
      <c r="AA2305" s="14" t="s">
        <v>3890</v>
      </c>
      <c r="AB2305" s="14">
        <v>40001</v>
      </c>
      <c r="AE2305" s="14" t="s">
        <v>1400</v>
      </c>
      <c r="AF2305" s="14" t="s">
        <v>1400</v>
      </c>
      <c r="AG2305" s="14" t="s">
        <v>92</v>
      </c>
    </row>
    <row r="2306" spans="2:33">
      <c r="B2306" s="14">
        <f>10000000+INDEX(编号表!$B:$B,MATCH(H2306,编号表!$A:$A,0))*100000+INDEX(编号表!$F:$F,MATCH(D2306,编号表!$E:$E,0))*10000+INDEX(编号表!$D:$D,MATCH(AG2306,编号表!$C:$C,0))*1000+F2306</f>
        <v>11914106</v>
      </c>
      <c r="C2306" s="14" t="s">
        <v>3891</v>
      </c>
      <c r="D2306" s="14" t="s">
        <v>72</v>
      </c>
      <c r="E2306" s="14" t="s">
        <v>92</v>
      </c>
      <c r="F2306" s="14">
        <v>106</v>
      </c>
      <c r="G2306" s="14">
        <v>60</v>
      </c>
      <c r="H2306" s="14" t="s">
        <v>1400</v>
      </c>
      <c r="I2306" s="14" t="s">
        <v>75</v>
      </c>
      <c r="J2306" s="14" t="s">
        <v>201</v>
      </c>
      <c r="K2306" s="14">
        <v>1</v>
      </c>
      <c r="L2306" s="14" t="s">
        <v>1400</v>
      </c>
      <c r="N2306" s="14">
        <v>0</v>
      </c>
      <c r="O2306" s="14" t="b">
        <v>1</v>
      </c>
      <c r="Q2306" s="14" t="b">
        <v>0</v>
      </c>
      <c r="R2306" s="14">
        <v>1</v>
      </c>
      <c r="S2306" s="14" t="s">
        <v>77</v>
      </c>
      <c r="T2306" s="14">
        <v>999</v>
      </c>
      <c r="U2306" s="14" t="s">
        <v>1401</v>
      </c>
      <c r="V2306" s="14">
        <v>31914106</v>
      </c>
      <c r="X2306" s="14" t="s">
        <v>3892</v>
      </c>
      <c r="Y2306" s="14" t="s">
        <v>215</v>
      </c>
      <c r="Z2306" s="14">
        <v>21069</v>
      </c>
      <c r="AA2306" s="14" t="s">
        <v>3893</v>
      </c>
      <c r="AB2306" s="14">
        <v>40001</v>
      </c>
      <c r="AE2306" s="14" t="s">
        <v>1400</v>
      </c>
      <c r="AF2306" s="14" t="s">
        <v>1400</v>
      </c>
      <c r="AG2306" s="14" t="s">
        <v>92</v>
      </c>
    </row>
    <row r="2307" spans="2:33">
      <c r="B2307" s="14">
        <f>10000000+INDEX(编号表!$B:$B,MATCH(H2307,编号表!$A:$A,0))*100000+INDEX(编号表!$F:$F,MATCH(D2307,编号表!$E:$E,0))*10000+INDEX(编号表!$D:$D,MATCH(AG2307,编号表!$C:$C,0))*1000+F2307</f>
        <v>11924107</v>
      </c>
      <c r="C2307" s="14" t="s">
        <v>3891</v>
      </c>
      <c r="D2307" s="14" t="s">
        <v>112</v>
      </c>
      <c r="E2307" s="14" t="s">
        <v>92</v>
      </c>
      <c r="F2307" s="14">
        <v>107</v>
      </c>
      <c r="G2307" s="14">
        <v>60</v>
      </c>
      <c r="H2307" s="14" t="s">
        <v>1400</v>
      </c>
      <c r="I2307" s="14" t="s">
        <v>75</v>
      </c>
      <c r="J2307" s="14" t="s">
        <v>201</v>
      </c>
      <c r="K2307" s="14">
        <v>1</v>
      </c>
      <c r="L2307" s="14" t="s">
        <v>1400</v>
      </c>
      <c r="N2307" s="14">
        <v>0</v>
      </c>
      <c r="O2307" s="14" t="b">
        <v>1</v>
      </c>
      <c r="Q2307" s="14" t="b">
        <v>0</v>
      </c>
      <c r="R2307" s="14">
        <v>1</v>
      </c>
      <c r="S2307" s="14" t="s">
        <v>77</v>
      </c>
      <c r="T2307" s="14">
        <v>999</v>
      </c>
      <c r="U2307" s="14" t="s">
        <v>1401</v>
      </c>
      <c r="V2307" s="14">
        <v>31924107</v>
      </c>
      <c r="X2307" s="14" t="s">
        <v>3894</v>
      </c>
      <c r="Y2307" s="14" t="s">
        <v>215</v>
      </c>
      <c r="Z2307" s="14">
        <v>21070</v>
      </c>
      <c r="AA2307" s="14" t="s">
        <v>3895</v>
      </c>
      <c r="AB2307" s="14">
        <v>40001</v>
      </c>
      <c r="AE2307" s="14" t="s">
        <v>1400</v>
      </c>
      <c r="AF2307" s="14" t="s">
        <v>1400</v>
      </c>
      <c r="AG2307" s="14" t="s">
        <v>92</v>
      </c>
    </row>
    <row r="2308" spans="2:33">
      <c r="B2308" s="14">
        <f>10000000+INDEX(编号表!$B:$B,MATCH(H2308,编号表!$A:$A,0))*100000+INDEX(编号表!$F:$F,MATCH(D2308,编号表!$E:$E,0))*10000+INDEX(编号表!$D:$D,MATCH(AG2308,编号表!$C:$C,0))*1000+F2308</f>
        <v>11934108</v>
      </c>
      <c r="C2308" s="14" t="s">
        <v>3891</v>
      </c>
      <c r="D2308" s="14" t="s">
        <v>276</v>
      </c>
      <c r="E2308" s="14" t="s">
        <v>92</v>
      </c>
      <c r="F2308" s="14">
        <v>108</v>
      </c>
      <c r="G2308" s="14">
        <v>60</v>
      </c>
      <c r="H2308" s="14" t="s">
        <v>1400</v>
      </c>
      <c r="I2308" s="14" t="s">
        <v>75</v>
      </c>
      <c r="J2308" s="14" t="s">
        <v>201</v>
      </c>
      <c r="K2308" s="14">
        <v>1</v>
      </c>
      <c r="L2308" s="14" t="s">
        <v>1400</v>
      </c>
      <c r="N2308" s="14">
        <v>0</v>
      </c>
      <c r="O2308" s="14" t="b">
        <v>1</v>
      </c>
      <c r="Q2308" s="14" t="b">
        <v>0</v>
      </c>
      <c r="R2308" s="14">
        <v>1</v>
      </c>
      <c r="S2308" s="14" t="s">
        <v>77</v>
      </c>
      <c r="T2308" s="14">
        <v>999</v>
      </c>
      <c r="U2308" s="14" t="s">
        <v>1401</v>
      </c>
      <c r="V2308" s="14">
        <v>31934108</v>
      </c>
      <c r="X2308" s="14" t="s">
        <v>3896</v>
      </c>
      <c r="Y2308" s="14" t="s">
        <v>215</v>
      </c>
      <c r="Z2308" s="14">
        <v>21071</v>
      </c>
      <c r="AA2308" s="14" t="s">
        <v>3897</v>
      </c>
      <c r="AB2308" s="14">
        <v>40001</v>
      </c>
      <c r="AE2308" s="14" t="s">
        <v>1400</v>
      </c>
      <c r="AF2308" s="14" t="s">
        <v>1400</v>
      </c>
      <c r="AG2308" s="14" t="s">
        <v>92</v>
      </c>
    </row>
    <row r="2309" spans="2:33">
      <c r="B2309" s="14">
        <f>10000000+INDEX(编号表!$B:$B,MATCH(H2309,编号表!$A:$A,0))*100000+INDEX(编号表!$F:$F,MATCH(D2309,编号表!$E:$E,0))*10000+INDEX(编号表!$D:$D,MATCH(AG2309,编号表!$C:$C,0))*1000+F2309</f>
        <v>11914107</v>
      </c>
      <c r="C2309" s="14" t="s">
        <v>3898</v>
      </c>
      <c r="D2309" s="14" t="s">
        <v>72</v>
      </c>
      <c r="E2309" s="14" t="s">
        <v>92</v>
      </c>
      <c r="F2309" s="14">
        <v>107</v>
      </c>
      <c r="G2309" s="14">
        <v>60</v>
      </c>
      <c r="H2309" s="14" t="s">
        <v>1400</v>
      </c>
      <c r="I2309" s="14" t="s">
        <v>75</v>
      </c>
      <c r="J2309" s="14" t="s">
        <v>201</v>
      </c>
      <c r="K2309" s="14">
        <v>1</v>
      </c>
      <c r="L2309" s="14" t="s">
        <v>1400</v>
      </c>
      <c r="N2309" s="14">
        <v>0</v>
      </c>
      <c r="O2309" s="14" t="b">
        <v>1</v>
      </c>
      <c r="Q2309" s="14" t="b">
        <v>0</v>
      </c>
      <c r="R2309" s="14">
        <v>1</v>
      </c>
      <c r="S2309" s="14" t="s">
        <v>77</v>
      </c>
      <c r="T2309" s="14">
        <v>999</v>
      </c>
      <c r="U2309" s="14" t="s">
        <v>1401</v>
      </c>
      <c r="V2309" s="14">
        <v>31914107</v>
      </c>
      <c r="X2309" s="14" t="s">
        <v>3899</v>
      </c>
      <c r="Y2309" s="14" t="s">
        <v>215</v>
      </c>
      <c r="Z2309" s="14">
        <v>21072</v>
      </c>
      <c r="AA2309" s="14" t="s">
        <v>3900</v>
      </c>
      <c r="AB2309" s="14">
        <v>40001</v>
      </c>
      <c r="AE2309" s="14" t="s">
        <v>1400</v>
      </c>
      <c r="AF2309" s="14" t="s">
        <v>1400</v>
      </c>
      <c r="AG2309" s="14" t="s">
        <v>92</v>
      </c>
    </row>
    <row r="2310" spans="2:33">
      <c r="B2310" s="14">
        <f>10000000+INDEX(编号表!$B:$B,MATCH(H2310,编号表!$A:$A,0))*100000+INDEX(编号表!$F:$F,MATCH(D2310,编号表!$E:$E,0))*10000+INDEX(编号表!$D:$D,MATCH(AG2310,编号表!$C:$C,0))*1000+F2310</f>
        <v>11924108</v>
      </c>
      <c r="C2310" s="14" t="s">
        <v>3898</v>
      </c>
      <c r="D2310" s="14" t="s">
        <v>112</v>
      </c>
      <c r="E2310" s="14" t="s">
        <v>92</v>
      </c>
      <c r="F2310" s="14">
        <v>108</v>
      </c>
      <c r="G2310" s="14">
        <v>60</v>
      </c>
      <c r="H2310" s="14" t="s">
        <v>1400</v>
      </c>
      <c r="I2310" s="14" t="s">
        <v>75</v>
      </c>
      <c r="J2310" s="14" t="s">
        <v>201</v>
      </c>
      <c r="K2310" s="14">
        <v>1</v>
      </c>
      <c r="L2310" s="14" t="s">
        <v>1400</v>
      </c>
      <c r="N2310" s="14">
        <v>0</v>
      </c>
      <c r="O2310" s="14" t="b">
        <v>1</v>
      </c>
      <c r="Q2310" s="14" t="b">
        <v>0</v>
      </c>
      <c r="R2310" s="14">
        <v>1</v>
      </c>
      <c r="S2310" s="14" t="s">
        <v>77</v>
      </c>
      <c r="T2310" s="14">
        <v>999</v>
      </c>
      <c r="U2310" s="14" t="s">
        <v>1401</v>
      </c>
      <c r="V2310" s="14">
        <v>31924108</v>
      </c>
      <c r="X2310" s="14" t="s">
        <v>3901</v>
      </c>
      <c r="Y2310" s="14" t="s">
        <v>215</v>
      </c>
      <c r="Z2310" s="14">
        <v>21073</v>
      </c>
      <c r="AA2310" s="14" t="s">
        <v>3902</v>
      </c>
      <c r="AB2310" s="14">
        <v>40001</v>
      </c>
      <c r="AE2310" s="14" t="s">
        <v>1400</v>
      </c>
      <c r="AF2310" s="14" t="s">
        <v>1400</v>
      </c>
      <c r="AG2310" s="14" t="s">
        <v>92</v>
      </c>
    </row>
    <row r="2311" spans="2:33">
      <c r="B2311" s="14">
        <f>10000000+INDEX(编号表!$B:$B,MATCH(H2311,编号表!$A:$A,0))*100000+INDEX(编号表!$F:$F,MATCH(D2311,编号表!$E:$E,0))*10000+INDEX(编号表!$D:$D,MATCH(AG2311,编号表!$C:$C,0))*1000+F2311</f>
        <v>11934109</v>
      </c>
      <c r="C2311" s="14" t="s">
        <v>3898</v>
      </c>
      <c r="D2311" s="14" t="s">
        <v>276</v>
      </c>
      <c r="E2311" s="14" t="s">
        <v>92</v>
      </c>
      <c r="F2311" s="14">
        <v>109</v>
      </c>
      <c r="G2311" s="14">
        <v>60</v>
      </c>
      <c r="H2311" s="14" t="s">
        <v>1400</v>
      </c>
      <c r="I2311" s="14" t="s">
        <v>75</v>
      </c>
      <c r="J2311" s="14" t="s">
        <v>201</v>
      </c>
      <c r="K2311" s="14">
        <v>1</v>
      </c>
      <c r="L2311" s="14" t="s">
        <v>1400</v>
      </c>
      <c r="N2311" s="14">
        <v>0</v>
      </c>
      <c r="O2311" s="14" t="b">
        <v>1</v>
      </c>
      <c r="Q2311" s="14" t="b">
        <v>0</v>
      </c>
      <c r="R2311" s="14">
        <v>1</v>
      </c>
      <c r="S2311" s="14" t="s">
        <v>77</v>
      </c>
      <c r="T2311" s="14">
        <v>999</v>
      </c>
      <c r="U2311" s="14" t="s">
        <v>1401</v>
      </c>
      <c r="V2311" s="14">
        <v>31934109</v>
      </c>
      <c r="X2311" s="14" t="s">
        <v>3903</v>
      </c>
      <c r="Y2311" s="14" t="s">
        <v>215</v>
      </c>
      <c r="Z2311" s="14">
        <v>21074</v>
      </c>
      <c r="AA2311" s="14" t="s">
        <v>3904</v>
      </c>
      <c r="AB2311" s="14">
        <v>40001</v>
      </c>
      <c r="AE2311" s="14" t="s">
        <v>1400</v>
      </c>
      <c r="AF2311" s="14" t="s">
        <v>1400</v>
      </c>
      <c r="AG2311" s="14" t="s">
        <v>92</v>
      </c>
    </row>
    <row r="2312" spans="2:33">
      <c r="B2312" s="14">
        <f>10000000+INDEX(编号表!$B:$B,MATCH(H2312,编号表!$A:$A,0))*100000+INDEX(编号表!$F:$F,MATCH(D2312,编号表!$E:$E,0))*10000+INDEX(编号表!$D:$D,MATCH(AG2312,编号表!$C:$C,0))*1000+F2312</f>
        <v>11914108</v>
      </c>
      <c r="C2312" s="14" t="s">
        <v>3905</v>
      </c>
      <c r="D2312" s="14" t="s">
        <v>72</v>
      </c>
      <c r="E2312" s="14" t="s">
        <v>92</v>
      </c>
      <c r="F2312" s="14">
        <v>108</v>
      </c>
      <c r="G2312" s="14">
        <v>60</v>
      </c>
      <c r="H2312" s="14" t="s">
        <v>1400</v>
      </c>
      <c r="I2312" s="14" t="s">
        <v>75</v>
      </c>
      <c r="J2312" s="14" t="s">
        <v>201</v>
      </c>
      <c r="K2312" s="14">
        <v>1</v>
      </c>
      <c r="L2312" s="14" t="s">
        <v>1400</v>
      </c>
      <c r="N2312" s="14">
        <v>0</v>
      </c>
      <c r="O2312" s="14" t="b">
        <v>1</v>
      </c>
      <c r="Q2312" s="14" t="b">
        <v>0</v>
      </c>
      <c r="R2312" s="14">
        <v>1</v>
      </c>
      <c r="S2312" s="14" t="s">
        <v>77</v>
      </c>
      <c r="T2312" s="14">
        <v>999</v>
      </c>
      <c r="U2312" s="14" t="s">
        <v>1401</v>
      </c>
      <c r="V2312" s="14">
        <v>31914108</v>
      </c>
      <c r="X2312" s="14" t="s">
        <v>3906</v>
      </c>
      <c r="Y2312" s="14" t="s">
        <v>215</v>
      </c>
      <c r="Z2312" s="14">
        <v>21075</v>
      </c>
      <c r="AA2312" s="14" t="s">
        <v>3907</v>
      </c>
      <c r="AB2312" s="14">
        <v>40001</v>
      </c>
      <c r="AE2312" s="14" t="s">
        <v>1400</v>
      </c>
      <c r="AF2312" s="14" t="s">
        <v>1400</v>
      </c>
      <c r="AG2312" s="14" t="s">
        <v>92</v>
      </c>
    </row>
    <row r="2313" spans="2:33">
      <c r="B2313" s="14">
        <f>10000000+INDEX(编号表!$B:$B,MATCH(H2313,编号表!$A:$A,0))*100000+INDEX(编号表!$F:$F,MATCH(D2313,编号表!$E:$E,0))*10000+INDEX(编号表!$D:$D,MATCH(AG2313,编号表!$C:$C,0))*1000+F2313</f>
        <v>11924109</v>
      </c>
      <c r="C2313" s="14" t="s">
        <v>3905</v>
      </c>
      <c r="D2313" s="14" t="s">
        <v>112</v>
      </c>
      <c r="E2313" s="14" t="s">
        <v>92</v>
      </c>
      <c r="F2313" s="14">
        <v>109</v>
      </c>
      <c r="G2313" s="14">
        <v>60</v>
      </c>
      <c r="H2313" s="14" t="s">
        <v>1400</v>
      </c>
      <c r="I2313" s="14" t="s">
        <v>75</v>
      </c>
      <c r="J2313" s="14" t="s">
        <v>201</v>
      </c>
      <c r="K2313" s="14">
        <v>1</v>
      </c>
      <c r="L2313" s="14" t="s">
        <v>1400</v>
      </c>
      <c r="N2313" s="14">
        <v>0</v>
      </c>
      <c r="O2313" s="14" t="b">
        <v>1</v>
      </c>
      <c r="Q2313" s="14" t="b">
        <v>0</v>
      </c>
      <c r="R2313" s="14">
        <v>1</v>
      </c>
      <c r="S2313" s="14" t="s">
        <v>77</v>
      </c>
      <c r="T2313" s="14">
        <v>999</v>
      </c>
      <c r="U2313" s="14" t="s">
        <v>1401</v>
      </c>
      <c r="V2313" s="14">
        <v>31924109</v>
      </c>
      <c r="X2313" s="14" t="s">
        <v>3908</v>
      </c>
      <c r="Y2313" s="14" t="s">
        <v>215</v>
      </c>
      <c r="Z2313" s="14">
        <v>21076</v>
      </c>
      <c r="AA2313" s="14" t="s">
        <v>3909</v>
      </c>
      <c r="AB2313" s="14">
        <v>40001</v>
      </c>
      <c r="AE2313" s="14" t="s">
        <v>1400</v>
      </c>
      <c r="AF2313" s="14" t="s">
        <v>1400</v>
      </c>
      <c r="AG2313" s="14" t="s">
        <v>92</v>
      </c>
    </row>
    <row r="2314" spans="2:33">
      <c r="B2314" s="14">
        <f>10000000+INDEX(编号表!$B:$B,MATCH(H2314,编号表!$A:$A,0))*100000+INDEX(编号表!$F:$F,MATCH(D2314,编号表!$E:$E,0))*10000+INDEX(编号表!$D:$D,MATCH(AG2314,编号表!$C:$C,0))*1000+F2314</f>
        <v>11934110</v>
      </c>
      <c r="C2314" s="14" t="s">
        <v>3905</v>
      </c>
      <c r="D2314" s="14" t="s">
        <v>276</v>
      </c>
      <c r="E2314" s="14" t="s">
        <v>92</v>
      </c>
      <c r="F2314" s="14">
        <v>110</v>
      </c>
      <c r="G2314" s="14">
        <v>60</v>
      </c>
      <c r="H2314" s="14" t="s">
        <v>1400</v>
      </c>
      <c r="I2314" s="14" t="s">
        <v>75</v>
      </c>
      <c r="J2314" s="14" t="s">
        <v>201</v>
      </c>
      <c r="K2314" s="14">
        <v>1</v>
      </c>
      <c r="L2314" s="14" t="s">
        <v>1400</v>
      </c>
      <c r="N2314" s="14">
        <v>0</v>
      </c>
      <c r="O2314" s="14" t="b">
        <v>1</v>
      </c>
      <c r="Q2314" s="14" t="b">
        <v>0</v>
      </c>
      <c r="R2314" s="14">
        <v>1</v>
      </c>
      <c r="S2314" s="14" t="s">
        <v>77</v>
      </c>
      <c r="T2314" s="14">
        <v>999</v>
      </c>
      <c r="U2314" s="14" t="s">
        <v>1401</v>
      </c>
      <c r="V2314" s="14">
        <v>31934110</v>
      </c>
      <c r="X2314" s="14" t="s">
        <v>3910</v>
      </c>
      <c r="Y2314" s="14" t="s">
        <v>215</v>
      </c>
      <c r="Z2314" s="14">
        <v>21077</v>
      </c>
      <c r="AA2314" s="14" t="s">
        <v>3911</v>
      </c>
      <c r="AB2314" s="14">
        <v>40001</v>
      </c>
      <c r="AE2314" s="14" t="s">
        <v>1400</v>
      </c>
      <c r="AF2314" s="14" t="s">
        <v>1400</v>
      </c>
      <c r="AG2314" s="14" t="s">
        <v>92</v>
      </c>
    </row>
    <row r="2315" spans="2:33">
      <c r="B2315" s="14">
        <f>10000000+INDEX(编号表!$B:$B,MATCH(H2315,编号表!$A:$A,0))*100000+INDEX(编号表!$F:$F,MATCH(D2315,编号表!$E:$E,0))*10000+INDEX(编号表!$D:$D,MATCH(AG2315,编号表!$C:$C,0))*1000+F2315</f>
        <v>11914109</v>
      </c>
      <c r="C2315" s="14" t="s">
        <v>3912</v>
      </c>
      <c r="D2315" s="14" t="s">
        <v>72</v>
      </c>
      <c r="E2315" s="14" t="s">
        <v>92</v>
      </c>
      <c r="F2315" s="14">
        <v>109</v>
      </c>
      <c r="G2315" s="14">
        <v>60</v>
      </c>
      <c r="H2315" s="14" t="s">
        <v>1400</v>
      </c>
      <c r="I2315" s="14" t="s">
        <v>75</v>
      </c>
      <c r="J2315" s="14" t="s">
        <v>201</v>
      </c>
      <c r="K2315" s="14">
        <v>1</v>
      </c>
      <c r="L2315" s="14" t="s">
        <v>1400</v>
      </c>
      <c r="N2315" s="14">
        <v>0</v>
      </c>
      <c r="O2315" s="14" t="b">
        <v>1</v>
      </c>
      <c r="Q2315" s="14" t="b">
        <v>0</v>
      </c>
      <c r="R2315" s="14">
        <v>1</v>
      </c>
      <c r="S2315" s="14" t="s">
        <v>77</v>
      </c>
      <c r="T2315" s="14">
        <v>999</v>
      </c>
      <c r="U2315" s="14" t="s">
        <v>1401</v>
      </c>
      <c r="V2315" s="14">
        <v>31914109</v>
      </c>
      <c r="X2315" s="14" t="s">
        <v>3913</v>
      </c>
      <c r="Y2315" s="14" t="s">
        <v>215</v>
      </c>
      <c r="Z2315" s="14">
        <v>21078</v>
      </c>
      <c r="AA2315" s="14" t="s">
        <v>3914</v>
      </c>
      <c r="AB2315" s="14">
        <v>40001</v>
      </c>
      <c r="AE2315" s="14" t="s">
        <v>1400</v>
      </c>
      <c r="AF2315" s="14" t="s">
        <v>1400</v>
      </c>
      <c r="AG2315" s="14" t="s">
        <v>92</v>
      </c>
    </row>
    <row r="2316" spans="2:33">
      <c r="B2316" s="14">
        <f>10000000+INDEX(编号表!$B:$B,MATCH(H2316,编号表!$A:$A,0))*100000+INDEX(编号表!$F:$F,MATCH(D2316,编号表!$E:$E,0))*10000+INDEX(编号表!$D:$D,MATCH(AG2316,编号表!$C:$C,0))*1000+F2316</f>
        <v>11924110</v>
      </c>
      <c r="C2316" s="14" t="s">
        <v>3912</v>
      </c>
      <c r="D2316" s="14" t="s">
        <v>112</v>
      </c>
      <c r="E2316" s="14" t="s">
        <v>92</v>
      </c>
      <c r="F2316" s="14">
        <v>110</v>
      </c>
      <c r="G2316" s="14">
        <v>60</v>
      </c>
      <c r="H2316" s="14" t="s">
        <v>1400</v>
      </c>
      <c r="I2316" s="14" t="s">
        <v>75</v>
      </c>
      <c r="J2316" s="14" t="s">
        <v>201</v>
      </c>
      <c r="K2316" s="14">
        <v>1</v>
      </c>
      <c r="L2316" s="14" t="s">
        <v>1400</v>
      </c>
      <c r="N2316" s="14">
        <v>0</v>
      </c>
      <c r="O2316" s="14" t="b">
        <v>1</v>
      </c>
      <c r="Q2316" s="14" t="b">
        <v>0</v>
      </c>
      <c r="R2316" s="14">
        <v>1</v>
      </c>
      <c r="S2316" s="14" t="s">
        <v>77</v>
      </c>
      <c r="T2316" s="14">
        <v>999</v>
      </c>
      <c r="U2316" s="14" t="s">
        <v>1401</v>
      </c>
      <c r="V2316" s="14">
        <v>31924110</v>
      </c>
      <c r="X2316" s="14" t="s">
        <v>3915</v>
      </c>
      <c r="Y2316" s="14" t="s">
        <v>215</v>
      </c>
      <c r="Z2316" s="14">
        <v>21079</v>
      </c>
      <c r="AA2316" s="14" t="s">
        <v>3916</v>
      </c>
      <c r="AB2316" s="14">
        <v>40001</v>
      </c>
      <c r="AE2316" s="14" t="s">
        <v>1400</v>
      </c>
      <c r="AF2316" s="14" t="s">
        <v>1400</v>
      </c>
      <c r="AG2316" s="14" t="s">
        <v>92</v>
      </c>
    </row>
    <row r="2317" spans="2:33">
      <c r="B2317" s="14">
        <f>10000000+INDEX(编号表!$B:$B,MATCH(H2317,编号表!$A:$A,0))*100000+INDEX(编号表!$F:$F,MATCH(D2317,编号表!$E:$E,0))*10000+INDEX(编号表!$D:$D,MATCH(AG2317,编号表!$C:$C,0))*1000+F2317</f>
        <v>11934111</v>
      </c>
      <c r="C2317" s="14" t="s">
        <v>3912</v>
      </c>
      <c r="D2317" s="14" t="s">
        <v>276</v>
      </c>
      <c r="E2317" s="14" t="s">
        <v>92</v>
      </c>
      <c r="F2317" s="14">
        <v>111</v>
      </c>
      <c r="G2317" s="14">
        <v>60</v>
      </c>
      <c r="H2317" s="14" t="s">
        <v>1400</v>
      </c>
      <c r="I2317" s="14" t="s">
        <v>75</v>
      </c>
      <c r="J2317" s="14" t="s">
        <v>201</v>
      </c>
      <c r="K2317" s="14">
        <v>1</v>
      </c>
      <c r="L2317" s="14" t="s">
        <v>1400</v>
      </c>
      <c r="N2317" s="14">
        <v>0</v>
      </c>
      <c r="O2317" s="14" t="b">
        <v>1</v>
      </c>
      <c r="Q2317" s="14" t="b">
        <v>0</v>
      </c>
      <c r="R2317" s="14">
        <v>1</v>
      </c>
      <c r="S2317" s="14" t="s">
        <v>77</v>
      </c>
      <c r="T2317" s="14">
        <v>999</v>
      </c>
      <c r="U2317" s="14" t="s">
        <v>1401</v>
      </c>
      <c r="V2317" s="14">
        <v>31934111</v>
      </c>
      <c r="X2317" s="14" t="s">
        <v>3917</v>
      </c>
      <c r="Y2317" s="14" t="s">
        <v>215</v>
      </c>
      <c r="Z2317" s="14">
        <v>21080</v>
      </c>
      <c r="AA2317" s="14" t="s">
        <v>3918</v>
      </c>
      <c r="AB2317" s="14">
        <v>40001</v>
      </c>
      <c r="AE2317" s="14" t="s">
        <v>1400</v>
      </c>
      <c r="AF2317" s="14" t="s">
        <v>1400</v>
      </c>
      <c r="AG2317" s="14" t="s">
        <v>92</v>
      </c>
    </row>
    <row r="2318" spans="2:33">
      <c r="B2318" s="14">
        <f>10000000+INDEX(编号表!$B:$B,MATCH(H2318,编号表!$A:$A,0))*100000+INDEX(编号表!$F:$F,MATCH(D2318,编号表!$E:$E,0))*10000+INDEX(编号表!$D:$D,MATCH(AG2318,编号表!$C:$C,0))*1000+F2318</f>
        <v>11914110</v>
      </c>
      <c r="C2318" s="14" t="s">
        <v>3919</v>
      </c>
      <c r="D2318" s="14" t="s">
        <v>72</v>
      </c>
      <c r="E2318" s="14" t="s">
        <v>92</v>
      </c>
      <c r="F2318" s="14">
        <v>110</v>
      </c>
      <c r="G2318" s="14">
        <v>60</v>
      </c>
      <c r="H2318" s="14" t="s">
        <v>1400</v>
      </c>
      <c r="I2318" s="14" t="s">
        <v>75</v>
      </c>
      <c r="J2318" s="14" t="s">
        <v>201</v>
      </c>
      <c r="K2318" s="14">
        <v>1</v>
      </c>
      <c r="L2318" s="14" t="s">
        <v>1400</v>
      </c>
      <c r="N2318" s="14">
        <v>0</v>
      </c>
      <c r="O2318" s="14" t="b">
        <v>1</v>
      </c>
      <c r="Q2318" s="14" t="b">
        <v>0</v>
      </c>
      <c r="R2318" s="14">
        <v>1</v>
      </c>
      <c r="S2318" s="14" t="s">
        <v>77</v>
      </c>
      <c r="T2318" s="14">
        <v>999</v>
      </c>
      <c r="U2318" s="14" t="s">
        <v>1401</v>
      </c>
      <c r="V2318" s="14">
        <v>31914110</v>
      </c>
      <c r="X2318" s="14" t="s">
        <v>3920</v>
      </c>
      <c r="Y2318" s="14" t="s">
        <v>215</v>
      </c>
      <c r="Z2318" s="14">
        <v>21081</v>
      </c>
      <c r="AA2318" s="14" t="s">
        <v>3921</v>
      </c>
      <c r="AB2318" s="14">
        <v>40001</v>
      </c>
      <c r="AE2318" s="14" t="s">
        <v>1400</v>
      </c>
      <c r="AF2318" s="14" t="s">
        <v>1400</v>
      </c>
      <c r="AG2318" s="14" t="s">
        <v>92</v>
      </c>
    </row>
    <row r="2319" spans="2:33">
      <c r="B2319" s="14">
        <f>10000000+INDEX(编号表!$B:$B,MATCH(H2319,编号表!$A:$A,0))*100000+INDEX(编号表!$F:$F,MATCH(D2319,编号表!$E:$E,0))*10000+INDEX(编号表!$D:$D,MATCH(AG2319,编号表!$C:$C,0))*1000+F2319</f>
        <v>11924111</v>
      </c>
      <c r="C2319" s="14" t="s">
        <v>3919</v>
      </c>
      <c r="D2319" s="14" t="s">
        <v>112</v>
      </c>
      <c r="E2319" s="14" t="s">
        <v>92</v>
      </c>
      <c r="F2319" s="14">
        <v>111</v>
      </c>
      <c r="G2319" s="14">
        <v>60</v>
      </c>
      <c r="H2319" s="14" t="s">
        <v>1400</v>
      </c>
      <c r="I2319" s="14" t="s">
        <v>75</v>
      </c>
      <c r="J2319" s="14" t="s">
        <v>201</v>
      </c>
      <c r="K2319" s="14">
        <v>1</v>
      </c>
      <c r="L2319" s="14" t="s">
        <v>1400</v>
      </c>
      <c r="N2319" s="14">
        <v>0</v>
      </c>
      <c r="O2319" s="14" t="b">
        <v>1</v>
      </c>
      <c r="Q2319" s="14" t="b">
        <v>0</v>
      </c>
      <c r="R2319" s="14">
        <v>1</v>
      </c>
      <c r="S2319" s="14" t="s">
        <v>77</v>
      </c>
      <c r="T2319" s="14">
        <v>999</v>
      </c>
      <c r="U2319" s="14" t="s">
        <v>1401</v>
      </c>
      <c r="V2319" s="14">
        <v>31924111</v>
      </c>
      <c r="X2319" s="14" t="s">
        <v>3922</v>
      </c>
      <c r="Y2319" s="14" t="s">
        <v>215</v>
      </c>
      <c r="Z2319" s="14">
        <v>21082</v>
      </c>
      <c r="AA2319" s="14" t="s">
        <v>3923</v>
      </c>
      <c r="AB2319" s="14">
        <v>40001</v>
      </c>
      <c r="AE2319" s="14" t="s">
        <v>1400</v>
      </c>
      <c r="AF2319" s="14" t="s">
        <v>1400</v>
      </c>
      <c r="AG2319" s="14" t="s">
        <v>92</v>
      </c>
    </row>
    <row r="2320" spans="2:33">
      <c r="B2320" s="14">
        <f>10000000+INDEX(编号表!$B:$B,MATCH(H2320,编号表!$A:$A,0))*100000+INDEX(编号表!$F:$F,MATCH(D2320,编号表!$E:$E,0))*10000+INDEX(编号表!$D:$D,MATCH(AG2320,编号表!$C:$C,0))*1000+F2320</f>
        <v>11934112</v>
      </c>
      <c r="C2320" s="14" t="s">
        <v>3919</v>
      </c>
      <c r="D2320" s="14" t="s">
        <v>276</v>
      </c>
      <c r="E2320" s="14" t="s">
        <v>92</v>
      </c>
      <c r="F2320" s="14">
        <v>112</v>
      </c>
      <c r="G2320" s="14">
        <v>60</v>
      </c>
      <c r="H2320" s="14" t="s">
        <v>1400</v>
      </c>
      <c r="I2320" s="14" t="s">
        <v>75</v>
      </c>
      <c r="J2320" s="14" t="s">
        <v>201</v>
      </c>
      <c r="K2320" s="14">
        <v>1</v>
      </c>
      <c r="L2320" s="14" t="s">
        <v>1400</v>
      </c>
      <c r="N2320" s="14">
        <v>0</v>
      </c>
      <c r="O2320" s="14" t="b">
        <v>1</v>
      </c>
      <c r="Q2320" s="14" t="b">
        <v>0</v>
      </c>
      <c r="R2320" s="14">
        <v>1</v>
      </c>
      <c r="S2320" s="14" t="s">
        <v>77</v>
      </c>
      <c r="T2320" s="14">
        <v>999</v>
      </c>
      <c r="U2320" s="14" t="s">
        <v>1401</v>
      </c>
      <c r="V2320" s="14">
        <v>31934112</v>
      </c>
      <c r="X2320" s="14" t="s">
        <v>3924</v>
      </c>
      <c r="Y2320" s="14" t="s">
        <v>215</v>
      </c>
      <c r="Z2320" s="14">
        <v>21083</v>
      </c>
      <c r="AA2320" s="14" t="s">
        <v>3925</v>
      </c>
      <c r="AB2320" s="14">
        <v>40001</v>
      </c>
      <c r="AE2320" s="14" t="s">
        <v>1400</v>
      </c>
      <c r="AF2320" s="14" t="s">
        <v>1400</v>
      </c>
      <c r="AG2320" s="14" t="s">
        <v>92</v>
      </c>
    </row>
    <row r="2321" spans="2:33">
      <c r="B2321" s="14">
        <f>10000000+INDEX(编号表!$B:$B,MATCH(H2321,编号表!$A:$A,0))*100000+INDEX(编号表!$F:$F,MATCH(D2321,编号表!$E:$E,0))*10000+INDEX(编号表!$D:$D,MATCH(AG2321,编号表!$C:$C,0))*1000+F2321</f>
        <v>11914111</v>
      </c>
      <c r="C2321" s="14" t="s">
        <v>3926</v>
      </c>
      <c r="D2321" s="14" t="s">
        <v>72</v>
      </c>
      <c r="E2321" s="14" t="s">
        <v>92</v>
      </c>
      <c r="F2321" s="14">
        <v>111</v>
      </c>
      <c r="G2321" s="14">
        <v>60</v>
      </c>
      <c r="H2321" s="14" t="s">
        <v>1400</v>
      </c>
      <c r="I2321" s="14" t="s">
        <v>75</v>
      </c>
      <c r="J2321" s="14" t="s">
        <v>201</v>
      </c>
      <c r="K2321" s="14">
        <v>1</v>
      </c>
      <c r="L2321" s="14" t="s">
        <v>1400</v>
      </c>
      <c r="N2321" s="14">
        <v>0</v>
      </c>
      <c r="O2321" s="14" t="b">
        <v>1</v>
      </c>
      <c r="Q2321" s="14" t="b">
        <v>0</v>
      </c>
      <c r="R2321" s="14">
        <v>1</v>
      </c>
      <c r="S2321" s="14" t="s">
        <v>77</v>
      </c>
      <c r="T2321" s="14">
        <v>999</v>
      </c>
      <c r="U2321" s="14" t="s">
        <v>1401</v>
      </c>
      <c r="V2321" s="14">
        <v>31914111</v>
      </c>
      <c r="X2321" s="14" t="s">
        <v>3927</v>
      </c>
      <c r="Y2321" s="14" t="s">
        <v>215</v>
      </c>
      <c r="Z2321" s="14">
        <v>21084</v>
      </c>
      <c r="AA2321" s="14" t="s">
        <v>3928</v>
      </c>
      <c r="AB2321" s="14">
        <v>40001</v>
      </c>
      <c r="AE2321" s="14" t="s">
        <v>1400</v>
      </c>
      <c r="AF2321" s="14" t="s">
        <v>1400</v>
      </c>
      <c r="AG2321" s="14" t="s">
        <v>92</v>
      </c>
    </row>
    <row r="2322" spans="2:33">
      <c r="B2322" s="14">
        <f>10000000+INDEX(编号表!$B:$B,MATCH(H2322,编号表!$A:$A,0))*100000+INDEX(编号表!$F:$F,MATCH(D2322,编号表!$E:$E,0))*10000+INDEX(编号表!$D:$D,MATCH(AG2322,编号表!$C:$C,0))*1000+F2322</f>
        <v>11924112</v>
      </c>
      <c r="C2322" s="14" t="s">
        <v>3926</v>
      </c>
      <c r="D2322" s="14" t="s">
        <v>112</v>
      </c>
      <c r="E2322" s="14" t="s">
        <v>92</v>
      </c>
      <c r="F2322" s="14">
        <v>112</v>
      </c>
      <c r="G2322" s="14">
        <v>60</v>
      </c>
      <c r="H2322" s="14" t="s">
        <v>1400</v>
      </c>
      <c r="I2322" s="14" t="s">
        <v>75</v>
      </c>
      <c r="J2322" s="14" t="s">
        <v>201</v>
      </c>
      <c r="K2322" s="14">
        <v>1</v>
      </c>
      <c r="L2322" s="14" t="s">
        <v>1400</v>
      </c>
      <c r="N2322" s="14">
        <v>0</v>
      </c>
      <c r="O2322" s="14" t="b">
        <v>1</v>
      </c>
      <c r="Q2322" s="14" t="b">
        <v>0</v>
      </c>
      <c r="R2322" s="14">
        <v>1</v>
      </c>
      <c r="S2322" s="14" t="s">
        <v>77</v>
      </c>
      <c r="T2322" s="14">
        <v>999</v>
      </c>
      <c r="U2322" s="14" t="s">
        <v>1401</v>
      </c>
      <c r="V2322" s="14">
        <v>31924112</v>
      </c>
      <c r="X2322" s="14" t="s">
        <v>3929</v>
      </c>
      <c r="Y2322" s="14" t="s">
        <v>215</v>
      </c>
      <c r="Z2322" s="14">
        <v>21085</v>
      </c>
      <c r="AA2322" s="14" t="s">
        <v>3930</v>
      </c>
      <c r="AB2322" s="14">
        <v>40001</v>
      </c>
      <c r="AE2322" s="14" t="s">
        <v>1400</v>
      </c>
      <c r="AF2322" s="14" t="s">
        <v>1400</v>
      </c>
      <c r="AG2322" s="14" t="s">
        <v>92</v>
      </c>
    </row>
    <row r="2323" spans="2:33">
      <c r="B2323" s="14">
        <f>10000000+INDEX(编号表!$B:$B,MATCH(H2323,编号表!$A:$A,0))*100000+INDEX(编号表!$F:$F,MATCH(D2323,编号表!$E:$E,0))*10000+INDEX(编号表!$D:$D,MATCH(AG2323,编号表!$C:$C,0))*1000+F2323</f>
        <v>11934113</v>
      </c>
      <c r="C2323" s="14" t="s">
        <v>3926</v>
      </c>
      <c r="D2323" s="14" t="s">
        <v>276</v>
      </c>
      <c r="E2323" s="14" t="s">
        <v>92</v>
      </c>
      <c r="F2323" s="14">
        <v>113</v>
      </c>
      <c r="G2323" s="14">
        <v>60</v>
      </c>
      <c r="H2323" s="14" t="s">
        <v>1400</v>
      </c>
      <c r="I2323" s="14" t="s">
        <v>75</v>
      </c>
      <c r="J2323" s="14" t="s">
        <v>201</v>
      </c>
      <c r="K2323" s="14">
        <v>1</v>
      </c>
      <c r="L2323" s="14" t="s">
        <v>1400</v>
      </c>
      <c r="N2323" s="14">
        <v>0</v>
      </c>
      <c r="O2323" s="14" t="b">
        <v>1</v>
      </c>
      <c r="Q2323" s="14" t="b">
        <v>0</v>
      </c>
      <c r="R2323" s="14">
        <v>1</v>
      </c>
      <c r="S2323" s="14" t="s">
        <v>77</v>
      </c>
      <c r="T2323" s="14">
        <v>999</v>
      </c>
      <c r="U2323" s="14" t="s">
        <v>1401</v>
      </c>
      <c r="V2323" s="14">
        <v>31934113</v>
      </c>
      <c r="X2323" s="14" t="s">
        <v>3931</v>
      </c>
      <c r="Y2323" s="14" t="s">
        <v>215</v>
      </c>
      <c r="Z2323" s="14">
        <v>21086</v>
      </c>
      <c r="AA2323" s="14" t="s">
        <v>3932</v>
      </c>
      <c r="AB2323" s="14">
        <v>40001</v>
      </c>
      <c r="AE2323" s="14" t="s">
        <v>1400</v>
      </c>
      <c r="AF2323" s="14" t="s">
        <v>1400</v>
      </c>
      <c r="AG2323" s="14" t="s">
        <v>92</v>
      </c>
    </row>
    <row r="2324" spans="2:33">
      <c r="B2324" s="14">
        <f>10000000+INDEX(编号表!$B:$B,MATCH(H2324,编号表!$A:$A,0))*100000+INDEX(编号表!$F:$F,MATCH(D2324,编号表!$E:$E,0))*10000+INDEX(编号表!$D:$D,MATCH(AG2324,编号表!$C:$C,0))*1000+F2324</f>
        <v>11914112</v>
      </c>
      <c r="C2324" s="14" t="s">
        <v>3933</v>
      </c>
      <c r="D2324" s="14" t="s">
        <v>72</v>
      </c>
      <c r="E2324" s="14" t="s">
        <v>92</v>
      </c>
      <c r="F2324" s="14">
        <v>112</v>
      </c>
      <c r="G2324" s="14">
        <v>60</v>
      </c>
      <c r="H2324" s="14" t="s">
        <v>1400</v>
      </c>
      <c r="I2324" s="14" t="s">
        <v>75</v>
      </c>
      <c r="J2324" s="14" t="s">
        <v>201</v>
      </c>
      <c r="K2324" s="14">
        <v>1</v>
      </c>
      <c r="L2324" s="14" t="s">
        <v>1400</v>
      </c>
      <c r="N2324" s="14">
        <v>0</v>
      </c>
      <c r="O2324" s="14" t="b">
        <v>1</v>
      </c>
      <c r="Q2324" s="14" t="b">
        <v>0</v>
      </c>
      <c r="R2324" s="14">
        <v>1</v>
      </c>
      <c r="S2324" s="14" t="s">
        <v>77</v>
      </c>
      <c r="T2324" s="14">
        <v>999</v>
      </c>
      <c r="U2324" s="14" t="s">
        <v>1401</v>
      </c>
      <c r="V2324" s="14">
        <v>31914112</v>
      </c>
      <c r="X2324" s="14" t="s">
        <v>3934</v>
      </c>
      <c r="Y2324" s="14" t="s">
        <v>215</v>
      </c>
      <c r="Z2324" s="14">
        <v>21087</v>
      </c>
      <c r="AA2324" s="14" t="s">
        <v>3935</v>
      </c>
      <c r="AB2324" s="14">
        <v>40001</v>
      </c>
      <c r="AE2324" s="14" t="s">
        <v>1400</v>
      </c>
      <c r="AF2324" s="14" t="s">
        <v>1400</v>
      </c>
      <c r="AG2324" s="14" t="s">
        <v>92</v>
      </c>
    </row>
    <row r="2325" spans="2:33">
      <c r="B2325" s="14">
        <f>10000000+INDEX(编号表!$B:$B,MATCH(H2325,编号表!$A:$A,0))*100000+INDEX(编号表!$F:$F,MATCH(D2325,编号表!$E:$E,0))*10000+INDEX(编号表!$D:$D,MATCH(AG2325,编号表!$C:$C,0))*1000+F2325</f>
        <v>11924113</v>
      </c>
      <c r="C2325" s="14" t="s">
        <v>3933</v>
      </c>
      <c r="D2325" s="14" t="s">
        <v>112</v>
      </c>
      <c r="E2325" s="14" t="s">
        <v>92</v>
      </c>
      <c r="F2325" s="14">
        <v>113</v>
      </c>
      <c r="G2325" s="14">
        <v>60</v>
      </c>
      <c r="H2325" s="14" t="s">
        <v>1400</v>
      </c>
      <c r="I2325" s="14" t="s">
        <v>75</v>
      </c>
      <c r="J2325" s="14" t="s">
        <v>201</v>
      </c>
      <c r="K2325" s="14">
        <v>1</v>
      </c>
      <c r="L2325" s="14" t="s">
        <v>1400</v>
      </c>
      <c r="N2325" s="14">
        <v>0</v>
      </c>
      <c r="O2325" s="14" t="b">
        <v>1</v>
      </c>
      <c r="Q2325" s="14" t="b">
        <v>0</v>
      </c>
      <c r="R2325" s="14">
        <v>1</v>
      </c>
      <c r="S2325" s="14" t="s">
        <v>77</v>
      </c>
      <c r="T2325" s="14">
        <v>999</v>
      </c>
      <c r="U2325" s="14" t="s">
        <v>1401</v>
      </c>
      <c r="V2325" s="14">
        <v>31924113</v>
      </c>
      <c r="X2325" s="14" t="s">
        <v>3936</v>
      </c>
      <c r="Y2325" s="14" t="s">
        <v>215</v>
      </c>
      <c r="Z2325" s="14">
        <v>21088</v>
      </c>
      <c r="AA2325" s="14" t="s">
        <v>3937</v>
      </c>
      <c r="AB2325" s="14">
        <v>40001</v>
      </c>
      <c r="AE2325" s="14" t="s">
        <v>1400</v>
      </c>
      <c r="AF2325" s="14" t="s">
        <v>1400</v>
      </c>
      <c r="AG2325" s="14" t="s">
        <v>92</v>
      </c>
    </row>
    <row r="2326" spans="2:33">
      <c r="B2326" s="14">
        <f>10000000+INDEX(编号表!$B:$B,MATCH(H2326,编号表!$A:$A,0))*100000+INDEX(编号表!$F:$F,MATCH(D2326,编号表!$E:$E,0))*10000+INDEX(编号表!$D:$D,MATCH(AG2326,编号表!$C:$C,0))*1000+F2326</f>
        <v>11934114</v>
      </c>
      <c r="C2326" s="14" t="s">
        <v>3933</v>
      </c>
      <c r="D2326" s="14" t="s">
        <v>276</v>
      </c>
      <c r="E2326" s="14" t="s">
        <v>92</v>
      </c>
      <c r="F2326" s="14">
        <v>114</v>
      </c>
      <c r="G2326" s="14">
        <v>60</v>
      </c>
      <c r="H2326" s="14" t="s">
        <v>1400</v>
      </c>
      <c r="I2326" s="14" t="s">
        <v>75</v>
      </c>
      <c r="J2326" s="14" t="s">
        <v>201</v>
      </c>
      <c r="K2326" s="14">
        <v>1</v>
      </c>
      <c r="L2326" s="14" t="s">
        <v>1400</v>
      </c>
      <c r="N2326" s="14">
        <v>0</v>
      </c>
      <c r="O2326" s="14" t="b">
        <v>1</v>
      </c>
      <c r="Q2326" s="14" t="b">
        <v>0</v>
      </c>
      <c r="R2326" s="14">
        <v>1</v>
      </c>
      <c r="S2326" s="14" t="s">
        <v>77</v>
      </c>
      <c r="T2326" s="14">
        <v>999</v>
      </c>
      <c r="U2326" s="14" t="s">
        <v>1401</v>
      </c>
      <c r="V2326" s="14">
        <v>31934114</v>
      </c>
      <c r="X2326" s="14" t="s">
        <v>3938</v>
      </c>
      <c r="Y2326" s="14" t="s">
        <v>215</v>
      </c>
      <c r="Z2326" s="14">
        <v>21089</v>
      </c>
      <c r="AA2326" s="14" t="s">
        <v>3939</v>
      </c>
      <c r="AB2326" s="14">
        <v>40001</v>
      </c>
      <c r="AE2326" s="14" t="s">
        <v>1400</v>
      </c>
      <c r="AF2326" s="14" t="s">
        <v>1400</v>
      </c>
      <c r="AG2326" s="14" t="s">
        <v>92</v>
      </c>
    </row>
    <row r="2327" spans="2:33">
      <c r="B2327" s="14">
        <f>10000000+INDEX(编号表!$B:$B,MATCH(H2327,编号表!$A:$A,0))*100000+INDEX(编号表!$F:$F,MATCH(D2327,编号表!$E:$E,0))*10000+INDEX(编号表!$D:$D,MATCH(AG2327,编号表!$C:$C,0))*1000+F2327</f>
        <v>11914113</v>
      </c>
      <c r="C2327" s="14" t="s">
        <v>3940</v>
      </c>
      <c r="D2327" s="14" t="s">
        <v>72</v>
      </c>
      <c r="E2327" s="14" t="s">
        <v>92</v>
      </c>
      <c r="F2327" s="14">
        <v>113</v>
      </c>
      <c r="G2327" s="14">
        <v>60</v>
      </c>
      <c r="H2327" s="14" t="s">
        <v>1400</v>
      </c>
      <c r="I2327" s="14" t="s">
        <v>75</v>
      </c>
      <c r="J2327" s="14" t="s">
        <v>201</v>
      </c>
      <c r="K2327" s="14">
        <v>1</v>
      </c>
      <c r="L2327" s="14" t="s">
        <v>1400</v>
      </c>
      <c r="N2327" s="14">
        <v>0</v>
      </c>
      <c r="O2327" s="14" t="b">
        <v>1</v>
      </c>
      <c r="Q2327" s="14" t="b">
        <v>0</v>
      </c>
      <c r="R2327" s="14">
        <v>1</v>
      </c>
      <c r="S2327" s="14" t="s">
        <v>77</v>
      </c>
      <c r="T2327" s="14">
        <v>999</v>
      </c>
      <c r="U2327" s="14" t="s">
        <v>1401</v>
      </c>
      <c r="V2327" s="14">
        <v>31914113</v>
      </c>
      <c r="X2327" s="14" t="s">
        <v>3941</v>
      </c>
      <c r="Y2327" s="14" t="s">
        <v>215</v>
      </c>
      <c r="Z2327" s="14">
        <v>21090</v>
      </c>
      <c r="AA2327" s="14" t="s">
        <v>3942</v>
      </c>
      <c r="AB2327" s="14">
        <v>40001</v>
      </c>
      <c r="AE2327" s="14" t="s">
        <v>1400</v>
      </c>
      <c r="AF2327" s="14" t="s">
        <v>1400</v>
      </c>
      <c r="AG2327" s="14" t="s">
        <v>92</v>
      </c>
    </row>
    <row r="2328" spans="2:33">
      <c r="B2328" s="14">
        <f>10000000+INDEX(编号表!$B:$B,MATCH(H2328,编号表!$A:$A,0))*100000+INDEX(编号表!$F:$F,MATCH(D2328,编号表!$E:$E,0))*10000+INDEX(编号表!$D:$D,MATCH(AG2328,编号表!$C:$C,0))*1000+F2328</f>
        <v>11924114</v>
      </c>
      <c r="C2328" s="14" t="s">
        <v>3940</v>
      </c>
      <c r="D2328" s="14" t="s">
        <v>112</v>
      </c>
      <c r="E2328" s="14" t="s">
        <v>92</v>
      </c>
      <c r="F2328" s="14">
        <v>114</v>
      </c>
      <c r="G2328" s="14">
        <v>60</v>
      </c>
      <c r="H2328" s="14" t="s">
        <v>1400</v>
      </c>
      <c r="I2328" s="14" t="s">
        <v>75</v>
      </c>
      <c r="J2328" s="14" t="s">
        <v>201</v>
      </c>
      <c r="K2328" s="14">
        <v>1</v>
      </c>
      <c r="L2328" s="14" t="s">
        <v>1400</v>
      </c>
      <c r="N2328" s="14">
        <v>0</v>
      </c>
      <c r="O2328" s="14" t="b">
        <v>1</v>
      </c>
      <c r="Q2328" s="14" t="b">
        <v>0</v>
      </c>
      <c r="R2328" s="14">
        <v>1</v>
      </c>
      <c r="S2328" s="14" t="s">
        <v>77</v>
      </c>
      <c r="T2328" s="14">
        <v>999</v>
      </c>
      <c r="U2328" s="14" t="s">
        <v>1401</v>
      </c>
      <c r="V2328" s="14">
        <v>31924114</v>
      </c>
      <c r="X2328" s="14" t="s">
        <v>3943</v>
      </c>
      <c r="Y2328" s="14" t="s">
        <v>215</v>
      </c>
      <c r="Z2328" s="14">
        <v>21091</v>
      </c>
      <c r="AA2328" s="14" t="s">
        <v>3944</v>
      </c>
      <c r="AB2328" s="14">
        <v>40001</v>
      </c>
      <c r="AE2328" s="14" t="s">
        <v>1400</v>
      </c>
      <c r="AF2328" s="14" t="s">
        <v>1400</v>
      </c>
      <c r="AG2328" s="14" t="s">
        <v>92</v>
      </c>
    </row>
    <row r="2329" spans="2:33">
      <c r="B2329" s="14">
        <f>10000000+INDEX(编号表!$B:$B,MATCH(H2329,编号表!$A:$A,0))*100000+INDEX(编号表!$F:$F,MATCH(D2329,编号表!$E:$E,0))*10000+INDEX(编号表!$D:$D,MATCH(AG2329,编号表!$C:$C,0))*1000+F2329</f>
        <v>11934115</v>
      </c>
      <c r="C2329" s="14" t="s">
        <v>3940</v>
      </c>
      <c r="D2329" s="14" t="s">
        <v>276</v>
      </c>
      <c r="E2329" s="14" t="s">
        <v>92</v>
      </c>
      <c r="F2329" s="14">
        <v>115</v>
      </c>
      <c r="G2329" s="14">
        <v>60</v>
      </c>
      <c r="H2329" s="14" t="s">
        <v>1400</v>
      </c>
      <c r="I2329" s="14" t="s">
        <v>75</v>
      </c>
      <c r="J2329" s="14" t="s">
        <v>201</v>
      </c>
      <c r="K2329" s="14">
        <v>1</v>
      </c>
      <c r="L2329" s="14" t="s">
        <v>1400</v>
      </c>
      <c r="N2329" s="14">
        <v>0</v>
      </c>
      <c r="O2329" s="14" t="b">
        <v>1</v>
      </c>
      <c r="Q2329" s="14" t="b">
        <v>0</v>
      </c>
      <c r="R2329" s="14">
        <v>1</v>
      </c>
      <c r="S2329" s="14" t="s">
        <v>77</v>
      </c>
      <c r="T2329" s="14">
        <v>999</v>
      </c>
      <c r="U2329" s="14" t="s">
        <v>1401</v>
      </c>
      <c r="V2329" s="14">
        <v>31934115</v>
      </c>
      <c r="X2329" s="14" t="s">
        <v>3945</v>
      </c>
      <c r="Y2329" s="14" t="s">
        <v>215</v>
      </c>
      <c r="Z2329" s="14">
        <v>21092</v>
      </c>
      <c r="AA2329" s="14" t="s">
        <v>3946</v>
      </c>
      <c r="AB2329" s="14">
        <v>40001</v>
      </c>
      <c r="AE2329" s="14" t="s">
        <v>1400</v>
      </c>
      <c r="AF2329" s="14" t="s">
        <v>1400</v>
      </c>
      <c r="AG2329" s="14" t="s">
        <v>92</v>
      </c>
    </row>
    <row r="2330" spans="2:33">
      <c r="B2330" s="14">
        <f>10000000+INDEX(编号表!$B:$B,MATCH(H2330,编号表!$A:$A,0))*100000+INDEX(编号表!$F:$F,MATCH(D2330,编号表!$E:$E,0))*10000+INDEX(编号表!$D:$D,MATCH(AG2330,编号表!$C:$C,0))*1000+F2330</f>
        <v>11914114</v>
      </c>
      <c r="C2330" s="14" t="s">
        <v>3947</v>
      </c>
      <c r="D2330" s="14" t="s">
        <v>72</v>
      </c>
      <c r="E2330" s="14" t="s">
        <v>92</v>
      </c>
      <c r="F2330" s="14">
        <v>114</v>
      </c>
      <c r="G2330" s="14">
        <v>60</v>
      </c>
      <c r="H2330" s="14" t="s">
        <v>1400</v>
      </c>
      <c r="I2330" s="14" t="s">
        <v>75</v>
      </c>
      <c r="J2330" s="14" t="s">
        <v>201</v>
      </c>
      <c r="K2330" s="14">
        <v>1</v>
      </c>
      <c r="L2330" s="14" t="s">
        <v>1400</v>
      </c>
      <c r="N2330" s="14">
        <v>0</v>
      </c>
      <c r="O2330" s="14" t="b">
        <v>1</v>
      </c>
      <c r="Q2330" s="14" t="b">
        <v>0</v>
      </c>
      <c r="R2330" s="14">
        <v>1</v>
      </c>
      <c r="S2330" s="14" t="s">
        <v>77</v>
      </c>
      <c r="T2330" s="14">
        <v>999</v>
      </c>
      <c r="U2330" s="14" t="s">
        <v>1401</v>
      </c>
      <c r="V2330" s="14">
        <v>31914114</v>
      </c>
      <c r="X2330" s="14" t="s">
        <v>3948</v>
      </c>
      <c r="Y2330" s="14" t="s">
        <v>215</v>
      </c>
      <c r="Z2330" s="14">
        <v>21093</v>
      </c>
      <c r="AA2330" s="14" t="s">
        <v>3949</v>
      </c>
      <c r="AB2330" s="14">
        <v>40001</v>
      </c>
      <c r="AE2330" s="14" t="s">
        <v>1400</v>
      </c>
      <c r="AF2330" s="14" t="s">
        <v>1400</v>
      </c>
      <c r="AG2330" s="14" t="s">
        <v>92</v>
      </c>
    </row>
    <row r="2331" spans="2:33">
      <c r="B2331" s="14">
        <f>10000000+INDEX(编号表!$B:$B,MATCH(H2331,编号表!$A:$A,0))*100000+INDEX(编号表!$F:$F,MATCH(D2331,编号表!$E:$E,0))*10000+INDEX(编号表!$D:$D,MATCH(AG2331,编号表!$C:$C,0))*1000+F2331</f>
        <v>11924115</v>
      </c>
      <c r="C2331" s="14" t="s">
        <v>3947</v>
      </c>
      <c r="D2331" s="14" t="s">
        <v>112</v>
      </c>
      <c r="E2331" s="14" t="s">
        <v>92</v>
      </c>
      <c r="F2331" s="14">
        <v>115</v>
      </c>
      <c r="G2331" s="14">
        <v>60</v>
      </c>
      <c r="H2331" s="14" t="s">
        <v>1400</v>
      </c>
      <c r="I2331" s="14" t="s">
        <v>75</v>
      </c>
      <c r="J2331" s="14" t="s">
        <v>201</v>
      </c>
      <c r="K2331" s="14">
        <v>1</v>
      </c>
      <c r="L2331" s="14" t="s">
        <v>1400</v>
      </c>
      <c r="N2331" s="14">
        <v>0</v>
      </c>
      <c r="O2331" s="14" t="b">
        <v>1</v>
      </c>
      <c r="Q2331" s="14" t="b">
        <v>0</v>
      </c>
      <c r="R2331" s="14">
        <v>1</v>
      </c>
      <c r="S2331" s="14" t="s">
        <v>77</v>
      </c>
      <c r="T2331" s="14">
        <v>999</v>
      </c>
      <c r="U2331" s="14" t="s">
        <v>1401</v>
      </c>
      <c r="V2331" s="14">
        <v>31924115</v>
      </c>
      <c r="X2331" s="14" t="s">
        <v>3950</v>
      </c>
      <c r="Y2331" s="14" t="s">
        <v>215</v>
      </c>
      <c r="Z2331" s="14">
        <v>21094</v>
      </c>
      <c r="AA2331" s="14" t="s">
        <v>3951</v>
      </c>
      <c r="AB2331" s="14">
        <v>40001</v>
      </c>
      <c r="AE2331" s="14" t="s">
        <v>1400</v>
      </c>
      <c r="AF2331" s="14" t="s">
        <v>1400</v>
      </c>
      <c r="AG2331" s="14" t="s">
        <v>92</v>
      </c>
    </row>
    <row r="2332" spans="2:33">
      <c r="B2332" s="14">
        <f>10000000+INDEX(编号表!$B:$B,MATCH(H2332,编号表!$A:$A,0))*100000+INDEX(编号表!$F:$F,MATCH(D2332,编号表!$E:$E,0))*10000+INDEX(编号表!$D:$D,MATCH(AG2332,编号表!$C:$C,0))*1000+F2332</f>
        <v>11934116</v>
      </c>
      <c r="C2332" s="14" t="s">
        <v>3947</v>
      </c>
      <c r="D2332" s="14" t="s">
        <v>276</v>
      </c>
      <c r="E2332" s="14" t="s">
        <v>92</v>
      </c>
      <c r="F2332" s="14">
        <v>116</v>
      </c>
      <c r="G2332" s="14">
        <v>60</v>
      </c>
      <c r="H2332" s="14" t="s">
        <v>1400</v>
      </c>
      <c r="I2332" s="14" t="s">
        <v>75</v>
      </c>
      <c r="J2332" s="14" t="s">
        <v>201</v>
      </c>
      <c r="K2332" s="14">
        <v>1</v>
      </c>
      <c r="L2332" s="14" t="s">
        <v>1400</v>
      </c>
      <c r="N2332" s="14">
        <v>0</v>
      </c>
      <c r="O2332" s="14" t="b">
        <v>1</v>
      </c>
      <c r="Q2332" s="14" t="b">
        <v>0</v>
      </c>
      <c r="R2332" s="14">
        <v>1</v>
      </c>
      <c r="S2332" s="14" t="s">
        <v>77</v>
      </c>
      <c r="T2332" s="14">
        <v>999</v>
      </c>
      <c r="U2332" s="14" t="s">
        <v>1401</v>
      </c>
      <c r="V2332" s="14">
        <v>31934116</v>
      </c>
      <c r="X2332" s="14" t="s">
        <v>3952</v>
      </c>
      <c r="Y2332" s="14" t="s">
        <v>215</v>
      </c>
      <c r="Z2332" s="14">
        <v>21095</v>
      </c>
      <c r="AA2332" s="14" t="s">
        <v>3953</v>
      </c>
      <c r="AB2332" s="14">
        <v>40001</v>
      </c>
      <c r="AE2332" s="14" t="s">
        <v>1400</v>
      </c>
      <c r="AF2332" s="14" t="s">
        <v>1400</v>
      </c>
      <c r="AG2332" s="14" t="s">
        <v>92</v>
      </c>
    </row>
    <row r="2333" spans="2:33">
      <c r="B2333" s="14">
        <f>10000000+INDEX(编号表!$B:$B,MATCH(H2333,编号表!$A:$A,0))*100000+INDEX(编号表!$F:$F,MATCH(D2333,编号表!$E:$E,0))*10000+INDEX(编号表!$D:$D,MATCH(AG2333,编号表!$C:$C,0))*1000+F2333</f>
        <v>11914115</v>
      </c>
      <c r="C2333" s="14" t="s">
        <v>3954</v>
      </c>
      <c r="D2333" s="14" t="s">
        <v>72</v>
      </c>
      <c r="E2333" s="14" t="s">
        <v>92</v>
      </c>
      <c r="F2333" s="14">
        <v>115</v>
      </c>
      <c r="G2333" s="14">
        <v>60</v>
      </c>
      <c r="H2333" s="14" t="s">
        <v>1400</v>
      </c>
      <c r="I2333" s="14" t="s">
        <v>75</v>
      </c>
      <c r="J2333" s="14" t="s">
        <v>201</v>
      </c>
      <c r="K2333" s="14">
        <v>1</v>
      </c>
      <c r="L2333" s="14" t="s">
        <v>1400</v>
      </c>
      <c r="N2333" s="14">
        <v>0</v>
      </c>
      <c r="O2333" s="14" t="b">
        <v>1</v>
      </c>
      <c r="Q2333" s="14" t="b">
        <v>0</v>
      </c>
      <c r="R2333" s="14">
        <v>1</v>
      </c>
      <c r="S2333" s="14" t="s">
        <v>77</v>
      </c>
      <c r="T2333" s="14">
        <v>999</v>
      </c>
      <c r="U2333" s="14" t="s">
        <v>1401</v>
      </c>
      <c r="V2333" s="14">
        <v>31914115</v>
      </c>
      <c r="X2333" s="14" t="s">
        <v>3955</v>
      </c>
      <c r="Y2333" s="14" t="s">
        <v>215</v>
      </c>
      <c r="Z2333" s="14">
        <v>21096</v>
      </c>
      <c r="AA2333" s="14" t="s">
        <v>3956</v>
      </c>
      <c r="AB2333" s="14">
        <v>40001</v>
      </c>
      <c r="AE2333" s="14" t="s">
        <v>1400</v>
      </c>
      <c r="AF2333" s="14" t="s">
        <v>1400</v>
      </c>
      <c r="AG2333" s="14" t="s">
        <v>92</v>
      </c>
    </row>
    <row r="2334" spans="2:33">
      <c r="B2334" s="14">
        <f>10000000+INDEX(编号表!$B:$B,MATCH(H2334,编号表!$A:$A,0))*100000+INDEX(编号表!$F:$F,MATCH(D2334,编号表!$E:$E,0))*10000+INDEX(编号表!$D:$D,MATCH(AG2334,编号表!$C:$C,0))*1000+F2334</f>
        <v>11924116</v>
      </c>
      <c r="C2334" s="14" t="s">
        <v>3954</v>
      </c>
      <c r="D2334" s="14" t="s">
        <v>112</v>
      </c>
      <c r="E2334" s="14" t="s">
        <v>92</v>
      </c>
      <c r="F2334" s="14">
        <v>116</v>
      </c>
      <c r="G2334" s="14">
        <v>60</v>
      </c>
      <c r="H2334" s="14" t="s">
        <v>1400</v>
      </c>
      <c r="I2334" s="14" t="s">
        <v>75</v>
      </c>
      <c r="J2334" s="14" t="s">
        <v>201</v>
      </c>
      <c r="K2334" s="14">
        <v>1</v>
      </c>
      <c r="L2334" s="14" t="s">
        <v>1400</v>
      </c>
      <c r="N2334" s="14">
        <v>0</v>
      </c>
      <c r="O2334" s="14" t="b">
        <v>1</v>
      </c>
      <c r="Q2334" s="14" t="b">
        <v>0</v>
      </c>
      <c r="R2334" s="14">
        <v>1</v>
      </c>
      <c r="S2334" s="14" t="s">
        <v>77</v>
      </c>
      <c r="T2334" s="14">
        <v>999</v>
      </c>
      <c r="U2334" s="14" t="s">
        <v>1401</v>
      </c>
      <c r="V2334" s="14">
        <v>31924116</v>
      </c>
      <c r="X2334" s="14" t="s">
        <v>3957</v>
      </c>
      <c r="Y2334" s="14" t="s">
        <v>215</v>
      </c>
      <c r="Z2334" s="14">
        <v>21097</v>
      </c>
      <c r="AA2334" s="14" t="s">
        <v>3958</v>
      </c>
      <c r="AB2334" s="14">
        <v>40001</v>
      </c>
      <c r="AE2334" s="14" t="s">
        <v>1400</v>
      </c>
      <c r="AF2334" s="14" t="s">
        <v>1400</v>
      </c>
      <c r="AG2334" s="14" t="s">
        <v>92</v>
      </c>
    </row>
    <row r="2335" spans="2:33">
      <c r="B2335" s="14">
        <f>10000000+INDEX(编号表!$B:$B,MATCH(H2335,编号表!$A:$A,0))*100000+INDEX(编号表!$F:$F,MATCH(D2335,编号表!$E:$E,0))*10000+INDEX(编号表!$D:$D,MATCH(AG2335,编号表!$C:$C,0))*1000+F2335</f>
        <v>11934117</v>
      </c>
      <c r="C2335" s="14" t="s">
        <v>3954</v>
      </c>
      <c r="D2335" s="14" t="s">
        <v>276</v>
      </c>
      <c r="E2335" s="14" t="s">
        <v>92</v>
      </c>
      <c r="F2335" s="14">
        <v>117</v>
      </c>
      <c r="G2335" s="14">
        <v>60</v>
      </c>
      <c r="H2335" s="14" t="s">
        <v>1400</v>
      </c>
      <c r="I2335" s="14" t="s">
        <v>75</v>
      </c>
      <c r="J2335" s="14" t="s">
        <v>201</v>
      </c>
      <c r="K2335" s="14">
        <v>1</v>
      </c>
      <c r="L2335" s="14" t="s">
        <v>1400</v>
      </c>
      <c r="N2335" s="14">
        <v>0</v>
      </c>
      <c r="O2335" s="14" t="b">
        <v>1</v>
      </c>
      <c r="Q2335" s="14" t="b">
        <v>0</v>
      </c>
      <c r="R2335" s="14">
        <v>1</v>
      </c>
      <c r="S2335" s="14" t="s">
        <v>77</v>
      </c>
      <c r="T2335" s="14">
        <v>999</v>
      </c>
      <c r="U2335" s="14" t="s">
        <v>1401</v>
      </c>
      <c r="V2335" s="14">
        <v>31934117</v>
      </c>
      <c r="X2335" s="14" t="s">
        <v>3959</v>
      </c>
      <c r="Y2335" s="14" t="s">
        <v>215</v>
      </c>
      <c r="Z2335" s="14">
        <v>21098</v>
      </c>
      <c r="AA2335" s="14" t="s">
        <v>3960</v>
      </c>
      <c r="AB2335" s="14">
        <v>40001</v>
      </c>
      <c r="AE2335" s="14" t="s">
        <v>1400</v>
      </c>
      <c r="AF2335" s="14" t="s">
        <v>1400</v>
      </c>
      <c r="AG2335" s="14" t="s">
        <v>92</v>
      </c>
    </row>
    <row r="2336" spans="2:33">
      <c r="B2336" s="14">
        <f>10000000+INDEX(编号表!$B:$B,MATCH(H2336,编号表!$A:$A,0))*100000+INDEX(编号表!$F:$F,MATCH(D2336,编号表!$E:$E,0))*10000+INDEX(编号表!$D:$D,MATCH(AG2336,编号表!$C:$C,0))*1000+F2336</f>
        <v>11914116</v>
      </c>
      <c r="C2336" s="14" t="s">
        <v>3961</v>
      </c>
      <c r="D2336" s="14" t="s">
        <v>72</v>
      </c>
      <c r="E2336" s="14" t="s">
        <v>92</v>
      </c>
      <c r="F2336" s="14">
        <v>116</v>
      </c>
      <c r="G2336" s="14">
        <v>60</v>
      </c>
      <c r="H2336" s="14" t="s">
        <v>1400</v>
      </c>
      <c r="I2336" s="14" t="s">
        <v>75</v>
      </c>
      <c r="J2336" s="14" t="s">
        <v>201</v>
      </c>
      <c r="K2336" s="14">
        <v>1</v>
      </c>
      <c r="L2336" s="14" t="s">
        <v>1400</v>
      </c>
      <c r="N2336" s="14">
        <v>0</v>
      </c>
      <c r="O2336" s="14" t="b">
        <v>1</v>
      </c>
      <c r="Q2336" s="14" t="b">
        <v>0</v>
      </c>
      <c r="R2336" s="14">
        <v>1</v>
      </c>
      <c r="S2336" s="14" t="s">
        <v>77</v>
      </c>
      <c r="T2336" s="14">
        <v>999</v>
      </c>
      <c r="U2336" s="14" t="s">
        <v>1401</v>
      </c>
      <c r="V2336" s="14">
        <v>31914116</v>
      </c>
      <c r="X2336" s="14" t="s">
        <v>3962</v>
      </c>
      <c r="Y2336" s="14" t="s">
        <v>215</v>
      </c>
      <c r="Z2336" s="14">
        <v>21099</v>
      </c>
      <c r="AA2336" s="14" t="s">
        <v>3963</v>
      </c>
      <c r="AB2336" s="14">
        <v>40001</v>
      </c>
      <c r="AE2336" s="14" t="s">
        <v>1400</v>
      </c>
      <c r="AF2336" s="14" t="s">
        <v>1400</v>
      </c>
      <c r="AG2336" s="14" t="s">
        <v>92</v>
      </c>
    </row>
    <row r="2337" spans="2:33">
      <c r="B2337" s="14">
        <f>10000000+INDEX(编号表!$B:$B,MATCH(H2337,编号表!$A:$A,0))*100000+INDEX(编号表!$F:$F,MATCH(D2337,编号表!$E:$E,0))*10000+INDEX(编号表!$D:$D,MATCH(AG2337,编号表!$C:$C,0))*1000+F2337</f>
        <v>11924117</v>
      </c>
      <c r="C2337" s="14" t="s">
        <v>3961</v>
      </c>
      <c r="D2337" s="14" t="s">
        <v>112</v>
      </c>
      <c r="E2337" s="14" t="s">
        <v>92</v>
      </c>
      <c r="F2337" s="14">
        <v>117</v>
      </c>
      <c r="G2337" s="14">
        <v>60</v>
      </c>
      <c r="H2337" s="14" t="s">
        <v>1400</v>
      </c>
      <c r="I2337" s="14" t="s">
        <v>75</v>
      </c>
      <c r="J2337" s="14" t="s">
        <v>201</v>
      </c>
      <c r="K2337" s="14">
        <v>1</v>
      </c>
      <c r="L2337" s="14" t="s">
        <v>1400</v>
      </c>
      <c r="N2337" s="14">
        <v>0</v>
      </c>
      <c r="O2337" s="14" t="b">
        <v>1</v>
      </c>
      <c r="Q2337" s="14" t="b">
        <v>0</v>
      </c>
      <c r="R2337" s="14">
        <v>1</v>
      </c>
      <c r="S2337" s="14" t="s">
        <v>77</v>
      </c>
      <c r="T2337" s="14">
        <v>999</v>
      </c>
      <c r="U2337" s="14" t="s">
        <v>1401</v>
      </c>
      <c r="V2337" s="14">
        <v>31924117</v>
      </c>
      <c r="X2337" s="14" t="s">
        <v>3964</v>
      </c>
      <c r="Y2337" s="14" t="s">
        <v>215</v>
      </c>
      <c r="Z2337" s="14">
        <v>21100</v>
      </c>
      <c r="AA2337" s="14" t="s">
        <v>3965</v>
      </c>
      <c r="AB2337" s="14">
        <v>40001</v>
      </c>
      <c r="AE2337" s="14" t="s">
        <v>1400</v>
      </c>
      <c r="AF2337" s="14" t="s">
        <v>1400</v>
      </c>
      <c r="AG2337" s="14" t="s">
        <v>92</v>
      </c>
    </row>
    <row r="2338" spans="2:33">
      <c r="B2338" s="14">
        <f>10000000+INDEX(编号表!$B:$B,MATCH(H2338,编号表!$A:$A,0))*100000+INDEX(编号表!$F:$F,MATCH(D2338,编号表!$E:$E,0))*10000+INDEX(编号表!$D:$D,MATCH(AG2338,编号表!$C:$C,0))*1000+F2338</f>
        <v>11934118</v>
      </c>
      <c r="C2338" s="14" t="s">
        <v>3961</v>
      </c>
      <c r="D2338" s="14" t="s">
        <v>276</v>
      </c>
      <c r="E2338" s="14" t="s">
        <v>92</v>
      </c>
      <c r="F2338" s="14">
        <v>118</v>
      </c>
      <c r="G2338" s="14">
        <v>60</v>
      </c>
      <c r="H2338" s="14" t="s">
        <v>1400</v>
      </c>
      <c r="I2338" s="14" t="s">
        <v>75</v>
      </c>
      <c r="J2338" s="14" t="s">
        <v>201</v>
      </c>
      <c r="K2338" s="14">
        <v>1</v>
      </c>
      <c r="L2338" s="14" t="s">
        <v>1400</v>
      </c>
      <c r="N2338" s="14">
        <v>0</v>
      </c>
      <c r="O2338" s="14" t="b">
        <v>1</v>
      </c>
      <c r="Q2338" s="14" t="b">
        <v>0</v>
      </c>
      <c r="R2338" s="14">
        <v>1</v>
      </c>
      <c r="S2338" s="14" t="s">
        <v>77</v>
      </c>
      <c r="T2338" s="14">
        <v>999</v>
      </c>
      <c r="U2338" s="14" t="s">
        <v>1401</v>
      </c>
      <c r="V2338" s="14">
        <v>31934118</v>
      </c>
      <c r="X2338" s="14" t="s">
        <v>3966</v>
      </c>
      <c r="Y2338" s="14" t="s">
        <v>215</v>
      </c>
      <c r="Z2338" s="14">
        <v>21101</v>
      </c>
      <c r="AA2338" s="14" t="s">
        <v>3967</v>
      </c>
      <c r="AB2338" s="14">
        <v>40001</v>
      </c>
      <c r="AE2338" s="14" t="s">
        <v>1400</v>
      </c>
      <c r="AF2338" s="14" t="s">
        <v>1400</v>
      </c>
      <c r="AG2338" s="14" t="s">
        <v>92</v>
      </c>
    </row>
    <row r="2339" spans="2:33">
      <c r="B2339" s="14">
        <f>10000000+INDEX(编号表!$B:$B,MATCH(H2339,编号表!$A:$A,0))*100000+INDEX(编号表!$F:$F,MATCH(D2339,编号表!$E:$E,0))*10000+INDEX(编号表!$D:$D,MATCH(AG2339,编号表!$C:$C,0))*1000+F2339</f>
        <v>11914117</v>
      </c>
      <c r="C2339" s="14" t="s">
        <v>3968</v>
      </c>
      <c r="D2339" s="14" t="s">
        <v>72</v>
      </c>
      <c r="E2339" s="14" t="s">
        <v>92</v>
      </c>
      <c r="F2339" s="14">
        <v>117</v>
      </c>
      <c r="G2339" s="14">
        <v>60</v>
      </c>
      <c r="H2339" s="14" t="s">
        <v>1400</v>
      </c>
      <c r="I2339" s="14" t="s">
        <v>75</v>
      </c>
      <c r="J2339" s="14" t="s">
        <v>201</v>
      </c>
      <c r="K2339" s="14">
        <v>1</v>
      </c>
      <c r="L2339" s="14" t="s">
        <v>1400</v>
      </c>
      <c r="N2339" s="14">
        <v>0</v>
      </c>
      <c r="O2339" s="14" t="b">
        <v>1</v>
      </c>
      <c r="Q2339" s="14" t="b">
        <v>0</v>
      </c>
      <c r="R2339" s="14">
        <v>1</v>
      </c>
      <c r="S2339" s="14" t="s">
        <v>77</v>
      </c>
      <c r="T2339" s="14">
        <v>999</v>
      </c>
      <c r="U2339" s="14" t="s">
        <v>1401</v>
      </c>
      <c r="V2339" s="14">
        <v>31914117</v>
      </c>
      <c r="X2339" s="14" t="s">
        <v>3969</v>
      </c>
      <c r="Y2339" s="14" t="s">
        <v>215</v>
      </c>
      <c r="Z2339" s="14">
        <v>21102</v>
      </c>
      <c r="AA2339" s="14" t="s">
        <v>3970</v>
      </c>
      <c r="AB2339" s="14">
        <v>40001</v>
      </c>
      <c r="AE2339" s="14" t="s">
        <v>1400</v>
      </c>
      <c r="AF2339" s="14" t="s">
        <v>1400</v>
      </c>
      <c r="AG2339" s="14" t="s">
        <v>92</v>
      </c>
    </row>
    <row r="2340" spans="2:33">
      <c r="B2340" s="14">
        <f>10000000+INDEX(编号表!$B:$B,MATCH(H2340,编号表!$A:$A,0))*100000+INDEX(编号表!$F:$F,MATCH(D2340,编号表!$E:$E,0))*10000+INDEX(编号表!$D:$D,MATCH(AG2340,编号表!$C:$C,0))*1000+F2340</f>
        <v>11924118</v>
      </c>
      <c r="C2340" s="14" t="s">
        <v>3968</v>
      </c>
      <c r="D2340" s="14" t="s">
        <v>112</v>
      </c>
      <c r="E2340" s="14" t="s">
        <v>92</v>
      </c>
      <c r="F2340" s="14">
        <v>118</v>
      </c>
      <c r="G2340" s="14">
        <v>60</v>
      </c>
      <c r="H2340" s="14" t="s">
        <v>1400</v>
      </c>
      <c r="I2340" s="14" t="s">
        <v>75</v>
      </c>
      <c r="J2340" s="14" t="s">
        <v>201</v>
      </c>
      <c r="K2340" s="14">
        <v>1</v>
      </c>
      <c r="L2340" s="14" t="s">
        <v>1400</v>
      </c>
      <c r="N2340" s="14">
        <v>0</v>
      </c>
      <c r="O2340" s="14" t="b">
        <v>1</v>
      </c>
      <c r="Q2340" s="14" t="b">
        <v>0</v>
      </c>
      <c r="R2340" s="14">
        <v>1</v>
      </c>
      <c r="S2340" s="14" t="s">
        <v>77</v>
      </c>
      <c r="T2340" s="14">
        <v>999</v>
      </c>
      <c r="U2340" s="14" t="s">
        <v>1401</v>
      </c>
      <c r="V2340" s="14">
        <v>31924118</v>
      </c>
      <c r="X2340" s="14" t="s">
        <v>3971</v>
      </c>
      <c r="Y2340" s="14" t="s">
        <v>215</v>
      </c>
      <c r="Z2340" s="14">
        <v>21103</v>
      </c>
      <c r="AA2340" s="14" t="s">
        <v>3972</v>
      </c>
      <c r="AB2340" s="14">
        <v>40001</v>
      </c>
      <c r="AE2340" s="14" t="s">
        <v>1400</v>
      </c>
      <c r="AF2340" s="14" t="s">
        <v>1400</v>
      </c>
      <c r="AG2340" s="14" t="s">
        <v>92</v>
      </c>
    </row>
    <row r="2341" spans="2:33">
      <c r="B2341" s="14">
        <f>10000000+INDEX(编号表!$B:$B,MATCH(H2341,编号表!$A:$A,0))*100000+INDEX(编号表!$F:$F,MATCH(D2341,编号表!$E:$E,0))*10000+INDEX(编号表!$D:$D,MATCH(AG2341,编号表!$C:$C,0))*1000+F2341</f>
        <v>11934119</v>
      </c>
      <c r="C2341" s="14" t="s">
        <v>3968</v>
      </c>
      <c r="D2341" s="14" t="s">
        <v>276</v>
      </c>
      <c r="E2341" s="14" t="s">
        <v>92</v>
      </c>
      <c r="F2341" s="14">
        <v>119</v>
      </c>
      <c r="G2341" s="14">
        <v>60</v>
      </c>
      <c r="H2341" s="14" t="s">
        <v>1400</v>
      </c>
      <c r="I2341" s="14" t="s">
        <v>75</v>
      </c>
      <c r="J2341" s="14" t="s">
        <v>201</v>
      </c>
      <c r="K2341" s="14">
        <v>1</v>
      </c>
      <c r="L2341" s="14" t="s">
        <v>1400</v>
      </c>
      <c r="N2341" s="14">
        <v>0</v>
      </c>
      <c r="O2341" s="14" t="b">
        <v>1</v>
      </c>
      <c r="Q2341" s="14" t="b">
        <v>0</v>
      </c>
      <c r="R2341" s="14">
        <v>1</v>
      </c>
      <c r="S2341" s="14" t="s">
        <v>77</v>
      </c>
      <c r="T2341" s="14">
        <v>999</v>
      </c>
      <c r="U2341" s="14" t="s">
        <v>1401</v>
      </c>
      <c r="V2341" s="14">
        <v>31934119</v>
      </c>
      <c r="X2341" s="14" t="s">
        <v>3973</v>
      </c>
      <c r="Y2341" s="14" t="s">
        <v>215</v>
      </c>
      <c r="Z2341" s="14">
        <v>21104</v>
      </c>
      <c r="AA2341" s="14" t="s">
        <v>3974</v>
      </c>
      <c r="AB2341" s="14">
        <v>40001</v>
      </c>
      <c r="AE2341" s="14" t="s">
        <v>1400</v>
      </c>
      <c r="AF2341" s="14" t="s">
        <v>1400</v>
      </c>
      <c r="AG2341" s="14" t="s">
        <v>92</v>
      </c>
    </row>
    <row r="2342" spans="2:33">
      <c r="B2342" s="14">
        <f>10000000+INDEX(编号表!$B:$B,MATCH(H2342,编号表!$A:$A,0))*100000+INDEX(编号表!$F:$F,MATCH(D2342,编号表!$E:$E,0))*10000+INDEX(编号表!$D:$D,MATCH(AG2342,编号表!$C:$C,0))*1000+F2342</f>
        <v>11914118</v>
      </c>
      <c r="C2342" s="14" t="s">
        <v>3975</v>
      </c>
      <c r="D2342" s="14" t="s">
        <v>72</v>
      </c>
      <c r="E2342" s="14" t="s">
        <v>92</v>
      </c>
      <c r="F2342" s="14">
        <v>118</v>
      </c>
      <c r="G2342" s="14">
        <v>60</v>
      </c>
      <c r="H2342" s="14" t="s">
        <v>1400</v>
      </c>
      <c r="I2342" s="14" t="s">
        <v>75</v>
      </c>
      <c r="J2342" s="14" t="s">
        <v>201</v>
      </c>
      <c r="K2342" s="14">
        <v>1</v>
      </c>
      <c r="L2342" s="14" t="s">
        <v>1400</v>
      </c>
      <c r="N2342" s="14">
        <v>0</v>
      </c>
      <c r="O2342" s="14" t="b">
        <v>1</v>
      </c>
      <c r="Q2342" s="14" t="b">
        <v>0</v>
      </c>
      <c r="R2342" s="14">
        <v>1</v>
      </c>
      <c r="S2342" s="14" t="s">
        <v>77</v>
      </c>
      <c r="T2342" s="14">
        <v>999</v>
      </c>
      <c r="U2342" s="14" t="s">
        <v>1401</v>
      </c>
      <c r="V2342" s="14">
        <v>31914118</v>
      </c>
      <c r="X2342" s="14" t="s">
        <v>3976</v>
      </c>
      <c r="Y2342" s="14" t="s">
        <v>215</v>
      </c>
      <c r="Z2342" s="14">
        <v>21105</v>
      </c>
      <c r="AA2342" s="14" t="s">
        <v>3977</v>
      </c>
      <c r="AB2342" s="14">
        <v>40001</v>
      </c>
      <c r="AE2342" s="14" t="s">
        <v>1400</v>
      </c>
      <c r="AF2342" s="14" t="s">
        <v>1400</v>
      </c>
      <c r="AG2342" s="14" t="s">
        <v>92</v>
      </c>
    </row>
    <row r="2343" spans="2:33">
      <c r="B2343" s="14">
        <f>10000000+INDEX(编号表!$B:$B,MATCH(H2343,编号表!$A:$A,0))*100000+INDEX(编号表!$F:$F,MATCH(D2343,编号表!$E:$E,0))*10000+INDEX(编号表!$D:$D,MATCH(AG2343,编号表!$C:$C,0))*1000+F2343</f>
        <v>11924119</v>
      </c>
      <c r="C2343" s="14" t="s">
        <v>3975</v>
      </c>
      <c r="D2343" s="14" t="s">
        <v>112</v>
      </c>
      <c r="E2343" s="14" t="s">
        <v>92</v>
      </c>
      <c r="F2343" s="14">
        <v>119</v>
      </c>
      <c r="G2343" s="14">
        <v>60</v>
      </c>
      <c r="H2343" s="14" t="s">
        <v>1400</v>
      </c>
      <c r="I2343" s="14" t="s">
        <v>75</v>
      </c>
      <c r="J2343" s="14" t="s">
        <v>201</v>
      </c>
      <c r="K2343" s="14">
        <v>1</v>
      </c>
      <c r="L2343" s="14" t="s">
        <v>1400</v>
      </c>
      <c r="N2343" s="14">
        <v>0</v>
      </c>
      <c r="O2343" s="14" t="b">
        <v>1</v>
      </c>
      <c r="Q2343" s="14" t="b">
        <v>0</v>
      </c>
      <c r="R2343" s="14">
        <v>1</v>
      </c>
      <c r="S2343" s="14" t="s">
        <v>77</v>
      </c>
      <c r="T2343" s="14">
        <v>999</v>
      </c>
      <c r="U2343" s="14" t="s">
        <v>1401</v>
      </c>
      <c r="V2343" s="14">
        <v>31924119</v>
      </c>
      <c r="X2343" s="14" t="s">
        <v>3978</v>
      </c>
      <c r="Y2343" s="14" t="s">
        <v>215</v>
      </c>
      <c r="Z2343" s="14">
        <v>21106</v>
      </c>
      <c r="AA2343" s="14" t="s">
        <v>3979</v>
      </c>
      <c r="AB2343" s="14">
        <v>40001</v>
      </c>
      <c r="AE2343" s="14" t="s">
        <v>1400</v>
      </c>
      <c r="AF2343" s="14" t="s">
        <v>1400</v>
      </c>
      <c r="AG2343" s="14" t="s">
        <v>92</v>
      </c>
    </row>
    <row r="2344" spans="2:33">
      <c r="B2344" s="14">
        <f>10000000+INDEX(编号表!$B:$B,MATCH(H2344,编号表!$A:$A,0))*100000+INDEX(编号表!$F:$F,MATCH(D2344,编号表!$E:$E,0))*10000+INDEX(编号表!$D:$D,MATCH(AG2344,编号表!$C:$C,0))*1000+F2344</f>
        <v>11934120</v>
      </c>
      <c r="C2344" s="14" t="s">
        <v>3975</v>
      </c>
      <c r="D2344" s="14" t="s">
        <v>276</v>
      </c>
      <c r="E2344" s="14" t="s">
        <v>92</v>
      </c>
      <c r="F2344" s="14">
        <v>120</v>
      </c>
      <c r="G2344" s="14">
        <v>60</v>
      </c>
      <c r="H2344" s="14" t="s">
        <v>1400</v>
      </c>
      <c r="I2344" s="14" t="s">
        <v>75</v>
      </c>
      <c r="J2344" s="14" t="s">
        <v>201</v>
      </c>
      <c r="K2344" s="14">
        <v>1</v>
      </c>
      <c r="L2344" s="14" t="s">
        <v>1400</v>
      </c>
      <c r="N2344" s="14">
        <v>0</v>
      </c>
      <c r="O2344" s="14" t="b">
        <v>1</v>
      </c>
      <c r="Q2344" s="14" t="b">
        <v>0</v>
      </c>
      <c r="R2344" s="14">
        <v>1</v>
      </c>
      <c r="S2344" s="14" t="s">
        <v>77</v>
      </c>
      <c r="T2344" s="14">
        <v>999</v>
      </c>
      <c r="U2344" s="14" t="s">
        <v>1401</v>
      </c>
      <c r="V2344" s="14">
        <v>31934120</v>
      </c>
      <c r="X2344" s="14" t="s">
        <v>3980</v>
      </c>
      <c r="Y2344" s="14" t="s">
        <v>215</v>
      </c>
      <c r="Z2344" s="14">
        <v>21107</v>
      </c>
      <c r="AA2344" s="14" t="s">
        <v>3981</v>
      </c>
      <c r="AB2344" s="14">
        <v>40001</v>
      </c>
      <c r="AE2344" s="14" t="s">
        <v>1400</v>
      </c>
      <c r="AF2344" s="14" t="s">
        <v>1400</v>
      </c>
      <c r="AG2344" s="14" t="s">
        <v>92</v>
      </c>
    </row>
    <row r="2345" spans="2:33">
      <c r="B2345" s="14">
        <f>10000000+INDEX(编号表!$B:$B,MATCH(H2345,编号表!$A:$A,0))*100000+INDEX(编号表!$F:$F,MATCH(D2345,编号表!$E:$E,0))*10000+INDEX(编号表!$D:$D,MATCH(AG2345,编号表!$C:$C,0))*1000+F2345</f>
        <v>11914119</v>
      </c>
      <c r="C2345" s="14" t="s">
        <v>3982</v>
      </c>
      <c r="D2345" s="14" t="s">
        <v>72</v>
      </c>
      <c r="E2345" s="14" t="s">
        <v>92</v>
      </c>
      <c r="F2345" s="14">
        <v>119</v>
      </c>
      <c r="G2345" s="14">
        <v>60</v>
      </c>
      <c r="H2345" s="14" t="s">
        <v>1400</v>
      </c>
      <c r="I2345" s="14" t="s">
        <v>75</v>
      </c>
      <c r="J2345" s="14" t="s">
        <v>201</v>
      </c>
      <c r="K2345" s="14">
        <v>1</v>
      </c>
      <c r="L2345" s="14" t="s">
        <v>1400</v>
      </c>
      <c r="N2345" s="14">
        <v>0</v>
      </c>
      <c r="O2345" s="14" t="b">
        <v>1</v>
      </c>
      <c r="Q2345" s="14" t="b">
        <v>0</v>
      </c>
      <c r="R2345" s="14">
        <v>1</v>
      </c>
      <c r="S2345" s="14" t="s">
        <v>77</v>
      </c>
      <c r="T2345" s="14">
        <v>999</v>
      </c>
      <c r="U2345" s="14" t="s">
        <v>1401</v>
      </c>
      <c r="V2345" s="14">
        <v>31914119</v>
      </c>
      <c r="X2345" s="14" t="s">
        <v>3983</v>
      </c>
      <c r="Y2345" s="14" t="s">
        <v>215</v>
      </c>
      <c r="Z2345" s="14">
        <v>21108</v>
      </c>
      <c r="AA2345" s="14" t="s">
        <v>3984</v>
      </c>
      <c r="AB2345" s="14">
        <v>40001</v>
      </c>
      <c r="AE2345" s="14" t="s">
        <v>1400</v>
      </c>
      <c r="AF2345" s="14" t="s">
        <v>1400</v>
      </c>
      <c r="AG2345" s="14" t="s">
        <v>92</v>
      </c>
    </row>
    <row r="2346" spans="2:33">
      <c r="B2346" s="14">
        <f>10000000+INDEX(编号表!$B:$B,MATCH(H2346,编号表!$A:$A,0))*100000+INDEX(编号表!$F:$F,MATCH(D2346,编号表!$E:$E,0))*10000+INDEX(编号表!$D:$D,MATCH(AG2346,编号表!$C:$C,0))*1000+F2346</f>
        <v>11924120</v>
      </c>
      <c r="C2346" s="14" t="s">
        <v>3982</v>
      </c>
      <c r="D2346" s="14" t="s">
        <v>112</v>
      </c>
      <c r="E2346" s="14" t="s">
        <v>92</v>
      </c>
      <c r="F2346" s="14">
        <v>120</v>
      </c>
      <c r="G2346" s="14">
        <v>60</v>
      </c>
      <c r="H2346" s="14" t="s">
        <v>1400</v>
      </c>
      <c r="I2346" s="14" t="s">
        <v>75</v>
      </c>
      <c r="J2346" s="14" t="s">
        <v>201</v>
      </c>
      <c r="K2346" s="14">
        <v>1</v>
      </c>
      <c r="L2346" s="14" t="s">
        <v>1400</v>
      </c>
      <c r="N2346" s="14">
        <v>0</v>
      </c>
      <c r="O2346" s="14" t="b">
        <v>1</v>
      </c>
      <c r="Q2346" s="14" t="b">
        <v>0</v>
      </c>
      <c r="R2346" s="14">
        <v>1</v>
      </c>
      <c r="S2346" s="14" t="s">
        <v>77</v>
      </c>
      <c r="T2346" s="14">
        <v>999</v>
      </c>
      <c r="U2346" s="14" t="s">
        <v>1401</v>
      </c>
      <c r="V2346" s="14">
        <v>31924120</v>
      </c>
      <c r="X2346" s="14" t="s">
        <v>3985</v>
      </c>
      <c r="Y2346" s="14" t="s">
        <v>215</v>
      </c>
      <c r="Z2346" s="14">
        <v>21109</v>
      </c>
      <c r="AA2346" s="14" t="s">
        <v>3986</v>
      </c>
      <c r="AB2346" s="14">
        <v>40001</v>
      </c>
      <c r="AE2346" s="14" t="s">
        <v>1400</v>
      </c>
      <c r="AF2346" s="14" t="s">
        <v>1400</v>
      </c>
      <c r="AG2346" s="14" t="s">
        <v>92</v>
      </c>
    </row>
    <row r="2347" spans="2:33">
      <c r="B2347" s="14">
        <f>10000000+INDEX(编号表!$B:$B,MATCH(H2347,编号表!$A:$A,0))*100000+INDEX(编号表!$F:$F,MATCH(D2347,编号表!$E:$E,0))*10000+INDEX(编号表!$D:$D,MATCH(AG2347,编号表!$C:$C,0))*1000+F2347</f>
        <v>11934121</v>
      </c>
      <c r="C2347" s="14" t="s">
        <v>3982</v>
      </c>
      <c r="D2347" s="14" t="s">
        <v>276</v>
      </c>
      <c r="E2347" s="14" t="s">
        <v>92</v>
      </c>
      <c r="F2347" s="14">
        <v>121</v>
      </c>
      <c r="G2347" s="14">
        <v>60</v>
      </c>
      <c r="H2347" s="14" t="s">
        <v>1400</v>
      </c>
      <c r="I2347" s="14" t="s">
        <v>75</v>
      </c>
      <c r="J2347" s="14" t="s">
        <v>201</v>
      </c>
      <c r="K2347" s="14">
        <v>1</v>
      </c>
      <c r="L2347" s="14" t="s">
        <v>1400</v>
      </c>
      <c r="N2347" s="14">
        <v>0</v>
      </c>
      <c r="O2347" s="14" t="b">
        <v>1</v>
      </c>
      <c r="Q2347" s="14" t="b">
        <v>0</v>
      </c>
      <c r="R2347" s="14">
        <v>1</v>
      </c>
      <c r="S2347" s="14" t="s">
        <v>77</v>
      </c>
      <c r="T2347" s="14">
        <v>999</v>
      </c>
      <c r="U2347" s="14" t="s">
        <v>1401</v>
      </c>
      <c r="V2347" s="14">
        <v>31934121</v>
      </c>
      <c r="X2347" s="14" t="s">
        <v>3987</v>
      </c>
      <c r="Y2347" s="14" t="s">
        <v>215</v>
      </c>
      <c r="Z2347" s="14">
        <v>21110</v>
      </c>
      <c r="AA2347" s="14" t="s">
        <v>3988</v>
      </c>
      <c r="AB2347" s="14">
        <v>40001</v>
      </c>
      <c r="AE2347" s="14" t="s">
        <v>1400</v>
      </c>
      <c r="AF2347" s="14" t="s">
        <v>1400</v>
      </c>
      <c r="AG2347" s="14" t="s">
        <v>92</v>
      </c>
    </row>
    <row r="2348" spans="2:33">
      <c r="B2348" s="14">
        <f>10000000+INDEX(编号表!$B:$B,MATCH(H2348,编号表!$A:$A,0))*100000+INDEX(编号表!$F:$F,MATCH(D2348,编号表!$E:$E,0))*10000+INDEX(编号表!$D:$D,MATCH(AG2348,编号表!$C:$C,0))*1000+F2348</f>
        <v>11914120</v>
      </c>
      <c r="C2348" s="14" t="s">
        <v>3989</v>
      </c>
      <c r="D2348" s="14" t="s">
        <v>72</v>
      </c>
      <c r="E2348" s="14" t="s">
        <v>92</v>
      </c>
      <c r="F2348" s="14">
        <v>120</v>
      </c>
      <c r="G2348" s="14">
        <v>60</v>
      </c>
      <c r="H2348" s="14" t="s">
        <v>1400</v>
      </c>
      <c r="I2348" s="14" t="s">
        <v>75</v>
      </c>
      <c r="J2348" s="14" t="s">
        <v>201</v>
      </c>
      <c r="K2348" s="14">
        <v>1</v>
      </c>
      <c r="L2348" s="14" t="s">
        <v>1400</v>
      </c>
      <c r="N2348" s="14">
        <v>0</v>
      </c>
      <c r="O2348" s="14" t="b">
        <v>1</v>
      </c>
      <c r="Q2348" s="14" t="b">
        <v>0</v>
      </c>
      <c r="R2348" s="14">
        <v>1</v>
      </c>
      <c r="S2348" s="14" t="s">
        <v>77</v>
      </c>
      <c r="T2348" s="14">
        <v>999</v>
      </c>
      <c r="U2348" s="14" t="s">
        <v>1401</v>
      </c>
      <c r="V2348" s="14">
        <v>31914120</v>
      </c>
      <c r="X2348" s="14" t="s">
        <v>3990</v>
      </c>
      <c r="Y2348" s="14" t="s">
        <v>215</v>
      </c>
      <c r="Z2348" s="14">
        <v>21111</v>
      </c>
      <c r="AA2348" s="14" t="s">
        <v>3991</v>
      </c>
      <c r="AB2348" s="14">
        <v>40001</v>
      </c>
      <c r="AE2348" s="14" t="s">
        <v>1400</v>
      </c>
      <c r="AF2348" s="14" t="s">
        <v>1400</v>
      </c>
      <c r="AG2348" s="14" t="s">
        <v>92</v>
      </c>
    </row>
    <row r="2349" spans="2:33">
      <c r="B2349" s="14">
        <f>10000000+INDEX(编号表!$B:$B,MATCH(H2349,编号表!$A:$A,0))*100000+INDEX(编号表!$F:$F,MATCH(D2349,编号表!$E:$E,0))*10000+INDEX(编号表!$D:$D,MATCH(AG2349,编号表!$C:$C,0))*1000+F2349</f>
        <v>11924121</v>
      </c>
      <c r="C2349" s="14" t="s">
        <v>3989</v>
      </c>
      <c r="D2349" s="14" t="s">
        <v>112</v>
      </c>
      <c r="E2349" s="14" t="s">
        <v>92</v>
      </c>
      <c r="F2349" s="14">
        <v>121</v>
      </c>
      <c r="G2349" s="14">
        <v>60</v>
      </c>
      <c r="H2349" s="14" t="s">
        <v>1400</v>
      </c>
      <c r="I2349" s="14" t="s">
        <v>75</v>
      </c>
      <c r="J2349" s="14" t="s">
        <v>201</v>
      </c>
      <c r="K2349" s="14">
        <v>1</v>
      </c>
      <c r="L2349" s="14" t="s">
        <v>1400</v>
      </c>
      <c r="N2349" s="14">
        <v>0</v>
      </c>
      <c r="O2349" s="14" t="b">
        <v>1</v>
      </c>
      <c r="Q2349" s="14" t="b">
        <v>0</v>
      </c>
      <c r="R2349" s="14">
        <v>1</v>
      </c>
      <c r="S2349" s="14" t="s">
        <v>77</v>
      </c>
      <c r="T2349" s="14">
        <v>999</v>
      </c>
      <c r="U2349" s="14" t="s">
        <v>1401</v>
      </c>
      <c r="V2349" s="14">
        <v>31924121</v>
      </c>
      <c r="X2349" s="14" t="s">
        <v>3992</v>
      </c>
      <c r="Y2349" s="14" t="s">
        <v>215</v>
      </c>
      <c r="Z2349" s="14">
        <v>21112</v>
      </c>
      <c r="AA2349" s="14" t="s">
        <v>3993</v>
      </c>
      <c r="AB2349" s="14">
        <v>40001</v>
      </c>
      <c r="AE2349" s="14" t="s">
        <v>1400</v>
      </c>
      <c r="AF2349" s="14" t="s">
        <v>1400</v>
      </c>
      <c r="AG2349" s="14" t="s">
        <v>92</v>
      </c>
    </row>
    <row r="2350" spans="2:33">
      <c r="B2350" s="14">
        <f>10000000+INDEX(编号表!$B:$B,MATCH(H2350,编号表!$A:$A,0))*100000+INDEX(编号表!$F:$F,MATCH(D2350,编号表!$E:$E,0))*10000+INDEX(编号表!$D:$D,MATCH(AG2350,编号表!$C:$C,0))*1000+F2350</f>
        <v>11934122</v>
      </c>
      <c r="C2350" s="14" t="s">
        <v>3989</v>
      </c>
      <c r="D2350" s="14" t="s">
        <v>276</v>
      </c>
      <c r="E2350" s="14" t="s">
        <v>92</v>
      </c>
      <c r="F2350" s="14">
        <v>122</v>
      </c>
      <c r="G2350" s="14">
        <v>60</v>
      </c>
      <c r="H2350" s="14" t="s">
        <v>1400</v>
      </c>
      <c r="I2350" s="14" t="s">
        <v>75</v>
      </c>
      <c r="J2350" s="14" t="s">
        <v>201</v>
      </c>
      <c r="K2350" s="14">
        <v>1</v>
      </c>
      <c r="L2350" s="14" t="s">
        <v>1400</v>
      </c>
      <c r="N2350" s="14">
        <v>0</v>
      </c>
      <c r="O2350" s="14" t="b">
        <v>1</v>
      </c>
      <c r="Q2350" s="14" t="b">
        <v>0</v>
      </c>
      <c r="R2350" s="14">
        <v>1</v>
      </c>
      <c r="S2350" s="14" t="s">
        <v>77</v>
      </c>
      <c r="T2350" s="14">
        <v>999</v>
      </c>
      <c r="U2350" s="14" t="s">
        <v>1401</v>
      </c>
      <c r="V2350" s="14">
        <v>31934122</v>
      </c>
      <c r="X2350" s="14" t="s">
        <v>3994</v>
      </c>
      <c r="Y2350" s="14" t="s">
        <v>215</v>
      </c>
      <c r="Z2350" s="14">
        <v>21113</v>
      </c>
      <c r="AA2350" s="14" t="s">
        <v>3995</v>
      </c>
      <c r="AB2350" s="14">
        <v>40001</v>
      </c>
      <c r="AE2350" s="14" t="s">
        <v>1400</v>
      </c>
      <c r="AF2350" s="14" t="s">
        <v>1400</v>
      </c>
      <c r="AG2350" s="14" t="s">
        <v>92</v>
      </c>
    </row>
    <row r="2351" spans="2:33">
      <c r="B2351" s="14">
        <f>10000000+INDEX(编号表!$B:$B,MATCH(H2351,编号表!$A:$A,0))*100000+INDEX(编号表!$F:$F,MATCH(D2351,编号表!$E:$E,0))*10000+INDEX(编号表!$D:$D,MATCH(AG2351,编号表!$C:$C,0))*1000+F2351</f>
        <v>11914121</v>
      </c>
      <c r="C2351" s="14" t="s">
        <v>3996</v>
      </c>
      <c r="D2351" s="14" t="s">
        <v>72</v>
      </c>
      <c r="E2351" s="14" t="s">
        <v>92</v>
      </c>
      <c r="F2351" s="14">
        <v>121</v>
      </c>
      <c r="G2351" s="14">
        <v>60</v>
      </c>
      <c r="H2351" s="14" t="s">
        <v>1400</v>
      </c>
      <c r="I2351" s="14" t="s">
        <v>75</v>
      </c>
      <c r="J2351" s="14" t="s">
        <v>201</v>
      </c>
      <c r="K2351" s="14">
        <v>1</v>
      </c>
      <c r="L2351" s="14" t="s">
        <v>1400</v>
      </c>
      <c r="N2351" s="14">
        <v>0</v>
      </c>
      <c r="O2351" s="14" t="b">
        <v>1</v>
      </c>
      <c r="Q2351" s="14" t="b">
        <v>0</v>
      </c>
      <c r="R2351" s="14">
        <v>1</v>
      </c>
      <c r="S2351" s="14" t="s">
        <v>77</v>
      </c>
      <c r="T2351" s="14">
        <v>999</v>
      </c>
      <c r="U2351" s="14" t="s">
        <v>1401</v>
      </c>
      <c r="V2351" s="14">
        <v>31914121</v>
      </c>
      <c r="X2351" s="14" t="s">
        <v>3997</v>
      </c>
      <c r="Y2351" s="14" t="s">
        <v>215</v>
      </c>
      <c r="Z2351" s="14">
        <v>21114</v>
      </c>
      <c r="AA2351" s="14" t="s">
        <v>3998</v>
      </c>
      <c r="AB2351" s="14">
        <v>40001</v>
      </c>
      <c r="AE2351" s="14" t="s">
        <v>1400</v>
      </c>
      <c r="AF2351" s="14" t="s">
        <v>1400</v>
      </c>
      <c r="AG2351" s="14" t="s">
        <v>92</v>
      </c>
    </row>
    <row r="2352" spans="2:33">
      <c r="B2352" s="14">
        <f>10000000+INDEX(编号表!$B:$B,MATCH(H2352,编号表!$A:$A,0))*100000+INDEX(编号表!$F:$F,MATCH(D2352,编号表!$E:$E,0))*10000+INDEX(编号表!$D:$D,MATCH(AG2352,编号表!$C:$C,0))*1000+F2352</f>
        <v>11924122</v>
      </c>
      <c r="C2352" s="14" t="s">
        <v>3996</v>
      </c>
      <c r="D2352" s="14" t="s">
        <v>112</v>
      </c>
      <c r="E2352" s="14" t="s">
        <v>92</v>
      </c>
      <c r="F2352" s="14">
        <v>122</v>
      </c>
      <c r="G2352" s="14">
        <v>60</v>
      </c>
      <c r="H2352" s="14" t="s">
        <v>1400</v>
      </c>
      <c r="I2352" s="14" t="s">
        <v>75</v>
      </c>
      <c r="J2352" s="14" t="s">
        <v>201</v>
      </c>
      <c r="K2352" s="14">
        <v>1</v>
      </c>
      <c r="L2352" s="14" t="s">
        <v>1400</v>
      </c>
      <c r="N2352" s="14">
        <v>0</v>
      </c>
      <c r="O2352" s="14" t="b">
        <v>1</v>
      </c>
      <c r="Q2352" s="14" t="b">
        <v>0</v>
      </c>
      <c r="R2352" s="14">
        <v>1</v>
      </c>
      <c r="S2352" s="14" t="s">
        <v>77</v>
      </c>
      <c r="T2352" s="14">
        <v>999</v>
      </c>
      <c r="U2352" s="14" t="s">
        <v>1401</v>
      </c>
      <c r="V2352" s="14">
        <v>31924122</v>
      </c>
      <c r="X2352" s="14" t="s">
        <v>3999</v>
      </c>
      <c r="Y2352" s="14" t="s">
        <v>215</v>
      </c>
      <c r="Z2352" s="14">
        <v>21115</v>
      </c>
      <c r="AA2352" s="14" t="s">
        <v>4000</v>
      </c>
      <c r="AB2352" s="14">
        <v>40001</v>
      </c>
      <c r="AE2352" s="14" t="s">
        <v>1400</v>
      </c>
      <c r="AF2352" s="14" t="s">
        <v>1400</v>
      </c>
      <c r="AG2352" s="14" t="s">
        <v>92</v>
      </c>
    </row>
    <row r="2353" spans="2:33">
      <c r="B2353" s="14">
        <f>10000000+INDEX(编号表!$B:$B,MATCH(H2353,编号表!$A:$A,0))*100000+INDEX(编号表!$F:$F,MATCH(D2353,编号表!$E:$E,0))*10000+INDEX(编号表!$D:$D,MATCH(AG2353,编号表!$C:$C,0))*1000+F2353</f>
        <v>11934123</v>
      </c>
      <c r="C2353" s="14" t="s">
        <v>3996</v>
      </c>
      <c r="D2353" s="14" t="s">
        <v>276</v>
      </c>
      <c r="E2353" s="14" t="s">
        <v>92</v>
      </c>
      <c r="F2353" s="14">
        <v>123</v>
      </c>
      <c r="G2353" s="14">
        <v>60</v>
      </c>
      <c r="H2353" s="14" t="s">
        <v>1400</v>
      </c>
      <c r="I2353" s="14" t="s">
        <v>75</v>
      </c>
      <c r="J2353" s="14" t="s">
        <v>201</v>
      </c>
      <c r="K2353" s="14">
        <v>1</v>
      </c>
      <c r="L2353" s="14" t="s">
        <v>1400</v>
      </c>
      <c r="N2353" s="14">
        <v>0</v>
      </c>
      <c r="O2353" s="14" t="b">
        <v>1</v>
      </c>
      <c r="Q2353" s="14" t="b">
        <v>0</v>
      </c>
      <c r="R2353" s="14">
        <v>1</v>
      </c>
      <c r="S2353" s="14" t="s">
        <v>77</v>
      </c>
      <c r="T2353" s="14">
        <v>999</v>
      </c>
      <c r="U2353" s="14" t="s">
        <v>1401</v>
      </c>
      <c r="V2353" s="14">
        <v>31934123</v>
      </c>
      <c r="X2353" s="14" t="s">
        <v>4001</v>
      </c>
      <c r="Y2353" s="14" t="s">
        <v>215</v>
      </c>
      <c r="Z2353" s="14">
        <v>21116</v>
      </c>
      <c r="AA2353" s="14" t="s">
        <v>4002</v>
      </c>
      <c r="AB2353" s="14">
        <v>40001</v>
      </c>
      <c r="AE2353" s="14" t="s">
        <v>1400</v>
      </c>
      <c r="AF2353" s="14" t="s">
        <v>1400</v>
      </c>
      <c r="AG2353" s="14" t="s">
        <v>92</v>
      </c>
    </row>
    <row r="2354" spans="2:33">
      <c r="B2354" s="14">
        <f>10000000+INDEX(编号表!$B:$B,MATCH(H2354,编号表!$A:$A,0))*100000+INDEX(编号表!$F:$F,MATCH(D2354,编号表!$E:$E,0))*10000+INDEX(编号表!$D:$D,MATCH(AG2354,编号表!$C:$C,0))*1000+F2354</f>
        <v>11914122</v>
      </c>
      <c r="C2354" s="14" t="s">
        <v>4003</v>
      </c>
      <c r="D2354" s="14" t="s">
        <v>72</v>
      </c>
      <c r="E2354" s="14" t="s">
        <v>92</v>
      </c>
      <c r="F2354" s="14">
        <v>122</v>
      </c>
      <c r="G2354" s="14">
        <v>60</v>
      </c>
      <c r="H2354" s="14" t="s">
        <v>1400</v>
      </c>
      <c r="I2354" s="14" t="s">
        <v>75</v>
      </c>
      <c r="J2354" s="14" t="s">
        <v>201</v>
      </c>
      <c r="K2354" s="14">
        <v>1</v>
      </c>
      <c r="L2354" s="14" t="s">
        <v>1400</v>
      </c>
      <c r="N2354" s="14">
        <v>0</v>
      </c>
      <c r="O2354" s="14" t="b">
        <v>1</v>
      </c>
      <c r="Q2354" s="14" t="b">
        <v>0</v>
      </c>
      <c r="R2354" s="14">
        <v>1</v>
      </c>
      <c r="S2354" s="14" t="s">
        <v>77</v>
      </c>
      <c r="T2354" s="14">
        <v>999</v>
      </c>
      <c r="U2354" s="14" t="s">
        <v>1401</v>
      </c>
      <c r="V2354" s="14">
        <v>31914122</v>
      </c>
      <c r="X2354" s="14" t="s">
        <v>4004</v>
      </c>
      <c r="Y2354" s="14" t="s">
        <v>215</v>
      </c>
      <c r="Z2354" s="14">
        <v>21117</v>
      </c>
      <c r="AA2354" s="14" t="s">
        <v>4005</v>
      </c>
      <c r="AB2354" s="14">
        <v>40001</v>
      </c>
      <c r="AE2354" s="14" t="s">
        <v>1400</v>
      </c>
      <c r="AF2354" s="14" t="s">
        <v>1400</v>
      </c>
      <c r="AG2354" s="14" t="s">
        <v>92</v>
      </c>
    </row>
    <row r="2355" spans="2:33">
      <c r="B2355" s="14">
        <f>10000000+INDEX(编号表!$B:$B,MATCH(H2355,编号表!$A:$A,0))*100000+INDEX(编号表!$F:$F,MATCH(D2355,编号表!$E:$E,0))*10000+INDEX(编号表!$D:$D,MATCH(AG2355,编号表!$C:$C,0))*1000+F2355</f>
        <v>11924123</v>
      </c>
      <c r="C2355" s="14" t="s">
        <v>4003</v>
      </c>
      <c r="D2355" s="14" t="s">
        <v>112</v>
      </c>
      <c r="E2355" s="14" t="s">
        <v>92</v>
      </c>
      <c r="F2355" s="14">
        <v>123</v>
      </c>
      <c r="G2355" s="14">
        <v>60</v>
      </c>
      <c r="H2355" s="14" t="s">
        <v>1400</v>
      </c>
      <c r="I2355" s="14" t="s">
        <v>75</v>
      </c>
      <c r="J2355" s="14" t="s">
        <v>201</v>
      </c>
      <c r="K2355" s="14">
        <v>1</v>
      </c>
      <c r="L2355" s="14" t="s">
        <v>1400</v>
      </c>
      <c r="N2355" s="14">
        <v>0</v>
      </c>
      <c r="O2355" s="14" t="b">
        <v>1</v>
      </c>
      <c r="Q2355" s="14" t="b">
        <v>0</v>
      </c>
      <c r="R2355" s="14">
        <v>1</v>
      </c>
      <c r="S2355" s="14" t="s">
        <v>77</v>
      </c>
      <c r="T2355" s="14">
        <v>999</v>
      </c>
      <c r="U2355" s="14" t="s">
        <v>1401</v>
      </c>
      <c r="V2355" s="14">
        <v>31924123</v>
      </c>
      <c r="X2355" s="14" t="s">
        <v>4006</v>
      </c>
      <c r="Y2355" s="14" t="s">
        <v>215</v>
      </c>
      <c r="Z2355" s="14">
        <v>21118</v>
      </c>
      <c r="AA2355" s="14" t="s">
        <v>4007</v>
      </c>
      <c r="AB2355" s="14">
        <v>40001</v>
      </c>
      <c r="AE2355" s="14" t="s">
        <v>1400</v>
      </c>
      <c r="AF2355" s="14" t="s">
        <v>1400</v>
      </c>
      <c r="AG2355" s="14" t="s">
        <v>92</v>
      </c>
    </row>
    <row r="2356" spans="2:33">
      <c r="B2356" s="14">
        <f>10000000+INDEX(编号表!$B:$B,MATCH(H2356,编号表!$A:$A,0))*100000+INDEX(编号表!$F:$F,MATCH(D2356,编号表!$E:$E,0))*10000+INDEX(编号表!$D:$D,MATCH(AG2356,编号表!$C:$C,0))*1000+F2356</f>
        <v>11934124</v>
      </c>
      <c r="C2356" s="14" t="s">
        <v>4003</v>
      </c>
      <c r="D2356" s="14" t="s">
        <v>276</v>
      </c>
      <c r="E2356" s="14" t="s">
        <v>92</v>
      </c>
      <c r="F2356" s="14">
        <v>124</v>
      </c>
      <c r="G2356" s="14">
        <v>60</v>
      </c>
      <c r="H2356" s="14" t="s">
        <v>1400</v>
      </c>
      <c r="I2356" s="14" t="s">
        <v>75</v>
      </c>
      <c r="J2356" s="14" t="s">
        <v>201</v>
      </c>
      <c r="K2356" s="14">
        <v>1</v>
      </c>
      <c r="L2356" s="14" t="s">
        <v>1400</v>
      </c>
      <c r="N2356" s="14">
        <v>0</v>
      </c>
      <c r="O2356" s="14" t="b">
        <v>1</v>
      </c>
      <c r="Q2356" s="14" t="b">
        <v>0</v>
      </c>
      <c r="R2356" s="14">
        <v>1</v>
      </c>
      <c r="S2356" s="14" t="s">
        <v>77</v>
      </c>
      <c r="T2356" s="14">
        <v>999</v>
      </c>
      <c r="U2356" s="14" t="s">
        <v>1401</v>
      </c>
      <c r="V2356" s="14">
        <v>31934124</v>
      </c>
      <c r="X2356" s="14" t="s">
        <v>4008</v>
      </c>
      <c r="Y2356" s="14" t="s">
        <v>215</v>
      </c>
      <c r="Z2356" s="14">
        <v>21119</v>
      </c>
      <c r="AA2356" s="14" t="s">
        <v>4009</v>
      </c>
      <c r="AB2356" s="14">
        <v>40001</v>
      </c>
      <c r="AE2356" s="14" t="s">
        <v>1400</v>
      </c>
      <c r="AF2356" s="14" t="s">
        <v>1400</v>
      </c>
      <c r="AG2356" s="14" t="s">
        <v>92</v>
      </c>
    </row>
    <row r="2357" spans="2:33">
      <c r="B2357" s="14">
        <f>10000000+INDEX(编号表!$B:$B,MATCH(H2357,编号表!$A:$A,0))*100000+INDEX(编号表!$F:$F,MATCH(D2357,编号表!$E:$E,0))*10000+INDEX(编号表!$D:$D,MATCH(AG2357,编号表!$C:$C,0))*1000+F2357</f>
        <v>11914123</v>
      </c>
      <c r="C2357" s="14" t="s">
        <v>4010</v>
      </c>
      <c r="D2357" s="14" t="s">
        <v>72</v>
      </c>
      <c r="E2357" s="14" t="s">
        <v>92</v>
      </c>
      <c r="F2357" s="14">
        <v>123</v>
      </c>
      <c r="G2357" s="14">
        <v>60</v>
      </c>
      <c r="H2357" s="14" t="s">
        <v>1400</v>
      </c>
      <c r="I2357" s="14" t="s">
        <v>75</v>
      </c>
      <c r="J2357" s="14" t="s">
        <v>201</v>
      </c>
      <c r="K2357" s="14">
        <v>1</v>
      </c>
      <c r="L2357" s="14" t="s">
        <v>1400</v>
      </c>
      <c r="N2357" s="14">
        <v>0</v>
      </c>
      <c r="O2357" s="14" t="b">
        <v>1</v>
      </c>
      <c r="Q2357" s="14" t="b">
        <v>0</v>
      </c>
      <c r="R2357" s="14">
        <v>1</v>
      </c>
      <c r="S2357" s="14" t="s">
        <v>77</v>
      </c>
      <c r="T2357" s="14">
        <v>999</v>
      </c>
      <c r="U2357" s="14" t="s">
        <v>1401</v>
      </c>
      <c r="V2357" s="14">
        <v>31914123</v>
      </c>
      <c r="X2357" s="14" t="s">
        <v>4011</v>
      </c>
      <c r="Y2357" s="14" t="s">
        <v>215</v>
      </c>
      <c r="Z2357" s="14">
        <v>21120</v>
      </c>
      <c r="AA2357" s="14" t="s">
        <v>4012</v>
      </c>
      <c r="AB2357" s="14">
        <v>40001</v>
      </c>
      <c r="AE2357" s="14" t="s">
        <v>1400</v>
      </c>
      <c r="AF2357" s="14" t="s">
        <v>1400</v>
      </c>
      <c r="AG2357" s="14" t="s">
        <v>92</v>
      </c>
    </row>
    <row r="2358" spans="2:33">
      <c r="B2358" s="14">
        <f>10000000+INDEX(编号表!$B:$B,MATCH(H2358,编号表!$A:$A,0))*100000+INDEX(编号表!$F:$F,MATCH(D2358,编号表!$E:$E,0))*10000+INDEX(编号表!$D:$D,MATCH(AG2358,编号表!$C:$C,0))*1000+F2358</f>
        <v>11924124</v>
      </c>
      <c r="C2358" s="14" t="s">
        <v>4010</v>
      </c>
      <c r="D2358" s="14" t="s">
        <v>112</v>
      </c>
      <c r="E2358" s="14" t="s">
        <v>92</v>
      </c>
      <c r="F2358" s="14">
        <v>124</v>
      </c>
      <c r="G2358" s="14">
        <v>60</v>
      </c>
      <c r="H2358" s="14" t="s">
        <v>1400</v>
      </c>
      <c r="I2358" s="14" t="s">
        <v>75</v>
      </c>
      <c r="J2358" s="14" t="s">
        <v>201</v>
      </c>
      <c r="K2358" s="14">
        <v>1</v>
      </c>
      <c r="L2358" s="14" t="s">
        <v>1400</v>
      </c>
      <c r="N2358" s="14">
        <v>0</v>
      </c>
      <c r="O2358" s="14" t="b">
        <v>1</v>
      </c>
      <c r="Q2358" s="14" t="b">
        <v>0</v>
      </c>
      <c r="R2358" s="14">
        <v>1</v>
      </c>
      <c r="S2358" s="14" t="s">
        <v>77</v>
      </c>
      <c r="T2358" s="14">
        <v>999</v>
      </c>
      <c r="U2358" s="14" t="s">
        <v>1401</v>
      </c>
      <c r="V2358" s="14">
        <v>31924124</v>
      </c>
      <c r="X2358" s="14" t="s">
        <v>4013</v>
      </c>
      <c r="Y2358" s="14" t="s">
        <v>215</v>
      </c>
      <c r="Z2358" s="14">
        <v>21121</v>
      </c>
      <c r="AA2358" s="14" t="s">
        <v>4014</v>
      </c>
      <c r="AB2358" s="14">
        <v>40001</v>
      </c>
      <c r="AE2358" s="14" t="s">
        <v>1400</v>
      </c>
      <c r="AF2358" s="14" t="s">
        <v>1400</v>
      </c>
      <c r="AG2358" s="14" t="s">
        <v>92</v>
      </c>
    </row>
    <row r="2359" spans="2:33">
      <c r="B2359" s="14">
        <f>10000000+INDEX(编号表!$B:$B,MATCH(H2359,编号表!$A:$A,0))*100000+INDEX(编号表!$F:$F,MATCH(D2359,编号表!$E:$E,0))*10000+INDEX(编号表!$D:$D,MATCH(AG2359,编号表!$C:$C,0))*1000+F2359</f>
        <v>11934125</v>
      </c>
      <c r="C2359" s="14" t="s">
        <v>4010</v>
      </c>
      <c r="D2359" s="14" t="s">
        <v>276</v>
      </c>
      <c r="E2359" s="14" t="s">
        <v>92</v>
      </c>
      <c r="F2359" s="14">
        <v>125</v>
      </c>
      <c r="G2359" s="14">
        <v>60</v>
      </c>
      <c r="H2359" s="14" t="s">
        <v>1400</v>
      </c>
      <c r="I2359" s="14" t="s">
        <v>75</v>
      </c>
      <c r="J2359" s="14" t="s">
        <v>201</v>
      </c>
      <c r="K2359" s="14">
        <v>1</v>
      </c>
      <c r="L2359" s="14" t="s">
        <v>1400</v>
      </c>
      <c r="N2359" s="14">
        <v>0</v>
      </c>
      <c r="O2359" s="14" t="b">
        <v>1</v>
      </c>
      <c r="Q2359" s="14" t="b">
        <v>0</v>
      </c>
      <c r="R2359" s="14">
        <v>1</v>
      </c>
      <c r="S2359" s="14" t="s">
        <v>77</v>
      </c>
      <c r="T2359" s="14">
        <v>999</v>
      </c>
      <c r="U2359" s="14" t="s">
        <v>1401</v>
      </c>
      <c r="V2359" s="14">
        <v>31934125</v>
      </c>
      <c r="X2359" s="14" t="s">
        <v>4015</v>
      </c>
      <c r="Y2359" s="14" t="s">
        <v>215</v>
      </c>
      <c r="Z2359" s="14">
        <v>21122</v>
      </c>
      <c r="AA2359" s="14" t="s">
        <v>4016</v>
      </c>
      <c r="AB2359" s="14">
        <v>40001</v>
      </c>
      <c r="AE2359" s="14" t="s">
        <v>1400</v>
      </c>
      <c r="AF2359" s="14" t="s">
        <v>1400</v>
      </c>
      <c r="AG2359" s="14" t="s">
        <v>92</v>
      </c>
    </row>
    <row r="2360" spans="2:33">
      <c r="B2360" s="14">
        <f>10000000+INDEX(编号表!$B:$B,MATCH(H2360,编号表!$A:$A,0))*100000+INDEX(编号表!$F:$F,MATCH(D2360,编号表!$E:$E,0))*10000+INDEX(编号表!$D:$D,MATCH(AG2360,编号表!$C:$C,0))*1000+F2360</f>
        <v>11914124</v>
      </c>
      <c r="C2360" s="14" t="s">
        <v>4017</v>
      </c>
      <c r="D2360" s="14" t="s">
        <v>72</v>
      </c>
      <c r="E2360" s="14" t="s">
        <v>92</v>
      </c>
      <c r="F2360" s="14">
        <v>124</v>
      </c>
      <c r="G2360" s="14">
        <v>60</v>
      </c>
      <c r="H2360" s="14" t="s">
        <v>1400</v>
      </c>
      <c r="I2360" s="14" t="s">
        <v>75</v>
      </c>
      <c r="J2360" s="14" t="s">
        <v>201</v>
      </c>
      <c r="K2360" s="14">
        <v>1</v>
      </c>
      <c r="L2360" s="14" t="s">
        <v>1400</v>
      </c>
      <c r="N2360" s="14">
        <v>0</v>
      </c>
      <c r="O2360" s="14" t="b">
        <v>1</v>
      </c>
      <c r="Q2360" s="14" t="b">
        <v>0</v>
      </c>
      <c r="R2360" s="14">
        <v>1</v>
      </c>
      <c r="S2360" s="14" t="s">
        <v>77</v>
      </c>
      <c r="T2360" s="14">
        <v>999</v>
      </c>
      <c r="U2360" s="14" t="s">
        <v>1401</v>
      </c>
      <c r="V2360" s="14">
        <v>31914124</v>
      </c>
      <c r="X2360" s="14" t="s">
        <v>4018</v>
      </c>
      <c r="Y2360" s="14" t="s">
        <v>215</v>
      </c>
      <c r="Z2360" s="14">
        <v>21123</v>
      </c>
      <c r="AA2360" s="14" t="s">
        <v>4019</v>
      </c>
      <c r="AB2360" s="14">
        <v>40001</v>
      </c>
      <c r="AE2360" s="14" t="s">
        <v>1400</v>
      </c>
      <c r="AF2360" s="14" t="s">
        <v>1400</v>
      </c>
      <c r="AG2360" s="14" t="s">
        <v>92</v>
      </c>
    </row>
    <row r="2361" spans="2:33">
      <c r="B2361" s="14">
        <f>10000000+INDEX(编号表!$B:$B,MATCH(H2361,编号表!$A:$A,0))*100000+INDEX(编号表!$F:$F,MATCH(D2361,编号表!$E:$E,0))*10000+INDEX(编号表!$D:$D,MATCH(AG2361,编号表!$C:$C,0))*1000+F2361</f>
        <v>11924125</v>
      </c>
      <c r="C2361" s="14" t="s">
        <v>4017</v>
      </c>
      <c r="D2361" s="14" t="s">
        <v>112</v>
      </c>
      <c r="E2361" s="14" t="s">
        <v>92</v>
      </c>
      <c r="F2361" s="14">
        <v>125</v>
      </c>
      <c r="G2361" s="14">
        <v>60</v>
      </c>
      <c r="H2361" s="14" t="s">
        <v>1400</v>
      </c>
      <c r="I2361" s="14" t="s">
        <v>75</v>
      </c>
      <c r="J2361" s="14" t="s">
        <v>201</v>
      </c>
      <c r="K2361" s="14">
        <v>1</v>
      </c>
      <c r="L2361" s="14" t="s">
        <v>1400</v>
      </c>
      <c r="N2361" s="14">
        <v>0</v>
      </c>
      <c r="O2361" s="14" t="b">
        <v>1</v>
      </c>
      <c r="Q2361" s="14" t="b">
        <v>0</v>
      </c>
      <c r="R2361" s="14">
        <v>1</v>
      </c>
      <c r="S2361" s="14" t="s">
        <v>77</v>
      </c>
      <c r="T2361" s="14">
        <v>999</v>
      </c>
      <c r="U2361" s="14" t="s">
        <v>1401</v>
      </c>
      <c r="V2361" s="14">
        <v>31924125</v>
      </c>
      <c r="X2361" s="14" t="s">
        <v>4020</v>
      </c>
      <c r="Y2361" s="14" t="s">
        <v>215</v>
      </c>
      <c r="Z2361" s="14">
        <v>21124</v>
      </c>
      <c r="AA2361" s="14" t="s">
        <v>4021</v>
      </c>
      <c r="AB2361" s="14">
        <v>40001</v>
      </c>
      <c r="AE2361" s="14" t="s">
        <v>1400</v>
      </c>
      <c r="AF2361" s="14" t="s">
        <v>1400</v>
      </c>
      <c r="AG2361" s="14" t="s">
        <v>92</v>
      </c>
    </row>
    <row r="2362" spans="2:33">
      <c r="B2362" s="14">
        <f>10000000+INDEX(编号表!$B:$B,MATCH(H2362,编号表!$A:$A,0))*100000+INDEX(编号表!$F:$F,MATCH(D2362,编号表!$E:$E,0))*10000+INDEX(编号表!$D:$D,MATCH(AG2362,编号表!$C:$C,0))*1000+F2362</f>
        <v>11934126</v>
      </c>
      <c r="C2362" s="14" t="s">
        <v>4017</v>
      </c>
      <c r="D2362" s="14" t="s">
        <v>276</v>
      </c>
      <c r="E2362" s="14" t="s">
        <v>92</v>
      </c>
      <c r="F2362" s="14">
        <v>126</v>
      </c>
      <c r="G2362" s="14">
        <v>60</v>
      </c>
      <c r="H2362" s="14" t="s">
        <v>1400</v>
      </c>
      <c r="I2362" s="14" t="s">
        <v>75</v>
      </c>
      <c r="J2362" s="14" t="s">
        <v>201</v>
      </c>
      <c r="K2362" s="14">
        <v>1</v>
      </c>
      <c r="L2362" s="14" t="s">
        <v>1400</v>
      </c>
      <c r="N2362" s="14">
        <v>0</v>
      </c>
      <c r="O2362" s="14" t="b">
        <v>1</v>
      </c>
      <c r="Q2362" s="14" t="b">
        <v>0</v>
      </c>
      <c r="R2362" s="14">
        <v>1</v>
      </c>
      <c r="S2362" s="14" t="s">
        <v>77</v>
      </c>
      <c r="T2362" s="14">
        <v>999</v>
      </c>
      <c r="U2362" s="14" t="s">
        <v>1401</v>
      </c>
      <c r="V2362" s="14">
        <v>31934126</v>
      </c>
      <c r="X2362" s="14" t="s">
        <v>4022</v>
      </c>
      <c r="Y2362" s="14" t="s">
        <v>215</v>
      </c>
      <c r="Z2362" s="14">
        <v>21125</v>
      </c>
      <c r="AA2362" s="14" t="s">
        <v>4023</v>
      </c>
      <c r="AB2362" s="14">
        <v>40001</v>
      </c>
      <c r="AE2362" s="14" t="s">
        <v>1400</v>
      </c>
      <c r="AF2362" s="14" t="s">
        <v>1400</v>
      </c>
      <c r="AG2362" s="14" t="s">
        <v>92</v>
      </c>
    </row>
    <row r="2363" spans="2:33">
      <c r="B2363" s="14">
        <f>10000000+INDEX(编号表!$B:$B,MATCH(H2363,编号表!$A:$A,0))*100000+INDEX(编号表!$F:$F,MATCH(D2363,编号表!$E:$E,0))*10000+INDEX(编号表!$D:$D,MATCH(AG2363,编号表!$C:$C,0))*1000+F2363</f>
        <v>11925000</v>
      </c>
      <c r="C2363" s="14" t="s">
        <v>4024</v>
      </c>
      <c r="D2363" s="14" t="s">
        <v>112</v>
      </c>
      <c r="E2363" s="14" t="s">
        <v>95</v>
      </c>
      <c r="F2363" s="14">
        <v>0</v>
      </c>
      <c r="G2363" s="14">
        <v>60</v>
      </c>
      <c r="H2363" s="14" t="s">
        <v>1400</v>
      </c>
      <c r="I2363" s="14" t="s">
        <v>75</v>
      </c>
      <c r="J2363" s="14" t="s">
        <v>201</v>
      </c>
      <c r="K2363" s="14">
        <v>1</v>
      </c>
      <c r="L2363" s="14" t="s">
        <v>1400</v>
      </c>
      <c r="N2363" s="14">
        <v>0</v>
      </c>
      <c r="O2363" s="14" t="b">
        <v>1</v>
      </c>
      <c r="Q2363" s="14" t="b">
        <v>0</v>
      </c>
      <c r="R2363" s="14">
        <v>1</v>
      </c>
      <c r="S2363" s="14" t="s">
        <v>77</v>
      </c>
      <c r="T2363" s="14">
        <v>999</v>
      </c>
      <c r="U2363" s="14" t="s">
        <v>1401</v>
      </c>
      <c r="V2363" s="14">
        <v>31925000</v>
      </c>
      <c r="X2363" s="14" t="s">
        <v>4025</v>
      </c>
      <c r="Y2363" s="14" t="s">
        <v>215</v>
      </c>
      <c r="Z2363" s="14">
        <v>21126</v>
      </c>
      <c r="AA2363" s="14" t="s">
        <v>4026</v>
      </c>
      <c r="AB2363" s="14">
        <v>40001</v>
      </c>
      <c r="AE2363" s="14" t="s">
        <v>1400</v>
      </c>
      <c r="AF2363" s="14" t="s">
        <v>1400</v>
      </c>
      <c r="AG2363" s="14" t="s">
        <v>95</v>
      </c>
    </row>
    <row r="2364" spans="2:33">
      <c r="B2364" s="14">
        <f>10000000+INDEX(编号表!$B:$B,MATCH(H2364,编号表!$A:$A,0))*100000+INDEX(编号表!$F:$F,MATCH(D2364,编号表!$E:$E,0))*10000+INDEX(编号表!$D:$D,MATCH(AG2364,编号表!$C:$C,0))*1000+F2364</f>
        <v>11935001</v>
      </c>
      <c r="C2364" s="14" t="s">
        <v>4024</v>
      </c>
      <c r="D2364" s="14" t="s">
        <v>276</v>
      </c>
      <c r="E2364" s="14" t="s">
        <v>95</v>
      </c>
      <c r="F2364" s="14">
        <v>1</v>
      </c>
      <c r="G2364" s="14">
        <v>60</v>
      </c>
      <c r="H2364" s="14" t="s">
        <v>1400</v>
      </c>
      <c r="I2364" s="14" t="s">
        <v>75</v>
      </c>
      <c r="J2364" s="14" t="s">
        <v>201</v>
      </c>
      <c r="K2364" s="14">
        <v>1</v>
      </c>
      <c r="L2364" s="14" t="s">
        <v>1400</v>
      </c>
      <c r="N2364" s="14">
        <v>0</v>
      </c>
      <c r="O2364" s="14" t="b">
        <v>1</v>
      </c>
      <c r="Q2364" s="14" t="b">
        <v>0</v>
      </c>
      <c r="R2364" s="14">
        <v>1</v>
      </c>
      <c r="S2364" s="14" t="s">
        <v>77</v>
      </c>
      <c r="T2364" s="14">
        <v>999</v>
      </c>
      <c r="U2364" s="14" t="s">
        <v>1401</v>
      </c>
      <c r="V2364" s="14">
        <v>31935001</v>
      </c>
      <c r="X2364" s="14" t="s">
        <v>4027</v>
      </c>
      <c r="Y2364" s="14" t="s">
        <v>215</v>
      </c>
      <c r="Z2364" s="14">
        <v>21127</v>
      </c>
      <c r="AA2364" s="14" t="s">
        <v>4028</v>
      </c>
      <c r="AB2364" s="14">
        <v>40001</v>
      </c>
      <c r="AE2364" s="14" t="s">
        <v>1400</v>
      </c>
      <c r="AF2364" s="14" t="s">
        <v>1400</v>
      </c>
      <c r="AG2364" s="14" t="s">
        <v>95</v>
      </c>
    </row>
    <row r="2365" spans="2:33">
      <c r="B2365" s="14">
        <f>10000000+INDEX(编号表!$B:$B,MATCH(H2365,编号表!$A:$A,0))*100000+INDEX(编号表!$F:$F,MATCH(D2365,编号表!$E:$E,0))*10000+INDEX(编号表!$D:$D,MATCH(AG2365,编号表!$C:$C,0))*1000+F2365</f>
        <v>11945002</v>
      </c>
      <c r="C2365" s="14" t="s">
        <v>4024</v>
      </c>
      <c r="D2365" s="14" t="s">
        <v>104</v>
      </c>
      <c r="E2365" s="14" t="s">
        <v>95</v>
      </c>
      <c r="F2365" s="14">
        <v>2</v>
      </c>
      <c r="G2365" s="14">
        <v>60</v>
      </c>
      <c r="H2365" s="14" t="s">
        <v>1400</v>
      </c>
      <c r="I2365" s="14" t="s">
        <v>75</v>
      </c>
      <c r="J2365" s="14" t="s">
        <v>201</v>
      </c>
      <c r="K2365" s="14">
        <v>1</v>
      </c>
      <c r="L2365" s="14" t="s">
        <v>1400</v>
      </c>
      <c r="N2365" s="14">
        <v>0</v>
      </c>
      <c r="O2365" s="14" t="b">
        <v>1</v>
      </c>
      <c r="Q2365" s="14" t="b">
        <v>0</v>
      </c>
      <c r="R2365" s="14">
        <v>1</v>
      </c>
      <c r="S2365" s="14" t="s">
        <v>77</v>
      </c>
      <c r="T2365" s="14">
        <v>999</v>
      </c>
      <c r="U2365" s="14" t="s">
        <v>1401</v>
      </c>
      <c r="V2365" s="14">
        <v>31945002</v>
      </c>
      <c r="X2365" s="14" t="s">
        <v>4029</v>
      </c>
      <c r="Y2365" s="14" t="s">
        <v>215</v>
      </c>
      <c r="Z2365" s="14">
        <v>21128</v>
      </c>
      <c r="AA2365" s="14" t="s">
        <v>4030</v>
      </c>
      <c r="AB2365" s="14">
        <v>40001</v>
      </c>
      <c r="AE2365" s="14" t="s">
        <v>1400</v>
      </c>
      <c r="AF2365" s="14" t="s">
        <v>1400</v>
      </c>
      <c r="AG2365" s="14" t="s">
        <v>95</v>
      </c>
    </row>
    <row r="2366" spans="2:33">
      <c r="B2366" s="14">
        <f>10000000+INDEX(编号表!$B:$B,MATCH(H2366,编号表!$A:$A,0))*100000+INDEX(编号表!$F:$F,MATCH(D2366,编号表!$E:$E,0))*10000+INDEX(编号表!$D:$D,MATCH(AG2366,编号表!$C:$C,0))*1000+F2366</f>
        <v>11925001</v>
      </c>
      <c r="C2366" s="14" t="s">
        <v>4031</v>
      </c>
      <c r="D2366" s="14" t="s">
        <v>112</v>
      </c>
      <c r="E2366" s="14" t="s">
        <v>95</v>
      </c>
      <c r="F2366" s="14">
        <v>1</v>
      </c>
      <c r="G2366" s="14">
        <v>60</v>
      </c>
      <c r="H2366" s="14" t="s">
        <v>1400</v>
      </c>
      <c r="I2366" s="14" t="s">
        <v>75</v>
      </c>
      <c r="J2366" s="14" t="s">
        <v>201</v>
      </c>
      <c r="K2366" s="14">
        <v>1</v>
      </c>
      <c r="L2366" s="14" t="s">
        <v>1400</v>
      </c>
      <c r="N2366" s="14">
        <v>0</v>
      </c>
      <c r="O2366" s="14" t="b">
        <v>1</v>
      </c>
      <c r="Q2366" s="14" t="b">
        <v>0</v>
      </c>
      <c r="R2366" s="14">
        <v>1</v>
      </c>
      <c r="S2366" s="14" t="s">
        <v>77</v>
      </c>
      <c r="T2366" s="14">
        <v>999</v>
      </c>
      <c r="U2366" s="14" t="s">
        <v>1401</v>
      </c>
      <c r="V2366" s="14">
        <v>31925001</v>
      </c>
      <c r="X2366" s="14" t="s">
        <v>4032</v>
      </c>
      <c r="Y2366" s="14" t="s">
        <v>215</v>
      </c>
      <c r="Z2366" s="14">
        <v>21129</v>
      </c>
      <c r="AA2366" s="14" t="s">
        <v>4033</v>
      </c>
      <c r="AB2366" s="14">
        <v>40001</v>
      </c>
      <c r="AE2366" s="14" t="s">
        <v>1400</v>
      </c>
      <c r="AF2366" s="14" t="s">
        <v>1400</v>
      </c>
      <c r="AG2366" s="14" t="s">
        <v>95</v>
      </c>
    </row>
    <row r="2367" spans="2:33">
      <c r="B2367" s="14">
        <f>10000000+INDEX(编号表!$B:$B,MATCH(H2367,编号表!$A:$A,0))*100000+INDEX(编号表!$F:$F,MATCH(D2367,编号表!$E:$E,0))*10000+INDEX(编号表!$D:$D,MATCH(AG2367,编号表!$C:$C,0))*1000+F2367</f>
        <v>11935002</v>
      </c>
      <c r="C2367" s="14" t="s">
        <v>4031</v>
      </c>
      <c r="D2367" s="14" t="s">
        <v>276</v>
      </c>
      <c r="E2367" s="14" t="s">
        <v>95</v>
      </c>
      <c r="F2367" s="14">
        <v>2</v>
      </c>
      <c r="G2367" s="14">
        <v>60</v>
      </c>
      <c r="H2367" s="14" t="s">
        <v>1400</v>
      </c>
      <c r="I2367" s="14" t="s">
        <v>75</v>
      </c>
      <c r="J2367" s="14" t="s">
        <v>201</v>
      </c>
      <c r="K2367" s="14">
        <v>1</v>
      </c>
      <c r="L2367" s="14" t="s">
        <v>1400</v>
      </c>
      <c r="N2367" s="14">
        <v>0</v>
      </c>
      <c r="O2367" s="14" t="b">
        <v>1</v>
      </c>
      <c r="Q2367" s="14" t="b">
        <v>0</v>
      </c>
      <c r="R2367" s="14">
        <v>1</v>
      </c>
      <c r="S2367" s="14" t="s">
        <v>77</v>
      </c>
      <c r="T2367" s="14">
        <v>999</v>
      </c>
      <c r="U2367" s="14" t="s">
        <v>1401</v>
      </c>
      <c r="V2367" s="14">
        <v>31935002</v>
      </c>
      <c r="X2367" s="14" t="s">
        <v>4034</v>
      </c>
      <c r="Y2367" s="14" t="s">
        <v>215</v>
      </c>
      <c r="Z2367" s="14">
        <v>21130</v>
      </c>
      <c r="AA2367" s="14" t="s">
        <v>4035</v>
      </c>
      <c r="AB2367" s="14">
        <v>40001</v>
      </c>
      <c r="AE2367" s="14" t="s">
        <v>1400</v>
      </c>
      <c r="AF2367" s="14" t="s">
        <v>1400</v>
      </c>
      <c r="AG2367" s="14" t="s">
        <v>95</v>
      </c>
    </row>
    <row r="2368" spans="2:33">
      <c r="B2368" s="14">
        <f>10000000+INDEX(编号表!$B:$B,MATCH(H2368,编号表!$A:$A,0))*100000+INDEX(编号表!$F:$F,MATCH(D2368,编号表!$E:$E,0))*10000+INDEX(编号表!$D:$D,MATCH(AG2368,编号表!$C:$C,0))*1000+F2368</f>
        <v>11945003</v>
      </c>
      <c r="C2368" s="14" t="s">
        <v>4031</v>
      </c>
      <c r="D2368" s="14" t="s">
        <v>104</v>
      </c>
      <c r="E2368" s="14" t="s">
        <v>95</v>
      </c>
      <c r="F2368" s="14">
        <v>3</v>
      </c>
      <c r="G2368" s="14">
        <v>60</v>
      </c>
      <c r="H2368" s="14" t="s">
        <v>1400</v>
      </c>
      <c r="I2368" s="14" t="s">
        <v>75</v>
      </c>
      <c r="J2368" s="14" t="s">
        <v>201</v>
      </c>
      <c r="K2368" s="14">
        <v>1</v>
      </c>
      <c r="L2368" s="14" t="s">
        <v>1400</v>
      </c>
      <c r="N2368" s="14">
        <v>0</v>
      </c>
      <c r="O2368" s="14" t="b">
        <v>1</v>
      </c>
      <c r="Q2368" s="14" t="b">
        <v>0</v>
      </c>
      <c r="R2368" s="14">
        <v>1</v>
      </c>
      <c r="S2368" s="14" t="s">
        <v>77</v>
      </c>
      <c r="T2368" s="14">
        <v>999</v>
      </c>
      <c r="U2368" s="14" t="s">
        <v>1401</v>
      </c>
      <c r="V2368" s="14">
        <v>31945003</v>
      </c>
      <c r="X2368" s="14" t="s">
        <v>4036</v>
      </c>
      <c r="Y2368" s="14" t="s">
        <v>215</v>
      </c>
      <c r="Z2368" s="14">
        <v>21131</v>
      </c>
      <c r="AA2368" s="14" t="s">
        <v>4037</v>
      </c>
      <c r="AB2368" s="14">
        <v>40001</v>
      </c>
      <c r="AE2368" s="14" t="s">
        <v>1400</v>
      </c>
      <c r="AF2368" s="14" t="s">
        <v>1400</v>
      </c>
      <c r="AG2368" s="14" t="s">
        <v>95</v>
      </c>
    </row>
    <row r="2369" spans="2:33">
      <c r="B2369" s="14">
        <f>10000000+INDEX(编号表!$B:$B,MATCH(H2369,编号表!$A:$A,0))*100000+INDEX(编号表!$F:$F,MATCH(D2369,编号表!$E:$E,0))*10000+INDEX(编号表!$D:$D,MATCH(AG2369,编号表!$C:$C,0))*1000+F2369</f>
        <v>11925002</v>
      </c>
      <c r="C2369" s="14" t="s">
        <v>4038</v>
      </c>
      <c r="D2369" s="14" t="s">
        <v>112</v>
      </c>
      <c r="E2369" s="14" t="s">
        <v>95</v>
      </c>
      <c r="F2369" s="14">
        <v>2</v>
      </c>
      <c r="G2369" s="14">
        <v>60</v>
      </c>
      <c r="H2369" s="14" t="s">
        <v>1400</v>
      </c>
      <c r="I2369" s="14" t="s">
        <v>75</v>
      </c>
      <c r="J2369" s="14" t="s">
        <v>201</v>
      </c>
      <c r="K2369" s="14">
        <v>1</v>
      </c>
      <c r="L2369" s="14" t="s">
        <v>1400</v>
      </c>
      <c r="N2369" s="14">
        <v>0</v>
      </c>
      <c r="O2369" s="14" t="b">
        <v>1</v>
      </c>
      <c r="Q2369" s="14" t="b">
        <v>0</v>
      </c>
      <c r="R2369" s="14">
        <v>1</v>
      </c>
      <c r="S2369" s="14" t="s">
        <v>77</v>
      </c>
      <c r="T2369" s="14">
        <v>999</v>
      </c>
      <c r="U2369" s="14" t="s">
        <v>1401</v>
      </c>
      <c r="V2369" s="14">
        <v>31925002</v>
      </c>
      <c r="X2369" s="14" t="s">
        <v>4039</v>
      </c>
      <c r="Y2369" s="14" t="s">
        <v>215</v>
      </c>
      <c r="Z2369" s="14">
        <v>21132</v>
      </c>
      <c r="AA2369" s="14" t="s">
        <v>4040</v>
      </c>
      <c r="AB2369" s="14">
        <v>40001</v>
      </c>
      <c r="AE2369" s="14" t="s">
        <v>1400</v>
      </c>
      <c r="AF2369" s="14" t="s">
        <v>1400</v>
      </c>
      <c r="AG2369" s="14" t="s">
        <v>95</v>
      </c>
    </row>
    <row r="2370" spans="2:33">
      <c r="B2370" s="14">
        <f>10000000+INDEX(编号表!$B:$B,MATCH(H2370,编号表!$A:$A,0))*100000+INDEX(编号表!$F:$F,MATCH(D2370,编号表!$E:$E,0))*10000+INDEX(编号表!$D:$D,MATCH(AG2370,编号表!$C:$C,0))*1000+F2370</f>
        <v>11935003</v>
      </c>
      <c r="C2370" s="14" t="s">
        <v>4038</v>
      </c>
      <c r="D2370" s="14" t="s">
        <v>276</v>
      </c>
      <c r="E2370" s="14" t="s">
        <v>95</v>
      </c>
      <c r="F2370" s="14">
        <v>3</v>
      </c>
      <c r="G2370" s="14">
        <v>60</v>
      </c>
      <c r="H2370" s="14" t="s">
        <v>1400</v>
      </c>
      <c r="I2370" s="14" t="s">
        <v>75</v>
      </c>
      <c r="J2370" s="14" t="s">
        <v>201</v>
      </c>
      <c r="K2370" s="14">
        <v>1</v>
      </c>
      <c r="L2370" s="14" t="s">
        <v>1400</v>
      </c>
      <c r="N2370" s="14">
        <v>0</v>
      </c>
      <c r="O2370" s="14" t="b">
        <v>1</v>
      </c>
      <c r="Q2370" s="14" t="b">
        <v>0</v>
      </c>
      <c r="R2370" s="14">
        <v>1</v>
      </c>
      <c r="S2370" s="14" t="s">
        <v>77</v>
      </c>
      <c r="T2370" s="14">
        <v>999</v>
      </c>
      <c r="U2370" s="14" t="s">
        <v>1401</v>
      </c>
      <c r="V2370" s="14">
        <v>31935003</v>
      </c>
      <c r="X2370" s="14" t="s">
        <v>4041</v>
      </c>
      <c r="Y2370" s="14" t="s">
        <v>215</v>
      </c>
      <c r="Z2370" s="14">
        <v>21133</v>
      </c>
      <c r="AA2370" s="14" t="s">
        <v>4042</v>
      </c>
      <c r="AB2370" s="14">
        <v>40001</v>
      </c>
      <c r="AE2370" s="14" t="s">
        <v>1400</v>
      </c>
      <c r="AF2370" s="14" t="s">
        <v>1400</v>
      </c>
      <c r="AG2370" s="14" t="s">
        <v>95</v>
      </c>
    </row>
    <row r="2371" spans="2:33">
      <c r="B2371" s="14">
        <f>10000000+INDEX(编号表!$B:$B,MATCH(H2371,编号表!$A:$A,0))*100000+INDEX(编号表!$F:$F,MATCH(D2371,编号表!$E:$E,0))*10000+INDEX(编号表!$D:$D,MATCH(AG2371,编号表!$C:$C,0))*1000+F2371</f>
        <v>11945004</v>
      </c>
      <c r="C2371" s="14" t="s">
        <v>4038</v>
      </c>
      <c r="D2371" s="14" t="s">
        <v>104</v>
      </c>
      <c r="E2371" s="14" t="s">
        <v>95</v>
      </c>
      <c r="F2371" s="14">
        <v>4</v>
      </c>
      <c r="G2371" s="14">
        <v>60</v>
      </c>
      <c r="H2371" s="14" t="s">
        <v>1400</v>
      </c>
      <c r="I2371" s="14" t="s">
        <v>75</v>
      </c>
      <c r="J2371" s="14" t="s">
        <v>201</v>
      </c>
      <c r="K2371" s="14">
        <v>1</v>
      </c>
      <c r="L2371" s="14" t="s">
        <v>1400</v>
      </c>
      <c r="N2371" s="14">
        <v>0</v>
      </c>
      <c r="O2371" s="14" t="b">
        <v>1</v>
      </c>
      <c r="Q2371" s="14" t="b">
        <v>0</v>
      </c>
      <c r="R2371" s="14">
        <v>1</v>
      </c>
      <c r="S2371" s="14" t="s">
        <v>77</v>
      </c>
      <c r="T2371" s="14">
        <v>999</v>
      </c>
      <c r="U2371" s="14" t="s">
        <v>1401</v>
      </c>
      <c r="V2371" s="14">
        <v>31945004</v>
      </c>
      <c r="X2371" s="14" t="s">
        <v>4043</v>
      </c>
      <c r="Y2371" s="14" t="s">
        <v>215</v>
      </c>
      <c r="Z2371" s="14">
        <v>21134</v>
      </c>
      <c r="AA2371" s="14" t="s">
        <v>4044</v>
      </c>
      <c r="AB2371" s="14">
        <v>40001</v>
      </c>
      <c r="AE2371" s="14" t="s">
        <v>1400</v>
      </c>
      <c r="AF2371" s="14" t="s">
        <v>1400</v>
      </c>
      <c r="AG2371" s="14" t="s">
        <v>95</v>
      </c>
    </row>
    <row r="2372" spans="2:33">
      <c r="B2372" s="14">
        <f>10000000+INDEX(编号表!$B:$B,MATCH(H2372,编号表!$A:$A,0))*100000+INDEX(编号表!$F:$F,MATCH(D2372,编号表!$E:$E,0))*10000+INDEX(编号表!$D:$D,MATCH(AG2372,编号表!$C:$C,0))*1000+F2372</f>
        <v>11925003</v>
      </c>
      <c r="C2372" s="14" t="s">
        <v>4045</v>
      </c>
      <c r="D2372" s="14" t="s">
        <v>112</v>
      </c>
      <c r="E2372" s="14" t="s">
        <v>95</v>
      </c>
      <c r="F2372" s="14">
        <v>3</v>
      </c>
      <c r="G2372" s="14">
        <v>60</v>
      </c>
      <c r="H2372" s="14" t="s">
        <v>1400</v>
      </c>
      <c r="I2372" s="14" t="s">
        <v>75</v>
      </c>
      <c r="J2372" s="14" t="s">
        <v>201</v>
      </c>
      <c r="K2372" s="14">
        <v>1</v>
      </c>
      <c r="L2372" s="14" t="s">
        <v>1400</v>
      </c>
      <c r="N2372" s="14">
        <v>0</v>
      </c>
      <c r="O2372" s="14" t="b">
        <v>1</v>
      </c>
      <c r="Q2372" s="14" t="b">
        <v>0</v>
      </c>
      <c r="R2372" s="14">
        <v>1</v>
      </c>
      <c r="S2372" s="14" t="s">
        <v>77</v>
      </c>
      <c r="T2372" s="14">
        <v>999</v>
      </c>
      <c r="U2372" s="14" t="s">
        <v>1401</v>
      </c>
      <c r="V2372" s="14">
        <v>31925003</v>
      </c>
      <c r="X2372" s="14" t="s">
        <v>4046</v>
      </c>
      <c r="Y2372" s="14" t="s">
        <v>215</v>
      </c>
      <c r="Z2372" s="14">
        <v>21135</v>
      </c>
      <c r="AA2372" s="14" t="s">
        <v>4047</v>
      </c>
      <c r="AB2372" s="14">
        <v>40001</v>
      </c>
      <c r="AE2372" s="14" t="s">
        <v>1400</v>
      </c>
      <c r="AF2372" s="14" t="s">
        <v>1400</v>
      </c>
      <c r="AG2372" s="14" t="s">
        <v>95</v>
      </c>
    </row>
    <row r="2373" spans="2:33">
      <c r="B2373" s="14">
        <f>10000000+INDEX(编号表!$B:$B,MATCH(H2373,编号表!$A:$A,0))*100000+INDEX(编号表!$F:$F,MATCH(D2373,编号表!$E:$E,0))*10000+INDEX(编号表!$D:$D,MATCH(AG2373,编号表!$C:$C,0))*1000+F2373</f>
        <v>11935004</v>
      </c>
      <c r="C2373" s="14" t="s">
        <v>4045</v>
      </c>
      <c r="D2373" s="14" t="s">
        <v>276</v>
      </c>
      <c r="E2373" s="14" t="s">
        <v>95</v>
      </c>
      <c r="F2373" s="14">
        <v>4</v>
      </c>
      <c r="G2373" s="14">
        <v>60</v>
      </c>
      <c r="H2373" s="14" t="s">
        <v>1400</v>
      </c>
      <c r="I2373" s="14" t="s">
        <v>75</v>
      </c>
      <c r="J2373" s="14" t="s">
        <v>201</v>
      </c>
      <c r="K2373" s="14">
        <v>1</v>
      </c>
      <c r="L2373" s="14" t="s">
        <v>1400</v>
      </c>
      <c r="N2373" s="14">
        <v>0</v>
      </c>
      <c r="O2373" s="14" t="b">
        <v>1</v>
      </c>
      <c r="Q2373" s="14" t="b">
        <v>0</v>
      </c>
      <c r="R2373" s="14">
        <v>1</v>
      </c>
      <c r="S2373" s="14" t="s">
        <v>77</v>
      </c>
      <c r="T2373" s="14">
        <v>999</v>
      </c>
      <c r="U2373" s="14" t="s">
        <v>1401</v>
      </c>
      <c r="V2373" s="14">
        <v>31935004</v>
      </c>
      <c r="X2373" s="14" t="s">
        <v>4048</v>
      </c>
      <c r="Y2373" s="14" t="s">
        <v>215</v>
      </c>
      <c r="Z2373" s="14">
        <v>21136</v>
      </c>
      <c r="AA2373" s="14" t="s">
        <v>4049</v>
      </c>
      <c r="AB2373" s="14">
        <v>40001</v>
      </c>
      <c r="AE2373" s="14" t="s">
        <v>1400</v>
      </c>
      <c r="AF2373" s="14" t="s">
        <v>1400</v>
      </c>
      <c r="AG2373" s="14" t="s">
        <v>95</v>
      </c>
    </row>
    <row r="2374" spans="2:33">
      <c r="B2374" s="14">
        <f>10000000+INDEX(编号表!$B:$B,MATCH(H2374,编号表!$A:$A,0))*100000+INDEX(编号表!$F:$F,MATCH(D2374,编号表!$E:$E,0))*10000+INDEX(编号表!$D:$D,MATCH(AG2374,编号表!$C:$C,0))*1000+F2374</f>
        <v>11945005</v>
      </c>
      <c r="C2374" s="14" t="s">
        <v>4045</v>
      </c>
      <c r="D2374" s="14" t="s">
        <v>104</v>
      </c>
      <c r="E2374" s="14" t="s">
        <v>95</v>
      </c>
      <c r="F2374" s="14">
        <v>5</v>
      </c>
      <c r="G2374" s="14">
        <v>60</v>
      </c>
      <c r="H2374" s="14" t="s">
        <v>1400</v>
      </c>
      <c r="I2374" s="14" t="s">
        <v>75</v>
      </c>
      <c r="J2374" s="14" t="s">
        <v>201</v>
      </c>
      <c r="K2374" s="14">
        <v>1</v>
      </c>
      <c r="L2374" s="14" t="s">
        <v>1400</v>
      </c>
      <c r="N2374" s="14">
        <v>0</v>
      </c>
      <c r="O2374" s="14" t="b">
        <v>1</v>
      </c>
      <c r="Q2374" s="14" t="b">
        <v>0</v>
      </c>
      <c r="R2374" s="14">
        <v>1</v>
      </c>
      <c r="S2374" s="14" t="s">
        <v>77</v>
      </c>
      <c r="T2374" s="14">
        <v>999</v>
      </c>
      <c r="U2374" s="14" t="s">
        <v>1401</v>
      </c>
      <c r="V2374" s="14">
        <v>31945005</v>
      </c>
      <c r="X2374" s="14" t="s">
        <v>4050</v>
      </c>
      <c r="Y2374" s="14" t="s">
        <v>215</v>
      </c>
      <c r="Z2374" s="14">
        <v>21137</v>
      </c>
      <c r="AA2374" s="14" t="s">
        <v>4051</v>
      </c>
      <c r="AB2374" s="14">
        <v>40001</v>
      </c>
      <c r="AE2374" s="14" t="s">
        <v>1400</v>
      </c>
      <c r="AF2374" s="14" t="s">
        <v>1400</v>
      </c>
      <c r="AG2374" s="14" t="s">
        <v>95</v>
      </c>
    </row>
    <row r="2375" spans="2:33">
      <c r="B2375" s="14">
        <f>10000000+INDEX(编号表!$B:$B,MATCH(H2375,编号表!$A:$A,0))*100000+INDEX(编号表!$F:$F,MATCH(D2375,编号表!$E:$E,0))*10000+INDEX(编号表!$D:$D,MATCH(AG2375,编号表!$C:$C,0))*1000+F2375</f>
        <v>11925004</v>
      </c>
      <c r="C2375" s="14" t="s">
        <v>4052</v>
      </c>
      <c r="D2375" s="14" t="s">
        <v>112</v>
      </c>
      <c r="E2375" s="14" t="s">
        <v>95</v>
      </c>
      <c r="F2375" s="14">
        <v>4</v>
      </c>
      <c r="G2375" s="14">
        <v>60</v>
      </c>
      <c r="H2375" s="14" t="s">
        <v>1400</v>
      </c>
      <c r="I2375" s="14" t="s">
        <v>75</v>
      </c>
      <c r="J2375" s="14" t="s">
        <v>201</v>
      </c>
      <c r="K2375" s="14">
        <v>1</v>
      </c>
      <c r="L2375" s="14" t="s">
        <v>1400</v>
      </c>
      <c r="N2375" s="14">
        <v>0</v>
      </c>
      <c r="O2375" s="14" t="b">
        <v>1</v>
      </c>
      <c r="Q2375" s="14" t="b">
        <v>0</v>
      </c>
      <c r="R2375" s="14">
        <v>1</v>
      </c>
      <c r="S2375" s="14" t="s">
        <v>77</v>
      </c>
      <c r="T2375" s="14">
        <v>999</v>
      </c>
      <c r="U2375" s="14" t="s">
        <v>1401</v>
      </c>
      <c r="V2375" s="14">
        <v>31925004</v>
      </c>
      <c r="X2375" s="14" t="s">
        <v>4053</v>
      </c>
      <c r="Y2375" s="14" t="s">
        <v>215</v>
      </c>
      <c r="Z2375" s="14">
        <v>21138</v>
      </c>
      <c r="AA2375" s="14" t="s">
        <v>4054</v>
      </c>
      <c r="AB2375" s="14">
        <v>40001</v>
      </c>
      <c r="AE2375" s="14" t="s">
        <v>1400</v>
      </c>
      <c r="AF2375" s="14" t="s">
        <v>1400</v>
      </c>
      <c r="AG2375" s="14" t="s">
        <v>95</v>
      </c>
    </row>
    <row r="2376" spans="2:33">
      <c r="B2376" s="14">
        <f>10000000+INDEX(编号表!$B:$B,MATCH(H2376,编号表!$A:$A,0))*100000+INDEX(编号表!$F:$F,MATCH(D2376,编号表!$E:$E,0))*10000+INDEX(编号表!$D:$D,MATCH(AG2376,编号表!$C:$C,0))*1000+F2376</f>
        <v>11935005</v>
      </c>
      <c r="C2376" s="14" t="s">
        <v>4052</v>
      </c>
      <c r="D2376" s="14" t="s">
        <v>276</v>
      </c>
      <c r="E2376" s="14" t="s">
        <v>95</v>
      </c>
      <c r="F2376" s="14">
        <v>5</v>
      </c>
      <c r="G2376" s="14">
        <v>60</v>
      </c>
      <c r="H2376" s="14" t="s">
        <v>1400</v>
      </c>
      <c r="I2376" s="14" t="s">
        <v>75</v>
      </c>
      <c r="J2376" s="14" t="s">
        <v>201</v>
      </c>
      <c r="K2376" s="14">
        <v>1</v>
      </c>
      <c r="L2376" s="14" t="s">
        <v>1400</v>
      </c>
      <c r="N2376" s="14">
        <v>0</v>
      </c>
      <c r="O2376" s="14" t="b">
        <v>1</v>
      </c>
      <c r="Q2376" s="14" t="b">
        <v>0</v>
      </c>
      <c r="R2376" s="14">
        <v>1</v>
      </c>
      <c r="S2376" s="14" t="s">
        <v>77</v>
      </c>
      <c r="T2376" s="14">
        <v>999</v>
      </c>
      <c r="U2376" s="14" t="s">
        <v>1401</v>
      </c>
      <c r="V2376" s="14">
        <v>31935005</v>
      </c>
      <c r="X2376" s="14" t="s">
        <v>4055</v>
      </c>
      <c r="Y2376" s="14" t="s">
        <v>215</v>
      </c>
      <c r="Z2376" s="14">
        <v>21139</v>
      </c>
      <c r="AA2376" s="14" t="s">
        <v>4056</v>
      </c>
      <c r="AB2376" s="14">
        <v>40001</v>
      </c>
      <c r="AE2376" s="14" t="s">
        <v>1400</v>
      </c>
      <c r="AF2376" s="14" t="s">
        <v>1400</v>
      </c>
      <c r="AG2376" s="14" t="s">
        <v>95</v>
      </c>
    </row>
    <row r="2377" spans="2:33">
      <c r="B2377" s="14">
        <f>10000000+INDEX(编号表!$B:$B,MATCH(H2377,编号表!$A:$A,0))*100000+INDEX(编号表!$F:$F,MATCH(D2377,编号表!$E:$E,0))*10000+INDEX(编号表!$D:$D,MATCH(AG2377,编号表!$C:$C,0))*1000+F2377</f>
        <v>11945006</v>
      </c>
      <c r="C2377" s="14" t="s">
        <v>4052</v>
      </c>
      <c r="D2377" s="14" t="s">
        <v>104</v>
      </c>
      <c r="E2377" s="14" t="s">
        <v>95</v>
      </c>
      <c r="F2377" s="14">
        <v>6</v>
      </c>
      <c r="G2377" s="14">
        <v>60</v>
      </c>
      <c r="H2377" s="14" t="s">
        <v>1400</v>
      </c>
      <c r="I2377" s="14" t="s">
        <v>75</v>
      </c>
      <c r="J2377" s="14" t="s">
        <v>201</v>
      </c>
      <c r="K2377" s="14">
        <v>1</v>
      </c>
      <c r="L2377" s="14" t="s">
        <v>1400</v>
      </c>
      <c r="N2377" s="14">
        <v>0</v>
      </c>
      <c r="O2377" s="14" t="b">
        <v>1</v>
      </c>
      <c r="Q2377" s="14" t="b">
        <v>0</v>
      </c>
      <c r="R2377" s="14">
        <v>1</v>
      </c>
      <c r="S2377" s="14" t="s">
        <v>77</v>
      </c>
      <c r="T2377" s="14">
        <v>999</v>
      </c>
      <c r="U2377" s="14" t="s">
        <v>1401</v>
      </c>
      <c r="V2377" s="14">
        <v>31945006</v>
      </c>
      <c r="X2377" s="14" t="s">
        <v>4057</v>
      </c>
      <c r="Y2377" s="14" t="s">
        <v>215</v>
      </c>
      <c r="Z2377" s="14">
        <v>21140</v>
      </c>
      <c r="AA2377" s="14" t="s">
        <v>4058</v>
      </c>
      <c r="AB2377" s="14">
        <v>40001</v>
      </c>
      <c r="AE2377" s="14" t="s">
        <v>1400</v>
      </c>
      <c r="AF2377" s="14" t="s">
        <v>1400</v>
      </c>
      <c r="AG2377" s="14" t="s">
        <v>95</v>
      </c>
    </row>
    <row r="2378" spans="2:33">
      <c r="B2378" s="14">
        <f>10000000+INDEX(编号表!$B:$B,MATCH(H2378,编号表!$A:$A,0))*100000+INDEX(编号表!$F:$F,MATCH(D2378,编号表!$E:$E,0))*10000+INDEX(编号表!$D:$D,MATCH(AG2378,编号表!$C:$C,0))*1000+F2378</f>
        <v>11925005</v>
      </c>
      <c r="C2378" s="14" t="s">
        <v>4059</v>
      </c>
      <c r="D2378" s="14" t="s">
        <v>112</v>
      </c>
      <c r="E2378" s="14" t="s">
        <v>95</v>
      </c>
      <c r="F2378" s="14">
        <v>5</v>
      </c>
      <c r="G2378" s="14">
        <v>60</v>
      </c>
      <c r="H2378" s="14" t="s">
        <v>1400</v>
      </c>
      <c r="I2378" s="14" t="s">
        <v>75</v>
      </c>
      <c r="J2378" s="14" t="s">
        <v>201</v>
      </c>
      <c r="K2378" s="14">
        <v>1</v>
      </c>
      <c r="L2378" s="14" t="s">
        <v>1400</v>
      </c>
      <c r="N2378" s="14">
        <v>0</v>
      </c>
      <c r="O2378" s="14" t="b">
        <v>1</v>
      </c>
      <c r="Q2378" s="14" t="b">
        <v>0</v>
      </c>
      <c r="R2378" s="14">
        <v>1</v>
      </c>
      <c r="S2378" s="14" t="s">
        <v>77</v>
      </c>
      <c r="T2378" s="14">
        <v>999</v>
      </c>
      <c r="U2378" s="14" t="s">
        <v>1401</v>
      </c>
      <c r="V2378" s="14">
        <v>31925005</v>
      </c>
      <c r="X2378" s="14" t="s">
        <v>4060</v>
      </c>
      <c r="Y2378" s="14" t="s">
        <v>215</v>
      </c>
      <c r="Z2378" s="14">
        <v>21141</v>
      </c>
      <c r="AA2378" s="14" t="s">
        <v>4061</v>
      </c>
      <c r="AB2378" s="14">
        <v>40001</v>
      </c>
      <c r="AE2378" s="14" t="s">
        <v>1400</v>
      </c>
      <c r="AF2378" s="14" t="s">
        <v>1400</v>
      </c>
      <c r="AG2378" s="14" t="s">
        <v>95</v>
      </c>
    </row>
    <row r="2379" spans="2:33">
      <c r="B2379" s="14">
        <f>10000000+INDEX(编号表!$B:$B,MATCH(H2379,编号表!$A:$A,0))*100000+INDEX(编号表!$F:$F,MATCH(D2379,编号表!$E:$E,0))*10000+INDEX(编号表!$D:$D,MATCH(AG2379,编号表!$C:$C,0))*1000+F2379</f>
        <v>11935006</v>
      </c>
      <c r="C2379" s="14" t="s">
        <v>4059</v>
      </c>
      <c r="D2379" s="14" t="s">
        <v>276</v>
      </c>
      <c r="E2379" s="14" t="s">
        <v>95</v>
      </c>
      <c r="F2379" s="14">
        <v>6</v>
      </c>
      <c r="G2379" s="14">
        <v>60</v>
      </c>
      <c r="H2379" s="14" t="s">
        <v>1400</v>
      </c>
      <c r="I2379" s="14" t="s">
        <v>75</v>
      </c>
      <c r="J2379" s="14" t="s">
        <v>201</v>
      </c>
      <c r="K2379" s="14">
        <v>1</v>
      </c>
      <c r="L2379" s="14" t="s">
        <v>1400</v>
      </c>
      <c r="N2379" s="14">
        <v>0</v>
      </c>
      <c r="O2379" s="14" t="b">
        <v>1</v>
      </c>
      <c r="Q2379" s="14" t="b">
        <v>0</v>
      </c>
      <c r="R2379" s="14">
        <v>1</v>
      </c>
      <c r="S2379" s="14" t="s">
        <v>77</v>
      </c>
      <c r="T2379" s="14">
        <v>999</v>
      </c>
      <c r="U2379" s="14" t="s">
        <v>1401</v>
      </c>
      <c r="V2379" s="14">
        <v>31935006</v>
      </c>
      <c r="X2379" s="14" t="s">
        <v>4062</v>
      </c>
      <c r="Y2379" s="14" t="s">
        <v>215</v>
      </c>
      <c r="Z2379" s="14">
        <v>21142</v>
      </c>
      <c r="AA2379" s="14" t="s">
        <v>4063</v>
      </c>
      <c r="AB2379" s="14">
        <v>40001</v>
      </c>
      <c r="AE2379" s="14" t="s">
        <v>1400</v>
      </c>
      <c r="AF2379" s="14" t="s">
        <v>1400</v>
      </c>
      <c r="AG2379" s="14" t="s">
        <v>95</v>
      </c>
    </row>
    <row r="2380" spans="2:33">
      <c r="B2380" s="14">
        <f>10000000+INDEX(编号表!$B:$B,MATCH(H2380,编号表!$A:$A,0))*100000+INDEX(编号表!$F:$F,MATCH(D2380,编号表!$E:$E,0))*10000+INDEX(编号表!$D:$D,MATCH(AG2380,编号表!$C:$C,0))*1000+F2380</f>
        <v>11945007</v>
      </c>
      <c r="C2380" s="14" t="s">
        <v>4059</v>
      </c>
      <c r="D2380" s="14" t="s">
        <v>104</v>
      </c>
      <c r="E2380" s="14" t="s">
        <v>95</v>
      </c>
      <c r="F2380" s="14">
        <v>7</v>
      </c>
      <c r="G2380" s="14">
        <v>60</v>
      </c>
      <c r="H2380" s="14" t="s">
        <v>1400</v>
      </c>
      <c r="I2380" s="14" t="s">
        <v>75</v>
      </c>
      <c r="J2380" s="14" t="s">
        <v>201</v>
      </c>
      <c r="K2380" s="14">
        <v>1</v>
      </c>
      <c r="L2380" s="14" t="s">
        <v>1400</v>
      </c>
      <c r="N2380" s="14">
        <v>0</v>
      </c>
      <c r="O2380" s="14" t="b">
        <v>1</v>
      </c>
      <c r="Q2380" s="14" t="b">
        <v>0</v>
      </c>
      <c r="R2380" s="14">
        <v>1</v>
      </c>
      <c r="S2380" s="14" t="s">
        <v>77</v>
      </c>
      <c r="T2380" s="14">
        <v>999</v>
      </c>
      <c r="U2380" s="14" t="s">
        <v>1401</v>
      </c>
      <c r="V2380" s="14">
        <v>31945007</v>
      </c>
      <c r="X2380" s="14" t="s">
        <v>4064</v>
      </c>
      <c r="Y2380" s="14" t="s">
        <v>215</v>
      </c>
      <c r="Z2380" s="14">
        <v>21143</v>
      </c>
      <c r="AA2380" s="14" t="s">
        <v>4065</v>
      </c>
      <c r="AB2380" s="14">
        <v>40001</v>
      </c>
      <c r="AE2380" s="14" t="s">
        <v>1400</v>
      </c>
      <c r="AF2380" s="14" t="s">
        <v>1400</v>
      </c>
      <c r="AG2380" s="14" t="s">
        <v>95</v>
      </c>
    </row>
    <row r="2381" spans="2:33">
      <c r="B2381" s="14">
        <f>10000000+INDEX(编号表!$B:$B,MATCH(H2381,编号表!$A:$A,0))*100000+INDEX(编号表!$F:$F,MATCH(D2381,编号表!$E:$E,0))*10000+INDEX(编号表!$D:$D,MATCH(AG2381,编号表!$C:$C,0))*1000+F2381</f>
        <v>11925006</v>
      </c>
      <c r="C2381" s="14" t="s">
        <v>4066</v>
      </c>
      <c r="D2381" s="14" t="s">
        <v>112</v>
      </c>
      <c r="E2381" s="14" t="s">
        <v>95</v>
      </c>
      <c r="F2381" s="14">
        <v>6</v>
      </c>
      <c r="G2381" s="14">
        <v>60</v>
      </c>
      <c r="H2381" s="14" t="s">
        <v>1400</v>
      </c>
      <c r="I2381" s="14" t="s">
        <v>75</v>
      </c>
      <c r="J2381" s="14" t="s">
        <v>201</v>
      </c>
      <c r="K2381" s="14">
        <v>1</v>
      </c>
      <c r="L2381" s="14" t="s">
        <v>1400</v>
      </c>
      <c r="N2381" s="14">
        <v>0</v>
      </c>
      <c r="O2381" s="14" t="b">
        <v>1</v>
      </c>
      <c r="Q2381" s="14" t="b">
        <v>0</v>
      </c>
      <c r="R2381" s="14">
        <v>1</v>
      </c>
      <c r="S2381" s="14" t="s">
        <v>77</v>
      </c>
      <c r="T2381" s="14">
        <v>999</v>
      </c>
      <c r="U2381" s="14" t="s">
        <v>1401</v>
      </c>
      <c r="V2381" s="14">
        <v>31925006</v>
      </c>
      <c r="X2381" s="14" t="s">
        <v>4067</v>
      </c>
      <c r="Y2381" s="14" t="s">
        <v>215</v>
      </c>
      <c r="Z2381" s="14">
        <v>21144</v>
      </c>
      <c r="AA2381" s="14" t="s">
        <v>4068</v>
      </c>
      <c r="AB2381" s="14">
        <v>40001</v>
      </c>
      <c r="AE2381" s="14" t="s">
        <v>1400</v>
      </c>
      <c r="AF2381" s="14" t="s">
        <v>1400</v>
      </c>
      <c r="AG2381" s="14" t="s">
        <v>95</v>
      </c>
    </row>
    <row r="2382" spans="2:33">
      <c r="B2382" s="14">
        <f>10000000+INDEX(编号表!$B:$B,MATCH(H2382,编号表!$A:$A,0))*100000+INDEX(编号表!$F:$F,MATCH(D2382,编号表!$E:$E,0))*10000+INDEX(编号表!$D:$D,MATCH(AG2382,编号表!$C:$C,0))*1000+F2382</f>
        <v>11935007</v>
      </c>
      <c r="C2382" s="14" t="s">
        <v>4066</v>
      </c>
      <c r="D2382" s="14" t="s">
        <v>276</v>
      </c>
      <c r="E2382" s="14" t="s">
        <v>95</v>
      </c>
      <c r="F2382" s="14">
        <v>7</v>
      </c>
      <c r="G2382" s="14">
        <v>60</v>
      </c>
      <c r="H2382" s="14" t="s">
        <v>1400</v>
      </c>
      <c r="I2382" s="14" t="s">
        <v>75</v>
      </c>
      <c r="J2382" s="14" t="s">
        <v>201</v>
      </c>
      <c r="K2382" s="14">
        <v>1</v>
      </c>
      <c r="L2382" s="14" t="s">
        <v>1400</v>
      </c>
      <c r="N2382" s="14">
        <v>0</v>
      </c>
      <c r="O2382" s="14" t="b">
        <v>1</v>
      </c>
      <c r="Q2382" s="14" t="b">
        <v>0</v>
      </c>
      <c r="R2382" s="14">
        <v>1</v>
      </c>
      <c r="S2382" s="14" t="s">
        <v>77</v>
      </c>
      <c r="T2382" s="14">
        <v>999</v>
      </c>
      <c r="U2382" s="14" t="s">
        <v>1401</v>
      </c>
      <c r="V2382" s="14">
        <v>31935007</v>
      </c>
      <c r="X2382" s="14" t="s">
        <v>4069</v>
      </c>
      <c r="Y2382" s="14" t="s">
        <v>215</v>
      </c>
      <c r="Z2382" s="14">
        <v>21145</v>
      </c>
      <c r="AA2382" s="14" t="s">
        <v>4070</v>
      </c>
      <c r="AB2382" s="14">
        <v>40001</v>
      </c>
      <c r="AE2382" s="14" t="s">
        <v>1400</v>
      </c>
      <c r="AF2382" s="14" t="s">
        <v>1400</v>
      </c>
      <c r="AG2382" s="14" t="s">
        <v>95</v>
      </c>
    </row>
    <row r="2383" spans="2:33">
      <c r="B2383" s="14">
        <f>10000000+INDEX(编号表!$B:$B,MATCH(H2383,编号表!$A:$A,0))*100000+INDEX(编号表!$F:$F,MATCH(D2383,编号表!$E:$E,0))*10000+INDEX(编号表!$D:$D,MATCH(AG2383,编号表!$C:$C,0))*1000+F2383</f>
        <v>11945008</v>
      </c>
      <c r="C2383" s="14" t="s">
        <v>4066</v>
      </c>
      <c r="D2383" s="14" t="s">
        <v>104</v>
      </c>
      <c r="E2383" s="14" t="s">
        <v>95</v>
      </c>
      <c r="F2383" s="14">
        <v>8</v>
      </c>
      <c r="G2383" s="14">
        <v>60</v>
      </c>
      <c r="H2383" s="14" t="s">
        <v>1400</v>
      </c>
      <c r="I2383" s="14" t="s">
        <v>75</v>
      </c>
      <c r="J2383" s="14" t="s">
        <v>201</v>
      </c>
      <c r="K2383" s="14">
        <v>1</v>
      </c>
      <c r="L2383" s="14" t="s">
        <v>1400</v>
      </c>
      <c r="N2383" s="14">
        <v>0</v>
      </c>
      <c r="O2383" s="14" t="b">
        <v>1</v>
      </c>
      <c r="Q2383" s="14" t="b">
        <v>0</v>
      </c>
      <c r="R2383" s="14">
        <v>1</v>
      </c>
      <c r="S2383" s="14" t="s">
        <v>77</v>
      </c>
      <c r="T2383" s="14">
        <v>999</v>
      </c>
      <c r="U2383" s="14" t="s">
        <v>1401</v>
      </c>
      <c r="V2383" s="14">
        <v>31945008</v>
      </c>
      <c r="X2383" s="14" t="s">
        <v>4071</v>
      </c>
      <c r="Y2383" s="14" t="s">
        <v>215</v>
      </c>
      <c r="Z2383" s="14">
        <v>21146</v>
      </c>
      <c r="AA2383" s="14" t="s">
        <v>4072</v>
      </c>
      <c r="AB2383" s="14">
        <v>40001</v>
      </c>
      <c r="AE2383" s="14" t="s">
        <v>1400</v>
      </c>
      <c r="AF2383" s="14" t="s">
        <v>1400</v>
      </c>
      <c r="AG2383" s="14" t="s">
        <v>95</v>
      </c>
    </row>
    <row r="2384" spans="2:33">
      <c r="B2384" s="14">
        <f>10000000+INDEX(编号表!$B:$B,MATCH(H2384,编号表!$A:$A,0))*100000+INDEX(编号表!$F:$F,MATCH(D2384,编号表!$E:$E,0))*10000+INDEX(编号表!$D:$D,MATCH(AG2384,编号表!$C:$C,0))*1000+F2384</f>
        <v>11925007</v>
      </c>
      <c r="C2384" s="14" t="s">
        <v>4073</v>
      </c>
      <c r="D2384" s="14" t="s">
        <v>112</v>
      </c>
      <c r="E2384" s="14" t="s">
        <v>95</v>
      </c>
      <c r="F2384" s="14">
        <v>7</v>
      </c>
      <c r="G2384" s="14">
        <v>60</v>
      </c>
      <c r="H2384" s="14" t="s">
        <v>1400</v>
      </c>
      <c r="I2384" s="14" t="s">
        <v>75</v>
      </c>
      <c r="J2384" s="14" t="s">
        <v>201</v>
      </c>
      <c r="K2384" s="14">
        <v>1</v>
      </c>
      <c r="L2384" s="14" t="s">
        <v>1400</v>
      </c>
      <c r="N2384" s="14">
        <v>0</v>
      </c>
      <c r="O2384" s="14" t="b">
        <v>1</v>
      </c>
      <c r="Q2384" s="14" t="b">
        <v>0</v>
      </c>
      <c r="R2384" s="14">
        <v>1</v>
      </c>
      <c r="S2384" s="14" t="s">
        <v>77</v>
      </c>
      <c r="T2384" s="14">
        <v>999</v>
      </c>
      <c r="U2384" s="14" t="s">
        <v>1401</v>
      </c>
      <c r="V2384" s="14">
        <v>31925007</v>
      </c>
      <c r="X2384" s="14" t="s">
        <v>4074</v>
      </c>
      <c r="Y2384" s="14" t="s">
        <v>215</v>
      </c>
      <c r="Z2384" s="14">
        <v>21147</v>
      </c>
      <c r="AA2384" s="14" t="s">
        <v>4075</v>
      </c>
      <c r="AB2384" s="14">
        <v>40001</v>
      </c>
      <c r="AE2384" s="14" t="s">
        <v>1400</v>
      </c>
      <c r="AF2384" s="14" t="s">
        <v>1400</v>
      </c>
      <c r="AG2384" s="14" t="s">
        <v>95</v>
      </c>
    </row>
    <row r="2385" spans="2:33">
      <c r="B2385" s="14">
        <f>10000000+INDEX(编号表!$B:$B,MATCH(H2385,编号表!$A:$A,0))*100000+INDEX(编号表!$F:$F,MATCH(D2385,编号表!$E:$E,0))*10000+INDEX(编号表!$D:$D,MATCH(AG2385,编号表!$C:$C,0))*1000+F2385</f>
        <v>11935008</v>
      </c>
      <c r="C2385" s="14" t="s">
        <v>4073</v>
      </c>
      <c r="D2385" s="14" t="s">
        <v>276</v>
      </c>
      <c r="E2385" s="14" t="s">
        <v>95</v>
      </c>
      <c r="F2385" s="14">
        <v>8</v>
      </c>
      <c r="G2385" s="14">
        <v>60</v>
      </c>
      <c r="H2385" s="14" t="s">
        <v>1400</v>
      </c>
      <c r="I2385" s="14" t="s">
        <v>75</v>
      </c>
      <c r="J2385" s="14" t="s">
        <v>201</v>
      </c>
      <c r="K2385" s="14">
        <v>1</v>
      </c>
      <c r="L2385" s="14" t="s">
        <v>1400</v>
      </c>
      <c r="N2385" s="14">
        <v>0</v>
      </c>
      <c r="O2385" s="14" t="b">
        <v>1</v>
      </c>
      <c r="Q2385" s="14" t="b">
        <v>0</v>
      </c>
      <c r="R2385" s="14">
        <v>1</v>
      </c>
      <c r="S2385" s="14" t="s">
        <v>77</v>
      </c>
      <c r="T2385" s="14">
        <v>999</v>
      </c>
      <c r="U2385" s="14" t="s">
        <v>1401</v>
      </c>
      <c r="V2385" s="14">
        <v>31935008</v>
      </c>
      <c r="X2385" s="14" t="s">
        <v>4076</v>
      </c>
      <c r="Y2385" s="14" t="s">
        <v>215</v>
      </c>
      <c r="Z2385" s="14">
        <v>21148</v>
      </c>
      <c r="AA2385" s="14" t="s">
        <v>4077</v>
      </c>
      <c r="AB2385" s="14">
        <v>40001</v>
      </c>
      <c r="AE2385" s="14" t="s">
        <v>1400</v>
      </c>
      <c r="AF2385" s="14" t="s">
        <v>1400</v>
      </c>
      <c r="AG2385" s="14" t="s">
        <v>95</v>
      </c>
    </row>
    <row r="2386" spans="2:33">
      <c r="B2386" s="14">
        <f>10000000+INDEX(编号表!$B:$B,MATCH(H2386,编号表!$A:$A,0))*100000+INDEX(编号表!$F:$F,MATCH(D2386,编号表!$E:$E,0))*10000+INDEX(编号表!$D:$D,MATCH(AG2386,编号表!$C:$C,0))*1000+F2386</f>
        <v>11945009</v>
      </c>
      <c r="C2386" s="14" t="s">
        <v>4073</v>
      </c>
      <c r="D2386" s="14" t="s">
        <v>104</v>
      </c>
      <c r="E2386" s="14" t="s">
        <v>95</v>
      </c>
      <c r="F2386" s="14">
        <v>9</v>
      </c>
      <c r="G2386" s="14">
        <v>60</v>
      </c>
      <c r="H2386" s="14" t="s">
        <v>1400</v>
      </c>
      <c r="I2386" s="14" t="s">
        <v>75</v>
      </c>
      <c r="J2386" s="14" t="s">
        <v>201</v>
      </c>
      <c r="K2386" s="14">
        <v>1</v>
      </c>
      <c r="L2386" s="14" t="s">
        <v>1400</v>
      </c>
      <c r="N2386" s="14">
        <v>0</v>
      </c>
      <c r="O2386" s="14" t="b">
        <v>1</v>
      </c>
      <c r="Q2386" s="14" t="b">
        <v>0</v>
      </c>
      <c r="R2386" s="14">
        <v>1</v>
      </c>
      <c r="S2386" s="14" t="s">
        <v>77</v>
      </c>
      <c r="T2386" s="14">
        <v>999</v>
      </c>
      <c r="U2386" s="14" t="s">
        <v>1401</v>
      </c>
      <c r="V2386" s="14">
        <v>31945009</v>
      </c>
      <c r="X2386" s="14" t="s">
        <v>4078</v>
      </c>
      <c r="Y2386" s="14" t="s">
        <v>215</v>
      </c>
      <c r="Z2386" s="14">
        <v>21149</v>
      </c>
      <c r="AA2386" s="14" t="s">
        <v>4079</v>
      </c>
      <c r="AB2386" s="14">
        <v>40001</v>
      </c>
      <c r="AE2386" s="14" t="s">
        <v>1400</v>
      </c>
      <c r="AF2386" s="14" t="s">
        <v>1400</v>
      </c>
      <c r="AG2386" s="14" t="s">
        <v>95</v>
      </c>
    </row>
    <row r="2387" spans="2:33">
      <c r="B2387" s="14">
        <f>10000000+INDEX(编号表!$B:$B,MATCH(H2387,编号表!$A:$A,0))*100000+INDEX(编号表!$F:$F,MATCH(D2387,编号表!$E:$E,0))*10000+INDEX(编号表!$D:$D,MATCH(AG2387,编号表!$C:$C,0))*1000+F2387</f>
        <v>11925008</v>
      </c>
      <c r="C2387" s="14" t="s">
        <v>4080</v>
      </c>
      <c r="D2387" s="14" t="s">
        <v>112</v>
      </c>
      <c r="E2387" s="14" t="s">
        <v>95</v>
      </c>
      <c r="F2387" s="14">
        <v>8</v>
      </c>
      <c r="G2387" s="14">
        <v>60</v>
      </c>
      <c r="H2387" s="14" t="s">
        <v>1400</v>
      </c>
      <c r="I2387" s="14" t="s">
        <v>75</v>
      </c>
      <c r="J2387" s="14" t="s">
        <v>201</v>
      </c>
      <c r="K2387" s="14">
        <v>1</v>
      </c>
      <c r="L2387" s="14" t="s">
        <v>1400</v>
      </c>
      <c r="N2387" s="14">
        <v>0</v>
      </c>
      <c r="O2387" s="14" t="b">
        <v>1</v>
      </c>
      <c r="Q2387" s="14" t="b">
        <v>0</v>
      </c>
      <c r="R2387" s="14">
        <v>1</v>
      </c>
      <c r="S2387" s="14" t="s">
        <v>77</v>
      </c>
      <c r="T2387" s="14">
        <v>999</v>
      </c>
      <c r="U2387" s="14" t="s">
        <v>1401</v>
      </c>
      <c r="V2387" s="14">
        <v>31925008</v>
      </c>
      <c r="X2387" s="14" t="s">
        <v>4081</v>
      </c>
      <c r="Y2387" s="14" t="s">
        <v>215</v>
      </c>
      <c r="Z2387" s="14">
        <v>21150</v>
      </c>
      <c r="AA2387" s="14" t="s">
        <v>4082</v>
      </c>
      <c r="AB2387" s="14">
        <v>40001</v>
      </c>
      <c r="AE2387" s="14" t="s">
        <v>1400</v>
      </c>
      <c r="AF2387" s="14" t="s">
        <v>1400</v>
      </c>
      <c r="AG2387" s="14" t="s">
        <v>95</v>
      </c>
    </row>
    <row r="2388" spans="2:33">
      <c r="B2388" s="14">
        <f>10000000+INDEX(编号表!$B:$B,MATCH(H2388,编号表!$A:$A,0))*100000+INDEX(编号表!$F:$F,MATCH(D2388,编号表!$E:$E,0))*10000+INDEX(编号表!$D:$D,MATCH(AG2388,编号表!$C:$C,0))*1000+F2388</f>
        <v>11935009</v>
      </c>
      <c r="C2388" s="14" t="s">
        <v>4080</v>
      </c>
      <c r="D2388" s="14" t="s">
        <v>276</v>
      </c>
      <c r="E2388" s="14" t="s">
        <v>95</v>
      </c>
      <c r="F2388" s="14">
        <v>9</v>
      </c>
      <c r="G2388" s="14">
        <v>60</v>
      </c>
      <c r="H2388" s="14" t="s">
        <v>1400</v>
      </c>
      <c r="I2388" s="14" t="s">
        <v>75</v>
      </c>
      <c r="J2388" s="14" t="s">
        <v>201</v>
      </c>
      <c r="K2388" s="14">
        <v>1</v>
      </c>
      <c r="L2388" s="14" t="s">
        <v>1400</v>
      </c>
      <c r="N2388" s="14">
        <v>0</v>
      </c>
      <c r="O2388" s="14" t="b">
        <v>1</v>
      </c>
      <c r="Q2388" s="14" t="b">
        <v>0</v>
      </c>
      <c r="R2388" s="14">
        <v>1</v>
      </c>
      <c r="S2388" s="14" t="s">
        <v>77</v>
      </c>
      <c r="T2388" s="14">
        <v>999</v>
      </c>
      <c r="U2388" s="14" t="s">
        <v>1401</v>
      </c>
      <c r="V2388" s="14">
        <v>31935009</v>
      </c>
      <c r="X2388" s="14" t="s">
        <v>4083</v>
      </c>
      <c r="Y2388" s="14" t="s">
        <v>215</v>
      </c>
      <c r="Z2388" s="14">
        <v>21151</v>
      </c>
      <c r="AA2388" s="14" t="s">
        <v>4084</v>
      </c>
      <c r="AB2388" s="14">
        <v>40001</v>
      </c>
      <c r="AE2388" s="14" t="s">
        <v>1400</v>
      </c>
      <c r="AF2388" s="14" t="s">
        <v>1400</v>
      </c>
      <c r="AG2388" s="14" t="s">
        <v>95</v>
      </c>
    </row>
    <row r="2389" spans="2:33">
      <c r="B2389" s="14">
        <f>10000000+INDEX(编号表!$B:$B,MATCH(H2389,编号表!$A:$A,0))*100000+INDEX(编号表!$F:$F,MATCH(D2389,编号表!$E:$E,0))*10000+INDEX(编号表!$D:$D,MATCH(AG2389,编号表!$C:$C,0))*1000+F2389</f>
        <v>11945010</v>
      </c>
      <c r="C2389" s="14" t="s">
        <v>4080</v>
      </c>
      <c r="D2389" s="14" t="s">
        <v>104</v>
      </c>
      <c r="E2389" s="14" t="s">
        <v>95</v>
      </c>
      <c r="F2389" s="14">
        <v>10</v>
      </c>
      <c r="G2389" s="14">
        <v>60</v>
      </c>
      <c r="H2389" s="14" t="s">
        <v>1400</v>
      </c>
      <c r="I2389" s="14" t="s">
        <v>75</v>
      </c>
      <c r="J2389" s="14" t="s">
        <v>201</v>
      </c>
      <c r="K2389" s="14">
        <v>1</v>
      </c>
      <c r="L2389" s="14" t="s">
        <v>1400</v>
      </c>
      <c r="N2389" s="14">
        <v>0</v>
      </c>
      <c r="O2389" s="14" t="b">
        <v>1</v>
      </c>
      <c r="Q2389" s="14" t="b">
        <v>0</v>
      </c>
      <c r="R2389" s="14">
        <v>1</v>
      </c>
      <c r="S2389" s="14" t="s">
        <v>77</v>
      </c>
      <c r="T2389" s="14">
        <v>999</v>
      </c>
      <c r="U2389" s="14" t="s">
        <v>1401</v>
      </c>
      <c r="V2389" s="14">
        <v>31945010</v>
      </c>
      <c r="X2389" s="14" t="s">
        <v>4085</v>
      </c>
      <c r="Y2389" s="14" t="s">
        <v>215</v>
      </c>
      <c r="Z2389" s="14">
        <v>21152</v>
      </c>
      <c r="AA2389" s="14" t="s">
        <v>4086</v>
      </c>
      <c r="AB2389" s="14">
        <v>40001</v>
      </c>
      <c r="AE2389" s="14" t="s">
        <v>1400</v>
      </c>
      <c r="AF2389" s="14" t="s">
        <v>1400</v>
      </c>
      <c r="AG2389" s="14" t="s">
        <v>95</v>
      </c>
    </row>
    <row r="2390" spans="2:33">
      <c r="B2390" s="14">
        <f>10000000+INDEX(编号表!$B:$B,MATCH(H2390,编号表!$A:$A,0))*100000+INDEX(编号表!$F:$F,MATCH(D2390,编号表!$E:$E,0))*10000+INDEX(编号表!$D:$D,MATCH(AG2390,编号表!$C:$C,0))*1000+F2390</f>
        <v>11925009</v>
      </c>
      <c r="C2390" s="14" t="s">
        <v>4087</v>
      </c>
      <c r="D2390" s="14" t="s">
        <v>112</v>
      </c>
      <c r="E2390" s="14" t="s">
        <v>95</v>
      </c>
      <c r="F2390" s="14">
        <v>9</v>
      </c>
      <c r="G2390" s="14">
        <v>60</v>
      </c>
      <c r="H2390" s="14" t="s">
        <v>1400</v>
      </c>
      <c r="I2390" s="14" t="s">
        <v>75</v>
      </c>
      <c r="J2390" s="14" t="s">
        <v>201</v>
      </c>
      <c r="K2390" s="14">
        <v>1</v>
      </c>
      <c r="L2390" s="14" t="s">
        <v>1400</v>
      </c>
      <c r="N2390" s="14">
        <v>0</v>
      </c>
      <c r="O2390" s="14" t="b">
        <v>1</v>
      </c>
      <c r="Q2390" s="14" t="b">
        <v>0</v>
      </c>
      <c r="R2390" s="14">
        <v>1</v>
      </c>
      <c r="S2390" s="14" t="s">
        <v>77</v>
      </c>
      <c r="T2390" s="14">
        <v>999</v>
      </c>
      <c r="U2390" s="14" t="s">
        <v>1401</v>
      </c>
      <c r="V2390" s="14">
        <v>31925009</v>
      </c>
      <c r="X2390" s="14" t="s">
        <v>4088</v>
      </c>
      <c r="Y2390" s="14" t="s">
        <v>215</v>
      </c>
      <c r="Z2390" s="14">
        <v>21153</v>
      </c>
      <c r="AA2390" s="14" t="s">
        <v>4089</v>
      </c>
      <c r="AB2390" s="14">
        <v>40001</v>
      </c>
      <c r="AE2390" s="14" t="s">
        <v>1400</v>
      </c>
      <c r="AF2390" s="14" t="s">
        <v>1400</v>
      </c>
      <c r="AG2390" s="14" t="s">
        <v>95</v>
      </c>
    </row>
    <row r="2391" spans="2:33">
      <c r="B2391" s="14">
        <f>10000000+INDEX(编号表!$B:$B,MATCH(H2391,编号表!$A:$A,0))*100000+INDEX(编号表!$F:$F,MATCH(D2391,编号表!$E:$E,0))*10000+INDEX(编号表!$D:$D,MATCH(AG2391,编号表!$C:$C,0))*1000+F2391</f>
        <v>11935010</v>
      </c>
      <c r="C2391" s="14" t="s">
        <v>4087</v>
      </c>
      <c r="D2391" s="14" t="s">
        <v>276</v>
      </c>
      <c r="E2391" s="14" t="s">
        <v>95</v>
      </c>
      <c r="F2391" s="14">
        <v>10</v>
      </c>
      <c r="G2391" s="14">
        <v>60</v>
      </c>
      <c r="H2391" s="14" t="s">
        <v>1400</v>
      </c>
      <c r="I2391" s="14" t="s">
        <v>75</v>
      </c>
      <c r="J2391" s="14" t="s">
        <v>201</v>
      </c>
      <c r="K2391" s="14">
        <v>1</v>
      </c>
      <c r="L2391" s="14" t="s">
        <v>1400</v>
      </c>
      <c r="N2391" s="14">
        <v>0</v>
      </c>
      <c r="O2391" s="14" t="b">
        <v>1</v>
      </c>
      <c r="Q2391" s="14" t="b">
        <v>0</v>
      </c>
      <c r="R2391" s="14">
        <v>1</v>
      </c>
      <c r="S2391" s="14" t="s">
        <v>77</v>
      </c>
      <c r="T2391" s="14">
        <v>999</v>
      </c>
      <c r="U2391" s="14" t="s">
        <v>1401</v>
      </c>
      <c r="V2391" s="14">
        <v>31935010</v>
      </c>
      <c r="X2391" s="14" t="s">
        <v>4090</v>
      </c>
      <c r="Y2391" s="14" t="s">
        <v>215</v>
      </c>
      <c r="Z2391" s="14">
        <v>21154</v>
      </c>
      <c r="AA2391" s="14" t="s">
        <v>4091</v>
      </c>
      <c r="AB2391" s="14">
        <v>40001</v>
      </c>
      <c r="AE2391" s="14" t="s">
        <v>1400</v>
      </c>
      <c r="AF2391" s="14" t="s">
        <v>1400</v>
      </c>
      <c r="AG2391" s="14" t="s">
        <v>95</v>
      </c>
    </row>
    <row r="2392" spans="2:33">
      <c r="B2392" s="14">
        <f>10000000+INDEX(编号表!$B:$B,MATCH(H2392,编号表!$A:$A,0))*100000+INDEX(编号表!$F:$F,MATCH(D2392,编号表!$E:$E,0))*10000+INDEX(编号表!$D:$D,MATCH(AG2392,编号表!$C:$C,0))*1000+F2392</f>
        <v>11945011</v>
      </c>
      <c r="C2392" s="14" t="s">
        <v>4087</v>
      </c>
      <c r="D2392" s="14" t="s">
        <v>104</v>
      </c>
      <c r="E2392" s="14" t="s">
        <v>95</v>
      </c>
      <c r="F2392" s="14">
        <v>11</v>
      </c>
      <c r="G2392" s="14">
        <v>60</v>
      </c>
      <c r="H2392" s="14" t="s">
        <v>1400</v>
      </c>
      <c r="I2392" s="14" t="s">
        <v>75</v>
      </c>
      <c r="J2392" s="14" t="s">
        <v>201</v>
      </c>
      <c r="K2392" s="14">
        <v>1</v>
      </c>
      <c r="L2392" s="14" t="s">
        <v>1400</v>
      </c>
      <c r="N2392" s="14">
        <v>0</v>
      </c>
      <c r="O2392" s="14" t="b">
        <v>1</v>
      </c>
      <c r="Q2392" s="14" t="b">
        <v>0</v>
      </c>
      <c r="R2392" s="14">
        <v>1</v>
      </c>
      <c r="S2392" s="14" t="s">
        <v>77</v>
      </c>
      <c r="T2392" s="14">
        <v>999</v>
      </c>
      <c r="U2392" s="14" t="s">
        <v>1401</v>
      </c>
      <c r="V2392" s="14">
        <v>31945011</v>
      </c>
      <c r="X2392" s="14" t="s">
        <v>4092</v>
      </c>
      <c r="Y2392" s="14" t="s">
        <v>215</v>
      </c>
      <c r="Z2392" s="14">
        <v>21155</v>
      </c>
      <c r="AA2392" s="14" t="s">
        <v>4093</v>
      </c>
      <c r="AB2392" s="14">
        <v>40001</v>
      </c>
      <c r="AE2392" s="14" t="s">
        <v>1400</v>
      </c>
      <c r="AF2392" s="14" t="s">
        <v>1400</v>
      </c>
      <c r="AG2392" s="14" t="s">
        <v>95</v>
      </c>
    </row>
    <row r="2393" spans="2:33">
      <c r="B2393" s="14">
        <f>10000000+INDEX(编号表!$B:$B,MATCH(H2393,编号表!$A:$A,0))*100000+INDEX(编号表!$F:$F,MATCH(D2393,编号表!$E:$E,0))*10000+INDEX(编号表!$D:$D,MATCH(AG2393,编号表!$C:$C,0))*1000+F2393</f>
        <v>11925010</v>
      </c>
      <c r="C2393" s="14" t="s">
        <v>4094</v>
      </c>
      <c r="D2393" s="14" t="s">
        <v>112</v>
      </c>
      <c r="E2393" s="14" t="s">
        <v>95</v>
      </c>
      <c r="F2393" s="14">
        <v>10</v>
      </c>
      <c r="G2393" s="14">
        <v>60</v>
      </c>
      <c r="H2393" s="14" t="s">
        <v>1400</v>
      </c>
      <c r="I2393" s="14" t="s">
        <v>75</v>
      </c>
      <c r="J2393" s="14" t="s">
        <v>201</v>
      </c>
      <c r="K2393" s="14">
        <v>1</v>
      </c>
      <c r="L2393" s="14" t="s">
        <v>1400</v>
      </c>
      <c r="N2393" s="14">
        <v>0</v>
      </c>
      <c r="O2393" s="14" t="b">
        <v>1</v>
      </c>
      <c r="Q2393" s="14" t="b">
        <v>0</v>
      </c>
      <c r="R2393" s="14">
        <v>1</v>
      </c>
      <c r="S2393" s="14" t="s">
        <v>77</v>
      </c>
      <c r="T2393" s="14">
        <v>999</v>
      </c>
      <c r="U2393" s="14" t="s">
        <v>1401</v>
      </c>
      <c r="V2393" s="14">
        <v>31925010</v>
      </c>
      <c r="X2393" s="14" t="s">
        <v>4095</v>
      </c>
      <c r="Y2393" s="14" t="s">
        <v>215</v>
      </c>
      <c r="Z2393" s="14">
        <v>21156</v>
      </c>
      <c r="AA2393" s="14" t="s">
        <v>4096</v>
      </c>
      <c r="AB2393" s="14">
        <v>40001</v>
      </c>
      <c r="AE2393" s="14" t="s">
        <v>1400</v>
      </c>
      <c r="AF2393" s="14" t="s">
        <v>1400</v>
      </c>
      <c r="AG2393" s="14" t="s">
        <v>95</v>
      </c>
    </row>
    <row r="2394" spans="2:33">
      <c r="B2394" s="14">
        <f>10000000+INDEX(编号表!$B:$B,MATCH(H2394,编号表!$A:$A,0))*100000+INDEX(编号表!$F:$F,MATCH(D2394,编号表!$E:$E,0))*10000+INDEX(编号表!$D:$D,MATCH(AG2394,编号表!$C:$C,0))*1000+F2394</f>
        <v>11935011</v>
      </c>
      <c r="C2394" s="14" t="s">
        <v>4094</v>
      </c>
      <c r="D2394" s="14" t="s">
        <v>276</v>
      </c>
      <c r="E2394" s="14" t="s">
        <v>95</v>
      </c>
      <c r="F2394" s="14">
        <v>11</v>
      </c>
      <c r="G2394" s="14">
        <v>60</v>
      </c>
      <c r="H2394" s="14" t="s">
        <v>1400</v>
      </c>
      <c r="I2394" s="14" t="s">
        <v>75</v>
      </c>
      <c r="J2394" s="14" t="s">
        <v>201</v>
      </c>
      <c r="K2394" s="14">
        <v>1</v>
      </c>
      <c r="L2394" s="14" t="s">
        <v>1400</v>
      </c>
      <c r="N2394" s="14">
        <v>0</v>
      </c>
      <c r="O2394" s="14" t="b">
        <v>1</v>
      </c>
      <c r="Q2394" s="14" t="b">
        <v>0</v>
      </c>
      <c r="R2394" s="14">
        <v>1</v>
      </c>
      <c r="S2394" s="14" t="s">
        <v>77</v>
      </c>
      <c r="T2394" s="14">
        <v>999</v>
      </c>
      <c r="U2394" s="14" t="s">
        <v>1401</v>
      </c>
      <c r="V2394" s="14">
        <v>31935011</v>
      </c>
      <c r="X2394" s="14" t="s">
        <v>4097</v>
      </c>
      <c r="Y2394" s="14" t="s">
        <v>215</v>
      </c>
      <c r="Z2394" s="14">
        <v>21157</v>
      </c>
      <c r="AA2394" s="14" t="s">
        <v>4098</v>
      </c>
      <c r="AB2394" s="14">
        <v>40001</v>
      </c>
      <c r="AE2394" s="14" t="s">
        <v>1400</v>
      </c>
      <c r="AF2394" s="14" t="s">
        <v>1400</v>
      </c>
      <c r="AG2394" s="14" t="s">
        <v>95</v>
      </c>
    </row>
    <row r="2395" spans="2:33">
      <c r="B2395" s="14">
        <f>10000000+INDEX(编号表!$B:$B,MATCH(H2395,编号表!$A:$A,0))*100000+INDEX(编号表!$F:$F,MATCH(D2395,编号表!$E:$E,0))*10000+INDEX(编号表!$D:$D,MATCH(AG2395,编号表!$C:$C,0))*1000+F2395</f>
        <v>11945012</v>
      </c>
      <c r="C2395" s="14" t="s">
        <v>4094</v>
      </c>
      <c r="D2395" s="14" t="s">
        <v>104</v>
      </c>
      <c r="E2395" s="14" t="s">
        <v>95</v>
      </c>
      <c r="F2395" s="14">
        <v>12</v>
      </c>
      <c r="G2395" s="14">
        <v>60</v>
      </c>
      <c r="H2395" s="14" t="s">
        <v>1400</v>
      </c>
      <c r="I2395" s="14" t="s">
        <v>75</v>
      </c>
      <c r="J2395" s="14" t="s">
        <v>201</v>
      </c>
      <c r="K2395" s="14">
        <v>1</v>
      </c>
      <c r="L2395" s="14" t="s">
        <v>1400</v>
      </c>
      <c r="N2395" s="14">
        <v>0</v>
      </c>
      <c r="O2395" s="14" t="b">
        <v>1</v>
      </c>
      <c r="Q2395" s="14" t="b">
        <v>0</v>
      </c>
      <c r="R2395" s="14">
        <v>1</v>
      </c>
      <c r="S2395" s="14" t="s">
        <v>77</v>
      </c>
      <c r="T2395" s="14">
        <v>999</v>
      </c>
      <c r="U2395" s="14" t="s">
        <v>1401</v>
      </c>
      <c r="V2395" s="14">
        <v>31945012</v>
      </c>
      <c r="X2395" s="14" t="s">
        <v>4099</v>
      </c>
      <c r="Y2395" s="14" t="s">
        <v>215</v>
      </c>
      <c r="Z2395" s="14">
        <v>21158</v>
      </c>
      <c r="AA2395" s="14" t="s">
        <v>4100</v>
      </c>
      <c r="AB2395" s="14">
        <v>40001</v>
      </c>
      <c r="AE2395" s="14" t="s">
        <v>1400</v>
      </c>
      <c r="AF2395" s="14" t="s">
        <v>1400</v>
      </c>
      <c r="AG2395" s="14" t="s">
        <v>95</v>
      </c>
    </row>
    <row r="2396" spans="2:33">
      <c r="B2396" s="14">
        <f>10000000+INDEX(编号表!$B:$B,MATCH(H2396,编号表!$A:$A,0))*100000+INDEX(编号表!$F:$F,MATCH(D2396,编号表!$E:$E,0))*10000+INDEX(编号表!$D:$D,MATCH(AG2396,编号表!$C:$C,0))*1000+F2396</f>
        <v>11925011</v>
      </c>
      <c r="C2396" s="14" t="s">
        <v>4101</v>
      </c>
      <c r="D2396" s="14" t="s">
        <v>112</v>
      </c>
      <c r="E2396" s="14" t="s">
        <v>95</v>
      </c>
      <c r="F2396" s="14">
        <v>11</v>
      </c>
      <c r="G2396" s="14">
        <v>60</v>
      </c>
      <c r="H2396" s="14" t="s">
        <v>1400</v>
      </c>
      <c r="I2396" s="14" t="s">
        <v>75</v>
      </c>
      <c r="J2396" s="14" t="s">
        <v>201</v>
      </c>
      <c r="K2396" s="14">
        <v>1</v>
      </c>
      <c r="L2396" s="14" t="s">
        <v>1400</v>
      </c>
      <c r="N2396" s="14">
        <v>0</v>
      </c>
      <c r="O2396" s="14" t="b">
        <v>1</v>
      </c>
      <c r="Q2396" s="14" t="b">
        <v>0</v>
      </c>
      <c r="R2396" s="14">
        <v>1</v>
      </c>
      <c r="S2396" s="14" t="s">
        <v>77</v>
      </c>
      <c r="T2396" s="14">
        <v>999</v>
      </c>
      <c r="U2396" s="14" t="s">
        <v>1401</v>
      </c>
      <c r="V2396" s="14">
        <v>31925011</v>
      </c>
      <c r="X2396" s="14" t="s">
        <v>4102</v>
      </c>
      <c r="Y2396" s="14" t="s">
        <v>215</v>
      </c>
      <c r="Z2396" s="14">
        <v>21159</v>
      </c>
      <c r="AA2396" s="14" t="s">
        <v>4103</v>
      </c>
      <c r="AB2396" s="14">
        <v>40001</v>
      </c>
      <c r="AE2396" s="14" t="s">
        <v>1400</v>
      </c>
      <c r="AF2396" s="14" t="s">
        <v>1400</v>
      </c>
      <c r="AG2396" s="14" t="s">
        <v>95</v>
      </c>
    </row>
    <row r="2397" spans="2:33">
      <c r="B2397" s="14">
        <f>10000000+INDEX(编号表!$B:$B,MATCH(H2397,编号表!$A:$A,0))*100000+INDEX(编号表!$F:$F,MATCH(D2397,编号表!$E:$E,0))*10000+INDEX(编号表!$D:$D,MATCH(AG2397,编号表!$C:$C,0))*1000+F2397</f>
        <v>11935012</v>
      </c>
      <c r="C2397" s="14" t="s">
        <v>4101</v>
      </c>
      <c r="D2397" s="14" t="s">
        <v>276</v>
      </c>
      <c r="E2397" s="14" t="s">
        <v>95</v>
      </c>
      <c r="F2397" s="14">
        <v>12</v>
      </c>
      <c r="G2397" s="14">
        <v>60</v>
      </c>
      <c r="H2397" s="14" t="s">
        <v>1400</v>
      </c>
      <c r="I2397" s="14" t="s">
        <v>75</v>
      </c>
      <c r="J2397" s="14" t="s">
        <v>201</v>
      </c>
      <c r="K2397" s="14">
        <v>1</v>
      </c>
      <c r="L2397" s="14" t="s">
        <v>1400</v>
      </c>
      <c r="N2397" s="14">
        <v>0</v>
      </c>
      <c r="O2397" s="14" t="b">
        <v>1</v>
      </c>
      <c r="Q2397" s="14" t="b">
        <v>0</v>
      </c>
      <c r="R2397" s="14">
        <v>1</v>
      </c>
      <c r="S2397" s="14" t="s">
        <v>77</v>
      </c>
      <c r="T2397" s="14">
        <v>999</v>
      </c>
      <c r="U2397" s="14" t="s">
        <v>1401</v>
      </c>
      <c r="V2397" s="14">
        <v>31935012</v>
      </c>
      <c r="X2397" s="14" t="s">
        <v>4104</v>
      </c>
      <c r="Y2397" s="14" t="s">
        <v>215</v>
      </c>
      <c r="Z2397" s="14">
        <v>21160</v>
      </c>
      <c r="AA2397" s="14" t="s">
        <v>4105</v>
      </c>
      <c r="AB2397" s="14">
        <v>40001</v>
      </c>
      <c r="AE2397" s="14" t="s">
        <v>1400</v>
      </c>
      <c r="AF2397" s="14" t="s">
        <v>1400</v>
      </c>
      <c r="AG2397" s="14" t="s">
        <v>95</v>
      </c>
    </row>
    <row r="2398" spans="2:33">
      <c r="B2398" s="14">
        <f>10000000+INDEX(编号表!$B:$B,MATCH(H2398,编号表!$A:$A,0))*100000+INDEX(编号表!$F:$F,MATCH(D2398,编号表!$E:$E,0))*10000+INDEX(编号表!$D:$D,MATCH(AG2398,编号表!$C:$C,0))*1000+F2398</f>
        <v>11945013</v>
      </c>
      <c r="C2398" s="14" t="s">
        <v>4101</v>
      </c>
      <c r="D2398" s="14" t="s">
        <v>104</v>
      </c>
      <c r="E2398" s="14" t="s">
        <v>95</v>
      </c>
      <c r="F2398" s="14">
        <v>13</v>
      </c>
      <c r="G2398" s="14">
        <v>60</v>
      </c>
      <c r="H2398" s="14" t="s">
        <v>1400</v>
      </c>
      <c r="I2398" s="14" t="s">
        <v>75</v>
      </c>
      <c r="J2398" s="14" t="s">
        <v>201</v>
      </c>
      <c r="K2398" s="14">
        <v>1</v>
      </c>
      <c r="L2398" s="14" t="s">
        <v>1400</v>
      </c>
      <c r="N2398" s="14">
        <v>0</v>
      </c>
      <c r="O2398" s="14" t="b">
        <v>1</v>
      </c>
      <c r="Q2398" s="14" t="b">
        <v>0</v>
      </c>
      <c r="R2398" s="14">
        <v>1</v>
      </c>
      <c r="S2398" s="14" t="s">
        <v>77</v>
      </c>
      <c r="T2398" s="14">
        <v>999</v>
      </c>
      <c r="U2398" s="14" t="s">
        <v>1401</v>
      </c>
      <c r="V2398" s="14">
        <v>31945013</v>
      </c>
      <c r="X2398" s="14" t="s">
        <v>4106</v>
      </c>
      <c r="Y2398" s="14" t="s">
        <v>215</v>
      </c>
      <c r="Z2398" s="14">
        <v>21161</v>
      </c>
      <c r="AA2398" s="14" t="s">
        <v>4107</v>
      </c>
      <c r="AB2398" s="14">
        <v>40001</v>
      </c>
      <c r="AE2398" s="14" t="s">
        <v>1400</v>
      </c>
      <c r="AF2398" s="14" t="s">
        <v>1400</v>
      </c>
      <c r="AG2398" s="14" t="s">
        <v>95</v>
      </c>
    </row>
    <row r="2399" spans="2:33">
      <c r="B2399" s="14">
        <f>10000000+INDEX(编号表!$B:$B,MATCH(H2399,编号表!$A:$A,0))*100000+INDEX(编号表!$F:$F,MATCH(D2399,编号表!$E:$E,0))*10000+INDEX(编号表!$D:$D,MATCH(AG2399,编号表!$C:$C,0))*1000+F2399</f>
        <v>11925012</v>
      </c>
      <c r="C2399" s="14" t="s">
        <v>4108</v>
      </c>
      <c r="D2399" s="14" t="s">
        <v>112</v>
      </c>
      <c r="E2399" s="14" t="s">
        <v>95</v>
      </c>
      <c r="F2399" s="14">
        <v>12</v>
      </c>
      <c r="G2399" s="14">
        <v>60</v>
      </c>
      <c r="H2399" s="14" t="s">
        <v>1400</v>
      </c>
      <c r="I2399" s="14" t="s">
        <v>75</v>
      </c>
      <c r="J2399" s="14" t="s">
        <v>201</v>
      </c>
      <c r="K2399" s="14">
        <v>1</v>
      </c>
      <c r="L2399" s="14" t="s">
        <v>1400</v>
      </c>
      <c r="N2399" s="14">
        <v>0</v>
      </c>
      <c r="O2399" s="14" t="b">
        <v>1</v>
      </c>
      <c r="Q2399" s="14" t="b">
        <v>0</v>
      </c>
      <c r="R2399" s="14">
        <v>1</v>
      </c>
      <c r="S2399" s="14" t="s">
        <v>77</v>
      </c>
      <c r="T2399" s="14">
        <v>999</v>
      </c>
      <c r="U2399" s="14" t="s">
        <v>1401</v>
      </c>
      <c r="V2399" s="14">
        <v>31925012</v>
      </c>
      <c r="X2399" s="14" t="s">
        <v>4109</v>
      </c>
      <c r="Y2399" s="14" t="s">
        <v>215</v>
      </c>
      <c r="Z2399" s="14">
        <v>21162</v>
      </c>
      <c r="AA2399" s="14" t="s">
        <v>4110</v>
      </c>
      <c r="AB2399" s="14">
        <v>40001</v>
      </c>
      <c r="AE2399" s="14" t="s">
        <v>1400</v>
      </c>
      <c r="AF2399" s="14" t="s">
        <v>1400</v>
      </c>
      <c r="AG2399" s="14" t="s">
        <v>95</v>
      </c>
    </row>
    <row r="2400" spans="2:33">
      <c r="B2400" s="14">
        <f>10000000+INDEX(编号表!$B:$B,MATCH(H2400,编号表!$A:$A,0))*100000+INDEX(编号表!$F:$F,MATCH(D2400,编号表!$E:$E,0))*10000+INDEX(编号表!$D:$D,MATCH(AG2400,编号表!$C:$C,0))*1000+F2400</f>
        <v>11935013</v>
      </c>
      <c r="C2400" s="14" t="s">
        <v>4108</v>
      </c>
      <c r="D2400" s="14" t="s">
        <v>276</v>
      </c>
      <c r="E2400" s="14" t="s">
        <v>95</v>
      </c>
      <c r="F2400" s="14">
        <v>13</v>
      </c>
      <c r="G2400" s="14">
        <v>60</v>
      </c>
      <c r="H2400" s="14" t="s">
        <v>1400</v>
      </c>
      <c r="I2400" s="14" t="s">
        <v>75</v>
      </c>
      <c r="J2400" s="14" t="s">
        <v>201</v>
      </c>
      <c r="K2400" s="14">
        <v>1</v>
      </c>
      <c r="L2400" s="14" t="s">
        <v>1400</v>
      </c>
      <c r="N2400" s="14">
        <v>0</v>
      </c>
      <c r="O2400" s="14" t="b">
        <v>1</v>
      </c>
      <c r="Q2400" s="14" t="b">
        <v>0</v>
      </c>
      <c r="R2400" s="14">
        <v>1</v>
      </c>
      <c r="S2400" s="14" t="s">
        <v>77</v>
      </c>
      <c r="T2400" s="14">
        <v>999</v>
      </c>
      <c r="U2400" s="14" t="s">
        <v>1401</v>
      </c>
      <c r="V2400" s="14">
        <v>31935013</v>
      </c>
      <c r="X2400" s="14" t="s">
        <v>4111</v>
      </c>
      <c r="Y2400" s="14" t="s">
        <v>215</v>
      </c>
      <c r="Z2400" s="14">
        <v>21163</v>
      </c>
      <c r="AA2400" s="14" t="s">
        <v>4112</v>
      </c>
      <c r="AB2400" s="14">
        <v>40001</v>
      </c>
      <c r="AE2400" s="14" t="s">
        <v>1400</v>
      </c>
      <c r="AF2400" s="14" t="s">
        <v>1400</v>
      </c>
      <c r="AG2400" s="14" t="s">
        <v>95</v>
      </c>
    </row>
    <row r="2401" spans="2:33">
      <c r="B2401" s="14">
        <f>10000000+INDEX(编号表!$B:$B,MATCH(H2401,编号表!$A:$A,0))*100000+INDEX(编号表!$F:$F,MATCH(D2401,编号表!$E:$E,0))*10000+INDEX(编号表!$D:$D,MATCH(AG2401,编号表!$C:$C,0))*1000+F2401</f>
        <v>11945014</v>
      </c>
      <c r="C2401" s="14" t="s">
        <v>4108</v>
      </c>
      <c r="D2401" s="14" t="s">
        <v>104</v>
      </c>
      <c r="E2401" s="14" t="s">
        <v>95</v>
      </c>
      <c r="F2401" s="14">
        <v>14</v>
      </c>
      <c r="G2401" s="14">
        <v>60</v>
      </c>
      <c r="H2401" s="14" t="s">
        <v>1400</v>
      </c>
      <c r="I2401" s="14" t="s">
        <v>75</v>
      </c>
      <c r="J2401" s="14" t="s">
        <v>201</v>
      </c>
      <c r="K2401" s="14">
        <v>1</v>
      </c>
      <c r="L2401" s="14" t="s">
        <v>1400</v>
      </c>
      <c r="N2401" s="14">
        <v>0</v>
      </c>
      <c r="O2401" s="14" t="b">
        <v>1</v>
      </c>
      <c r="Q2401" s="14" t="b">
        <v>0</v>
      </c>
      <c r="R2401" s="14">
        <v>1</v>
      </c>
      <c r="S2401" s="14" t="s">
        <v>77</v>
      </c>
      <c r="T2401" s="14">
        <v>999</v>
      </c>
      <c r="U2401" s="14" t="s">
        <v>1401</v>
      </c>
      <c r="V2401" s="14">
        <v>31945014</v>
      </c>
      <c r="X2401" s="14" t="s">
        <v>4113</v>
      </c>
      <c r="Y2401" s="14" t="s">
        <v>215</v>
      </c>
      <c r="Z2401" s="14">
        <v>21164</v>
      </c>
      <c r="AA2401" s="14" t="s">
        <v>4114</v>
      </c>
      <c r="AB2401" s="14">
        <v>40001</v>
      </c>
      <c r="AE2401" s="14" t="s">
        <v>1400</v>
      </c>
      <c r="AF2401" s="14" t="s">
        <v>1400</v>
      </c>
      <c r="AG2401" s="14" t="s">
        <v>95</v>
      </c>
    </row>
    <row r="2402" spans="2:33">
      <c r="B2402" s="14">
        <f>10000000+INDEX(编号表!$B:$B,MATCH(H2402,编号表!$A:$A,0))*100000+INDEX(编号表!$F:$F,MATCH(D2402,编号表!$E:$E,0))*10000+INDEX(编号表!$D:$D,MATCH(AG2402,编号表!$C:$C,0))*1000+F2402</f>
        <v>11925013</v>
      </c>
      <c r="C2402" s="14" t="s">
        <v>4115</v>
      </c>
      <c r="D2402" s="14" t="s">
        <v>112</v>
      </c>
      <c r="E2402" s="14" t="s">
        <v>95</v>
      </c>
      <c r="F2402" s="14">
        <v>13</v>
      </c>
      <c r="G2402" s="14">
        <v>60</v>
      </c>
      <c r="H2402" s="14" t="s">
        <v>1400</v>
      </c>
      <c r="I2402" s="14" t="s">
        <v>75</v>
      </c>
      <c r="J2402" s="14" t="s">
        <v>201</v>
      </c>
      <c r="K2402" s="14">
        <v>1</v>
      </c>
      <c r="L2402" s="14" t="s">
        <v>1400</v>
      </c>
      <c r="N2402" s="14">
        <v>0</v>
      </c>
      <c r="O2402" s="14" t="b">
        <v>1</v>
      </c>
      <c r="Q2402" s="14" t="b">
        <v>0</v>
      </c>
      <c r="R2402" s="14">
        <v>1</v>
      </c>
      <c r="S2402" s="14" t="s">
        <v>77</v>
      </c>
      <c r="T2402" s="14">
        <v>999</v>
      </c>
      <c r="U2402" s="14" t="s">
        <v>1401</v>
      </c>
      <c r="V2402" s="14">
        <v>31925013</v>
      </c>
      <c r="X2402" s="14" t="s">
        <v>4116</v>
      </c>
      <c r="Y2402" s="14" t="s">
        <v>215</v>
      </c>
      <c r="Z2402" s="14">
        <v>21165</v>
      </c>
      <c r="AA2402" s="14" t="s">
        <v>4117</v>
      </c>
      <c r="AB2402" s="14">
        <v>40001</v>
      </c>
      <c r="AE2402" s="14" t="s">
        <v>1400</v>
      </c>
      <c r="AF2402" s="14" t="s">
        <v>1400</v>
      </c>
      <c r="AG2402" s="14" t="s">
        <v>95</v>
      </c>
    </row>
    <row r="2403" spans="2:33">
      <c r="B2403" s="14">
        <f>10000000+INDEX(编号表!$B:$B,MATCH(H2403,编号表!$A:$A,0))*100000+INDEX(编号表!$F:$F,MATCH(D2403,编号表!$E:$E,0))*10000+INDEX(编号表!$D:$D,MATCH(AG2403,编号表!$C:$C,0))*1000+F2403</f>
        <v>11935014</v>
      </c>
      <c r="C2403" s="14" t="s">
        <v>4115</v>
      </c>
      <c r="D2403" s="14" t="s">
        <v>276</v>
      </c>
      <c r="E2403" s="14" t="s">
        <v>95</v>
      </c>
      <c r="F2403" s="14">
        <v>14</v>
      </c>
      <c r="G2403" s="14">
        <v>60</v>
      </c>
      <c r="H2403" s="14" t="s">
        <v>1400</v>
      </c>
      <c r="I2403" s="14" t="s">
        <v>75</v>
      </c>
      <c r="J2403" s="14" t="s">
        <v>201</v>
      </c>
      <c r="K2403" s="14">
        <v>1</v>
      </c>
      <c r="L2403" s="14" t="s">
        <v>1400</v>
      </c>
      <c r="N2403" s="14">
        <v>0</v>
      </c>
      <c r="O2403" s="14" t="b">
        <v>1</v>
      </c>
      <c r="Q2403" s="14" t="b">
        <v>0</v>
      </c>
      <c r="R2403" s="14">
        <v>1</v>
      </c>
      <c r="S2403" s="14" t="s">
        <v>77</v>
      </c>
      <c r="T2403" s="14">
        <v>999</v>
      </c>
      <c r="U2403" s="14" t="s">
        <v>1401</v>
      </c>
      <c r="V2403" s="14">
        <v>31935014</v>
      </c>
      <c r="X2403" s="14" t="s">
        <v>4118</v>
      </c>
      <c r="Y2403" s="14" t="s">
        <v>215</v>
      </c>
      <c r="Z2403" s="14">
        <v>21166</v>
      </c>
      <c r="AA2403" s="14" t="s">
        <v>4119</v>
      </c>
      <c r="AB2403" s="14">
        <v>40001</v>
      </c>
      <c r="AE2403" s="14" t="s">
        <v>1400</v>
      </c>
      <c r="AF2403" s="14" t="s">
        <v>1400</v>
      </c>
      <c r="AG2403" s="14" t="s">
        <v>95</v>
      </c>
    </row>
    <row r="2404" spans="2:33">
      <c r="B2404" s="14">
        <f>10000000+INDEX(编号表!$B:$B,MATCH(H2404,编号表!$A:$A,0))*100000+INDEX(编号表!$F:$F,MATCH(D2404,编号表!$E:$E,0))*10000+INDEX(编号表!$D:$D,MATCH(AG2404,编号表!$C:$C,0))*1000+F2404</f>
        <v>11945015</v>
      </c>
      <c r="C2404" s="14" t="s">
        <v>4115</v>
      </c>
      <c r="D2404" s="14" t="s">
        <v>104</v>
      </c>
      <c r="E2404" s="14" t="s">
        <v>95</v>
      </c>
      <c r="F2404" s="14">
        <v>15</v>
      </c>
      <c r="G2404" s="14">
        <v>60</v>
      </c>
      <c r="H2404" s="14" t="s">
        <v>1400</v>
      </c>
      <c r="I2404" s="14" t="s">
        <v>75</v>
      </c>
      <c r="J2404" s="14" t="s">
        <v>201</v>
      </c>
      <c r="K2404" s="14">
        <v>1</v>
      </c>
      <c r="L2404" s="14" t="s">
        <v>1400</v>
      </c>
      <c r="N2404" s="14">
        <v>0</v>
      </c>
      <c r="O2404" s="14" t="b">
        <v>1</v>
      </c>
      <c r="Q2404" s="14" t="b">
        <v>0</v>
      </c>
      <c r="R2404" s="14">
        <v>1</v>
      </c>
      <c r="S2404" s="14" t="s">
        <v>77</v>
      </c>
      <c r="T2404" s="14">
        <v>999</v>
      </c>
      <c r="U2404" s="14" t="s">
        <v>1401</v>
      </c>
      <c r="V2404" s="14">
        <v>31945015</v>
      </c>
      <c r="X2404" s="14" t="s">
        <v>4120</v>
      </c>
      <c r="Y2404" s="14" t="s">
        <v>215</v>
      </c>
      <c r="Z2404" s="14">
        <v>21167</v>
      </c>
      <c r="AA2404" s="14" t="s">
        <v>4121</v>
      </c>
      <c r="AB2404" s="14">
        <v>40001</v>
      </c>
      <c r="AE2404" s="14" t="s">
        <v>1400</v>
      </c>
      <c r="AF2404" s="14" t="s">
        <v>1400</v>
      </c>
      <c r="AG2404" s="14" t="s">
        <v>95</v>
      </c>
    </row>
    <row r="2405" spans="2:33">
      <c r="B2405" s="14">
        <f>10000000+INDEX(编号表!$B:$B,MATCH(H2405,编号表!$A:$A,0))*100000+INDEX(编号表!$F:$F,MATCH(D2405,编号表!$E:$E,0))*10000+INDEX(编号表!$D:$D,MATCH(AG2405,编号表!$C:$C,0))*1000+F2405</f>
        <v>11925014</v>
      </c>
      <c r="C2405" s="14" t="s">
        <v>4122</v>
      </c>
      <c r="D2405" s="14" t="s">
        <v>112</v>
      </c>
      <c r="E2405" s="14" t="s">
        <v>95</v>
      </c>
      <c r="F2405" s="14">
        <v>14</v>
      </c>
      <c r="G2405" s="14">
        <v>60</v>
      </c>
      <c r="H2405" s="14" t="s">
        <v>1400</v>
      </c>
      <c r="I2405" s="14" t="s">
        <v>75</v>
      </c>
      <c r="J2405" s="14" t="s">
        <v>201</v>
      </c>
      <c r="K2405" s="14">
        <v>1</v>
      </c>
      <c r="L2405" s="14" t="s">
        <v>1400</v>
      </c>
      <c r="N2405" s="14">
        <v>0</v>
      </c>
      <c r="O2405" s="14" t="b">
        <v>1</v>
      </c>
      <c r="Q2405" s="14" t="b">
        <v>0</v>
      </c>
      <c r="R2405" s="14">
        <v>1</v>
      </c>
      <c r="S2405" s="14" t="s">
        <v>77</v>
      </c>
      <c r="T2405" s="14">
        <v>999</v>
      </c>
      <c r="U2405" s="14" t="s">
        <v>1401</v>
      </c>
      <c r="V2405" s="14">
        <v>31925014</v>
      </c>
      <c r="X2405" s="14" t="s">
        <v>4123</v>
      </c>
      <c r="Y2405" s="14" t="s">
        <v>215</v>
      </c>
      <c r="Z2405" s="14">
        <v>21168</v>
      </c>
      <c r="AA2405" s="14" t="s">
        <v>4124</v>
      </c>
      <c r="AB2405" s="14">
        <v>40001</v>
      </c>
      <c r="AE2405" s="14" t="s">
        <v>1400</v>
      </c>
      <c r="AF2405" s="14" t="s">
        <v>1400</v>
      </c>
      <c r="AG2405" s="14" t="s">
        <v>95</v>
      </c>
    </row>
    <row r="2406" spans="2:33">
      <c r="B2406" s="14">
        <f>10000000+INDEX(编号表!$B:$B,MATCH(H2406,编号表!$A:$A,0))*100000+INDEX(编号表!$F:$F,MATCH(D2406,编号表!$E:$E,0))*10000+INDEX(编号表!$D:$D,MATCH(AG2406,编号表!$C:$C,0))*1000+F2406</f>
        <v>11935015</v>
      </c>
      <c r="C2406" s="14" t="s">
        <v>4122</v>
      </c>
      <c r="D2406" s="14" t="s">
        <v>276</v>
      </c>
      <c r="E2406" s="14" t="s">
        <v>95</v>
      </c>
      <c r="F2406" s="14">
        <v>15</v>
      </c>
      <c r="G2406" s="14">
        <v>60</v>
      </c>
      <c r="H2406" s="14" t="s">
        <v>1400</v>
      </c>
      <c r="I2406" s="14" t="s">
        <v>75</v>
      </c>
      <c r="J2406" s="14" t="s">
        <v>201</v>
      </c>
      <c r="K2406" s="14">
        <v>1</v>
      </c>
      <c r="L2406" s="14" t="s">
        <v>1400</v>
      </c>
      <c r="N2406" s="14">
        <v>0</v>
      </c>
      <c r="O2406" s="14" t="b">
        <v>1</v>
      </c>
      <c r="Q2406" s="14" t="b">
        <v>0</v>
      </c>
      <c r="R2406" s="14">
        <v>1</v>
      </c>
      <c r="S2406" s="14" t="s">
        <v>77</v>
      </c>
      <c r="T2406" s="14">
        <v>999</v>
      </c>
      <c r="U2406" s="14" t="s">
        <v>1401</v>
      </c>
      <c r="V2406" s="14">
        <v>31935015</v>
      </c>
      <c r="X2406" s="14" t="s">
        <v>4125</v>
      </c>
      <c r="Y2406" s="14" t="s">
        <v>215</v>
      </c>
      <c r="Z2406" s="14">
        <v>21169</v>
      </c>
      <c r="AA2406" s="14" t="s">
        <v>4126</v>
      </c>
      <c r="AB2406" s="14">
        <v>40001</v>
      </c>
      <c r="AE2406" s="14" t="s">
        <v>1400</v>
      </c>
      <c r="AF2406" s="14" t="s">
        <v>1400</v>
      </c>
      <c r="AG2406" s="14" t="s">
        <v>95</v>
      </c>
    </row>
    <row r="2407" spans="2:33">
      <c r="B2407" s="14">
        <f>10000000+INDEX(编号表!$B:$B,MATCH(H2407,编号表!$A:$A,0))*100000+INDEX(编号表!$F:$F,MATCH(D2407,编号表!$E:$E,0))*10000+INDEX(编号表!$D:$D,MATCH(AG2407,编号表!$C:$C,0))*1000+F2407</f>
        <v>11945016</v>
      </c>
      <c r="C2407" s="14" t="s">
        <v>4122</v>
      </c>
      <c r="D2407" s="14" t="s">
        <v>104</v>
      </c>
      <c r="E2407" s="14" t="s">
        <v>95</v>
      </c>
      <c r="F2407" s="14">
        <v>16</v>
      </c>
      <c r="G2407" s="14">
        <v>60</v>
      </c>
      <c r="H2407" s="14" t="s">
        <v>1400</v>
      </c>
      <c r="I2407" s="14" t="s">
        <v>75</v>
      </c>
      <c r="J2407" s="14" t="s">
        <v>201</v>
      </c>
      <c r="K2407" s="14">
        <v>1</v>
      </c>
      <c r="L2407" s="14" t="s">
        <v>1400</v>
      </c>
      <c r="N2407" s="14">
        <v>0</v>
      </c>
      <c r="O2407" s="14" t="b">
        <v>1</v>
      </c>
      <c r="Q2407" s="14" t="b">
        <v>0</v>
      </c>
      <c r="R2407" s="14">
        <v>1</v>
      </c>
      <c r="S2407" s="14" t="s">
        <v>77</v>
      </c>
      <c r="T2407" s="14">
        <v>999</v>
      </c>
      <c r="U2407" s="14" t="s">
        <v>1401</v>
      </c>
      <c r="V2407" s="14">
        <v>31945016</v>
      </c>
      <c r="X2407" s="14" t="s">
        <v>4127</v>
      </c>
      <c r="Y2407" s="14" t="s">
        <v>215</v>
      </c>
      <c r="Z2407" s="14">
        <v>21170</v>
      </c>
      <c r="AA2407" s="14" t="s">
        <v>4128</v>
      </c>
      <c r="AB2407" s="14">
        <v>40001</v>
      </c>
      <c r="AE2407" s="14" t="s">
        <v>1400</v>
      </c>
      <c r="AF2407" s="14" t="s">
        <v>1400</v>
      </c>
      <c r="AG2407" s="14" t="s">
        <v>95</v>
      </c>
    </row>
    <row r="2408" spans="2:33">
      <c r="B2408" s="14">
        <f>10000000+INDEX(编号表!$B:$B,MATCH(H2408,编号表!$A:$A,0))*100000+INDEX(编号表!$F:$F,MATCH(D2408,编号表!$E:$E,0))*10000+INDEX(编号表!$D:$D,MATCH(AG2408,编号表!$C:$C,0))*1000+F2408</f>
        <v>11925015</v>
      </c>
      <c r="C2408" s="14" t="s">
        <v>4129</v>
      </c>
      <c r="D2408" s="14" t="s">
        <v>112</v>
      </c>
      <c r="E2408" s="14" t="s">
        <v>95</v>
      </c>
      <c r="F2408" s="14">
        <v>15</v>
      </c>
      <c r="G2408" s="14">
        <v>60</v>
      </c>
      <c r="H2408" s="14" t="s">
        <v>1400</v>
      </c>
      <c r="I2408" s="14" t="s">
        <v>75</v>
      </c>
      <c r="J2408" s="14" t="s">
        <v>201</v>
      </c>
      <c r="K2408" s="14">
        <v>1</v>
      </c>
      <c r="L2408" s="14" t="s">
        <v>1400</v>
      </c>
      <c r="N2408" s="14">
        <v>0</v>
      </c>
      <c r="O2408" s="14" t="b">
        <v>1</v>
      </c>
      <c r="Q2408" s="14" t="b">
        <v>0</v>
      </c>
      <c r="R2408" s="14">
        <v>1</v>
      </c>
      <c r="S2408" s="14" t="s">
        <v>77</v>
      </c>
      <c r="T2408" s="14">
        <v>999</v>
      </c>
      <c r="U2408" s="14" t="s">
        <v>1401</v>
      </c>
      <c r="V2408" s="14">
        <v>31925015</v>
      </c>
      <c r="X2408" s="14" t="s">
        <v>4130</v>
      </c>
      <c r="Y2408" s="14" t="s">
        <v>215</v>
      </c>
      <c r="Z2408" s="14">
        <v>21171</v>
      </c>
      <c r="AA2408" s="14" t="s">
        <v>4131</v>
      </c>
      <c r="AB2408" s="14">
        <v>40001</v>
      </c>
      <c r="AE2408" s="14" t="s">
        <v>1400</v>
      </c>
      <c r="AF2408" s="14" t="s">
        <v>1400</v>
      </c>
      <c r="AG2408" s="14" t="s">
        <v>95</v>
      </c>
    </row>
    <row r="2409" spans="2:33">
      <c r="B2409" s="14">
        <f>10000000+INDEX(编号表!$B:$B,MATCH(H2409,编号表!$A:$A,0))*100000+INDEX(编号表!$F:$F,MATCH(D2409,编号表!$E:$E,0))*10000+INDEX(编号表!$D:$D,MATCH(AG2409,编号表!$C:$C,0))*1000+F2409</f>
        <v>11935016</v>
      </c>
      <c r="C2409" s="14" t="s">
        <v>4129</v>
      </c>
      <c r="D2409" s="14" t="s">
        <v>276</v>
      </c>
      <c r="E2409" s="14" t="s">
        <v>95</v>
      </c>
      <c r="F2409" s="14">
        <v>16</v>
      </c>
      <c r="G2409" s="14">
        <v>60</v>
      </c>
      <c r="H2409" s="14" t="s">
        <v>1400</v>
      </c>
      <c r="I2409" s="14" t="s">
        <v>75</v>
      </c>
      <c r="J2409" s="14" t="s">
        <v>201</v>
      </c>
      <c r="K2409" s="14">
        <v>1</v>
      </c>
      <c r="L2409" s="14" t="s">
        <v>1400</v>
      </c>
      <c r="N2409" s="14">
        <v>0</v>
      </c>
      <c r="O2409" s="14" t="b">
        <v>1</v>
      </c>
      <c r="Q2409" s="14" t="b">
        <v>0</v>
      </c>
      <c r="R2409" s="14">
        <v>1</v>
      </c>
      <c r="S2409" s="14" t="s">
        <v>77</v>
      </c>
      <c r="T2409" s="14">
        <v>999</v>
      </c>
      <c r="U2409" s="14" t="s">
        <v>1401</v>
      </c>
      <c r="V2409" s="14">
        <v>31935016</v>
      </c>
      <c r="X2409" s="14" t="s">
        <v>4132</v>
      </c>
      <c r="Y2409" s="14" t="s">
        <v>215</v>
      </c>
      <c r="Z2409" s="14">
        <v>21172</v>
      </c>
      <c r="AA2409" s="14" t="s">
        <v>4133</v>
      </c>
      <c r="AB2409" s="14">
        <v>40001</v>
      </c>
      <c r="AE2409" s="14" t="s">
        <v>1400</v>
      </c>
      <c r="AF2409" s="14" t="s">
        <v>1400</v>
      </c>
      <c r="AG2409" s="14" t="s">
        <v>95</v>
      </c>
    </row>
    <row r="2410" spans="2:33">
      <c r="B2410" s="14">
        <f>10000000+INDEX(编号表!$B:$B,MATCH(H2410,编号表!$A:$A,0))*100000+INDEX(编号表!$F:$F,MATCH(D2410,编号表!$E:$E,0))*10000+INDEX(编号表!$D:$D,MATCH(AG2410,编号表!$C:$C,0))*1000+F2410</f>
        <v>11945017</v>
      </c>
      <c r="C2410" s="14" t="s">
        <v>4129</v>
      </c>
      <c r="D2410" s="14" t="s">
        <v>104</v>
      </c>
      <c r="E2410" s="14" t="s">
        <v>95</v>
      </c>
      <c r="F2410" s="14">
        <v>17</v>
      </c>
      <c r="G2410" s="14">
        <v>60</v>
      </c>
      <c r="H2410" s="14" t="s">
        <v>1400</v>
      </c>
      <c r="I2410" s="14" t="s">
        <v>75</v>
      </c>
      <c r="J2410" s="14" t="s">
        <v>201</v>
      </c>
      <c r="K2410" s="14">
        <v>1</v>
      </c>
      <c r="L2410" s="14" t="s">
        <v>1400</v>
      </c>
      <c r="N2410" s="14">
        <v>0</v>
      </c>
      <c r="O2410" s="14" t="b">
        <v>1</v>
      </c>
      <c r="Q2410" s="14" t="b">
        <v>0</v>
      </c>
      <c r="R2410" s="14">
        <v>1</v>
      </c>
      <c r="S2410" s="14" t="s">
        <v>77</v>
      </c>
      <c r="T2410" s="14">
        <v>999</v>
      </c>
      <c r="U2410" s="14" t="s">
        <v>1401</v>
      </c>
      <c r="V2410" s="14">
        <v>31945017</v>
      </c>
      <c r="X2410" s="14" t="s">
        <v>4134</v>
      </c>
      <c r="Y2410" s="14" t="s">
        <v>215</v>
      </c>
      <c r="Z2410" s="14">
        <v>21173</v>
      </c>
      <c r="AA2410" s="14" t="s">
        <v>4135</v>
      </c>
      <c r="AB2410" s="14">
        <v>40001</v>
      </c>
      <c r="AE2410" s="14" t="s">
        <v>1400</v>
      </c>
      <c r="AF2410" s="14" t="s">
        <v>1400</v>
      </c>
      <c r="AG2410" s="14" t="s">
        <v>95</v>
      </c>
    </row>
    <row r="2411" spans="2:33">
      <c r="B2411" s="14">
        <f>10000000+INDEX(编号表!$B:$B,MATCH(H2411,编号表!$A:$A,0))*100000+INDEX(编号表!$F:$F,MATCH(D2411,编号表!$E:$E,0))*10000+INDEX(编号表!$D:$D,MATCH(AG2411,编号表!$C:$C,0))*1000+F2411</f>
        <v>11925016</v>
      </c>
      <c r="C2411" s="14" t="s">
        <v>4136</v>
      </c>
      <c r="D2411" s="14" t="s">
        <v>112</v>
      </c>
      <c r="E2411" s="14" t="s">
        <v>95</v>
      </c>
      <c r="F2411" s="14">
        <v>16</v>
      </c>
      <c r="G2411" s="14">
        <v>60</v>
      </c>
      <c r="H2411" s="14" t="s">
        <v>1400</v>
      </c>
      <c r="I2411" s="14" t="s">
        <v>75</v>
      </c>
      <c r="J2411" s="14" t="s">
        <v>201</v>
      </c>
      <c r="K2411" s="14">
        <v>1</v>
      </c>
      <c r="L2411" s="14" t="s">
        <v>1400</v>
      </c>
      <c r="N2411" s="14">
        <v>0</v>
      </c>
      <c r="O2411" s="14" t="b">
        <v>1</v>
      </c>
      <c r="Q2411" s="14" t="b">
        <v>0</v>
      </c>
      <c r="R2411" s="14">
        <v>1</v>
      </c>
      <c r="S2411" s="14" t="s">
        <v>77</v>
      </c>
      <c r="T2411" s="14">
        <v>999</v>
      </c>
      <c r="U2411" s="14" t="s">
        <v>1401</v>
      </c>
      <c r="V2411" s="14">
        <v>31925016</v>
      </c>
      <c r="X2411" s="14" t="s">
        <v>4137</v>
      </c>
      <c r="Y2411" s="14" t="s">
        <v>215</v>
      </c>
      <c r="Z2411" s="14">
        <v>21174</v>
      </c>
      <c r="AA2411" s="14" t="s">
        <v>4138</v>
      </c>
      <c r="AB2411" s="14">
        <v>40001</v>
      </c>
      <c r="AE2411" s="14" t="s">
        <v>1400</v>
      </c>
      <c r="AF2411" s="14" t="s">
        <v>1400</v>
      </c>
      <c r="AG2411" s="14" t="s">
        <v>95</v>
      </c>
    </row>
    <row r="2412" spans="2:33">
      <c r="B2412" s="14">
        <f>10000000+INDEX(编号表!$B:$B,MATCH(H2412,编号表!$A:$A,0))*100000+INDEX(编号表!$F:$F,MATCH(D2412,编号表!$E:$E,0))*10000+INDEX(编号表!$D:$D,MATCH(AG2412,编号表!$C:$C,0))*1000+F2412</f>
        <v>11935017</v>
      </c>
      <c r="C2412" s="14" t="s">
        <v>4136</v>
      </c>
      <c r="D2412" s="14" t="s">
        <v>276</v>
      </c>
      <c r="E2412" s="14" t="s">
        <v>95</v>
      </c>
      <c r="F2412" s="14">
        <v>17</v>
      </c>
      <c r="G2412" s="14">
        <v>60</v>
      </c>
      <c r="H2412" s="14" t="s">
        <v>1400</v>
      </c>
      <c r="I2412" s="14" t="s">
        <v>75</v>
      </c>
      <c r="J2412" s="14" t="s">
        <v>201</v>
      </c>
      <c r="K2412" s="14">
        <v>1</v>
      </c>
      <c r="L2412" s="14" t="s">
        <v>1400</v>
      </c>
      <c r="N2412" s="14">
        <v>0</v>
      </c>
      <c r="O2412" s="14" t="b">
        <v>1</v>
      </c>
      <c r="Q2412" s="14" t="b">
        <v>0</v>
      </c>
      <c r="R2412" s="14">
        <v>1</v>
      </c>
      <c r="S2412" s="14" t="s">
        <v>77</v>
      </c>
      <c r="T2412" s="14">
        <v>999</v>
      </c>
      <c r="U2412" s="14" t="s">
        <v>1401</v>
      </c>
      <c r="V2412" s="14">
        <v>31935017</v>
      </c>
      <c r="X2412" s="14" t="s">
        <v>4139</v>
      </c>
      <c r="Y2412" s="14" t="s">
        <v>215</v>
      </c>
      <c r="Z2412" s="14">
        <v>21175</v>
      </c>
      <c r="AA2412" s="14" t="s">
        <v>4140</v>
      </c>
      <c r="AB2412" s="14">
        <v>40001</v>
      </c>
      <c r="AE2412" s="14" t="s">
        <v>1400</v>
      </c>
      <c r="AF2412" s="14" t="s">
        <v>1400</v>
      </c>
      <c r="AG2412" s="14" t="s">
        <v>95</v>
      </c>
    </row>
    <row r="2413" spans="2:33">
      <c r="B2413" s="14">
        <f>10000000+INDEX(编号表!$B:$B,MATCH(H2413,编号表!$A:$A,0))*100000+INDEX(编号表!$F:$F,MATCH(D2413,编号表!$E:$E,0))*10000+INDEX(编号表!$D:$D,MATCH(AG2413,编号表!$C:$C,0))*1000+F2413</f>
        <v>11945018</v>
      </c>
      <c r="C2413" s="14" t="s">
        <v>4136</v>
      </c>
      <c r="D2413" s="14" t="s">
        <v>104</v>
      </c>
      <c r="E2413" s="14" t="s">
        <v>95</v>
      </c>
      <c r="F2413" s="14">
        <v>18</v>
      </c>
      <c r="G2413" s="14">
        <v>60</v>
      </c>
      <c r="H2413" s="14" t="s">
        <v>1400</v>
      </c>
      <c r="I2413" s="14" t="s">
        <v>75</v>
      </c>
      <c r="J2413" s="14" t="s">
        <v>201</v>
      </c>
      <c r="K2413" s="14">
        <v>1</v>
      </c>
      <c r="L2413" s="14" t="s">
        <v>1400</v>
      </c>
      <c r="N2413" s="14">
        <v>0</v>
      </c>
      <c r="O2413" s="14" t="b">
        <v>1</v>
      </c>
      <c r="Q2413" s="14" t="b">
        <v>0</v>
      </c>
      <c r="R2413" s="14">
        <v>1</v>
      </c>
      <c r="S2413" s="14" t="s">
        <v>77</v>
      </c>
      <c r="T2413" s="14">
        <v>999</v>
      </c>
      <c r="U2413" s="14" t="s">
        <v>1401</v>
      </c>
      <c r="V2413" s="14">
        <v>31945018</v>
      </c>
      <c r="X2413" s="14" t="s">
        <v>4141</v>
      </c>
      <c r="Y2413" s="14" t="s">
        <v>215</v>
      </c>
      <c r="Z2413" s="14">
        <v>21176</v>
      </c>
      <c r="AA2413" s="14" t="s">
        <v>4142</v>
      </c>
      <c r="AB2413" s="14">
        <v>40001</v>
      </c>
      <c r="AE2413" s="14" t="s">
        <v>1400</v>
      </c>
      <c r="AF2413" s="14" t="s">
        <v>1400</v>
      </c>
      <c r="AG2413" s="14" t="s">
        <v>95</v>
      </c>
    </row>
    <row r="2414" spans="2:33">
      <c r="B2414" s="14">
        <f>10000000+INDEX(编号表!$B:$B,MATCH(H2414,编号表!$A:$A,0))*100000+INDEX(编号表!$F:$F,MATCH(D2414,编号表!$E:$E,0))*10000+INDEX(编号表!$D:$D,MATCH(AG2414,编号表!$C:$C,0))*1000+F2414</f>
        <v>11925017</v>
      </c>
      <c r="C2414" s="14" t="s">
        <v>4143</v>
      </c>
      <c r="D2414" s="14" t="s">
        <v>112</v>
      </c>
      <c r="E2414" s="14" t="s">
        <v>95</v>
      </c>
      <c r="F2414" s="14">
        <v>17</v>
      </c>
      <c r="G2414" s="14">
        <v>60</v>
      </c>
      <c r="H2414" s="14" t="s">
        <v>1400</v>
      </c>
      <c r="I2414" s="14" t="s">
        <v>75</v>
      </c>
      <c r="J2414" s="14" t="s">
        <v>201</v>
      </c>
      <c r="K2414" s="14">
        <v>1</v>
      </c>
      <c r="L2414" s="14" t="s">
        <v>1400</v>
      </c>
      <c r="N2414" s="14">
        <v>0</v>
      </c>
      <c r="O2414" s="14" t="b">
        <v>1</v>
      </c>
      <c r="Q2414" s="14" t="b">
        <v>0</v>
      </c>
      <c r="R2414" s="14">
        <v>1</v>
      </c>
      <c r="S2414" s="14" t="s">
        <v>77</v>
      </c>
      <c r="T2414" s="14">
        <v>999</v>
      </c>
      <c r="U2414" s="14" t="s">
        <v>1401</v>
      </c>
      <c r="V2414" s="14">
        <v>31925017</v>
      </c>
      <c r="X2414" s="14" t="s">
        <v>4144</v>
      </c>
      <c r="Y2414" s="14" t="s">
        <v>215</v>
      </c>
      <c r="Z2414" s="14">
        <v>21177</v>
      </c>
      <c r="AA2414" s="14" t="s">
        <v>4145</v>
      </c>
      <c r="AB2414" s="14">
        <v>40001</v>
      </c>
      <c r="AE2414" s="14" t="s">
        <v>1400</v>
      </c>
      <c r="AF2414" s="14" t="s">
        <v>1400</v>
      </c>
      <c r="AG2414" s="14" t="s">
        <v>95</v>
      </c>
    </row>
    <row r="2415" spans="2:33">
      <c r="B2415" s="14">
        <f>10000000+INDEX(编号表!$B:$B,MATCH(H2415,编号表!$A:$A,0))*100000+INDEX(编号表!$F:$F,MATCH(D2415,编号表!$E:$E,0))*10000+INDEX(编号表!$D:$D,MATCH(AG2415,编号表!$C:$C,0))*1000+F2415</f>
        <v>11935018</v>
      </c>
      <c r="C2415" s="14" t="s">
        <v>4143</v>
      </c>
      <c r="D2415" s="14" t="s">
        <v>276</v>
      </c>
      <c r="E2415" s="14" t="s">
        <v>95</v>
      </c>
      <c r="F2415" s="14">
        <v>18</v>
      </c>
      <c r="G2415" s="14">
        <v>60</v>
      </c>
      <c r="H2415" s="14" t="s">
        <v>1400</v>
      </c>
      <c r="I2415" s="14" t="s">
        <v>75</v>
      </c>
      <c r="J2415" s="14" t="s">
        <v>201</v>
      </c>
      <c r="K2415" s="14">
        <v>1</v>
      </c>
      <c r="L2415" s="14" t="s">
        <v>1400</v>
      </c>
      <c r="N2415" s="14">
        <v>0</v>
      </c>
      <c r="O2415" s="14" t="b">
        <v>1</v>
      </c>
      <c r="Q2415" s="14" t="b">
        <v>0</v>
      </c>
      <c r="R2415" s="14">
        <v>1</v>
      </c>
      <c r="S2415" s="14" t="s">
        <v>77</v>
      </c>
      <c r="T2415" s="14">
        <v>999</v>
      </c>
      <c r="U2415" s="14" t="s">
        <v>1401</v>
      </c>
      <c r="V2415" s="14">
        <v>31935018</v>
      </c>
      <c r="X2415" s="14" t="s">
        <v>4146</v>
      </c>
      <c r="Y2415" s="14" t="s">
        <v>215</v>
      </c>
      <c r="Z2415" s="14">
        <v>21178</v>
      </c>
      <c r="AA2415" s="14" t="s">
        <v>4147</v>
      </c>
      <c r="AB2415" s="14">
        <v>40001</v>
      </c>
      <c r="AE2415" s="14" t="s">
        <v>1400</v>
      </c>
      <c r="AF2415" s="14" t="s">
        <v>1400</v>
      </c>
      <c r="AG2415" s="14" t="s">
        <v>95</v>
      </c>
    </row>
    <row r="2416" spans="2:33">
      <c r="B2416" s="14">
        <f>10000000+INDEX(编号表!$B:$B,MATCH(H2416,编号表!$A:$A,0))*100000+INDEX(编号表!$F:$F,MATCH(D2416,编号表!$E:$E,0))*10000+INDEX(编号表!$D:$D,MATCH(AG2416,编号表!$C:$C,0))*1000+F2416</f>
        <v>11945019</v>
      </c>
      <c r="C2416" s="14" t="s">
        <v>4143</v>
      </c>
      <c r="D2416" s="14" t="s">
        <v>104</v>
      </c>
      <c r="E2416" s="14" t="s">
        <v>95</v>
      </c>
      <c r="F2416" s="14">
        <v>19</v>
      </c>
      <c r="G2416" s="14">
        <v>60</v>
      </c>
      <c r="H2416" s="14" t="s">
        <v>1400</v>
      </c>
      <c r="I2416" s="14" t="s">
        <v>75</v>
      </c>
      <c r="J2416" s="14" t="s">
        <v>201</v>
      </c>
      <c r="K2416" s="14">
        <v>1</v>
      </c>
      <c r="L2416" s="14" t="s">
        <v>1400</v>
      </c>
      <c r="N2416" s="14">
        <v>0</v>
      </c>
      <c r="O2416" s="14" t="b">
        <v>1</v>
      </c>
      <c r="Q2416" s="14" t="b">
        <v>0</v>
      </c>
      <c r="R2416" s="14">
        <v>1</v>
      </c>
      <c r="S2416" s="14" t="s">
        <v>77</v>
      </c>
      <c r="T2416" s="14">
        <v>999</v>
      </c>
      <c r="U2416" s="14" t="s">
        <v>1401</v>
      </c>
      <c r="V2416" s="14">
        <v>31945019</v>
      </c>
      <c r="X2416" s="14" t="s">
        <v>4148</v>
      </c>
      <c r="Y2416" s="14" t="s">
        <v>215</v>
      </c>
      <c r="Z2416" s="14">
        <v>21179</v>
      </c>
      <c r="AA2416" s="14" t="s">
        <v>4149</v>
      </c>
      <c r="AB2416" s="14">
        <v>40001</v>
      </c>
      <c r="AE2416" s="14" t="s">
        <v>1400</v>
      </c>
      <c r="AF2416" s="14" t="s">
        <v>1400</v>
      </c>
      <c r="AG2416" s="14" t="s">
        <v>95</v>
      </c>
    </row>
    <row r="2417" spans="2:33">
      <c r="B2417" s="14">
        <f>10000000+INDEX(编号表!$B:$B,MATCH(H2417,编号表!$A:$A,0))*100000+INDEX(编号表!$F:$F,MATCH(D2417,编号表!$E:$E,0))*10000+INDEX(编号表!$D:$D,MATCH(AG2417,编号表!$C:$C,0))*1000+F2417</f>
        <v>11925018</v>
      </c>
      <c r="C2417" s="14" t="s">
        <v>4150</v>
      </c>
      <c r="D2417" s="14" t="s">
        <v>112</v>
      </c>
      <c r="E2417" s="14" t="s">
        <v>95</v>
      </c>
      <c r="F2417" s="14">
        <v>18</v>
      </c>
      <c r="G2417" s="14">
        <v>60</v>
      </c>
      <c r="H2417" s="14" t="s">
        <v>1400</v>
      </c>
      <c r="I2417" s="14" t="s">
        <v>75</v>
      </c>
      <c r="J2417" s="14" t="s">
        <v>201</v>
      </c>
      <c r="K2417" s="14">
        <v>1</v>
      </c>
      <c r="L2417" s="14" t="s">
        <v>1400</v>
      </c>
      <c r="N2417" s="14">
        <v>0</v>
      </c>
      <c r="O2417" s="14" t="b">
        <v>1</v>
      </c>
      <c r="Q2417" s="14" t="b">
        <v>0</v>
      </c>
      <c r="R2417" s="14">
        <v>1</v>
      </c>
      <c r="S2417" s="14" t="s">
        <v>77</v>
      </c>
      <c r="T2417" s="14">
        <v>999</v>
      </c>
      <c r="U2417" s="14" t="s">
        <v>1401</v>
      </c>
      <c r="V2417" s="14">
        <v>31925018</v>
      </c>
      <c r="X2417" s="14" t="s">
        <v>4151</v>
      </c>
      <c r="Y2417" s="14" t="s">
        <v>215</v>
      </c>
      <c r="Z2417" s="14">
        <v>21180</v>
      </c>
      <c r="AA2417" s="14" t="s">
        <v>4152</v>
      </c>
      <c r="AB2417" s="14">
        <v>40001</v>
      </c>
      <c r="AE2417" s="14" t="s">
        <v>1400</v>
      </c>
      <c r="AF2417" s="14" t="s">
        <v>1400</v>
      </c>
      <c r="AG2417" s="14" t="s">
        <v>95</v>
      </c>
    </row>
    <row r="2418" spans="2:33">
      <c r="B2418" s="14">
        <f>10000000+INDEX(编号表!$B:$B,MATCH(H2418,编号表!$A:$A,0))*100000+INDEX(编号表!$F:$F,MATCH(D2418,编号表!$E:$E,0))*10000+INDEX(编号表!$D:$D,MATCH(AG2418,编号表!$C:$C,0))*1000+F2418</f>
        <v>11935019</v>
      </c>
      <c r="C2418" s="14" t="s">
        <v>4150</v>
      </c>
      <c r="D2418" s="14" t="s">
        <v>276</v>
      </c>
      <c r="E2418" s="14" t="s">
        <v>95</v>
      </c>
      <c r="F2418" s="14">
        <v>19</v>
      </c>
      <c r="G2418" s="14">
        <v>60</v>
      </c>
      <c r="H2418" s="14" t="s">
        <v>1400</v>
      </c>
      <c r="I2418" s="14" t="s">
        <v>75</v>
      </c>
      <c r="J2418" s="14" t="s">
        <v>201</v>
      </c>
      <c r="K2418" s="14">
        <v>1</v>
      </c>
      <c r="L2418" s="14" t="s">
        <v>1400</v>
      </c>
      <c r="N2418" s="14">
        <v>0</v>
      </c>
      <c r="O2418" s="14" t="b">
        <v>1</v>
      </c>
      <c r="Q2418" s="14" t="b">
        <v>0</v>
      </c>
      <c r="R2418" s="14">
        <v>1</v>
      </c>
      <c r="S2418" s="14" t="s">
        <v>77</v>
      </c>
      <c r="T2418" s="14">
        <v>999</v>
      </c>
      <c r="U2418" s="14" t="s">
        <v>1401</v>
      </c>
      <c r="V2418" s="14">
        <v>31935019</v>
      </c>
      <c r="X2418" s="14" t="s">
        <v>4153</v>
      </c>
      <c r="Y2418" s="14" t="s">
        <v>215</v>
      </c>
      <c r="Z2418" s="14">
        <v>21181</v>
      </c>
      <c r="AA2418" s="14" t="s">
        <v>4154</v>
      </c>
      <c r="AB2418" s="14">
        <v>40001</v>
      </c>
      <c r="AE2418" s="14" t="s">
        <v>1400</v>
      </c>
      <c r="AF2418" s="14" t="s">
        <v>1400</v>
      </c>
      <c r="AG2418" s="14" t="s">
        <v>95</v>
      </c>
    </row>
    <row r="2419" spans="2:33">
      <c r="B2419" s="14">
        <f>10000000+INDEX(编号表!$B:$B,MATCH(H2419,编号表!$A:$A,0))*100000+INDEX(编号表!$F:$F,MATCH(D2419,编号表!$E:$E,0))*10000+INDEX(编号表!$D:$D,MATCH(AG2419,编号表!$C:$C,0))*1000+F2419</f>
        <v>11945020</v>
      </c>
      <c r="C2419" s="14" t="s">
        <v>4150</v>
      </c>
      <c r="D2419" s="14" t="s">
        <v>104</v>
      </c>
      <c r="E2419" s="14" t="s">
        <v>95</v>
      </c>
      <c r="F2419" s="14">
        <v>20</v>
      </c>
      <c r="G2419" s="14">
        <v>60</v>
      </c>
      <c r="H2419" s="14" t="s">
        <v>1400</v>
      </c>
      <c r="I2419" s="14" t="s">
        <v>75</v>
      </c>
      <c r="J2419" s="14" t="s">
        <v>201</v>
      </c>
      <c r="K2419" s="14">
        <v>1</v>
      </c>
      <c r="L2419" s="14" t="s">
        <v>1400</v>
      </c>
      <c r="N2419" s="14">
        <v>0</v>
      </c>
      <c r="O2419" s="14" t="b">
        <v>1</v>
      </c>
      <c r="Q2419" s="14" t="b">
        <v>0</v>
      </c>
      <c r="R2419" s="14">
        <v>1</v>
      </c>
      <c r="S2419" s="14" t="s">
        <v>77</v>
      </c>
      <c r="T2419" s="14">
        <v>999</v>
      </c>
      <c r="U2419" s="14" t="s">
        <v>1401</v>
      </c>
      <c r="V2419" s="14">
        <v>31945020</v>
      </c>
      <c r="X2419" s="14" t="s">
        <v>4155</v>
      </c>
      <c r="Y2419" s="14" t="s">
        <v>215</v>
      </c>
      <c r="Z2419" s="14">
        <v>21182</v>
      </c>
      <c r="AA2419" s="14" t="s">
        <v>4156</v>
      </c>
      <c r="AB2419" s="14">
        <v>40001</v>
      </c>
      <c r="AE2419" s="14" t="s">
        <v>1400</v>
      </c>
      <c r="AF2419" s="14" t="s">
        <v>1400</v>
      </c>
      <c r="AG2419" s="14" t="s">
        <v>95</v>
      </c>
    </row>
    <row r="2420" spans="2:33">
      <c r="B2420" s="14">
        <f>10000000+INDEX(编号表!$B:$B,MATCH(H2420,编号表!$A:$A,0))*100000+INDEX(编号表!$F:$F,MATCH(D2420,编号表!$E:$E,0))*10000+INDEX(编号表!$D:$D,MATCH(AG2420,编号表!$C:$C,0))*1000+F2420</f>
        <v>11925019</v>
      </c>
      <c r="C2420" s="14" t="s">
        <v>4157</v>
      </c>
      <c r="D2420" s="14" t="s">
        <v>112</v>
      </c>
      <c r="E2420" s="14" t="s">
        <v>95</v>
      </c>
      <c r="F2420" s="14">
        <v>19</v>
      </c>
      <c r="G2420" s="14">
        <v>60</v>
      </c>
      <c r="H2420" s="14" t="s">
        <v>1400</v>
      </c>
      <c r="I2420" s="14" t="s">
        <v>75</v>
      </c>
      <c r="J2420" s="14" t="s">
        <v>201</v>
      </c>
      <c r="K2420" s="14">
        <v>1</v>
      </c>
      <c r="L2420" s="14" t="s">
        <v>1400</v>
      </c>
      <c r="N2420" s="14">
        <v>0</v>
      </c>
      <c r="O2420" s="14" t="b">
        <v>1</v>
      </c>
      <c r="Q2420" s="14" t="b">
        <v>0</v>
      </c>
      <c r="R2420" s="14">
        <v>1</v>
      </c>
      <c r="S2420" s="14" t="s">
        <v>77</v>
      </c>
      <c r="T2420" s="14">
        <v>999</v>
      </c>
      <c r="U2420" s="14" t="s">
        <v>1401</v>
      </c>
      <c r="V2420" s="14">
        <v>31925019</v>
      </c>
      <c r="X2420" s="14" t="s">
        <v>4158</v>
      </c>
      <c r="Y2420" s="14" t="s">
        <v>215</v>
      </c>
      <c r="Z2420" s="14">
        <v>21183</v>
      </c>
      <c r="AA2420" s="14" t="s">
        <v>4159</v>
      </c>
      <c r="AB2420" s="14">
        <v>40001</v>
      </c>
      <c r="AE2420" s="14" t="s">
        <v>1400</v>
      </c>
      <c r="AF2420" s="14" t="s">
        <v>1400</v>
      </c>
      <c r="AG2420" s="14" t="s">
        <v>95</v>
      </c>
    </row>
    <row r="2421" spans="2:33">
      <c r="B2421" s="14">
        <f>10000000+INDEX(编号表!$B:$B,MATCH(H2421,编号表!$A:$A,0))*100000+INDEX(编号表!$F:$F,MATCH(D2421,编号表!$E:$E,0))*10000+INDEX(编号表!$D:$D,MATCH(AG2421,编号表!$C:$C,0))*1000+F2421</f>
        <v>11935020</v>
      </c>
      <c r="C2421" s="14" t="s">
        <v>4157</v>
      </c>
      <c r="D2421" s="14" t="s">
        <v>276</v>
      </c>
      <c r="E2421" s="14" t="s">
        <v>95</v>
      </c>
      <c r="F2421" s="14">
        <v>20</v>
      </c>
      <c r="G2421" s="14">
        <v>60</v>
      </c>
      <c r="H2421" s="14" t="s">
        <v>1400</v>
      </c>
      <c r="I2421" s="14" t="s">
        <v>75</v>
      </c>
      <c r="J2421" s="14" t="s">
        <v>201</v>
      </c>
      <c r="K2421" s="14">
        <v>1</v>
      </c>
      <c r="L2421" s="14" t="s">
        <v>1400</v>
      </c>
      <c r="N2421" s="14">
        <v>0</v>
      </c>
      <c r="O2421" s="14" t="b">
        <v>1</v>
      </c>
      <c r="Q2421" s="14" t="b">
        <v>0</v>
      </c>
      <c r="R2421" s="14">
        <v>1</v>
      </c>
      <c r="S2421" s="14" t="s">
        <v>77</v>
      </c>
      <c r="T2421" s="14">
        <v>999</v>
      </c>
      <c r="U2421" s="14" t="s">
        <v>1401</v>
      </c>
      <c r="V2421" s="14">
        <v>31935020</v>
      </c>
      <c r="X2421" s="14" t="s">
        <v>4160</v>
      </c>
      <c r="Y2421" s="14" t="s">
        <v>215</v>
      </c>
      <c r="Z2421" s="14">
        <v>21184</v>
      </c>
      <c r="AA2421" s="14" t="s">
        <v>4161</v>
      </c>
      <c r="AB2421" s="14">
        <v>40001</v>
      </c>
      <c r="AE2421" s="14" t="s">
        <v>1400</v>
      </c>
      <c r="AF2421" s="14" t="s">
        <v>1400</v>
      </c>
      <c r="AG2421" s="14" t="s">
        <v>95</v>
      </c>
    </row>
    <row r="2422" spans="2:33">
      <c r="B2422" s="14">
        <f>10000000+INDEX(编号表!$B:$B,MATCH(H2422,编号表!$A:$A,0))*100000+INDEX(编号表!$F:$F,MATCH(D2422,编号表!$E:$E,0))*10000+INDEX(编号表!$D:$D,MATCH(AG2422,编号表!$C:$C,0))*1000+F2422</f>
        <v>11945021</v>
      </c>
      <c r="C2422" s="14" t="s">
        <v>4157</v>
      </c>
      <c r="D2422" s="14" t="s">
        <v>104</v>
      </c>
      <c r="E2422" s="14" t="s">
        <v>95</v>
      </c>
      <c r="F2422" s="14">
        <v>21</v>
      </c>
      <c r="G2422" s="14">
        <v>60</v>
      </c>
      <c r="H2422" s="14" t="s">
        <v>1400</v>
      </c>
      <c r="I2422" s="14" t="s">
        <v>75</v>
      </c>
      <c r="J2422" s="14" t="s">
        <v>201</v>
      </c>
      <c r="K2422" s="14">
        <v>1</v>
      </c>
      <c r="L2422" s="14" t="s">
        <v>1400</v>
      </c>
      <c r="N2422" s="14">
        <v>0</v>
      </c>
      <c r="O2422" s="14" t="b">
        <v>1</v>
      </c>
      <c r="Q2422" s="14" t="b">
        <v>0</v>
      </c>
      <c r="R2422" s="14">
        <v>1</v>
      </c>
      <c r="S2422" s="14" t="s">
        <v>77</v>
      </c>
      <c r="T2422" s="14">
        <v>999</v>
      </c>
      <c r="U2422" s="14" t="s">
        <v>1401</v>
      </c>
      <c r="V2422" s="14">
        <v>31945021</v>
      </c>
      <c r="X2422" s="14" t="s">
        <v>4162</v>
      </c>
      <c r="Y2422" s="14" t="s">
        <v>215</v>
      </c>
      <c r="Z2422" s="14">
        <v>21185</v>
      </c>
      <c r="AA2422" s="14" t="s">
        <v>4163</v>
      </c>
      <c r="AB2422" s="14">
        <v>40001</v>
      </c>
      <c r="AE2422" s="14" t="s">
        <v>1400</v>
      </c>
      <c r="AF2422" s="14" t="s">
        <v>1400</v>
      </c>
      <c r="AG2422" s="14" t="s">
        <v>95</v>
      </c>
    </row>
    <row r="2423" spans="2:33">
      <c r="B2423" s="14">
        <f>10000000+INDEX(编号表!$B:$B,MATCH(H2423,编号表!$A:$A,0))*100000+INDEX(编号表!$F:$F,MATCH(D2423,编号表!$E:$E,0))*10000+INDEX(编号表!$D:$D,MATCH(AG2423,编号表!$C:$C,0))*1000+F2423</f>
        <v>11925020</v>
      </c>
      <c r="C2423" s="14" t="s">
        <v>4164</v>
      </c>
      <c r="D2423" s="14" t="s">
        <v>112</v>
      </c>
      <c r="E2423" s="14" t="s">
        <v>95</v>
      </c>
      <c r="F2423" s="14">
        <v>20</v>
      </c>
      <c r="G2423" s="14">
        <v>60</v>
      </c>
      <c r="H2423" s="14" t="s">
        <v>1400</v>
      </c>
      <c r="I2423" s="14" t="s">
        <v>75</v>
      </c>
      <c r="J2423" s="14" t="s">
        <v>201</v>
      </c>
      <c r="K2423" s="14">
        <v>1</v>
      </c>
      <c r="L2423" s="14" t="s">
        <v>1400</v>
      </c>
      <c r="N2423" s="14">
        <v>0</v>
      </c>
      <c r="O2423" s="14" t="b">
        <v>1</v>
      </c>
      <c r="Q2423" s="14" t="b">
        <v>0</v>
      </c>
      <c r="R2423" s="14">
        <v>1</v>
      </c>
      <c r="S2423" s="14" t="s">
        <v>77</v>
      </c>
      <c r="T2423" s="14">
        <v>999</v>
      </c>
      <c r="U2423" s="14" t="s">
        <v>1401</v>
      </c>
      <c r="V2423" s="14">
        <v>31925020</v>
      </c>
      <c r="X2423" s="14" t="s">
        <v>4165</v>
      </c>
      <c r="Y2423" s="14" t="s">
        <v>215</v>
      </c>
      <c r="Z2423" s="14">
        <v>21186</v>
      </c>
      <c r="AA2423" s="14" t="s">
        <v>4166</v>
      </c>
      <c r="AB2423" s="14">
        <v>40001</v>
      </c>
      <c r="AE2423" s="14" t="s">
        <v>1400</v>
      </c>
      <c r="AF2423" s="14" t="s">
        <v>1400</v>
      </c>
      <c r="AG2423" s="14" t="s">
        <v>95</v>
      </c>
    </row>
    <row r="2424" spans="2:33">
      <c r="B2424" s="14">
        <f>10000000+INDEX(编号表!$B:$B,MATCH(H2424,编号表!$A:$A,0))*100000+INDEX(编号表!$F:$F,MATCH(D2424,编号表!$E:$E,0))*10000+INDEX(编号表!$D:$D,MATCH(AG2424,编号表!$C:$C,0))*1000+F2424</f>
        <v>11935021</v>
      </c>
      <c r="C2424" s="14" t="s">
        <v>4164</v>
      </c>
      <c r="D2424" s="14" t="s">
        <v>276</v>
      </c>
      <c r="E2424" s="14" t="s">
        <v>95</v>
      </c>
      <c r="F2424" s="14">
        <v>21</v>
      </c>
      <c r="G2424" s="14">
        <v>60</v>
      </c>
      <c r="H2424" s="14" t="s">
        <v>1400</v>
      </c>
      <c r="I2424" s="14" t="s">
        <v>75</v>
      </c>
      <c r="J2424" s="14" t="s">
        <v>201</v>
      </c>
      <c r="K2424" s="14">
        <v>1</v>
      </c>
      <c r="L2424" s="14" t="s">
        <v>1400</v>
      </c>
      <c r="N2424" s="14">
        <v>0</v>
      </c>
      <c r="O2424" s="14" t="b">
        <v>1</v>
      </c>
      <c r="Q2424" s="14" t="b">
        <v>0</v>
      </c>
      <c r="R2424" s="14">
        <v>1</v>
      </c>
      <c r="S2424" s="14" t="s">
        <v>77</v>
      </c>
      <c r="T2424" s="14">
        <v>999</v>
      </c>
      <c r="U2424" s="14" t="s">
        <v>1401</v>
      </c>
      <c r="V2424" s="14">
        <v>31935021</v>
      </c>
      <c r="X2424" s="14" t="s">
        <v>4167</v>
      </c>
      <c r="Y2424" s="14" t="s">
        <v>215</v>
      </c>
      <c r="Z2424" s="14">
        <v>21187</v>
      </c>
      <c r="AA2424" s="14" t="s">
        <v>4168</v>
      </c>
      <c r="AB2424" s="14">
        <v>40001</v>
      </c>
      <c r="AE2424" s="14" t="s">
        <v>1400</v>
      </c>
      <c r="AF2424" s="14" t="s">
        <v>1400</v>
      </c>
      <c r="AG2424" s="14" t="s">
        <v>95</v>
      </c>
    </row>
    <row r="2425" spans="2:33">
      <c r="B2425" s="14">
        <f>10000000+INDEX(编号表!$B:$B,MATCH(H2425,编号表!$A:$A,0))*100000+INDEX(编号表!$F:$F,MATCH(D2425,编号表!$E:$E,0))*10000+INDEX(编号表!$D:$D,MATCH(AG2425,编号表!$C:$C,0))*1000+F2425</f>
        <v>11945022</v>
      </c>
      <c r="C2425" s="14" t="s">
        <v>4164</v>
      </c>
      <c r="D2425" s="14" t="s">
        <v>104</v>
      </c>
      <c r="E2425" s="14" t="s">
        <v>95</v>
      </c>
      <c r="F2425" s="14">
        <v>22</v>
      </c>
      <c r="G2425" s="14">
        <v>60</v>
      </c>
      <c r="H2425" s="14" t="s">
        <v>1400</v>
      </c>
      <c r="I2425" s="14" t="s">
        <v>75</v>
      </c>
      <c r="J2425" s="14" t="s">
        <v>201</v>
      </c>
      <c r="K2425" s="14">
        <v>1</v>
      </c>
      <c r="L2425" s="14" t="s">
        <v>1400</v>
      </c>
      <c r="N2425" s="14">
        <v>0</v>
      </c>
      <c r="O2425" s="14" t="b">
        <v>1</v>
      </c>
      <c r="Q2425" s="14" t="b">
        <v>0</v>
      </c>
      <c r="R2425" s="14">
        <v>1</v>
      </c>
      <c r="S2425" s="14" t="s">
        <v>77</v>
      </c>
      <c r="T2425" s="14">
        <v>999</v>
      </c>
      <c r="U2425" s="14" t="s">
        <v>1401</v>
      </c>
      <c r="V2425" s="14">
        <v>31945022</v>
      </c>
      <c r="X2425" s="14" t="s">
        <v>4169</v>
      </c>
      <c r="Y2425" s="14" t="s">
        <v>215</v>
      </c>
      <c r="Z2425" s="14">
        <v>21188</v>
      </c>
      <c r="AA2425" s="14" t="s">
        <v>4170</v>
      </c>
      <c r="AB2425" s="14">
        <v>40001</v>
      </c>
      <c r="AE2425" s="14" t="s">
        <v>1400</v>
      </c>
      <c r="AF2425" s="14" t="s">
        <v>1400</v>
      </c>
      <c r="AG2425" s="14" t="s">
        <v>95</v>
      </c>
    </row>
    <row r="2426" spans="2:33">
      <c r="B2426" s="14">
        <f>10000000+INDEX(编号表!$B:$B,MATCH(H2426,编号表!$A:$A,0))*100000+INDEX(编号表!$F:$F,MATCH(D2426,编号表!$E:$E,0))*10000+INDEX(编号表!$D:$D,MATCH(AG2426,编号表!$C:$C,0))*1000+F2426</f>
        <v>11925021</v>
      </c>
      <c r="C2426" s="14" t="s">
        <v>4171</v>
      </c>
      <c r="D2426" s="14" t="s">
        <v>112</v>
      </c>
      <c r="E2426" s="14" t="s">
        <v>95</v>
      </c>
      <c r="F2426" s="14">
        <v>21</v>
      </c>
      <c r="G2426" s="14">
        <v>60</v>
      </c>
      <c r="H2426" s="14" t="s">
        <v>1400</v>
      </c>
      <c r="I2426" s="14" t="s">
        <v>75</v>
      </c>
      <c r="J2426" s="14" t="s">
        <v>201</v>
      </c>
      <c r="K2426" s="14">
        <v>1</v>
      </c>
      <c r="L2426" s="14" t="s">
        <v>1400</v>
      </c>
      <c r="N2426" s="14">
        <v>0</v>
      </c>
      <c r="O2426" s="14" t="b">
        <v>1</v>
      </c>
      <c r="Q2426" s="14" t="b">
        <v>0</v>
      </c>
      <c r="R2426" s="14">
        <v>1</v>
      </c>
      <c r="S2426" s="14" t="s">
        <v>77</v>
      </c>
      <c r="T2426" s="14">
        <v>999</v>
      </c>
      <c r="U2426" s="14" t="s">
        <v>1401</v>
      </c>
      <c r="V2426" s="14">
        <v>31925021</v>
      </c>
      <c r="X2426" s="14" t="s">
        <v>4172</v>
      </c>
      <c r="Y2426" s="14" t="s">
        <v>215</v>
      </c>
      <c r="Z2426" s="14">
        <v>21189</v>
      </c>
      <c r="AA2426" s="14" t="s">
        <v>4173</v>
      </c>
      <c r="AB2426" s="14">
        <v>40001</v>
      </c>
      <c r="AE2426" s="14" t="s">
        <v>1400</v>
      </c>
      <c r="AF2426" s="14" t="s">
        <v>1400</v>
      </c>
      <c r="AG2426" s="14" t="s">
        <v>95</v>
      </c>
    </row>
    <row r="2427" spans="2:33">
      <c r="B2427" s="14">
        <f>10000000+INDEX(编号表!$B:$B,MATCH(H2427,编号表!$A:$A,0))*100000+INDEX(编号表!$F:$F,MATCH(D2427,编号表!$E:$E,0))*10000+INDEX(编号表!$D:$D,MATCH(AG2427,编号表!$C:$C,0))*1000+F2427</f>
        <v>11935022</v>
      </c>
      <c r="C2427" s="14" t="s">
        <v>4171</v>
      </c>
      <c r="D2427" s="14" t="s">
        <v>276</v>
      </c>
      <c r="E2427" s="14" t="s">
        <v>95</v>
      </c>
      <c r="F2427" s="14">
        <v>22</v>
      </c>
      <c r="G2427" s="14">
        <v>60</v>
      </c>
      <c r="H2427" s="14" t="s">
        <v>1400</v>
      </c>
      <c r="I2427" s="14" t="s">
        <v>75</v>
      </c>
      <c r="J2427" s="14" t="s">
        <v>201</v>
      </c>
      <c r="K2427" s="14">
        <v>1</v>
      </c>
      <c r="L2427" s="14" t="s">
        <v>1400</v>
      </c>
      <c r="N2427" s="14">
        <v>0</v>
      </c>
      <c r="O2427" s="14" t="b">
        <v>1</v>
      </c>
      <c r="Q2427" s="14" t="b">
        <v>0</v>
      </c>
      <c r="R2427" s="14">
        <v>1</v>
      </c>
      <c r="S2427" s="14" t="s">
        <v>77</v>
      </c>
      <c r="T2427" s="14">
        <v>999</v>
      </c>
      <c r="U2427" s="14" t="s">
        <v>1401</v>
      </c>
      <c r="V2427" s="14">
        <v>31935022</v>
      </c>
      <c r="X2427" s="14" t="s">
        <v>4174</v>
      </c>
      <c r="Y2427" s="14" t="s">
        <v>215</v>
      </c>
      <c r="Z2427" s="14">
        <v>21190</v>
      </c>
      <c r="AA2427" s="14" t="s">
        <v>4175</v>
      </c>
      <c r="AB2427" s="14">
        <v>40001</v>
      </c>
      <c r="AE2427" s="14" t="s">
        <v>1400</v>
      </c>
      <c r="AF2427" s="14" t="s">
        <v>1400</v>
      </c>
      <c r="AG2427" s="14" t="s">
        <v>95</v>
      </c>
    </row>
    <row r="2428" spans="2:33">
      <c r="B2428" s="14">
        <f>10000000+INDEX(编号表!$B:$B,MATCH(H2428,编号表!$A:$A,0))*100000+INDEX(编号表!$F:$F,MATCH(D2428,编号表!$E:$E,0))*10000+INDEX(编号表!$D:$D,MATCH(AG2428,编号表!$C:$C,0))*1000+F2428</f>
        <v>11945023</v>
      </c>
      <c r="C2428" s="14" t="s">
        <v>4171</v>
      </c>
      <c r="D2428" s="14" t="s">
        <v>104</v>
      </c>
      <c r="E2428" s="14" t="s">
        <v>95</v>
      </c>
      <c r="F2428" s="14">
        <v>23</v>
      </c>
      <c r="G2428" s="14">
        <v>60</v>
      </c>
      <c r="H2428" s="14" t="s">
        <v>1400</v>
      </c>
      <c r="I2428" s="14" t="s">
        <v>75</v>
      </c>
      <c r="J2428" s="14" t="s">
        <v>201</v>
      </c>
      <c r="K2428" s="14">
        <v>1</v>
      </c>
      <c r="L2428" s="14" t="s">
        <v>1400</v>
      </c>
      <c r="N2428" s="14">
        <v>0</v>
      </c>
      <c r="O2428" s="14" t="b">
        <v>1</v>
      </c>
      <c r="Q2428" s="14" t="b">
        <v>0</v>
      </c>
      <c r="R2428" s="14">
        <v>1</v>
      </c>
      <c r="S2428" s="14" t="s">
        <v>77</v>
      </c>
      <c r="T2428" s="14">
        <v>999</v>
      </c>
      <c r="U2428" s="14" t="s">
        <v>1401</v>
      </c>
      <c r="V2428" s="14">
        <v>31945023</v>
      </c>
      <c r="X2428" s="14" t="s">
        <v>4176</v>
      </c>
      <c r="Y2428" s="14" t="s">
        <v>215</v>
      </c>
      <c r="Z2428" s="14">
        <v>21191</v>
      </c>
      <c r="AA2428" s="14" t="s">
        <v>4177</v>
      </c>
      <c r="AB2428" s="14">
        <v>40001</v>
      </c>
      <c r="AE2428" s="14" t="s">
        <v>1400</v>
      </c>
      <c r="AF2428" s="14" t="s">
        <v>1400</v>
      </c>
      <c r="AG2428" s="14" t="s">
        <v>95</v>
      </c>
    </row>
    <row r="2429" spans="2:33">
      <c r="B2429" s="14">
        <f>10000000+INDEX(编号表!$B:$B,MATCH(H2429,编号表!$A:$A,0))*100000+INDEX(编号表!$F:$F,MATCH(D2429,编号表!$E:$E,0))*10000+INDEX(编号表!$D:$D,MATCH(AG2429,编号表!$C:$C,0))*1000+F2429</f>
        <v>11925022</v>
      </c>
      <c r="C2429" s="14" t="s">
        <v>4178</v>
      </c>
      <c r="D2429" s="14" t="s">
        <v>112</v>
      </c>
      <c r="E2429" s="14" t="s">
        <v>95</v>
      </c>
      <c r="F2429" s="14">
        <v>22</v>
      </c>
      <c r="G2429" s="14">
        <v>60</v>
      </c>
      <c r="H2429" s="14" t="s">
        <v>1400</v>
      </c>
      <c r="I2429" s="14" t="s">
        <v>75</v>
      </c>
      <c r="J2429" s="14" t="s">
        <v>201</v>
      </c>
      <c r="K2429" s="14">
        <v>1</v>
      </c>
      <c r="L2429" s="14" t="s">
        <v>1400</v>
      </c>
      <c r="N2429" s="14">
        <v>0</v>
      </c>
      <c r="O2429" s="14" t="b">
        <v>1</v>
      </c>
      <c r="Q2429" s="14" t="b">
        <v>0</v>
      </c>
      <c r="R2429" s="14">
        <v>1</v>
      </c>
      <c r="S2429" s="14" t="s">
        <v>77</v>
      </c>
      <c r="T2429" s="14">
        <v>999</v>
      </c>
      <c r="U2429" s="14" t="s">
        <v>1401</v>
      </c>
      <c r="V2429" s="14">
        <v>31925022</v>
      </c>
      <c r="X2429" s="14" t="s">
        <v>4179</v>
      </c>
      <c r="Y2429" s="14" t="s">
        <v>215</v>
      </c>
      <c r="Z2429" s="14">
        <v>21192</v>
      </c>
      <c r="AA2429" s="14" t="s">
        <v>4180</v>
      </c>
      <c r="AB2429" s="14">
        <v>40001</v>
      </c>
      <c r="AE2429" s="14" t="s">
        <v>1400</v>
      </c>
      <c r="AF2429" s="14" t="s">
        <v>1400</v>
      </c>
      <c r="AG2429" s="14" t="s">
        <v>95</v>
      </c>
    </row>
    <row r="2430" spans="2:33">
      <c r="B2430" s="14">
        <f>10000000+INDEX(编号表!$B:$B,MATCH(H2430,编号表!$A:$A,0))*100000+INDEX(编号表!$F:$F,MATCH(D2430,编号表!$E:$E,0))*10000+INDEX(编号表!$D:$D,MATCH(AG2430,编号表!$C:$C,0))*1000+F2430</f>
        <v>11935023</v>
      </c>
      <c r="C2430" s="14" t="s">
        <v>4178</v>
      </c>
      <c r="D2430" s="14" t="s">
        <v>276</v>
      </c>
      <c r="E2430" s="14" t="s">
        <v>95</v>
      </c>
      <c r="F2430" s="14">
        <v>23</v>
      </c>
      <c r="G2430" s="14">
        <v>60</v>
      </c>
      <c r="H2430" s="14" t="s">
        <v>1400</v>
      </c>
      <c r="I2430" s="14" t="s">
        <v>75</v>
      </c>
      <c r="J2430" s="14" t="s">
        <v>201</v>
      </c>
      <c r="K2430" s="14">
        <v>1</v>
      </c>
      <c r="L2430" s="14" t="s">
        <v>1400</v>
      </c>
      <c r="N2430" s="14">
        <v>0</v>
      </c>
      <c r="O2430" s="14" t="b">
        <v>1</v>
      </c>
      <c r="Q2430" s="14" t="b">
        <v>0</v>
      </c>
      <c r="R2430" s="14">
        <v>1</v>
      </c>
      <c r="S2430" s="14" t="s">
        <v>77</v>
      </c>
      <c r="T2430" s="14">
        <v>999</v>
      </c>
      <c r="U2430" s="14" t="s">
        <v>1401</v>
      </c>
      <c r="V2430" s="14">
        <v>31935023</v>
      </c>
      <c r="X2430" s="14" t="s">
        <v>4181</v>
      </c>
      <c r="Y2430" s="14" t="s">
        <v>215</v>
      </c>
      <c r="Z2430" s="14">
        <v>21193</v>
      </c>
      <c r="AA2430" s="14" t="s">
        <v>4182</v>
      </c>
      <c r="AB2430" s="14">
        <v>40001</v>
      </c>
      <c r="AE2430" s="14" t="s">
        <v>1400</v>
      </c>
      <c r="AF2430" s="14" t="s">
        <v>1400</v>
      </c>
      <c r="AG2430" s="14" t="s">
        <v>95</v>
      </c>
    </row>
    <row r="2431" spans="2:33">
      <c r="B2431" s="14">
        <f>10000000+INDEX(编号表!$B:$B,MATCH(H2431,编号表!$A:$A,0))*100000+INDEX(编号表!$F:$F,MATCH(D2431,编号表!$E:$E,0))*10000+INDEX(编号表!$D:$D,MATCH(AG2431,编号表!$C:$C,0))*1000+F2431</f>
        <v>11945024</v>
      </c>
      <c r="C2431" s="14" t="s">
        <v>4178</v>
      </c>
      <c r="D2431" s="14" t="s">
        <v>104</v>
      </c>
      <c r="E2431" s="14" t="s">
        <v>95</v>
      </c>
      <c r="F2431" s="14">
        <v>24</v>
      </c>
      <c r="G2431" s="14">
        <v>60</v>
      </c>
      <c r="H2431" s="14" t="s">
        <v>1400</v>
      </c>
      <c r="I2431" s="14" t="s">
        <v>75</v>
      </c>
      <c r="J2431" s="14" t="s">
        <v>201</v>
      </c>
      <c r="K2431" s="14">
        <v>1</v>
      </c>
      <c r="L2431" s="14" t="s">
        <v>1400</v>
      </c>
      <c r="N2431" s="14">
        <v>0</v>
      </c>
      <c r="O2431" s="14" t="b">
        <v>1</v>
      </c>
      <c r="Q2431" s="14" t="b">
        <v>0</v>
      </c>
      <c r="R2431" s="14">
        <v>1</v>
      </c>
      <c r="S2431" s="14" t="s">
        <v>77</v>
      </c>
      <c r="T2431" s="14">
        <v>999</v>
      </c>
      <c r="U2431" s="14" t="s">
        <v>1401</v>
      </c>
      <c r="V2431" s="14">
        <v>31945024</v>
      </c>
      <c r="X2431" s="14" t="s">
        <v>4183</v>
      </c>
      <c r="Y2431" s="14" t="s">
        <v>215</v>
      </c>
      <c r="Z2431" s="14">
        <v>21194</v>
      </c>
      <c r="AA2431" s="14" t="s">
        <v>4184</v>
      </c>
      <c r="AB2431" s="14">
        <v>40001</v>
      </c>
      <c r="AE2431" s="14" t="s">
        <v>1400</v>
      </c>
      <c r="AF2431" s="14" t="s">
        <v>1400</v>
      </c>
      <c r="AG2431" s="14" t="s">
        <v>95</v>
      </c>
    </row>
    <row r="2432" spans="2:33">
      <c r="B2432" s="14">
        <f>10000000+INDEX(编号表!$B:$B,MATCH(H2432,编号表!$A:$A,0))*100000+INDEX(编号表!$F:$F,MATCH(D2432,编号表!$E:$E,0))*10000+INDEX(编号表!$D:$D,MATCH(AG2432,编号表!$C:$C,0))*1000+F2432</f>
        <v>11925023</v>
      </c>
      <c r="C2432" s="14" t="s">
        <v>4185</v>
      </c>
      <c r="D2432" s="14" t="s">
        <v>112</v>
      </c>
      <c r="E2432" s="14" t="s">
        <v>95</v>
      </c>
      <c r="F2432" s="14">
        <v>23</v>
      </c>
      <c r="G2432" s="14">
        <v>60</v>
      </c>
      <c r="H2432" s="14" t="s">
        <v>1400</v>
      </c>
      <c r="I2432" s="14" t="s">
        <v>75</v>
      </c>
      <c r="J2432" s="14" t="s">
        <v>201</v>
      </c>
      <c r="K2432" s="14">
        <v>1</v>
      </c>
      <c r="L2432" s="14" t="s">
        <v>1400</v>
      </c>
      <c r="N2432" s="14">
        <v>0</v>
      </c>
      <c r="O2432" s="14" t="b">
        <v>1</v>
      </c>
      <c r="Q2432" s="14" t="b">
        <v>0</v>
      </c>
      <c r="R2432" s="14">
        <v>1</v>
      </c>
      <c r="S2432" s="14" t="s">
        <v>77</v>
      </c>
      <c r="T2432" s="14">
        <v>999</v>
      </c>
      <c r="U2432" s="14" t="s">
        <v>1401</v>
      </c>
      <c r="V2432" s="14">
        <v>31925023</v>
      </c>
      <c r="X2432" s="14" t="s">
        <v>4186</v>
      </c>
      <c r="Y2432" s="14" t="s">
        <v>215</v>
      </c>
      <c r="Z2432" s="14">
        <v>21195</v>
      </c>
      <c r="AA2432" s="14" t="s">
        <v>4187</v>
      </c>
      <c r="AB2432" s="14">
        <v>40001</v>
      </c>
      <c r="AE2432" s="14" t="s">
        <v>1400</v>
      </c>
      <c r="AF2432" s="14" t="s">
        <v>1400</v>
      </c>
      <c r="AG2432" s="14" t="s">
        <v>95</v>
      </c>
    </row>
    <row r="2433" spans="2:33">
      <c r="B2433" s="14">
        <f>10000000+INDEX(编号表!$B:$B,MATCH(H2433,编号表!$A:$A,0))*100000+INDEX(编号表!$F:$F,MATCH(D2433,编号表!$E:$E,0))*10000+INDEX(编号表!$D:$D,MATCH(AG2433,编号表!$C:$C,0))*1000+F2433</f>
        <v>11935024</v>
      </c>
      <c r="C2433" s="14" t="s">
        <v>4185</v>
      </c>
      <c r="D2433" s="14" t="s">
        <v>276</v>
      </c>
      <c r="E2433" s="14" t="s">
        <v>95</v>
      </c>
      <c r="F2433" s="14">
        <v>24</v>
      </c>
      <c r="G2433" s="14">
        <v>60</v>
      </c>
      <c r="H2433" s="14" t="s">
        <v>1400</v>
      </c>
      <c r="I2433" s="14" t="s">
        <v>75</v>
      </c>
      <c r="J2433" s="14" t="s">
        <v>201</v>
      </c>
      <c r="K2433" s="14">
        <v>1</v>
      </c>
      <c r="L2433" s="14" t="s">
        <v>1400</v>
      </c>
      <c r="N2433" s="14">
        <v>0</v>
      </c>
      <c r="O2433" s="14" t="b">
        <v>1</v>
      </c>
      <c r="Q2433" s="14" t="b">
        <v>0</v>
      </c>
      <c r="R2433" s="14">
        <v>1</v>
      </c>
      <c r="S2433" s="14" t="s">
        <v>77</v>
      </c>
      <c r="T2433" s="14">
        <v>999</v>
      </c>
      <c r="U2433" s="14" t="s">
        <v>1401</v>
      </c>
      <c r="V2433" s="14">
        <v>31935024</v>
      </c>
      <c r="X2433" s="14" t="s">
        <v>4188</v>
      </c>
      <c r="Y2433" s="14" t="s">
        <v>215</v>
      </c>
      <c r="Z2433" s="14">
        <v>21196</v>
      </c>
      <c r="AA2433" s="14" t="s">
        <v>4189</v>
      </c>
      <c r="AB2433" s="14">
        <v>40001</v>
      </c>
      <c r="AE2433" s="14" t="s">
        <v>1400</v>
      </c>
      <c r="AF2433" s="14" t="s">
        <v>1400</v>
      </c>
      <c r="AG2433" s="14" t="s">
        <v>95</v>
      </c>
    </row>
    <row r="2434" spans="2:33">
      <c r="B2434" s="14">
        <f>10000000+INDEX(编号表!$B:$B,MATCH(H2434,编号表!$A:$A,0))*100000+INDEX(编号表!$F:$F,MATCH(D2434,编号表!$E:$E,0))*10000+INDEX(编号表!$D:$D,MATCH(AG2434,编号表!$C:$C,0))*1000+F2434</f>
        <v>11945025</v>
      </c>
      <c r="C2434" s="14" t="s">
        <v>4185</v>
      </c>
      <c r="D2434" s="14" t="s">
        <v>104</v>
      </c>
      <c r="E2434" s="14" t="s">
        <v>95</v>
      </c>
      <c r="F2434" s="14">
        <v>25</v>
      </c>
      <c r="G2434" s="14">
        <v>60</v>
      </c>
      <c r="H2434" s="14" t="s">
        <v>1400</v>
      </c>
      <c r="I2434" s="14" t="s">
        <v>75</v>
      </c>
      <c r="J2434" s="14" t="s">
        <v>201</v>
      </c>
      <c r="K2434" s="14">
        <v>1</v>
      </c>
      <c r="L2434" s="14" t="s">
        <v>1400</v>
      </c>
      <c r="N2434" s="14">
        <v>0</v>
      </c>
      <c r="O2434" s="14" t="b">
        <v>1</v>
      </c>
      <c r="Q2434" s="14" t="b">
        <v>0</v>
      </c>
      <c r="R2434" s="14">
        <v>1</v>
      </c>
      <c r="S2434" s="14" t="s">
        <v>77</v>
      </c>
      <c r="T2434" s="14">
        <v>999</v>
      </c>
      <c r="U2434" s="14" t="s">
        <v>1401</v>
      </c>
      <c r="V2434" s="14">
        <v>31945025</v>
      </c>
      <c r="X2434" s="14" t="s">
        <v>4190</v>
      </c>
      <c r="Y2434" s="14" t="s">
        <v>215</v>
      </c>
      <c r="Z2434" s="14">
        <v>21197</v>
      </c>
      <c r="AA2434" s="14" t="s">
        <v>4191</v>
      </c>
      <c r="AB2434" s="14">
        <v>40001</v>
      </c>
      <c r="AE2434" s="14" t="s">
        <v>1400</v>
      </c>
      <c r="AF2434" s="14" t="s">
        <v>1400</v>
      </c>
      <c r="AG2434" s="14" t="s">
        <v>95</v>
      </c>
    </row>
    <row r="2435" spans="2:33">
      <c r="B2435" s="14">
        <f>10000000+INDEX(编号表!$B:$B,MATCH(H2435,编号表!$A:$A,0))*100000+INDEX(编号表!$F:$F,MATCH(D2435,编号表!$E:$E,0))*10000+INDEX(编号表!$D:$D,MATCH(AG2435,编号表!$C:$C,0))*1000+F2435</f>
        <v>11925024</v>
      </c>
      <c r="C2435" s="14" t="s">
        <v>4192</v>
      </c>
      <c r="D2435" s="14" t="s">
        <v>112</v>
      </c>
      <c r="E2435" s="14" t="s">
        <v>95</v>
      </c>
      <c r="F2435" s="14">
        <v>24</v>
      </c>
      <c r="G2435" s="14">
        <v>60</v>
      </c>
      <c r="H2435" s="14" t="s">
        <v>1400</v>
      </c>
      <c r="I2435" s="14" t="s">
        <v>75</v>
      </c>
      <c r="J2435" s="14" t="s">
        <v>201</v>
      </c>
      <c r="K2435" s="14">
        <v>1</v>
      </c>
      <c r="L2435" s="14" t="s">
        <v>1400</v>
      </c>
      <c r="N2435" s="14">
        <v>0</v>
      </c>
      <c r="O2435" s="14" t="b">
        <v>1</v>
      </c>
      <c r="Q2435" s="14" t="b">
        <v>0</v>
      </c>
      <c r="R2435" s="14">
        <v>1</v>
      </c>
      <c r="S2435" s="14" t="s">
        <v>77</v>
      </c>
      <c r="T2435" s="14">
        <v>999</v>
      </c>
      <c r="U2435" s="14" t="s">
        <v>1401</v>
      </c>
      <c r="V2435" s="14">
        <v>31925024</v>
      </c>
      <c r="X2435" s="14" t="s">
        <v>4193</v>
      </c>
      <c r="Y2435" s="14" t="s">
        <v>215</v>
      </c>
      <c r="Z2435" s="14">
        <v>21198</v>
      </c>
      <c r="AA2435" s="14" t="s">
        <v>4194</v>
      </c>
      <c r="AB2435" s="14">
        <v>40001</v>
      </c>
      <c r="AE2435" s="14" t="s">
        <v>1400</v>
      </c>
      <c r="AF2435" s="14" t="s">
        <v>1400</v>
      </c>
      <c r="AG2435" s="14" t="s">
        <v>95</v>
      </c>
    </row>
    <row r="2436" spans="2:33">
      <c r="B2436" s="14">
        <f>10000000+INDEX(编号表!$B:$B,MATCH(H2436,编号表!$A:$A,0))*100000+INDEX(编号表!$F:$F,MATCH(D2436,编号表!$E:$E,0))*10000+INDEX(编号表!$D:$D,MATCH(AG2436,编号表!$C:$C,0))*1000+F2436</f>
        <v>11935025</v>
      </c>
      <c r="C2436" s="14" t="s">
        <v>4192</v>
      </c>
      <c r="D2436" s="14" t="s">
        <v>276</v>
      </c>
      <c r="E2436" s="14" t="s">
        <v>95</v>
      </c>
      <c r="F2436" s="14">
        <v>25</v>
      </c>
      <c r="G2436" s="14">
        <v>60</v>
      </c>
      <c r="H2436" s="14" t="s">
        <v>1400</v>
      </c>
      <c r="I2436" s="14" t="s">
        <v>75</v>
      </c>
      <c r="J2436" s="14" t="s">
        <v>201</v>
      </c>
      <c r="K2436" s="14">
        <v>1</v>
      </c>
      <c r="L2436" s="14" t="s">
        <v>1400</v>
      </c>
      <c r="N2436" s="14">
        <v>0</v>
      </c>
      <c r="O2436" s="14" t="b">
        <v>1</v>
      </c>
      <c r="Q2436" s="14" t="b">
        <v>0</v>
      </c>
      <c r="R2436" s="14">
        <v>1</v>
      </c>
      <c r="S2436" s="14" t="s">
        <v>77</v>
      </c>
      <c r="T2436" s="14">
        <v>999</v>
      </c>
      <c r="U2436" s="14" t="s">
        <v>1401</v>
      </c>
      <c r="V2436" s="14">
        <v>31935025</v>
      </c>
      <c r="X2436" s="14" t="s">
        <v>4195</v>
      </c>
      <c r="Y2436" s="14" t="s">
        <v>215</v>
      </c>
      <c r="Z2436" s="14">
        <v>21199</v>
      </c>
      <c r="AA2436" s="14" t="s">
        <v>4196</v>
      </c>
      <c r="AB2436" s="14">
        <v>40001</v>
      </c>
      <c r="AE2436" s="14" t="s">
        <v>1400</v>
      </c>
      <c r="AF2436" s="14" t="s">
        <v>1400</v>
      </c>
      <c r="AG2436" s="14" t="s">
        <v>95</v>
      </c>
    </row>
    <row r="2437" spans="2:33">
      <c r="B2437" s="14">
        <f>10000000+INDEX(编号表!$B:$B,MATCH(H2437,编号表!$A:$A,0))*100000+INDEX(编号表!$F:$F,MATCH(D2437,编号表!$E:$E,0))*10000+INDEX(编号表!$D:$D,MATCH(AG2437,编号表!$C:$C,0))*1000+F2437</f>
        <v>11945026</v>
      </c>
      <c r="C2437" s="14" t="s">
        <v>4192</v>
      </c>
      <c r="D2437" s="14" t="s">
        <v>104</v>
      </c>
      <c r="E2437" s="14" t="s">
        <v>95</v>
      </c>
      <c r="F2437" s="14">
        <v>26</v>
      </c>
      <c r="G2437" s="14">
        <v>60</v>
      </c>
      <c r="H2437" s="14" t="s">
        <v>1400</v>
      </c>
      <c r="I2437" s="14" t="s">
        <v>75</v>
      </c>
      <c r="J2437" s="14" t="s">
        <v>201</v>
      </c>
      <c r="K2437" s="14">
        <v>1</v>
      </c>
      <c r="L2437" s="14" t="s">
        <v>1400</v>
      </c>
      <c r="N2437" s="14">
        <v>0</v>
      </c>
      <c r="O2437" s="14" t="b">
        <v>1</v>
      </c>
      <c r="Q2437" s="14" t="b">
        <v>0</v>
      </c>
      <c r="R2437" s="14">
        <v>1</v>
      </c>
      <c r="S2437" s="14" t="s">
        <v>77</v>
      </c>
      <c r="T2437" s="14">
        <v>999</v>
      </c>
      <c r="U2437" s="14" t="s">
        <v>1401</v>
      </c>
      <c r="V2437" s="14">
        <v>31945026</v>
      </c>
      <c r="X2437" s="14" t="s">
        <v>4197</v>
      </c>
      <c r="Y2437" s="14" t="s">
        <v>215</v>
      </c>
      <c r="Z2437" s="14">
        <v>21200</v>
      </c>
      <c r="AA2437" s="14" t="s">
        <v>4198</v>
      </c>
      <c r="AB2437" s="14">
        <v>40001</v>
      </c>
      <c r="AE2437" s="14" t="s">
        <v>1400</v>
      </c>
      <c r="AF2437" s="14" t="s">
        <v>1400</v>
      </c>
      <c r="AG2437" s="14" t="s">
        <v>95</v>
      </c>
    </row>
    <row r="2438" spans="2:33">
      <c r="B2438" s="14">
        <f>10000000+INDEX(编号表!$B:$B,MATCH(H2438,编号表!$A:$A,0))*100000+INDEX(编号表!$F:$F,MATCH(D2438,编号表!$E:$E,0))*10000+INDEX(编号表!$D:$D,MATCH(AG2438,编号表!$C:$C,0))*1000+F2438</f>
        <v>11925025</v>
      </c>
      <c r="C2438" s="14" t="s">
        <v>4199</v>
      </c>
      <c r="D2438" s="14" t="s">
        <v>112</v>
      </c>
      <c r="E2438" s="14" t="s">
        <v>95</v>
      </c>
      <c r="F2438" s="14">
        <v>25</v>
      </c>
      <c r="G2438" s="14">
        <v>60</v>
      </c>
      <c r="H2438" s="14" t="s">
        <v>1400</v>
      </c>
      <c r="I2438" s="14" t="s">
        <v>75</v>
      </c>
      <c r="J2438" s="14" t="s">
        <v>201</v>
      </c>
      <c r="K2438" s="14">
        <v>1</v>
      </c>
      <c r="L2438" s="14" t="s">
        <v>1400</v>
      </c>
      <c r="N2438" s="14">
        <v>0</v>
      </c>
      <c r="O2438" s="14" t="b">
        <v>1</v>
      </c>
      <c r="Q2438" s="14" t="b">
        <v>0</v>
      </c>
      <c r="R2438" s="14">
        <v>1</v>
      </c>
      <c r="S2438" s="14" t="s">
        <v>77</v>
      </c>
      <c r="T2438" s="14">
        <v>999</v>
      </c>
      <c r="U2438" s="14" t="s">
        <v>1401</v>
      </c>
      <c r="V2438" s="14">
        <v>31925025</v>
      </c>
      <c r="X2438" s="14" t="s">
        <v>4200</v>
      </c>
      <c r="Y2438" s="14" t="s">
        <v>215</v>
      </c>
      <c r="Z2438" s="14">
        <v>21201</v>
      </c>
      <c r="AA2438" s="14" t="s">
        <v>4201</v>
      </c>
      <c r="AB2438" s="14">
        <v>40001</v>
      </c>
      <c r="AE2438" s="14" t="s">
        <v>1400</v>
      </c>
      <c r="AF2438" s="14" t="s">
        <v>1400</v>
      </c>
      <c r="AG2438" s="14" t="s">
        <v>95</v>
      </c>
    </row>
    <row r="2439" spans="2:33">
      <c r="B2439" s="14">
        <f>10000000+INDEX(编号表!$B:$B,MATCH(H2439,编号表!$A:$A,0))*100000+INDEX(编号表!$F:$F,MATCH(D2439,编号表!$E:$E,0))*10000+INDEX(编号表!$D:$D,MATCH(AG2439,编号表!$C:$C,0))*1000+F2439</f>
        <v>11935026</v>
      </c>
      <c r="C2439" s="14" t="s">
        <v>4199</v>
      </c>
      <c r="D2439" s="14" t="s">
        <v>276</v>
      </c>
      <c r="E2439" s="14" t="s">
        <v>95</v>
      </c>
      <c r="F2439" s="14">
        <v>26</v>
      </c>
      <c r="G2439" s="14">
        <v>60</v>
      </c>
      <c r="H2439" s="14" t="s">
        <v>1400</v>
      </c>
      <c r="I2439" s="14" t="s">
        <v>75</v>
      </c>
      <c r="J2439" s="14" t="s">
        <v>201</v>
      </c>
      <c r="K2439" s="14">
        <v>1</v>
      </c>
      <c r="L2439" s="14" t="s">
        <v>1400</v>
      </c>
      <c r="N2439" s="14">
        <v>0</v>
      </c>
      <c r="O2439" s="14" t="b">
        <v>1</v>
      </c>
      <c r="Q2439" s="14" t="b">
        <v>0</v>
      </c>
      <c r="R2439" s="14">
        <v>1</v>
      </c>
      <c r="S2439" s="14" t="s">
        <v>77</v>
      </c>
      <c r="T2439" s="14">
        <v>999</v>
      </c>
      <c r="U2439" s="14" t="s">
        <v>1401</v>
      </c>
      <c r="V2439" s="14">
        <v>31935026</v>
      </c>
      <c r="X2439" s="14" t="s">
        <v>4202</v>
      </c>
      <c r="Y2439" s="14" t="s">
        <v>215</v>
      </c>
      <c r="Z2439" s="14">
        <v>21202</v>
      </c>
      <c r="AA2439" s="14" t="s">
        <v>4203</v>
      </c>
      <c r="AB2439" s="14">
        <v>40001</v>
      </c>
      <c r="AE2439" s="14" t="s">
        <v>1400</v>
      </c>
      <c r="AF2439" s="14" t="s">
        <v>1400</v>
      </c>
      <c r="AG2439" s="14" t="s">
        <v>95</v>
      </c>
    </row>
    <row r="2440" spans="2:33">
      <c r="B2440" s="14">
        <f>10000000+INDEX(编号表!$B:$B,MATCH(H2440,编号表!$A:$A,0))*100000+INDEX(编号表!$F:$F,MATCH(D2440,编号表!$E:$E,0))*10000+INDEX(编号表!$D:$D,MATCH(AG2440,编号表!$C:$C,0))*1000+F2440</f>
        <v>11945027</v>
      </c>
      <c r="C2440" s="14" t="s">
        <v>4199</v>
      </c>
      <c r="D2440" s="14" t="s">
        <v>104</v>
      </c>
      <c r="E2440" s="14" t="s">
        <v>95</v>
      </c>
      <c r="F2440" s="14">
        <v>27</v>
      </c>
      <c r="G2440" s="14">
        <v>60</v>
      </c>
      <c r="H2440" s="14" t="s">
        <v>1400</v>
      </c>
      <c r="I2440" s="14" t="s">
        <v>75</v>
      </c>
      <c r="J2440" s="14" t="s">
        <v>201</v>
      </c>
      <c r="K2440" s="14">
        <v>1</v>
      </c>
      <c r="L2440" s="14" t="s">
        <v>1400</v>
      </c>
      <c r="N2440" s="14">
        <v>0</v>
      </c>
      <c r="O2440" s="14" t="b">
        <v>1</v>
      </c>
      <c r="Q2440" s="14" t="b">
        <v>0</v>
      </c>
      <c r="R2440" s="14">
        <v>1</v>
      </c>
      <c r="S2440" s="14" t="s">
        <v>77</v>
      </c>
      <c r="T2440" s="14">
        <v>999</v>
      </c>
      <c r="U2440" s="14" t="s">
        <v>1401</v>
      </c>
      <c r="V2440" s="14">
        <v>31945027</v>
      </c>
      <c r="X2440" s="14" t="s">
        <v>4204</v>
      </c>
      <c r="Y2440" s="14" t="s">
        <v>215</v>
      </c>
      <c r="Z2440" s="14">
        <v>21203</v>
      </c>
      <c r="AA2440" s="14" t="s">
        <v>4205</v>
      </c>
      <c r="AB2440" s="14">
        <v>40001</v>
      </c>
      <c r="AE2440" s="14" t="s">
        <v>1400</v>
      </c>
      <c r="AF2440" s="14" t="s">
        <v>1400</v>
      </c>
      <c r="AG2440" s="14" t="s">
        <v>95</v>
      </c>
    </row>
    <row r="2441" spans="2:33">
      <c r="B2441" s="14">
        <f>10000000+INDEX(编号表!$B:$B,MATCH(H2441,编号表!$A:$A,0))*100000+INDEX(编号表!$F:$F,MATCH(D2441,编号表!$E:$E,0))*10000+INDEX(编号表!$D:$D,MATCH(AG2441,编号表!$C:$C,0))*1000+F2441</f>
        <v>11925026</v>
      </c>
      <c r="C2441" s="14" t="s">
        <v>4206</v>
      </c>
      <c r="D2441" s="14" t="s">
        <v>112</v>
      </c>
      <c r="E2441" s="14" t="s">
        <v>95</v>
      </c>
      <c r="F2441" s="14">
        <v>26</v>
      </c>
      <c r="G2441" s="14">
        <v>60</v>
      </c>
      <c r="H2441" s="14" t="s">
        <v>1400</v>
      </c>
      <c r="I2441" s="14" t="s">
        <v>75</v>
      </c>
      <c r="J2441" s="14" t="s">
        <v>201</v>
      </c>
      <c r="K2441" s="14">
        <v>1</v>
      </c>
      <c r="L2441" s="14" t="s">
        <v>1400</v>
      </c>
      <c r="N2441" s="14">
        <v>0</v>
      </c>
      <c r="O2441" s="14" t="b">
        <v>1</v>
      </c>
      <c r="Q2441" s="14" t="b">
        <v>0</v>
      </c>
      <c r="R2441" s="14">
        <v>1</v>
      </c>
      <c r="S2441" s="14" t="s">
        <v>77</v>
      </c>
      <c r="T2441" s="14">
        <v>999</v>
      </c>
      <c r="U2441" s="14" t="s">
        <v>1401</v>
      </c>
      <c r="V2441" s="14">
        <v>31925026</v>
      </c>
      <c r="X2441" s="14" t="s">
        <v>4207</v>
      </c>
      <c r="Y2441" s="14" t="s">
        <v>215</v>
      </c>
      <c r="Z2441" s="14">
        <v>21204</v>
      </c>
      <c r="AA2441" s="14" t="s">
        <v>4208</v>
      </c>
      <c r="AB2441" s="14">
        <v>40001</v>
      </c>
      <c r="AE2441" s="14" t="s">
        <v>1400</v>
      </c>
      <c r="AF2441" s="14" t="s">
        <v>1400</v>
      </c>
      <c r="AG2441" s="14" t="s">
        <v>95</v>
      </c>
    </row>
    <row r="2442" spans="2:33">
      <c r="B2442" s="14">
        <f>10000000+INDEX(编号表!$B:$B,MATCH(H2442,编号表!$A:$A,0))*100000+INDEX(编号表!$F:$F,MATCH(D2442,编号表!$E:$E,0))*10000+INDEX(编号表!$D:$D,MATCH(AG2442,编号表!$C:$C,0))*1000+F2442</f>
        <v>11935027</v>
      </c>
      <c r="C2442" s="14" t="s">
        <v>4206</v>
      </c>
      <c r="D2442" s="14" t="s">
        <v>276</v>
      </c>
      <c r="E2442" s="14" t="s">
        <v>95</v>
      </c>
      <c r="F2442" s="14">
        <v>27</v>
      </c>
      <c r="G2442" s="14">
        <v>60</v>
      </c>
      <c r="H2442" s="14" t="s">
        <v>1400</v>
      </c>
      <c r="I2442" s="14" t="s">
        <v>75</v>
      </c>
      <c r="J2442" s="14" t="s">
        <v>201</v>
      </c>
      <c r="K2442" s="14">
        <v>1</v>
      </c>
      <c r="L2442" s="14" t="s">
        <v>1400</v>
      </c>
      <c r="N2442" s="14">
        <v>0</v>
      </c>
      <c r="O2442" s="14" t="b">
        <v>1</v>
      </c>
      <c r="Q2442" s="14" t="b">
        <v>0</v>
      </c>
      <c r="R2442" s="14">
        <v>1</v>
      </c>
      <c r="S2442" s="14" t="s">
        <v>77</v>
      </c>
      <c r="T2442" s="14">
        <v>999</v>
      </c>
      <c r="U2442" s="14" t="s">
        <v>1401</v>
      </c>
      <c r="V2442" s="14">
        <v>31935027</v>
      </c>
      <c r="X2442" s="14" t="s">
        <v>4209</v>
      </c>
      <c r="Y2442" s="14" t="s">
        <v>215</v>
      </c>
      <c r="Z2442" s="14">
        <v>21205</v>
      </c>
      <c r="AA2442" s="14" t="s">
        <v>4210</v>
      </c>
      <c r="AB2442" s="14">
        <v>40001</v>
      </c>
      <c r="AE2442" s="14" t="s">
        <v>1400</v>
      </c>
      <c r="AF2442" s="14" t="s">
        <v>1400</v>
      </c>
      <c r="AG2442" s="14" t="s">
        <v>95</v>
      </c>
    </row>
    <row r="2443" spans="2:33">
      <c r="B2443" s="14">
        <f>10000000+INDEX(编号表!$B:$B,MATCH(H2443,编号表!$A:$A,0))*100000+INDEX(编号表!$F:$F,MATCH(D2443,编号表!$E:$E,0))*10000+INDEX(编号表!$D:$D,MATCH(AG2443,编号表!$C:$C,0))*1000+F2443</f>
        <v>11945028</v>
      </c>
      <c r="C2443" s="14" t="s">
        <v>4206</v>
      </c>
      <c r="D2443" s="14" t="s">
        <v>104</v>
      </c>
      <c r="E2443" s="14" t="s">
        <v>95</v>
      </c>
      <c r="F2443" s="14">
        <v>28</v>
      </c>
      <c r="G2443" s="14">
        <v>60</v>
      </c>
      <c r="H2443" s="14" t="s">
        <v>1400</v>
      </c>
      <c r="I2443" s="14" t="s">
        <v>75</v>
      </c>
      <c r="J2443" s="14" t="s">
        <v>201</v>
      </c>
      <c r="K2443" s="14">
        <v>1</v>
      </c>
      <c r="L2443" s="14" t="s">
        <v>1400</v>
      </c>
      <c r="N2443" s="14">
        <v>0</v>
      </c>
      <c r="O2443" s="14" t="b">
        <v>1</v>
      </c>
      <c r="Q2443" s="14" t="b">
        <v>0</v>
      </c>
      <c r="R2443" s="14">
        <v>1</v>
      </c>
      <c r="S2443" s="14" t="s">
        <v>77</v>
      </c>
      <c r="T2443" s="14">
        <v>999</v>
      </c>
      <c r="U2443" s="14" t="s">
        <v>1401</v>
      </c>
      <c r="V2443" s="14">
        <v>31945028</v>
      </c>
      <c r="X2443" s="14" t="s">
        <v>4211</v>
      </c>
      <c r="Y2443" s="14" t="s">
        <v>215</v>
      </c>
      <c r="Z2443" s="14">
        <v>21206</v>
      </c>
      <c r="AA2443" s="14" t="s">
        <v>4212</v>
      </c>
      <c r="AB2443" s="14">
        <v>40001</v>
      </c>
      <c r="AE2443" s="14" t="s">
        <v>1400</v>
      </c>
      <c r="AF2443" s="14" t="s">
        <v>1400</v>
      </c>
      <c r="AG2443" s="14" t="s">
        <v>95</v>
      </c>
    </row>
    <row r="2444" spans="2:33">
      <c r="B2444" s="14">
        <f>10000000+INDEX(编号表!$B:$B,MATCH(H2444,编号表!$A:$A,0))*100000+INDEX(编号表!$F:$F,MATCH(D2444,编号表!$E:$E,0))*10000+INDEX(编号表!$D:$D,MATCH(AG2444,编号表!$C:$C,0))*1000+F2444</f>
        <v>11925027</v>
      </c>
      <c r="C2444" s="14" t="s">
        <v>4213</v>
      </c>
      <c r="D2444" s="14" t="s">
        <v>112</v>
      </c>
      <c r="E2444" s="14" t="s">
        <v>95</v>
      </c>
      <c r="F2444" s="14">
        <v>27</v>
      </c>
      <c r="G2444" s="14">
        <v>60</v>
      </c>
      <c r="H2444" s="14" t="s">
        <v>1400</v>
      </c>
      <c r="I2444" s="14" t="s">
        <v>75</v>
      </c>
      <c r="J2444" s="14" t="s">
        <v>201</v>
      </c>
      <c r="K2444" s="14">
        <v>1</v>
      </c>
      <c r="L2444" s="14" t="s">
        <v>1400</v>
      </c>
      <c r="N2444" s="14">
        <v>0</v>
      </c>
      <c r="O2444" s="14" t="b">
        <v>1</v>
      </c>
      <c r="Q2444" s="14" t="b">
        <v>0</v>
      </c>
      <c r="R2444" s="14">
        <v>1</v>
      </c>
      <c r="S2444" s="14" t="s">
        <v>77</v>
      </c>
      <c r="T2444" s="14">
        <v>999</v>
      </c>
      <c r="U2444" s="14" t="s">
        <v>1401</v>
      </c>
      <c r="V2444" s="14">
        <v>31925027</v>
      </c>
      <c r="X2444" s="14" t="s">
        <v>4214</v>
      </c>
      <c r="Y2444" s="14" t="s">
        <v>215</v>
      </c>
      <c r="Z2444" s="14">
        <v>21207</v>
      </c>
      <c r="AA2444" s="14" t="s">
        <v>4215</v>
      </c>
      <c r="AB2444" s="14">
        <v>40001</v>
      </c>
      <c r="AE2444" s="14" t="s">
        <v>1400</v>
      </c>
      <c r="AF2444" s="14" t="s">
        <v>1400</v>
      </c>
      <c r="AG2444" s="14" t="s">
        <v>95</v>
      </c>
    </row>
    <row r="2445" spans="2:33">
      <c r="B2445" s="14">
        <f>10000000+INDEX(编号表!$B:$B,MATCH(H2445,编号表!$A:$A,0))*100000+INDEX(编号表!$F:$F,MATCH(D2445,编号表!$E:$E,0))*10000+INDEX(编号表!$D:$D,MATCH(AG2445,编号表!$C:$C,0))*1000+F2445</f>
        <v>11935028</v>
      </c>
      <c r="C2445" s="14" t="s">
        <v>4213</v>
      </c>
      <c r="D2445" s="14" t="s">
        <v>276</v>
      </c>
      <c r="E2445" s="14" t="s">
        <v>95</v>
      </c>
      <c r="F2445" s="14">
        <v>28</v>
      </c>
      <c r="G2445" s="14">
        <v>60</v>
      </c>
      <c r="H2445" s="14" t="s">
        <v>1400</v>
      </c>
      <c r="I2445" s="14" t="s">
        <v>75</v>
      </c>
      <c r="J2445" s="14" t="s">
        <v>201</v>
      </c>
      <c r="K2445" s="14">
        <v>1</v>
      </c>
      <c r="L2445" s="14" t="s">
        <v>1400</v>
      </c>
      <c r="N2445" s="14">
        <v>0</v>
      </c>
      <c r="O2445" s="14" t="b">
        <v>1</v>
      </c>
      <c r="Q2445" s="14" t="b">
        <v>0</v>
      </c>
      <c r="R2445" s="14">
        <v>1</v>
      </c>
      <c r="S2445" s="14" t="s">
        <v>77</v>
      </c>
      <c r="T2445" s="14">
        <v>999</v>
      </c>
      <c r="U2445" s="14" t="s">
        <v>1401</v>
      </c>
      <c r="V2445" s="14">
        <v>31935028</v>
      </c>
      <c r="X2445" s="14" t="s">
        <v>4216</v>
      </c>
      <c r="Y2445" s="14" t="s">
        <v>215</v>
      </c>
      <c r="Z2445" s="14">
        <v>21208</v>
      </c>
      <c r="AA2445" s="14" t="s">
        <v>4217</v>
      </c>
      <c r="AB2445" s="14">
        <v>40001</v>
      </c>
      <c r="AE2445" s="14" t="s">
        <v>1400</v>
      </c>
      <c r="AF2445" s="14" t="s">
        <v>1400</v>
      </c>
      <c r="AG2445" s="14" t="s">
        <v>95</v>
      </c>
    </row>
    <row r="2446" spans="2:33">
      <c r="B2446" s="14">
        <f>10000000+INDEX(编号表!$B:$B,MATCH(H2446,编号表!$A:$A,0))*100000+INDEX(编号表!$F:$F,MATCH(D2446,编号表!$E:$E,0))*10000+INDEX(编号表!$D:$D,MATCH(AG2446,编号表!$C:$C,0))*1000+F2446</f>
        <v>11945029</v>
      </c>
      <c r="C2446" s="14" t="s">
        <v>4213</v>
      </c>
      <c r="D2446" s="14" t="s">
        <v>104</v>
      </c>
      <c r="E2446" s="14" t="s">
        <v>95</v>
      </c>
      <c r="F2446" s="14">
        <v>29</v>
      </c>
      <c r="G2446" s="14">
        <v>60</v>
      </c>
      <c r="H2446" s="14" t="s">
        <v>1400</v>
      </c>
      <c r="I2446" s="14" t="s">
        <v>75</v>
      </c>
      <c r="J2446" s="14" t="s">
        <v>201</v>
      </c>
      <c r="K2446" s="14">
        <v>1</v>
      </c>
      <c r="L2446" s="14" t="s">
        <v>1400</v>
      </c>
      <c r="N2446" s="14">
        <v>0</v>
      </c>
      <c r="O2446" s="14" t="b">
        <v>1</v>
      </c>
      <c r="Q2446" s="14" t="b">
        <v>0</v>
      </c>
      <c r="R2446" s="14">
        <v>1</v>
      </c>
      <c r="S2446" s="14" t="s">
        <v>77</v>
      </c>
      <c r="T2446" s="14">
        <v>999</v>
      </c>
      <c r="U2446" s="14" t="s">
        <v>1401</v>
      </c>
      <c r="V2446" s="14">
        <v>31945029</v>
      </c>
      <c r="X2446" s="14" t="s">
        <v>4218</v>
      </c>
      <c r="Y2446" s="14" t="s">
        <v>215</v>
      </c>
      <c r="Z2446" s="14">
        <v>21209</v>
      </c>
      <c r="AA2446" s="14" t="s">
        <v>4219</v>
      </c>
      <c r="AB2446" s="14">
        <v>40001</v>
      </c>
      <c r="AE2446" s="14" t="s">
        <v>1400</v>
      </c>
      <c r="AF2446" s="14" t="s">
        <v>1400</v>
      </c>
      <c r="AG2446" s="14" t="s">
        <v>95</v>
      </c>
    </row>
    <row r="2447" spans="2:33">
      <c r="B2447" s="14">
        <f>10000000+INDEX(编号表!$B:$B,MATCH(H2447,编号表!$A:$A,0))*100000+INDEX(编号表!$F:$F,MATCH(D2447,编号表!$E:$E,0))*10000+INDEX(编号表!$D:$D,MATCH(AG2447,编号表!$C:$C,0))*1000+F2447</f>
        <v>11925028</v>
      </c>
      <c r="C2447" s="14" t="s">
        <v>4220</v>
      </c>
      <c r="D2447" s="14" t="s">
        <v>112</v>
      </c>
      <c r="E2447" s="14" t="s">
        <v>95</v>
      </c>
      <c r="F2447" s="14">
        <v>28</v>
      </c>
      <c r="G2447" s="14">
        <v>60</v>
      </c>
      <c r="H2447" s="14" t="s">
        <v>1400</v>
      </c>
      <c r="I2447" s="14" t="s">
        <v>75</v>
      </c>
      <c r="J2447" s="14" t="s">
        <v>201</v>
      </c>
      <c r="K2447" s="14">
        <v>1</v>
      </c>
      <c r="L2447" s="14" t="s">
        <v>1400</v>
      </c>
      <c r="N2447" s="14">
        <v>0</v>
      </c>
      <c r="O2447" s="14" t="b">
        <v>1</v>
      </c>
      <c r="Q2447" s="14" t="b">
        <v>0</v>
      </c>
      <c r="R2447" s="14">
        <v>1</v>
      </c>
      <c r="S2447" s="14" t="s">
        <v>77</v>
      </c>
      <c r="T2447" s="14">
        <v>999</v>
      </c>
      <c r="U2447" s="14" t="s">
        <v>1401</v>
      </c>
      <c r="V2447" s="14">
        <v>31925028</v>
      </c>
      <c r="X2447" s="14" t="s">
        <v>4221</v>
      </c>
      <c r="Y2447" s="14" t="s">
        <v>215</v>
      </c>
      <c r="Z2447" s="14">
        <v>21210</v>
      </c>
      <c r="AA2447" s="14" t="s">
        <v>4222</v>
      </c>
      <c r="AB2447" s="14">
        <v>40001</v>
      </c>
      <c r="AE2447" s="14" t="s">
        <v>1400</v>
      </c>
      <c r="AF2447" s="14" t="s">
        <v>1400</v>
      </c>
      <c r="AG2447" s="14" t="s">
        <v>95</v>
      </c>
    </row>
    <row r="2448" spans="2:33">
      <c r="B2448" s="14">
        <f>10000000+INDEX(编号表!$B:$B,MATCH(H2448,编号表!$A:$A,0))*100000+INDEX(编号表!$F:$F,MATCH(D2448,编号表!$E:$E,0))*10000+INDEX(编号表!$D:$D,MATCH(AG2448,编号表!$C:$C,0))*1000+F2448</f>
        <v>11935029</v>
      </c>
      <c r="C2448" s="14" t="s">
        <v>4220</v>
      </c>
      <c r="D2448" s="14" t="s">
        <v>276</v>
      </c>
      <c r="E2448" s="14" t="s">
        <v>95</v>
      </c>
      <c r="F2448" s="14">
        <v>29</v>
      </c>
      <c r="G2448" s="14">
        <v>60</v>
      </c>
      <c r="H2448" s="14" t="s">
        <v>1400</v>
      </c>
      <c r="I2448" s="14" t="s">
        <v>75</v>
      </c>
      <c r="J2448" s="14" t="s">
        <v>201</v>
      </c>
      <c r="K2448" s="14">
        <v>1</v>
      </c>
      <c r="L2448" s="14" t="s">
        <v>1400</v>
      </c>
      <c r="N2448" s="14">
        <v>0</v>
      </c>
      <c r="O2448" s="14" t="b">
        <v>1</v>
      </c>
      <c r="Q2448" s="14" t="b">
        <v>0</v>
      </c>
      <c r="R2448" s="14">
        <v>1</v>
      </c>
      <c r="S2448" s="14" t="s">
        <v>77</v>
      </c>
      <c r="T2448" s="14">
        <v>999</v>
      </c>
      <c r="U2448" s="14" t="s">
        <v>1401</v>
      </c>
      <c r="V2448" s="14">
        <v>31935029</v>
      </c>
      <c r="X2448" s="14" t="s">
        <v>4223</v>
      </c>
      <c r="Y2448" s="14" t="s">
        <v>215</v>
      </c>
      <c r="Z2448" s="14">
        <v>21211</v>
      </c>
      <c r="AA2448" s="14" t="s">
        <v>4224</v>
      </c>
      <c r="AB2448" s="14">
        <v>40001</v>
      </c>
      <c r="AE2448" s="14" t="s">
        <v>1400</v>
      </c>
      <c r="AF2448" s="14" t="s">
        <v>1400</v>
      </c>
      <c r="AG2448" s="14" t="s">
        <v>95</v>
      </c>
    </row>
    <row r="2449" spans="2:33">
      <c r="B2449" s="14">
        <f>10000000+INDEX(编号表!$B:$B,MATCH(H2449,编号表!$A:$A,0))*100000+INDEX(编号表!$F:$F,MATCH(D2449,编号表!$E:$E,0))*10000+INDEX(编号表!$D:$D,MATCH(AG2449,编号表!$C:$C,0))*1000+F2449</f>
        <v>11945030</v>
      </c>
      <c r="C2449" s="14" t="s">
        <v>4220</v>
      </c>
      <c r="D2449" s="14" t="s">
        <v>104</v>
      </c>
      <c r="E2449" s="14" t="s">
        <v>95</v>
      </c>
      <c r="F2449" s="14">
        <v>30</v>
      </c>
      <c r="G2449" s="14">
        <v>60</v>
      </c>
      <c r="H2449" s="14" t="s">
        <v>1400</v>
      </c>
      <c r="I2449" s="14" t="s">
        <v>75</v>
      </c>
      <c r="J2449" s="14" t="s">
        <v>201</v>
      </c>
      <c r="K2449" s="14">
        <v>1</v>
      </c>
      <c r="L2449" s="14" t="s">
        <v>1400</v>
      </c>
      <c r="N2449" s="14">
        <v>0</v>
      </c>
      <c r="O2449" s="14" t="b">
        <v>1</v>
      </c>
      <c r="Q2449" s="14" t="b">
        <v>0</v>
      </c>
      <c r="R2449" s="14">
        <v>1</v>
      </c>
      <c r="S2449" s="14" t="s">
        <v>77</v>
      </c>
      <c r="T2449" s="14">
        <v>999</v>
      </c>
      <c r="U2449" s="14" t="s">
        <v>1401</v>
      </c>
      <c r="V2449" s="14">
        <v>31945030</v>
      </c>
      <c r="X2449" s="14" t="s">
        <v>4225</v>
      </c>
      <c r="Y2449" s="14" t="s">
        <v>215</v>
      </c>
      <c r="Z2449" s="14">
        <v>21212</v>
      </c>
      <c r="AA2449" s="14" t="s">
        <v>4226</v>
      </c>
      <c r="AB2449" s="14">
        <v>40001</v>
      </c>
      <c r="AE2449" s="14" t="s">
        <v>1400</v>
      </c>
      <c r="AF2449" s="14" t="s">
        <v>1400</v>
      </c>
      <c r="AG2449" s="14" t="s">
        <v>95</v>
      </c>
    </row>
    <row r="2450" spans="2:33">
      <c r="B2450" s="14">
        <f>10000000+INDEX(编号表!$B:$B,MATCH(H2450,编号表!$A:$A,0))*100000+INDEX(编号表!$F:$F,MATCH(D2450,编号表!$E:$E,0))*10000+INDEX(编号表!$D:$D,MATCH(AG2450,编号表!$C:$C,0))*1000+F2450</f>
        <v>11925029</v>
      </c>
      <c r="C2450" s="14" t="s">
        <v>4227</v>
      </c>
      <c r="D2450" s="14" t="s">
        <v>112</v>
      </c>
      <c r="E2450" s="14" t="s">
        <v>95</v>
      </c>
      <c r="F2450" s="14">
        <v>29</v>
      </c>
      <c r="G2450" s="14">
        <v>60</v>
      </c>
      <c r="H2450" s="14" t="s">
        <v>1400</v>
      </c>
      <c r="I2450" s="14" t="s">
        <v>75</v>
      </c>
      <c r="J2450" s="14" t="s">
        <v>201</v>
      </c>
      <c r="K2450" s="14">
        <v>1</v>
      </c>
      <c r="L2450" s="14" t="s">
        <v>1400</v>
      </c>
      <c r="N2450" s="14">
        <v>0</v>
      </c>
      <c r="O2450" s="14" t="b">
        <v>1</v>
      </c>
      <c r="Q2450" s="14" t="b">
        <v>0</v>
      </c>
      <c r="R2450" s="14">
        <v>1</v>
      </c>
      <c r="S2450" s="14" t="s">
        <v>77</v>
      </c>
      <c r="T2450" s="14">
        <v>999</v>
      </c>
      <c r="U2450" s="14" t="s">
        <v>1401</v>
      </c>
      <c r="V2450" s="14">
        <v>31925029</v>
      </c>
      <c r="X2450" s="14" t="s">
        <v>4228</v>
      </c>
      <c r="Y2450" s="14" t="s">
        <v>215</v>
      </c>
      <c r="Z2450" s="14">
        <v>21213</v>
      </c>
      <c r="AA2450" s="14" t="s">
        <v>4229</v>
      </c>
      <c r="AB2450" s="14">
        <v>40001</v>
      </c>
      <c r="AE2450" s="14" t="s">
        <v>1400</v>
      </c>
      <c r="AF2450" s="14" t="s">
        <v>1400</v>
      </c>
      <c r="AG2450" s="14" t="s">
        <v>95</v>
      </c>
    </row>
    <row r="2451" spans="2:33">
      <c r="B2451" s="14">
        <f>10000000+INDEX(编号表!$B:$B,MATCH(H2451,编号表!$A:$A,0))*100000+INDEX(编号表!$F:$F,MATCH(D2451,编号表!$E:$E,0))*10000+INDEX(编号表!$D:$D,MATCH(AG2451,编号表!$C:$C,0))*1000+F2451</f>
        <v>11935030</v>
      </c>
      <c r="C2451" s="14" t="s">
        <v>4227</v>
      </c>
      <c r="D2451" s="14" t="s">
        <v>276</v>
      </c>
      <c r="E2451" s="14" t="s">
        <v>95</v>
      </c>
      <c r="F2451" s="14">
        <v>30</v>
      </c>
      <c r="G2451" s="14">
        <v>60</v>
      </c>
      <c r="H2451" s="14" t="s">
        <v>1400</v>
      </c>
      <c r="I2451" s="14" t="s">
        <v>75</v>
      </c>
      <c r="J2451" s="14" t="s">
        <v>201</v>
      </c>
      <c r="K2451" s="14">
        <v>1</v>
      </c>
      <c r="L2451" s="14" t="s">
        <v>1400</v>
      </c>
      <c r="N2451" s="14">
        <v>0</v>
      </c>
      <c r="O2451" s="14" t="b">
        <v>1</v>
      </c>
      <c r="Q2451" s="14" t="b">
        <v>0</v>
      </c>
      <c r="R2451" s="14">
        <v>1</v>
      </c>
      <c r="S2451" s="14" t="s">
        <v>77</v>
      </c>
      <c r="T2451" s="14">
        <v>999</v>
      </c>
      <c r="U2451" s="14" t="s">
        <v>1401</v>
      </c>
      <c r="V2451" s="14">
        <v>31935030</v>
      </c>
      <c r="X2451" s="14" t="s">
        <v>4230</v>
      </c>
      <c r="Y2451" s="14" t="s">
        <v>215</v>
      </c>
      <c r="Z2451" s="14">
        <v>21214</v>
      </c>
      <c r="AA2451" s="14" t="s">
        <v>4231</v>
      </c>
      <c r="AB2451" s="14">
        <v>40001</v>
      </c>
      <c r="AE2451" s="14" t="s">
        <v>1400</v>
      </c>
      <c r="AF2451" s="14" t="s">
        <v>1400</v>
      </c>
      <c r="AG2451" s="14" t="s">
        <v>95</v>
      </c>
    </row>
    <row r="2452" spans="2:33">
      <c r="B2452" s="14">
        <f>10000000+INDEX(编号表!$B:$B,MATCH(H2452,编号表!$A:$A,0))*100000+INDEX(编号表!$F:$F,MATCH(D2452,编号表!$E:$E,0))*10000+INDEX(编号表!$D:$D,MATCH(AG2452,编号表!$C:$C,0))*1000+F2452</f>
        <v>11945031</v>
      </c>
      <c r="C2452" s="14" t="s">
        <v>4227</v>
      </c>
      <c r="D2452" s="14" t="s">
        <v>104</v>
      </c>
      <c r="E2452" s="14" t="s">
        <v>95</v>
      </c>
      <c r="F2452" s="14">
        <v>31</v>
      </c>
      <c r="G2452" s="14">
        <v>60</v>
      </c>
      <c r="H2452" s="14" t="s">
        <v>1400</v>
      </c>
      <c r="I2452" s="14" t="s">
        <v>75</v>
      </c>
      <c r="J2452" s="14" t="s">
        <v>201</v>
      </c>
      <c r="K2452" s="14">
        <v>1</v>
      </c>
      <c r="L2452" s="14" t="s">
        <v>1400</v>
      </c>
      <c r="N2452" s="14">
        <v>0</v>
      </c>
      <c r="O2452" s="14" t="b">
        <v>1</v>
      </c>
      <c r="Q2452" s="14" t="b">
        <v>0</v>
      </c>
      <c r="R2452" s="14">
        <v>1</v>
      </c>
      <c r="S2452" s="14" t="s">
        <v>77</v>
      </c>
      <c r="T2452" s="14">
        <v>999</v>
      </c>
      <c r="U2452" s="14" t="s">
        <v>1401</v>
      </c>
      <c r="V2452" s="14">
        <v>31945031</v>
      </c>
      <c r="X2452" s="14" t="s">
        <v>4232</v>
      </c>
      <c r="Y2452" s="14" t="s">
        <v>215</v>
      </c>
      <c r="Z2452" s="14">
        <v>21215</v>
      </c>
      <c r="AA2452" s="14" t="s">
        <v>4233</v>
      </c>
      <c r="AB2452" s="14">
        <v>40001</v>
      </c>
      <c r="AE2452" s="14" t="s">
        <v>1400</v>
      </c>
      <c r="AF2452" s="14" t="s">
        <v>1400</v>
      </c>
      <c r="AG2452" s="14" t="s">
        <v>95</v>
      </c>
    </row>
    <row r="2453" spans="2:33">
      <c r="B2453" s="14">
        <f>10000000+INDEX(编号表!$B:$B,MATCH(H2453,编号表!$A:$A,0))*100000+INDEX(编号表!$F:$F,MATCH(D2453,编号表!$E:$E,0))*10000+INDEX(编号表!$D:$D,MATCH(AG2453,编号表!$C:$C,0))*1000+F2453</f>
        <v>11925030</v>
      </c>
      <c r="C2453" s="14" t="s">
        <v>4234</v>
      </c>
      <c r="D2453" s="14" t="s">
        <v>112</v>
      </c>
      <c r="E2453" s="14" t="s">
        <v>95</v>
      </c>
      <c r="F2453" s="14">
        <v>30</v>
      </c>
      <c r="G2453" s="14">
        <v>60</v>
      </c>
      <c r="H2453" s="14" t="s">
        <v>1400</v>
      </c>
      <c r="I2453" s="14" t="s">
        <v>75</v>
      </c>
      <c r="J2453" s="14" t="s">
        <v>201</v>
      </c>
      <c r="K2453" s="14">
        <v>1</v>
      </c>
      <c r="L2453" s="14" t="s">
        <v>1400</v>
      </c>
      <c r="N2453" s="14">
        <v>0</v>
      </c>
      <c r="O2453" s="14" t="b">
        <v>1</v>
      </c>
      <c r="Q2453" s="14" t="b">
        <v>0</v>
      </c>
      <c r="R2453" s="14">
        <v>1</v>
      </c>
      <c r="S2453" s="14" t="s">
        <v>77</v>
      </c>
      <c r="T2453" s="14">
        <v>999</v>
      </c>
      <c r="U2453" s="14" t="s">
        <v>1401</v>
      </c>
      <c r="V2453" s="14">
        <v>31925030</v>
      </c>
      <c r="X2453" s="14" t="s">
        <v>4235</v>
      </c>
      <c r="Y2453" s="14" t="s">
        <v>215</v>
      </c>
      <c r="Z2453" s="14">
        <v>21216</v>
      </c>
      <c r="AA2453" s="14" t="s">
        <v>4236</v>
      </c>
      <c r="AB2453" s="14">
        <v>40001</v>
      </c>
      <c r="AE2453" s="14" t="s">
        <v>1400</v>
      </c>
      <c r="AF2453" s="14" t="s">
        <v>1400</v>
      </c>
      <c r="AG2453" s="14" t="s">
        <v>95</v>
      </c>
    </row>
    <row r="2454" spans="2:33">
      <c r="B2454" s="14">
        <f>10000000+INDEX(编号表!$B:$B,MATCH(H2454,编号表!$A:$A,0))*100000+INDEX(编号表!$F:$F,MATCH(D2454,编号表!$E:$E,0))*10000+INDEX(编号表!$D:$D,MATCH(AG2454,编号表!$C:$C,0))*1000+F2454</f>
        <v>11935031</v>
      </c>
      <c r="C2454" s="14" t="s">
        <v>4234</v>
      </c>
      <c r="D2454" s="14" t="s">
        <v>276</v>
      </c>
      <c r="E2454" s="14" t="s">
        <v>95</v>
      </c>
      <c r="F2454" s="14">
        <v>31</v>
      </c>
      <c r="G2454" s="14">
        <v>60</v>
      </c>
      <c r="H2454" s="14" t="s">
        <v>1400</v>
      </c>
      <c r="I2454" s="14" t="s">
        <v>75</v>
      </c>
      <c r="J2454" s="14" t="s">
        <v>201</v>
      </c>
      <c r="K2454" s="14">
        <v>1</v>
      </c>
      <c r="L2454" s="14" t="s">
        <v>1400</v>
      </c>
      <c r="N2454" s="14">
        <v>0</v>
      </c>
      <c r="O2454" s="14" t="b">
        <v>1</v>
      </c>
      <c r="Q2454" s="14" t="b">
        <v>0</v>
      </c>
      <c r="R2454" s="14">
        <v>1</v>
      </c>
      <c r="S2454" s="14" t="s">
        <v>77</v>
      </c>
      <c r="T2454" s="14">
        <v>999</v>
      </c>
      <c r="U2454" s="14" t="s">
        <v>1401</v>
      </c>
      <c r="V2454" s="14">
        <v>31935031</v>
      </c>
      <c r="X2454" s="14" t="s">
        <v>4237</v>
      </c>
      <c r="Y2454" s="14" t="s">
        <v>215</v>
      </c>
      <c r="Z2454" s="14">
        <v>21217</v>
      </c>
      <c r="AA2454" s="14" t="s">
        <v>4238</v>
      </c>
      <c r="AB2454" s="14">
        <v>40001</v>
      </c>
      <c r="AE2454" s="14" t="s">
        <v>1400</v>
      </c>
      <c r="AF2454" s="14" t="s">
        <v>1400</v>
      </c>
      <c r="AG2454" s="14" t="s">
        <v>95</v>
      </c>
    </row>
    <row r="2455" spans="2:33">
      <c r="B2455" s="14">
        <f>10000000+INDEX(编号表!$B:$B,MATCH(H2455,编号表!$A:$A,0))*100000+INDEX(编号表!$F:$F,MATCH(D2455,编号表!$E:$E,0))*10000+INDEX(编号表!$D:$D,MATCH(AG2455,编号表!$C:$C,0))*1000+F2455</f>
        <v>11945032</v>
      </c>
      <c r="C2455" s="14" t="s">
        <v>4234</v>
      </c>
      <c r="D2455" s="14" t="s">
        <v>104</v>
      </c>
      <c r="E2455" s="14" t="s">
        <v>95</v>
      </c>
      <c r="F2455" s="14">
        <v>32</v>
      </c>
      <c r="G2455" s="14">
        <v>60</v>
      </c>
      <c r="H2455" s="14" t="s">
        <v>1400</v>
      </c>
      <c r="I2455" s="14" t="s">
        <v>75</v>
      </c>
      <c r="J2455" s="14" t="s">
        <v>201</v>
      </c>
      <c r="K2455" s="14">
        <v>1</v>
      </c>
      <c r="L2455" s="14" t="s">
        <v>1400</v>
      </c>
      <c r="N2455" s="14">
        <v>0</v>
      </c>
      <c r="O2455" s="14" t="b">
        <v>1</v>
      </c>
      <c r="Q2455" s="14" t="b">
        <v>0</v>
      </c>
      <c r="R2455" s="14">
        <v>1</v>
      </c>
      <c r="S2455" s="14" t="s">
        <v>77</v>
      </c>
      <c r="T2455" s="14">
        <v>999</v>
      </c>
      <c r="U2455" s="14" t="s">
        <v>1401</v>
      </c>
      <c r="V2455" s="14">
        <v>31945032</v>
      </c>
      <c r="X2455" s="14" t="s">
        <v>4239</v>
      </c>
      <c r="Y2455" s="14" t="s">
        <v>215</v>
      </c>
      <c r="Z2455" s="14">
        <v>21218</v>
      </c>
      <c r="AA2455" s="14" t="s">
        <v>4240</v>
      </c>
      <c r="AB2455" s="14">
        <v>40001</v>
      </c>
      <c r="AE2455" s="14" t="s">
        <v>1400</v>
      </c>
      <c r="AF2455" s="14" t="s">
        <v>1400</v>
      </c>
      <c r="AG2455" s="14" t="s">
        <v>95</v>
      </c>
    </row>
    <row r="2456" spans="2:33">
      <c r="B2456" s="14">
        <f>10000000+INDEX(编号表!$B:$B,MATCH(H2456,编号表!$A:$A,0))*100000+INDEX(编号表!$F:$F,MATCH(D2456,编号表!$E:$E,0))*10000+INDEX(编号表!$D:$D,MATCH(AG2456,编号表!$C:$C,0))*1000+F2456</f>
        <v>11925031</v>
      </c>
      <c r="C2456" s="14" t="s">
        <v>4241</v>
      </c>
      <c r="D2456" s="14" t="s">
        <v>112</v>
      </c>
      <c r="E2456" s="14" t="s">
        <v>95</v>
      </c>
      <c r="F2456" s="14">
        <v>31</v>
      </c>
      <c r="G2456" s="14">
        <v>60</v>
      </c>
      <c r="H2456" s="14" t="s">
        <v>1400</v>
      </c>
      <c r="I2456" s="14" t="s">
        <v>75</v>
      </c>
      <c r="J2456" s="14" t="s">
        <v>201</v>
      </c>
      <c r="K2456" s="14">
        <v>1</v>
      </c>
      <c r="L2456" s="14" t="s">
        <v>1400</v>
      </c>
      <c r="N2456" s="14">
        <v>0</v>
      </c>
      <c r="O2456" s="14" t="b">
        <v>1</v>
      </c>
      <c r="Q2456" s="14" t="b">
        <v>0</v>
      </c>
      <c r="R2456" s="14">
        <v>1</v>
      </c>
      <c r="S2456" s="14" t="s">
        <v>77</v>
      </c>
      <c r="T2456" s="14">
        <v>999</v>
      </c>
      <c r="U2456" s="14" t="s">
        <v>1401</v>
      </c>
      <c r="V2456" s="14">
        <v>31925031</v>
      </c>
      <c r="X2456" s="14" t="s">
        <v>4242</v>
      </c>
      <c r="Y2456" s="14" t="s">
        <v>215</v>
      </c>
      <c r="Z2456" s="14">
        <v>21219</v>
      </c>
      <c r="AA2456" s="14" t="s">
        <v>4243</v>
      </c>
      <c r="AB2456" s="14">
        <v>40001</v>
      </c>
      <c r="AE2456" s="14" t="s">
        <v>1400</v>
      </c>
      <c r="AF2456" s="14" t="s">
        <v>1400</v>
      </c>
      <c r="AG2456" s="14" t="s">
        <v>95</v>
      </c>
    </row>
    <row r="2457" spans="2:33">
      <c r="B2457" s="14">
        <f>10000000+INDEX(编号表!$B:$B,MATCH(H2457,编号表!$A:$A,0))*100000+INDEX(编号表!$F:$F,MATCH(D2457,编号表!$E:$E,0))*10000+INDEX(编号表!$D:$D,MATCH(AG2457,编号表!$C:$C,0))*1000+F2457</f>
        <v>11935032</v>
      </c>
      <c r="C2457" s="14" t="s">
        <v>4241</v>
      </c>
      <c r="D2457" s="14" t="s">
        <v>276</v>
      </c>
      <c r="E2457" s="14" t="s">
        <v>95</v>
      </c>
      <c r="F2457" s="14">
        <v>32</v>
      </c>
      <c r="G2457" s="14">
        <v>60</v>
      </c>
      <c r="H2457" s="14" t="s">
        <v>1400</v>
      </c>
      <c r="I2457" s="14" t="s">
        <v>75</v>
      </c>
      <c r="J2457" s="14" t="s">
        <v>201</v>
      </c>
      <c r="K2457" s="14">
        <v>1</v>
      </c>
      <c r="L2457" s="14" t="s">
        <v>1400</v>
      </c>
      <c r="N2457" s="14">
        <v>0</v>
      </c>
      <c r="O2457" s="14" t="b">
        <v>1</v>
      </c>
      <c r="Q2457" s="14" t="b">
        <v>0</v>
      </c>
      <c r="R2457" s="14">
        <v>1</v>
      </c>
      <c r="S2457" s="14" t="s">
        <v>77</v>
      </c>
      <c r="T2457" s="14">
        <v>999</v>
      </c>
      <c r="U2457" s="14" t="s">
        <v>1401</v>
      </c>
      <c r="V2457" s="14">
        <v>31935032</v>
      </c>
      <c r="X2457" s="14" t="s">
        <v>4244</v>
      </c>
      <c r="Y2457" s="14" t="s">
        <v>215</v>
      </c>
      <c r="Z2457" s="14">
        <v>21220</v>
      </c>
      <c r="AA2457" s="14" t="s">
        <v>4245</v>
      </c>
      <c r="AB2457" s="14">
        <v>40001</v>
      </c>
      <c r="AE2457" s="14" t="s">
        <v>1400</v>
      </c>
      <c r="AF2457" s="14" t="s">
        <v>1400</v>
      </c>
      <c r="AG2457" s="14" t="s">
        <v>95</v>
      </c>
    </row>
    <row r="2458" spans="2:33">
      <c r="B2458" s="14">
        <f>10000000+INDEX(编号表!$B:$B,MATCH(H2458,编号表!$A:$A,0))*100000+INDEX(编号表!$F:$F,MATCH(D2458,编号表!$E:$E,0))*10000+INDEX(编号表!$D:$D,MATCH(AG2458,编号表!$C:$C,0))*1000+F2458</f>
        <v>11945033</v>
      </c>
      <c r="C2458" s="14" t="s">
        <v>4241</v>
      </c>
      <c r="D2458" s="14" t="s">
        <v>104</v>
      </c>
      <c r="E2458" s="14" t="s">
        <v>95</v>
      </c>
      <c r="F2458" s="14">
        <v>33</v>
      </c>
      <c r="G2458" s="14">
        <v>60</v>
      </c>
      <c r="H2458" s="14" t="s">
        <v>1400</v>
      </c>
      <c r="I2458" s="14" t="s">
        <v>75</v>
      </c>
      <c r="J2458" s="14" t="s">
        <v>201</v>
      </c>
      <c r="K2458" s="14">
        <v>1</v>
      </c>
      <c r="L2458" s="14" t="s">
        <v>1400</v>
      </c>
      <c r="N2458" s="14">
        <v>0</v>
      </c>
      <c r="O2458" s="14" t="b">
        <v>1</v>
      </c>
      <c r="Q2458" s="14" t="b">
        <v>0</v>
      </c>
      <c r="R2458" s="14">
        <v>1</v>
      </c>
      <c r="S2458" s="14" t="s">
        <v>77</v>
      </c>
      <c r="T2458" s="14">
        <v>999</v>
      </c>
      <c r="U2458" s="14" t="s">
        <v>1401</v>
      </c>
      <c r="V2458" s="14">
        <v>31945033</v>
      </c>
      <c r="X2458" s="14" t="s">
        <v>4246</v>
      </c>
      <c r="Y2458" s="14" t="s">
        <v>215</v>
      </c>
      <c r="Z2458" s="14">
        <v>21221</v>
      </c>
      <c r="AA2458" s="14" t="s">
        <v>4247</v>
      </c>
      <c r="AB2458" s="14">
        <v>40001</v>
      </c>
      <c r="AE2458" s="14" t="s">
        <v>1400</v>
      </c>
      <c r="AF2458" s="14" t="s">
        <v>1400</v>
      </c>
      <c r="AG2458" s="14" t="s">
        <v>95</v>
      </c>
    </row>
    <row r="2459" spans="2:33">
      <c r="B2459" s="14">
        <f>10000000+INDEX(编号表!$B:$B,MATCH(H2459,编号表!$A:$A,0))*100000+INDEX(编号表!$F:$F,MATCH(D2459,编号表!$E:$E,0))*10000+INDEX(编号表!$D:$D,MATCH(AG2459,编号表!$C:$C,0))*1000+F2459</f>
        <v>11925032</v>
      </c>
      <c r="C2459" s="14" t="s">
        <v>4248</v>
      </c>
      <c r="D2459" s="14" t="s">
        <v>112</v>
      </c>
      <c r="E2459" s="14" t="s">
        <v>95</v>
      </c>
      <c r="F2459" s="14">
        <v>32</v>
      </c>
      <c r="G2459" s="14">
        <v>60</v>
      </c>
      <c r="H2459" s="14" t="s">
        <v>1400</v>
      </c>
      <c r="I2459" s="14" t="s">
        <v>75</v>
      </c>
      <c r="J2459" s="14" t="s">
        <v>201</v>
      </c>
      <c r="K2459" s="14">
        <v>1</v>
      </c>
      <c r="L2459" s="14" t="s">
        <v>1400</v>
      </c>
      <c r="N2459" s="14">
        <v>0</v>
      </c>
      <c r="O2459" s="14" t="b">
        <v>1</v>
      </c>
      <c r="Q2459" s="14" t="b">
        <v>0</v>
      </c>
      <c r="R2459" s="14">
        <v>1</v>
      </c>
      <c r="S2459" s="14" t="s">
        <v>77</v>
      </c>
      <c r="T2459" s="14">
        <v>999</v>
      </c>
      <c r="U2459" s="14" t="s">
        <v>1401</v>
      </c>
      <c r="V2459" s="14">
        <v>31925032</v>
      </c>
      <c r="X2459" s="14" t="s">
        <v>4249</v>
      </c>
      <c r="Y2459" s="14" t="s">
        <v>215</v>
      </c>
      <c r="Z2459" s="14">
        <v>21222</v>
      </c>
      <c r="AA2459" s="14" t="s">
        <v>4250</v>
      </c>
      <c r="AB2459" s="14">
        <v>40001</v>
      </c>
      <c r="AE2459" s="14" t="s">
        <v>1400</v>
      </c>
      <c r="AF2459" s="14" t="s">
        <v>1400</v>
      </c>
      <c r="AG2459" s="14" t="s">
        <v>95</v>
      </c>
    </row>
    <row r="2460" spans="2:33">
      <c r="B2460" s="14">
        <f>10000000+INDEX(编号表!$B:$B,MATCH(H2460,编号表!$A:$A,0))*100000+INDEX(编号表!$F:$F,MATCH(D2460,编号表!$E:$E,0))*10000+INDEX(编号表!$D:$D,MATCH(AG2460,编号表!$C:$C,0))*1000+F2460</f>
        <v>11935033</v>
      </c>
      <c r="C2460" s="14" t="s">
        <v>4248</v>
      </c>
      <c r="D2460" s="14" t="s">
        <v>276</v>
      </c>
      <c r="E2460" s="14" t="s">
        <v>95</v>
      </c>
      <c r="F2460" s="14">
        <v>33</v>
      </c>
      <c r="G2460" s="14">
        <v>60</v>
      </c>
      <c r="H2460" s="14" t="s">
        <v>1400</v>
      </c>
      <c r="I2460" s="14" t="s">
        <v>75</v>
      </c>
      <c r="J2460" s="14" t="s">
        <v>201</v>
      </c>
      <c r="K2460" s="14">
        <v>1</v>
      </c>
      <c r="L2460" s="14" t="s">
        <v>1400</v>
      </c>
      <c r="N2460" s="14">
        <v>0</v>
      </c>
      <c r="O2460" s="14" t="b">
        <v>1</v>
      </c>
      <c r="Q2460" s="14" t="b">
        <v>0</v>
      </c>
      <c r="R2460" s="14">
        <v>1</v>
      </c>
      <c r="S2460" s="14" t="s">
        <v>77</v>
      </c>
      <c r="T2460" s="14">
        <v>999</v>
      </c>
      <c r="U2460" s="14" t="s">
        <v>1401</v>
      </c>
      <c r="V2460" s="14">
        <v>31935033</v>
      </c>
      <c r="X2460" s="14" t="s">
        <v>4251</v>
      </c>
      <c r="Y2460" s="14" t="s">
        <v>215</v>
      </c>
      <c r="Z2460" s="14">
        <v>21223</v>
      </c>
      <c r="AA2460" s="14" t="s">
        <v>4252</v>
      </c>
      <c r="AB2460" s="14">
        <v>40001</v>
      </c>
      <c r="AE2460" s="14" t="s">
        <v>1400</v>
      </c>
      <c r="AF2460" s="14" t="s">
        <v>1400</v>
      </c>
      <c r="AG2460" s="14" t="s">
        <v>95</v>
      </c>
    </row>
    <row r="2461" spans="2:33">
      <c r="B2461" s="14">
        <f>10000000+INDEX(编号表!$B:$B,MATCH(H2461,编号表!$A:$A,0))*100000+INDEX(编号表!$F:$F,MATCH(D2461,编号表!$E:$E,0))*10000+INDEX(编号表!$D:$D,MATCH(AG2461,编号表!$C:$C,0))*1000+F2461</f>
        <v>11945034</v>
      </c>
      <c r="C2461" s="14" t="s">
        <v>4248</v>
      </c>
      <c r="D2461" s="14" t="s">
        <v>104</v>
      </c>
      <c r="E2461" s="14" t="s">
        <v>95</v>
      </c>
      <c r="F2461" s="14">
        <v>34</v>
      </c>
      <c r="G2461" s="14">
        <v>60</v>
      </c>
      <c r="H2461" s="14" t="s">
        <v>1400</v>
      </c>
      <c r="I2461" s="14" t="s">
        <v>75</v>
      </c>
      <c r="J2461" s="14" t="s">
        <v>201</v>
      </c>
      <c r="K2461" s="14">
        <v>1</v>
      </c>
      <c r="L2461" s="14" t="s">
        <v>1400</v>
      </c>
      <c r="N2461" s="14">
        <v>0</v>
      </c>
      <c r="O2461" s="14" t="b">
        <v>1</v>
      </c>
      <c r="Q2461" s="14" t="b">
        <v>0</v>
      </c>
      <c r="R2461" s="14">
        <v>1</v>
      </c>
      <c r="S2461" s="14" t="s">
        <v>77</v>
      </c>
      <c r="T2461" s="14">
        <v>999</v>
      </c>
      <c r="U2461" s="14" t="s">
        <v>1401</v>
      </c>
      <c r="V2461" s="14">
        <v>31945034</v>
      </c>
      <c r="X2461" s="14" t="s">
        <v>4253</v>
      </c>
      <c r="Y2461" s="14" t="s">
        <v>215</v>
      </c>
      <c r="Z2461" s="14">
        <v>21224</v>
      </c>
      <c r="AA2461" s="14" t="s">
        <v>4254</v>
      </c>
      <c r="AB2461" s="14">
        <v>40001</v>
      </c>
      <c r="AE2461" s="14" t="s">
        <v>1400</v>
      </c>
      <c r="AF2461" s="14" t="s">
        <v>1400</v>
      </c>
      <c r="AG2461" s="14" t="s">
        <v>95</v>
      </c>
    </row>
    <row r="2462" spans="2:33">
      <c r="B2462" s="14">
        <f>10000000+INDEX(编号表!$B:$B,MATCH(H2462,编号表!$A:$A,0))*100000+INDEX(编号表!$F:$F,MATCH(D2462,编号表!$E:$E,0))*10000+INDEX(编号表!$D:$D,MATCH(AG2462,编号表!$C:$C,0))*1000+F2462</f>
        <v>11925033</v>
      </c>
      <c r="C2462" s="14" t="s">
        <v>4255</v>
      </c>
      <c r="D2462" s="14" t="s">
        <v>112</v>
      </c>
      <c r="E2462" s="14" t="s">
        <v>95</v>
      </c>
      <c r="F2462" s="14">
        <v>33</v>
      </c>
      <c r="G2462" s="14">
        <v>60</v>
      </c>
      <c r="H2462" s="14" t="s">
        <v>1400</v>
      </c>
      <c r="I2462" s="14" t="s">
        <v>75</v>
      </c>
      <c r="J2462" s="14" t="s">
        <v>201</v>
      </c>
      <c r="K2462" s="14">
        <v>1</v>
      </c>
      <c r="L2462" s="14" t="s">
        <v>1400</v>
      </c>
      <c r="N2462" s="14">
        <v>0</v>
      </c>
      <c r="O2462" s="14" t="b">
        <v>1</v>
      </c>
      <c r="Q2462" s="14" t="b">
        <v>0</v>
      </c>
      <c r="R2462" s="14">
        <v>1</v>
      </c>
      <c r="S2462" s="14" t="s">
        <v>77</v>
      </c>
      <c r="T2462" s="14">
        <v>999</v>
      </c>
      <c r="U2462" s="14" t="s">
        <v>1401</v>
      </c>
      <c r="V2462" s="14">
        <v>31925033</v>
      </c>
      <c r="X2462" s="14" t="s">
        <v>4256</v>
      </c>
      <c r="Y2462" s="14" t="s">
        <v>215</v>
      </c>
      <c r="Z2462" s="14">
        <v>21225</v>
      </c>
      <c r="AA2462" s="14" t="s">
        <v>4257</v>
      </c>
      <c r="AB2462" s="14">
        <v>40001</v>
      </c>
      <c r="AE2462" s="14" t="s">
        <v>1400</v>
      </c>
      <c r="AF2462" s="14" t="s">
        <v>1400</v>
      </c>
      <c r="AG2462" s="14" t="s">
        <v>95</v>
      </c>
    </row>
    <row r="2463" spans="2:33">
      <c r="B2463" s="14">
        <f>10000000+INDEX(编号表!$B:$B,MATCH(H2463,编号表!$A:$A,0))*100000+INDEX(编号表!$F:$F,MATCH(D2463,编号表!$E:$E,0))*10000+INDEX(编号表!$D:$D,MATCH(AG2463,编号表!$C:$C,0))*1000+F2463</f>
        <v>11935034</v>
      </c>
      <c r="C2463" s="14" t="s">
        <v>4255</v>
      </c>
      <c r="D2463" s="14" t="s">
        <v>276</v>
      </c>
      <c r="E2463" s="14" t="s">
        <v>95</v>
      </c>
      <c r="F2463" s="14">
        <v>34</v>
      </c>
      <c r="G2463" s="14">
        <v>60</v>
      </c>
      <c r="H2463" s="14" t="s">
        <v>1400</v>
      </c>
      <c r="I2463" s="14" t="s">
        <v>75</v>
      </c>
      <c r="J2463" s="14" t="s">
        <v>201</v>
      </c>
      <c r="K2463" s="14">
        <v>1</v>
      </c>
      <c r="L2463" s="14" t="s">
        <v>1400</v>
      </c>
      <c r="N2463" s="14">
        <v>0</v>
      </c>
      <c r="O2463" s="14" t="b">
        <v>1</v>
      </c>
      <c r="Q2463" s="14" t="b">
        <v>0</v>
      </c>
      <c r="R2463" s="14">
        <v>1</v>
      </c>
      <c r="S2463" s="14" t="s">
        <v>77</v>
      </c>
      <c r="T2463" s="14">
        <v>999</v>
      </c>
      <c r="U2463" s="14" t="s">
        <v>1401</v>
      </c>
      <c r="V2463" s="14">
        <v>31935034</v>
      </c>
      <c r="X2463" s="14" t="s">
        <v>4258</v>
      </c>
      <c r="Y2463" s="14" t="s">
        <v>215</v>
      </c>
      <c r="Z2463" s="14">
        <v>21226</v>
      </c>
      <c r="AA2463" s="14" t="s">
        <v>4259</v>
      </c>
      <c r="AB2463" s="14">
        <v>40001</v>
      </c>
      <c r="AE2463" s="14" t="s">
        <v>1400</v>
      </c>
      <c r="AF2463" s="14" t="s">
        <v>1400</v>
      </c>
      <c r="AG2463" s="14" t="s">
        <v>95</v>
      </c>
    </row>
    <row r="2464" spans="2:33">
      <c r="B2464" s="14">
        <f>10000000+INDEX(编号表!$B:$B,MATCH(H2464,编号表!$A:$A,0))*100000+INDEX(编号表!$F:$F,MATCH(D2464,编号表!$E:$E,0))*10000+INDEX(编号表!$D:$D,MATCH(AG2464,编号表!$C:$C,0))*1000+F2464</f>
        <v>11945035</v>
      </c>
      <c r="C2464" s="14" t="s">
        <v>4255</v>
      </c>
      <c r="D2464" s="14" t="s">
        <v>104</v>
      </c>
      <c r="E2464" s="14" t="s">
        <v>95</v>
      </c>
      <c r="F2464" s="14">
        <v>35</v>
      </c>
      <c r="G2464" s="14">
        <v>60</v>
      </c>
      <c r="H2464" s="14" t="s">
        <v>1400</v>
      </c>
      <c r="I2464" s="14" t="s">
        <v>75</v>
      </c>
      <c r="J2464" s="14" t="s">
        <v>201</v>
      </c>
      <c r="K2464" s="14">
        <v>1</v>
      </c>
      <c r="L2464" s="14" t="s">
        <v>1400</v>
      </c>
      <c r="N2464" s="14">
        <v>0</v>
      </c>
      <c r="O2464" s="14" t="b">
        <v>1</v>
      </c>
      <c r="Q2464" s="14" t="b">
        <v>0</v>
      </c>
      <c r="R2464" s="14">
        <v>1</v>
      </c>
      <c r="S2464" s="14" t="s">
        <v>77</v>
      </c>
      <c r="T2464" s="14">
        <v>999</v>
      </c>
      <c r="U2464" s="14" t="s">
        <v>1401</v>
      </c>
      <c r="V2464" s="14">
        <v>31945035</v>
      </c>
      <c r="X2464" s="14" t="s">
        <v>4260</v>
      </c>
      <c r="Y2464" s="14" t="s">
        <v>215</v>
      </c>
      <c r="Z2464" s="14">
        <v>21227</v>
      </c>
      <c r="AA2464" s="14" t="s">
        <v>4261</v>
      </c>
      <c r="AB2464" s="14">
        <v>40001</v>
      </c>
      <c r="AE2464" s="14" t="s">
        <v>1400</v>
      </c>
      <c r="AF2464" s="14" t="s">
        <v>1400</v>
      </c>
      <c r="AG2464" s="14" t="s">
        <v>95</v>
      </c>
    </row>
    <row r="2465" spans="2:33">
      <c r="B2465" s="14">
        <f>10000000+INDEX(编号表!$B:$B,MATCH(H2465,编号表!$A:$A,0))*100000+INDEX(编号表!$F:$F,MATCH(D2465,编号表!$E:$E,0))*10000+INDEX(编号表!$D:$D,MATCH(AG2465,编号表!$C:$C,0))*1000+F2465</f>
        <v>11925034</v>
      </c>
      <c r="C2465" s="14" t="s">
        <v>4262</v>
      </c>
      <c r="D2465" s="14" t="s">
        <v>112</v>
      </c>
      <c r="E2465" s="14" t="s">
        <v>95</v>
      </c>
      <c r="F2465" s="14">
        <v>34</v>
      </c>
      <c r="G2465" s="14">
        <v>60</v>
      </c>
      <c r="H2465" s="14" t="s">
        <v>1400</v>
      </c>
      <c r="I2465" s="14" t="s">
        <v>75</v>
      </c>
      <c r="J2465" s="14" t="s">
        <v>201</v>
      </c>
      <c r="K2465" s="14">
        <v>1</v>
      </c>
      <c r="L2465" s="14" t="s">
        <v>1400</v>
      </c>
      <c r="N2465" s="14">
        <v>0</v>
      </c>
      <c r="O2465" s="14" t="b">
        <v>1</v>
      </c>
      <c r="Q2465" s="14" t="b">
        <v>0</v>
      </c>
      <c r="R2465" s="14">
        <v>1</v>
      </c>
      <c r="S2465" s="14" t="s">
        <v>77</v>
      </c>
      <c r="T2465" s="14">
        <v>999</v>
      </c>
      <c r="U2465" s="14" t="s">
        <v>1401</v>
      </c>
      <c r="V2465" s="14">
        <v>31925034</v>
      </c>
      <c r="X2465" s="14" t="s">
        <v>4263</v>
      </c>
      <c r="Y2465" s="14" t="s">
        <v>215</v>
      </c>
      <c r="Z2465" s="14">
        <v>21228</v>
      </c>
      <c r="AA2465" s="14" t="s">
        <v>4264</v>
      </c>
      <c r="AB2465" s="14">
        <v>40001</v>
      </c>
      <c r="AE2465" s="14" t="s">
        <v>1400</v>
      </c>
      <c r="AF2465" s="14" t="s">
        <v>1400</v>
      </c>
      <c r="AG2465" s="14" t="s">
        <v>95</v>
      </c>
    </row>
    <row r="2466" spans="2:33">
      <c r="B2466" s="14">
        <f>10000000+INDEX(编号表!$B:$B,MATCH(H2466,编号表!$A:$A,0))*100000+INDEX(编号表!$F:$F,MATCH(D2466,编号表!$E:$E,0))*10000+INDEX(编号表!$D:$D,MATCH(AG2466,编号表!$C:$C,0))*1000+F2466</f>
        <v>11935035</v>
      </c>
      <c r="C2466" s="14" t="s">
        <v>4262</v>
      </c>
      <c r="D2466" s="14" t="s">
        <v>276</v>
      </c>
      <c r="E2466" s="14" t="s">
        <v>95</v>
      </c>
      <c r="F2466" s="14">
        <v>35</v>
      </c>
      <c r="G2466" s="14">
        <v>60</v>
      </c>
      <c r="H2466" s="14" t="s">
        <v>1400</v>
      </c>
      <c r="I2466" s="14" t="s">
        <v>75</v>
      </c>
      <c r="J2466" s="14" t="s">
        <v>201</v>
      </c>
      <c r="K2466" s="14">
        <v>1</v>
      </c>
      <c r="L2466" s="14" t="s">
        <v>1400</v>
      </c>
      <c r="N2466" s="14">
        <v>0</v>
      </c>
      <c r="O2466" s="14" t="b">
        <v>1</v>
      </c>
      <c r="Q2466" s="14" t="b">
        <v>0</v>
      </c>
      <c r="R2466" s="14">
        <v>1</v>
      </c>
      <c r="S2466" s="14" t="s">
        <v>77</v>
      </c>
      <c r="T2466" s="14">
        <v>999</v>
      </c>
      <c r="U2466" s="14" t="s">
        <v>1401</v>
      </c>
      <c r="V2466" s="14">
        <v>31935035</v>
      </c>
      <c r="X2466" s="14" t="s">
        <v>4265</v>
      </c>
      <c r="Y2466" s="14" t="s">
        <v>215</v>
      </c>
      <c r="Z2466" s="14">
        <v>21229</v>
      </c>
      <c r="AA2466" s="14" t="s">
        <v>4266</v>
      </c>
      <c r="AB2466" s="14">
        <v>40001</v>
      </c>
      <c r="AE2466" s="14" t="s">
        <v>1400</v>
      </c>
      <c r="AF2466" s="14" t="s">
        <v>1400</v>
      </c>
      <c r="AG2466" s="14" t="s">
        <v>95</v>
      </c>
    </row>
    <row r="2467" spans="2:33">
      <c r="B2467" s="14">
        <f>10000000+INDEX(编号表!$B:$B,MATCH(H2467,编号表!$A:$A,0))*100000+INDEX(编号表!$F:$F,MATCH(D2467,编号表!$E:$E,0))*10000+INDEX(编号表!$D:$D,MATCH(AG2467,编号表!$C:$C,0))*1000+F2467</f>
        <v>11945036</v>
      </c>
      <c r="C2467" s="14" t="s">
        <v>4262</v>
      </c>
      <c r="D2467" s="14" t="s">
        <v>104</v>
      </c>
      <c r="E2467" s="14" t="s">
        <v>95</v>
      </c>
      <c r="F2467" s="14">
        <v>36</v>
      </c>
      <c r="G2467" s="14">
        <v>60</v>
      </c>
      <c r="H2467" s="14" t="s">
        <v>1400</v>
      </c>
      <c r="I2467" s="14" t="s">
        <v>75</v>
      </c>
      <c r="J2467" s="14" t="s">
        <v>201</v>
      </c>
      <c r="K2467" s="14">
        <v>1</v>
      </c>
      <c r="L2467" s="14" t="s">
        <v>1400</v>
      </c>
      <c r="N2467" s="14">
        <v>0</v>
      </c>
      <c r="O2467" s="14" t="b">
        <v>1</v>
      </c>
      <c r="Q2467" s="14" t="b">
        <v>0</v>
      </c>
      <c r="R2467" s="14">
        <v>1</v>
      </c>
      <c r="S2467" s="14" t="s">
        <v>77</v>
      </c>
      <c r="T2467" s="14">
        <v>999</v>
      </c>
      <c r="U2467" s="14" t="s">
        <v>1401</v>
      </c>
      <c r="V2467" s="14">
        <v>31945036</v>
      </c>
      <c r="X2467" s="14" t="s">
        <v>4267</v>
      </c>
      <c r="Y2467" s="14" t="s">
        <v>215</v>
      </c>
      <c r="Z2467" s="14">
        <v>21230</v>
      </c>
      <c r="AA2467" s="14" t="s">
        <v>4268</v>
      </c>
      <c r="AB2467" s="14">
        <v>40001</v>
      </c>
      <c r="AE2467" s="14" t="s">
        <v>1400</v>
      </c>
      <c r="AF2467" s="14" t="s">
        <v>1400</v>
      </c>
      <c r="AG2467" s="14" t="s">
        <v>95</v>
      </c>
    </row>
    <row r="2468" spans="2:33">
      <c r="B2468" s="14">
        <f>10000000+INDEX(编号表!$B:$B,MATCH(H2468,编号表!$A:$A,0))*100000+INDEX(编号表!$F:$F,MATCH(D2468,编号表!$E:$E,0))*10000+INDEX(编号表!$D:$D,MATCH(AG2468,编号表!$C:$C,0))*1000+F2468</f>
        <v>11925035</v>
      </c>
      <c r="C2468" s="14" t="s">
        <v>4269</v>
      </c>
      <c r="D2468" s="14" t="s">
        <v>112</v>
      </c>
      <c r="E2468" s="14" t="s">
        <v>95</v>
      </c>
      <c r="F2468" s="14">
        <v>35</v>
      </c>
      <c r="G2468" s="14">
        <v>60</v>
      </c>
      <c r="H2468" s="14" t="s">
        <v>1400</v>
      </c>
      <c r="I2468" s="14" t="s">
        <v>75</v>
      </c>
      <c r="J2468" s="14" t="s">
        <v>201</v>
      </c>
      <c r="K2468" s="14">
        <v>1</v>
      </c>
      <c r="L2468" s="14" t="s">
        <v>1400</v>
      </c>
      <c r="N2468" s="14">
        <v>0</v>
      </c>
      <c r="O2468" s="14" t="b">
        <v>1</v>
      </c>
      <c r="Q2468" s="14" t="b">
        <v>0</v>
      </c>
      <c r="R2468" s="14">
        <v>1</v>
      </c>
      <c r="S2468" s="14" t="s">
        <v>77</v>
      </c>
      <c r="T2468" s="14">
        <v>999</v>
      </c>
      <c r="U2468" s="14" t="s">
        <v>1401</v>
      </c>
      <c r="V2468" s="14">
        <v>31925035</v>
      </c>
      <c r="X2468" s="14" t="s">
        <v>4270</v>
      </c>
      <c r="Y2468" s="14" t="s">
        <v>215</v>
      </c>
      <c r="Z2468" s="14">
        <v>21231</v>
      </c>
      <c r="AA2468" s="14" t="s">
        <v>4271</v>
      </c>
      <c r="AB2468" s="14">
        <v>40001</v>
      </c>
      <c r="AE2468" s="14" t="s">
        <v>1400</v>
      </c>
      <c r="AF2468" s="14" t="s">
        <v>1400</v>
      </c>
      <c r="AG2468" s="14" t="s">
        <v>95</v>
      </c>
    </row>
    <row r="2469" spans="2:33">
      <c r="B2469" s="14">
        <f>10000000+INDEX(编号表!$B:$B,MATCH(H2469,编号表!$A:$A,0))*100000+INDEX(编号表!$F:$F,MATCH(D2469,编号表!$E:$E,0))*10000+INDEX(编号表!$D:$D,MATCH(AG2469,编号表!$C:$C,0))*1000+F2469</f>
        <v>11935036</v>
      </c>
      <c r="C2469" s="14" t="s">
        <v>4269</v>
      </c>
      <c r="D2469" s="14" t="s">
        <v>276</v>
      </c>
      <c r="E2469" s="14" t="s">
        <v>95</v>
      </c>
      <c r="F2469" s="14">
        <v>36</v>
      </c>
      <c r="G2469" s="14">
        <v>60</v>
      </c>
      <c r="H2469" s="14" t="s">
        <v>1400</v>
      </c>
      <c r="I2469" s="14" t="s">
        <v>75</v>
      </c>
      <c r="J2469" s="14" t="s">
        <v>201</v>
      </c>
      <c r="K2469" s="14">
        <v>1</v>
      </c>
      <c r="L2469" s="14" t="s">
        <v>1400</v>
      </c>
      <c r="N2469" s="14">
        <v>0</v>
      </c>
      <c r="O2469" s="14" t="b">
        <v>1</v>
      </c>
      <c r="Q2469" s="14" t="b">
        <v>0</v>
      </c>
      <c r="R2469" s="14">
        <v>1</v>
      </c>
      <c r="S2469" s="14" t="s">
        <v>77</v>
      </c>
      <c r="T2469" s="14">
        <v>999</v>
      </c>
      <c r="U2469" s="14" t="s">
        <v>1401</v>
      </c>
      <c r="V2469" s="14">
        <v>31935036</v>
      </c>
      <c r="X2469" s="14" t="s">
        <v>4272</v>
      </c>
      <c r="Y2469" s="14" t="s">
        <v>215</v>
      </c>
      <c r="Z2469" s="14">
        <v>21232</v>
      </c>
      <c r="AA2469" s="14" t="s">
        <v>4273</v>
      </c>
      <c r="AB2469" s="14">
        <v>40001</v>
      </c>
      <c r="AE2469" s="14" t="s">
        <v>1400</v>
      </c>
      <c r="AF2469" s="14" t="s">
        <v>1400</v>
      </c>
      <c r="AG2469" s="14" t="s">
        <v>95</v>
      </c>
    </row>
    <row r="2470" spans="2:33">
      <c r="B2470" s="14">
        <f>10000000+INDEX(编号表!$B:$B,MATCH(H2470,编号表!$A:$A,0))*100000+INDEX(编号表!$F:$F,MATCH(D2470,编号表!$E:$E,0))*10000+INDEX(编号表!$D:$D,MATCH(AG2470,编号表!$C:$C,0))*1000+F2470</f>
        <v>11945037</v>
      </c>
      <c r="C2470" s="14" t="s">
        <v>4269</v>
      </c>
      <c r="D2470" s="14" t="s">
        <v>104</v>
      </c>
      <c r="E2470" s="14" t="s">
        <v>95</v>
      </c>
      <c r="F2470" s="14">
        <v>37</v>
      </c>
      <c r="G2470" s="14">
        <v>60</v>
      </c>
      <c r="H2470" s="14" t="s">
        <v>1400</v>
      </c>
      <c r="I2470" s="14" t="s">
        <v>75</v>
      </c>
      <c r="J2470" s="14" t="s">
        <v>201</v>
      </c>
      <c r="K2470" s="14">
        <v>1</v>
      </c>
      <c r="L2470" s="14" t="s">
        <v>1400</v>
      </c>
      <c r="N2470" s="14">
        <v>0</v>
      </c>
      <c r="O2470" s="14" t="b">
        <v>1</v>
      </c>
      <c r="Q2470" s="14" t="b">
        <v>0</v>
      </c>
      <c r="R2470" s="14">
        <v>1</v>
      </c>
      <c r="S2470" s="14" t="s">
        <v>77</v>
      </c>
      <c r="T2470" s="14">
        <v>999</v>
      </c>
      <c r="U2470" s="14" t="s">
        <v>1401</v>
      </c>
      <c r="V2470" s="14">
        <v>31945037</v>
      </c>
      <c r="X2470" s="14" t="s">
        <v>4274</v>
      </c>
      <c r="Y2470" s="14" t="s">
        <v>215</v>
      </c>
      <c r="Z2470" s="14">
        <v>21233</v>
      </c>
      <c r="AA2470" s="14" t="s">
        <v>4275</v>
      </c>
      <c r="AB2470" s="14">
        <v>40001</v>
      </c>
      <c r="AE2470" s="14" t="s">
        <v>1400</v>
      </c>
      <c r="AF2470" s="14" t="s">
        <v>1400</v>
      </c>
      <c r="AG2470" s="14" t="s">
        <v>95</v>
      </c>
    </row>
    <row r="2471" spans="2:33">
      <c r="B2471" s="14">
        <f>10000000+INDEX(编号表!$B:$B,MATCH(H2471,编号表!$A:$A,0))*100000+INDEX(编号表!$F:$F,MATCH(D2471,编号表!$E:$E,0))*10000+INDEX(编号表!$D:$D,MATCH(AG2471,编号表!$C:$C,0))*1000+F2471</f>
        <v>11925036</v>
      </c>
      <c r="C2471" s="14" t="s">
        <v>4276</v>
      </c>
      <c r="D2471" s="14" t="s">
        <v>112</v>
      </c>
      <c r="E2471" s="14" t="s">
        <v>95</v>
      </c>
      <c r="F2471" s="14">
        <v>36</v>
      </c>
      <c r="G2471" s="14">
        <v>60</v>
      </c>
      <c r="H2471" s="14" t="s">
        <v>1400</v>
      </c>
      <c r="I2471" s="14" t="s">
        <v>75</v>
      </c>
      <c r="J2471" s="14" t="s">
        <v>201</v>
      </c>
      <c r="K2471" s="14">
        <v>1</v>
      </c>
      <c r="L2471" s="14" t="s">
        <v>1400</v>
      </c>
      <c r="N2471" s="14">
        <v>0</v>
      </c>
      <c r="O2471" s="14" t="b">
        <v>1</v>
      </c>
      <c r="Q2471" s="14" t="b">
        <v>0</v>
      </c>
      <c r="R2471" s="14">
        <v>1</v>
      </c>
      <c r="S2471" s="14" t="s">
        <v>77</v>
      </c>
      <c r="T2471" s="14">
        <v>999</v>
      </c>
      <c r="U2471" s="14" t="s">
        <v>1401</v>
      </c>
      <c r="V2471" s="14">
        <v>31925036</v>
      </c>
      <c r="X2471" s="14" t="s">
        <v>4277</v>
      </c>
      <c r="Y2471" s="14" t="s">
        <v>215</v>
      </c>
      <c r="Z2471" s="14">
        <v>21234</v>
      </c>
      <c r="AA2471" s="14" t="s">
        <v>4278</v>
      </c>
      <c r="AB2471" s="14">
        <v>40001</v>
      </c>
      <c r="AE2471" s="14" t="s">
        <v>1400</v>
      </c>
      <c r="AF2471" s="14" t="s">
        <v>1400</v>
      </c>
      <c r="AG2471" s="14" t="s">
        <v>95</v>
      </c>
    </row>
    <row r="2472" spans="2:33">
      <c r="B2472" s="14">
        <f>10000000+INDEX(编号表!$B:$B,MATCH(H2472,编号表!$A:$A,0))*100000+INDEX(编号表!$F:$F,MATCH(D2472,编号表!$E:$E,0))*10000+INDEX(编号表!$D:$D,MATCH(AG2472,编号表!$C:$C,0))*1000+F2472</f>
        <v>11935037</v>
      </c>
      <c r="C2472" s="14" t="s">
        <v>4276</v>
      </c>
      <c r="D2472" s="14" t="s">
        <v>276</v>
      </c>
      <c r="E2472" s="14" t="s">
        <v>95</v>
      </c>
      <c r="F2472" s="14">
        <v>37</v>
      </c>
      <c r="G2472" s="14">
        <v>60</v>
      </c>
      <c r="H2472" s="14" t="s">
        <v>1400</v>
      </c>
      <c r="I2472" s="14" t="s">
        <v>75</v>
      </c>
      <c r="J2472" s="14" t="s">
        <v>201</v>
      </c>
      <c r="K2472" s="14">
        <v>1</v>
      </c>
      <c r="L2472" s="14" t="s">
        <v>1400</v>
      </c>
      <c r="N2472" s="14">
        <v>0</v>
      </c>
      <c r="O2472" s="14" t="b">
        <v>1</v>
      </c>
      <c r="Q2472" s="14" t="b">
        <v>0</v>
      </c>
      <c r="R2472" s="14">
        <v>1</v>
      </c>
      <c r="S2472" s="14" t="s">
        <v>77</v>
      </c>
      <c r="T2472" s="14">
        <v>999</v>
      </c>
      <c r="U2472" s="14" t="s">
        <v>1401</v>
      </c>
      <c r="V2472" s="14">
        <v>31935037</v>
      </c>
      <c r="X2472" s="14" t="s">
        <v>4279</v>
      </c>
      <c r="Y2472" s="14" t="s">
        <v>215</v>
      </c>
      <c r="Z2472" s="14">
        <v>21235</v>
      </c>
      <c r="AA2472" s="14" t="s">
        <v>4280</v>
      </c>
      <c r="AB2472" s="14">
        <v>40001</v>
      </c>
      <c r="AE2472" s="14" t="s">
        <v>1400</v>
      </c>
      <c r="AF2472" s="14" t="s">
        <v>1400</v>
      </c>
      <c r="AG2472" s="14" t="s">
        <v>95</v>
      </c>
    </row>
    <row r="2473" spans="2:33">
      <c r="B2473" s="14">
        <f>10000000+INDEX(编号表!$B:$B,MATCH(H2473,编号表!$A:$A,0))*100000+INDEX(编号表!$F:$F,MATCH(D2473,编号表!$E:$E,0))*10000+INDEX(编号表!$D:$D,MATCH(AG2473,编号表!$C:$C,0))*1000+F2473</f>
        <v>11945038</v>
      </c>
      <c r="C2473" s="14" t="s">
        <v>4276</v>
      </c>
      <c r="D2473" s="14" t="s">
        <v>104</v>
      </c>
      <c r="E2473" s="14" t="s">
        <v>95</v>
      </c>
      <c r="F2473" s="14">
        <v>38</v>
      </c>
      <c r="G2473" s="14">
        <v>60</v>
      </c>
      <c r="H2473" s="14" t="s">
        <v>1400</v>
      </c>
      <c r="I2473" s="14" t="s">
        <v>75</v>
      </c>
      <c r="J2473" s="14" t="s">
        <v>201</v>
      </c>
      <c r="K2473" s="14">
        <v>1</v>
      </c>
      <c r="L2473" s="14" t="s">
        <v>1400</v>
      </c>
      <c r="N2473" s="14">
        <v>0</v>
      </c>
      <c r="O2473" s="14" t="b">
        <v>1</v>
      </c>
      <c r="Q2473" s="14" t="b">
        <v>0</v>
      </c>
      <c r="R2473" s="14">
        <v>1</v>
      </c>
      <c r="S2473" s="14" t="s">
        <v>77</v>
      </c>
      <c r="T2473" s="14">
        <v>999</v>
      </c>
      <c r="U2473" s="14" t="s">
        <v>1401</v>
      </c>
      <c r="V2473" s="14">
        <v>31945038</v>
      </c>
      <c r="X2473" s="14" t="s">
        <v>4281</v>
      </c>
      <c r="Y2473" s="14" t="s">
        <v>215</v>
      </c>
      <c r="Z2473" s="14">
        <v>21236</v>
      </c>
      <c r="AA2473" s="14" t="s">
        <v>4282</v>
      </c>
      <c r="AB2473" s="14">
        <v>40001</v>
      </c>
      <c r="AE2473" s="14" t="s">
        <v>1400</v>
      </c>
      <c r="AF2473" s="14" t="s">
        <v>1400</v>
      </c>
      <c r="AG2473" s="14" t="s">
        <v>95</v>
      </c>
    </row>
    <row r="2474" spans="2:33">
      <c r="B2474" s="14">
        <f>10000000+INDEX(编号表!$B:$B,MATCH(H2474,编号表!$A:$A,0))*100000+INDEX(编号表!$F:$F,MATCH(D2474,编号表!$E:$E,0))*10000+INDEX(编号表!$D:$D,MATCH(AG2474,编号表!$C:$C,0))*1000+F2474</f>
        <v>11925037</v>
      </c>
      <c r="C2474" s="14" t="s">
        <v>4283</v>
      </c>
      <c r="D2474" s="14" t="s">
        <v>112</v>
      </c>
      <c r="E2474" s="14" t="s">
        <v>95</v>
      </c>
      <c r="F2474" s="14">
        <v>37</v>
      </c>
      <c r="G2474" s="14">
        <v>60</v>
      </c>
      <c r="H2474" s="14" t="s">
        <v>1400</v>
      </c>
      <c r="I2474" s="14" t="s">
        <v>75</v>
      </c>
      <c r="J2474" s="14" t="s">
        <v>201</v>
      </c>
      <c r="K2474" s="14">
        <v>1</v>
      </c>
      <c r="L2474" s="14" t="s">
        <v>1400</v>
      </c>
      <c r="N2474" s="14">
        <v>0</v>
      </c>
      <c r="O2474" s="14" t="b">
        <v>1</v>
      </c>
      <c r="Q2474" s="14" t="b">
        <v>0</v>
      </c>
      <c r="R2474" s="14">
        <v>1</v>
      </c>
      <c r="S2474" s="14" t="s">
        <v>77</v>
      </c>
      <c r="T2474" s="14">
        <v>999</v>
      </c>
      <c r="U2474" s="14" t="s">
        <v>1401</v>
      </c>
      <c r="V2474" s="14">
        <v>31925037</v>
      </c>
      <c r="X2474" s="14" t="s">
        <v>4284</v>
      </c>
      <c r="Y2474" s="14" t="s">
        <v>215</v>
      </c>
      <c r="Z2474" s="14">
        <v>21237</v>
      </c>
      <c r="AA2474" s="14" t="s">
        <v>4285</v>
      </c>
      <c r="AB2474" s="14">
        <v>40001</v>
      </c>
      <c r="AE2474" s="14" t="s">
        <v>1400</v>
      </c>
      <c r="AF2474" s="14" t="s">
        <v>1400</v>
      </c>
      <c r="AG2474" s="14" t="s">
        <v>95</v>
      </c>
    </row>
    <row r="2475" spans="2:33">
      <c r="B2475" s="14">
        <f>10000000+INDEX(编号表!$B:$B,MATCH(H2475,编号表!$A:$A,0))*100000+INDEX(编号表!$F:$F,MATCH(D2475,编号表!$E:$E,0))*10000+INDEX(编号表!$D:$D,MATCH(AG2475,编号表!$C:$C,0))*1000+F2475</f>
        <v>11935038</v>
      </c>
      <c r="C2475" s="14" t="s">
        <v>4283</v>
      </c>
      <c r="D2475" s="14" t="s">
        <v>276</v>
      </c>
      <c r="E2475" s="14" t="s">
        <v>95</v>
      </c>
      <c r="F2475" s="14">
        <v>38</v>
      </c>
      <c r="G2475" s="14">
        <v>60</v>
      </c>
      <c r="H2475" s="14" t="s">
        <v>1400</v>
      </c>
      <c r="I2475" s="14" t="s">
        <v>75</v>
      </c>
      <c r="J2475" s="14" t="s">
        <v>201</v>
      </c>
      <c r="K2475" s="14">
        <v>1</v>
      </c>
      <c r="L2475" s="14" t="s">
        <v>1400</v>
      </c>
      <c r="N2475" s="14">
        <v>0</v>
      </c>
      <c r="O2475" s="14" t="b">
        <v>1</v>
      </c>
      <c r="Q2475" s="14" t="b">
        <v>0</v>
      </c>
      <c r="R2475" s="14">
        <v>1</v>
      </c>
      <c r="S2475" s="14" t="s">
        <v>77</v>
      </c>
      <c r="T2475" s="14">
        <v>999</v>
      </c>
      <c r="U2475" s="14" t="s">
        <v>1401</v>
      </c>
      <c r="V2475" s="14">
        <v>31935038</v>
      </c>
      <c r="X2475" s="14" t="s">
        <v>4286</v>
      </c>
      <c r="Y2475" s="14" t="s">
        <v>215</v>
      </c>
      <c r="Z2475" s="14">
        <v>21238</v>
      </c>
      <c r="AA2475" s="14" t="s">
        <v>4287</v>
      </c>
      <c r="AB2475" s="14">
        <v>40001</v>
      </c>
      <c r="AE2475" s="14" t="s">
        <v>1400</v>
      </c>
      <c r="AF2475" s="14" t="s">
        <v>1400</v>
      </c>
      <c r="AG2475" s="14" t="s">
        <v>95</v>
      </c>
    </row>
    <row r="2476" spans="2:33">
      <c r="B2476" s="14">
        <f>10000000+INDEX(编号表!$B:$B,MATCH(H2476,编号表!$A:$A,0))*100000+INDEX(编号表!$F:$F,MATCH(D2476,编号表!$E:$E,0))*10000+INDEX(编号表!$D:$D,MATCH(AG2476,编号表!$C:$C,0))*1000+F2476</f>
        <v>11945039</v>
      </c>
      <c r="C2476" s="14" t="s">
        <v>4283</v>
      </c>
      <c r="D2476" s="14" t="s">
        <v>104</v>
      </c>
      <c r="E2476" s="14" t="s">
        <v>95</v>
      </c>
      <c r="F2476" s="14">
        <v>39</v>
      </c>
      <c r="G2476" s="14">
        <v>60</v>
      </c>
      <c r="H2476" s="14" t="s">
        <v>1400</v>
      </c>
      <c r="I2476" s="14" t="s">
        <v>75</v>
      </c>
      <c r="J2476" s="14" t="s">
        <v>201</v>
      </c>
      <c r="K2476" s="14">
        <v>1</v>
      </c>
      <c r="L2476" s="14" t="s">
        <v>1400</v>
      </c>
      <c r="N2476" s="14">
        <v>0</v>
      </c>
      <c r="O2476" s="14" t="b">
        <v>1</v>
      </c>
      <c r="Q2476" s="14" t="b">
        <v>0</v>
      </c>
      <c r="R2476" s="14">
        <v>1</v>
      </c>
      <c r="S2476" s="14" t="s">
        <v>77</v>
      </c>
      <c r="T2476" s="14">
        <v>999</v>
      </c>
      <c r="U2476" s="14" t="s">
        <v>1401</v>
      </c>
      <c r="V2476" s="14">
        <v>31945039</v>
      </c>
      <c r="X2476" s="14" t="s">
        <v>4288</v>
      </c>
      <c r="Y2476" s="14" t="s">
        <v>215</v>
      </c>
      <c r="Z2476" s="14">
        <v>21239</v>
      </c>
      <c r="AA2476" s="14" t="s">
        <v>4289</v>
      </c>
      <c r="AB2476" s="14">
        <v>40001</v>
      </c>
      <c r="AE2476" s="14" t="s">
        <v>1400</v>
      </c>
      <c r="AF2476" s="14" t="s">
        <v>1400</v>
      </c>
      <c r="AG2476" s="14" t="s">
        <v>95</v>
      </c>
    </row>
    <row r="2477" spans="2:33">
      <c r="B2477" s="14">
        <f>10000000+INDEX(编号表!$B:$B,MATCH(H2477,编号表!$A:$A,0))*100000+INDEX(编号表!$F:$F,MATCH(D2477,编号表!$E:$E,0))*10000+INDEX(编号表!$D:$D,MATCH(AG2477,编号表!$C:$C,0))*1000+F2477</f>
        <v>11925038</v>
      </c>
      <c r="C2477" s="14" t="s">
        <v>4290</v>
      </c>
      <c r="D2477" s="14" t="s">
        <v>112</v>
      </c>
      <c r="E2477" s="14" t="s">
        <v>95</v>
      </c>
      <c r="F2477" s="14">
        <v>38</v>
      </c>
      <c r="G2477" s="14">
        <v>60</v>
      </c>
      <c r="H2477" s="14" t="s">
        <v>1400</v>
      </c>
      <c r="I2477" s="14" t="s">
        <v>75</v>
      </c>
      <c r="J2477" s="14" t="s">
        <v>201</v>
      </c>
      <c r="K2477" s="14">
        <v>1</v>
      </c>
      <c r="L2477" s="14" t="s">
        <v>1400</v>
      </c>
      <c r="N2477" s="14">
        <v>0</v>
      </c>
      <c r="O2477" s="14" t="b">
        <v>1</v>
      </c>
      <c r="Q2477" s="14" t="b">
        <v>0</v>
      </c>
      <c r="R2477" s="14">
        <v>1</v>
      </c>
      <c r="S2477" s="14" t="s">
        <v>77</v>
      </c>
      <c r="T2477" s="14">
        <v>999</v>
      </c>
      <c r="U2477" s="14" t="s">
        <v>1401</v>
      </c>
      <c r="V2477" s="14">
        <v>31925038</v>
      </c>
      <c r="X2477" s="14" t="s">
        <v>4291</v>
      </c>
      <c r="Y2477" s="14" t="s">
        <v>215</v>
      </c>
      <c r="Z2477" s="14">
        <v>21240</v>
      </c>
      <c r="AA2477" s="14" t="s">
        <v>4292</v>
      </c>
      <c r="AB2477" s="14">
        <v>40001</v>
      </c>
      <c r="AE2477" s="14" t="s">
        <v>1400</v>
      </c>
      <c r="AF2477" s="14" t="s">
        <v>1400</v>
      </c>
      <c r="AG2477" s="14" t="s">
        <v>95</v>
      </c>
    </row>
    <row r="2478" spans="2:33">
      <c r="B2478" s="14">
        <f>10000000+INDEX(编号表!$B:$B,MATCH(H2478,编号表!$A:$A,0))*100000+INDEX(编号表!$F:$F,MATCH(D2478,编号表!$E:$E,0))*10000+INDEX(编号表!$D:$D,MATCH(AG2478,编号表!$C:$C,0))*1000+F2478</f>
        <v>11935039</v>
      </c>
      <c r="C2478" s="14" t="s">
        <v>4290</v>
      </c>
      <c r="D2478" s="14" t="s">
        <v>276</v>
      </c>
      <c r="E2478" s="14" t="s">
        <v>95</v>
      </c>
      <c r="F2478" s="14">
        <v>39</v>
      </c>
      <c r="G2478" s="14">
        <v>60</v>
      </c>
      <c r="H2478" s="14" t="s">
        <v>1400</v>
      </c>
      <c r="I2478" s="14" t="s">
        <v>75</v>
      </c>
      <c r="J2478" s="14" t="s">
        <v>201</v>
      </c>
      <c r="K2478" s="14">
        <v>1</v>
      </c>
      <c r="L2478" s="14" t="s">
        <v>1400</v>
      </c>
      <c r="N2478" s="14">
        <v>0</v>
      </c>
      <c r="O2478" s="14" t="b">
        <v>1</v>
      </c>
      <c r="Q2478" s="14" t="b">
        <v>0</v>
      </c>
      <c r="R2478" s="14">
        <v>1</v>
      </c>
      <c r="S2478" s="14" t="s">
        <v>77</v>
      </c>
      <c r="T2478" s="14">
        <v>999</v>
      </c>
      <c r="U2478" s="14" t="s">
        <v>1401</v>
      </c>
      <c r="V2478" s="14">
        <v>31935039</v>
      </c>
      <c r="X2478" s="14" t="s">
        <v>4293</v>
      </c>
      <c r="Y2478" s="14" t="s">
        <v>215</v>
      </c>
      <c r="Z2478" s="14">
        <v>21241</v>
      </c>
      <c r="AA2478" s="14" t="s">
        <v>4294</v>
      </c>
      <c r="AB2478" s="14">
        <v>40001</v>
      </c>
      <c r="AE2478" s="14" t="s">
        <v>1400</v>
      </c>
      <c r="AF2478" s="14" t="s">
        <v>1400</v>
      </c>
      <c r="AG2478" s="14" t="s">
        <v>95</v>
      </c>
    </row>
    <row r="2479" spans="2:33">
      <c r="B2479" s="14">
        <f>10000000+INDEX(编号表!$B:$B,MATCH(H2479,编号表!$A:$A,0))*100000+INDEX(编号表!$F:$F,MATCH(D2479,编号表!$E:$E,0))*10000+INDEX(编号表!$D:$D,MATCH(AG2479,编号表!$C:$C,0))*1000+F2479</f>
        <v>11945040</v>
      </c>
      <c r="C2479" s="14" t="s">
        <v>4290</v>
      </c>
      <c r="D2479" s="14" t="s">
        <v>104</v>
      </c>
      <c r="E2479" s="14" t="s">
        <v>95</v>
      </c>
      <c r="F2479" s="14">
        <v>40</v>
      </c>
      <c r="G2479" s="14">
        <v>60</v>
      </c>
      <c r="H2479" s="14" t="s">
        <v>1400</v>
      </c>
      <c r="I2479" s="14" t="s">
        <v>75</v>
      </c>
      <c r="J2479" s="14" t="s">
        <v>201</v>
      </c>
      <c r="K2479" s="14">
        <v>1</v>
      </c>
      <c r="L2479" s="14" t="s">
        <v>1400</v>
      </c>
      <c r="N2479" s="14">
        <v>0</v>
      </c>
      <c r="O2479" s="14" t="b">
        <v>1</v>
      </c>
      <c r="Q2479" s="14" t="b">
        <v>0</v>
      </c>
      <c r="R2479" s="14">
        <v>1</v>
      </c>
      <c r="S2479" s="14" t="s">
        <v>77</v>
      </c>
      <c r="T2479" s="14">
        <v>999</v>
      </c>
      <c r="U2479" s="14" t="s">
        <v>1401</v>
      </c>
      <c r="V2479" s="14">
        <v>31945040</v>
      </c>
      <c r="X2479" s="14" t="s">
        <v>4295</v>
      </c>
      <c r="Y2479" s="14" t="s">
        <v>215</v>
      </c>
      <c r="Z2479" s="14">
        <v>21242</v>
      </c>
      <c r="AA2479" s="14" t="s">
        <v>4296</v>
      </c>
      <c r="AB2479" s="14">
        <v>40001</v>
      </c>
      <c r="AE2479" s="14" t="s">
        <v>1400</v>
      </c>
      <c r="AF2479" s="14" t="s">
        <v>1400</v>
      </c>
      <c r="AG2479" s="14" t="s">
        <v>95</v>
      </c>
    </row>
    <row r="2480" spans="2:33">
      <c r="B2480" s="14">
        <f>10000000+INDEX(编号表!$B:$B,MATCH(H2480,编号表!$A:$A,0))*100000+INDEX(编号表!$F:$F,MATCH(D2480,编号表!$E:$E,0))*10000+INDEX(编号表!$D:$D,MATCH(AG2480,编号表!$C:$C,0))*1000+F2480</f>
        <v>11925039</v>
      </c>
      <c r="C2480" s="14" t="s">
        <v>4297</v>
      </c>
      <c r="D2480" s="14" t="s">
        <v>112</v>
      </c>
      <c r="E2480" s="14" t="s">
        <v>95</v>
      </c>
      <c r="F2480" s="14">
        <v>39</v>
      </c>
      <c r="G2480" s="14">
        <v>60</v>
      </c>
      <c r="H2480" s="14" t="s">
        <v>1400</v>
      </c>
      <c r="I2480" s="14" t="s">
        <v>75</v>
      </c>
      <c r="J2480" s="14" t="s">
        <v>201</v>
      </c>
      <c r="K2480" s="14">
        <v>1</v>
      </c>
      <c r="L2480" s="14" t="s">
        <v>1400</v>
      </c>
      <c r="N2480" s="14">
        <v>0</v>
      </c>
      <c r="O2480" s="14" t="b">
        <v>1</v>
      </c>
      <c r="Q2480" s="14" t="b">
        <v>0</v>
      </c>
      <c r="R2480" s="14">
        <v>1</v>
      </c>
      <c r="S2480" s="14" t="s">
        <v>77</v>
      </c>
      <c r="T2480" s="14">
        <v>999</v>
      </c>
      <c r="U2480" s="14" t="s">
        <v>1401</v>
      </c>
      <c r="V2480" s="14">
        <v>31925039</v>
      </c>
      <c r="X2480" s="14" t="s">
        <v>4298</v>
      </c>
      <c r="Y2480" s="14" t="s">
        <v>215</v>
      </c>
      <c r="Z2480" s="14">
        <v>21243</v>
      </c>
      <c r="AA2480" s="14" t="s">
        <v>4299</v>
      </c>
      <c r="AB2480" s="14">
        <v>40001</v>
      </c>
      <c r="AE2480" s="14" t="s">
        <v>1400</v>
      </c>
      <c r="AF2480" s="14" t="s">
        <v>1400</v>
      </c>
      <c r="AG2480" s="14" t="s">
        <v>95</v>
      </c>
    </row>
    <row r="2481" spans="2:33">
      <c r="B2481" s="14">
        <f>10000000+INDEX(编号表!$B:$B,MATCH(H2481,编号表!$A:$A,0))*100000+INDEX(编号表!$F:$F,MATCH(D2481,编号表!$E:$E,0))*10000+INDEX(编号表!$D:$D,MATCH(AG2481,编号表!$C:$C,0))*1000+F2481</f>
        <v>11935040</v>
      </c>
      <c r="C2481" s="14" t="s">
        <v>4297</v>
      </c>
      <c r="D2481" s="14" t="s">
        <v>276</v>
      </c>
      <c r="E2481" s="14" t="s">
        <v>95</v>
      </c>
      <c r="F2481" s="14">
        <v>40</v>
      </c>
      <c r="G2481" s="14">
        <v>60</v>
      </c>
      <c r="H2481" s="14" t="s">
        <v>1400</v>
      </c>
      <c r="I2481" s="14" t="s">
        <v>75</v>
      </c>
      <c r="J2481" s="14" t="s">
        <v>201</v>
      </c>
      <c r="K2481" s="14">
        <v>1</v>
      </c>
      <c r="L2481" s="14" t="s">
        <v>1400</v>
      </c>
      <c r="N2481" s="14">
        <v>0</v>
      </c>
      <c r="O2481" s="14" t="b">
        <v>1</v>
      </c>
      <c r="Q2481" s="14" t="b">
        <v>0</v>
      </c>
      <c r="R2481" s="14">
        <v>1</v>
      </c>
      <c r="S2481" s="14" t="s">
        <v>77</v>
      </c>
      <c r="T2481" s="14">
        <v>999</v>
      </c>
      <c r="U2481" s="14" t="s">
        <v>1401</v>
      </c>
      <c r="V2481" s="14">
        <v>31935040</v>
      </c>
      <c r="X2481" s="14" t="s">
        <v>4300</v>
      </c>
      <c r="Y2481" s="14" t="s">
        <v>215</v>
      </c>
      <c r="Z2481" s="14">
        <v>21244</v>
      </c>
      <c r="AA2481" s="14" t="s">
        <v>4301</v>
      </c>
      <c r="AB2481" s="14">
        <v>40001</v>
      </c>
      <c r="AE2481" s="14" t="s">
        <v>1400</v>
      </c>
      <c r="AF2481" s="14" t="s">
        <v>1400</v>
      </c>
      <c r="AG2481" s="14" t="s">
        <v>95</v>
      </c>
    </row>
    <row r="2482" spans="2:33">
      <c r="B2482" s="14">
        <f>10000000+INDEX(编号表!$B:$B,MATCH(H2482,编号表!$A:$A,0))*100000+INDEX(编号表!$F:$F,MATCH(D2482,编号表!$E:$E,0))*10000+INDEX(编号表!$D:$D,MATCH(AG2482,编号表!$C:$C,0))*1000+F2482</f>
        <v>11945041</v>
      </c>
      <c r="C2482" s="14" t="s">
        <v>4297</v>
      </c>
      <c r="D2482" s="14" t="s">
        <v>104</v>
      </c>
      <c r="E2482" s="14" t="s">
        <v>95</v>
      </c>
      <c r="F2482" s="14">
        <v>41</v>
      </c>
      <c r="G2482" s="14">
        <v>60</v>
      </c>
      <c r="H2482" s="14" t="s">
        <v>1400</v>
      </c>
      <c r="I2482" s="14" t="s">
        <v>75</v>
      </c>
      <c r="J2482" s="14" t="s">
        <v>201</v>
      </c>
      <c r="K2482" s="14">
        <v>1</v>
      </c>
      <c r="L2482" s="14" t="s">
        <v>1400</v>
      </c>
      <c r="N2482" s="14">
        <v>0</v>
      </c>
      <c r="O2482" s="14" t="b">
        <v>1</v>
      </c>
      <c r="Q2482" s="14" t="b">
        <v>0</v>
      </c>
      <c r="R2482" s="14">
        <v>1</v>
      </c>
      <c r="S2482" s="14" t="s">
        <v>77</v>
      </c>
      <c r="T2482" s="14">
        <v>999</v>
      </c>
      <c r="U2482" s="14" t="s">
        <v>1401</v>
      </c>
      <c r="V2482" s="14">
        <v>31945041</v>
      </c>
      <c r="X2482" s="14" t="s">
        <v>4302</v>
      </c>
      <c r="Y2482" s="14" t="s">
        <v>215</v>
      </c>
      <c r="Z2482" s="14">
        <v>21245</v>
      </c>
      <c r="AA2482" s="14" t="s">
        <v>4303</v>
      </c>
      <c r="AB2482" s="14">
        <v>40001</v>
      </c>
      <c r="AE2482" s="14" t="s">
        <v>1400</v>
      </c>
      <c r="AF2482" s="14" t="s">
        <v>1400</v>
      </c>
      <c r="AG2482" s="14" t="s">
        <v>95</v>
      </c>
    </row>
    <row r="2483" spans="2:33">
      <c r="B2483" s="14">
        <f>10000000+INDEX(编号表!$B:$B,MATCH(H2483,编号表!$A:$A,0))*100000+INDEX(编号表!$F:$F,MATCH(D2483,编号表!$E:$E,0))*10000+INDEX(编号表!$D:$D,MATCH(AG2483,编号表!$C:$C,0))*1000+F2483</f>
        <v>11925040</v>
      </c>
      <c r="C2483" s="14" t="s">
        <v>4304</v>
      </c>
      <c r="D2483" s="14" t="s">
        <v>112</v>
      </c>
      <c r="E2483" s="14" t="s">
        <v>95</v>
      </c>
      <c r="F2483" s="14">
        <v>40</v>
      </c>
      <c r="G2483" s="14">
        <v>60</v>
      </c>
      <c r="H2483" s="14" t="s">
        <v>1400</v>
      </c>
      <c r="I2483" s="14" t="s">
        <v>75</v>
      </c>
      <c r="J2483" s="14" t="s">
        <v>201</v>
      </c>
      <c r="K2483" s="14">
        <v>1</v>
      </c>
      <c r="L2483" s="14" t="s">
        <v>1400</v>
      </c>
      <c r="N2483" s="14">
        <v>0</v>
      </c>
      <c r="O2483" s="14" t="b">
        <v>1</v>
      </c>
      <c r="Q2483" s="14" t="b">
        <v>0</v>
      </c>
      <c r="R2483" s="14">
        <v>1</v>
      </c>
      <c r="S2483" s="14" t="s">
        <v>77</v>
      </c>
      <c r="T2483" s="14">
        <v>999</v>
      </c>
      <c r="U2483" s="14" t="s">
        <v>1401</v>
      </c>
      <c r="V2483" s="14">
        <v>31925040</v>
      </c>
      <c r="X2483" s="14" t="s">
        <v>4305</v>
      </c>
      <c r="Y2483" s="14" t="s">
        <v>215</v>
      </c>
      <c r="Z2483" s="14">
        <v>21246</v>
      </c>
      <c r="AA2483" s="14" t="s">
        <v>4306</v>
      </c>
      <c r="AB2483" s="14">
        <v>40001</v>
      </c>
      <c r="AE2483" s="14" t="s">
        <v>1400</v>
      </c>
      <c r="AF2483" s="14" t="s">
        <v>1400</v>
      </c>
      <c r="AG2483" s="14" t="s">
        <v>95</v>
      </c>
    </row>
    <row r="2484" spans="2:33">
      <c r="B2484" s="14">
        <f>10000000+INDEX(编号表!$B:$B,MATCH(H2484,编号表!$A:$A,0))*100000+INDEX(编号表!$F:$F,MATCH(D2484,编号表!$E:$E,0))*10000+INDEX(编号表!$D:$D,MATCH(AG2484,编号表!$C:$C,0))*1000+F2484</f>
        <v>11935041</v>
      </c>
      <c r="C2484" s="14" t="s">
        <v>4304</v>
      </c>
      <c r="D2484" s="14" t="s">
        <v>276</v>
      </c>
      <c r="E2484" s="14" t="s">
        <v>95</v>
      </c>
      <c r="F2484" s="14">
        <v>41</v>
      </c>
      <c r="G2484" s="14">
        <v>60</v>
      </c>
      <c r="H2484" s="14" t="s">
        <v>1400</v>
      </c>
      <c r="I2484" s="14" t="s">
        <v>75</v>
      </c>
      <c r="J2484" s="14" t="s">
        <v>201</v>
      </c>
      <c r="K2484" s="14">
        <v>1</v>
      </c>
      <c r="L2484" s="14" t="s">
        <v>1400</v>
      </c>
      <c r="N2484" s="14">
        <v>0</v>
      </c>
      <c r="O2484" s="14" t="b">
        <v>1</v>
      </c>
      <c r="Q2484" s="14" t="b">
        <v>0</v>
      </c>
      <c r="R2484" s="14">
        <v>1</v>
      </c>
      <c r="S2484" s="14" t="s">
        <v>77</v>
      </c>
      <c r="T2484" s="14">
        <v>999</v>
      </c>
      <c r="U2484" s="14" t="s">
        <v>1401</v>
      </c>
      <c r="V2484" s="14">
        <v>31935041</v>
      </c>
      <c r="X2484" s="14" t="s">
        <v>4307</v>
      </c>
      <c r="Y2484" s="14" t="s">
        <v>215</v>
      </c>
      <c r="Z2484" s="14">
        <v>21247</v>
      </c>
      <c r="AA2484" s="14" t="s">
        <v>4308</v>
      </c>
      <c r="AB2484" s="14">
        <v>40001</v>
      </c>
      <c r="AE2484" s="14" t="s">
        <v>1400</v>
      </c>
      <c r="AF2484" s="14" t="s">
        <v>1400</v>
      </c>
      <c r="AG2484" s="14" t="s">
        <v>95</v>
      </c>
    </row>
    <row r="2485" spans="2:33">
      <c r="B2485" s="14">
        <f>10000000+INDEX(编号表!$B:$B,MATCH(H2485,编号表!$A:$A,0))*100000+INDEX(编号表!$F:$F,MATCH(D2485,编号表!$E:$E,0))*10000+INDEX(编号表!$D:$D,MATCH(AG2485,编号表!$C:$C,0))*1000+F2485</f>
        <v>11945042</v>
      </c>
      <c r="C2485" s="14" t="s">
        <v>4304</v>
      </c>
      <c r="D2485" s="14" t="s">
        <v>104</v>
      </c>
      <c r="E2485" s="14" t="s">
        <v>95</v>
      </c>
      <c r="F2485" s="14">
        <v>42</v>
      </c>
      <c r="G2485" s="14">
        <v>60</v>
      </c>
      <c r="H2485" s="14" t="s">
        <v>1400</v>
      </c>
      <c r="I2485" s="14" t="s">
        <v>75</v>
      </c>
      <c r="J2485" s="14" t="s">
        <v>201</v>
      </c>
      <c r="K2485" s="14">
        <v>1</v>
      </c>
      <c r="L2485" s="14" t="s">
        <v>1400</v>
      </c>
      <c r="N2485" s="14">
        <v>0</v>
      </c>
      <c r="O2485" s="14" t="b">
        <v>1</v>
      </c>
      <c r="Q2485" s="14" t="b">
        <v>0</v>
      </c>
      <c r="R2485" s="14">
        <v>1</v>
      </c>
      <c r="S2485" s="14" t="s">
        <v>77</v>
      </c>
      <c r="T2485" s="14">
        <v>999</v>
      </c>
      <c r="U2485" s="14" t="s">
        <v>1401</v>
      </c>
      <c r="V2485" s="14">
        <v>31945042</v>
      </c>
      <c r="X2485" s="14" t="s">
        <v>4309</v>
      </c>
      <c r="Y2485" s="14" t="s">
        <v>215</v>
      </c>
      <c r="Z2485" s="14">
        <v>21248</v>
      </c>
      <c r="AA2485" s="14" t="s">
        <v>4310</v>
      </c>
      <c r="AB2485" s="14">
        <v>40001</v>
      </c>
      <c r="AE2485" s="14" t="s">
        <v>1400</v>
      </c>
      <c r="AF2485" s="14" t="s">
        <v>1400</v>
      </c>
      <c r="AG2485" s="14" t="s">
        <v>95</v>
      </c>
    </row>
    <row r="2486" spans="2:33">
      <c r="B2486" s="14">
        <f>10000000+INDEX(编号表!$B:$B,MATCH(H2486,编号表!$A:$A,0))*100000+INDEX(编号表!$F:$F,MATCH(D2486,编号表!$E:$E,0))*10000+INDEX(编号表!$D:$D,MATCH(AG2486,编号表!$C:$C,0))*1000+F2486</f>
        <v>11925041</v>
      </c>
      <c r="C2486" s="14" t="s">
        <v>4311</v>
      </c>
      <c r="D2486" s="14" t="s">
        <v>112</v>
      </c>
      <c r="E2486" s="14" t="s">
        <v>95</v>
      </c>
      <c r="F2486" s="14">
        <v>41</v>
      </c>
      <c r="G2486" s="14">
        <v>60</v>
      </c>
      <c r="H2486" s="14" t="s">
        <v>1400</v>
      </c>
      <c r="I2486" s="14" t="s">
        <v>75</v>
      </c>
      <c r="J2486" s="14" t="s">
        <v>201</v>
      </c>
      <c r="K2486" s="14">
        <v>1</v>
      </c>
      <c r="L2486" s="14" t="s">
        <v>1400</v>
      </c>
      <c r="N2486" s="14">
        <v>0</v>
      </c>
      <c r="O2486" s="14" t="b">
        <v>1</v>
      </c>
      <c r="Q2486" s="14" t="b">
        <v>0</v>
      </c>
      <c r="R2486" s="14">
        <v>1</v>
      </c>
      <c r="S2486" s="14" t="s">
        <v>77</v>
      </c>
      <c r="T2486" s="14">
        <v>999</v>
      </c>
      <c r="U2486" s="14" t="s">
        <v>1401</v>
      </c>
      <c r="V2486" s="14">
        <v>31925041</v>
      </c>
      <c r="X2486" s="14" t="s">
        <v>4312</v>
      </c>
      <c r="Y2486" s="14" t="s">
        <v>215</v>
      </c>
      <c r="Z2486" s="14">
        <v>21249</v>
      </c>
      <c r="AA2486" s="14" t="s">
        <v>4313</v>
      </c>
      <c r="AB2486" s="14">
        <v>40001</v>
      </c>
      <c r="AE2486" s="14" t="s">
        <v>1400</v>
      </c>
      <c r="AF2486" s="14" t="s">
        <v>1400</v>
      </c>
      <c r="AG2486" s="14" t="s">
        <v>95</v>
      </c>
    </row>
    <row r="2487" spans="2:33">
      <c r="B2487" s="14">
        <f>10000000+INDEX(编号表!$B:$B,MATCH(H2487,编号表!$A:$A,0))*100000+INDEX(编号表!$F:$F,MATCH(D2487,编号表!$E:$E,0))*10000+INDEX(编号表!$D:$D,MATCH(AG2487,编号表!$C:$C,0))*1000+F2487</f>
        <v>11935042</v>
      </c>
      <c r="C2487" s="14" t="s">
        <v>4311</v>
      </c>
      <c r="D2487" s="14" t="s">
        <v>276</v>
      </c>
      <c r="E2487" s="14" t="s">
        <v>95</v>
      </c>
      <c r="F2487" s="14">
        <v>42</v>
      </c>
      <c r="G2487" s="14">
        <v>60</v>
      </c>
      <c r="H2487" s="14" t="s">
        <v>1400</v>
      </c>
      <c r="I2487" s="14" t="s">
        <v>75</v>
      </c>
      <c r="J2487" s="14" t="s">
        <v>201</v>
      </c>
      <c r="K2487" s="14">
        <v>1</v>
      </c>
      <c r="L2487" s="14" t="s">
        <v>1400</v>
      </c>
      <c r="N2487" s="14">
        <v>0</v>
      </c>
      <c r="O2487" s="14" t="b">
        <v>1</v>
      </c>
      <c r="Q2487" s="14" t="b">
        <v>0</v>
      </c>
      <c r="R2487" s="14">
        <v>1</v>
      </c>
      <c r="S2487" s="14" t="s">
        <v>77</v>
      </c>
      <c r="T2487" s="14">
        <v>999</v>
      </c>
      <c r="U2487" s="14" t="s">
        <v>1401</v>
      </c>
      <c r="V2487" s="14">
        <v>31935042</v>
      </c>
      <c r="X2487" s="14" t="s">
        <v>4314</v>
      </c>
      <c r="Y2487" s="14" t="s">
        <v>215</v>
      </c>
      <c r="Z2487" s="14">
        <v>21250</v>
      </c>
      <c r="AA2487" s="14" t="s">
        <v>4315</v>
      </c>
      <c r="AB2487" s="14">
        <v>40001</v>
      </c>
      <c r="AE2487" s="14" t="s">
        <v>1400</v>
      </c>
      <c r="AF2487" s="14" t="s">
        <v>1400</v>
      </c>
      <c r="AG2487" s="14" t="s">
        <v>95</v>
      </c>
    </row>
    <row r="2488" spans="2:33">
      <c r="B2488" s="14">
        <f>10000000+INDEX(编号表!$B:$B,MATCH(H2488,编号表!$A:$A,0))*100000+INDEX(编号表!$F:$F,MATCH(D2488,编号表!$E:$E,0))*10000+INDEX(编号表!$D:$D,MATCH(AG2488,编号表!$C:$C,0))*1000+F2488</f>
        <v>11945043</v>
      </c>
      <c r="C2488" s="14" t="s">
        <v>4311</v>
      </c>
      <c r="D2488" s="14" t="s">
        <v>104</v>
      </c>
      <c r="E2488" s="14" t="s">
        <v>95</v>
      </c>
      <c r="F2488" s="14">
        <v>43</v>
      </c>
      <c r="G2488" s="14">
        <v>60</v>
      </c>
      <c r="H2488" s="14" t="s">
        <v>1400</v>
      </c>
      <c r="I2488" s="14" t="s">
        <v>75</v>
      </c>
      <c r="J2488" s="14" t="s">
        <v>201</v>
      </c>
      <c r="K2488" s="14">
        <v>1</v>
      </c>
      <c r="L2488" s="14" t="s">
        <v>1400</v>
      </c>
      <c r="N2488" s="14">
        <v>0</v>
      </c>
      <c r="O2488" s="14" t="b">
        <v>1</v>
      </c>
      <c r="Q2488" s="14" t="b">
        <v>0</v>
      </c>
      <c r="R2488" s="14">
        <v>1</v>
      </c>
      <c r="S2488" s="14" t="s">
        <v>77</v>
      </c>
      <c r="T2488" s="14">
        <v>999</v>
      </c>
      <c r="U2488" s="14" t="s">
        <v>1401</v>
      </c>
      <c r="V2488" s="14">
        <v>31945043</v>
      </c>
      <c r="X2488" s="14" t="s">
        <v>4316</v>
      </c>
      <c r="Y2488" s="14" t="s">
        <v>215</v>
      </c>
      <c r="Z2488" s="14">
        <v>21251</v>
      </c>
      <c r="AA2488" s="14" t="s">
        <v>4317</v>
      </c>
      <c r="AB2488" s="14">
        <v>40001</v>
      </c>
      <c r="AE2488" s="14" t="s">
        <v>1400</v>
      </c>
      <c r="AF2488" s="14" t="s">
        <v>1400</v>
      </c>
      <c r="AG2488" s="14" t="s">
        <v>95</v>
      </c>
    </row>
    <row r="2489" spans="2:33">
      <c r="B2489" s="14">
        <f>10000000+INDEX(编号表!$B:$B,MATCH(H2489,编号表!$A:$A,0))*100000+INDEX(编号表!$F:$F,MATCH(D2489,编号表!$E:$E,0))*10000+INDEX(编号表!$D:$D,MATCH(AG2489,编号表!$C:$C,0))*1000+F2489</f>
        <v>11925042</v>
      </c>
      <c r="C2489" s="14" t="s">
        <v>4318</v>
      </c>
      <c r="D2489" s="14" t="s">
        <v>112</v>
      </c>
      <c r="E2489" s="14" t="s">
        <v>95</v>
      </c>
      <c r="F2489" s="14">
        <v>42</v>
      </c>
      <c r="G2489" s="14">
        <v>60</v>
      </c>
      <c r="H2489" s="14" t="s">
        <v>1400</v>
      </c>
      <c r="I2489" s="14" t="s">
        <v>75</v>
      </c>
      <c r="J2489" s="14" t="s">
        <v>201</v>
      </c>
      <c r="K2489" s="14">
        <v>1</v>
      </c>
      <c r="L2489" s="14" t="s">
        <v>1400</v>
      </c>
      <c r="N2489" s="14">
        <v>0</v>
      </c>
      <c r="O2489" s="14" t="b">
        <v>1</v>
      </c>
      <c r="Q2489" s="14" t="b">
        <v>0</v>
      </c>
      <c r="R2489" s="14">
        <v>1</v>
      </c>
      <c r="S2489" s="14" t="s">
        <v>77</v>
      </c>
      <c r="T2489" s="14">
        <v>999</v>
      </c>
      <c r="U2489" s="14" t="s">
        <v>1401</v>
      </c>
      <c r="V2489" s="14">
        <v>31925042</v>
      </c>
      <c r="X2489" s="14" t="s">
        <v>4319</v>
      </c>
      <c r="Y2489" s="14" t="s">
        <v>215</v>
      </c>
      <c r="Z2489" s="14">
        <v>21252</v>
      </c>
      <c r="AA2489" s="14" t="s">
        <v>4320</v>
      </c>
      <c r="AB2489" s="14">
        <v>40001</v>
      </c>
      <c r="AE2489" s="14" t="s">
        <v>1400</v>
      </c>
      <c r="AF2489" s="14" t="s">
        <v>1400</v>
      </c>
      <c r="AG2489" s="14" t="s">
        <v>95</v>
      </c>
    </row>
    <row r="2490" spans="2:33">
      <c r="B2490" s="14">
        <f>10000000+INDEX(编号表!$B:$B,MATCH(H2490,编号表!$A:$A,0))*100000+INDEX(编号表!$F:$F,MATCH(D2490,编号表!$E:$E,0))*10000+INDEX(编号表!$D:$D,MATCH(AG2490,编号表!$C:$C,0))*1000+F2490</f>
        <v>11935043</v>
      </c>
      <c r="C2490" s="14" t="s">
        <v>4318</v>
      </c>
      <c r="D2490" s="14" t="s">
        <v>276</v>
      </c>
      <c r="E2490" s="14" t="s">
        <v>95</v>
      </c>
      <c r="F2490" s="14">
        <v>43</v>
      </c>
      <c r="G2490" s="14">
        <v>60</v>
      </c>
      <c r="H2490" s="14" t="s">
        <v>1400</v>
      </c>
      <c r="I2490" s="14" t="s">
        <v>75</v>
      </c>
      <c r="J2490" s="14" t="s">
        <v>201</v>
      </c>
      <c r="K2490" s="14">
        <v>1</v>
      </c>
      <c r="L2490" s="14" t="s">
        <v>1400</v>
      </c>
      <c r="N2490" s="14">
        <v>0</v>
      </c>
      <c r="O2490" s="14" t="b">
        <v>1</v>
      </c>
      <c r="Q2490" s="14" t="b">
        <v>0</v>
      </c>
      <c r="R2490" s="14">
        <v>1</v>
      </c>
      <c r="S2490" s="14" t="s">
        <v>77</v>
      </c>
      <c r="T2490" s="14">
        <v>999</v>
      </c>
      <c r="U2490" s="14" t="s">
        <v>1401</v>
      </c>
      <c r="V2490" s="14">
        <v>31935043</v>
      </c>
      <c r="X2490" s="14" t="s">
        <v>4321</v>
      </c>
      <c r="Y2490" s="14" t="s">
        <v>215</v>
      </c>
      <c r="Z2490" s="14">
        <v>21253</v>
      </c>
      <c r="AA2490" s="14" t="s">
        <v>4322</v>
      </c>
      <c r="AB2490" s="14">
        <v>40001</v>
      </c>
      <c r="AE2490" s="14" t="s">
        <v>1400</v>
      </c>
      <c r="AF2490" s="14" t="s">
        <v>1400</v>
      </c>
      <c r="AG2490" s="14" t="s">
        <v>95</v>
      </c>
    </row>
    <row r="2491" spans="2:33">
      <c r="B2491" s="14">
        <f>10000000+INDEX(编号表!$B:$B,MATCH(H2491,编号表!$A:$A,0))*100000+INDEX(编号表!$F:$F,MATCH(D2491,编号表!$E:$E,0))*10000+INDEX(编号表!$D:$D,MATCH(AG2491,编号表!$C:$C,0))*1000+F2491</f>
        <v>11945044</v>
      </c>
      <c r="C2491" s="14" t="s">
        <v>4318</v>
      </c>
      <c r="D2491" s="14" t="s">
        <v>104</v>
      </c>
      <c r="E2491" s="14" t="s">
        <v>95</v>
      </c>
      <c r="F2491" s="14">
        <v>44</v>
      </c>
      <c r="G2491" s="14">
        <v>60</v>
      </c>
      <c r="H2491" s="14" t="s">
        <v>1400</v>
      </c>
      <c r="I2491" s="14" t="s">
        <v>75</v>
      </c>
      <c r="J2491" s="14" t="s">
        <v>201</v>
      </c>
      <c r="K2491" s="14">
        <v>1</v>
      </c>
      <c r="L2491" s="14" t="s">
        <v>1400</v>
      </c>
      <c r="N2491" s="14">
        <v>0</v>
      </c>
      <c r="O2491" s="14" t="b">
        <v>1</v>
      </c>
      <c r="Q2491" s="14" t="b">
        <v>0</v>
      </c>
      <c r="R2491" s="14">
        <v>1</v>
      </c>
      <c r="S2491" s="14" t="s">
        <v>77</v>
      </c>
      <c r="T2491" s="14">
        <v>999</v>
      </c>
      <c r="U2491" s="14" t="s">
        <v>1401</v>
      </c>
      <c r="V2491" s="14">
        <v>31945044</v>
      </c>
      <c r="X2491" s="14" t="s">
        <v>4323</v>
      </c>
      <c r="Y2491" s="14" t="s">
        <v>215</v>
      </c>
      <c r="Z2491" s="14">
        <v>21254</v>
      </c>
      <c r="AA2491" s="14" t="s">
        <v>4324</v>
      </c>
      <c r="AB2491" s="14">
        <v>40001</v>
      </c>
      <c r="AE2491" s="14" t="s">
        <v>1400</v>
      </c>
      <c r="AF2491" s="14" t="s">
        <v>1400</v>
      </c>
      <c r="AG2491" s="14" t="s">
        <v>95</v>
      </c>
    </row>
    <row r="2492" spans="2:33">
      <c r="B2492" s="14">
        <f>10000000+INDEX(编号表!$B:$B,MATCH(H2492,编号表!$A:$A,0))*100000+INDEX(编号表!$F:$F,MATCH(D2492,编号表!$E:$E,0))*10000+INDEX(编号表!$D:$D,MATCH(AG2492,编号表!$C:$C,0))*1000+F2492</f>
        <v>11925043</v>
      </c>
      <c r="C2492" s="14" t="s">
        <v>4325</v>
      </c>
      <c r="D2492" s="14" t="s">
        <v>112</v>
      </c>
      <c r="E2492" s="14" t="s">
        <v>95</v>
      </c>
      <c r="F2492" s="14">
        <v>43</v>
      </c>
      <c r="G2492" s="14">
        <v>60</v>
      </c>
      <c r="H2492" s="14" t="s">
        <v>1400</v>
      </c>
      <c r="I2492" s="14" t="s">
        <v>75</v>
      </c>
      <c r="J2492" s="14" t="s">
        <v>201</v>
      </c>
      <c r="K2492" s="14">
        <v>1</v>
      </c>
      <c r="L2492" s="14" t="s">
        <v>1400</v>
      </c>
      <c r="N2492" s="14">
        <v>0</v>
      </c>
      <c r="O2492" s="14" t="b">
        <v>1</v>
      </c>
      <c r="Q2492" s="14" t="b">
        <v>0</v>
      </c>
      <c r="R2492" s="14">
        <v>1</v>
      </c>
      <c r="S2492" s="14" t="s">
        <v>77</v>
      </c>
      <c r="T2492" s="14">
        <v>999</v>
      </c>
      <c r="U2492" s="14" t="s">
        <v>1401</v>
      </c>
      <c r="V2492" s="14">
        <v>31925043</v>
      </c>
      <c r="X2492" s="14" t="s">
        <v>4326</v>
      </c>
      <c r="Y2492" s="14" t="s">
        <v>215</v>
      </c>
      <c r="Z2492" s="14">
        <v>21255</v>
      </c>
      <c r="AA2492" s="14" t="s">
        <v>4327</v>
      </c>
      <c r="AB2492" s="14">
        <v>40001</v>
      </c>
      <c r="AE2492" s="14" t="s">
        <v>1400</v>
      </c>
      <c r="AF2492" s="14" t="s">
        <v>1400</v>
      </c>
      <c r="AG2492" s="14" t="s">
        <v>95</v>
      </c>
    </row>
    <row r="2493" spans="2:33">
      <c r="B2493" s="14">
        <f>10000000+INDEX(编号表!$B:$B,MATCH(H2493,编号表!$A:$A,0))*100000+INDEX(编号表!$F:$F,MATCH(D2493,编号表!$E:$E,0))*10000+INDEX(编号表!$D:$D,MATCH(AG2493,编号表!$C:$C,0))*1000+F2493</f>
        <v>11935044</v>
      </c>
      <c r="C2493" s="14" t="s">
        <v>4325</v>
      </c>
      <c r="D2493" s="14" t="s">
        <v>276</v>
      </c>
      <c r="E2493" s="14" t="s">
        <v>95</v>
      </c>
      <c r="F2493" s="14">
        <v>44</v>
      </c>
      <c r="G2493" s="14">
        <v>60</v>
      </c>
      <c r="H2493" s="14" t="s">
        <v>1400</v>
      </c>
      <c r="I2493" s="14" t="s">
        <v>75</v>
      </c>
      <c r="J2493" s="14" t="s">
        <v>201</v>
      </c>
      <c r="K2493" s="14">
        <v>1</v>
      </c>
      <c r="L2493" s="14" t="s">
        <v>1400</v>
      </c>
      <c r="N2493" s="14">
        <v>0</v>
      </c>
      <c r="O2493" s="14" t="b">
        <v>1</v>
      </c>
      <c r="Q2493" s="14" t="b">
        <v>0</v>
      </c>
      <c r="R2493" s="14">
        <v>1</v>
      </c>
      <c r="S2493" s="14" t="s">
        <v>77</v>
      </c>
      <c r="T2493" s="14">
        <v>999</v>
      </c>
      <c r="U2493" s="14" t="s">
        <v>1401</v>
      </c>
      <c r="V2493" s="14">
        <v>31935044</v>
      </c>
      <c r="X2493" s="14" t="s">
        <v>4328</v>
      </c>
      <c r="Y2493" s="14" t="s">
        <v>215</v>
      </c>
      <c r="Z2493" s="14">
        <v>21256</v>
      </c>
      <c r="AA2493" s="14" t="s">
        <v>4329</v>
      </c>
      <c r="AB2493" s="14">
        <v>40001</v>
      </c>
      <c r="AE2493" s="14" t="s">
        <v>1400</v>
      </c>
      <c r="AF2493" s="14" t="s">
        <v>1400</v>
      </c>
      <c r="AG2493" s="14" t="s">
        <v>95</v>
      </c>
    </row>
    <row r="2494" spans="2:33">
      <c r="B2494" s="14">
        <f>10000000+INDEX(编号表!$B:$B,MATCH(H2494,编号表!$A:$A,0))*100000+INDEX(编号表!$F:$F,MATCH(D2494,编号表!$E:$E,0))*10000+INDEX(编号表!$D:$D,MATCH(AG2494,编号表!$C:$C,0))*1000+F2494</f>
        <v>11945045</v>
      </c>
      <c r="C2494" s="14" t="s">
        <v>4325</v>
      </c>
      <c r="D2494" s="14" t="s">
        <v>104</v>
      </c>
      <c r="E2494" s="14" t="s">
        <v>95</v>
      </c>
      <c r="F2494" s="14">
        <v>45</v>
      </c>
      <c r="G2494" s="14">
        <v>60</v>
      </c>
      <c r="H2494" s="14" t="s">
        <v>1400</v>
      </c>
      <c r="I2494" s="14" t="s">
        <v>75</v>
      </c>
      <c r="J2494" s="14" t="s">
        <v>201</v>
      </c>
      <c r="K2494" s="14">
        <v>1</v>
      </c>
      <c r="L2494" s="14" t="s">
        <v>1400</v>
      </c>
      <c r="N2494" s="14">
        <v>0</v>
      </c>
      <c r="O2494" s="14" t="b">
        <v>1</v>
      </c>
      <c r="Q2494" s="14" t="b">
        <v>0</v>
      </c>
      <c r="R2494" s="14">
        <v>1</v>
      </c>
      <c r="S2494" s="14" t="s">
        <v>77</v>
      </c>
      <c r="T2494" s="14">
        <v>999</v>
      </c>
      <c r="U2494" s="14" t="s">
        <v>1401</v>
      </c>
      <c r="V2494" s="14">
        <v>31945045</v>
      </c>
      <c r="X2494" s="14" t="s">
        <v>4330</v>
      </c>
      <c r="Y2494" s="14" t="s">
        <v>215</v>
      </c>
      <c r="Z2494" s="14">
        <v>21257</v>
      </c>
      <c r="AA2494" s="14" t="s">
        <v>4331</v>
      </c>
      <c r="AB2494" s="14">
        <v>40001</v>
      </c>
      <c r="AE2494" s="14" t="s">
        <v>1400</v>
      </c>
      <c r="AF2494" s="14" t="s">
        <v>1400</v>
      </c>
      <c r="AG2494" s="14" t="s">
        <v>95</v>
      </c>
    </row>
    <row r="2495" spans="2:33">
      <c r="B2495" s="14">
        <f>10000000+INDEX(编号表!$B:$B,MATCH(H2495,编号表!$A:$A,0))*100000+INDEX(编号表!$F:$F,MATCH(D2495,编号表!$E:$E,0))*10000+INDEX(编号表!$D:$D,MATCH(AG2495,编号表!$C:$C,0))*1000+F2495</f>
        <v>11925044</v>
      </c>
      <c r="C2495" s="14" t="s">
        <v>4332</v>
      </c>
      <c r="D2495" s="14" t="s">
        <v>112</v>
      </c>
      <c r="E2495" s="14" t="s">
        <v>95</v>
      </c>
      <c r="F2495" s="14">
        <v>44</v>
      </c>
      <c r="G2495" s="14">
        <v>60</v>
      </c>
      <c r="H2495" s="14" t="s">
        <v>1400</v>
      </c>
      <c r="I2495" s="14" t="s">
        <v>75</v>
      </c>
      <c r="J2495" s="14" t="s">
        <v>201</v>
      </c>
      <c r="K2495" s="14">
        <v>1</v>
      </c>
      <c r="L2495" s="14" t="s">
        <v>1400</v>
      </c>
      <c r="N2495" s="14">
        <v>0</v>
      </c>
      <c r="O2495" s="14" t="b">
        <v>1</v>
      </c>
      <c r="Q2495" s="14" t="b">
        <v>0</v>
      </c>
      <c r="R2495" s="14">
        <v>1</v>
      </c>
      <c r="S2495" s="14" t="s">
        <v>77</v>
      </c>
      <c r="T2495" s="14">
        <v>999</v>
      </c>
      <c r="U2495" s="14" t="s">
        <v>1401</v>
      </c>
      <c r="V2495" s="14">
        <v>31925044</v>
      </c>
      <c r="X2495" s="14" t="s">
        <v>4333</v>
      </c>
      <c r="Y2495" s="14" t="s">
        <v>215</v>
      </c>
      <c r="Z2495" s="14">
        <v>21258</v>
      </c>
      <c r="AA2495" s="14" t="s">
        <v>4334</v>
      </c>
      <c r="AB2495" s="14">
        <v>40001</v>
      </c>
      <c r="AE2495" s="14" t="s">
        <v>1400</v>
      </c>
      <c r="AF2495" s="14" t="s">
        <v>1400</v>
      </c>
      <c r="AG2495" s="14" t="s">
        <v>95</v>
      </c>
    </row>
    <row r="2496" spans="2:33">
      <c r="B2496" s="14">
        <f>10000000+INDEX(编号表!$B:$B,MATCH(H2496,编号表!$A:$A,0))*100000+INDEX(编号表!$F:$F,MATCH(D2496,编号表!$E:$E,0))*10000+INDEX(编号表!$D:$D,MATCH(AG2496,编号表!$C:$C,0))*1000+F2496</f>
        <v>11935045</v>
      </c>
      <c r="C2496" s="14" t="s">
        <v>4332</v>
      </c>
      <c r="D2496" s="14" t="s">
        <v>276</v>
      </c>
      <c r="E2496" s="14" t="s">
        <v>95</v>
      </c>
      <c r="F2496" s="14">
        <v>45</v>
      </c>
      <c r="G2496" s="14">
        <v>60</v>
      </c>
      <c r="H2496" s="14" t="s">
        <v>1400</v>
      </c>
      <c r="I2496" s="14" t="s">
        <v>75</v>
      </c>
      <c r="J2496" s="14" t="s">
        <v>201</v>
      </c>
      <c r="K2496" s="14">
        <v>1</v>
      </c>
      <c r="L2496" s="14" t="s">
        <v>1400</v>
      </c>
      <c r="N2496" s="14">
        <v>0</v>
      </c>
      <c r="O2496" s="14" t="b">
        <v>1</v>
      </c>
      <c r="Q2496" s="14" t="b">
        <v>0</v>
      </c>
      <c r="R2496" s="14">
        <v>1</v>
      </c>
      <c r="S2496" s="14" t="s">
        <v>77</v>
      </c>
      <c r="T2496" s="14">
        <v>999</v>
      </c>
      <c r="U2496" s="14" t="s">
        <v>1401</v>
      </c>
      <c r="V2496" s="14">
        <v>31935045</v>
      </c>
      <c r="X2496" s="14" t="s">
        <v>4335</v>
      </c>
      <c r="Y2496" s="14" t="s">
        <v>215</v>
      </c>
      <c r="Z2496" s="14">
        <v>21259</v>
      </c>
      <c r="AA2496" s="14" t="s">
        <v>4336</v>
      </c>
      <c r="AB2496" s="14">
        <v>40001</v>
      </c>
      <c r="AE2496" s="14" t="s">
        <v>1400</v>
      </c>
      <c r="AF2496" s="14" t="s">
        <v>1400</v>
      </c>
      <c r="AG2496" s="14" t="s">
        <v>95</v>
      </c>
    </row>
    <row r="2497" spans="2:33">
      <c r="B2497" s="14">
        <f>10000000+INDEX(编号表!$B:$B,MATCH(H2497,编号表!$A:$A,0))*100000+INDEX(编号表!$F:$F,MATCH(D2497,编号表!$E:$E,0))*10000+INDEX(编号表!$D:$D,MATCH(AG2497,编号表!$C:$C,0))*1000+F2497</f>
        <v>11945046</v>
      </c>
      <c r="C2497" s="14" t="s">
        <v>4332</v>
      </c>
      <c r="D2497" s="14" t="s">
        <v>104</v>
      </c>
      <c r="E2497" s="14" t="s">
        <v>95</v>
      </c>
      <c r="F2497" s="14">
        <v>46</v>
      </c>
      <c r="G2497" s="14">
        <v>60</v>
      </c>
      <c r="H2497" s="14" t="s">
        <v>1400</v>
      </c>
      <c r="I2497" s="14" t="s">
        <v>75</v>
      </c>
      <c r="J2497" s="14" t="s">
        <v>201</v>
      </c>
      <c r="K2497" s="14">
        <v>1</v>
      </c>
      <c r="L2497" s="14" t="s">
        <v>1400</v>
      </c>
      <c r="N2497" s="14">
        <v>0</v>
      </c>
      <c r="O2497" s="14" t="b">
        <v>1</v>
      </c>
      <c r="Q2497" s="14" t="b">
        <v>0</v>
      </c>
      <c r="R2497" s="14">
        <v>1</v>
      </c>
      <c r="S2497" s="14" t="s">
        <v>77</v>
      </c>
      <c r="T2497" s="14">
        <v>999</v>
      </c>
      <c r="U2497" s="14" t="s">
        <v>1401</v>
      </c>
      <c r="V2497" s="14">
        <v>31945046</v>
      </c>
      <c r="X2497" s="14" t="s">
        <v>4337</v>
      </c>
      <c r="Y2497" s="14" t="s">
        <v>215</v>
      </c>
      <c r="Z2497" s="14">
        <v>21260</v>
      </c>
      <c r="AA2497" s="14" t="s">
        <v>4338</v>
      </c>
      <c r="AB2497" s="14">
        <v>40001</v>
      </c>
      <c r="AE2497" s="14" t="s">
        <v>1400</v>
      </c>
      <c r="AF2497" s="14" t="s">
        <v>1400</v>
      </c>
      <c r="AG2497" s="14" t="s">
        <v>95</v>
      </c>
    </row>
    <row r="2498" spans="2:33">
      <c r="B2498" s="14">
        <f>10000000+INDEX(编号表!$B:$B,MATCH(H2498,编号表!$A:$A,0))*100000+INDEX(编号表!$F:$F,MATCH(D2498,编号表!$E:$E,0))*10000+INDEX(编号表!$D:$D,MATCH(AG2498,编号表!$C:$C,0))*1000+F2498</f>
        <v>11925045</v>
      </c>
      <c r="C2498" s="14" t="s">
        <v>4339</v>
      </c>
      <c r="D2498" s="14" t="s">
        <v>112</v>
      </c>
      <c r="E2498" s="14" t="s">
        <v>95</v>
      </c>
      <c r="F2498" s="14">
        <v>45</v>
      </c>
      <c r="G2498" s="14">
        <v>60</v>
      </c>
      <c r="H2498" s="14" t="s">
        <v>1400</v>
      </c>
      <c r="I2498" s="14" t="s">
        <v>75</v>
      </c>
      <c r="J2498" s="14" t="s">
        <v>201</v>
      </c>
      <c r="K2498" s="14">
        <v>1</v>
      </c>
      <c r="L2498" s="14" t="s">
        <v>1400</v>
      </c>
      <c r="N2498" s="14">
        <v>0</v>
      </c>
      <c r="O2498" s="14" t="b">
        <v>1</v>
      </c>
      <c r="Q2498" s="14" t="b">
        <v>0</v>
      </c>
      <c r="R2498" s="14">
        <v>1</v>
      </c>
      <c r="S2498" s="14" t="s">
        <v>77</v>
      </c>
      <c r="T2498" s="14">
        <v>999</v>
      </c>
      <c r="U2498" s="14" t="s">
        <v>1401</v>
      </c>
      <c r="V2498" s="14">
        <v>31925045</v>
      </c>
      <c r="X2498" s="14" t="s">
        <v>4340</v>
      </c>
      <c r="Y2498" s="14" t="s">
        <v>215</v>
      </c>
      <c r="Z2498" s="14">
        <v>21261</v>
      </c>
      <c r="AA2498" s="14" t="s">
        <v>4341</v>
      </c>
      <c r="AB2498" s="14">
        <v>40001</v>
      </c>
      <c r="AE2498" s="14" t="s">
        <v>1400</v>
      </c>
      <c r="AF2498" s="14" t="s">
        <v>1400</v>
      </c>
      <c r="AG2498" s="14" t="s">
        <v>95</v>
      </c>
    </row>
    <row r="2499" spans="2:33">
      <c r="B2499" s="14">
        <f>10000000+INDEX(编号表!$B:$B,MATCH(H2499,编号表!$A:$A,0))*100000+INDEX(编号表!$F:$F,MATCH(D2499,编号表!$E:$E,0))*10000+INDEX(编号表!$D:$D,MATCH(AG2499,编号表!$C:$C,0))*1000+F2499</f>
        <v>11935046</v>
      </c>
      <c r="C2499" s="14" t="s">
        <v>4339</v>
      </c>
      <c r="D2499" s="14" t="s">
        <v>276</v>
      </c>
      <c r="E2499" s="14" t="s">
        <v>95</v>
      </c>
      <c r="F2499" s="14">
        <v>46</v>
      </c>
      <c r="G2499" s="14">
        <v>60</v>
      </c>
      <c r="H2499" s="14" t="s">
        <v>1400</v>
      </c>
      <c r="I2499" s="14" t="s">
        <v>75</v>
      </c>
      <c r="J2499" s="14" t="s">
        <v>201</v>
      </c>
      <c r="K2499" s="14">
        <v>1</v>
      </c>
      <c r="L2499" s="14" t="s">
        <v>1400</v>
      </c>
      <c r="N2499" s="14">
        <v>0</v>
      </c>
      <c r="O2499" s="14" t="b">
        <v>1</v>
      </c>
      <c r="Q2499" s="14" t="b">
        <v>0</v>
      </c>
      <c r="R2499" s="14">
        <v>1</v>
      </c>
      <c r="S2499" s="14" t="s">
        <v>77</v>
      </c>
      <c r="T2499" s="14">
        <v>999</v>
      </c>
      <c r="U2499" s="14" t="s">
        <v>1401</v>
      </c>
      <c r="V2499" s="14">
        <v>31935046</v>
      </c>
      <c r="X2499" s="14" t="s">
        <v>4342</v>
      </c>
      <c r="Y2499" s="14" t="s">
        <v>215</v>
      </c>
      <c r="Z2499" s="14">
        <v>21262</v>
      </c>
      <c r="AA2499" s="14" t="s">
        <v>4343</v>
      </c>
      <c r="AB2499" s="14">
        <v>40001</v>
      </c>
      <c r="AE2499" s="14" t="s">
        <v>1400</v>
      </c>
      <c r="AF2499" s="14" t="s">
        <v>1400</v>
      </c>
      <c r="AG2499" s="14" t="s">
        <v>95</v>
      </c>
    </row>
    <row r="2500" spans="2:33">
      <c r="B2500" s="14">
        <f>10000000+INDEX(编号表!$B:$B,MATCH(H2500,编号表!$A:$A,0))*100000+INDEX(编号表!$F:$F,MATCH(D2500,编号表!$E:$E,0))*10000+INDEX(编号表!$D:$D,MATCH(AG2500,编号表!$C:$C,0))*1000+F2500</f>
        <v>11945047</v>
      </c>
      <c r="C2500" s="14" t="s">
        <v>4339</v>
      </c>
      <c r="D2500" s="14" t="s">
        <v>104</v>
      </c>
      <c r="E2500" s="14" t="s">
        <v>95</v>
      </c>
      <c r="F2500" s="14">
        <v>47</v>
      </c>
      <c r="G2500" s="14">
        <v>60</v>
      </c>
      <c r="H2500" s="14" t="s">
        <v>1400</v>
      </c>
      <c r="I2500" s="14" t="s">
        <v>75</v>
      </c>
      <c r="J2500" s="14" t="s">
        <v>201</v>
      </c>
      <c r="K2500" s="14">
        <v>1</v>
      </c>
      <c r="L2500" s="14" t="s">
        <v>1400</v>
      </c>
      <c r="N2500" s="14">
        <v>0</v>
      </c>
      <c r="O2500" s="14" t="b">
        <v>1</v>
      </c>
      <c r="Q2500" s="14" t="b">
        <v>0</v>
      </c>
      <c r="R2500" s="14">
        <v>1</v>
      </c>
      <c r="S2500" s="14" t="s">
        <v>77</v>
      </c>
      <c r="T2500" s="14">
        <v>999</v>
      </c>
      <c r="U2500" s="14" t="s">
        <v>1401</v>
      </c>
      <c r="V2500" s="14">
        <v>31945047</v>
      </c>
      <c r="X2500" s="14" t="s">
        <v>4344</v>
      </c>
      <c r="Y2500" s="14" t="s">
        <v>215</v>
      </c>
      <c r="Z2500" s="14">
        <v>21263</v>
      </c>
      <c r="AA2500" s="14" t="s">
        <v>4345</v>
      </c>
      <c r="AB2500" s="14">
        <v>40001</v>
      </c>
      <c r="AE2500" s="14" t="s">
        <v>1400</v>
      </c>
      <c r="AF2500" s="14" t="s">
        <v>1400</v>
      </c>
      <c r="AG2500" s="14" t="s">
        <v>95</v>
      </c>
    </row>
    <row r="2501" spans="2:33">
      <c r="B2501" s="14">
        <f>10000000+INDEX(编号表!$B:$B,MATCH(H2501,编号表!$A:$A,0))*100000+INDEX(编号表!$F:$F,MATCH(D2501,编号表!$E:$E,0))*10000+INDEX(编号表!$D:$D,MATCH(AG2501,编号表!$C:$C,0))*1000+F2501</f>
        <v>11925046</v>
      </c>
      <c r="C2501" s="14" t="s">
        <v>4346</v>
      </c>
      <c r="D2501" s="14" t="s">
        <v>112</v>
      </c>
      <c r="E2501" s="14" t="s">
        <v>95</v>
      </c>
      <c r="F2501" s="14">
        <v>46</v>
      </c>
      <c r="G2501" s="14">
        <v>60</v>
      </c>
      <c r="H2501" s="14" t="s">
        <v>1400</v>
      </c>
      <c r="I2501" s="14" t="s">
        <v>75</v>
      </c>
      <c r="J2501" s="14" t="s">
        <v>201</v>
      </c>
      <c r="K2501" s="14">
        <v>1</v>
      </c>
      <c r="L2501" s="14" t="s">
        <v>1400</v>
      </c>
      <c r="N2501" s="14">
        <v>0</v>
      </c>
      <c r="O2501" s="14" t="b">
        <v>1</v>
      </c>
      <c r="Q2501" s="14" t="b">
        <v>0</v>
      </c>
      <c r="R2501" s="14">
        <v>1</v>
      </c>
      <c r="S2501" s="14" t="s">
        <v>77</v>
      </c>
      <c r="T2501" s="14">
        <v>999</v>
      </c>
      <c r="U2501" s="14" t="s">
        <v>1401</v>
      </c>
      <c r="V2501" s="14">
        <v>31925046</v>
      </c>
      <c r="X2501" s="14" t="s">
        <v>4347</v>
      </c>
      <c r="Y2501" s="14" t="s">
        <v>215</v>
      </c>
      <c r="Z2501" s="14">
        <v>21264</v>
      </c>
      <c r="AA2501" s="14" t="s">
        <v>4348</v>
      </c>
      <c r="AB2501" s="14">
        <v>40001</v>
      </c>
      <c r="AE2501" s="14" t="s">
        <v>1400</v>
      </c>
      <c r="AF2501" s="14" t="s">
        <v>1400</v>
      </c>
      <c r="AG2501" s="14" t="s">
        <v>95</v>
      </c>
    </row>
    <row r="2502" spans="2:33">
      <c r="B2502" s="14">
        <f>10000000+INDEX(编号表!$B:$B,MATCH(H2502,编号表!$A:$A,0))*100000+INDEX(编号表!$F:$F,MATCH(D2502,编号表!$E:$E,0))*10000+INDEX(编号表!$D:$D,MATCH(AG2502,编号表!$C:$C,0))*1000+F2502</f>
        <v>11935047</v>
      </c>
      <c r="C2502" s="14" t="s">
        <v>4346</v>
      </c>
      <c r="D2502" s="14" t="s">
        <v>276</v>
      </c>
      <c r="E2502" s="14" t="s">
        <v>95</v>
      </c>
      <c r="F2502" s="14">
        <v>47</v>
      </c>
      <c r="G2502" s="14">
        <v>60</v>
      </c>
      <c r="H2502" s="14" t="s">
        <v>1400</v>
      </c>
      <c r="I2502" s="14" t="s">
        <v>75</v>
      </c>
      <c r="J2502" s="14" t="s">
        <v>201</v>
      </c>
      <c r="K2502" s="14">
        <v>1</v>
      </c>
      <c r="L2502" s="14" t="s">
        <v>1400</v>
      </c>
      <c r="N2502" s="14">
        <v>0</v>
      </c>
      <c r="O2502" s="14" t="b">
        <v>1</v>
      </c>
      <c r="Q2502" s="14" t="b">
        <v>0</v>
      </c>
      <c r="R2502" s="14">
        <v>1</v>
      </c>
      <c r="S2502" s="14" t="s">
        <v>77</v>
      </c>
      <c r="T2502" s="14">
        <v>999</v>
      </c>
      <c r="U2502" s="14" t="s">
        <v>1401</v>
      </c>
      <c r="V2502" s="14">
        <v>31935047</v>
      </c>
      <c r="X2502" s="14" t="s">
        <v>4349</v>
      </c>
      <c r="Y2502" s="14" t="s">
        <v>215</v>
      </c>
      <c r="Z2502" s="14">
        <v>21265</v>
      </c>
      <c r="AA2502" s="14" t="s">
        <v>4350</v>
      </c>
      <c r="AB2502" s="14">
        <v>40001</v>
      </c>
      <c r="AE2502" s="14" t="s">
        <v>1400</v>
      </c>
      <c r="AF2502" s="14" t="s">
        <v>1400</v>
      </c>
      <c r="AG2502" s="14" t="s">
        <v>95</v>
      </c>
    </row>
    <row r="2503" spans="2:33">
      <c r="B2503" s="14">
        <f>10000000+INDEX(编号表!$B:$B,MATCH(H2503,编号表!$A:$A,0))*100000+INDEX(编号表!$F:$F,MATCH(D2503,编号表!$E:$E,0))*10000+INDEX(编号表!$D:$D,MATCH(AG2503,编号表!$C:$C,0))*1000+F2503</f>
        <v>11945048</v>
      </c>
      <c r="C2503" s="14" t="s">
        <v>4346</v>
      </c>
      <c r="D2503" s="14" t="s">
        <v>104</v>
      </c>
      <c r="E2503" s="14" t="s">
        <v>95</v>
      </c>
      <c r="F2503" s="14">
        <v>48</v>
      </c>
      <c r="G2503" s="14">
        <v>60</v>
      </c>
      <c r="H2503" s="14" t="s">
        <v>1400</v>
      </c>
      <c r="I2503" s="14" t="s">
        <v>75</v>
      </c>
      <c r="J2503" s="14" t="s">
        <v>201</v>
      </c>
      <c r="K2503" s="14">
        <v>1</v>
      </c>
      <c r="L2503" s="14" t="s">
        <v>1400</v>
      </c>
      <c r="N2503" s="14">
        <v>0</v>
      </c>
      <c r="O2503" s="14" t="b">
        <v>1</v>
      </c>
      <c r="Q2503" s="14" t="b">
        <v>0</v>
      </c>
      <c r="R2503" s="14">
        <v>1</v>
      </c>
      <c r="S2503" s="14" t="s">
        <v>77</v>
      </c>
      <c r="T2503" s="14">
        <v>999</v>
      </c>
      <c r="U2503" s="14" t="s">
        <v>1401</v>
      </c>
      <c r="V2503" s="14">
        <v>31945048</v>
      </c>
      <c r="X2503" s="14" t="s">
        <v>4351</v>
      </c>
      <c r="Y2503" s="14" t="s">
        <v>215</v>
      </c>
      <c r="Z2503" s="14">
        <v>21266</v>
      </c>
      <c r="AA2503" s="14" t="s">
        <v>4352</v>
      </c>
      <c r="AB2503" s="14">
        <v>40001</v>
      </c>
      <c r="AE2503" s="14" t="s">
        <v>1400</v>
      </c>
      <c r="AF2503" s="14" t="s">
        <v>1400</v>
      </c>
      <c r="AG2503" s="14" t="s">
        <v>95</v>
      </c>
    </row>
    <row r="2504" spans="2:33">
      <c r="B2504" s="14">
        <f>10000000+INDEX(编号表!$B:$B,MATCH(H2504,编号表!$A:$A,0))*100000+INDEX(编号表!$F:$F,MATCH(D2504,编号表!$E:$E,0))*10000+INDEX(编号表!$D:$D,MATCH(AG2504,编号表!$C:$C,0))*1000+F2504</f>
        <v>11925047</v>
      </c>
      <c r="C2504" s="14" t="s">
        <v>4353</v>
      </c>
      <c r="D2504" s="14" t="s">
        <v>112</v>
      </c>
      <c r="E2504" s="14" t="s">
        <v>95</v>
      </c>
      <c r="F2504" s="14">
        <v>47</v>
      </c>
      <c r="G2504" s="14">
        <v>60</v>
      </c>
      <c r="H2504" s="14" t="s">
        <v>1400</v>
      </c>
      <c r="I2504" s="14" t="s">
        <v>75</v>
      </c>
      <c r="J2504" s="14" t="s">
        <v>201</v>
      </c>
      <c r="K2504" s="14">
        <v>1</v>
      </c>
      <c r="L2504" s="14" t="s">
        <v>1400</v>
      </c>
      <c r="N2504" s="14">
        <v>0</v>
      </c>
      <c r="O2504" s="14" t="b">
        <v>1</v>
      </c>
      <c r="Q2504" s="14" t="b">
        <v>0</v>
      </c>
      <c r="R2504" s="14">
        <v>1</v>
      </c>
      <c r="S2504" s="14" t="s">
        <v>77</v>
      </c>
      <c r="T2504" s="14">
        <v>999</v>
      </c>
      <c r="U2504" s="14" t="s">
        <v>1401</v>
      </c>
      <c r="V2504" s="14">
        <v>31925047</v>
      </c>
      <c r="X2504" s="14" t="s">
        <v>4354</v>
      </c>
      <c r="Y2504" s="14" t="s">
        <v>215</v>
      </c>
      <c r="Z2504" s="14">
        <v>21267</v>
      </c>
      <c r="AA2504" s="14" t="s">
        <v>4355</v>
      </c>
      <c r="AB2504" s="14">
        <v>40001</v>
      </c>
      <c r="AE2504" s="14" t="s">
        <v>1400</v>
      </c>
      <c r="AF2504" s="14" t="s">
        <v>1400</v>
      </c>
      <c r="AG2504" s="14" t="s">
        <v>95</v>
      </c>
    </row>
    <row r="2505" spans="2:33">
      <c r="B2505" s="14">
        <f>10000000+INDEX(编号表!$B:$B,MATCH(H2505,编号表!$A:$A,0))*100000+INDEX(编号表!$F:$F,MATCH(D2505,编号表!$E:$E,0))*10000+INDEX(编号表!$D:$D,MATCH(AG2505,编号表!$C:$C,0))*1000+F2505</f>
        <v>11935048</v>
      </c>
      <c r="C2505" s="14" t="s">
        <v>4353</v>
      </c>
      <c r="D2505" s="14" t="s">
        <v>276</v>
      </c>
      <c r="E2505" s="14" t="s">
        <v>95</v>
      </c>
      <c r="F2505" s="14">
        <v>48</v>
      </c>
      <c r="G2505" s="14">
        <v>60</v>
      </c>
      <c r="H2505" s="14" t="s">
        <v>1400</v>
      </c>
      <c r="I2505" s="14" t="s">
        <v>75</v>
      </c>
      <c r="J2505" s="14" t="s">
        <v>201</v>
      </c>
      <c r="K2505" s="14">
        <v>1</v>
      </c>
      <c r="L2505" s="14" t="s">
        <v>1400</v>
      </c>
      <c r="N2505" s="14">
        <v>0</v>
      </c>
      <c r="O2505" s="14" t="b">
        <v>1</v>
      </c>
      <c r="Q2505" s="14" t="b">
        <v>0</v>
      </c>
      <c r="R2505" s="14">
        <v>1</v>
      </c>
      <c r="S2505" s="14" t="s">
        <v>77</v>
      </c>
      <c r="T2505" s="14">
        <v>999</v>
      </c>
      <c r="U2505" s="14" t="s">
        <v>1401</v>
      </c>
      <c r="V2505" s="14">
        <v>31935048</v>
      </c>
      <c r="X2505" s="14" t="s">
        <v>4356</v>
      </c>
      <c r="Y2505" s="14" t="s">
        <v>215</v>
      </c>
      <c r="Z2505" s="14">
        <v>21268</v>
      </c>
      <c r="AA2505" s="14" t="s">
        <v>4357</v>
      </c>
      <c r="AB2505" s="14">
        <v>40001</v>
      </c>
      <c r="AE2505" s="14" t="s">
        <v>1400</v>
      </c>
      <c r="AF2505" s="14" t="s">
        <v>1400</v>
      </c>
      <c r="AG2505" s="14" t="s">
        <v>95</v>
      </c>
    </row>
    <row r="2506" spans="2:33">
      <c r="B2506" s="14">
        <f>10000000+INDEX(编号表!$B:$B,MATCH(H2506,编号表!$A:$A,0))*100000+INDEX(编号表!$F:$F,MATCH(D2506,编号表!$E:$E,0))*10000+INDEX(编号表!$D:$D,MATCH(AG2506,编号表!$C:$C,0))*1000+F2506</f>
        <v>11945049</v>
      </c>
      <c r="C2506" s="14" t="s">
        <v>4353</v>
      </c>
      <c r="D2506" s="14" t="s">
        <v>104</v>
      </c>
      <c r="E2506" s="14" t="s">
        <v>95</v>
      </c>
      <c r="F2506" s="14">
        <v>49</v>
      </c>
      <c r="G2506" s="14">
        <v>60</v>
      </c>
      <c r="H2506" s="14" t="s">
        <v>1400</v>
      </c>
      <c r="I2506" s="14" t="s">
        <v>75</v>
      </c>
      <c r="J2506" s="14" t="s">
        <v>201</v>
      </c>
      <c r="K2506" s="14">
        <v>1</v>
      </c>
      <c r="L2506" s="14" t="s">
        <v>1400</v>
      </c>
      <c r="N2506" s="14">
        <v>0</v>
      </c>
      <c r="O2506" s="14" t="b">
        <v>1</v>
      </c>
      <c r="Q2506" s="14" t="b">
        <v>0</v>
      </c>
      <c r="R2506" s="14">
        <v>1</v>
      </c>
      <c r="S2506" s="14" t="s">
        <v>77</v>
      </c>
      <c r="T2506" s="14">
        <v>999</v>
      </c>
      <c r="U2506" s="14" t="s">
        <v>1401</v>
      </c>
      <c r="V2506" s="14">
        <v>31945049</v>
      </c>
      <c r="X2506" s="14" t="s">
        <v>4358</v>
      </c>
      <c r="Y2506" s="14" t="s">
        <v>215</v>
      </c>
      <c r="Z2506" s="14">
        <v>21269</v>
      </c>
      <c r="AA2506" s="14" t="s">
        <v>4359</v>
      </c>
      <c r="AB2506" s="14">
        <v>40001</v>
      </c>
      <c r="AE2506" s="14" t="s">
        <v>1400</v>
      </c>
      <c r="AF2506" s="14" t="s">
        <v>1400</v>
      </c>
      <c r="AG2506" s="14" t="s">
        <v>95</v>
      </c>
    </row>
    <row r="2507" spans="2:33">
      <c r="B2507" s="14">
        <f>10000000+INDEX(编号表!$B:$B,MATCH(H2507,编号表!$A:$A,0))*100000+INDEX(编号表!$F:$F,MATCH(D2507,编号表!$E:$E,0))*10000+INDEX(编号表!$D:$D,MATCH(AG2507,编号表!$C:$C,0))*1000+F2507</f>
        <v>11925048</v>
      </c>
      <c r="C2507" s="14" t="s">
        <v>4360</v>
      </c>
      <c r="D2507" s="14" t="s">
        <v>112</v>
      </c>
      <c r="E2507" s="14" t="s">
        <v>95</v>
      </c>
      <c r="F2507" s="14">
        <v>48</v>
      </c>
      <c r="G2507" s="14">
        <v>60</v>
      </c>
      <c r="H2507" s="14" t="s">
        <v>1400</v>
      </c>
      <c r="I2507" s="14" t="s">
        <v>75</v>
      </c>
      <c r="J2507" s="14" t="s">
        <v>201</v>
      </c>
      <c r="K2507" s="14">
        <v>1</v>
      </c>
      <c r="L2507" s="14" t="s">
        <v>1400</v>
      </c>
      <c r="N2507" s="14">
        <v>0</v>
      </c>
      <c r="O2507" s="14" t="b">
        <v>1</v>
      </c>
      <c r="Q2507" s="14" t="b">
        <v>0</v>
      </c>
      <c r="R2507" s="14">
        <v>1</v>
      </c>
      <c r="S2507" s="14" t="s">
        <v>77</v>
      </c>
      <c r="T2507" s="14">
        <v>999</v>
      </c>
      <c r="U2507" s="14" t="s">
        <v>1401</v>
      </c>
      <c r="V2507" s="14">
        <v>31925048</v>
      </c>
      <c r="X2507" s="14" t="s">
        <v>4361</v>
      </c>
      <c r="Y2507" s="14" t="s">
        <v>215</v>
      </c>
      <c r="Z2507" s="14">
        <v>21270</v>
      </c>
      <c r="AA2507" s="14" t="s">
        <v>4362</v>
      </c>
      <c r="AB2507" s="14">
        <v>40001</v>
      </c>
      <c r="AE2507" s="14" t="s">
        <v>1400</v>
      </c>
      <c r="AF2507" s="14" t="s">
        <v>1400</v>
      </c>
      <c r="AG2507" s="14" t="s">
        <v>95</v>
      </c>
    </row>
    <row r="2508" spans="2:33">
      <c r="B2508" s="14">
        <f>10000000+INDEX(编号表!$B:$B,MATCH(H2508,编号表!$A:$A,0))*100000+INDEX(编号表!$F:$F,MATCH(D2508,编号表!$E:$E,0))*10000+INDEX(编号表!$D:$D,MATCH(AG2508,编号表!$C:$C,0))*1000+F2508</f>
        <v>11935049</v>
      </c>
      <c r="C2508" s="14" t="s">
        <v>4360</v>
      </c>
      <c r="D2508" s="14" t="s">
        <v>276</v>
      </c>
      <c r="E2508" s="14" t="s">
        <v>95</v>
      </c>
      <c r="F2508" s="14">
        <v>49</v>
      </c>
      <c r="G2508" s="14">
        <v>60</v>
      </c>
      <c r="H2508" s="14" t="s">
        <v>1400</v>
      </c>
      <c r="I2508" s="14" t="s">
        <v>75</v>
      </c>
      <c r="J2508" s="14" t="s">
        <v>201</v>
      </c>
      <c r="K2508" s="14">
        <v>1</v>
      </c>
      <c r="L2508" s="14" t="s">
        <v>1400</v>
      </c>
      <c r="N2508" s="14">
        <v>0</v>
      </c>
      <c r="O2508" s="14" t="b">
        <v>1</v>
      </c>
      <c r="Q2508" s="14" t="b">
        <v>0</v>
      </c>
      <c r="R2508" s="14">
        <v>1</v>
      </c>
      <c r="S2508" s="14" t="s">
        <v>77</v>
      </c>
      <c r="T2508" s="14">
        <v>999</v>
      </c>
      <c r="U2508" s="14" t="s">
        <v>1401</v>
      </c>
      <c r="V2508" s="14">
        <v>31935049</v>
      </c>
      <c r="X2508" s="14" t="s">
        <v>4363</v>
      </c>
      <c r="Y2508" s="14" t="s">
        <v>215</v>
      </c>
      <c r="Z2508" s="14">
        <v>21271</v>
      </c>
      <c r="AA2508" s="14" t="s">
        <v>4364</v>
      </c>
      <c r="AB2508" s="14">
        <v>40001</v>
      </c>
      <c r="AE2508" s="14" t="s">
        <v>1400</v>
      </c>
      <c r="AF2508" s="14" t="s">
        <v>1400</v>
      </c>
      <c r="AG2508" s="14" t="s">
        <v>95</v>
      </c>
    </row>
    <row r="2509" spans="2:33">
      <c r="B2509" s="14">
        <f>10000000+INDEX(编号表!$B:$B,MATCH(H2509,编号表!$A:$A,0))*100000+INDEX(编号表!$F:$F,MATCH(D2509,编号表!$E:$E,0))*10000+INDEX(编号表!$D:$D,MATCH(AG2509,编号表!$C:$C,0))*1000+F2509</f>
        <v>11945050</v>
      </c>
      <c r="C2509" s="14" t="s">
        <v>4360</v>
      </c>
      <c r="D2509" s="14" t="s">
        <v>104</v>
      </c>
      <c r="E2509" s="14" t="s">
        <v>95</v>
      </c>
      <c r="F2509" s="14">
        <v>50</v>
      </c>
      <c r="G2509" s="14">
        <v>60</v>
      </c>
      <c r="H2509" s="14" t="s">
        <v>1400</v>
      </c>
      <c r="I2509" s="14" t="s">
        <v>75</v>
      </c>
      <c r="J2509" s="14" t="s">
        <v>201</v>
      </c>
      <c r="K2509" s="14">
        <v>1</v>
      </c>
      <c r="L2509" s="14" t="s">
        <v>1400</v>
      </c>
      <c r="N2509" s="14">
        <v>0</v>
      </c>
      <c r="O2509" s="14" t="b">
        <v>1</v>
      </c>
      <c r="Q2509" s="14" t="b">
        <v>0</v>
      </c>
      <c r="R2509" s="14">
        <v>1</v>
      </c>
      <c r="S2509" s="14" t="s">
        <v>77</v>
      </c>
      <c r="T2509" s="14">
        <v>999</v>
      </c>
      <c r="U2509" s="14" t="s">
        <v>1401</v>
      </c>
      <c r="V2509" s="14">
        <v>31945050</v>
      </c>
      <c r="X2509" s="14" t="s">
        <v>4365</v>
      </c>
      <c r="Y2509" s="14" t="s">
        <v>215</v>
      </c>
      <c r="Z2509" s="14">
        <v>21272</v>
      </c>
      <c r="AA2509" s="14" t="s">
        <v>4366</v>
      </c>
      <c r="AB2509" s="14">
        <v>40001</v>
      </c>
      <c r="AE2509" s="14" t="s">
        <v>1400</v>
      </c>
      <c r="AF2509" s="14" t="s">
        <v>1400</v>
      </c>
      <c r="AG2509" s="14" t="s">
        <v>95</v>
      </c>
    </row>
    <row r="2510" spans="2:33">
      <c r="B2510" s="14">
        <f>10000000+INDEX(编号表!$B:$B,MATCH(H2510,编号表!$A:$A,0))*100000+INDEX(编号表!$F:$F,MATCH(D2510,编号表!$E:$E,0))*10000+INDEX(编号表!$D:$D,MATCH(AG2510,编号表!$C:$C,0))*1000+F2510</f>
        <v>11925049</v>
      </c>
      <c r="C2510" s="14" t="s">
        <v>4367</v>
      </c>
      <c r="D2510" s="14" t="s">
        <v>112</v>
      </c>
      <c r="E2510" s="14" t="s">
        <v>95</v>
      </c>
      <c r="F2510" s="14">
        <v>49</v>
      </c>
      <c r="G2510" s="14">
        <v>60</v>
      </c>
      <c r="H2510" s="14" t="s">
        <v>1400</v>
      </c>
      <c r="I2510" s="14" t="s">
        <v>75</v>
      </c>
      <c r="J2510" s="14" t="s">
        <v>201</v>
      </c>
      <c r="K2510" s="14">
        <v>1</v>
      </c>
      <c r="L2510" s="14" t="s">
        <v>1400</v>
      </c>
      <c r="N2510" s="14">
        <v>0</v>
      </c>
      <c r="O2510" s="14" t="b">
        <v>1</v>
      </c>
      <c r="Q2510" s="14" t="b">
        <v>0</v>
      </c>
      <c r="R2510" s="14">
        <v>1</v>
      </c>
      <c r="S2510" s="14" t="s">
        <v>77</v>
      </c>
      <c r="T2510" s="14">
        <v>999</v>
      </c>
      <c r="U2510" s="14" t="s">
        <v>1401</v>
      </c>
      <c r="V2510" s="14">
        <v>31925049</v>
      </c>
      <c r="X2510" s="14" t="s">
        <v>4368</v>
      </c>
      <c r="Y2510" s="14" t="s">
        <v>215</v>
      </c>
      <c r="Z2510" s="14">
        <v>21273</v>
      </c>
      <c r="AA2510" s="14" t="s">
        <v>4369</v>
      </c>
      <c r="AB2510" s="14">
        <v>40001</v>
      </c>
      <c r="AE2510" s="14" t="s">
        <v>1400</v>
      </c>
      <c r="AF2510" s="14" t="s">
        <v>1400</v>
      </c>
      <c r="AG2510" s="14" t="s">
        <v>95</v>
      </c>
    </row>
    <row r="2511" spans="2:33">
      <c r="B2511" s="14">
        <f>10000000+INDEX(编号表!$B:$B,MATCH(H2511,编号表!$A:$A,0))*100000+INDEX(编号表!$F:$F,MATCH(D2511,编号表!$E:$E,0))*10000+INDEX(编号表!$D:$D,MATCH(AG2511,编号表!$C:$C,0))*1000+F2511</f>
        <v>11935050</v>
      </c>
      <c r="C2511" s="14" t="s">
        <v>4367</v>
      </c>
      <c r="D2511" s="14" t="s">
        <v>276</v>
      </c>
      <c r="E2511" s="14" t="s">
        <v>95</v>
      </c>
      <c r="F2511" s="14">
        <v>50</v>
      </c>
      <c r="G2511" s="14">
        <v>60</v>
      </c>
      <c r="H2511" s="14" t="s">
        <v>1400</v>
      </c>
      <c r="I2511" s="14" t="s">
        <v>75</v>
      </c>
      <c r="J2511" s="14" t="s">
        <v>201</v>
      </c>
      <c r="K2511" s="14">
        <v>1</v>
      </c>
      <c r="L2511" s="14" t="s">
        <v>1400</v>
      </c>
      <c r="N2511" s="14">
        <v>0</v>
      </c>
      <c r="O2511" s="14" t="b">
        <v>1</v>
      </c>
      <c r="Q2511" s="14" t="b">
        <v>0</v>
      </c>
      <c r="R2511" s="14">
        <v>1</v>
      </c>
      <c r="S2511" s="14" t="s">
        <v>77</v>
      </c>
      <c r="T2511" s="14">
        <v>999</v>
      </c>
      <c r="U2511" s="14" t="s">
        <v>1401</v>
      </c>
      <c r="V2511" s="14">
        <v>31935050</v>
      </c>
      <c r="X2511" s="14" t="s">
        <v>4370</v>
      </c>
      <c r="Y2511" s="14" t="s">
        <v>215</v>
      </c>
      <c r="Z2511" s="14">
        <v>21274</v>
      </c>
      <c r="AA2511" s="14" t="s">
        <v>4371</v>
      </c>
      <c r="AB2511" s="14">
        <v>40001</v>
      </c>
      <c r="AE2511" s="14" t="s">
        <v>1400</v>
      </c>
      <c r="AF2511" s="14" t="s">
        <v>1400</v>
      </c>
      <c r="AG2511" s="14" t="s">
        <v>95</v>
      </c>
    </row>
    <row r="2512" spans="2:33">
      <c r="B2512" s="14">
        <f>10000000+INDEX(编号表!$B:$B,MATCH(H2512,编号表!$A:$A,0))*100000+INDEX(编号表!$F:$F,MATCH(D2512,编号表!$E:$E,0))*10000+INDEX(编号表!$D:$D,MATCH(AG2512,编号表!$C:$C,0))*1000+F2512</f>
        <v>11945051</v>
      </c>
      <c r="C2512" s="14" t="s">
        <v>4367</v>
      </c>
      <c r="D2512" s="14" t="s">
        <v>104</v>
      </c>
      <c r="E2512" s="14" t="s">
        <v>95</v>
      </c>
      <c r="F2512" s="14">
        <v>51</v>
      </c>
      <c r="G2512" s="14">
        <v>60</v>
      </c>
      <c r="H2512" s="14" t="s">
        <v>1400</v>
      </c>
      <c r="I2512" s="14" t="s">
        <v>75</v>
      </c>
      <c r="J2512" s="14" t="s">
        <v>201</v>
      </c>
      <c r="K2512" s="14">
        <v>1</v>
      </c>
      <c r="L2512" s="14" t="s">
        <v>1400</v>
      </c>
      <c r="N2512" s="14">
        <v>0</v>
      </c>
      <c r="O2512" s="14" t="b">
        <v>1</v>
      </c>
      <c r="Q2512" s="14" t="b">
        <v>0</v>
      </c>
      <c r="R2512" s="14">
        <v>1</v>
      </c>
      <c r="S2512" s="14" t="s">
        <v>77</v>
      </c>
      <c r="T2512" s="14">
        <v>999</v>
      </c>
      <c r="U2512" s="14" t="s">
        <v>1401</v>
      </c>
      <c r="V2512" s="14">
        <v>31945051</v>
      </c>
      <c r="X2512" s="14" t="s">
        <v>4372</v>
      </c>
      <c r="Y2512" s="14" t="s">
        <v>215</v>
      </c>
      <c r="Z2512" s="14">
        <v>21275</v>
      </c>
      <c r="AA2512" s="14" t="s">
        <v>4373</v>
      </c>
      <c r="AB2512" s="14">
        <v>40001</v>
      </c>
      <c r="AE2512" s="14" t="s">
        <v>1400</v>
      </c>
      <c r="AF2512" s="14" t="s">
        <v>1400</v>
      </c>
      <c r="AG2512" s="14" t="s">
        <v>95</v>
      </c>
    </row>
    <row r="2513" spans="2:33">
      <c r="B2513" s="14">
        <f>10000000+INDEX(编号表!$B:$B,MATCH(H2513,编号表!$A:$A,0))*100000+INDEX(编号表!$F:$F,MATCH(D2513,编号表!$E:$E,0))*10000+INDEX(编号表!$D:$D,MATCH(AG2513,编号表!$C:$C,0))*1000+F2513</f>
        <v>11925050</v>
      </c>
      <c r="C2513" s="14" t="s">
        <v>4374</v>
      </c>
      <c r="D2513" s="14" t="s">
        <v>112</v>
      </c>
      <c r="E2513" s="14" t="s">
        <v>95</v>
      </c>
      <c r="F2513" s="14">
        <v>50</v>
      </c>
      <c r="G2513" s="14">
        <v>60</v>
      </c>
      <c r="H2513" s="14" t="s">
        <v>1400</v>
      </c>
      <c r="I2513" s="14" t="s">
        <v>75</v>
      </c>
      <c r="J2513" s="14" t="s">
        <v>201</v>
      </c>
      <c r="K2513" s="14">
        <v>1</v>
      </c>
      <c r="L2513" s="14" t="s">
        <v>1400</v>
      </c>
      <c r="N2513" s="14">
        <v>0</v>
      </c>
      <c r="O2513" s="14" t="b">
        <v>1</v>
      </c>
      <c r="Q2513" s="14" t="b">
        <v>0</v>
      </c>
      <c r="R2513" s="14">
        <v>1</v>
      </c>
      <c r="S2513" s="14" t="s">
        <v>77</v>
      </c>
      <c r="T2513" s="14">
        <v>999</v>
      </c>
      <c r="U2513" s="14" t="s">
        <v>1401</v>
      </c>
      <c r="V2513" s="14">
        <v>31925050</v>
      </c>
      <c r="X2513" s="14" t="s">
        <v>4375</v>
      </c>
      <c r="Y2513" s="14" t="s">
        <v>215</v>
      </c>
      <c r="Z2513" s="14">
        <v>21276</v>
      </c>
      <c r="AA2513" s="14" t="s">
        <v>4376</v>
      </c>
      <c r="AB2513" s="14">
        <v>40001</v>
      </c>
      <c r="AE2513" s="14" t="s">
        <v>1400</v>
      </c>
      <c r="AF2513" s="14" t="s">
        <v>1400</v>
      </c>
      <c r="AG2513" s="14" t="s">
        <v>95</v>
      </c>
    </row>
    <row r="2514" spans="2:33">
      <c r="B2514" s="14">
        <f>10000000+INDEX(编号表!$B:$B,MATCH(H2514,编号表!$A:$A,0))*100000+INDEX(编号表!$F:$F,MATCH(D2514,编号表!$E:$E,0))*10000+INDEX(编号表!$D:$D,MATCH(AG2514,编号表!$C:$C,0))*1000+F2514</f>
        <v>11935051</v>
      </c>
      <c r="C2514" s="14" t="s">
        <v>4374</v>
      </c>
      <c r="D2514" s="14" t="s">
        <v>276</v>
      </c>
      <c r="E2514" s="14" t="s">
        <v>95</v>
      </c>
      <c r="F2514" s="14">
        <v>51</v>
      </c>
      <c r="G2514" s="14">
        <v>60</v>
      </c>
      <c r="H2514" s="14" t="s">
        <v>1400</v>
      </c>
      <c r="I2514" s="14" t="s">
        <v>75</v>
      </c>
      <c r="J2514" s="14" t="s">
        <v>201</v>
      </c>
      <c r="K2514" s="14">
        <v>1</v>
      </c>
      <c r="L2514" s="14" t="s">
        <v>1400</v>
      </c>
      <c r="N2514" s="14">
        <v>0</v>
      </c>
      <c r="O2514" s="14" t="b">
        <v>1</v>
      </c>
      <c r="Q2514" s="14" t="b">
        <v>0</v>
      </c>
      <c r="R2514" s="14">
        <v>1</v>
      </c>
      <c r="S2514" s="14" t="s">
        <v>77</v>
      </c>
      <c r="T2514" s="14">
        <v>999</v>
      </c>
      <c r="U2514" s="14" t="s">
        <v>1401</v>
      </c>
      <c r="V2514" s="14">
        <v>31935051</v>
      </c>
      <c r="X2514" s="14" t="s">
        <v>4377</v>
      </c>
      <c r="Y2514" s="14" t="s">
        <v>215</v>
      </c>
      <c r="Z2514" s="14">
        <v>21277</v>
      </c>
      <c r="AA2514" s="14" t="s">
        <v>4378</v>
      </c>
      <c r="AB2514" s="14">
        <v>40001</v>
      </c>
      <c r="AE2514" s="14" t="s">
        <v>1400</v>
      </c>
      <c r="AF2514" s="14" t="s">
        <v>1400</v>
      </c>
      <c r="AG2514" s="14" t="s">
        <v>95</v>
      </c>
    </row>
    <row r="2515" spans="2:33">
      <c r="B2515" s="14">
        <f>10000000+INDEX(编号表!$B:$B,MATCH(H2515,编号表!$A:$A,0))*100000+INDEX(编号表!$F:$F,MATCH(D2515,编号表!$E:$E,0))*10000+INDEX(编号表!$D:$D,MATCH(AG2515,编号表!$C:$C,0))*1000+F2515</f>
        <v>11945052</v>
      </c>
      <c r="C2515" s="14" t="s">
        <v>4374</v>
      </c>
      <c r="D2515" s="14" t="s">
        <v>104</v>
      </c>
      <c r="E2515" s="14" t="s">
        <v>95</v>
      </c>
      <c r="F2515" s="14">
        <v>52</v>
      </c>
      <c r="G2515" s="14">
        <v>60</v>
      </c>
      <c r="H2515" s="14" t="s">
        <v>1400</v>
      </c>
      <c r="I2515" s="14" t="s">
        <v>75</v>
      </c>
      <c r="J2515" s="14" t="s">
        <v>201</v>
      </c>
      <c r="K2515" s="14">
        <v>1</v>
      </c>
      <c r="L2515" s="14" t="s">
        <v>1400</v>
      </c>
      <c r="N2515" s="14">
        <v>0</v>
      </c>
      <c r="O2515" s="14" t="b">
        <v>1</v>
      </c>
      <c r="Q2515" s="14" t="b">
        <v>0</v>
      </c>
      <c r="R2515" s="14">
        <v>1</v>
      </c>
      <c r="S2515" s="14" t="s">
        <v>77</v>
      </c>
      <c r="T2515" s="14">
        <v>999</v>
      </c>
      <c r="U2515" s="14" t="s">
        <v>1401</v>
      </c>
      <c r="V2515" s="14">
        <v>31945052</v>
      </c>
      <c r="X2515" s="14" t="s">
        <v>4379</v>
      </c>
      <c r="Y2515" s="14" t="s">
        <v>215</v>
      </c>
      <c r="Z2515" s="14">
        <v>21278</v>
      </c>
      <c r="AA2515" s="14" t="s">
        <v>4380</v>
      </c>
      <c r="AB2515" s="14">
        <v>40001</v>
      </c>
      <c r="AE2515" s="14" t="s">
        <v>1400</v>
      </c>
      <c r="AF2515" s="14" t="s">
        <v>1400</v>
      </c>
      <c r="AG2515" s="14" t="s">
        <v>95</v>
      </c>
    </row>
    <row r="2516" spans="2:33">
      <c r="B2516" s="14">
        <f>10000000+INDEX(编号表!$B:$B,MATCH(H2516,编号表!$A:$A,0))*100000+INDEX(编号表!$F:$F,MATCH(D2516,编号表!$E:$E,0))*10000+INDEX(编号表!$D:$D,MATCH(AG2516,编号表!$C:$C,0))*1000+F2516</f>
        <v>11925051</v>
      </c>
      <c r="C2516" s="14" t="s">
        <v>4381</v>
      </c>
      <c r="D2516" s="14" t="s">
        <v>112</v>
      </c>
      <c r="E2516" s="14" t="s">
        <v>95</v>
      </c>
      <c r="F2516" s="14">
        <v>51</v>
      </c>
      <c r="G2516" s="14">
        <v>60</v>
      </c>
      <c r="H2516" s="14" t="s">
        <v>1400</v>
      </c>
      <c r="I2516" s="14" t="s">
        <v>75</v>
      </c>
      <c r="J2516" s="14" t="s">
        <v>201</v>
      </c>
      <c r="K2516" s="14">
        <v>1</v>
      </c>
      <c r="L2516" s="14" t="s">
        <v>1400</v>
      </c>
      <c r="N2516" s="14">
        <v>0</v>
      </c>
      <c r="O2516" s="14" t="b">
        <v>1</v>
      </c>
      <c r="Q2516" s="14" t="b">
        <v>0</v>
      </c>
      <c r="R2516" s="14">
        <v>1</v>
      </c>
      <c r="S2516" s="14" t="s">
        <v>77</v>
      </c>
      <c r="T2516" s="14">
        <v>999</v>
      </c>
      <c r="U2516" s="14" t="s">
        <v>1401</v>
      </c>
      <c r="V2516" s="14">
        <v>31925051</v>
      </c>
      <c r="X2516" s="14" t="s">
        <v>4382</v>
      </c>
      <c r="Y2516" s="14" t="s">
        <v>215</v>
      </c>
      <c r="Z2516" s="14">
        <v>21279</v>
      </c>
      <c r="AA2516" s="14" t="s">
        <v>4383</v>
      </c>
      <c r="AB2516" s="14">
        <v>40001</v>
      </c>
      <c r="AE2516" s="14" t="s">
        <v>1400</v>
      </c>
      <c r="AF2516" s="14" t="s">
        <v>1400</v>
      </c>
      <c r="AG2516" s="14" t="s">
        <v>95</v>
      </c>
    </row>
    <row r="2517" spans="2:33">
      <c r="B2517" s="14">
        <f>10000000+INDEX(编号表!$B:$B,MATCH(H2517,编号表!$A:$A,0))*100000+INDEX(编号表!$F:$F,MATCH(D2517,编号表!$E:$E,0))*10000+INDEX(编号表!$D:$D,MATCH(AG2517,编号表!$C:$C,0))*1000+F2517</f>
        <v>11935052</v>
      </c>
      <c r="C2517" s="14" t="s">
        <v>4381</v>
      </c>
      <c r="D2517" s="14" t="s">
        <v>276</v>
      </c>
      <c r="E2517" s="14" t="s">
        <v>95</v>
      </c>
      <c r="F2517" s="14">
        <v>52</v>
      </c>
      <c r="G2517" s="14">
        <v>60</v>
      </c>
      <c r="H2517" s="14" t="s">
        <v>1400</v>
      </c>
      <c r="I2517" s="14" t="s">
        <v>75</v>
      </c>
      <c r="J2517" s="14" t="s">
        <v>201</v>
      </c>
      <c r="K2517" s="14">
        <v>1</v>
      </c>
      <c r="L2517" s="14" t="s">
        <v>1400</v>
      </c>
      <c r="N2517" s="14">
        <v>0</v>
      </c>
      <c r="O2517" s="14" t="b">
        <v>1</v>
      </c>
      <c r="Q2517" s="14" t="b">
        <v>0</v>
      </c>
      <c r="R2517" s="14">
        <v>1</v>
      </c>
      <c r="S2517" s="14" t="s">
        <v>77</v>
      </c>
      <c r="T2517" s="14">
        <v>999</v>
      </c>
      <c r="U2517" s="14" t="s">
        <v>1401</v>
      </c>
      <c r="V2517" s="14">
        <v>31935052</v>
      </c>
      <c r="X2517" s="14" t="s">
        <v>4384</v>
      </c>
      <c r="Y2517" s="14" t="s">
        <v>215</v>
      </c>
      <c r="Z2517" s="14">
        <v>21280</v>
      </c>
      <c r="AA2517" s="14" t="s">
        <v>4385</v>
      </c>
      <c r="AB2517" s="14">
        <v>40001</v>
      </c>
      <c r="AE2517" s="14" t="s">
        <v>1400</v>
      </c>
      <c r="AF2517" s="14" t="s">
        <v>1400</v>
      </c>
      <c r="AG2517" s="14" t="s">
        <v>95</v>
      </c>
    </row>
    <row r="2518" spans="2:33">
      <c r="B2518" s="14">
        <f>10000000+INDEX(编号表!$B:$B,MATCH(H2518,编号表!$A:$A,0))*100000+INDEX(编号表!$F:$F,MATCH(D2518,编号表!$E:$E,0))*10000+INDEX(编号表!$D:$D,MATCH(AG2518,编号表!$C:$C,0))*1000+F2518</f>
        <v>11945053</v>
      </c>
      <c r="C2518" s="14" t="s">
        <v>4381</v>
      </c>
      <c r="D2518" s="14" t="s">
        <v>104</v>
      </c>
      <c r="E2518" s="14" t="s">
        <v>95</v>
      </c>
      <c r="F2518" s="14">
        <v>53</v>
      </c>
      <c r="G2518" s="14">
        <v>60</v>
      </c>
      <c r="H2518" s="14" t="s">
        <v>1400</v>
      </c>
      <c r="I2518" s="14" t="s">
        <v>75</v>
      </c>
      <c r="J2518" s="14" t="s">
        <v>201</v>
      </c>
      <c r="K2518" s="14">
        <v>1</v>
      </c>
      <c r="L2518" s="14" t="s">
        <v>1400</v>
      </c>
      <c r="N2518" s="14">
        <v>0</v>
      </c>
      <c r="O2518" s="14" t="b">
        <v>1</v>
      </c>
      <c r="Q2518" s="14" t="b">
        <v>0</v>
      </c>
      <c r="R2518" s="14">
        <v>1</v>
      </c>
      <c r="S2518" s="14" t="s">
        <v>77</v>
      </c>
      <c r="T2518" s="14">
        <v>999</v>
      </c>
      <c r="U2518" s="14" t="s">
        <v>1401</v>
      </c>
      <c r="V2518" s="14">
        <v>31945053</v>
      </c>
      <c r="X2518" s="14" t="s">
        <v>4386</v>
      </c>
      <c r="Y2518" s="14" t="s">
        <v>215</v>
      </c>
      <c r="Z2518" s="14">
        <v>21281</v>
      </c>
      <c r="AA2518" s="14" t="s">
        <v>4387</v>
      </c>
      <c r="AB2518" s="14">
        <v>40001</v>
      </c>
      <c r="AE2518" s="14" t="s">
        <v>1400</v>
      </c>
      <c r="AF2518" s="14" t="s">
        <v>1400</v>
      </c>
      <c r="AG2518" s="14" t="s">
        <v>95</v>
      </c>
    </row>
    <row r="2519" spans="2:33">
      <c r="B2519" s="14">
        <f>10000000+INDEX(编号表!$B:$B,MATCH(H2519,编号表!$A:$A,0))*100000+INDEX(编号表!$F:$F,MATCH(D2519,编号表!$E:$E,0))*10000+INDEX(编号表!$D:$D,MATCH(AG2519,编号表!$C:$C,0))*1000+F2519</f>
        <v>11925052</v>
      </c>
      <c r="C2519" s="14" t="s">
        <v>4388</v>
      </c>
      <c r="D2519" s="14" t="s">
        <v>112</v>
      </c>
      <c r="E2519" s="14" t="s">
        <v>95</v>
      </c>
      <c r="F2519" s="14">
        <v>52</v>
      </c>
      <c r="G2519" s="14">
        <v>60</v>
      </c>
      <c r="H2519" s="14" t="s">
        <v>1400</v>
      </c>
      <c r="I2519" s="14" t="s">
        <v>75</v>
      </c>
      <c r="J2519" s="14" t="s">
        <v>201</v>
      </c>
      <c r="K2519" s="14">
        <v>1</v>
      </c>
      <c r="L2519" s="14" t="s">
        <v>1400</v>
      </c>
      <c r="N2519" s="14">
        <v>0</v>
      </c>
      <c r="O2519" s="14" t="b">
        <v>1</v>
      </c>
      <c r="Q2519" s="14" t="b">
        <v>0</v>
      </c>
      <c r="R2519" s="14">
        <v>1</v>
      </c>
      <c r="S2519" s="14" t="s">
        <v>77</v>
      </c>
      <c r="T2519" s="14">
        <v>999</v>
      </c>
      <c r="U2519" s="14" t="s">
        <v>1401</v>
      </c>
      <c r="V2519" s="14">
        <v>31925052</v>
      </c>
      <c r="X2519" s="14" t="s">
        <v>4389</v>
      </c>
      <c r="Y2519" s="14" t="s">
        <v>215</v>
      </c>
      <c r="Z2519" s="14">
        <v>21282</v>
      </c>
      <c r="AA2519" s="14" t="s">
        <v>4390</v>
      </c>
      <c r="AB2519" s="14">
        <v>40001</v>
      </c>
      <c r="AE2519" s="14" t="s">
        <v>1400</v>
      </c>
      <c r="AF2519" s="14" t="s">
        <v>1400</v>
      </c>
      <c r="AG2519" s="14" t="s">
        <v>95</v>
      </c>
    </row>
    <row r="2520" spans="2:33">
      <c r="B2520" s="14">
        <f>10000000+INDEX(编号表!$B:$B,MATCH(H2520,编号表!$A:$A,0))*100000+INDEX(编号表!$F:$F,MATCH(D2520,编号表!$E:$E,0))*10000+INDEX(编号表!$D:$D,MATCH(AG2520,编号表!$C:$C,0))*1000+F2520</f>
        <v>11935053</v>
      </c>
      <c r="C2520" s="14" t="s">
        <v>4388</v>
      </c>
      <c r="D2520" s="14" t="s">
        <v>276</v>
      </c>
      <c r="E2520" s="14" t="s">
        <v>95</v>
      </c>
      <c r="F2520" s="14">
        <v>53</v>
      </c>
      <c r="G2520" s="14">
        <v>60</v>
      </c>
      <c r="H2520" s="14" t="s">
        <v>1400</v>
      </c>
      <c r="I2520" s="14" t="s">
        <v>75</v>
      </c>
      <c r="J2520" s="14" t="s">
        <v>201</v>
      </c>
      <c r="K2520" s="14">
        <v>1</v>
      </c>
      <c r="L2520" s="14" t="s">
        <v>1400</v>
      </c>
      <c r="N2520" s="14">
        <v>0</v>
      </c>
      <c r="O2520" s="14" t="b">
        <v>1</v>
      </c>
      <c r="Q2520" s="14" t="b">
        <v>0</v>
      </c>
      <c r="R2520" s="14">
        <v>1</v>
      </c>
      <c r="S2520" s="14" t="s">
        <v>77</v>
      </c>
      <c r="T2520" s="14">
        <v>999</v>
      </c>
      <c r="U2520" s="14" t="s">
        <v>1401</v>
      </c>
      <c r="V2520" s="14">
        <v>31935053</v>
      </c>
      <c r="X2520" s="14" t="s">
        <v>4391</v>
      </c>
      <c r="Y2520" s="14" t="s">
        <v>215</v>
      </c>
      <c r="Z2520" s="14">
        <v>21283</v>
      </c>
      <c r="AA2520" s="14" t="s">
        <v>4392</v>
      </c>
      <c r="AB2520" s="14">
        <v>40001</v>
      </c>
      <c r="AE2520" s="14" t="s">
        <v>1400</v>
      </c>
      <c r="AF2520" s="14" t="s">
        <v>1400</v>
      </c>
      <c r="AG2520" s="14" t="s">
        <v>95</v>
      </c>
    </row>
    <row r="2521" spans="2:33">
      <c r="B2521" s="14">
        <f>10000000+INDEX(编号表!$B:$B,MATCH(H2521,编号表!$A:$A,0))*100000+INDEX(编号表!$F:$F,MATCH(D2521,编号表!$E:$E,0))*10000+INDEX(编号表!$D:$D,MATCH(AG2521,编号表!$C:$C,0))*1000+F2521</f>
        <v>11945054</v>
      </c>
      <c r="C2521" s="14" t="s">
        <v>4388</v>
      </c>
      <c r="D2521" s="14" t="s">
        <v>104</v>
      </c>
      <c r="E2521" s="14" t="s">
        <v>95</v>
      </c>
      <c r="F2521" s="14">
        <v>54</v>
      </c>
      <c r="G2521" s="14">
        <v>60</v>
      </c>
      <c r="H2521" s="14" t="s">
        <v>1400</v>
      </c>
      <c r="I2521" s="14" t="s">
        <v>75</v>
      </c>
      <c r="J2521" s="14" t="s">
        <v>201</v>
      </c>
      <c r="K2521" s="14">
        <v>1</v>
      </c>
      <c r="L2521" s="14" t="s">
        <v>1400</v>
      </c>
      <c r="N2521" s="14">
        <v>0</v>
      </c>
      <c r="O2521" s="14" t="b">
        <v>1</v>
      </c>
      <c r="Q2521" s="14" t="b">
        <v>0</v>
      </c>
      <c r="R2521" s="14">
        <v>1</v>
      </c>
      <c r="S2521" s="14" t="s">
        <v>77</v>
      </c>
      <c r="T2521" s="14">
        <v>999</v>
      </c>
      <c r="U2521" s="14" t="s">
        <v>1401</v>
      </c>
      <c r="V2521" s="14">
        <v>31945054</v>
      </c>
      <c r="X2521" s="14" t="s">
        <v>4393</v>
      </c>
      <c r="Y2521" s="14" t="s">
        <v>215</v>
      </c>
      <c r="Z2521" s="14">
        <v>21284</v>
      </c>
      <c r="AA2521" s="14" t="s">
        <v>4394</v>
      </c>
      <c r="AB2521" s="14">
        <v>40001</v>
      </c>
      <c r="AE2521" s="14" t="s">
        <v>1400</v>
      </c>
      <c r="AF2521" s="14" t="s">
        <v>1400</v>
      </c>
      <c r="AG2521" s="14" t="s">
        <v>95</v>
      </c>
    </row>
    <row r="2522" spans="2:33">
      <c r="B2522" s="14">
        <f>10000000+INDEX(编号表!$B:$B,MATCH(H2522,编号表!$A:$A,0))*100000+INDEX(编号表!$F:$F,MATCH(D2522,编号表!$E:$E,0))*10000+INDEX(编号表!$D:$D,MATCH(AG2522,编号表!$C:$C,0))*1000+F2522</f>
        <v>11925053</v>
      </c>
      <c r="C2522" s="14" t="s">
        <v>4395</v>
      </c>
      <c r="D2522" s="14" t="s">
        <v>112</v>
      </c>
      <c r="E2522" s="14" t="s">
        <v>95</v>
      </c>
      <c r="F2522" s="14">
        <v>53</v>
      </c>
      <c r="G2522" s="14">
        <v>60</v>
      </c>
      <c r="H2522" s="14" t="s">
        <v>1400</v>
      </c>
      <c r="I2522" s="14" t="s">
        <v>75</v>
      </c>
      <c r="J2522" s="14" t="s">
        <v>201</v>
      </c>
      <c r="K2522" s="14">
        <v>1</v>
      </c>
      <c r="L2522" s="14" t="s">
        <v>1400</v>
      </c>
      <c r="N2522" s="14">
        <v>0</v>
      </c>
      <c r="O2522" s="14" t="b">
        <v>1</v>
      </c>
      <c r="Q2522" s="14" t="b">
        <v>0</v>
      </c>
      <c r="R2522" s="14">
        <v>1</v>
      </c>
      <c r="S2522" s="14" t="s">
        <v>77</v>
      </c>
      <c r="T2522" s="14">
        <v>999</v>
      </c>
      <c r="U2522" s="14" t="s">
        <v>1401</v>
      </c>
      <c r="V2522" s="14">
        <v>31925053</v>
      </c>
      <c r="X2522" s="14" t="s">
        <v>4396</v>
      </c>
      <c r="Y2522" s="14" t="s">
        <v>215</v>
      </c>
      <c r="Z2522" s="14">
        <v>21285</v>
      </c>
      <c r="AA2522" s="14" t="s">
        <v>4397</v>
      </c>
      <c r="AB2522" s="14">
        <v>40001</v>
      </c>
      <c r="AE2522" s="14" t="s">
        <v>1400</v>
      </c>
      <c r="AF2522" s="14" t="s">
        <v>1400</v>
      </c>
      <c r="AG2522" s="14" t="s">
        <v>95</v>
      </c>
    </row>
    <row r="2523" spans="2:33">
      <c r="B2523" s="14">
        <f>10000000+INDEX(编号表!$B:$B,MATCH(H2523,编号表!$A:$A,0))*100000+INDEX(编号表!$F:$F,MATCH(D2523,编号表!$E:$E,0))*10000+INDEX(编号表!$D:$D,MATCH(AG2523,编号表!$C:$C,0))*1000+F2523</f>
        <v>11935054</v>
      </c>
      <c r="C2523" s="14" t="s">
        <v>4395</v>
      </c>
      <c r="D2523" s="14" t="s">
        <v>276</v>
      </c>
      <c r="E2523" s="14" t="s">
        <v>95</v>
      </c>
      <c r="F2523" s="14">
        <v>54</v>
      </c>
      <c r="G2523" s="14">
        <v>60</v>
      </c>
      <c r="H2523" s="14" t="s">
        <v>1400</v>
      </c>
      <c r="I2523" s="14" t="s">
        <v>75</v>
      </c>
      <c r="J2523" s="14" t="s">
        <v>201</v>
      </c>
      <c r="K2523" s="14">
        <v>1</v>
      </c>
      <c r="L2523" s="14" t="s">
        <v>1400</v>
      </c>
      <c r="N2523" s="14">
        <v>0</v>
      </c>
      <c r="O2523" s="14" t="b">
        <v>1</v>
      </c>
      <c r="Q2523" s="14" t="b">
        <v>0</v>
      </c>
      <c r="R2523" s="14">
        <v>1</v>
      </c>
      <c r="S2523" s="14" t="s">
        <v>77</v>
      </c>
      <c r="T2523" s="14">
        <v>999</v>
      </c>
      <c r="U2523" s="14" t="s">
        <v>1401</v>
      </c>
      <c r="V2523" s="14">
        <v>31935054</v>
      </c>
      <c r="X2523" s="14" t="s">
        <v>4398</v>
      </c>
      <c r="Y2523" s="14" t="s">
        <v>215</v>
      </c>
      <c r="Z2523" s="14">
        <v>21286</v>
      </c>
      <c r="AA2523" s="14" t="s">
        <v>4399</v>
      </c>
      <c r="AB2523" s="14">
        <v>40001</v>
      </c>
      <c r="AE2523" s="14" t="s">
        <v>1400</v>
      </c>
      <c r="AF2523" s="14" t="s">
        <v>1400</v>
      </c>
      <c r="AG2523" s="14" t="s">
        <v>95</v>
      </c>
    </row>
    <row r="2524" spans="2:33">
      <c r="B2524" s="14">
        <f>10000000+INDEX(编号表!$B:$B,MATCH(H2524,编号表!$A:$A,0))*100000+INDEX(编号表!$F:$F,MATCH(D2524,编号表!$E:$E,0))*10000+INDEX(编号表!$D:$D,MATCH(AG2524,编号表!$C:$C,0))*1000+F2524</f>
        <v>11945055</v>
      </c>
      <c r="C2524" s="14" t="s">
        <v>4395</v>
      </c>
      <c r="D2524" s="14" t="s">
        <v>104</v>
      </c>
      <c r="E2524" s="14" t="s">
        <v>95</v>
      </c>
      <c r="F2524" s="14">
        <v>55</v>
      </c>
      <c r="G2524" s="14">
        <v>60</v>
      </c>
      <c r="H2524" s="14" t="s">
        <v>1400</v>
      </c>
      <c r="I2524" s="14" t="s">
        <v>75</v>
      </c>
      <c r="J2524" s="14" t="s">
        <v>201</v>
      </c>
      <c r="K2524" s="14">
        <v>1</v>
      </c>
      <c r="L2524" s="14" t="s">
        <v>1400</v>
      </c>
      <c r="N2524" s="14">
        <v>0</v>
      </c>
      <c r="O2524" s="14" t="b">
        <v>1</v>
      </c>
      <c r="Q2524" s="14" t="b">
        <v>0</v>
      </c>
      <c r="R2524" s="14">
        <v>1</v>
      </c>
      <c r="S2524" s="14" t="s">
        <v>77</v>
      </c>
      <c r="T2524" s="14">
        <v>999</v>
      </c>
      <c r="U2524" s="14" t="s">
        <v>1401</v>
      </c>
      <c r="V2524" s="14">
        <v>31945055</v>
      </c>
      <c r="X2524" s="14" t="s">
        <v>4400</v>
      </c>
      <c r="Y2524" s="14" t="s">
        <v>215</v>
      </c>
      <c r="Z2524" s="14">
        <v>21287</v>
      </c>
      <c r="AA2524" s="14" t="s">
        <v>4401</v>
      </c>
      <c r="AB2524" s="14">
        <v>40001</v>
      </c>
      <c r="AE2524" s="14" t="s">
        <v>1400</v>
      </c>
      <c r="AF2524" s="14" t="s">
        <v>1400</v>
      </c>
      <c r="AG2524" s="14" t="s">
        <v>95</v>
      </c>
    </row>
    <row r="2525" spans="2:33">
      <c r="B2525" s="14">
        <f>10000000+INDEX(编号表!$B:$B,MATCH(H2525,编号表!$A:$A,0))*100000+INDEX(编号表!$F:$F,MATCH(D2525,编号表!$E:$E,0))*10000+INDEX(编号表!$D:$D,MATCH(AG2525,编号表!$C:$C,0))*1000+F2525</f>
        <v>11925054</v>
      </c>
      <c r="C2525" s="14" t="s">
        <v>4402</v>
      </c>
      <c r="D2525" s="14" t="s">
        <v>112</v>
      </c>
      <c r="E2525" s="14" t="s">
        <v>95</v>
      </c>
      <c r="F2525" s="14">
        <v>54</v>
      </c>
      <c r="G2525" s="14">
        <v>60</v>
      </c>
      <c r="H2525" s="14" t="s">
        <v>1400</v>
      </c>
      <c r="I2525" s="14" t="s">
        <v>75</v>
      </c>
      <c r="J2525" s="14" t="s">
        <v>201</v>
      </c>
      <c r="K2525" s="14">
        <v>1</v>
      </c>
      <c r="L2525" s="14" t="s">
        <v>1400</v>
      </c>
      <c r="N2525" s="14">
        <v>0</v>
      </c>
      <c r="O2525" s="14" t="b">
        <v>1</v>
      </c>
      <c r="Q2525" s="14" t="b">
        <v>0</v>
      </c>
      <c r="R2525" s="14">
        <v>1</v>
      </c>
      <c r="S2525" s="14" t="s">
        <v>77</v>
      </c>
      <c r="T2525" s="14">
        <v>999</v>
      </c>
      <c r="U2525" s="14" t="s">
        <v>1401</v>
      </c>
      <c r="V2525" s="14">
        <v>31925054</v>
      </c>
      <c r="X2525" s="14" t="s">
        <v>4403</v>
      </c>
      <c r="Y2525" s="14" t="s">
        <v>215</v>
      </c>
      <c r="Z2525" s="14">
        <v>21288</v>
      </c>
      <c r="AA2525" s="14" t="s">
        <v>4404</v>
      </c>
      <c r="AB2525" s="14">
        <v>40001</v>
      </c>
      <c r="AE2525" s="14" t="s">
        <v>1400</v>
      </c>
      <c r="AF2525" s="14" t="s">
        <v>1400</v>
      </c>
      <c r="AG2525" s="14" t="s">
        <v>95</v>
      </c>
    </row>
    <row r="2526" spans="2:33">
      <c r="B2526" s="14">
        <f>10000000+INDEX(编号表!$B:$B,MATCH(H2526,编号表!$A:$A,0))*100000+INDEX(编号表!$F:$F,MATCH(D2526,编号表!$E:$E,0))*10000+INDEX(编号表!$D:$D,MATCH(AG2526,编号表!$C:$C,0))*1000+F2526</f>
        <v>11935055</v>
      </c>
      <c r="C2526" s="14" t="s">
        <v>4402</v>
      </c>
      <c r="D2526" s="14" t="s">
        <v>276</v>
      </c>
      <c r="E2526" s="14" t="s">
        <v>95</v>
      </c>
      <c r="F2526" s="14">
        <v>55</v>
      </c>
      <c r="G2526" s="14">
        <v>60</v>
      </c>
      <c r="H2526" s="14" t="s">
        <v>1400</v>
      </c>
      <c r="I2526" s="14" t="s">
        <v>75</v>
      </c>
      <c r="J2526" s="14" t="s">
        <v>201</v>
      </c>
      <c r="K2526" s="14">
        <v>1</v>
      </c>
      <c r="L2526" s="14" t="s">
        <v>1400</v>
      </c>
      <c r="N2526" s="14">
        <v>0</v>
      </c>
      <c r="O2526" s="14" t="b">
        <v>1</v>
      </c>
      <c r="Q2526" s="14" t="b">
        <v>0</v>
      </c>
      <c r="R2526" s="14">
        <v>1</v>
      </c>
      <c r="S2526" s="14" t="s">
        <v>77</v>
      </c>
      <c r="T2526" s="14">
        <v>999</v>
      </c>
      <c r="U2526" s="14" t="s">
        <v>1401</v>
      </c>
      <c r="V2526" s="14">
        <v>31935055</v>
      </c>
      <c r="X2526" s="14" t="s">
        <v>4405</v>
      </c>
      <c r="Y2526" s="14" t="s">
        <v>215</v>
      </c>
      <c r="Z2526" s="14">
        <v>21289</v>
      </c>
      <c r="AA2526" s="14" t="s">
        <v>4406</v>
      </c>
      <c r="AB2526" s="14">
        <v>40001</v>
      </c>
      <c r="AE2526" s="14" t="s">
        <v>1400</v>
      </c>
      <c r="AF2526" s="14" t="s">
        <v>1400</v>
      </c>
      <c r="AG2526" s="14" t="s">
        <v>95</v>
      </c>
    </row>
    <row r="2527" spans="2:33">
      <c r="B2527" s="14">
        <f>10000000+INDEX(编号表!$B:$B,MATCH(H2527,编号表!$A:$A,0))*100000+INDEX(编号表!$F:$F,MATCH(D2527,编号表!$E:$E,0))*10000+INDEX(编号表!$D:$D,MATCH(AG2527,编号表!$C:$C,0))*1000+F2527</f>
        <v>11945056</v>
      </c>
      <c r="C2527" s="14" t="s">
        <v>4402</v>
      </c>
      <c r="D2527" s="14" t="s">
        <v>104</v>
      </c>
      <c r="E2527" s="14" t="s">
        <v>95</v>
      </c>
      <c r="F2527" s="14">
        <v>56</v>
      </c>
      <c r="G2527" s="14">
        <v>60</v>
      </c>
      <c r="H2527" s="14" t="s">
        <v>1400</v>
      </c>
      <c r="I2527" s="14" t="s">
        <v>75</v>
      </c>
      <c r="J2527" s="14" t="s">
        <v>201</v>
      </c>
      <c r="K2527" s="14">
        <v>1</v>
      </c>
      <c r="L2527" s="14" t="s">
        <v>1400</v>
      </c>
      <c r="N2527" s="14">
        <v>0</v>
      </c>
      <c r="O2527" s="14" t="b">
        <v>1</v>
      </c>
      <c r="Q2527" s="14" t="b">
        <v>0</v>
      </c>
      <c r="R2527" s="14">
        <v>1</v>
      </c>
      <c r="S2527" s="14" t="s">
        <v>77</v>
      </c>
      <c r="T2527" s="14">
        <v>999</v>
      </c>
      <c r="U2527" s="14" t="s">
        <v>1401</v>
      </c>
      <c r="V2527" s="14">
        <v>31945056</v>
      </c>
      <c r="X2527" s="14" t="s">
        <v>4407</v>
      </c>
      <c r="Y2527" s="14" t="s">
        <v>215</v>
      </c>
      <c r="Z2527" s="14">
        <v>21290</v>
      </c>
      <c r="AA2527" s="14" t="s">
        <v>4408</v>
      </c>
      <c r="AB2527" s="14">
        <v>40001</v>
      </c>
      <c r="AE2527" s="14" t="s">
        <v>1400</v>
      </c>
      <c r="AF2527" s="14" t="s">
        <v>1400</v>
      </c>
      <c r="AG2527" s="14" t="s">
        <v>95</v>
      </c>
    </row>
    <row r="2528" spans="2:33">
      <c r="B2528" s="14">
        <f>10000000+INDEX(编号表!$B:$B,MATCH(H2528,编号表!$A:$A,0))*100000+INDEX(编号表!$F:$F,MATCH(D2528,编号表!$E:$E,0))*10000+INDEX(编号表!$D:$D,MATCH(AG2528,编号表!$C:$C,0))*1000+F2528</f>
        <v>11925055</v>
      </c>
      <c r="C2528" s="14" t="s">
        <v>4409</v>
      </c>
      <c r="D2528" s="14" t="s">
        <v>112</v>
      </c>
      <c r="E2528" s="14" t="s">
        <v>95</v>
      </c>
      <c r="F2528" s="14">
        <v>55</v>
      </c>
      <c r="G2528" s="14">
        <v>60</v>
      </c>
      <c r="H2528" s="14" t="s">
        <v>1400</v>
      </c>
      <c r="I2528" s="14" t="s">
        <v>75</v>
      </c>
      <c r="J2528" s="14" t="s">
        <v>201</v>
      </c>
      <c r="K2528" s="14">
        <v>1</v>
      </c>
      <c r="L2528" s="14" t="s">
        <v>1400</v>
      </c>
      <c r="N2528" s="14">
        <v>0</v>
      </c>
      <c r="O2528" s="14" t="b">
        <v>1</v>
      </c>
      <c r="Q2528" s="14" t="b">
        <v>0</v>
      </c>
      <c r="R2528" s="14">
        <v>1</v>
      </c>
      <c r="S2528" s="14" t="s">
        <v>77</v>
      </c>
      <c r="T2528" s="14">
        <v>999</v>
      </c>
      <c r="U2528" s="14" t="s">
        <v>1401</v>
      </c>
      <c r="V2528" s="14">
        <v>31925055</v>
      </c>
      <c r="X2528" s="14" t="s">
        <v>4410</v>
      </c>
      <c r="Y2528" s="14" t="s">
        <v>215</v>
      </c>
      <c r="Z2528" s="14">
        <v>21291</v>
      </c>
      <c r="AA2528" s="14" t="s">
        <v>4411</v>
      </c>
      <c r="AB2528" s="14">
        <v>40001</v>
      </c>
      <c r="AE2528" s="14" t="s">
        <v>1400</v>
      </c>
      <c r="AF2528" s="14" t="s">
        <v>1400</v>
      </c>
      <c r="AG2528" s="14" t="s">
        <v>95</v>
      </c>
    </row>
    <row r="2529" spans="2:33">
      <c r="B2529" s="14">
        <f>10000000+INDEX(编号表!$B:$B,MATCH(H2529,编号表!$A:$A,0))*100000+INDEX(编号表!$F:$F,MATCH(D2529,编号表!$E:$E,0))*10000+INDEX(编号表!$D:$D,MATCH(AG2529,编号表!$C:$C,0))*1000+F2529</f>
        <v>11935056</v>
      </c>
      <c r="C2529" s="14" t="s">
        <v>4409</v>
      </c>
      <c r="D2529" s="14" t="s">
        <v>276</v>
      </c>
      <c r="E2529" s="14" t="s">
        <v>95</v>
      </c>
      <c r="F2529" s="14">
        <v>56</v>
      </c>
      <c r="G2529" s="14">
        <v>60</v>
      </c>
      <c r="H2529" s="14" t="s">
        <v>1400</v>
      </c>
      <c r="I2529" s="14" t="s">
        <v>75</v>
      </c>
      <c r="J2529" s="14" t="s">
        <v>201</v>
      </c>
      <c r="K2529" s="14">
        <v>1</v>
      </c>
      <c r="L2529" s="14" t="s">
        <v>1400</v>
      </c>
      <c r="N2529" s="14">
        <v>0</v>
      </c>
      <c r="O2529" s="14" t="b">
        <v>1</v>
      </c>
      <c r="Q2529" s="14" t="b">
        <v>0</v>
      </c>
      <c r="R2529" s="14">
        <v>1</v>
      </c>
      <c r="S2529" s="14" t="s">
        <v>77</v>
      </c>
      <c r="T2529" s="14">
        <v>999</v>
      </c>
      <c r="U2529" s="14" t="s">
        <v>1401</v>
      </c>
      <c r="V2529" s="14">
        <v>31935056</v>
      </c>
      <c r="X2529" s="14" t="s">
        <v>4412</v>
      </c>
      <c r="Y2529" s="14" t="s">
        <v>215</v>
      </c>
      <c r="Z2529" s="14">
        <v>21292</v>
      </c>
      <c r="AA2529" s="14" t="s">
        <v>4413</v>
      </c>
      <c r="AB2529" s="14">
        <v>40001</v>
      </c>
      <c r="AE2529" s="14" t="s">
        <v>1400</v>
      </c>
      <c r="AF2529" s="14" t="s">
        <v>1400</v>
      </c>
      <c r="AG2529" s="14" t="s">
        <v>95</v>
      </c>
    </row>
    <row r="2530" spans="2:33">
      <c r="B2530" s="14">
        <f>10000000+INDEX(编号表!$B:$B,MATCH(H2530,编号表!$A:$A,0))*100000+INDEX(编号表!$F:$F,MATCH(D2530,编号表!$E:$E,0))*10000+INDEX(编号表!$D:$D,MATCH(AG2530,编号表!$C:$C,0))*1000+F2530</f>
        <v>11945057</v>
      </c>
      <c r="C2530" s="14" t="s">
        <v>4409</v>
      </c>
      <c r="D2530" s="14" t="s">
        <v>104</v>
      </c>
      <c r="E2530" s="14" t="s">
        <v>95</v>
      </c>
      <c r="F2530" s="14">
        <v>57</v>
      </c>
      <c r="G2530" s="14">
        <v>60</v>
      </c>
      <c r="H2530" s="14" t="s">
        <v>1400</v>
      </c>
      <c r="I2530" s="14" t="s">
        <v>75</v>
      </c>
      <c r="J2530" s="14" t="s">
        <v>201</v>
      </c>
      <c r="K2530" s="14">
        <v>1</v>
      </c>
      <c r="L2530" s="14" t="s">
        <v>1400</v>
      </c>
      <c r="N2530" s="14">
        <v>0</v>
      </c>
      <c r="O2530" s="14" t="b">
        <v>1</v>
      </c>
      <c r="Q2530" s="14" t="b">
        <v>0</v>
      </c>
      <c r="R2530" s="14">
        <v>1</v>
      </c>
      <c r="S2530" s="14" t="s">
        <v>77</v>
      </c>
      <c r="T2530" s="14">
        <v>999</v>
      </c>
      <c r="U2530" s="14" t="s">
        <v>1401</v>
      </c>
      <c r="V2530" s="14">
        <v>31945057</v>
      </c>
      <c r="X2530" s="14" t="s">
        <v>4414</v>
      </c>
      <c r="Y2530" s="14" t="s">
        <v>215</v>
      </c>
      <c r="Z2530" s="14">
        <v>21293</v>
      </c>
      <c r="AA2530" s="14" t="s">
        <v>4415</v>
      </c>
      <c r="AB2530" s="14">
        <v>40001</v>
      </c>
      <c r="AE2530" s="14" t="s">
        <v>1400</v>
      </c>
      <c r="AF2530" s="14" t="s">
        <v>1400</v>
      </c>
      <c r="AG2530" s="14" t="s">
        <v>95</v>
      </c>
    </row>
    <row r="2531" spans="2:33">
      <c r="B2531" s="14">
        <f>10000000+INDEX(编号表!$B:$B,MATCH(H2531,编号表!$A:$A,0))*100000+INDEX(编号表!$F:$F,MATCH(D2531,编号表!$E:$E,0))*10000+INDEX(编号表!$D:$D,MATCH(AG2531,编号表!$C:$C,0))*1000+F2531</f>
        <v>11925056</v>
      </c>
      <c r="C2531" s="14" t="s">
        <v>4416</v>
      </c>
      <c r="D2531" s="14" t="s">
        <v>112</v>
      </c>
      <c r="E2531" s="14" t="s">
        <v>95</v>
      </c>
      <c r="F2531" s="14">
        <v>56</v>
      </c>
      <c r="G2531" s="14">
        <v>60</v>
      </c>
      <c r="H2531" s="14" t="s">
        <v>1400</v>
      </c>
      <c r="I2531" s="14" t="s">
        <v>75</v>
      </c>
      <c r="J2531" s="14" t="s">
        <v>201</v>
      </c>
      <c r="K2531" s="14">
        <v>1</v>
      </c>
      <c r="L2531" s="14" t="s">
        <v>1400</v>
      </c>
      <c r="N2531" s="14">
        <v>0</v>
      </c>
      <c r="O2531" s="14" t="b">
        <v>1</v>
      </c>
      <c r="Q2531" s="14" t="b">
        <v>0</v>
      </c>
      <c r="R2531" s="14">
        <v>1</v>
      </c>
      <c r="S2531" s="14" t="s">
        <v>77</v>
      </c>
      <c r="T2531" s="14">
        <v>999</v>
      </c>
      <c r="U2531" s="14" t="s">
        <v>1401</v>
      </c>
      <c r="V2531" s="14">
        <v>31925056</v>
      </c>
      <c r="X2531" s="14" t="s">
        <v>4417</v>
      </c>
      <c r="Y2531" s="14" t="s">
        <v>215</v>
      </c>
      <c r="Z2531" s="14">
        <v>21294</v>
      </c>
      <c r="AA2531" s="14" t="s">
        <v>4418</v>
      </c>
      <c r="AB2531" s="14">
        <v>40001</v>
      </c>
      <c r="AE2531" s="14" t="s">
        <v>1400</v>
      </c>
      <c r="AF2531" s="14" t="s">
        <v>1400</v>
      </c>
      <c r="AG2531" s="14" t="s">
        <v>95</v>
      </c>
    </row>
    <row r="2532" spans="2:33">
      <c r="B2532" s="14">
        <f>10000000+INDEX(编号表!$B:$B,MATCH(H2532,编号表!$A:$A,0))*100000+INDEX(编号表!$F:$F,MATCH(D2532,编号表!$E:$E,0))*10000+INDEX(编号表!$D:$D,MATCH(AG2532,编号表!$C:$C,0))*1000+F2532</f>
        <v>11935057</v>
      </c>
      <c r="C2532" s="14" t="s">
        <v>4416</v>
      </c>
      <c r="D2532" s="14" t="s">
        <v>276</v>
      </c>
      <c r="E2532" s="14" t="s">
        <v>95</v>
      </c>
      <c r="F2532" s="14">
        <v>57</v>
      </c>
      <c r="G2532" s="14">
        <v>60</v>
      </c>
      <c r="H2532" s="14" t="s">
        <v>1400</v>
      </c>
      <c r="I2532" s="14" t="s">
        <v>75</v>
      </c>
      <c r="J2532" s="14" t="s">
        <v>201</v>
      </c>
      <c r="K2532" s="14">
        <v>1</v>
      </c>
      <c r="L2532" s="14" t="s">
        <v>1400</v>
      </c>
      <c r="N2532" s="14">
        <v>0</v>
      </c>
      <c r="O2532" s="14" t="b">
        <v>1</v>
      </c>
      <c r="Q2532" s="14" t="b">
        <v>0</v>
      </c>
      <c r="R2532" s="14">
        <v>1</v>
      </c>
      <c r="S2532" s="14" t="s">
        <v>77</v>
      </c>
      <c r="T2532" s="14">
        <v>999</v>
      </c>
      <c r="U2532" s="14" t="s">
        <v>1401</v>
      </c>
      <c r="V2532" s="14">
        <v>31935057</v>
      </c>
      <c r="X2532" s="14" t="s">
        <v>4419</v>
      </c>
      <c r="Y2532" s="14" t="s">
        <v>215</v>
      </c>
      <c r="Z2532" s="14">
        <v>21295</v>
      </c>
      <c r="AA2532" s="14" t="s">
        <v>4420</v>
      </c>
      <c r="AB2532" s="14">
        <v>40001</v>
      </c>
      <c r="AE2532" s="14" t="s">
        <v>1400</v>
      </c>
      <c r="AF2532" s="14" t="s">
        <v>1400</v>
      </c>
      <c r="AG2532" s="14" t="s">
        <v>95</v>
      </c>
    </row>
    <row r="2533" spans="2:33">
      <c r="B2533" s="14">
        <f>10000000+INDEX(编号表!$B:$B,MATCH(H2533,编号表!$A:$A,0))*100000+INDEX(编号表!$F:$F,MATCH(D2533,编号表!$E:$E,0))*10000+INDEX(编号表!$D:$D,MATCH(AG2533,编号表!$C:$C,0))*1000+F2533</f>
        <v>11945058</v>
      </c>
      <c r="C2533" s="14" t="s">
        <v>4416</v>
      </c>
      <c r="D2533" s="14" t="s">
        <v>104</v>
      </c>
      <c r="E2533" s="14" t="s">
        <v>95</v>
      </c>
      <c r="F2533" s="14">
        <v>58</v>
      </c>
      <c r="G2533" s="14">
        <v>60</v>
      </c>
      <c r="H2533" s="14" t="s">
        <v>1400</v>
      </c>
      <c r="I2533" s="14" t="s">
        <v>75</v>
      </c>
      <c r="J2533" s="14" t="s">
        <v>201</v>
      </c>
      <c r="K2533" s="14">
        <v>1</v>
      </c>
      <c r="L2533" s="14" t="s">
        <v>1400</v>
      </c>
      <c r="N2533" s="14">
        <v>0</v>
      </c>
      <c r="O2533" s="14" t="b">
        <v>1</v>
      </c>
      <c r="Q2533" s="14" t="b">
        <v>0</v>
      </c>
      <c r="R2533" s="14">
        <v>1</v>
      </c>
      <c r="S2533" s="14" t="s">
        <v>77</v>
      </c>
      <c r="T2533" s="14">
        <v>999</v>
      </c>
      <c r="U2533" s="14" t="s">
        <v>1401</v>
      </c>
      <c r="V2533" s="14">
        <v>31945058</v>
      </c>
      <c r="X2533" s="14" t="s">
        <v>4421</v>
      </c>
      <c r="Y2533" s="14" t="s">
        <v>215</v>
      </c>
      <c r="Z2533" s="14">
        <v>21296</v>
      </c>
      <c r="AA2533" s="14" t="s">
        <v>4422</v>
      </c>
      <c r="AB2533" s="14">
        <v>40001</v>
      </c>
      <c r="AE2533" s="14" t="s">
        <v>1400</v>
      </c>
      <c r="AF2533" s="14" t="s">
        <v>1400</v>
      </c>
      <c r="AG2533" s="14" t="s">
        <v>95</v>
      </c>
    </row>
    <row r="2534" spans="2:33">
      <c r="B2534" s="14">
        <f>10000000+INDEX(编号表!$B:$B,MATCH(H2534,编号表!$A:$A,0))*100000+INDEX(编号表!$F:$F,MATCH(D2534,编号表!$E:$E,0))*10000+INDEX(编号表!$D:$D,MATCH(AG2534,编号表!$C:$C,0))*1000+F2534</f>
        <v>11925057</v>
      </c>
      <c r="C2534" s="14" t="s">
        <v>4423</v>
      </c>
      <c r="D2534" s="14" t="s">
        <v>112</v>
      </c>
      <c r="E2534" s="14" t="s">
        <v>95</v>
      </c>
      <c r="F2534" s="14">
        <v>57</v>
      </c>
      <c r="G2534" s="14">
        <v>60</v>
      </c>
      <c r="H2534" s="14" t="s">
        <v>1400</v>
      </c>
      <c r="I2534" s="14" t="s">
        <v>75</v>
      </c>
      <c r="J2534" s="14" t="s">
        <v>201</v>
      </c>
      <c r="K2534" s="14">
        <v>1</v>
      </c>
      <c r="L2534" s="14" t="s">
        <v>1400</v>
      </c>
      <c r="N2534" s="14">
        <v>0</v>
      </c>
      <c r="O2534" s="14" t="b">
        <v>1</v>
      </c>
      <c r="Q2534" s="14" t="b">
        <v>0</v>
      </c>
      <c r="R2534" s="14">
        <v>1</v>
      </c>
      <c r="S2534" s="14" t="s">
        <v>77</v>
      </c>
      <c r="T2534" s="14">
        <v>999</v>
      </c>
      <c r="U2534" s="14" t="s">
        <v>1401</v>
      </c>
      <c r="V2534" s="14">
        <v>31925057</v>
      </c>
      <c r="X2534" s="14" t="s">
        <v>4424</v>
      </c>
      <c r="Y2534" s="14" t="s">
        <v>215</v>
      </c>
      <c r="Z2534" s="14">
        <v>21297</v>
      </c>
      <c r="AA2534" s="14" t="s">
        <v>4425</v>
      </c>
      <c r="AB2534" s="14">
        <v>40001</v>
      </c>
      <c r="AE2534" s="14" t="s">
        <v>1400</v>
      </c>
      <c r="AF2534" s="14" t="s">
        <v>1400</v>
      </c>
      <c r="AG2534" s="14" t="s">
        <v>95</v>
      </c>
    </row>
    <row r="2535" spans="2:33">
      <c r="B2535" s="14">
        <f>10000000+INDEX(编号表!$B:$B,MATCH(H2535,编号表!$A:$A,0))*100000+INDEX(编号表!$F:$F,MATCH(D2535,编号表!$E:$E,0))*10000+INDEX(编号表!$D:$D,MATCH(AG2535,编号表!$C:$C,0))*1000+F2535</f>
        <v>11935058</v>
      </c>
      <c r="C2535" s="14" t="s">
        <v>4423</v>
      </c>
      <c r="D2535" s="14" t="s">
        <v>276</v>
      </c>
      <c r="E2535" s="14" t="s">
        <v>95</v>
      </c>
      <c r="F2535" s="14">
        <v>58</v>
      </c>
      <c r="G2535" s="14">
        <v>60</v>
      </c>
      <c r="H2535" s="14" t="s">
        <v>1400</v>
      </c>
      <c r="I2535" s="14" t="s">
        <v>75</v>
      </c>
      <c r="J2535" s="14" t="s">
        <v>201</v>
      </c>
      <c r="K2535" s="14">
        <v>1</v>
      </c>
      <c r="L2535" s="14" t="s">
        <v>1400</v>
      </c>
      <c r="N2535" s="14">
        <v>0</v>
      </c>
      <c r="O2535" s="14" t="b">
        <v>1</v>
      </c>
      <c r="Q2535" s="14" t="b">
        <v>0</v>
      </c>
      <c r="R2535" s="14">
        <v>1</v>
      </c>
      <c r="S2535" s="14" t="s">
        <v>77</v>
      </c>
      <c r="T2535" s="14">
        <v>999</v>
      </c>
      <c r="U2535" s="14" t="s">
        <v>1401</v>
      </c>
      <c r="V2535" s="14">
        <v>31935058</v>
      </c>
      <c r="X2535" s="14" t="s">
        <v>4426</v>
      </c>
      <c r="Y2535" s="14" t="s">
        <v>215</v>
      </c>
      <c r="Z2535" s="14">
        <v>21298</v>
      </c>
      <c r="AA2535" s="14" t="s">
        <v>4427</v>
      </c>
      <c r="AB2535" s="14">
        <v>40001</v>
      </c>
      <c r="AE2535" s="14" t="s">
        <v>1400</v>
      </c>
      <c r="AF2535" s="14" t="s">
        <v>1400</v>
      </c>
      <c r="AG2535" s="14" t="s">
        <v>95</v>
      </c>
    </row>
    <row r="2536" spans="2:33">
      <c r="B2536" s="14">
        <f>10000000+INDEX(编号表!$B:$B,MATCH(H2536,编号表!$A:$A,0))*100000+INDEX(编号表!$F:$F,MATCH(D2536,编号表!$E:$E,0))*10000+INDEX(编号表!$D:$D,MATCH(AG2536,编号表!$C:$C,0))*1000+F2536</f>
        <v>11945059</v>
      </c>
      <c r="C2536" s="14" t="s">
        <v>4423</v>
      </c>
      <c r="D2536" s="14" t="s">
        <v>104</v>
      </c>
      <c r="E2536" s="14" t="s">
        <v>95</v>
      </c>
      <c r="F2536" s="14">
        <v>59</v>
      </c>
      <c r="G2536" s="14">
        <v>60</v>
      </c>
      <c r="H2536" s="14" t="s">
        <v>1400</v>
      </c>
      <c r="I2536" s="14" t="s">
        <v>75</v>
      </c>
      <c r="J2536" s="14" t="s">
        <v>201</v>
      </c>
      <c r="K2536" s="14">
        <v>1</v>
      </c>
      <c r="L2536" s="14" t="s">
        <v>1400</v>
      </c>
      <c r="N2536" s="14">
        <v>0</v>
      </c>
      <c r="O2536" s="14" t="b">
        <v>1</v>
      </c>
      <c r="Q2536" s="14" t="b">
        <v>0</v>
      </c>
      <c r="R2536" s="14">
        <v>1</v>
      </c>
      <c r="S2536" s="14" t="s">
        <v>77</v>
      </c>
      <c r="T2536" s="14">
        <v>999</v>
      </c>
      <c r="U2536" s="14" t="s">
        <v>1401</v>
      </c>
      <c r="V2536" s="14">
        <v>31945059</v>
      </c>
      <c r="X2536" s="14" t="s">
        <v>4428</v>
      </c>
      <c r="Y2536" s="14" t="s">
        <v>215</v>
      </c>
      <c r="Z2536" s="14">
        <v>21299</v>
      </c>
      <c r="AA2536" s="14" t="s">
        <v>4429</v>
      </c>
      <c r="AB2536" s="14">
        <v>40001</v>
      </c>
      <c r="AE2536" s="14" t="s">
        <v>1400</v>
      </c>
      <c r="AF2536" s="14" t="s">
        <v>1400</v>
      </c>
      <c r="AG2536" s="14" t="s">
        <v>95</v>
      </c>
    </row>
    <row r="2537" spans="2:33">
      <c r="B2537" s="14">
        <f>10000000+INDEX(编号表!$B:$B,MATCH(H2537,编号表!$A:$A,0))*100000+INDEX(编号表!$F:$F,MATCH(D2537,编号表!$E:$E,0))*10000+INDEX(编号表!$D:$D,MATCH(AG2537,编号表!$C:$C,0))*1000+F2537</f>
        <v>11925058</v>
      </c>
      <c r="C2537" s="14" t="s">
        <v>4430</v>
      </c>
      <c r="D2537" s="14" t="s">
        <v>112</v>
      </c>
      <c r="E2537" s="14" t="s">
        <v>95</v>
      </c>
      <c r="F2537" s="14">
        <v>58</v>
      </c>
      <c r="G2537" s="14">
        <v>60</v>
      </c>
      <c r="H2537" s="14" t="s">
        <v>1400</v>
      </c>
      <c r="I2537" s="14" t="s">
        <v>75</v>
      </c>
      <c r="J2537" s="14" t="s">
        <v>201</v>
      </c>
      <c r="K2537" s="14">
        <v>1</v>
      </c>
      <c r="L2537" s="14" t="s">
        <v>1400</v>
      </c>
      <c r="N2537" s="14">
        <v>0</v>
      </c>
      <c r="O2537" s="14" t="b">
        <v>1</v>
      </c>
      <c r="Q2537" s="14" t="b">
        <v>0</v>
      </c>
      <c r="R2537" s="14">
        <v>1</v>
      </c>
      <c r="S2537" s="14" t="s">
        <v>77</v>
      </c>
      <c r="T2537" s="14">
        <v>999</v>
      </c>
      <c r="U2537" s="14" t="s">
        <v>1401</v>
      </c>
      <c r="V2537" s="14">
        <v>31925058</v>
      </c>
      <c r="X2537" s="14" t="s">
        <v>4431</v>
      </c>
      <c r="Y2537" s="14" t="s">
        <v>215</v>
      </c>
      <c r="Z2537" s="14">
        <v>21300</v>
      </c>
      <c r="AA2537" s="14" t="s">
        <v>4432</v>
      </c>
      <c r="AB2537" s="14">
        <v>40001</v>
      </c>
      <c r="AE2537" s="14" t="s">
        <v>1400</v>
      </c>
      <c r="AF2537" s="14" t="s">
        <v>1400</v>
      </c>
      <c r="AG2537" s="14" t="s">
        <v>95</v>
      </c>
    </row>
    <row r="2538" spans="2:33">
      <c r="B2538" s="14">
        <f>10000000+INDEX(编号表!$B:$B,MATCH(H2538,编号表!$A:$A,0))*100000+INDEX(编号表!$F:$F,MATCH(D2538,编号表!$E:$E,0))*10000+INDEX(编号表!$D:$D,MATCH(AG2538,编号表!$C:$C,0))*1000+F2538</f>
        <v>11935059</v>
      </c>
      <c r="C2538" s="14" t="s">
        <v>4430</v>
      </c>
      <c r="D2538" s="14" t="s">
        <v>276</v>
      </c>
      <c r="E2538" s="14" t="s">
        <v>95</v>
      </c>
      <c r="F2538" s="14">
        <v>59</v>
      </c>
      <c r="G2538" s="14">
        <v>60</v>
      </c>
      <c r="H2538" s="14" t="s">
        <v>1400</v>
      </c>
      <c r="I2538" s="14" t="s">
        <v>75</v>
      </c>
      <c r="J2538" s="14" t="s">
        <v>201</v>
      </c>
      <c r="K2538" s="14">
        <v>1</v>
      </c>
      <c r="L2538" s="14" t="s">
        <v>1400</v>
      </c>
      <c r="N2538" s="14">
        <v>0</v>
      </c>
      <c r="O2538" s="14" t="b">
        <v>1</v>
      </c>
      <c r="Q2538" s="14" t="b">
        <v>0</v>
      </c>
      <c r="R2538" s="14">
        <v>1</v>
      </c>
      <c r="S2538" s="14" t="s">
        <v>77</v>
      </c>
      <c r="T2538" s="14">
        <v>999</v>
      </c>
      <c r="U2538" s="14" t="s">
        <v>1401</v>
      </c>
      <c r="V2538" s="14">
        <v>31935059</v>
      </c>
      <c r="X2538" s="14" t="s">
        <v>4433</v>
      </c>
      <c r="Y2538" s="14" t="s">
        <v>215</v>
      </c>
      <c r="Z2538" s="14">
        <v>21301</v>
      </c>
      <c r="AA2538" s="14" t="s">
        <v>4434</v>
      </c>
      <c r="AB2538" s="14">
        <v>40001</v>
      </c>
      <c r="AE2538" s="14" t="s">
        <v>1400</v>
      </c>
      <c r="AF2538" s="14" t="s">
        <v>1400</v>
      </c>
      <c r="AG2538" s="14" t="s">
        <v>95</v>
      </c>
    </row>
    <row r="2539" spans="2:33">
      <c r="B2539" s="14">
        <f>10000000+INDEX(编号表!$B:$B,MATCH(H2539,编号表!$A:$A,0))*100000+INDEX(编号表!$F:$F,MATCH(D2539,编号表!$E:$E,0))*10000+INDEX(编号表!$D:$D,MATCH(AG2539,编号表!$C:$C,0))*1000+F2539</f>
        <v>11945060</v>
      </c>
      <c r="C2539" s="14" t="s">
        <v>4430</v>
      </c>
      <c r="D2539" s="14" t="s">
        <v>104</v>
      </c>
      <c r="E2539" s="14" t="s">
        <v>95</v>
      </c>
      <c r="F2539" s="14">
        <v>60</v>
      </c>
      <c r="G2539" s="14">
        <v>60</v>
      </c>
      <c r="H2539" s="14" t="s">
        <v>1400</v>
      </c>
      <c r="I2539" s="14" t="s">
        <v>75</v>
      </c>
      <c r="J2539" s="14" t="s">
        <v>201</v>
      </c>
      <c r="K2539" s="14">
        <v>1</v>
      </c>
      <c r="L2539" s="14" t="s">
        <v>1400</v>
      </c>
      <c r="N2539" s="14">
        <v>0</v>
      </c>
      <c r="O2539" s="14" t="b">
        <v>1</v>
      </c>
      <c r="Q2539" s="14" t="b">
        <v>0</v>
      </c>
      <c r="R2539" s="14">
        <v>1</v>
      </c>
      <c r="S2539" s="14" t="s">
        <v>77</v>
      </c>
      <c r="T2539" s="14">
        <v>999</v>
      </c>
      <c r="U2539" s="14" t="s">
        <v>1401</v>
      </c>
      <c r="V2539" s="14">
        <v>31945060</v>
      </c>
      <c r="X2539" s="14" t="s">
        <v>4435</v>
      </c>
      <c r="Y2539" s="14" t="s">
        <v>215</v>
      </c>
      <c r="Z2539" s="14">
        <v>21302</v>
      </c>
      <c r="AA2539" s="14" t="s">
        <v>4436</v>
      </c>
      <c r="AB2539" s="14">
        <v>40001</v>
      </c>
      <c r="AE2539" s="14" t="s">
        <v>1400</v>
      </c>
      <c r="AF2539" s="14" t="s">
        <v>1400</v>
      </c>
      <c r="AG2539" s="14" t="s">
        <v>95</v>
      </c>
    </row>
    <row r="2540" spans="2:33">
      <c r="B2540" s="14">
        <f>10000000+INDEX(编号表!$B:$B,MATCH(H2540,编号表!$A:$A,0))*100000+INDEX(编号表!$F:$F,MATCH(D2540,编号表!$E:$E,0))*10000+INDEX(编号表!$D:$D,MATCH(AG2540,编号表!$C:$C,0))*1000+F2540</f>
        <v>11925059</v>
      </c>
      <c r="C2540" s="14" t="s">
        <v>4437</v>
      </c>
      <c r="D2540" s="14" t="s">
        <v>112</v>
      </c>
      <c r="E2540" s="14" t="s">
        <v>95</v>
      </c>
      <c r="F2540" s="14">
        <v>59</v>
      </c>
      <c r="G2540" s="14">
        <v>60</v>
      </c>
      <c r="H2540" s="14" t="s">
        <v>1400</v>
      </c>
      <c r="I2540" s="14" t="s">
        <v>75</v>
      </c>
      <c r="J2540" s="14" t="s">
        <v>201</v>
      </c>
      <c r="K2540" s="14">
        <v>1</v>
      </c>
      <c r="L2540" s="14" t="s">
        <v>1400</v>
      </c>
      <c r="N2540" s="14">
        <v>0</v>
      </c>
      <c r="O2540" s="14" t="b">
        <v>1</v>
      </c>
      <c r="Q2540" s="14" t="b">
        <v>0</v>
      </c>
      <c r="R2540" s="14">
        <v>1</v>
      </c>
      <c r="S2540" s="14" t="s">
        <v>77</v>
      </c>
      <c r="T2540" s="14">
        <v>999</v>
      </c>
      <c r="U2540" s="14" t="s">
        <v>1401</v>
      </c>
      <c r="V2540" s="14">
        <v>31925059</v>
      </c>
      <c r="X2540" s="14" t="s">
        <v>4438</v>
      </c>
      <c r="Y2540" s="14" t="s">
        <v>215</v>
      </c>
      <c r="Z2540" s="14">
        <v>21303</v>
      </c>
      <c r="AA2540" s="14" t="s">
        <v>4439</v>
      </c>
      <c r="AB2540" s="14">
        <v>40001</v>
      </c>
      <c r="AE2540" s="14" t="s">
        <v>1400</v>
      </c>
      <c r="AF2540" s="14" t="s">
        <v>1400</v>
      </c>
      <c r="AG2540" s="14" t="s">
        <v>95</v>
      </c>
    </row>
    <row r="2541" spans="2:33">
      <c r="B2541" s="14">
        <f>10000000+INDEX(编号表!$B:$B,MATCH(H2541,编号表!$A:$A,0))*100000+INDEX(编号表!$F:$F,MATCH(D2541,编号表!$E:$E,0))*10000+INDEX(编号表!$D:$D,MATCH(AG2541,编号表!$C:$C,0))*1000+F2541</f>
        <v>11935060</v>
      </c>
      <c r="C2541" s="14" t="s">
        <v>4437</v>
      </c>
      <c r="D2541" s="14" t="s">
        <v>276</v>
      </c>
      <c r="E2541" s="14" t="s">
        <v>95</v>
      </c>
      <c r="F2541" s="14">
        <v>60</v>
      </c>
      <c r="G2541" s="14">
        <v>60</v>
      </c>
      <c r="H2541" s="14" t="s">
        <v>1400</v>
      </c>
      <c r="I2541" s="14" t="s">
        <v>75</v>
      </c>
      <c r="J2541" s="14" t="s">
        <v>201</v>
      </c>
      <c r="K2541" s="14">
        <v>1</v>
      </c>
      <c r="L2541" s="14" t="s">
        <v>1400</v>
      </c>
      <c r="N2541" s="14">
        <v>0</v>
      </c>
      <c r="O2541" s="14" t="b">
        <v>1</v>
      </c>
      <c r="Q2541" s="14" t="b">
        <v>0</v>
      </c>
      <c r="R2541" s="14">
        <v>1</v>
      </c>
      <c r="S2541" s="14" t="s">
        <v>77</v>
      </c>
      <c r="T2541" s="14">
        <v>999</v>
      </c>
      <c r="U2541" s="14" t="s">
        <v>1401</v>
      </c>
      <c r="V2541" s="14">
        <v>31935060</v>
      </c>
      <c r="X2541" s="14" t="s">
        <v>4440</v>
      </c>
      <c r="Y2541" s="14" t="s">
        <v>215</v>
      </c>
      <c r="Z2541" s="14">
        <v>21304</v>
      </c>
      <c r="AA2541" s="14" t="s">
        <v>4441</v>
      </c>
      <c r="AB2541" s="14">
        <v>40001</v>
      </c>
      <c r="AE2541" s="14" t="s">
        <v>1400</v>
      </c>
      <c r="AF2541" s="14" t="s">
        <v>1400</v>
      </c>
      <c r="AG2541" s="14" t="s">
        <v>95</v>
      </c>
    </row>
    <row r="2542" spans="2:33">
      <c r="B2542" s="14">
        <f>10000000+INDEX(编号表!$B:$B,MATCH(H2542,编号表!$A:$A,0))*100000+INDEX(编号表!$F:$F,MATCH(D2542,编号表!$E:$E,0))*10000+INDEX(编号表!$D:$D,MATCH(AG2542,编号表!$C:$C,0))*1000+F2542</f>
        <v>11945061</v>
      </c>
      <c r="C2542" s="14" t="s">
        <v>4437</v>
      </c>
      <c r="D2542" s="14" t="s">
        <v>104</v>
      </c>
      <c r="E2542" s="14" t="s">
        <v>95</v>
      </c>
      <c r="F2542" s="14">
        <v>61</v>
      </c>
      <c r="G2542" s="14">
        <v>60</v>
      </c>
      <c r="H2542" s="14" t="s">
        <v>1400</v>
      </c>
      <c r="I2542" s="14" t="s">
        <v>75</v>
      </c>
      <c r="J2542" s="14" t="s">
        <v>201</v>
      </c>
      <c r="K2542" s="14">
        <v>1</v>
      </c>
      <c r="L2542" s="14" t="s">
        <v>1400</v>
      </c>
      <c r="N2542" s="14">
        <v>0</v>
      </c>
      <c r="O2542" s="14" t="b">
        <v>1</v>
      </c>
      <c r="Q2542" s="14" t="b">
        <v>0</v>
      </c>
      <c r="R2542" s="14">
        <v>1</v>
      </c>
      <c r="S2542" s="14" t="s">
        <v>77</v>
      </c>
      <c r="T2542" s="14">
        <v>999</v>
      </c>
      <c r="U2542" s="14" t="s">
        <v>1401</v>
      </c>
      <c r="V2542" s="14">
        <v>31945061</v>
      </c>
      <c r="X2542" s="14" t="s">
        <v>4442</v>
      </c>
      <c r="Y2542" s="14" t="s">
        <v>215</v>
      </c>
      <c r="Z2542" s="14">
        <v>21305</v>
      </c>
      <c r="AA2542" s="14" t="s">
        <v>4443</v>
      </c>
      <c r="AB2542" s="14">
        <v>40001</v>
      </c>
      <c r="AE2542" s="14" t="s">
        <v>1400</v>
      </c>
      <c r="AF2542" s="14" t="s">
        <v>1400</v>
      </c>
      <c r="AG2542" s="14" t="s">
        <v>95</v>
      </c>
    </row>
    <row r="2543" spans="2:33">
      <c r="B2543" s="14">
        <f>10000000+INDEX(编号表!$B:$B,MATCH(H2543,编号表!$A:$A,0))*100000+INDEX(编号表!$F:$F,MATCH(D2543,编号表!$E:$E,0))*10000+INDEX(编号表!$D:$D,MATCH(AG2543,编号表!$C:$C,0))*1000+F2543</f>
        <v>11925060</v>
      </c>
      <c r="C2543" s="14" t="s">
        <v>4444</v>
      </c>
      <c r="D2543" s="14" t="s">
        <v>112</v>
      </c>
      <c r="E2543" s="14" t="s">
        <v>95</v>
      </c>
      <c r="F2543" s="14">
        <v>60</v>
      </c>
      <c r="G2543" s="14">
        <v>60</v>
      </c>
      <c r="H2543" s="14" t="s">
        <v>1400</v>
      </c>
      <c r="I2543" s="14" t="s">
        <v>75</v>
      </c>
      <c r="J2543" s="14" t="s">
        <v>201</v>
      </c>
      <c r="K2543" s="14">
        <v>1</v>
      </c>
      <c r="L2543" s="14" t="s">
        <v>1400</v>
      </c>
      <c r="N2543" s="14">
        <v>0</v>
      </c>
      <c r="O2543" s="14" t="b">
        <v>1</v>
      </c>
      <c r="Q2543" s="14" t="b">
        <v>0</v>
      </c>
      <c r="R2543" s="14">
        <v>1</v>
      </c>
      <c r="S2543" s="14" t="s">
        <v>77</v>
      </c>
      <c r="T2543" s="14">
        <v>999</v>
      </c>
      <c r="U2543" s="14" t="s">
        <v>1401</v>
      </c>
      <c r="V2543" s="14">
        <v>31925060</v>
      </c>
      <c r="X2543" s="14" t="s">
        <v>4445</v>
      </c>
      <c r="Y2543" s="14" t="s">
        <v>215</v>
      </c>
      <c r="Z2543" s="14">
        <v>21306</v>
      </c>
      <c r="AA2543" s="14" t="s">
        <v>4446</v>
      </c>
      <c r="AB2543" s="14">
        <v>40001</v>
      </c>
      <c r="AE2543" s="14" t="s">
        <v>1400</v>
      </c>
      <c r="AF2543" s="14" t="s">
        <v>1400</v>
      </c>
      <c r="AG2543" s="14" t="s">
        <v>95</v>
      </c>
    </row>
    <row r="2544" spans="2:33">
      <c r="B2544" s="14">
        <f>10000000+INDEX(编号表!$B:$B,MATCH(H2544,编号表!$A:$A,0))*100000+INDEX(编号表!$F:$F,MATCH(D2544,编号表!$E:$E,0))*10000+INDEX(编号表!$D:$D,MATCH(AG2544,编号表!$C:$C,0))*1000+F2544</f>
        <v>11935061</v>
      </c>
      <c r="C2544" s="14" t="s">
        <v>4444</v>
      </c>
      <c r="D2544" s="14" t="s">
        <v>276</v>
      </c>
      <c r="E2544" s="14" t="s">
        <v>95</v>
      </c>
      <c r="F2544" s="14">
        <v>61</v>
      </c>
      <c r="G2544" s="14">
        <v>60</v>
      </c>
      <c r="H2544" s="14" t="s">
        <v>1400</v>
      </c>
      <c r="I2544" s="14" t="s">
        <v>75</v>
      </c>
      <c r="J2544" s="14" t="s">
        <v>201</v>
      </c>
      <c r="K2544" s="14">
        <v>1</v>
      </c>
      <c r="L2544" s="14" t="s">
        <v>1400</v>
      </c>
      <c r="N2544" s="14">
        <v>0</v>
      </c>
      <c r="O2544" s="14" t="b">
        <v>1</v>
      </c>
      <c r="Q2544" s="14" t="b">
        <v>0</v>
      </c>
      <c r="R2544" s="14">
        <v>1</v>
      </c>
      <c r="S2544" s="14" t="s">
        <v>77</v>
      </c>
      <c r="T2544" s="14">
        <v>999</v>
      </c>
      <c r="U2544" s="14" t="s">
        <v>1401</v>
      </c>
      <c r="V2544" s="14">
        <v>31935061</v>
      </c>
      <c r="X2544" s="14" t="s">
        <v>4447</v>
      </c>
      <c r="Y2544" s="14" t="s">
        <v>215</v>
      </c>
      <c r="Z2544" s="14">
        <v>21307</v>
      </c>
      <c r="AA2544" s="14" t="s">
        <v>4448</v>
      </c>
      <c r="AB2544" s="14">
        <v>40001</v>
      </c>
      <c r="AE2544" s="14" t="s">
        <v>1400</v>
      </c>
      <c r="AF2544" s="14" t="s">
        <v>1400</v>
      </c>
      <c r="AG2544" s="14" t="s">
        <v>95</v>
      </c>
    </row>
    <row r="2545" spans="2:33">
      <c r="B2545" s="14">
        <f>10000000+INDEX(编号表!$B:$B,MATCH(H2545,编号表!$A:$A,0))*100000+INDEX(编号表!$F:$F,MATCH(D2545,编号表!$E:$E,0))*10000+INDEX(编号表!$D:$D,MATCH(AG2545,编号表!$C:$C,0))*1000+F2545</f>
        <v>11945062</v>
      </c>
      <c r="C2545" s="14" t="s">
        <v>4444</v>
      </c>
      <c r="D2545" s="14" t="s">
        <v>104</v>
      </c>
      <c r="E2545" s="14" t="s">
        <v>95</v>
      </c>
      <c r="F2545" s="14">
        <v>62</v>
      </c>
      <c r="G2545" s="14">
        <v>60</v>
      </c>
      <c r="H2545" s="14" t="s">
        <v>1400</v>
      </c>
      <c r="I2545" s="14" t="s">
        <v>75</v>
      </c>
      <c r="J2545" s="14" t="s">
        <v>201</v>
      </c>
      <c r="K2545" s="14">
        <v>1</v>
      </c>
      <c r="L2545" s="14" t="s">
        <v>1400</v>
      </c>
      <c r="N2545" s="14">
        <v>0</v>
      </c>
      <c r="O2545" s="14" t="b">
        <v>1</v>
      </c>
      <c r="Q2545" s="14" t="b">
        <v>0</v>
      </c>
      <c r="R2545" s="14">
        <v>1</v>
      </c>
      <c r="S2545" s="14" t="s">
        <v>77</v>
      </c>
      <c r="T2545" s="14">
        <v>999</v>
      </c>
      <c r="U2545" s="14" t="s">
        <v>1401</v>
      </c>
      <c r="V2545" s="14">
        <v>31945062</v>
      </c>
      <c r="X2545" s="14" t="s">
        <v>4449</v>
      </c>
      <c r="Y2545" s="14" t="s">
        <v>215</v>
      </c>
      <c r="Z2545" s="14">
        <v>21308</v>
      </c>
      <c r="AA2545" s="14" t="s">
        <v>4450</v>
      </c>
      <c r="AB2545" s="14">
        <v>40001</v>
      </c>
      <c r="AE2545" s="14" t="s">
        <v>1400</v>
      </c>
      <c r="AF2545" s="14" t="s">
        <v>1400</v>
      </c>
      <c r="AG2545" s="14" t="s">
        <v>95</v>
      </c>
    </row>
    <row r="2546" spans="2:33">
      <c r="B2546" s="14">
        <f>10000000+INDEX(编号表!$B:$B,MATCH(H2546,编号表!$A:$A,0))*100000+INDEX(编号表!$F:$F,MATCH(D2546,编号表!$E:$E,0))*10000+INDEX(编号表!$D:$D,MATCH(AG2546,编号表!$C:$C,0))*1000+F2546</f>
        <v>11925061</v>
      </c>
      <c r="C2546" s="14" t="s">
        <v>4451</v>
      </c>
      <c r="D2546" s="14" t="s">
        <v>112</v>
      </c>
      <c r="E2546" s="14" t="s">
        <v>95</v>
      </c>
      <c r="F2546" s="14">
        <v>61</v>
      </c>
      <c r="G2546" s="14">
        <v>60</v>
      </c>
      <c r="H2546" s="14" t="s">
        <v>1400</v>
      </c>
      <c r="I2546" s="14" t="s">
        <v>75</v>
      </c>
      <c r="J2546" s="14" t="s">
        <v>201</v>
      </c>
      <c r="K2546" s="14">
        <v>1</v>
      </c>
      <c r="L2546" s="14" t="s">
        <v>1400</v>
      </c>
      <c r="N2546" s="14">
        <v>0</v>
      </c>
      <c r="O2546" s="14" t="b">
        <v>1</v>
      </c>
      <c r="Q2546" s="14" t="b">
        <v>0</v>
      </c>
      <c r="R2546" s="14">
        <v>1</v>
      </c>
      <c r="S2546" s="14" t="s">
        <v>77</v>
      </c>
      <c r="T2546" s="14">
        <v>999</v>
      </c>
      <c r="U2546" s="14" t="s">
        <v>1401</v>
      </c>
      <c r="V2546" s="14">
        <v>31925061</v>
      </c>
      <c r="X2546" s="14" t="s">
        <v>4452</v>
      </c>
      <c r="Y2546" s="14" t="s">
        <v>215</v>
      </c>
      <c r="Z2546" s="14">
        <v>21309</v>
      </c>
      <c r="AA2546" s="14" t="s">
        <v>4453</v>
      </c>
      <c r="AB2546" s="14">
        <v>40001</v>
      </c>
      <c r="AE2546" s="14" t="s">
        <v>1400</v>
      </c>
      <c r="AF2546" s="14" t="s">
        <v>1400</v>
      </c>
      <c r="AG2546" s="14" t="s">
        <v>95</v>
      </c>
    </row>
    <row r="2547" spans="2:33">
      <c r="B2547" s="14">
        <f>10000000+INDEX(编号表!$B:$B,MATCH(H2547,编号表!$A:$A,0))*100000+INDEX(编号表!$F:$F,MATCH(D2547,编号表!$E:$E,0))*10000+INDEX(编号表!$D:$D,MATCH(AG2547,编号表!$C:$C,0))*1000+F2547</f>
        <v>11935062</v>
      </c>
      <c r="C2547" s="14" t="s">
        <v>4451</v>
      </c>
      <c r="D2547" s="14" t="s">
        <v>276</v>
      </c>
      <c r="E2547" s="14" t="s">
        <v>95</v>
      </c>
      <c r="F2547" s="14">
        <v>62</v>
      </c>
      <c r="G2547" s="14">
        <v>60</v>
      </c>
      <c r="H2547" s="14" t="s">
        <v>1400</v>
      </c>
      <c r="I2547" s="14" t="s">
        <v>75</v>
      </c>
      <c r="J2547" s="14" t="s">
        <v>201</v>
      </c>
      <c r="K2547" s="14">
        <v>1</v>
      </c>
      <c r="L2547" s="14" t="s">
        <v>1400</v>
      </c>
      <c r="N2547" s="14">
        <v>0</v>
      </c>
      <c r="O2547" s="14" t="b">
        <v>1</v>
      </c>
      <c r="Q2547" s="14" t="b">
        <v>0</v>
      </c>
      <c r="R2547" s="14">
        <v>1</v>
      </c>
      <c r="S2547" s="14" t="s">
        <v>77</v>
      </c>
      <c r="T2547" s="14">
        <v>999</v>
      </c>
      <c r="U2547" s="14" t="s">
        <v>1401</v>
      </c>
      <c r="V2547" s="14">
        <v>31935062</v>
      </c>
      <c r="X2547" s="14" t="s">
        <v>4454</v>
      </c>
      <c r="Y2547" s="14" t="s">
        <v>215</v>
      </c>
      <c r="Z2547" s="14">
        <v>21310</v>
      </c>
      <c r="AA2547" s="14" t="s">
        <v>4455</v>
      </c>
      <c r="AB2547" s="14">
        <v>40001</v>
      </c>
      <c r="AE2547" s="14" t="s">
        <v>1400</v>
      </c>
      <c r="AF2547" s="14" t="s">
        <v>1400</v>
      </c>
      <c r="AG2547" s="14" t="s">
        <v>95</v>
      </c>
    </row>
    <row r="2548" spans="2:33">
      <c r="B2548" s="14">
        <f>10000000+INDEX(编号表!$B:$B,MATCH(H2548,编号表!$A:$A,0))*100000+INDEX(编号表!$F:$F,MATCH(D2548,编号表!$E:$E,0))*10000+INDEX(编号表!$D:$D,MATCH(AG2548,编号表!$C:$C,0))*1000+F2548</f>
        <v>11945063</v>
      </c>
      <c r="C2548" s="14" t="s">
        <v>4451</v>
      </c>
      <c r="D2548" s="14" t="s">
        <v>104</v>
      </c>
      <c r="E2548" s="14" t="s">
        <v>95</v>
      </c>
      <c r="F2548" s="14">
        <v>63</v>
      </c>
      <c r="G2548" s="14">
        <v>60</v>
      </c>
      <c r="H2548" s="14" t="s">
        <v>1400</v>
      </c>
      <c r="I2548" s="14" t="s">
        <v>75</v>
      </c>
      <c r="J2548" s="14" t="s">
        <v>201</v>
      </c>
      <c r="K2548" s="14">
        <v>1</v>
      </c>
      <c r="L2548" s="14" t="s">
        <v>1400</v>
      </c>
      <c r="N2548" s="14">
        <v>0</v>
      </c>
      <c r="O2548" s="14" t="b">
        <v>1</v>
      </c>
      <c r="Q2548" s="14" t="b">
        <v>0</v>
      </c>
      <c r="R2548" s="14">
        <v>1</v>
      </c>
      <c r="S2548" s="14" t="s">
        <v>77</v>
      </c>
      <c r="T2548" s="14">
        <v>999</v>
      </c>
      <c r="U2548" s="14" t="s">
        <v>1401</v>
      </c>
      <c r="V2548" s="14">
        <v>31945063</v>
      </c>
      <c r="X2548" s="14" t="s">
        <v>4456</v>
      </c>
      <c r="Y2548" s="14" t="s">
        <v>215</v>
      </c>
      <c r="Z2548" s="14">
        <v>21311</v>
      </c>
      <c r="AA2548" s="14" t="s">
        <v>4457</v>
      </c>
      <c r="AB2548" s="14">
        <v>40001</v>
      </c>
      <c r="AE2548" s="14" t="s">
        <v>1400</v>
      </c>
      <c r="AF2548" s="14" t="s">
        <v>1400</v>
      </c>
      <c r="AG2548" s="14" t="s">
        <v>95</v>
      </c>
    </row>
    <row r="2549" spans="2:33">
      <c r="B2549" s="14">
        <f>10000000+INDEX(编号表!$B:$B,MATCH(H2549,编号表!$A:$A,0))*100000+INDEX(编号表!$F:$F,MATCH(D2549,编号表!$E:$E,0))*10000+INDEX(编号表!$D:$D,MATCH(AG2549,编号表!$C:$C,0))*1000+F2549</f>
        <v>11925062</v>
      </c>
      <c r="C2549" s="14" t="s">
        <v>4458</v>
      </c>
      <c r="D2549" s="14" t="s">
        <v>112</v>
      </c>
      <c r="E2549" s="14" t="s">
        <v>95</v>
      </c>
      <c r="F2549" s="14">
        <v>62</v>
      </c>
      <c r="G2549" s="14">
        <v>60</v>
      </c>
      <c r="H2549" s="14" t="s">
        <v>1400</v>
      </c>
      <c r="I2549" s="14" t="s">
        <v>75</v>
      </c>
      <c r="J2549" s="14" t="s">
        <v>201</v>
      </c>
      <c r="K2549" s="14">
        <v>1</v>
      </c>
      <c r="L2549" s="14" t="s">
        <v>1400</v>
      </c>
      <c r="N2549" s="14">
        <v>0</v>
      </c>
      <c r="O2549" s="14" t="b">
        <v>1</v>
      </c>
      <c r="Q2549" s="14" t="b">
        <v>0</v>
      </c>
      <c r="R2549" s="14">
        <v>1</v>
      </c>
      <c r="S2549" s="14" t="s">
        <v>77</v>
      </c>
      <c r="T2549" s="14">
        <v>999</v>
      </c>
      <c r="U2549" s="14" t="s">
        <v>1401</v>
      </c>
      <c r="V2549" s="14">
        <v>31925062</v>
      </c>
      <c r="X2549" s="14" t="s">
        <v>4459</v>
      </c>
      <c r="Y2549" s="14" t="s">
        <v>215</v>
      </c>
      <c r="Z2549" s="14">
        <v>21312</v>
      </c>
      <c r="AA2549" s="14" t="s">
        <v>4460</v>
      </c>
      <c r="AB2549" s="14">
        <v>40001</v>
      </c>
      <c r="AE2549" s="14" t="s">
        <v>1400</v>
      </c>
      <c r="AF2549" s="14" t="s">
        <v>1400</v>
      </c>
      <c r="AG2549" s="14" t="s">
        <v>95</v>
      </c>
    </row>
    <row r="2550" spans="2:33">
      <c r="B2550" s="14">
        <f>10000000+INDEX(编号表!$B:$B,MATCH(H2550,编号表!$A:$A,0))*100000+INDEX(编号表!$F:$F,MATCH(D2550,编号表!$E:$E,0))*10000+INDEX(编号表!$D:$D,MATCH(AG2550,编号表!$C:$C,0))*1000+F2550</f>
        <v>11935063</v>
      </c>
      <c r="C2550" s="14" t="s">
        <v>4458</v>
      </c>
      <c r="D2550" s="14" t="s">
        <v>276</v>
      </c>
      <c r="E2550" s="14" t="s">
        <v>95</v>
      </c>
      <c r="F2550" s="14">
        <v>63</v>
      </c>
      <c r="G2550" s="14">
        <v>60</v>
      </c>
      <c r="H2550" s="14" t="s">
        <v>1400</v>
      </c>
      <c r="I2550" s="14" t="s">
        <v>75</v>
      </c>
      <c r="J2550" s="14" t="s">
        <v>201</v>
      </c>
      <c r="K2550" s="14">
        <v>1</v>
      </c>
      <c r="L2550" s="14" t="s">
        <v>1400</v>
      </c>
      <c r="N2550" s="14">
        <v>0</v>
      </c>
      <c r="O2550" s="14" t="b">
        <v>1</v>
      </c>
      <c r="Q2550" s="14" t="b">
        <v>0</v>
      </c>
      <c r="R2550" s="14">
        <v>1</v>
      </c>
      <c r="S2550" s="14" t="s">
        <v>77</v>
      </c>
      <c r="T2550" s="14">
        <v>999</v>
      </c>
      <c r="U2550" s="14" t="s">
        <v>1401</v>
      </c>
      <c r="V2550" s="14">
        <v>31935063</v>
      </c>
      <c r="X2550" s="14" t="s">
        <v>4461</v>
      </c>
      <c r="Y2550" s="14" t="s">
        <v>215</v>
      </c>
      <c r="Z2550" s="14">
        <v>21313</v>
      </c>
      <c r="AA2550" s="14" t="s">
        <v>4462</v>
      </c>
      <c r="AB2550" s="14">
        <v>40001</v>
      </c>
      <c r="AE2550" s="14" t="s">
        <v>1400</v>
      </c>
      <c r="AF2550" s="14" t="s">
        <v>1400</v>
      </c>
      <c r="AG2550" s="14" t="s">
        <v>95</v>
      </c>
    </row>
    <row r="2551" spans="2:33">
      <c r="B2551" s="14">
        <f>10000000+INDEX(编号表!$B:$B,MATCH(H2551,编号表!$A:$A,0))*100000+INDEX(编号表!$F:$F,MATCH(D2551,编号表!$E:$E,0))*10000+INDEX(编号表!$D:$D,MATCH(AG2551,编号表!$C:$C,0))*1000+F2551</f>
        <v>11945064</v>
      </c>
      <c r="C2551" s="14" t="s">
        <v>4458</v>
      </c>
      <c r="D2551" s="14" t="s">
        <v>104</v>
      </c>
      <c r="E2551" s="14" t="s">
        <v>95</v>
      </c>
      <c r="F2551" s="14">
        <v>64</v>
      </c>
      <c r="G2551" s="14">
        <v>60</v>
      </c>
      <c r="H2551" s="14" t="s">
        <v>1400</v>
      </c>
      <c r="I2551" s="14" t="s">
        <v>75</v>
      </c>
      <c r="J2551" s="14" t="s">
        <v>201</v>
      </c>
      <c r="K2551" s="14">
        <v>1</v>
      </c>
      <c r="L2551" s="14" t="s">
        <v>1400</v>
      </c>
      <c r="N2551" s="14">
        <v>0</v>
      </c>
      <c r="O2551" s="14" t="b">
        <v>1</v>
      </c>
      <c r="Q2551" s="14" t="b">
        <v>0</v>
      </c>
      <c r="R2551" s="14">
        <v>1</v>
      </c>
      <c r="S2551" s="14" t="s">
        <v>77</v>
      </c>
      <c r="T2551" s="14">
        <v>999</v>
      </c>
      <c r="U2551" s="14" t="s">
        <v>1401</v>
      </c>
      <c r="V2551" s="14">
        <v>31945064</v>
      </c>
      <c r="X2551" s="14" t="s">
        <v>4463</v>
      </c>
      <c r="Y2551" s="14" t="s">
        <v>215</v>
      </c>
      <c r="Z2551" s="14">
        <v>21314</v>
      </c>
      <c r="AA2551" s="14" t="s">
        <v>4464</v>
      </c>
      <c r="AB2551" s="14">
        <v>40001</v>
      </c>
      <c r="AE2551" s="14" t="s">
        <v>1400</v>
      </c>
      <c r="AF2551" s="14" t="s">
        <v>1400</v>
      </c>
      <c r="AG2551" s="14" t="s">
        <v>95</v>
      </c>
    </row>
    <row r="2552" spans="2:33">
      <c r="B2552" s="14">
        <f>10000000+INDEX(编号表!$B:$B,MATCH(H2552,编号表!$A:$A,0))*100000+INDEX(编号表!$F:$F,MATCH(D2552,编号表!$E:$E,0))*10000+INDEX(编号表!$D:$D,MATCH(AG2552,编号表!$C:$C,0))*1000+F2552</f>
        <v>11925063</v>
      </c>
      <c r="C2552" s="14" t="s">
        <v>4465</v>
      </c>
      <c r="D2552" s="14" t="s">
        <v>112</v>
      </c>
      <c r="E2552" s="14" t="s">
        <v>95</v>
      </c>
      <c r="F2552" s="14">
        <v>63</v>
      </c>
      <c r="G2552" s="14">
        <v>60</v>
      </c>
      <c r="H2552" s="14" t="s">
        <v>1400</v>
      </c>
      <c r="I2552" s="14" t="s">
        <v>75</v>
      </c>
      <c r="J2552" s="14" t="s">
        <v>201</v>
      </c>
      <c r="K2552" s="14">
        <v>1</v>
      </c>
      <c r="L2552" s="14" t="s">
        <v>1400</v>
      </c>
      <c r="N2552" s="14">
        <v>0</v>
      </c>
      <c r="O2552" s="14" t="b">
        <v>1</v>
      </c>
      <c r="Q2552" s="14" t="b">
        <v>0</v>
      </c>
      <c r="R2552" s="14">
        <v>1</v>
      </c>
      <c r="S2552" s="14" t="s">
        <v>77</v>
      </c>
      <c r="T2552" s="14">
        <v>999</v>
      </c>
      <c r="U2552" s="14" t="s">
        <v>1401</v>
      </c>
      <c r="V2552" s="14">
        <v>31925063</v>
      </c>
      <c r="X2552" s="14" t="s">
        <v>4466</v>
      </c>
      <c r="Y2552" s="14" t="s">
        <v>215</v>
      </c>
      <c r="Z2552" s="14">
        <v>21315</v>
      </c>
      <c r="AA2552" s="14" t="s">
        <v>4467</v>
      </c>
      <c r="AB2552" s="14">
        <v>40001</v>
      </c>
      <c r="AE2552" s="14" t="s">
        <v>1400</v>
      </c>
      <c r="AF2552" s="14" t="s">
        <v>1400</v>
      </c>
      <c r="AG2552" s="14" t="s">
        <v>95</v>
      </c>
    </row>
    <row r="2553" spans="2:33">
      <c r="B2553" s="14">
        <f>10000000+INDEX(编号表!$B:$B,MATCH(H2553,编号表!$A:$A,0))*100000+INDEX(编号表!$F:$F,MATCH(D2553,编号表!$E:$E,0))*10000+INDEX(编号表!$D:$D,MATCH(AG2553,编号表!$C:$C,0))*1000+F2553</f>
        <v>11935064</v>
      </c>
      <c r="C2553" s="14" t="s">
        <v>4465</v>
      </c>
      <c r="D2553" s="14" t="s">
        <v>276</v>
      </c>
      <c r="E2553" s="14" t="s">
        <v>95</v>
      </c>
      <c r="F2553" s="14">
        <v>64</v>
      </c>
      <c r="G2553" s="14">
        <v>60</v>
      </c>
      <c r="H2553" s="14" t="s">
        <v>1400</v>
      </c>
      <c r="I2553" s="14" t="s">
        <v>75</v>
      </c>
      <c r="J2553" s="14" t="s">
        <v>201</v>
      </c>
      <c r="K2553" s="14">
        <v>1</v>
      </c>
      <c r="L2553" s="14" t="s">
        <v>1400</v>
      </c>
      <c r="N2553" s="14">
        <v>0</v>
      </c>
      <c r="O2553" s="14" t="b">
        <v>1</v>
      </c>
      <c r="Q2553" s="14" t="b">
        <v>0</v>
      </c>
      <c r="R2553" s="14">
        <v>1</v>
      </c>
      <c r="S2553" s="14" t="s">
        <v>77</v>
      </c>
      <c r="T2553" s="14">
        <v>999</v>
      </c>
      <c r="U2553" s="14" t="s">
        <v>1401</v>
      </c>
      <c r="V2553" s="14">
        <v>31935064</v>
      </c>
      <c r="X2553" s="14" t="s">
        <v>4468</v>
      </c>
      <c r="Y2553" s="14" t="s">
        <v>215</v>
      </c>
      <c r="Z2553" s="14">
        <v>21316</v>
      </c>
      <c r="AA2553" s="14" t="s">
        <v>4469</v>
      </c>
      <c r="AB2553" s="14">
        <v>40001</v>
      </c>
      <c r="AE2553" s="14" t="s">
        <v>1400</v>
      </c>
      <c r="AF2553" s="14" t="s">
        <v>1400</v>
      </c>
      <c r="AG2553" s="14" t="s">
        <v>95</v>
      </c>
    </row>
    <row r="2554" spans="2:33">
      <c r="B2554" s="14">
        <f>10000000+INDEX(编号表!$B:$B,MATCH(H2554,编号表!$A:$A,0))*100000+INDEX(编号表!$F:$F,MATCH(D2554,编号表!$E:$E,0))*10000+INDEX(编号表!$D:$D,MATCH(AG2554,编号表!$C:$C,0))*1000+F2554</f>
        <v>11945065</v>
      </c>
      <c r="C2554" s="14" t="s">
        <v>4465</v>
      </c>
      <c r="D2554" s="14" t="s">
        <v>104</v>
      </c>
      <c r="E2554" s="14" t="s">
        <v>95</v>
      </c>
      <c r="F2554" s="14">
        <v>65</v>
      </c>
      <c r="G2554" s="14">
        <v>60</v>
      </c>
      <c r="H2554" s="14" t="s">
        <v>1400</v>
      </c>
      <c r="I2554" s="14" t="s">
        <v>75</v>
      </c>
      <c r="J2554" s="14" t="s">
        <v>201</v>
      </c>
      <c r="K2554" s="14">
        <v>1</v>
      </c>
      <c r="L2554" s="14" t="s">
        <v>1400</v>
      </c>
      <c r="N2554" s="14">
        <v>0</v>
      </c>
      <c r="O2554" s="14" t="b">
        <v>1</v>
      </c>
      <c r="Q2554" s="14" t="b">
        <v>0</v>
      </c>
      <c r="R2554" s="14">
        <v>1</v>
      </c>
      <c r="S2554" s="14" t="s">
        <v>77</v>
      </c>
      <c r="T2554" s="14">
        <v>999</v>
      </c>
      <c r="U2554" s="14" t="s">
        <v>1401</v>
      </c>
      <c r="V2554" s="14">
        <v>31945065</v>
      </c>
      <c r="X2554" s="14" t="s">
        <v>4470</v>
      </c>
      <c r="Y2554" s="14" t="s">
        <v>215</v>
      </c>
      <c r="Z2554" s="14">
        <v>21317</v>
      </c>
      <c r="AA2554" s="14" t="s">
        <v>4471</v>
      </c>
      <c r="AB2554" s="14">
        <v>40001</v>
      </c>
      <c r="AE2554" s="14" t="s">
        <v>1400</v>
      </c>
      <c r="AF2554" s="14" t="s">
        <v>1400</v>
      </c>
      <c r="AG2554" s="14" t="s">
        <v>95</v>
      </c>
    </row>
    <row r="2555" spans="2:33">
      <c r="B2555" s="14">
        <f>10000000+INDEX(编号表!$B:$B,MATCH(H2555,编号表!$A:$A,0))*100000+INDEX(编号表!$F:$F,MATCH(D2555,编号表!$E:$E,0))*10000+INDEX(编号表!$D:$D,MATCH(AG2555,编号表!$C:$C,0))*1000+F2555</f>
        <v>11925064</v>
      </c>
      <c r="C2555" s="14" t="s">
        <v>4472</v>
      </c>
      <c r="D2555" s="14" t="s">
        <v>112</v>
      </c>
      <c r="E2555" s="14" t="s">
        <v>95</v>
      </c>
      <c r="F2555" s="14">
        <v>64</v>
      </c>
      <c r="G2555" s="14">
        <v>60</v>
      </c>
      <c r="H2555" s="14" t="s">
        <v>1400</v>
      </c>
      <c r="I2555" s="14" t="s">
        <v>75</v>
      </c>
      <c r="J2555" s="14" t="s">
        <v>201</v>
      </c>
      <c r="K2555" s="14">
        <v>1</v>
      </c>
      <c r="L2555" s="14" t="s">
        <v>1400</v>
      </c>
      <c r="N2555" s="14">
        <v>0</v>
      </c>
      <c r="O2555" s="14" t="b">
        <v>1</v>
      </c>
      <c r="Q2555" s="14" t="b">
        <v>0</v>
      </c>
      <c r="R2555" s="14">
        <v>1</v>
      </c>
      <c r="S2555" s="14" t="s">
        <v>77</v>
      </c>
      <c r="T2555" s="14">
        <v>999</v>
      </c>
      <c r="U2555" s="14" t="s">
        <v>1401</v>
      </c>
      <c r="V2555" s="14">
        <v>31925064</v>
      </c>
      <c r="X2555" s="14" t="s">
        <v>4473</v>
      </c>
      <c r="Y2555" s="14" t="s">
        <v>215</v>
      </c>
      <c r="Z2555" s="14">
        <v>21318</v>
      </c>
      <c r="AA2555" s="14" t="s">
        <v>4474</v>
      </c>
      <c r="AB2555" s="14">
        <v>40001</v>
      </c>
      <c r="AE2555" s="14" t="s">
        <v>1400</v>
      </c>
      <c r="AF2555" s="14" t="s">
        <v>1400</v>
      </c>
      <c r="AG2555" s="14" t="s">
        <v>95</v>
      </c>
    </row>
    <row r="2556" spans="2:33">
      <c r="B2556" s="14">
        <f>10000000+INDEX(编号表!$B:$B,MATCH(H2556,编号表!$A:$A,0))*100000+INDEX(编号表!$F:$F,MATCH(D2556,编号表!$E:$E,0))*10000+INDEX(编号表!$D:$D,MATCH(AG2556,编号表!$C:$C,0))*1000+F2556</f>
        <v>11935065</v>
      </c>
      <c r="C2556" s="14" t="s">
        <v>4472</v>
      </c>
      <c r="D2556" s="14" t="s">
        <v>276</v>
      </c>
      <c r="E2556" s="14" t="s">
        <v>95</v>
      </c>
      <c r="F2556" s="14">
        <v>65</v>
      </c>
      <c r="G2556" s="14">
        <v>60</v>
      </c>
      <c r="H2556" s="14" t="s">
        <v>1400</v>
      </c>
      <c r="I2556" s="14" t="s">
        <v>75</v>
      </c>
      <c r="J2556" s="14" t="s">
        <v>201</v>
      </c>
      <c r="K2556" s="14">
        <v>1</v>
      </c>
      <c r="L2556" s="14" t="s">
        <v>1400</v>
      </c>
      <c r="N2556" s="14">
        <v>0</v>
      </c>
      <c r="O2556" s="14" t="b">
        <v>1</v>
      </c>
      <c r="Q2556" s="14" t="b">
        <v>0</v>
      </c>
      <c r="R2556" s="14">
        <v>1</v>
      </c>
      <c r="S2556" s="14" t="s">
        <v>77</v>
      </c>
      <c r="T2556" s="14">
        <v>999</v>
      </c>
      <c r="U2556" s="14" t="s">
        <v>1401</v>
      </c>
      <c r="V2556" s="14">
        <v>31935065</v>
      </c>
      <c r="X2556" s="14" t="s">
        <v>4475</v>
      </c>
      <c r="Y2556" s="14" t="s">
        <v>215</v>
      </c>
      <c r="Z2556" s="14">
        <v>21319</v>
      </c>
      <c r="AA2556" s="14" t="s">
        <v>4476</v>
      </c>
      <c r="AB2556" s="14">
        <v>40001</v>
      </c>
      <c r="AE2556" s="14" t="s">
        <v>1400</v>
      </c>
      <c r="AF2556" s="14" t="s">
        <v>1400</v>
      </c>
      <c r="AG2556" s="14" t="s">
        <v>95</v>
      </c>
    </row>
    <row r="2557" spans="2:33">
      <c r="B2557" s="14">
        <f>10000000+INDEX(编号表!$B:$B,MATCH(H2557,编号表!$A:$A,0))*100000+INDEX(编号表!$F:$F,MATCH(D2557,编号表!$E:$E,0))*10000+INDEX(编号表!$D:$D,MATCH(AG2557,编号表!$C:$C,0))*1000+F2557</f>
        <v>11945066</v>
      </c>
      <c r="C2557" s="14" t="s">
        <v>4472</v>
      </c>
      <c r="D2557" s="14" t="s">
        <v>104</v>
      </c>
      <c r="E2557" s="14" t="s">
        <v>95</v>
      </c>
      <c r="F2557" s="14">
        <v>66</v>
      </c>
      <c r="G2557" s="14">
        <v>60</v>
      </c>
      <c r="H2557" s="14" t="s">
        <v>1400</v>
      </c>
      <c r="I2557" s="14" t="s">
        <v>75</v>
      </c>
      <c r="J2557" s="14" t="s">
        <v>201</v>
      </c>
      <c r="K2557" s="14">
        <v>1</v>
      </c>
      <c r="L2557" s="14" t="s">
        <v>1400</v>
      </c>
      <c r="N2557" s="14">
        <v>0</v>
      </c>
      <c r="O2557" s="14" t="b">
        <v>1</v>
      </c>
      <c r="Q2557" s="14" t="b">
        <v>0</v>
      </c>
      <c r="R2557" s="14">
        <v>1</v>
      </c>
      <c r="S2557" s="14" t="s">
        <v>77</v>
      </c>
      <c r="T2557" s="14">
        <v>999</v>
      </c>
      <c r="U2557" s="14" t="s">
        <v>1401</v>
      </c>
      <c r="V2557" s="14">
        <v>31945066</v>
      </c>
      <c r="X2557" s="14" t="s">
        <v>4477</v>
      </c>
      <c r="Y2557" s="14" t="s">
        <v>215</v>
      </c>
      <c r="Z2557" s="14">
        <v>21320</v>
      </c>
      <c r="AA2557" s="14" t="s">
        <v>4478</v>
      </c>
      <c r="AB2557" s="14">
        <v>40001</v>
      </c>
      <c r="AE2557" s="14" t="s">
        <v>1400</v>
      </c>
      <c r="AF2557" s="14" t="s">
        <v>1400</v>
      </c>
      <c r="AG2557" s="14" t="s">
        <v>95</v>
      </c>
    </row>
    <row r="2558" spans="2:33">
      <c r="B2558" s="14">
        <f>10000000+INDEX(编号表!$B:$B,MATCH(H2558,编号表!$A:$A,0))*100000+INDEX(编号表!$F:$F,MATCH(D2558,编号表!$E:$E,0))*10000+INDEX(编号表!$D:$D,MATCH(AG2558,编号表!$C:$C,0))*1000+F2558</f>
        <v>11925065</v>
      </c>
      <c r="C2558" s="14" t="s">
        <v>4479</v>
      </c>
      <c r="D2558" s="14" t="s">
        <v>112</v>
      </c>
      <c r="E2558" s="14" t="s">
        <v>95</v>
      </c>
      <c r="F2558" s="14">
        <v>65</v>
      </c>
      <c r="G2558" s="14">
        <v>60</v>
      </c>
      <c r="H2558" s="14" t="s">
        <v>1400</v>
      </c>
      <c r="I2558" s="14" t="s">
        <v>75</v>
      </c>
      <c r="J2558" s="14" t="s">
        <v>201</v>
      </c>
      <c r="K2558" s="14">
        <v>1</v>
      </c>
      <c r="L2558" s="14" t="s">
        <v>1400</v>
      </c>
      <c r="N2558" s="14">
        <v>0</v>
      </c>
      <c r="O2558" s="14" t="b">
        <v>1</v>
      </c>
      <c r="Q2558" s="14" t="b">
        <v>0</v>
      </c>
      <c r="R2558" s="14">
        <v>1</v>
      </c>
      <c r="S2558" s="14" t="s">
        <v>77</v>
      </c>
      <c r="T2558" s="14">
        <v>999</v>
      </c>
      <c r="U2558" s="14" t="s">
        <v>1401</v>
      </c>
      <c r="V2558" s="14">
        <v>31925065</v>
      </c>
      <c r="X2558" s="14" t="s">
        <v>4480</v>
      </c>
      <c r="Y2558" s="14" t="s">
        <v>215</v>
      </c>
      <c r="Z2558" s="14">
        <v>21321</v>
      </c>
      <c r="AA2558" s="14" t="s">
        <v>4481</v>
      </c>
      <c r="AB2558" s="14">
        <v>40001</v>
      </c>
      <c r="AE2558" s="14" t="s">
        <v>1400</v>
      </c>
      <c r="AF2558" s="14" t="s">
        <v>1400</v>
      </c>
      <c r="AG2558" s="14" t="s">
        <v>95</v>
      </c>
    </row>
    <row r="2559" spans="2:33">
      <c r="B2559" s="14">
        <f>10000000+INDEX(编号表!$B:$B,MATCH(H2559,编号表!$A:$A,0))*100000+INDEX(编号表!$F:$F,MATCH(D2559,编号表!$E:$E,0))*10000+INDEX(编号表!$D:$D,MATCH(AG2559,编号表!$C:$C,0))*1000+F2559</f>
        <v>11935066</v>
      </c>
      <c r="C2559" s="14" t="s">
        <v>4479</v>
      </c>
      <c r="D2559" s="14" t="s">
        <v>276</v>
      </c>
      <c r="E2559" s="14" t="s">
        <v>95</v>
      </c>
      <c r="F2559" s="14">
        <v>66</v>
      </c>
      <c r="G2559" s="14">
        <v>60</v>
      </c>
      <c r="H2559" s="14" t="s">
        <v>1400</v>
      </c>
      <c r="I2559" s="14" t="s">
        <v>75</v>
      </c>
      <c r="J2559" s="14" t="s">
        <v>201</v>
      </c>
      <c r="K2559" s="14">
        <v>1</v>
      </c>
      <c r="L2559" s="14" t="s">
        <v>1400</v>
      </c>
      <c r="N2559" s="14">
        <v>0</v>
      </c>
      <c r="O2559" s="14" t="b">
        <v>1</v>
      </c>
      <c r="Q2559" s="14" t="b">
        <v>0</v>
      </c>
      <c r="R2559" s="14">
        <v>1</v>
      </c>
      <c r="S2559" s="14" t="s">
        <v>77</v>
      </c>
      <c r="T2559" s="14">
        <v>999</v>
      </c>
      <c r="U2559" s="14" t="s">
        <v>1401</v>
      </c>
      <c r="V2559" s="14">
        <v>31935066</v>
      </c>
      <c r="X2559" s="14" t="s">
        <v>4482</v>
      </c>
      <c r="Y2559" s="14" t="s">
        <v>215</v>
      </c>
      <c r="Z2559" s="14">
        <v>21322</v>
      </c>
      <c r="AA2559" s="14" t="s">
        <v>4483</v>
      </c>
      <c r="AB2559" s="14">
        <v>40001</v>
      </c>
      <c r="AE2559" s="14" t="s">
        <v>1400</v>
      </c>
      <c r="AF2559" s="14" t="s">
        <v>1400</v>
      </c>
      <c r="AG2559" s="14" t="s">
        <v>95</v>
      </c>
    </row>
    <row r="2560" spans="2:33">
      <c r="B2560" s="14">
        <f>10000000+INDEX(编号表!$B:$B,MATCH(H2560,编号表!$A:$A,0))*100000+INDEX(编号表!$F:$F,MATCH(D2560,编号表!$E:$E,0))*10000+INDEX(编号表!$D:$D,MATCH(AG2560,编号表!$C:$C,0))*1000+F2560</f>
        <v>11945067</v>
      </c>
      <c r="C2560" s="14" t="s">
        <v>4479</v>
      </c>
      <c r="D2560" s="14" t="s">
        <v>104</v>
      </c>
      <c r="E2560" s="14" t="s">
        <v>95</v>
      </c>
      <c r="F2560" s="14">
        <v>67</v>
      </c>
      <c r="G2560" s="14">
        <v>60</v>
      </c>
      <c r="H2560" s="14" t="s">
        <v>1400</v>
      </c>
      <c r="I2560" s="14" t="s">
        <v>75</v>
      </c>
      <c r="J2560" s="14" t="s">
        <v>201</v>
      </c>
      <c r="K2560" s="14">
        <v>1</v>
      </c>
      <c r="L2560" s="14" t="s">
        <v>1400</v>
      </c>
      <c r="N2560" s="14">
        <v>0</v>
      </c>
      <c r="O2560" s="14" t="b">
        <v>1</v>
      </c>
      <c r="Q2560" s="14" t="b">
        <v>0</v>
      </c>
      <c r="R2560" s="14">
        <v>1</v>
      </c>
      <c r="S2560" s="14" t="s">
        <v>77</v>
      </c>
      <c r="T2560" s="14">
        <v>999</v>
      </c>
      <c r="U2560" s="14" t="s">
        <v>1401</v>
      </c>
      <c r="V2560" s="14">
        <v>31945067</v>
      </c>
      <c r="X2560" s="14" t="s">
        <v>4484</v>
      </c>
      <c r="Y2560" s="14" t="s">
        <v>215</v>
      </c>
      <c r="Z2560" s="14">
        <v>21323</v>
      </c>
      <c r="AA2560" s="14" t="s">
        <v>4485</v>
      </c>
      <c r="AB2560" s="14">
        <v>40001</v>
      </c>
      <c r="AE2560" s="14" t="s">
        <v>1400</v>
      </c>
      <c r="AF2560" s="14" t="s">
        <v>1400</v>
      </c>
      <c r="AG2560" s="14" t="s">
        <v>95</v>
      </c>
    </row>
    <row r="2561" spans="2:33">
      <c r="B2561" s="14">
        <f>10000000+INDEX(编号表!$B:$B,MATCH(H2561,编号表!$A:$A,0))*100000+INDEX(编号表!$F:$F,MATCH(D2561,编号表!$E:$E,0))*10000+INDEX(编号表!$D:$D,MATCH(AG2561,编号表!$C:$C,0))*1000+F2561</f>
        <v>11925066</v>
      </c>
      <c r="C2561" s="14" t="s">
        <v>4486</v>
      </c>
      <c r="D2561" s="14" t="s">
        <v>112</v>
      </c>
      <c r="E2561" s="14" t="s">
        <v>95</v>
      </c>
      <c r="F2561" s="14">
        <v>66</v>
      </c>
      <c r="G2561" s="14">
        <v>60</v>
      </c>
      <c r="H2561" s="14" t="s">
        <v>1400</v>
      </c>
      <c r="I2561" s="14" t="s">
        <v>75</v>
      </c>
      <c r="J2561" s="14" t="s">
        <v>201</v>
      </c>
      <c r="K2561" s="14">
        <v>1</v>
      </c>
      <c r="L2561" s="14" t="s">
        <v>1400</v>
      </c>
      <c r="N2561" s="14">
        <v>0</v>
      </c>
      <c r="O2561" s="14" t="b">
        <v>1</v>
      </c>
      <c r="Q2561" s="14" t="b">
        <v>0</v>
      </c>
      <c r="R2561" s="14">
        <v>1</v>
      </c>
      <c r="S2561" s="14" t="s">
        <v>77</v>
      </c>
      <c r="T2561" s="14">
        <v>999</v>
      </c>
      <c r="U2561" s="14" t="s">
        <v>1401</v>
      </c>
      <c r="V2561" s="14">
        <v>31925066</v>
      </c>
      <c r="X2561" s="14" t="s">
        <v>4487</v>
      </c>
      <c r="Y2561" s="14" t="s">
        <v>215</v>
      </c>
      <c r="Z2561" s="14">
        <v>21324</v>
      </c>
      <c r="AA2561" s="14" t="s">
        <v>4488</v>
      </c>
      <c r="AB2561" s="14">
        <v>40001</v>
      </c>
      <c r="AE2561" s="14" t="s">
        <v>1400</v>
      </c>
      <c r="AF2561" s="14" t="s">
        <v>1400</v>
      </c>
      <c r="AG2561" s="14" t="s">
        <v>95</v>
      </c>
    </row>
    <row r="2562" spans="2:33">
      <c r="B2562" s="14">
        <f>10000000+INDEX(编号表!$B:$B,MATCH(H2562,编号表!$A:$A,0))*100000+INDEX(编号表!$F:$F,MATCH(D2562,编号表!$E:$E,0))*10000+INDEX(编号表!$D:$D,MATCH(AG2562,编号表!$C:$C,0))*1000+F2562</f>
        <v>11935067</v>
      </c>
      <c r="C2562" s="14" t="s">
        <v>4486</v>
      </c>
      <c r="D2562" s="14" t="s">
        <v>276</v>
      </c>
      <c r="E2562" s="14" t="s">
        <v>95</v>
      </c>
      <c r="F2562" s="14">
        <v>67</v>
      </c>
      <c r="G2562" s="14">
        <v>60</v>
      </c>
      <c r="H2562" s="14" t="s">
        <v>1400</v>
      </c>
      <c r="I2562" s="14" t="s">
        <v>75</v>
      </c>
      <c r="J2562" s="14" t="s">
        <v>201</v>
      </c>
      <c r="K2562" s="14">
        <v>1</v>
      </c>
      <c r="L2562" s="14" t="s">
        <v>1400</v>
      </c>
      <c r="N2562" s="14">
        <v>0</v>
      </c>
      <c r="O2562" s="14" t="b">
        <v>1</v>
      </c>
      <c r="Q2562" s="14" t="b">
        <v>0</v>
      </c>
      <c r="R2562" s="14">
        <v>1</v>
      </c>
      <c r="S2562" s="14" t="s">
        <v>77</v>
      </c>
      <c r="T2562" s="14">
        <v>999</v>
      </c>
      <c r="U2562" s="14" t="s">
        <v>1401</v>
      </c>
      <c r="V2562" s="14">
        <v>31935067</v>
      </c>
      <c r="X2562" s="14" t="s">
        <v>4489</v>
      </c>
      <c r="Y2562" s="14" t="s">
        <v>215</v>
      </c>
      <c r="Z2562" s="14">
        <v>21325</v>
      </c>
      <c r="AA2562" s="14" t="s">
        <v>4490</v>
      </c>
      <c r="AB2562" s="14">
        <v>40001</v>
      </c>
      <c r="AE2562" s="14" t="s">
        <v>1400</v>
      </c>
      <c r="AF2562" s="14" t="s">
        <v>1400</v>
      </c>
      <c r="AG2562" s="14" t="s">
        <v>95</v>
      </c>
    </row>
    <row r="2563" spans="2:33">
      <c r="B2563" s="14">
        <f>10000000+INDEX(编号表!$B:$B,MATCH(H2563,编号表!$A:$A,0))*100000+INDEX(编号表!$F:$F,MATCH(D2563,编号表!$E:$E,0))*10000+INDEX(编号表!$D:$D,MATCH(AG2563,编号表!$C:$C,0))*1000+F2563</f>
        <v>11945068</v>
      </c>
      <c r="C2563" s="14" t="s">
        <v>4486</v>
      </c>
      <c r="D2563" s="14" t="s">
        <v>104</v>
      </c>
      <c r="E2563" s="14" t="s">
        <v>95</v>
      </c>
      <c r="F2563" s="14">
        <v>68</v>
      </c>
      <c r="G2563" s="14">
        <v>60</v>
      </c>
      <c r="H2563" s="14" t="s">
        <v>1400</v>
      </c>
      <c r="I2563" s="14" t="s">
        <v>75</v>
      </c>
      <c r="J2563" s="14" t="s">
        <v>201</v>
      </c>
      <c r="K2563" s="14">
        <v>1</v>
      </c>
      <c r="L2563" s="14" t="s">
        <v>1400</v>
      </c>
      <c r="N2563" s="14">
        <v>0</v>
      </c>
      <c r="O2563" s="14" t="b">
        <v>1</v>
      </c>
      <c r="Q2563" s="14" t="b">
        <v>0</v>
      </c>
      <c r="R2563" s="14">
        <v>1</v>
      </c>
      <c r="S2563" s="14" t="s">
        <v>77</v>
      </c>
      <c r="T2563" s="14">
        <v>999</v>
      </c>
      <c r="U2563" s="14" t="s">
        <v>1401</v>
      </c>
      <c r="V2563" s="14">
        <v>31945068</v>
      </c>
      <c r="X2563" s="14" t="s">
        <v>4491</v>
      </c>
      <c r="Y2563" s="14" t="s">
        <v>215</v>
      </c>
      <c r="Z2563" s="14">
        <v>21326</v>
      </c>
      <c r="AA2563" s="14" t="s">
        <v>4492</v>
      </c>
      <c r="AB2563" s="14">
        <v>40001</v>
      </c>
      <c r="AE2563" s="14" t="s">
        <v>1400</v>
      </c>
      <c r="AF2563" s="14" t="s">
        <v>1400</v>
      </c>
      <c r="AG2563" s="14" t="s">
        <v>95</v>
      </c>
    </row>
    <row r="2564" spans="2:33">
      <c r="B2564" s="14">
        <f>10000000+INDEX(编号表!$B:$B,MATCH(H2564,编号表!$A:$A,0))*100000+INDEX(编号表!$F:$F,MATCH(D2564,编号表!$E:$E,0))*10000+INDEX(编号表!$D:$D,MATCH(AG2564,编号表!$C:$C,0))*1000+F2564</f>
        <v>11925067</v>
      </c>
      <c r="C2564" s="14" t="s">
        <v>4493</v>
      </c>
      <c r="D2564" s="14" t="s">
        <v>112</v>
      </c>
      <c r="E2564" s="14" t="s">
        <v>95</v>
      </c>
      <c r="F2564" s="14">
        <v>67</v>
      </c>
      <c r="G2564" s="14">
        <v>60</v>
      </c>
      <c r="H2564" s="14" t="s">
        <v>1400</v>
      </c>
      <c r="I2564" s="14" t="s">
        <v>75</v>
      </c>
      <c r="J2564" s="14" t="s">
        <v>201</v>
      </c>
      <c r="K2564" s="14">
        <v>1</v>
      </c>
      <c r="L2564" s="14" t="s">
        <v>1400</v>
      </c>
      <c r="N2564" s="14">
        <v>0</v>
      </c>
      <c r="O2564" s="14" t="b">
        <v>1</v>
      </c>
      <c r="Q2564" s="14" t="b">
        <v>0</v>
      </c>
      <c r="R2564" s="14">
        <v>1</v>
      </c>
      <c r="S2564" s="14" t="s">
        <v>77</v>
      </c>
      <c r="T2564" s="14">
        <v>999</v>
      </c>
      <c r="U2564" s="14" t="s">
        <v>1401</v>
      </c>
      <c r="V2564" s="14">
        <v>31925067</v>
      </c>
      <c r="X2564" s="14" t="s">
        <v>4494</v>
      </c>
      <c r="Y2564" s="14" t="s">
        <v>215</v>
      </c>
      <c r="Z2564" s="14">
        <v>21327</v>
      </c>
      <c r="AA2564" s="14" t="s">
        <v>4495</v>
      </c>
      <c r="AB2564" s="14">
        <v>40001</v>
      </c>
      <c r="AE2564" s="14" t="s">
        <v>1400</v>
      </c>
      <c r="AF2564" s="14" t="s">
        <v>1400</v>
      </c>
      <c r="AG2564" s="14" t="s">
        <v>95</v>
      </c>
    </row>
    <row r="2565" spans="2:33">
      <c r="B2565" s="14">
        <f>10000000+INDEX(编号表!$B:$B,MATCH(H2565,编号表!$A:$A,0))*100000+INDEX(编号表!$F:$F,MATCH(D2565,编号表!$E:$E,0))*10000+INDEX(编号表!$D:$D,MATCH(AG2565,编号表!$C:$C,0))*1000+F2565</f>
        <v>11935068</v>
      </c>
      <c r="C2565" s="14" t="s">
        <v>4493</v>
      </c>
      <c r="D2565" s="14" t="s">
        <v>276</v>
      </c>
      <c r="E2565" s="14" t="s">
        <v>95</v>
      </c>
      <c r="F2565" s="14">
        <v>68</v>
      </c>
      <c r="G2565" s="14">
        <v>60</v>
      </c>
      <c r="H2565" s="14" t="s">
        <v>1400</v>
      </c>
      <c r="I2565" s="14" t="s">
        <v>75</v>
      </c>
      <c r="J2565" s="14" t="s">
        <v>201</v>
      </c>
      <c r="K2565" s="14">
        <v>1</v>
      </c>
      <c r="L2565" s="14" t="s">
        <v>1400</v>
      </c>
      <c r="N2565" s="14">
        <v>0</v>
      </c>
      <c r="O2565" s="14" t="b">
        <v>1</v>
      </c>
      <c r="Q2565" s="14" t="b">
        <v>0</v>
      </c>
      <c r="R2565" s="14">
        <v>1</v>
      </c>
      <c r="S2565" s="14" t="s">
        <v>77</v>
      </c>
      <c r="T2565" s="14">
        <v>999</v>
      </c>
      <c r="U2565" s="14" t="s">
        <v>1401</v>
      </c>
      <c r="V2565" s="14">
        <v>31935068</v>
      </c>
      <c r="X2565" s="14" t="s">
        <v>4496</v>
      </c>
      <c r="Y2565" s="14" t="s">
        <v>215</v>
      </c>
      <c r="Z2565" s="14">
        <v>21328</v>
      </c>
      <c r="AA2565" s="14" t="s">
        <v>4497</v>
      </c>
      <c r="AB2565" s="14">
        <v>40001</v>
      </c>
      <c r="AE2565" s="14" t="s">
        <v>1400</v>
      </c>
      <c r="AF2565" s="14" t="s">
        <v>1400</v>
      </c>
      <c r="AG2565" s="14" t="s">
        <v>95</v>
      </c>
    </row>
    <row r="2566" spans="2:33">
      <c r="B2566" s="14">
        <f>10000000+INDEX(编号表!$B:$B,MATCH(H2566,编号表!$A:$A,0))*100000+INDEX(编号表!$F:$F,MATCH(D2566,编号表!$E:$E,0))*10000+INDEX(编号表!$D:$D,MATCH(AG2566,编号表!$C:$C,0))*1000+F2566</f>
        <v>11945069</v>
      </c>
      <c r="C2566" s="14" t="s">
        <v>4493</v>
      </c>
      <c r="D2566" s="14" t="s">
        <v>104</v>
      </c>
      <c r="E2566" s="14" t="s">
        <v>95</v>
      </c>
      <c r="F2566" s="14">
        <v>69</v>
      </c>
      <c r="G2566" s="14">
        <v>60</v>
      </c>
      <c r="H2566" s="14" t="s">
        <v>1400</v>
      </c>
      <c r="I2566" s="14" t="s">
        <v>75</v>
      </c>
      <c r="J2566" s="14" t="s">
        <v>201</v>
      </c>
      <c r="K2566" s="14">
        <v>1</v>
      </c>
      <c r="L2566" s="14" t="s">
        <v>1400</v>
      </c>
      <c r="N2566" s="14">
        <v>0</v>
      </c>
      <c r="O2566" s="14" t="b">
        <v>1</v>
      </c>
      <c r="Q2566" s="14" t="b">
        <v>0</v>
      </c>
      <c r="R2566" s="14">
        <v>1</v>
      </c>
      <c r="S2566" s="14" t="s">
        <v>77</v>
      </c>
      <c r="T2566" s="14">
        <v>999</v>
      </c>
      <c r="U2566" s="14" t="s">
        <v>1401</v>
      </c>
      <c r="V2566" s="14">
        <v>31945069</v>
      </c>
      <c r="X2566" s="14" t="s">
        <v>4498</v>
      </c>
      <c r="Y2566" s="14" t="s">
        <v>215</v>
      </c>
      <c r="Z2566" s="14">
        <v>21329</v>
      </c>
      <c r="AA2566" s="14" t="s">
        <v>4499</v>
      </c>
      <c r="AB2566" s="14">
        <v>40001</v>
      </c>
      <c r="AE2566" s="14" t="s">
        <v>1400</v>
      </c>
      <c r="AF2566" s="14" t="s">
        <v>1400</v>
      </c>
      <c r="AG2566" s="14" t="s">
        <v>95</v>
      </c>
    </row>
    <row r="2567" spans="2:33">
      <c r="B2567" s="14">
        <f>10000000+INDEX(编号表!$B:$B,MATCH(H2567,编号表!$A:$A,0))*100000+INDEX(编号表!$F:$F,MATCH(D2567,编号表!$E:$E,0))*10000+INDEX(编号表!$D:$D,MATCH(AG2567,编号表!$C:$C,0))*1000+F2567</f>
        <v>11925068</v>
      </c>
      <c r="C2567" s="14" t="s">
        <v>4500</v>
      </c>
      <c r="D2567" s="14" t="s">
        <v>112</v>
      </c>
      <c r="E2567" s="14" t="s">
        <v>95</v>
      </c>
      <c r="F2567" s="14">
        <v>68</v>
      </c>
      <c r="G2567" s="14">
        <v>60</v>
      </c>
      <c r="H2567" s="14" t="s">
        <v>1400</v>
      </c>
      <c r="I2567" s="14" t="s">
        <v>75</v>
      </c>
      <c r="J2567" s="14" t="s">
        <v>201</v>
      </c>
      <c r="K2567" s="14">
        <v>1</v>
      </c>
      <c r="L2567" s="14" t="s">
        <v>1400</v>
      </c>
      <c r="N2567" s="14">
        <v>0</v>
      </c>
      <c r="O2567" s="14" t="b">
        <v>1</v>
      </c>
      <c r="Q2567" s="14" t="b">
        <v>0</v>
      </c>
      <c r="R2567" s="14">
        <v>1</v>
      </c>
      <c r="S2567" s="14" t="s">
        <v>77</v>
      </c>
      <c r="T2567" s="14">
        <v>999</v>
      </c>
      <c r="U2567" s="14" t="s">
        <v>1401</v>
      </c>
      <c r="V2567" s="14">
        <v>31925068</v>
      </c>
      <c r="X2567" s="14" t="s">
        <v>4501</v>
      </c>
      <c r="Y2567" s="14" t="s">
        <v>215</v>
      </c>
      <c r="Z2567" s="14">
        <v>21330</v>
      </c>
      <c r="AA2567" s="14" t="s">
        <v>4502</v>
      </c>
      <c r="AB2567" s="14">
        <v>40001</v>
      </c>
      <c r="AE2567" s="14" t="s">
        <v>1400</v>
      </c>
      <c r="AF2567" s="14" t="s">
        <v>1400</v>
      </c>
      <c r="AG2567" s="14" t="s">
        <v>95</v>
      </c>
    </row>
    <row r="2568" spans="2:33">
      <c r="B2568" s="14">
        <f>10000000+INDEX(编号表!$B:$B,MATCH(H2568,编号表!$A:$A,0))*100000+INDEX(编号表!$F:$F,MATCH(D2568,编号表!$E:$E,0))*10000+INDEX(编号表!$D:$D,MATCH(AG2568,编号表!$C:$C,0))*1000+F2568</f>
        <v>11935069</v>
      </c>
      <c r="C2568" s="14" t="s">
        <v>4500</v>
      </c>
      <c r="D2568" s="14" t="s">
        <v>276</v>
      </c>
      <c r="E2568" s="14" t="s">
        <v>95</v>
      </c>
      <c r="F2568" s="14">
        <v>69</v>
      </c>
      <c r="G2568" s="14">
        <v>60</v>
      </c>
      <c r="H2568" s="14" t="s">
        <v>1400</v>
      </c>
      <c r="I2568" s="14" t="s">
        <v>75</v>
      </c>
      <c r="J2568" s="14" t="s">
        <v>201</v>
      </c>
      <c r="K2568" s="14">
        <v>1</v>
      </c>
      <c r="L2568" s="14" t="s">
        <v>1400</v>
      </c>
      <c r="N2568" s="14">
        <v>0</v>
      </c>
      <c r="O2568" s="14" t="b">
        <v>1</v>
      </c>
      <c r="Q2568" s="14" t="b">
        <v>0</v>
      </c>
      <c r="R2568" s="14">
        <v>1</v>
      </c>
      <c r="S2568" s="14" t="s">
        <v>77</v>
      </c>
      <c r="T2568" s="14">
        <v>999</v>
      </c>
      <c r="U2568" s="14" t="s">
        <v>1401</v>
      </c>
      <c r="V2568" s="14">
        <v>31935069</v>
      </c>
      <c r="X2568" s="14" t="s">
        <v>4503</v>
      </c>
      <c r="Y2568" s="14" t="s">
        <v>215</v>
      </c>
      <c r="Z2568" s="14">
        <v>21331</v>
      </c>
      <c r="AA2568" s="14" t="s">
        <v>4504</v>
      </c>
      <c r="AB2568" s="14">
        <v>40001</v>
      </c>
      <c r="AE2568" s="14" t="s">
        <v>1400</v>
      </c>
      <c r="AF2568" s="14" t="s">
        <v>1400</v>
      </c>
      <c r="AG2568" s="14" t="s">
        <v>95</v>
      </c>
    </row>
    <row r="2569" spans="2:33">
      <c r="B2569" s="14">
        <f>10000000+INDEX(编号表!$B:$B,MATCH(H2569,编号表!$A:$A,0))*100000+INDEX(编号表!$F:$F,MATCH(D2569,编号表!$E:$E,0))*10000+INDEX(编号表!$D:$D,MATCH(AG2569,编号表!$C:$C,0))*1000+F2569</f>
        <v>11945070</v>
      </c>
      <c r="C2569" s="14" t="s">
        <v>4500</v>
      </c>
      <c r="D2569" s="14" t="s">
        <v>104</v>
      </c>
      <c r="E2569" s="14" t="s">
        <v>95</v>
      </c>
      <c r="F2569" s="14">
        <v>70</v>
      </c>
      <c r="G2569" s="14">
        <v>60</v>
      </c>
      <c r="H2569" s="14" t="s">
        <v>1400</v>
      </c>
      <c r="I2569" s="14" t="s">
        <v>75</v>
      </c>
      <c r="J2569" s="14" t="s">
        <v>201</v>
      </c>
      <c r="K2569" s="14">
        <v>1</v>
      </c>
      <c r="L2569" s="14" t="s">
        <v>1400</v>
      </c>
      <c r="N2569" s="14">
        <v>0</v>
      </c>
      <c r="O2569" s="14" t="b">
        <v>1</v>
      </c>
      <c r="Q2569" s="14" t="b">
        <v>0</v>
      </c>
      <c r="R2569" s="14">
        <v>1</v>
      </c>
      <c r="S2569" s="14" t="s">
        <v>77</v>
      </c>
      <c r="T2569" s="14">
        <v>999</v>
      </c>
      <c r="U2569" s="14" t="s">
        <v>1401</v>
      </c>
      <c r="V2569" s="14">
        <v>31945070</v>
      </c>
      <c r="X2569" s="14" t="s">
        <v>4505</v>
      </c>
      <c r="Y2569" s="14" t="s">
        <v>215</v>
      </c>
      <c r="Z2569" s="14">
        <v>21332</v>
      </c>
      <c r="AA2569" s="14" t="s">
        <v>4506</v>
      </c>
      <c r="AB2569" s="14">
        <v>40001</v>
      </c>
      <c r="AE2569" s="14" t="s">
        <v>1400</v>
      </c>
      <c r="AF2569" s="14" t="s">
        <v>1400</v>
      </c>
      <c r="AG2569" s="14" t="s">
        <v>95</v>
      </c>
    </row>
    <row r="2570" spans="2:33">
      <c r="B2570" s="14">
        <f>10000000+INDEX(编号表!$B:$B,MATCH(H2570,编号表!$A:$A,0))*100000+INDEX(编号表!$F:$F,MATCH(D2570,编号表!$E:$E,0))*10000+INDEX(编号表!$D:$D,MATCH(AG2570,编号表!$C:$C,0))*1000+F2570</f>
        <v>11925069</v>
      </c>
      <c r="C2570" s="14" t="s">
        <v>4507</v>
      </c>
      <c r="D2570" s="14" t="s">
        <v>112</v>
      </c>
      <c r="E2570" s="14" t="s">
        <v>95</v>
      </c>
      <c r="F2570" s="14">
        <v>69</v>
      </c>
      <c r="G2570" s="14">
        <v>60</v>
      </c>
      <c r="H2570" s="14" t="s">
        <v>1400</v>
      </c>
      <c r="I2570" s="14" t="s">
        <v>75</v>
      </c>
      <c r="J2570" s="14" t="s">
        <v>201</v>
      </c>
      <c r="K2570" s="14">
        <v>1</v>
      </c>
      <c r="L2570" s="14" t="s">
        <v>1400</v>
      </c>
      <c r="N2570" s="14">
        <v>0</v>
      </c>
      <c r="O2570" s="14" t="b">
        <v>1</v>
      </c>
      <c r="Q2570" s="14" t="b">
        <v>0</v>
      </c>
      <c r="R2570" s="14">
        <v>1</v>
      </c>
      <c r="S2570" s="14" t="s">
        <v>77</v>
      </c>
      <c r="T2570" s="14">
        <v>999</v>
      </c>
      <c r="U2570" s="14" t="s">
        <v>1401</v>
      </c>
      <c r="V2570" s="14">
        <v>31925069</v>
      </c>
      <c r="X2570" s="14" t="s">
        <v>4508</v>
      </c>
      <c r="Y2570" s="14" t="s">
        <v>215</v>
      </c>
      <c r="Z2570" s="14">
        <v>21333</v>
      </c>
      <c r="AA2570" s="14" t="s">
        <v>4509</v>
      </c>
      <c r="AB2570" s="14">
        <v>40001</v>
      </c>
      <c r="AE2570" s="14" t="s">
        <v>1400</v>
      </c>
      <c r="AF2570" s="14" t="s">
        <v>1400</v>
      </c>
      <c r="AG2570" s="14" t="s">
        <v>95</v>
      </c>
    </row>
    <row r="2571" spans="2:33">
      <c r="B2571" s="14">
        <f>10000000+INDEX(编号表!$B:$B,MATCH(H2571,编号表!$A:$A,0))*100000+INDEX(编号表!$F:$F,MATCH(D2571,编号表!$E:$E,0))*10000+INDEX(编号表!$D:$D,MATCH(AG2571,编号表!$C:$C,0))*1000+F2571</f>
        <v>11935070</v>
      </c>
      <c r="C2571" s="14" t="s">
        <v>4507</v>
      </c>
      <c r="D2571" s="14" t="s">
        <v>276</v>
      </c>
      <c r="E2571" s="14" t="s">
        <v>95</v>
      </c>
      <c r="F2571" s="14">
        <v>70</v>
      </c>
      <c r="G2571" s="14">
        <v>60</v>
      </c>
      <c r="H2571" s="14" t="s">
        <v>1400</v>
      </c>
      <c r="I2571" s="14" t="s">
        <v>75</v>
      </c>
      <c r="J2571" s="14" t="s">
        <v>201</v>
      </c>
      <c r="K2571" s="14">
        <v>1</v>
      </c>
      <c r="L2571" s="14" t="s">
        <v>1400</v>
      </c>
      <c r="N2571" s="14">
        <v>0</v>
      </c>
      <c r="O2571" s="14" t="b">
        <v>1</v>
      </c>
      <c r="Q2571" s="14" t="b">
        <v>0</v>
      </c>
      <c r="R2571" s="14">
        <v>1</v>
      </c>
      <c r="S2571" s="14" t="s">
        <v>77</v>
      </c>
      <c r="T2571" s="14">
        <v>999</v>
      </c>
      <c r="U2571" s="14" t="s">
        <v>1401</v>
      </c>
      <c r="V2571" s="14">
        <v>31935070</v>
      </c>
      <c r="X2571" s="14" t="s">
        <v>4510</v>
      </c>
      <c r="Y2571" s="14" t="s">
        <v>215</v>
      </c>
      <c r="Z2571" s="14">
        <v>21334</v>
      </c>
      <c r="AA2571" s="14" t="s">
        <v>4511</v>
      </c>
      <c r="AB2571" s="14">
        <v>40001</v>
      </c>
      <c r="AE2571" s="14" t="s">
        <v>1400</v>
      </c>
      <c r="AF2571" s="14" t="s">
        <v>1400</v>
      </c>
      <c r="AG2571" s="14" t="s">
        <v>95</v>
      </c>
    </row>
    <row r="2572" spans="2:33">
      <c r="B2572" s="14">
        <f>10000000+INDEX(编号表!$B:$B,MATCH(H2572,编号表!$A:$A,0))*100000+INDEX(编号表!$F:$F,MATCH(D2572,编号表!$E:$E,0))*10000+INDEX(编号表!$D:$D,MATCH(AG2572,编号表!$C:$C,0))*1000+F2572</f>
        <v>11945071</v>
      </c>
      <c r="C2572" s="14" t="s">
        <v>4507</v>
      </c>
      <c r="D2572" s="14" t="s">
        <v>104</v>
      </c>
      <c r="E2572" s="14" t="s">
        <v>95</v>
      </c>
      <c r="F2572" s="14">
        <v>71</v>
      </c>
      <c r="G2572" s="14">
        <v>60</v>
      </c>
      <c r="H2572" s="14" t="s">
        <v>1400</v>
      </c>
      <c r="I2572" s="14" t="s">
        <v>75</v>
      </c>
      <c r="J2572" s="14" t="s">
        <v>201</v>
      </c>
      <c r="K2572" s="14">
        <v>1</v>
      </c>
      <c r="L2572" s="14" t="s">
        <v>1400</v>
      </c>
      <c r="N2572" s="14">
        <v>0</v>
      </c>
      <c r="O2572" s="14" t="b">
        <v>1</v>
      </c>
      <c r="Q2572" s="14" t="b">
        <v>0</v>
      </c>
      <c r="R2572" s="14">
        <v>1</v>
      </c>
      <c r="S2572" s="14" t="s">
        <v>77</v>
      </c>
      <c r="T2572" s="14">
        <v>999</v>
      </c>
      <c r="U2572" s="14" t="s">
        <v>1401</v>
      </c>
      <c r="V2572" s="14">
        <v>31945071</v>
      </c>
      <c r="X2572" s="14" t="s">
        <v>4512</v>
      </c>
      <c r="Y2572" s="14" t="s">
        <v>215</v>
      </c>
      <c r="Z2572" s="14">
        <v>21335</v>
      </c>
      <c r="AA2572" s="14" t="s">
        <v>4513</v>
      </c>
      <c r="AB2572" s="14">
        <v>40001</v>
      </c>
      <c r="AE2572" s="14" t="s">
        <v>1400</v>
      </c>
      <c r="AF2572" s="14" t="s">
        <v>1400</v>
      </c>
      <c r="AG2572" s="14" t="s">
        <v>95</v>
      </c>
    </row>
    <row r="2573" spans="2:33">
      <c r="B2573" s="14">
        <f>10000000+INDEX(编号表!$B:$B,MATCH(H2573,编号表!$A:$A,0))*100000+INDEX(编号表!$F:$F,MATCH(D2573,编号表!$E:$E,0))*10000+INDEX(编号表!$D:$D,MATCH(AG2573,编号表!$C:$C,0))*1000+F2573</f>
        <v>11925070</v>
      </c>
      <c r="C2573" s="14" t="s">
        <v>4514</v>
      </c>
      <c r="D2573" s="14" t="s">
        <v>112</v>
      </c>
      <c r="E2573" s="14" t="s">
        <v>95</v>
      </c>
      <c r="F2573" s="14">
        <v>70</v>
      </c>
      <c r="G2573" s="14">
        <v>60</v>
      </c>
      <c r="H2573" s="14" t="s">
        <v>1400</v>
      </c>
      <c r="I2573" s="14" t="s">
        <v>75</v>
      </c>
      <c r="J2573" s="14" t="s">
        <v>201</v>
      </c>
      <c r="K2573" s="14">
        <v>1</v>
      </c>
      <c r="L2573" s="14" t="s">
        <v>1400</v>
      </c>
      <c r="N2573" s="14">
        <v>0</v>
      </c>
      <c r="O2573" s="14" t="b">
        <v>1</v>
      </c>
      <c r="Q2573" s="14" t="b">
        <v>0</v>
      </c>
      <c r="R2573" s="14">
        <v>1</v>
      </c>
      <c r="S2573" s="14" t="s">
        <v>77</v>
      </c>
      <c r="T2573" s="14">
        <v>999</v>
      </c>
      <c r="U2573" s="14" t="s">
        <v>1401</v>
      </c>
      <c r="V2573" s="14">
        <v>31925070</v>
      </c>
      <c r="X2573" s="14" t="s">
        <v>4515</v>
      </c>
      <c r="Y2573" s="14" t="s">
        <v>215</v>
      </c>
      <c r="Z2573" s="14">
        <v>21336</v>
      </c>
      <c r="AA2573" s="14" t="s">
        <v>4516</v>
      </c>
      <c r="AB2573" s="14">
        <v>40001</v>
      </c>
      <c r="AE2573" s="14" t="s">
        <v>1400</v>
      </c>
      <c r="AF2573" s="14" t="s">
        <v>1400</v>
      </c>
      <c r="AG2573" s="14" t="s">
        <v>95</v>
      </c>
    </row>
    <row r="2574" spans="2:33">
      <c r="B2574" s="14">
        <f>10000000+INDEX(编号表!$B:$B,MATCH(H2574,编号表!$A:$A,0))*100000+INDEX(编号表!$F:$F,MATCH(D2574,编号表!$E:$E,0))*10000+INDEX(编号表!$D:$D,MATCH(AG2574,编号表!$C:$C,0))*1000+F2574</f>
        <v>11935071</v>
      </c>
      <c r="C2574" s="14" t="s">
        <v>4514</v>
      </c>
      <c r="D2574" s="14" t="s">
        <v>276</v>
      </c>
      <c r="E2574" s="14" t="s">
        <v>95</v>
      </c>
      <c r="F2574" s="14">
        <v>71</v>
      </c>
      <c r="G2574" s="14">
        <v>60</v>
      </c>
      <c r="H2574" s="14" t="s">
        <v>1400</v>
      </c>
      <c r="I2574" s="14" t="s">
        <v>75</v>
      </c>
      <c r="J2574" s="14" t="s">
        <v>201</v>
      </c>
      <c r="K2574" s="14">
        <v>1</v>
      </c>
      <c r="L2574" s="14" t="s">
        <v>1400</v>
      </c>
      <c r="N2574" s="14">
        <v>0</v>
      </c>
      <c r="O2574" s="14" t="b">
        <v>1</v>
      </c>
      <c r="Q2574" s="14" t="b">
        <v>0</v>
      </c>
      <c r="R2574" s="14">
        <v>1</v>
      </c>
      <c r="S2574" s="14" t="s">
        <v>77</v>
      </c>
      <c r="T2574" s="14">
        <v>999</v>
      </c>
      <c r="U2574" s="14" t="s">
        <v>1401</v>
      </c>
      <c r="V2574" s="14">
        <v>31935071</v>
      </c>
      <c r="X2574" s="14" t="s">
        <v>4517</v>
      </c>
      <c r="Y2574" s="14" t="s">
        <v>215</v>
      </c>
      <c r="Z2574" s="14">
        <v>21337</v>
      </c>
      <c r="AA2574" s="14" t="s">
        <v>4518</v>
      </c>
      <c r="AB2574" s="14">
        <v>40001</v>
      </c>
      <c r="AE2574" s="14" t="s">
        <v>1400</v>
      </c>
      <c r="AF2574" s="14" t="s">
        <v>1400</v>
      </c>
      <c r="AG2574" s="14" t="s">
        <v>95</v>
      </c>
    </row>
    <row r="2575" spans="2:33">
      <c r="B2575" s="14">
        <f>10000000+INDEX(编号表!$B:$B,MATCH(H2575,编号表!$A:$A,0))*100000+INDEX(编号表!$F:$F,MATCH(D2575,编号表!$E:$E,0))*10000+INDEX(编号表!$D:$D,MATCH(AG2575,编号表!$C:$C,0))*1000+F2575</f>
        <v>11945072</v>
      </c>
      <c r="C2575" s="14" t="s">
        <v>4514</v>
      </c>
      <c r="D2575" s="14" t="s">
        <v>104</v>
      </c>
      <c r="E2575" s="14" t="s">
        <v>95</v>
      </c>
      <c r="F2575" s="14">
        <v>72</v>
      </c>
      <c r="G2575" s="14">
        <v>60</v>
      </c>
      <c r="H2575" s="14" t="s">
        <v>1400</v>
      </c>
      <c r="I2575" s="14" t="s">
        <v>75</v>
      </c>
      <c r="J2575" s="14" t="s">
        <v>201</v>
      </c>
      <c r="K2575" s="14">
        <v>1</v>
      </c>
      <c r="L2575" s="14" t="s">
        <v>1400</v>
      </c>
      <c r="N2575" s="14">
        <v>0</v>
      </c>
      <c r="O2575" s="14" t="b">
        <v>1</v>
      </c>
      <c r="Q2575" s="14" t="b">
        <v>0</v>
      </c>
      <c r="R2575" s="14">
        <v>1</v>
      </c>
      <c r="S2575" s="14" t="s">
        <v>77</v>
      </c>
      <c r="T2575" s="14">
        <v>999</v>
      </c>
      <c r="U2575" s="14" t="s">
        <v>1401</v>
      </c>
      <c r="V2575" s="14">
        <v>31945072</v>
      </c>
      <c r="X2575" s="14" t="s">
        <v>4519</v>
      </c>
      <c r="Y2575" s="14" t="s">
        <v>215</v>
      </c>
      <c r="Z2575" s="14">
        <v>21338</v>
      </c>
      <c r="AA2575" s="14" t="s">
        <v>4520</v>
      </c>
      <c r="AB2575" s="14">
        <v>40001</v>
      </c>
      <c r="AE2575" s="14" t="s">
        <v>1400</v>
      </c>
      <c r="AF2575" s="14" t="s">
        <v>1400</v>
      </c>
      <c r="AG2575" s="14" t="s">
        <v>95</v>
      </c>
    </row>
    <row r="2576" spans="2:33">
      <c r="B2576" s="14">
        <f>10000000+INDEX(编号表!$B:$B,MATCH(H2576,编号表!$A:$A,0))*100000+INDEX(编号表!$F:$F,MATCH(D2576,编号表!$E:$E,0))*10000+INDEX(编号表!$D:$D,MATCH(AG2576,编号表!$C:$C,0))*1000+F2576</f>
        <v>11925071</v>
      </c>
      <c r="C2576" s="14" t="s">
        <v>4521</v>
      </c>
      <c r="D2576" s="14" t="s">
        <v>112</v>
      </c>
      <c r="E2576" s="14" t="s">
        <v>95</v>
      </c>
      <c r="F2576" s="14">
        <v>71</v>
      </c>
      <c r="G2576" s="14">
        <v>60</v>
      </c>
      <c r="H2576" s="14" t="s">
        <v>1400</v>
      </c>
      <c r="I2576" s="14" t="s">
        <v>75</v>
      </c>
      <c r="J2576" s="14" t="s">
        <v>201</v>
      </c>
      <c r="K2576" s="14">
        <v>1</v>
      </c>
      <c r="L2576" s="14" t="s">
        <v>1400</v>
      </c>
      <c r="N2576" s="14">
        <v>0</v>
      </c>
      <c r="O2576" s="14" t="b">
        <v>1</v>
      </c>
      <c r="Q2576" s="14" t="b">
        <v>0</v>
      </c>
      <c r="R2576" s="14">
        <v>1</v>
      </c>
      <c r="S2576" s="14" t="s">
        <v>77</v>
      </c>
      <c r="T2576" s="14">
        <v>999</v>
      </c>
      <c r="U2576" s="14" t="s">
        <v>1401</v>
      </c>
      <c r="V2576" s="14">
        <v>31925071</v>
      </c>
      <c r="X2576" s="14" t="s">
        <v>4522</v>
      </c>
      <c r="Y2576" s="14" t="s">
        <v>215</v>
      </c>
      <c r="Z2576" s="14">
        <v>21339</v>
      </c>
      <c r="AA2576" s="14" t="s">
        <v>4523</v>
      </c>
      <c r="AB2576" s="14">
        <v>40001</v>
      </c>
      <c r="AE2576" s="14" t="s">
        <v>1400</v>
      </c>
      <c r="AF2576" s="14" t="s">
        <v>1400</v>
      </c>
      <c r="AG2576" s="14" t="s">
        <v>95</v>
      </c>
    </row>
    <row r="2577" spans="2:33">
      <c r="B2577" s="14">
        <f>10000000+INDEX(编号表!$B:$B,MATCH(H2577,编号表!$A:$A,0))*100000+INDEX(编号表!$F:$F,MATCH(D2577,编号表!$E:$E,0))*10000+INDEX(编号表!$D:$D,MATCH(AG2577,编号表!$C:$C,0))*1000+F2577</f>
        <v>11935072</v>
      </c>
      <c r="C2577" s="14" t="s">
        <v>4521</v>
      </c>
      <c r="D2577" s="14" t="s">
        <v>276</v>
      </c>
      <c r="E2577" s="14" t="s">
        <v>95</v>
      </c>
      <c r="F2577" s="14">
        <v>72</v>
      </c>
      <c r="G2577" s="14">
        <v>60</v>
      </c>
      <c r="H2577" s="14" t="s">
        <v>1400</v>
      </c>
      <c r="I2577" s="14" t="s">
        <v>75</v>
      </c>
      <c r="J2577" s="14" t="s">
        <v>201</v>
      </c>
      <c r="K2577" s="14">
        <v>1</v>
      </c>
      <c r="L2577" s="14" t="s">
        <v>1400</v>
      </c>
      <c r="N2577" s="14">
        <v>0</v>
      </c>
      <c r="O2577" s="14" t="b">
        <v>1</v>
      </c>
      <c r="Q2577" s="14" t="b">
        <v>0</v>
      </c>
      <c r="R2577" s="14">
        <v>1</v>
      </c>
      <c r="S2577" s="14" t="s">
        <v>77</v>
      </c>
      <c r="T2577" s="14">
        <v>999</v>
      </c>
      <c r="U2577" s="14" t="s">
        <v>1401</v>
      </c>
      <c r="V2577" s="14">
        <v>31935072</v>
      </c>
      <c r="X2577" s="14" t="s">
        <v>4524</v>
      </c>
      <c r="Y2577" s="14" t="s">
        <v>215</v>
      </c>
      <c r="Z2577" s="14">
        <v>21340</v>
      </c>
      <c r="AA2577" s="14" t="s">
        <v>4525</v>
      </c>
      <c r="AB2577" s="14">
        <v>40001</v>
      </c>
      <c r="AE2577" s="14" t="s">
        <v>1400</v>
      </c>
      <c r="AF2577" s="14" t="s">
        <v>1400</v>
      </c>
      <c r="AG2577" s="14" t="s">
        <v>95</v>
      </c>
    </row>
    <row r="2578" spans="2:33">
      <c r="B2578" s="14">
        <f>10000000+INDEX(编号表!$B:$B,MATCH(H2578,编号表!$A:$A,0))*100000+INDEX(编号表!$F:$F,MATCH(D2578,编号表!$E:$E,0))*10000+INDEX(编号表!$D:$D,MATCH(AG2578,编号表!$C:$C,0))*1000+F2578</f>
        <v>11945073</v>
      </c>
      <c r="C2578" s="14" t="s">
        <v>4521</v>
      </c>
      <c r="D2578" s="14" t="s">
        <v>104</v>
      </c>
      <c r="E2578" s="14" t="s">
        <v>95</v>
      </c>
      <c r="F2578" s="14">
        <v>73</v>
      </c>
      <c r="G2578" s="14">
        <v>60</v>
      </c>
      <c r="H2578" s="14" t="s">
        <v>1400</v>
      </c>
      <c r="I2578" s="14" t="s">
        <v>75</v>
      </c>
      <c r="J2578" s="14" t="s">
        <v>201</v>
      </c>
      <c r="K2578" s="14">
        <v>1</v>
      </c>
      <c r="L2578" s="14" t="s">
        <v>1400</v>
      </c>
      <c r="N2578" s="14">
        <v>0</v>
      </c>
      <c r="O2578" s="14" t="b">
        <v>1</v>
      </c>
      <c r="Q2578" s="14" t="b">
        <v>0</v>
      </c>
      <c r="R2578" s="14">
        <v>1</v>
      </c>
      <c r="S2578" s="14" t="s">
        <v>77</v>
      </c>
      <c r="T2578" s="14">
        <v>999</v>
      </c>
      <c r="U2578" s="14" t="s">
        <v>1401</v>
      </c>
      <c r="V2578" s="14">
        <v>31945073</v>
      </c>
      <c r="X2578" s="14" t="s">
        <v>4526</v>
      </c>
      <c r="Y2578" s="14" t="s">
        <v>215</v>
      </c>
      <c r="Z2578" s="14">
        <v>21341</v>
      </c>
      <c r="AA2578" s="14" t="s">
        <v>4527</v>
      </c>
      <c r="AB2578" s="14">
        <v>40001</v>
      </c>
      <c r="AE2578" s="14" t="s">
        <v>1400</v>
      </c>
      <c r="AF2578" s="14" t="s">
        <v>1400</v>
      </c>
      <c r="AG2578" s="14" t="s">
        <v>95</v>
      </c>
    </row>
    <row r="2579" spans="2:33">
      <c r="B2579" s="14">
        <f>10000000+INDEX(编号表!$B:$B,MATCH(H2579,编号表!$A:$A,0))*100000+INDEX(编号表!$F:$F,MATCH(D2579,编号表!$E:$E,0))*10000+INDEX(编号表!$D:$D,MATCH(AG2579,编号表!$C:$C,0))*1000+F2579</f>
        <v>11925072</v>
      </c>
      <c r="C2579" s="14" t="s">
        <v>4528</v>
      </c>
      <c r="D2579" s="14" t="s">
        <v>112</v>
      </c>
      <c r="E2579" s="14" t="s">
        <v>95</v>
      </c>
      <c r="F2579" s="14">
        <v>72</v>
      </c>
      <c r="G2579" s="14">
        <v>60</v>
      </c>
      <c r="H2579" s="14" t="s">
        <v>1400</v>
      </c>
      <c r="I2579" s="14" t="s">
        <v>75</v>
      </c>
      <c r="J2579" s="14" t="s">
        <v>201</v>
      </c>
      <c r="K2579" s="14">
        <v>1</v>
      </c>
      <c r="L2579" s="14" t="s">
        <v>1400</v>
      </c>
      <c r="N2579" s="14">
        <v>0</v>
      </c>
      <c r="O2579" s="14" t="b">
        <v>1</v>
      </c>
      <c r="Q2579" s="14" t="b">
        <v>0</v>
      </c>
      <c r="R2579" s="14">
        <v>1</v>
      </c>
      <c r="S2579" s="14" t="s">
        <v>77</v>
      </c>
      <c r="T2579" s="14">
        <v>999</v>
      </c>
      <c r="U2579" s="14" t="s">
        <v>1401</v>
      </c>
      <c r="V2579" s="14">
        <v>31925072</v>
      </c>
      <c r="X2579" s="14" t="s">
        <v>4529</v>
      </c>
      <c r="Y2579" s="14" t="s">
        <v>215</v>
      </c>
      <c r="Z2579" s="14">
        <v>21342</v>
      </c>
      <c r="AA2579" s="14" t="s">
        <v>4530</v>
      </c>
      <c r="AB2579" s="14">
        <v>40001</v>
      </c>
      <c r="AE2579" s="14" t="s">
        <v>1400</v>
      </c>
      <c r="AF2579" s="14" t="s">
        <v>1400</v>
      </c>
      <c r="AG2579" s="14" t="s">
        <v>95</v>
      </c>
    </row>
    <row r="2580" spans="2:33">
      <c r="B2580" s="14">
        <f>10000000+INDEX(编号表!$B:$B,MATCH(H2580,编号表!$A:$A,0))*100000+INDEX(编号表!$F:$F,MATCH(D2580,编号表!$E:$E,0))*10000+INDEX(编号表!$D:$D,MATCH(AG2580,编号表!$C:$C,0))*1000+F2580</f>
        <v>11935073</v>
      </c>
      <c r="C2580" s="14" t="s">
        <v>4528</v>
      </c>
      <c r="D2580" s="14" t="s">
        <v>276</v>
      </c>
      <c r="E2580" s="14" t="s">
        <v>95</v>
      </c>
      <c r="F2580" s="14">
        <v>73</v>
      </c>
      <c r="G2580" s="14">
        <v>60</v>
      </c>
      <c r="H2580" s="14" t="s">
        <v>1400</v>
      </c>
      <c r="I2580" s="14" t="s">
        <v>75</v>
      </c>
      <c r="J2580" s="14" t="s">
        <v>201</v>
      </c>
      <c r="K2580" s="14">
        <v>1</v>
      </c>
      <c r="L2580" s="14" t="s">
        <v>1400</v>
      </c>
      <c r="N2580" s="14">
        <v>0</v>
      </c>
      <c r="O2580" s="14" t="b">
        <v>1</v>
      </c>
      <c r="Q2580" s="14" t="b">
        <v>0</v>
      </c>
      <c r="R2580" s="14">
        <v>1</v>
      </c>
      <c r="S2580" s="14" t="s">
        <v>77</v>
      </c>
      <c r="T2580" s="14">
        <v>999</v>
      </c>
      <c r="U2580" s="14" t="s">
        <v>1401</v>
      </c>
      <c r="V2580" s="14">
        <v>31935073</v>
      </c>
      <c r="X2580" s="14" t="s">
        <v>4531</v>
      </c>
      <c r="Y2580" s="14" t="s">
        <v>215</v>
      </c>
      <c r="Z2580" s="14">
        <v>21343</v>
      </c>
      <c r="AA2580" s="14" t="s">
        <v>4532</v>
      </c>
      <c r="AB2580" s="14">
        <v>40001</v>
      </c>
      <c r="AE2580" s="14" t="s">
        <v>1400</v>
      </c>
      <c r="AF2580" s="14" t="s">
        <v>1400</v>
      </c>
      <c r="AG2580" s="14" t="s">
        <v>95</v>
      </c>
    </row>
    <row r="2581" spans="2:33">
      <c r="B2581" s="14">
        <f>10000000+INDEX(编号表!$B:$B,MATCH(H2581,编号表!$A:$A,0))*100000+INDEX(编号表!$F:$F,MATCH(D2581,编号表!$E:$E,0))*10000+INDEX(编号表!$D:$D,MATCH(AG2581,编号表!$C:$C,0))*1000+F2581</f>
        <v>11945074</v>
      </c>
      <c r="C2581" s="14" t="s">
        <v>4528</v>
      </c>
      <c r="D2581" s="14" t="s">
        <v>104</v>
      </c>
      <c r="E2581" s="14" t="s">
        <v>95</v>
      </c>
      <c r="F2581" s="14">
        <v>74</v>
      </c>
      <c r="G2581" s="14">
        <v>60</v>
      </c>
      <c r="H2581" s="14" t="s">
        <v>1400</v>
      </c>
      <c r="I2581" s="14" t="s">
        <v>75</v>
      </c>
      <c r="J2581" s="14" t="s">
        <v>201</v>
      </c>
      <c r="K2581" s="14">
        <v>1</v>
      </c>
      <c r="L2581" s="14" t="s">
        <v>1400</v>
      </c>
      <c r="N2581" s="14">
        <v>0</v>
      </c>
      <c r="O2581" s="14" t="b">
        <v>1</v>
      </c>
      <c r="Q2581" s="14" t="b">
        <v>0</v>
      </c>
      <c r="R2581" s="14">
        <v>1</v>
      </c>
      <c r="S2581" s="14" t="s">
        <v>77</v>
      </c>
      <c r="T2581" s="14">
        <v>999</v>
      </c>
      <c r="U2581" s="14" t="s">
        <v>1401</v>
      </c>
      <c r="V2581" s="14">
        <v>31945074</v>
      </c>
      <c r="X2581" s="14" t="s">
        <v>4533</v>
      </c>
      <c r="Y2581" s="14" t="s">
        <v>215</v>
      </c>
      <c r="Z2581" s="14">
        <v>21344</v>
      </c>
      <c r="AA2581" s="14" t="s">
        <v>4534</v>
      </c>
      <c r="AB2581" s="14">
        <v>40001</v>
      </c>
      <c r="AE2581" s="14" t="s">
        <v>1400</v>
      </c>
      <c r="AF2581" s="14" t="s">
        <v>1400</v>
      </c>
      <c r="AG2581" s="14" t="s">
        <v>95</v>
      </c>
    </row>
    <row r="2582" spans="2:33">
      <c r="B2582" s="14">
        <f>10000000+INDEX(编号表!$B:$B,MATCH(H2582,编号表!$A:$A,0))*100000+INDEX(编号表!$F:$F,MATCH(D2582,编号表!$E:$E,0))*10000+INDEX(编号表!$D:$D,MATCH(AG2582,编号表!$C:$C,0))*1000+F2582</f>
        <v>11925073</v>
      </c>
      <c r="C2582" s="14" t="s">
        <v>4535</v>
      </c>
      <c r="D2582" s="14" t="s">
        <v>112</v>
      </c>
      <c r="E2582" s="14" t="s">
        <v>95</v>
      </c>
      <c r="F2582" s="14">
        <v>73</v>
      </c>
      <c r="G2582" s="14">
        <v>60</v>
      </c>
      <c r="H2582" s="14" t="s">
        <v>1400</v>
      </c>
      <c r="I2582" s="14" t="s">
        <v>75</v>
      </c>
      <c r="J2582" s="14" t="s">
        <v>201</v>
      </c>
      <c r="K2582" s="14">
        <v>1</v>
      </c>
      <c r="L2582" s="14" t="s">
        <v>1400</v>
      </c>
      <c r="N2582" s="14">
        <v>0</v>
      </c>
      <c r="O2582" s="14" t="b">
        <v>1</v>
      </c>
      <c r="Q2582" s="14" t="b">
        <v>0</v>
      </c>
      <c r="R2582" s="14">
        <v>1</v>
      </c>
      <c r="S2582" s="14" t="s">
        <v>77</v>
      </c>
      <c r="T2582" s="14">
        <v>999</v>
      </c>
      <c r="U2582" s="14" t="s">
        <v>1401</v>
      </c>
      <c r="V2582" s="14">
        <v>31925073</v>
      </c>
      <c r="X2582" s="14" t="s">
        <v>4536</v>
      </c>
      <c r="Y2582" s="14" t="s">
        <v>215</v>
      </c>
      <c r="Z2582" s="14">
        <v>21345</v>
      </c>
      <c r="AA2582" s="14" t="s">
        <v>4537</v>
      </c>
      <c r="AB2582" s="14">
        <v>40001</v>
      </c>
      <c r="AE2582" s="14" t="s">
        <v>1400</v>
      </c>
      <c r="AF2582" s="14" t="s">
        <v>1400</v>
      </c>
      <c r="AG2582" s="14" t="s">
        <v>95</v>
      </c>
    </row>
    <row r="2583" spans="2:33">
      <c r="B2583" s="14">
        <f>10000000+INDEX(编号表!$B:$B,MATCH(H2583,编号表!$A:$A,0))*100000+INDEX(编号表!$F:$F,MATCH(D2583,编号表!$E:$E,0))*10000+INDEX(编号表!$D:$D,MATCH(AG2583,编号表!$C:$C,0))*1000+F2583</f>
        <v>11935074</v>
      </c>
      <c r="C2583" s="14" t="s">
        <v>4535</v>
      </c>
      <c r="D2583" s="14" t="s">
        <v>276</v>
      </c>
      <c r="E2583" s="14" t="s">
        <v>95</v>
      </c>
      <c r="F2583" s="14">
        <v>74</v>
      </c>
      <c r="G2583" s="14">
        <v>60</v>
      </c>
      <c r="H2583" s="14" t="s">
        <v>1400</v>
      </c>
      <c r="I2583" s="14" t="s">
        <v>75</v>
      </c>
      <c r="J2583" s="14" t="s">
        <v>201</v>
      </c>
      <c r="K2583" s="14">
        <v>1</v>
      </c>
      <c r="L2583" s="14" t="s">
        <v>1400</v>
      </c>
      <c r="N2583" s="14">
        <v>0</v>
      </c>
      <c r="O2583" s="14" t="b">
        <v>1</v>
      </c>
      <c r="Q2583" s="14" t="b">
        <v>0</v>
      </c>
      <c r="R2583" s="14">
        <v>1</v>
      </c>
      <c r="S2583" s="14" t="s">
        <v>77</v>
      </c>
      <c r="T2583" s="14">
        <v>999</v>
      </c>
      <c r="U2583" s="14" t="s">
        <v>1401</v>
      </c>
      <c r="V2583" s="14">
        <v>31935074</v>
      </c>
      <c r="X2583" s="14" t="s">
        <v>4538</v>
      </c>
      <c r="Y2583" s="14" t="s">
        <v>215</v>
      </c>
      <c r="Z2583" s="14">
        <v>21346</v>
      </c>
      <c r="AA2583" s="14" t="s">
        <v>4539</v>
      </c>
      <c r="AB2583" s="14">
        <v>40001</v>
      </c>
      <c r="AE2583" s="14" t="s">
        <v>1400</v>
      </c>
      <c r="AF2583" s="14" t="s">
        <v>1400</v>
      </c>
      <c r="AG2583" s="14" t="s">
        <v>95</v>
      </c>
    </row>
    <row r="2584" spans="2:33">
      <c r="B2584" s="14">
        <f>10000000+INDEX(编号表!$B:$B,MATCH(H2584,编号表!$A:$A,0))*100000+INDEX(编号表!$F:$F,MATCH(D2584,编号表!$E:$E,0))*10000+INDEX(编号表!$D:$D,MATCH(AG2584,编号表!$C:$C,0))*1000+F2584</f>
        <v>11945075</v>
      </c>
      <c r="C2584" s="14" t="s">
        <v>4535</v>
      </c>
      <c r="D2584" s="14" t="s">
        <v>104</v>
      </c>
      <c r="E2584" s="14" t="s">
        <v>95</v>
      </c>
      <c r="F2584" s="14">
        <v>75</v>
      </c>
      <c r="G2584" s="14">
        <v>60</v>
      </c>
      <c r="H2584" s="14" t="s">
        <v>1400</v>
      </c>
      <c r="I2584" s="14" t="s">
        <v>75</v>
      </c>
      <c r="J2584" s="14" t="s">
        <v>201</v>
      </c>
      <c r="K2584" s="14">
        <v>1</v>
      </c>
      <c r="L2584" s="14" t="s">
        <v>1400</v>
      </c>
      <c r="N2584" s="14">
        <v>0</v>
      </c>
      <c r="O2584" s="14" t="b">
        <v>1</v>
      </c>
      <c r="Q2584" s="14" t="b">
        <v>0</v>
      </c>
      <c r="R2584" s="14">
        <v>1</v>
      </c>
      <c r="S2584" s="14" t="s">
        <v>77</v>
      </c>
      <c r="T2584" s="14">
        <v>999</v>
      </c>
      <c r="U2584" s="14" t="s">
        <v>1401</v>
      </c>
      <c r="V2584" s="14">
        <v>31945075</v>
      </c>
      <c r="X2584" s="14" t="s">
        <v>4540</v>
      </c>
      <c r="Y2584" s="14" t="s">
        <v>215</v>
      </c>
      <c r="Z2584" s="14">
        <v>21347</v>
      </c>
      <c r="AA2584" s="14" t="s">
        <v>4541</v>
      </c>
      <c r="AB2584" s="14">
        <v>40001</v>
      </c>
      <c r="AE2584" s="14" t="s">
        <v>1400</v>
      </c>
      <c r="AF2584" s="14" t="s">
        <v>1400</v>
      </c>
      <c r="AG2584" s="14" t="s">
        <v>95</v>
      </c>
    </row>
    <row r="2585" spans="2:33">
      <c r="B2585" s="14">
        <f>10000000+INDEX(编号表!$B:$B,MATCH(H2585,编号表!$A:$A,0))*100000+INDEX(编号表!$F:$F,MATCH(D2585,编号表!$E:$E,0))*10000+INDEX(编号表!$D:$D,MATCH(AG2585,编号表!$C:$C,0))*1000+F2585</f>
        <v>11925074</v>
      </c>
      <c r="C2585" s="14" t="s">
        <v>4542</v>
      </c>
      <c r="D2585" s="14" t="s">
        <v>112</v>
      </c>
      <c r="E2585" s="14" t="s">
        <v>95</v>
      </c>
      <c r="F2585" s="14">
        <v>74</v>
      </c>
      <c r="G2585" s="14">
        <v>60</v>
      </c>
      <c r="H2585" s="14" t="s">
        <v>1400</v>
      </c>
      <c r="I2585" s="14" t="s">
        <v>75</v>
      </c>
      <c r="J2585" s="14" t="s">
        <v>201</v>
      </c>
      <c r="K2585" s="14">
        <v>1</v>
      </c>
      <c r="L2585" s="14" t="s">
        <v>1400</v>
      </c>
      <c r="N2585" s="14">
        <v>0</v>
      </c>
      <c r="O2585" s="14" t="b">
        <v>1</v>
      </c>
      <c r="Q2585" s="14" t="b">
        <v>0</v>
      </c>
      <c r="R2585" s="14">
        <v>1</v>
      </c>
      <c r="S2585" s="14" t="s">
        <v>77</v>
      </c>
      <c r="T2585" s="14">
        <v>999</v>
      </c>
      <c r="U2585" s="14" t="s">
        <v>1401</v>
      </c>
      <c r="V2585" s="14">
        <v>31925074</v>
      </c>
      <c r="X2585" s="14" t="s">
        <v>4543</v>
      </c>
      <c r="Y2585" s="14" t="s">
        <v>215</v>
      </c>
      <c r="Z2585" s="14">
        <v>21348</v>
      </c>
      <c r="AA2585" s="14" t="s">
        <v>4544</v>
      </c>
      <c r="AB2585" s="14">
        <v>40001</v>
      </c>
      <c r="AE2585" s="14" t="s">
        <v>1400</v>
      </c>
      <c r="AF2585" s="14" t="s">
        <v>1400</v>
      </c>
      <c r="AG2585" s="14" t="s">
        <v>95</v>
      </c>
    </row>
    <row r="2586" spans="2:33">
      <c r="B2586" s="14">
        <f>10000000+INDEX(编号表!$B:$B,MATCH(H2586,编号表!$A:$A,0))*100000+INDEX(编号表!$F:$F,MATCH(D2586,编号表!$E:$E,0))*10000+INDEX(编号表!$D:$D,MATCH(AG2586,编号表!$C:$C,0))*1000+F2586</f>
        <v>11935075</v>
      </c>
      <c r="C2586" s="14" t="s">
        <v>4542</v>
      </c>
      <c r="D2586" s="14" t="s">
        <v>276</v>
      </c>
      <c r="E2586" s="14" t="s">
        <v>95</v>
      </c>
      <c r="F2586" s="14">
        <v>75</v>
      </c>
      <c r="G2586" s="14">
        <v>60</v>
      </c>
      <c r="H2586" s="14" t="s">
        <v>1400</v>
      </c>
      <c r="I2586" s="14" t="s">
        <v>75</v>
      </c>
      <c r="J2586" s="14" t="s">
        <v>201</v>
      </c>
      <c r="K2586" s="14">
        <v>1</v>
      </c>
      <c r="L2586" s="14" t="s">
        <v>1400</v>
      </c>
      <c r="N2586" s="14">
        <v>0</v>
      </c>
      <c r="O2586" s="14" t="b">
        <v>1</v>
      </c>
      <c r="Q2586" s="14" t="b">
        <v>0</v>
      </c>
      <c r="R2586" s="14">
        <v>1</v>
      </c>
      <c r="S2586" s="14" t="s">
        <v>77</v>
      </c>
      <c r="T2586" s="14">
        <v>999</v>
      </c>
      <c r="U2586" s="14" t="s">
        <v>1401</v>
      </c>
      <c r="V2586" s="14">
        <v>31935075</v>
      </c>
      <c r="X2586" s="14" t="s">
        <v>4545</v>
      </c>
      <c r="Y2586" s="14" t="s">
        <v>215</v>
      </c>
      <c r="Z2586" s="14">
        <v>21349</v>
      </c>
      <c r="AA2586" s="14" t="s">
        <v>4546</v>
      </c>
      <c r="AB2586" s="14">
        <v>40001</v>
      </c>
      <c r="AE2586" s="14" t="s">
        <v>1400</v>
      </c>
      <c r="AF2586" s="14" t="s">
        <v>1400</v>
      </c>
      <c r="AG2586" s="14" t="s">
        <v>95</v>
      </c>
    </row>
    <row r="2587" spans="2:33">
      <c r="B2587" s="14">
        <f>10000000+INDEX(编号表!$B:$B,MATCH(H2587,编号表!$A:$A,0))*100000+INDEX(编号表!$F:$F,MATCH(D2587,编号表!$E:$E,0))*10000+INDEX(编号表!$D:$D,MATCH(AG2587,编号表!$C:$C,0))*1000+F2587</f>
        <v>11945076</v>
      </c>
      <c r="C2587" s="14" t="s">
        <v>4542</v>
      </c>
      <c r="D2587" s="14" t="s">
        <v>104</v>
      </c>
      <c r="E2587" s="14" t="s">
        <v>95</v>
      </c>
      <c r="F2587" s="14">
        <v>76</v>
      </c>
      <c r="G2587" s="14">
        <v>60</v>
      </c>
      <c r="H2587" s="14" t="s">
        <v>1400</v>
      </c>
      <c r="I2587" s="14" t="s">
        <v>75</v>
      </c>
      <c r="J2587" s="14" t="s">
        <v>201</v>
      </c>
      <c r="K2587" s="14">
        <v>1</v>
      </c>
      <c r="L2587" s="14" t="s">
        <v>1400</v>
      </c>
      <c r="N2587" s="14">
        <v>0</v>
      </c>
      <c r="O2587" s="14" t="b">
        <v>1</v>
      </c>
      <c r="Q2587" s="14" t="b">
        <v>0</v>
      </c>
      <c r="R2587" s="14">
        <v>1</v>
      </c>
      <c r="S2587" s="14" t="s">
        <v>77</v>
      </c>
      <c r="T2587" s="14">
        <v>999</v>
      </c>
      <c r="U2587" s="14" t="s">
        <v>1401</v>
      </c>
      <c r="V2587" s="14">
        <v>31945076</v>
      </c>
      <c r="X2587" s="14" t="s">
        <v>4547</v>
      </c>
      <c r="Y2587" s="14" t="s">
        <v>215</v>
      </c>
      <c r="Z2587" s="14">
        <v>21350</v>
      </c>
      <c r="AA2587" s="14" t="s">
        <v>4548</v>
      </c>
      <c r="AB2587" s="14">
        <v>40001</v>
      </c>
      <c r="AE2587" s="14" t="s">
        <v>1400</v>
      </c>
      <c r="AF2587" s="14" t="s">
        <v>1400</v>
      </c>
      <c r="AG2587" s="14" t="s">
        <v>95</v>
      </c>
    </row>
    <row r="2588" spans="2:33">
      <c r="B2588" s="14">
        <f>10000000+INDEX(编号表!$B:$B,MATCH(H2588,编号表!$A:$A,0))*100000+INDEX(编号表!$F:$F,MATCH(D2588,编号表!$E:$E,0))*10000+INDEX(编号表!$D:$D,MATCH(AG2588,编号表!$C:$C,0))*1000+F2588</f>
        <v>11925075</v>
      </c>
      <c r="C2588" s="14" t="s">
        <v>4549</v>
      </c>
      <c r="D2588" s="14" t="s">
        <v>112</v>
      </c>
      <c r="E2588" s="14" t="s">
        <v>95</v>
      </c>
      <c r="F2588" s="14">
        <v>75</v>
      </c>
      <c r="G2588" s="14">
        <v>60</v>
      </c>
      <c r="H2588" s="14" t="s">
        <v>1400</v>
      </c>
      <c r="I2588" s="14" t="s">
        <v>75</v>
      </c>
      <c r="J2588" s="14" t="s">
        <v>201</v>
      </c>
      <c r="K2588" s="14">
        <v>1</v>
      </c>
      <c r="L2588" s="14" t="s">
        <v>1400</v>
      </c>
      <c r="N2588" s="14">
        <v>0</v>
      </c>
      <c r="O2588" s="14" t="b">
        <v>1</v>
      </c>
      <c r="Q2588" s="14" t="b">
        <v>0</v>
      </c>
      <c r="R2588" s="14">
        <v>1</v>
      </c>
      <c r="S2588" s="14" t="s">
        <v>77</v>
      </c>
      <c r="T2588" s="14">
        <v>999</v>
      </c>
      <c r="U2588" s="14" t="s">
        <v>1401</v>
      </c>
      <c r="V2588" s="14">
        <v>31925075</v>
      </c>
      <c r="X2588" s="14" t="s">
        <v>4550</v>
      </c>
      <c r="Y2588" s="14" t="s">
        <v>215</v>
      </c>
      <c r="Z2588" s="14">
        <v>21351</v>
      </c>
      <c r="AA2588" s="14" t="s">
        <v>4551</v>
      </c>
      <c r="AB2588" s="14">
        <v>40001</v>
      </c>
      <c r="AE2588" s="14" t="s">
        <v>1400</v>
      </c>
      <c r="AF2588" s="14" t="s">
        <v>1400</v>
      </c>
      <c r="AG2588" s="14" t="s">
        <v>95</v>
      </c>
    </row>
    <row r="2589" spans="2:33">
      <c r="B2589" s="14">
        <f>10000000+INDEX(编号表!$B:$B,MATCH(H2589,编号表!$A:$A,0))*100000+INDEX(编号表!$F:$F,MATCH(D2589,编号表!$E:$E,0))*10000+INDEX(编号表!$D:$D,MATCH(AG2589,编号表!$C:$C,0))*1000+F2589</f>
        <v>11935076</v>
      </c>
      <c r="C2589" s="14" t="s">
        <v>4549</v>
      </c>
      <c r="D2589" s="14" t="s">
        <v>276</v>
      </c>
      <c r="E2589" s="14" t="s">
        <v>95</v>
      </c>
      <c r="F2589" s="14">
        <v>76</v>
      </c>
      <c r="G2589" s="14">
        <v>60</v>
      </c>
      <c r="H2589" s="14" t="s">
        <v>1400</v>
      </c>
      <c r="I2589" s="14" t="s">
        <v>75</v>
      </c>
      <c r="J2589" s="14" t="s">
        <v>201</v>
      </c>
      <c r="K2589" s="14">
        <v>1</v>
      </c>
      <c r="L2589" s="14" t="s">
        <v>1400</v>
      </c>
      <c r="N2589" s="14">
        <v>0</v>
      </c>
      <c r="O2589" s="14" t="b">
        <v>1</v>
      </c>
      <c r="Q2589" s="14" t="b">
        <v>0</v>
      </c>
      <c r="R2589" s="14">
        <v>1</v>
      </c>
      <c r="S2589" s="14" t="s">
        <v>77</v>
      </c>
      <c r="T2589" s="14">
        <v>999</v>
      </c>
      <c r="U2589" s="14" t="s">
        <v>1401</v>
      </c>
      <c r="V2589" s="14">
        <v>31935076</v>
      </c>
      <c r="X2589" s="14" t="s">
        <v>4552</v>
      </c>
      <c r="Y2589" s="14" t="s">
        <v>215</v>
      </c>
      <c r="Z2589" s="14">
        <v>21352</v>
      </c>
      <c r="AA2589" s="14" t="s">
        <v>4553</v>
      </c>
      <c r="AB2589" s="14">
        <v>40001</v>
      </c>
      <c r="AE2589" s="14" t="s">
        <v>1400</v>
      </c>
      <c r="AF2589" s="14" t="s">
        <v>1400</v>
      </c>
      <c r="AG2589" s="14" t="s">
        <v>95</v>
      </c>
    </row>
    <row r="2590" spans="2:33">
      <c r="B2590" s="14">
        <f>10000000+INDEX(编号表!$B:$B,MATCH(H2590,编号表!$A:$A,0))*100000+INDEX(编号表!$F:$F,MATCH(D2590,编号表!$E:$E,0))*10000+INDEX(编号表!$D:$D,MATCH(AG2590,编号表!$C:$C,0))*1000+F2590</f>
        <v>11945077</v>
      </c>
      <c r="C2590" s="14" t="s">
        <v>4549</v>
      </c>
      <c r="D2590" s="14" t="s">
        <v>104</v>
      </c>
      <c r="E2590" s="14" t="s">
        <v>95</v>
      </c>
      <c r="F2590" s="14">
        <v>77</v>
      </c>
      <c r="G2590" s="14">
        <v>60</v>
      </c>
      <c r="H2590" s="14" t="s">
        <v>1400</v>
      </c>
      <c r="I2590" s="14" t="s">
        <v>75</v>
      </c>
      <c r="J2590" s="14" t="s">
        <v>201</v>
      </c>
      <c r="K2590" s="14">
        <v>1</v>
      </c>
      <c r="L2590" s="14" t="s">
        <v>1400</v>
      </c>
      <c r="N2590" s="14">
        <v>0</v>
      </c>
      <c r="O2590" s="14" t="b">
        <v>1</v>
      </c>
      <c r="Q2590" s="14" t="b">
        <v>0</v>
      </c>
      <c r="R2590" s="14">
        <v>1</v>
      </c>
      <c r="S2590" s="14" t="s">
        <v>77</v>
      </c>
      <c r="T2590" s="14">
        <v>999</v>
      </c>
      <c r="U2590" s="14" t="s">
        <v>1401</v>
      </c>
      <c r="V2590" s="14">
        <v>31945077</v>
      </c>
      <c r="X2590" s="14" t="s">
        <v>4554</v>
      </c>
      <c r="Y2590" s="14" t="s">
        <v>215</v>
      </c>
      <c r="Z2590" s="14">
        <v>21353</v>
      </c>
      <c r="AA2590" s="14" t="s">
        <v>4555</v>
      </c>
      <c r="AB2590" s="14">
        <v>40001</v>
      </c>
      <c r="AE2590" s="14" t="s">
        <v>1400</v>
      </c>
      <c r="AF2590" s="14" t="s">
        <v>1400</v>
      </c>
      <c r="AG2590" s="14" t="s">
        <v>95</v>
      </c>
    </row>
    <row r="2591" spans="2:33">
      <c r="B2591" s="14">
        <f>10000000+INDEX(编号表!$B:$B,MATCH(H2591,编号表!$A:$A,0))*100000+INDEX(编号表!$F:$F,MATCH(D2591,编号表!$E:$E,0))*10000+INDEX(编号表!$D:$D,MATCH(AG2591,编号表!$C:$C,0))*1000+F2591</f>
        <v>11925076</v>
      </c>
      <c r="C2591" s="14" t="s">
        <v>4556</v>
      </c>
      <c r="D2591" s="14" t="s">
        <v>112</v>
      </c>
      <c r="E2591" s="14" t="s">
        <v>95</v>
      </c>
      <c r="F2591" s="14">
        <v>76</v>
      </c>
      <c r="G2591" s="14">
        <v>60</v>
      </c>
      <c r="H2591" s="14" t="s">
        <v>1400</v>
      </c>
      <c r="I2591" s="14" t="s">
        <v>75</v>
      </c>
      <c r="J2591" s="14" t="s">
        <v>201</v>
      </c>
      <c r="K2591" s="14">
        <v>1</v>
      </c>
      <c r="L2591" s="14" t="s">
        <v>1400</v>
      </c>
      <c r="N2591" s="14">
        <v>0</v>
      </c>
      <c r="O2591" s="14" t="b">
        <v>1</v>
      </c>
      <c r="Q2591" s="14" t="b">
        <v>0</v>
      </c>
      <c r="R2591" s="14">
        <v>1</v>
      </c>
      <c r="S2591" s="14" t="s">
        <v>77</v>
      </c>
      <c r="T2591" s="14">
        <v>999</v>
      </c>
      <c r="U2591" s="14" t="s">
        <v>1401</v>
      </c>
      <c r="V2591" s="14">
        <v>31925076</v>
      </c>
      <c r="X2591" s="14" t="s">
        <v>4557</v>
      </c>
      <c r="Y2591" s="14" t="s">
        <v>215</v>
      </c>
      <c r="Z2591" s="14">
        <v>21354</v>
      </c>
      <c r="AA2591" s="14" t="s">
        <v>4558</v>
      </c>
      <c r="AB2591" s="14">
        <v>40001</v>
      </c>
      <c r="AE2591" s="14" t="s">
        <v>1400</v>
      </c>
      <c r="AF2591" s="14" t="s">
        <v>1400</v>
      </c>
      <c r="AG2591" s="14" t="s">
        <v>95</v>
      </c>
    </row>
    <row r="2592" spans="2:33">
      <c r="B2592" s="14">
        <f>10000000+INDEX(编号表!$B:$B,MATCH(H2592,编号表!$A:$A,0))*100000+INDEX(编号表!$F:$F,MATCH(D2592,编号表!$E:$E,0))*10000+INDEX(编号表!$D:$D,MATCH(AG2592,编号表!$C:$C,0))*1000+F2592</f>
        <v>11935077</v>
      </c>
      <c r="C2592" s="14" t="s">
        <v>4556</v>
      </c>
      <c r="D2592" s="14" t="s">
        <v>276</v>
      </c>
      <c r="E2592" s="14" t="s">
        <v>95</v>
      </c>
      <c r="F2592" s="14">
        <v>77</v>
      </c>
      <c r="G2592" s="14">
        <v>60</v>
      </c>
      <c r="H2592" s="14" t="s">
        <v>1400</v>
      </c>
      <c r="I2592" s="14" t="s">
        <v>75</v>
      </c>
      <c r="J2592" s="14" t="s">
        <v>201</v>
      </c>
      <c r="K2592" s="14">
        <v>1</v>
      </c>
      <c r="L2592" s="14" t="s">
        <v>1400</v>
      </c>
      <c r="N2592" s="14">
        <v>0</v>
      </c>
      <c r="O2592" s="14" t="b">
        <v>1</v>
      </c>
      <c r="Q2592" s="14" t="b">
        <v>0</v>
      </c>
      <c r="R2592" s="14">
        <v>1</v>
      </c>
      <c r="S2592" s="14" t="s">
        <v>77</v>
      </c>
      <c r="T2592" s="14">
        <v>999</v>
      </c>
      <c r="U2592" s="14" t="s">
        <v>1401</v>
      </c>
      <c r="V2592" s="14">
        <v>31935077</v>
      </c>
      <c r="X2592" s="14" t="s">
        <v>4559</v>
      </c>
      <c r="Y2592" s="14" t="s">
        <v>215</v>
      </c>
      <c r="Z2592" s="14">
        <v>21355</v>
      </c>
      <c r="AA2592" s="14" t="s">
        <v>4560</v>
      </c>
      <c r="AB2592" s="14">
        <v>40001</v>
      </c>
      <c r="AE2592" s="14" t="s">
        <v>1400</v>
      </c>
      <c r="AF2592" s="14" t="s">
        <v>1400</v>
      </c>
      <c r="AG2592" s="14" t="s">
        <v>95</v>
      </c>
    </row>
    <row r="2593" spans="2:33">
      <c r="B2593" s="14">
        <f>10000000+INDEX(编号表!$B:$B,MATCH(H2593,编号表!$A:$A,0))*100000+INDEX(编号表!$F:$F,MATCH(D2593,编号表!$E:$E,0))*10000+INDEX(编号表!$D:$D,MATCH(AG2593,编号表!$C:$C,0))*1000+F2593</f>
        <v>11945078</v>
      </c>
      <c r="C2593" s="14" t="s">
        <v>4556</v>
      </c>
      <c r="D2593" s="14" t="s">
        <v>104</v>
      </c>
      <c r="E2593" s="14" t="s">
        <v>95</v>
      </c>
      <c r="F2593" s="14">
        <v>78</v>
      </c>
      <c r="G2593" s="14">
        <v>60</v>
      </c>
      <c r="H2593" s="14" t="s">
        <v>1400</v>
      </c>
      <c r="I2593" s="14" t="s">
        <v>75</v>
      </c>
      <c r="J2593" s="14" t="s">
        <v>201</v>
      </c>
      <c r="K2593" s="14">
        <v>1</v>
      </c>
      <c r="L2593" s="14" t="s">
        <v>1400</v>
      </c>
      <c r="N2593" s="14">
        <v>0</v>
      </c>
      <c r="O2593" s="14" t="b">
        <v>1</v>
      </c>
      <c r="Q2593" s="14" t="b">
        <v>0</v>
      </c>
      <c r="R2593" s="14">
        <v>1</v>
      </c>
      <c r="S2593" s="14" t="s">
        <v>77</v>
      </c>
      <c r="T2593" s="14">
        <v>999</v>
      </c>
      <c r="U2593" s="14" t="s">
        <v>1401</v>
      </c>
      <c r="V2593" s="14">
        <v>31945078</v>
      </c>
      <c r="X2593" s="14" t="s">
        <v>4561</v>
      </c>
      <c r="Y2593" s="14" t="s">
        <v>215</v>
      </c>
      <c r="Z2593" s="14">
        <v>21356</v>
      </c>
      <c r="AA2593" s="14" t="s">
        <v>4562</v>
      </c>
      <c r="AB2593" s="14">
        <v>40001</v>
      </c>
      <c r="AE2593" s="14" t="s">
        <v>1400</v>
      </c>
      <c r="AF2593" s="14" t="s">
        <v>1400</v>
      </c>
      <c r="AG2593" s="14" t="s">
        <v>95</v>
      </c>
    </row>
    <row r="2594" spans="2:33">
      <c r="B2594" s="14">
        <f>10000000+INDEX(编号表!$B:$B,MATCH(H2594,编号表!$A:$A,0))*100000+INDEX(编号表!$F:$F,MATCH(D2594,编号表!$E:$E,0))*10000+INDEX(编号表!$D:$D,MATCH(AG2594,编号表!$C:$C,0))*1000+F2594</f>
        <v>11925077</v>
      </c>
      <c r="C2594" s="14" t="s">
        <v>4563</v>
      </c>
      <c r="D2594" s="14" t="s">
        <v>112</v>
      </c>
      <c r="E2594" s="14" t="s">
        <v>95</v>
      </c>
      <c r="F2594" s="14">
        <v>77</v>
      </c>
      <c r="G2594" s="14">
        <v>60</v>
      </c>
      <c r="H2594" s="14" t="s">
        <v>1400</v>
      </c>
      <c r="I2594" s="14" t="s">
        <v>75</v>
      </c>
      <c r="J2594" s="14" t="s">
        <v>201</v>
      </c>
      <c r="K2594" s="14">
        <v>1</v>
      </c>
      <c r="L2594" s="14" t="s">
        <v>1400</v>
      </c>
      <c r="N2594" s="14">
        <v>0</v>
      </c>
      <c r="O2594" s="14" t="b">
        <v>1</v>
      </c>
      <c r="Q2594" s="14" t="b">
        <v>0</v>
      </c>
      <c r="R2594" s="14">
        <v>1</v>
      </c>
      <c r="S2594" s="14" t="s">
        <v>77</v>
      </c>
      <c r="T2594" s="14">
        <v>999</v>
      </c>
      <c r="U2594" s="14" t="s">
        <v>1401</v>
      </c>
      <c r="V2594" s="14">
        <v>31925077</v>
      </c>
      <c r="X2594" s="14" t="s">
        <v>4564</v>
      </c>
      <c r="Y2594" s="14" t="s">
        <v>215</v>
      </c>
      <c r="Z2594" s="14">
        <v>21357</v>
      </c>
      <c r="AA2594" s="14" t="s">
        <v>4565</v>
      </c>
      <c r="AB2594" s="14">
        <v>40001</v>
      </c>
      <c r="AE2594" s="14" t="s">
        <v>1400</v>
      </c>
      <c r="AF2594" s="14" t="s">
        <v>1400</v>
      </c>
      <c r="AG2594" s="14" t="s">
        <v>95</v>
      </c>
    </row>
    <row r="2595" spans="2:33">
      <c r="B2595" s="14">
        <f>10000000+INDEX(编号表!$B:$B,MATCH(H2595,编号表!$A:$A,0))*100000+INDEX(编号表!$F:$F,MATCH(D2595,编号表!$E:$E,0))*10000+INDEX(编号表!$D:$D,MATCH(AG2595,编号表!$C:$C,0))*1000+F2595</f>
        <v>11935078</v>
      </c>
      <c r="C2595" s="14" t="s">
        <v>4563</v>
      </c>
      <c r="D2595" s="14" t="s">
        <v>276</v>
      </c>
      <c r="E2595" s="14" t="s">
        <v>95</v>
      </c>
      <c r="F2595" s="14">
        <v>78</v>
      </c>
      <c r="G2595" s="14">
        <v>60</v>
      </c>
      <c r="H2595" s="14" t="s">
        <v>1400</v>
      </c>
      <c r="I2595" s="14" t="s">
        <v>75</v>
      </c>
      <c r="J2595" s="14" t="s">
        <v>201</v>
      </c>
      <c r="K2595" s="14">
        <v>1</v>
      </c>
      <c r="L2595" s="14" t="s">
        <v>1400</v>
      </c>
      <c r="N2595" s="14">
        <v>0</v>
      </c>
      <c r="O2595" s="14" t="b">
        <v>1</v>
      </c>
      <c r="Q2595" s="14" t="b">
        <v>0</v>
      </c>
      <c r="R2595" s="14">
        <v>1</v>
      </c>
      <c r="S2595" s="14" t="s">
        <v>77</v>
      </c>
      <c r="T2595" s="14">
        <v>999</v>
      </c>
      <c r="U2595" s="14" t="s">
        <v>1401</v>
      </c>
      <c r="V2595" s="14">
        <v>31935078</v>
      </c>
      <c r="X2595" s="14" t="s">
        <v>4566</v>
      </c>
      <c r="Y2595" s="14" t="s">
        <v>215</v>
      </c>
      <c r="Z2595" s="14">
        <v>21358</v>
      </c>
      <c r="AA2595" s="14" t="s">
        <v>4567</v>
      </c>
      <c r="AB2595" s="14">
        <v>40001</v>
      </c>
      <c r="AE2595" s="14" t="s">
        <v>1400</v>
      </c>
      <c r="AF2595" s="14" t="s">
        <v>1400</v>
      </c>
      <c r="AG2595" s="14" t="s">
        <v>95</v>
      </c>
    </row>
    <row r="2596" spans="2:33">
      <c r="B2596" s="14">
        <f>10000000+INDEX(编号表!$B:$B,MATCH(H2596,编号表!$A:$A,0))*100000+INDEX(编号表!$F:$F,MATCH(D2596,编号表!$E:$E,0))*10000+INDEX(编号表!$D:$D,MATCH(AG2596,编号表!$C:$C,0))*1000+F2596</f>
        <v>11945079</v>
      </c>
      <c r="C2596" s="14" t="s">
        <v>4563</v>
      </c>
      <c r="D2596" s="14" t="s">
        <v>104</v>
      </c>
      <c r="E2596" s="14" t="s">
        <v>95</v>
      </c>
      <c r="F2596" s="14">
        <v>79</v>
      </c>
      <c r="G2596" s="14">
        <v>60</v>
      </c>
      <c r="H2596" s="14" t="s">
        <v>1400</v>
      </c>
      <c r="I2596" s="14" t="s">
        <v>75</v>
      </c>
      <c r="J2596" s="14" t="s">
        <v>201</v>
      </c>
      <c r="K2596" s="14">
        <v>1</v>
      </c>
      <c r="L2596" s="14" t="s">
        <v>1400</v>
      </c>
      <c r="N2596" s="14">
        <v>0</v>
      </c>
      <c r="O2596" s="14" t="b">
        <v>1</v>
      </c>
      <c r="Q2596" s="14" t="b">
        <v>0</v>
      </c>
      <c r="R2596" s="14">
        <v>1</v>
      </c>
      <c r="S2596" s="14" t="s">
        <v>77</v>
      </c>
      <c r="T2596" s="14">
        <v>999</v>
      </c>
      <c r="U2596" s="14" t="s">
        <v>1401</v>
      </c>
      <c r="V2596" s="14">
        <v>31945079</v>
      </c>
      <c r="X2596" s="14" t="s">
        <v>4568</v>
      </c>
      <c r="Y2596" s="14" t="s">
        <v>215</v>
      </c>
      <c r="Z2596" s="14">
        <v>21359</v>
      </c>
      <c r="AA2596" s="14" t="s">
        <v>4569</v>
      </c>
      <c r="AB2596" s="14">
        <v>40001</v>
      </c>
      <c r="AE2596" s="14" t="s">
        <v>1400</v>
      </c>
      <c r="AF2596" s="14" t="s">
        <v>1400</v>
      </c>
      <c r="AG2596" s="14" t="s">
        <v>95</v>
      </c>
    </row>
    <row r="2597" spans="2:33">
      <c r="B2597" s="14">
        <f>10000000+INDEX(编号表!$B:$B,MATCH(H2597,编号表!$A:$A,0))*100000+INDEX(编号表!$F:$F,MATCH(D2597,编号表!$E:$E,0))*10000+INDEX(编号表!$D:$D,MATCH(AG2597,编号表!$C:$C,0))*1000+F2597</f>
        <v>11925078</v>
      </c>
      <c r="C2597" s="14" t="s">
        <v>4570</v>
      </c>
      <c r="D2597" s="14" t="s">
        <v>112</v>
      </c>
      <c r="E2597" s="14" t="s">
        <v>95</v>
      </c>
      <c r="F2597" s="14">
        <v>78</v>
      </c>
      <c r="G2597" s="14">
        <v>60</v>
      </c>
      <c r="H2597" s="14" t="s">
        <v>1400</v>
      </c>
      <c r="I2597" s="14" t="s">
        <v>75</v>
      </c>
      <c r="J2597" s="14" t="s">
        <v>201</v>
      </c>
      <c r="K2597" s="14">
        <v>1</v>
      </c>
      <c r="L2597" s="14" t="s">
        <v>1400</v>
      </c>
      <c r="N2597" s="14">
        <v>0</v>
      </c>
      <c r="O2597" s="14" t="b">
        <v>1</v>
      </c>
      <c r="Q2597" s="14" t="b">
        <v>0</v>
      </c>
      <c r="R2597" s="14">
        <v>1</v>
      </c>
      <c r="S2597" s="14" t="s">
        <v>77</v>
      </c>
      <c r="T2597" s="14">
        <v>999</v>
      </c>
      <c r="U2597" s="14" t="s">
        <v>1401</v>
      </c>
      <c r="V2597" s="14">
        <v>31925078</v>
      </c>
      <c r="X2597" s="14" t="s">
        <v>4571</v>
      </c>
      <c r="Y2597" s="14" t="s">
        <v>215</v>
      </c>
      <c r="Z2597" s="14">
        <v>21360</v>
      </c>
      <c r="AA2597" s="14" t="s">
        <v>4572</v>
      </c>
      <c r="AB2597" s="14">
        <v>40001</v>
      </c>
      <c r="AE2597" s="14" t="s">
        <v>1400</v>
      </c>
      <c r="AF2597" s="14" t="s">
        <v>1400</v>
      </c>
      <c r="AG2597" s="14" t="s">
        <v>95</v>
      </c>
    </row>
    <row r="2598" spans="2:33">
      <c r="B2598" s="14">
        <f>10000000+INDEX(编号表!$B:$B,MATCH(H2598,编号表!$A:$A,0))*100000+INDEX(编号表!$F:$F,MATCH(D2598,编号表!$E:$E,0))*10000+INDEX(编号表!$D:$D,MATCH(AG2598,编号表!$C:$C,0))*1000+F2598</f>
        <v>11935079</v>
      </c>
      <c r="C2598" s="14" t="s">
        <v>4570</v>
      </c>
      <c r="D2598" s="14" t="s">
        <v>276</v>
      </c>
      <c r="E2598" s="14" t="s">
        <v>95</v>
      </c>
      <c r="F2598" s="14">
        <v>79</v>
      </c>
      <c r="G2598" s="14">
        <v>60</v>
      </c>
      <c r="H2598" s="14" t="s">
        <v>1400</v>
      </c>
      <c r="I2598" s="14" t="s">
        <v>75</v>
      </c>
      <c r="J2598" s="14" t="s">
        <v>201</v>
      </c>
      <c r="K2598" s="14">
        <v>1</v>
      </c>
      <c r="L2598" s="14" t="s">
        <v>1400</v>
      </c>
      <c r="N2598" s="14">
        <v>0</v>
      </c>
      <c r="O2598" s="14" t="b">
        <v>1</v>
      </c>
      <c r="Q2598" s="14" t="b">
        <v>0</v>
      </c>
      <c r="R2598" s="14">
        <v>1</v>
      </c>
      <c r="S2598" s="14" t="s">
        <v>77</v>
      </c>
      <c r="T2598" s="14">
        <v>999</v>
      </c>
      <c r="U2598" s="14" t="s">
        <v>1401</v>
      </c>
      <c r="V2598" s="14">
        <v>31935079</v>
      </c>
      <c r="X2598" s="14" t="s">
        <v>4573</v>
      </c>
      <c r="Y2598" s="14" t="s">
        <v>215</v>
      </c>
      <c r="Z2598" s="14">
        <v>21361</v>
      </c>
      <c r="AA2598" s="14" t="s">
        <v>4574</v>
      </c>
      <c r="AB2598" s="14">
        <v>40001</v>
      </c>
      <c r="AE2598" s="14" t="s">
        <v>1400</v>
      </c>
      <c r="AF2598" s="14" t="s">
        <v>1400</v>
      </c>
      <c r="AG2598" s="14" t="s">
        <v>95</v>
      </c>
    </row>
    <row r="2599" spans="2:33">
      <c r="B2599" s="14">
        <f>10000000+INDEX(编号表!$B:$B,MATCH(H2599,编号表!$A:$A,0))*100000+INDEX(编号表!$F:$F,MATCH(D2599,编号表!$E:$E,0))*10000+INDEX(编号表!$D:$D,MATCH(AG2599,编号表!$C:$C,0))*1000+F2599</f>
        <v>11945080</v>
      </c>
      <c r="C2599" s="14" t="s">
        <v>4570</v>
      </c>
      <c r="D2599" s="14" t="s">
        <v>104</v>
      </c>
      <c r="E2599" s="14" t="s">
        <v>95</v>
      </c>
      <c r="F2599" s="14">
        <v>80</v>
      </c>
      <c r="G2599" s="14">
        <v>60</v>
      </c>
      <c r="H2599" s="14" t="s">
        <v>1400</v>
      </c>
      <c r="I2599" s="14" t="s">
        <v>75</v>
      </c>
      <c r="J2599" s="14" t="s">
        <v>201</v>
      </c>
      <c r="K2599" s="14">
        <v>1</v>
      </c>
      <c r="L2599" s="14" t="s">
        <v>1400</v>
      </c>
      <c r="N2599" s="14">
        <v>0</v>
      </c>
      <c r="O2599" s="14" t="b">
        <v>1</v>
      </c>
      <c r="Q2599" s="14" t="b">
        <v>0</v>
      </c>
      <c r="R2599" s="14">
        <v>1</v>
      </c>
      <c r="S2599" s="14" t="s">
        <v>77</v>
      </c>
      <c r="T2599" s="14">
        <v>999</v>
      </c>
      <c r="U2599" s="14" t="s">
        <v>1401</v>
      </c>
      <c r="V2599" s="14">
        <v>31945080</v>
      </c>
      <c r="X2599" s="14" t="s">
        <v>4575</v>
      </c>
      <c r="Y2599" s="14" t="s">
        <v>215</v>
      </c>
      <c r="Z2599" s="14">
        <v>21362</v>
      </c>
      <c r="AA2599" s="14" t="s">
        <v>4576</v>
      </c>
      <c r="AB2599" s="14">
        <v>40001</v>
      </c>
      <c r="AE2599" s="14" t="s">
        <v>1400</v>
      </c>
      <c r="AF2599" s="14" t="s">
        <v>1400</v>
      </c>
      <c r="AG2599" s="14" t="s">
        <v>95</v>
      </c>
    </row>
    <row r="2600" spans="2:33">
      <c r="B2600" s="14">
        <f>10000000+INDEX(编号表!$B:$B,MATCH(H2600,编号表!$A:$A,0))*100000+INDEX(编号表!$F:$F,MATCH(D2600,编号表!$E:$E,0))*10000+INDEX(编号表!$D:$D,MATCH(AG2600,编号表!$C:$C,0))*1000+F2600</f>
        <v>11925079</v>
      </c>
      <c r="C2600" s="14" t="s">
        <v>4577</v>
      </c>
      <c r="D2600" s="14" t="s">
        <v>112</v>
      </c>
      <c r="E2600" s="14" t="s">
        <v>95</v>
      </c>
      <c r="F2600" s="14">
        <v>79</v>
      </c>
      <c r="G2600" s="14">
        <v>60</v>
      </c>
      <c r="H2600" s="14" t="s">
        <v>1400</v>
      </c>
      <c r="I2600" s="14" t="s">
        <v>75</v>
      </c>
      <c r="J2600" s="14" t="s">
        <v>201</v>
      </c>
      <c r="K2600" s="14">
        <v>1</v>
      </c>
      <c r="L2600" s="14" t="s">
        <v>1400</v>
      </c>
      <c r="N2600" s="14">
        <v>0</v>
      </c>
      <c r="O2600" s="14" t="b">
        <v>1</v>
      </c>
      <c r="Q2600" s="14" t="b">
        <v>0</v>
      </c>
      <c r="R2600" s="14">
        <v>1</v>
      </c>
      <c r="S2600" s="14" t="s">
        <v>77</v>
      </c>
      <c r="T2600" s="14">
        <v>999</v>
      </c>
      <c r="U2600" s="14" t="s">
        <v>1401</v>
      </c>
      <c r="V2600" s="14">
        <v>31925079</v>
      </c>
      <c r="X2600" s="14" t="s">
        <v>4578</v>
      </c>
      <c r="Y2600" s="14" t="s">
        <v>215</v>
      </c>
      <c r="Z2600" s="14">
        <v>21363</v>
      </c>
      <c r="AA2600" s="14" t="s">
        <v>4579</v>
      </c>
      <c r="AB2600" s="14">
        <v>40001</v>
      </c>
      <c r="AE2600" s="14" t="s">
        <v>1400</v>
      </c>
      <c r="AF2600" s="14" t="s">
        <v>1400</v>
      </c>
      <c r="AG2600" s="14" t="s">
        <v>95</v>
      </c>
    </row>
    <row r="2601" spans="2:33">
      <c r="B2601" s="14">
        <f>10000000+INDEX(编号表!$B:$B,MATCH(H2601,编号表!$A:$A,0))*100000+INDEX(编号表!$F:$F,MATCH(D2601,编号表!$E:$E,0))*10000+INDEX(编号表!$D:$D,MATCH(AG2601,编号表!$C:$C,0))*1000+F2601</f>
        <v>11935080</v>
      </c>
      <c r="C2601" s="14" t="s">
        <v>4577</v>
      </c>
      <c r="D2601" s="14" t="s">
        <v>276</v>
      </c>
      <c r="E2601" s="14" t="s">
        <v>95</v>
      </c>
      <c r="F2601" s="14">
        <v>80</v>
      </c>
      <c r="G2601" s="14">
        <v>60</v>
      </c>
      <c r="H2601" s="14" t="s">
        <v>1400</v>
      </c>
      <c r="I2601" s="14" t="s">
        <v>75</v>
      </c>
      <c r="J2601" s="14" t="s">
        <v>201</v>
      </c>
      <c r="K2601" s="14">
        <v>1</v>
      </c>
      <c r="L2601" s="14" t="s">
        <v>1400</v>
      </c>
      <c r="N2601" s="14">
        <v>0</v>
      </c>
      <c r="O2601" s="14" t="b">
        <v>1</v>
      </c>
      <c r="Q2601" s="14" t="b">
        <v>0</v>
      </c>
      <c r="R2601" s="14">
        <v>1</v>
      </c>
      <c r="S2601" s="14" t="s">
        <v>77</v>
      </c>
      <c r="T2601" s="14">
        <v>999</v>
      </c>
      <c r="U2601" s="14" t="s">
        <v>1401</v>
      </c>
      <c r="V2601" s="14">
        <v>31935080</v>
      </c>
      <c r="X2601" s="14" t="s">
        <v>4580</v>
      </c>
      <c r="Y2601" s="14" t="s">
        <v>215</v>
      </c>
      <c r="Z2601" s="14">
        <v>21364</v>
      </c>
      <c r="AA2601" s="14" t="s">
        <v>4581</v>
      </c>
      <c r="AB2601" s="14">
        <v>40001</v>
      </c>
      <c r="AE2601" s="14" t="s">
        <v>1400</v>
      </c>
      <c r="AF2601" s="14" t="s">
        <v>1400</v>
      </c>
      <c r="AG2601" s="14" t="s">
        <v>95</v>
      </c>
    </row>
    <row r="2602" spans="2:33">
      <c r="B2602" s="14">
        <f>10000000+INDEX(编号表!$B:$B,MATCH(H2602,编号表!$A:$A,0))*100000+INDEX(编号表!$F:$F,MATCH(D2602,编号表!$E:$E,0))*10000+INDEX(编号表!$D:$D,MATCH(AG2602,编号表!$C:$C,0))*1000+F2602</f>
        <v>11945081</v>
      </c>
      <c r="C2602" s="14" t="s">
        <v>4577</v>
      </c>
      <c r="D2602" s="14" t="s">
        <v>104</v>
      </c>
      <c r="E2602" s="14" t="s">
        <v>95</v>
      </c>
      <c r="F2602" s="14">
        <v>81</v>
      </c>
      <c r="G2602" s="14">
        <v>60</v>
      </c>
      <c r="H2602" s="14" t="s">
        <v>1400</v>
      </c>
      <c r="I2602" s="14" t="s">
        <v>75</v>
      </c>
      <c r="J2602" s="14" t="s">
        <v>201</v>
      </c>
      <c r="K2602" s="14">
        <v>1</v>
      </c>
      <c r="L2602" s="14" t="s">
        <v>1400</v>
      </c>
      <c r="N2602" s="14">
        <v>0</v>
      </c>
      <c r="O2602" s="14" t="b">
        <v>1</v>
      </c>
      <c r="Q2602" s="14" t="b">
        <v>0</v>
      </c>
      <c r="R2602" s="14">
        <v>1</v>
      </c>
      <c r="S2602" s="14" t="s">
        <v>77</v>
      </c>
      <c r="T2602" s="14">
        <v>999</v>
      </c>
      <c r="U2602" s="14" t="s">
        <v>1401</v>
      </c>
      <c r="V2602" s="14">
        <v>31945081</v>
      </c>
      <c r="X2602" s="14" t="s">
        <v>4582</v>
      </c>
      <c r="Y2602" s="14" t="s">
        <v>215</v>
      </c>
      <c r="Z2602" s="14">
        <v>21365</v>
      </c>
      <c r="AA2602" s="14" t="s">
        <v>4583</v>
      </c>
      <c r="AB2602" s="14">
        <v>40001</v>
      </c>
      <c r="AE2602" s="14" t="s">
        <v>1400</v>
      </c>
      <c r="AF2602" s="14" t="s">
        <v>1400</v>
      </c>
      <c r="AG2602" s="14" t="s">
        <v>95</v>
      </c>
    </row>
    <row r="2603" spans="2:33">
      <c r="B2603" s="14">
        <f>10000000+INDEX(编号表!$B:$B,MATCH(H2603,编号表!$A:$A,0))*100000+INDEX(编号表!$F:$F,MATCH(D2603,编号表!$E:$E,0))*10000+INDEX(编号表!$D:$D,MATCH(AG2603,编号表!$C:$C,0))*1000+F2603</f>
        <v>11925080</v>
      </c>
      <c r="C2603" s="14" t="s">
        <v>4584</v>
      </c>
      <c r="D2603" s="14" t="s">
        <v>112</v>
      </c>
      <c r="E2603" s="14" t="s">
        <v>95</v>
      </c>
      <c r="F2603" s="14">
        <v>80</v>
      </c>
      <c r="G2603" s="14">
        <v>60</v>
      </c>
      <c r="H2603" s="14" t="s">
        <v>1400</v>
      </c>
      <c r="I2603" s="14" t="s">
        <v>75</v>
      </c>
      <c r="J2603" s="14" t="s">
        <v>201</v>
      </c>
      <c r="K2603" s="14">
        <v>1</v>
      </c>
      <c r="L2603" s="14" t="s">
        <v>1400</v>
      </c>
      <c r="N2603" s="14">
        <v>0</v>
      </c>
      <c r="O2603" s="14" t="b">
        <v>1</v>
      </c>
      <c r="Q2603" s="14" t="b">
        <v>0</v>
      </c>
      <c r="R2603" s="14">
        <v>1</v>
      </c>
      <c r="S2603" s="14" t="s">
        <v>77</v>
      </c>
      <c r="T2603" s="14">
        <v>999</v>
      </c>
      <c r="U2603" s="14" t="s">
        <v>1401</v>
      </c>
      <c r="V2603" s="14">
        <v>31925080</v>
      </c>
      <c r="X2603" s="14" t="s">
        <v>4585</v>
      </c>
      <c r="Y2603" s="14" t="s">
        <v>215</v>
      </c>
      <c r="Z2603" s="14">
        <v>21366</v>
      </c>
      <c r="AA2603" s="14" t="s">
        <v>4586</v>
      </c>
      <c r="AB2603" s="14">
        <v>40001</v>
      </c>
      <c r="AE2603" s="14" t="s">
        <v>1400</v>
      </c>
      <c r="AF2603" s="14" t="s">
        <v>1400</v>
      </c>
      <c r="AG2603" s="14" t="s">
        <v>95</v>
      </c>
    </row>
    <row r="2604" spans="2:33">
      <c r="B2604" s="14">
        <f>10000000+INDEX(编号表!$B:$B,MATCH(H2604,编号表!$A:$A,0))*100000+INDEX(编号表!$F:$F,MATCH(D2604,编号表!$E:$E,0))*10000+INDEX(编号表!$D:$D,MATCH(AG2604,编号表!$C:$C,0))*1000+F2604</f>
        <v>11935081</v>
      </c>
      <c r="C2604" s="14" t="s">
        <v>4584</v>
      </c>
      <c r="D2604" s="14" t="s">
        <v>276</v>
      </c>
      <c r="E2604" s="14" t="s">
        <v>95</v>
      </c>
      <c r="F2604" s="14">
        <v>81</v>
      </c>
      <c r="G2604" s="14">
        <v>60</v>
      </c>
      <c r="H2604" s="14" t="s">
        <v>1400</v>
      </c>
      <c r="I2604" s="14" t="s">
        <v>75</v>
      </c>
      <c r="J2604" s="14" t="s">
        <v>201</v>
      </c>
      <c r="K2604" s="14">
        <v>1</v>
      </c>
      <c r="L2604" s="14" t="s">
        <v>1400</v>
      </c>
      <c r="N2604" s="14">
        <v>0</v>
      </c>
      <c r="O2604" s="14" t="b">
        <v>1</v>
      </c>
      <c r="Q2604" s="14" t="b">
        <v>0</v>
      </c>
      <c r="R2604" s="14">
        <v>1</v>
      </c>
      <c r="S2604" s="14" t="s">
        <v>77</v>
      </c>
      <c r="T2604" s="14">
        <v>999</v>
      </c>
      <c r="U2604" s="14" t="s">
        <v>1401</v>
      </c>
      <c r="V2604" s="14">
        <v>31935081</v>
      </c>
      <c r="X2604" s="14" t="s">
        <v>4587</v>
      </c>
      <c r="Y2604" s="14" t="s">
        <v>215</v>
      </c>
      <c r="Z2604" s="14">
        <v>21367</v>
      </c>
      <c r="AA2604" s="14" t="s">
        <v>4588</v>
      </c>
      <c r="AB2604" s="14">
        <v>40001</v>
      </c>
      <c r="AE2604" s="14" t="s">
        <v>1400</v>
      </c>
      <c r="AF2604" s="14" t="s">
        <v>1400</v>
      </c>
      <c r="AG2604" s="14" t="s">
        <v>95</v>
      </c>
    </row>
    <row r="2605" spans="2:33">
      <c r="B2605" s="14">
        <f>10000000+INDEX(编号表!$B:$B,MATCH(H2605,编号表!$A:$A,0))*100000+INDEX(编号表!$F:$F,MATCH(D2605,编号表!$E:$E,0))*10000+INDEX(编号表!$D:$D,MATCH(AG2605,编号表!$C:$C,0))*1000+F2605</f>
        <v>11945082</v>
      </c>
      <c r="C2605" s="14" t="s">
        <v>4584</v>
      </c>
      <c r="D2605" s="14" t="s">
        <v>104</v>
      </c>
      <c r="E2605" s="14" t="s">
        <v>95</v>
      </c>
      <c r="F2605" s="14">
        <v>82</v>
      </c>
      <c r="G2605" s="14">
        <v>60</v>
      </c>
      <c r="H2605" s="14" t="s">
        <v>1400</v>
      </c>
      <c r="I2605" s="14" t="s">
        <v>75</v>
      </c>
      <c r="J2605" s="14" t="s">
        <v>201</v>
      </c>
      <c r="K2605" s="14">
        <v>1</v>
      </c>
      <c r="L2605" s="14" t="s">
        <v>1400</v>
      </c>
      <c r="N2605" s="14">
        <v>0</v>
      </c>
      <c r="O2605" s="14" t="b">
        <v>1</v>
      </c>
      <c r="Q2605" s="14" t="b">
        <v>0</v>
      </c>
      <c r="R2605" s="14">
        <v>1</v>
      </c>
      <c r="S2605" s="14" t="s">
        <v>77</v>
      </c>
      <c r="T2605" s="14">
        <v>999</v>
      </c>
      <c r="U2605" s="14" t="s">
        <v>1401</v>
      </c>
      <c r="V2605" s="14">
        <v>31945082</v>
      </c>
      <c r="X2605" s="14" t="s">
        <v>4589</v>
      </c>
      <c r="Y2605" s="14" t="s">
        <v>215</v>
      </c>
      <c r="Z2605" s="14">
        <v>21368</v>
      </c>
      <c r="AA2605" s="14" t="s">
        <v>4590</v>
      </c>
      <c r="AB2605" s="14">
        <v>40001</v>
      </c>
      <c r="AE2605" s="14" t="s">
        <v>1400</v>
      </c>
      <c r="AF2605" s="14" t="s">
        <v>1400</v>
      </c>
      <c r="AG2605" s="14" t="s">
        <v>95</v>
      </c>
    </row>
    <row r="2606" spans="2:33">
      <c r="B2606" s="14">
        <f>10000000+INDEX(编号表!$B:$B,MATCH(H2606,编号表!$A:$A,0))*100000+INDEX(编号表!$F:$F,MATCH(D2606,编号表!$E:$E,0))*10000+INDEX(编号表!$D:$D,MATCH(AG2606,编号表!$C:$C,0))*1000+F2606</f>
        <v>11925081</v>
      </c>
      <c r="C2606" s="14" t="s">
        <v>4591</v>
      </c>
      <c r="D2606" s="14" t="s">
        <v>112</v>
      </c>
      <c r="E2606" s="14" t="s">
        <v>95</v>
      </c>
      <c r="F2606" s="14">
        <v>81</v>
      </c>
      <c r="G2606" s="14">
        <v>60</v>
      </c>
      <c r="H2606" s="14" t="s">
        <v>1400</v>
      </c>
      <c r="I2606" s="14" t="s">
        <v>75</v>
      </c>
      <c r="J2606" s="14" t="s">
        <v>201</v>
      </c>
      <c r="K2606" s="14">
        <v>1</v>
      </c>
      <c r="L2606" s="14" t="s">
        <v>1400</v>
      </c>
      <c r="N2606" s="14">
        <v>0</v>
      </c>
      <c r="O2606" s="14" t="b">
        <v>1</v>
      </c>
      <c r="Q2606" s="14" t="b">
        <v>0</v>
      </c>
      <c r="R2606" s="14">
        <v>1</v>
      </c>
      <c r="S2606" s="14" t="s">
        <v>77</v>
      </c>
      <c r="T2606" s="14">
        <v>999</v>
      </c>
      <c r="U2606" s="14" t="s">
        <v>1401</v>
      </c>
      <c r="V2606" s="14">
        <v>31925081</v>
      </c>
      <c r="X2606" s="14" t="s">
        <v>4592</v>
      </c>
      <c r="Y2606" s="14" t="s">
        <v>215</v>
      </c>
      <c r="Z2606" s="14">
        <v>21369</v>
      </c>
      <c r="AA2606" s="14" t="s">
        <v>4593</v>
      </c>
      <c r="AB2606" s="14">
        <v>40001</v>
      </c>
      <c r="AE2606" s="14" t="s">
        <v>1400</v>
      </c>
      <c r="AF2606" s="14" t="s">
        <v>1400</v>
      </c>
      <c r="AG2606" s="14" t="s">
        <v>95</v>
      </c>
    </row>
    <row r="2607" spans="2:33">
      <c r="B2607" s="14">
        <f>10000000+INDEX(编号表!$B:$B,MATCH(H2607,编号表!$A:$A,0))*100000+INDEX(编号表!$F:$F,MATCH(D2607,编号表!$E:$E,0))*10000+INDEX(编号表!$D:$D,MATCH(AG2607,编号表!$C:$C,0))*1000+F2607</f>
        <v>11935082</v>
      </c>
      <c r="C2607" s="14" t="s">
        <v>4591</v>
      </c>
      <c r="D2607" s="14" t="s">
        <v>276</v>
      </c>
      <c r="E2607" s="14" t="s">
        <v>95</v>
      </c>
      <c r="F2607" s="14">
        <v>82</v>
      </c>
      <c r="G2607" s="14">
        <v>60</v>
      </c>
      <c r="H2607" s="14" t="s">
        <v>1400</v>
      </c>
      <c r="I2607" s="14" t="s">
        <v>75</v>
      </c>
      <c r="J2607" s="14" t="s">
        <v>201</v>
      </c>
      <c r="K2607" s="14">
        <v>1</v>
      </c>
      <c r="L2607" s="14" t="s">
        <v>1400</v>
      </c>
      <c r="N2607" s="14">
        <v>0</v>
      </c>
      <c r="O2607" s="14" t="b">
        <v>1</v>
      </c>
      <c r="Q2607" s="14" t="b">
        <v>0</v>
      </c>
      <c r="R2607" s="14">
        <v>1</v>
      </c>
      <c r="S2607" s="14" t="s">
        <v>77</v>
      </c>
      <c r="T2607" s="14">
        <v>999</v>
      </c>
      <c r="U2607" s="14" t="s">
        <v>1401</v>
      </c>
      <c r="V2607" s="14">
        <v>31935082</v>
      </c>
      <c r="X2607" s="14" t="s">
        <v>4594</v>
      </c>
      <c r="Y2607" s="14" t="s">
        <v>215</v>
      </c>
      <c r="Z2607" s="14">
        <v>21370</v>
      </c>
      <c r="AA2607" s="14" t="s">
        <v>4595</v>
      </c>
      <c r="AB2607" s="14">
        <v>40001</v>
      </c>
      <c r="AE2607" s="14" t="s">
        <v>1400</v>
      </c>
      <c r="AF2607" s="14" t="s">
        <v>1400</v>
      </c>
      <c r="AG2607" s="14" t="s">
        <v>95</v>
      </c>
    </row>
    <row r="2608" spans="2:33">
      <c r="B2608" s="14">
        <f>10000000+INDEX(编号表!$B:$B,MATCH(H2608,编号表!$A:$A,0))*100000+INDEX(编号表!$F:$F,MATCH(D2608,编号表!$E:$E,0))*10000+INDEX(编号表!$D:$D,MATCH(AG2608,编号表!$C:$C,0))*1000+F2608</f>
        <v>11945083</v>
      </c>
      <c r="C2608" s="14" t="s">
        <v>4591</v>
      </c>
      <c r="D2608" s="14" t="s">
        <v>104</v>
      </c>
      <c r="E2608" s="14" t="s">
        <v>95</v>
      </c>
      <c r="F2608" s="14">
        <v>83</v>
      </c>
      <c r="G2608" s="14">
        <v>60</v>
      </c>
      <c r="H2608" s="14" t="s">
        <v>1400</v>
      </c>
      <c r="I2608" s="14" t="s">
        <v>75</v>
      </c>
      <c r="J2608" s="14" t="s">
        <v>201</v>
      </c>
      <c r="K2608" s="14">
        <v>1</v>
      </c>
      <c r="L2608" s="14" t="s">
        <v>1400</v>
      </c>
      <c r="N2608" s="14">
        <v>0</v>
      </c>
      <c r="O2608" s="14" t="b">
        <v>1</v>
      </c>
      <c r="Q2608" s="14" t="b">
        <v>0</v>
      </c>
      <c r="R2608" s="14">
        <v>1</v>
      </c>
      <c r="S2608" s="14" t="s">
        <v>77</v>
      </c>
      <c r="T2608" s="14">
        <v>999</v>
      </c>
      <c r="U2608" s="14" t="s">
        <v>1401</v>
      </c>
      <c r="V2608" s="14">
        <v>31945083</v>
      </c>
      <c r="X2608" s="14" t="s">
        <v>4596</v>
      </c>
      <c r="Y2608" s="14" t="s">
        <v>215</v>
      </c>
      <c r="Z2608" s="14">
        <v>21371</v>
      </c>
      <c r="AA2608" s="14" t="s">
        <v>4597</v>
      </c>
      <c r="AB2608" s="14">
        <v>40001</v>
      </c>
      <c r="AE2608" s="14" t="s">
        <v>1400</v>
      </c>
      <c r="AF2608" s="14" t="s">
        <v>1400</v>
      </c>
      <c r="AG2608" s="14" t="s">
        <v>95</v>
      </c>
    </row>
    <row r="2609" spans="2:33">
      <c r="B2609" s="14">
        <f>10000000+INDEX(编号表!$B:$B,MATCH(H2609,编号表!$A:$A,0))*100000+INDEX(编号表!$F:$F,MATCH(D2609,编号表!$E:$E,0))*10000+INDEX(编号表!$D:$D,MATCH(AG2609,编号表!$C:$C,0))*1000+F2609</f>
        <v>11925082</v>
      </c>
      <c r="C2609" s="14" t="s">
        <v>4598</v>
      </c>
      <c r="D2609" s="14" t="s">
        <v>112</v>
      </c>
      <c r="E2609" s="14" t="s">
        <v>95</v>
      </c>
      <c r="F2609" s="14">
        <v>82</v>
      </c>
      <c r="G2609" s="14">
        <v>60</v>
      </c>
      <c r="H2609" s="14" t="s">
        <v>1400</v>
      </c>
      <c r="I2609" s="14" t="s">
        <v>75</v>
      </c>
      <c r="J2609" s="14" t="s">
        <v>201</v>
      </c>
      <c r="K2609" s="14">
        <v>1</v>
      </c>
      <c r="L2609" s="14" t="s">
        <v>1400</v>
      </c>
      <c r="N2609" s="14">
        <v>0</v>
      </c>
      <c r="O2609" s="14" t="b">
        <v>1</v>
      </c>
      <c r="Q2609" s="14" t="b">
        <v>0</v>
      </c>
      <c r="R2609" s="14">
        <v>1</v>
      </c>
      <c r="S2609" s="14" t="s">
        <v>77</v>
      </c>
      <c r="T2609" s="14">
        <v>999</v>
      </c>
      <c r="U2609" s="14" t="s">
        <v>1401</v>
      </c>
      <c r="V2609" s="14">
        <v>31925082</v>
      </c>
      <c r="X2609" s="14" t="s">
        <v>4599</v>
      </c>
      <c r="Y2609" s="14" t="s">
        <v>215</v>
      </c>
      <c r="Z2609" s="14">
        <v>21372</v>
      </c>
      <c r="AA2609" s="14" t="s">
        <v>4600</v>
      </c>
      <c r="AB2609" s="14">
        <v>40001</v>
      </c>
      <c r="AE2609" s="14" t="s">
        <v>1400</v>
      </c>
      <c r="AF2609" s="14" t="s">
        <v>1400</v>
      </c>
      <c r="AG2609" s="14" t="s">
        <v>95</v>
      </c>
    </row>
    <row r="2610" spans="2:33">
      <c r="B2610" s="14">
        <f>10000000+INDEX(编号表!$B:$B,MATCH(H2610,编号表!$A:$A,0))*100000+INDEX(编号表!$F:$F,MATCH(D2610,编号表!$E:$E,0))*10000+INDEX(编号表!$D:$D,MATCH(AG2610,编号表!$C:$C,0))*1000+F2610</f>
        <v>11935083</v>
      </c>
      <c r="C2610" s="14" t="s">
        <v>4598</v>
      </c>
      <c r="D2610" s="14" t="s">
        <v>276</v>
      </c>
      <c r="E2610" s="14" t="s">
        <v>95</v>
      </c>
      <c r="F2610" s="14">
        <v>83</v>
      </c>
      <c r="G2610" s="14">
        <v>60</v>
      </c>
      <c r="H2610" s="14" t="s">
        <v>1400</v>
      </c>
      <c r="I2610" s="14" t="s">
        <v>75</v>
      </c>
      <c r="J2610" s="14" t="s">
        <v>201</v>
      </c>
      <c r="K2610" s="14">
        <v>1</v>
      </c>
      <c r="L2610" s="14" t="s">
        <v>1400</v>
      </c>
      <c r="N2610" s="14">
        <v>0</v>
      </c>
      <c r="O2610" s="14" t="b">
        <v>1</v>
      </c>
      <c r="Q2610" s="14" t="b">
        <v>0</v>
      </c>
      <c r="R2610" s="14">
        <v>1</v>
      </c>
      <c r="S2610" s="14" t="s">
        <v>77</v>
      </c>
      <c r="T2610" s="14">
        <v>999</v>
      </c>
      <c r="U2610" s="14" t="s">
        <v>1401</v>
      </c>
      <c r="V2610" s="14">
        <v>31935083</v>
      </c>
      <c r="X2610" s="14" t="s">
        <v>4601</v>
      </c>
      <c r="Y2610" s="14" t="s">
        <v>215</v>
      </c>
      <c r="Z2610" s="14">
        <v>21373</v>
      </c>
      <c r="AA2610" s="14" t="s">
        <v>4602</v>
      </c>
      <c r="AB2610" s="14">
        <v>40001</v>
      </c>
      <c r="AE2610" s="14" t="s">
        <v>1400</v>
      </c>
      <c r="AF2610" s="14" t="s">
        <v>1400</v>
      </c>
      <c r="AG2610" s="14" t="s">
        <v>95</v>
      </c>
    </row>
    <row r="2611" spans="2:33">
      <c r="B2611" s="14">
        <f>10000000+INDEX(编号表!$B:$B,MATCH(H2611,编号表!$A:$A,0))*100000+INDEX(编号表!$F:$F,MATCH(D2611,编号表!$E:$E,0))*10000+INDEX(编号表!$D:$D,MATCH(AG2611,编号表!$C:$C,0))*1000+F2611</f>
        <v>11945084</v>
      </c>
      <c r="C2611" s="14" t="s">
        <v>4598</v>
      </c>
      <c r="D2611" s="14" t="s">
        <v>104</v>
      </c>
      <c r="E2611" s="14" t="s">
        <v>95</v>
      </c>
      <c r="F2611" s="14">
        <v>84</v>
      </c>
      <c r="G2611" s="14">
        <v>60</v>
      </c>
      <c r="H2611" s="14" t="s">
        <v>1400</v>
      </c>
      <c r="I2611" s="14" t="s">
        <v>75</v>
      </c>
      <c r="J2611" s="14" t="s">
        <v>201</v>
      </c>
      <c r="K2611" s="14">
        <v>1</v>
      </c>
      <c r="L2611" s="14" t="s">
        <v>1400</v>
      </c>
      <c r="N2611" s="14">
        <v>0</v>
      </c>
      <c r="O2611" s="14" t="b">
        <v>1</v>
      </c>
      <c r="Q2611" s="14" t="b">
        <v>0</v>
      </c>
      <c r="R2611" s="14">
        <v>1</v>
      </c>
      <c r="S2611" s="14" t="s">
        <v>77</v>
      </c>
      <c r="T2611" s="14">
        <v>999</v>
      </c>
      <c r="U2611" s="14" t="s">
        <v>1401</v>
      </c>
      <c r="V2611" s="14">
        <v>31945084</v>
      </c>
      <c r="X2611" s="14" t="s">
        <v>4603</v>
      </c>
      <c r="Y2611" s="14" t="s">
        <v>215</v>
      </c>
      <c r="Z2611" s="14">
        <v>21374</v>
      </c>
      <c r="AA2611" s="14" t="s">
        <v>4604</v>
      </c>
      <c r="AB2611" s="14">
        <v>40001</v>
      </c>
      <c r="AE2611" s="14" t="s">
        <v>1400</v>
      </c>
      <c r="AF2611" s="14" t="s">
        <v>1400</v>
      </c>
      <c r="AG2611" s="14" t="s">
        <v>95</v>
      </c>
    </row>
    <row r="2612" spans="2:33">
      <c r="B2612" s="14">
        <f>10000000+INDEX(编号表!$B:$B,MATCH(H2612,编号表!$A:$A,0))*100000+INDEX(编号表!$F:$F,MATCH(D2612,编号表!$E:$E,0))*10000+INDEX(编号表!$D:$D,MATCH(AG2612,编号表!$C:$C,0))*1000+F2612</f>
        <v>11925083</v>
      </c>
      <c r="C2612" s="14" t="s">
        <v>4605</v>
      </c>
      <c r="D2612" s="14" t="s">
        <v>112</v>
      </c>
      <c r="E2612" s="14" t="s">
        <v>95</v>
      </c>
      <c r="F2612" s="14">
        <v>83</v>
      </c>
      <c r="G2612" s="14">
        <v>60</v>
      </c>
      <c r="H2612" s="14" t="s">
        <v>1400</v>
      </c>
      <c r="I2612" s="14" t="s">
        <v>75</v>
      </c>
      <c r="J2612" s="14" t="s">
        <v>201</v>
      </c>
      <c r="K2612" s="14">
        <v>1</v>
      </c>
      <c r="L2612" s="14" t="s">
        <v>1400</v>
      </c>
      <c r="N2612" s="14">
        <v>0</v>
      </c>
      <c r="O2612" s="14" t="b">
        <v>1</v>
      </c>
      <c r="Q2612" s="14" t="b">
        <v>0</v>
      </c>
      <c r="R2612" s="14">
        <v>1</v>
      </c>
      <c r="S2612" s="14" t="s">
        <v>77</v>
      </c>
      <c r="T2612" s="14">
        <v>999</v>
      </c>
      <c r="U2612" s="14" t="s">
        <v>1401</v>
      </c>
      <c r="V2612" s="14">
        <v>31925083</v>
      </c>
      <c r="X2612" s="14" t="s">
        <v>4606</v>
      </c>
      <c r="Y2612" s="14" t="s">
        <v>215</v>
      </c>
      <c r="Z2612" s="14">
        <v>21375</v>
      </c>
      <c r="AA2612" s="14" t="s">
        <v>4607</v>
      </c>
      <c r="AB2612" s="14">
        <v>40001</v>
      </c>
      <c r="AE2612" s="14" t="s">
        <v>1400</v>
      </c>
      <c r="AF2612" s="14" t="s">
        <v>1400</v>
      </c>
      <c r="AG2612" s="14" t="s">
        <v>95</v>
      </c>
    </row>
    <row r="2613" spans="2:33">
      <c r="B2613" s="14">
        <f>10000000+INDEX(编号表!$B:$B,MATCH(H2613,编号表!$A:$A,0))*100000+INDEX(编号表!$F:$F,MATCH(D2613,编号表!$E:$E,0))*10000+INDEX(编号表!$D:$D,MATCH(AG2613,编号表!$C:$C,0))*1000+F2613</f>
        <v>11935084</v>
      </c>
      <c r="C2613" s="14" t="s">
        <v>4605</v>
      </c>
      <c r="D2613" s="14" t="s">
        <v>276</v>
      </c>
      <c r="E2613" s="14" t="s">
        <v>95</v>
      </c>
      <c r="F2613" s="14">
        <v>84</v>
      </c>
      <c r="G2613" s="14">
        <v>60</v>
      </c>
      <c r="H2613" s="14" t="s">
        <v>1400</v>
      </c>
      <c r="I2613" s="14" t="s">
        <v>75</v>
      </c>
      <c r="J2613" s="14" t="s">
        <v>201</v>
      </c>
      <c r="K2613" s="14">
        <v>1</v>
      </c>
      <c r="L2613" s="14" t="s">
        <v>1400</v>
      </c>
      <c r="N2613" s="14">
        <v>0</v>
      </c>
      <c r="O2613" s="14" t="b">
        <v>1</v>
      </c>
      <c r="Q2613" s="14" t="b">
        <v>0</v>
      </c>
      <c r="R2613" s="14">
        <v>1</v>
      </c>
      <c r="S2613" s="14" t="s">
        <v>77</v>
      </c>
      <c r="T2613" s="14">
        <v>999</v>
      </c>
      <c r="U2613" s="14" t="s">
        <v>1401</v>
      </c>
      <c r="V2613" s="14">
        <v>31935084</v>
      </c>
      <c r="X2613" s="14" t="s">
        <v>4608</v>
      </c>
      <c r="Y2613" s="14" t="s">
        <v>215</v>
      </c>
      <c r="Z2613" s="14">
        <v>21376</v>
      </c>
      <c r="AA2613" s="14" t="s">
        <v>4609</v>
      </c>
      <c r="AB2613" s="14">
        <v>40001</v>
      </c>
      <c r="AE2613" s="14" t="s">
        <v>1400</v>
      </c>
      <c r="AF2613" s="14" t="s">
        <v>1400</v>
      </c>
      <c r="AG2613" s="14" t="s">
        <v>95</v>
      </c>
    </row>
    <row r="2614" spans="2:33">
      <c r="B2614" s="14">
        <f>10000000+INDEX(编号表!$B:$B,MATCH(H2614,编号表!$A:$A,0))*100000+INDEX(编号表!$F:$F,MATCH(D2614,编号表!$E:$E,0))*10000+INDEX(编号表!$D:$D,MATCH(AG2614,编号表!$C:$C,0))*1000+F2614</f>
        <v>11945085</v>
      </c>
      <c r="C2614" s="14" t="s">
        <v>4605</v>
      </c>
      <c r="D2614" s="14" t="s">
        <v>104</v>
      </c>
      <c r="E2614" s="14" t="s">
        <v>95</v>
      </c>
      <c r="F2614" s="14">
        <v>85</v>
      </c>
      <c r="G2614" s="14">
        <v>60</v>
      </c>
      <c r="H2614" s="14" t="s">
        <v>1400</v>
      </c>
      <c r="I2614" s="14" t="s">
        <v>75</v>
      </c>
      <c r="J2614" s="14" t="s">
        <v>201</v>
      </c>
      <c r="K2614" s="14">
        <v>1</v>
      </c>
      <c r="L2614" s="14" t="s">
        <v>1400</v>
      </c>
      <c r="N2614" s="14">
        <v>0</v>
      </c>
      <c r="O2614" s="14" t="b">
        <v>1</v>
      </c>
      <c r="Q2614" s="14" t="b">
        <v>0</v>
      </c>
      <c r="R2614" s="14">
        <v>1</v>
      </c>
      <c r="S2614" s="14" t="s">
        <v>77</v>
      </c>
      <c r="T2614" s="14">
        <v>999</v>
      </c>
      <c r="U2614" s="14" t="s">
        <v>1401</v>
      </c>
      <c r="V2614" s="14">
        <v>31945085</v>
      </c>
      <c r="X2614" s="14" t="s">
        <v>4610</v>
      </c>
      <c r="Y2614" s="14" t="s">
        <v>215</v>
      </c>
      <c r="Z2614" s="14">
        <v>21377</v>
      </c>
      <c r="AA2614" s="14" t="s">
        <v>4611</v>
      </c>
      <c r="AB2614" s="14">
        <v>40001</v>
      </c>
      <c r="AE2614" s="14" t="s">
        <v>1400</v>
      </c>
      <c r="AF2614" s="14" t="s">
        <v>1400</v>
      </c>
      <c r="AG2614" s="14" t="s">
        <v>95</v>
      </c>
    </row>
    <row r="2615" spans="2:33">
      <c r="B2615" s="14">
        <f>10000000+INDEX(编号表!$B:$B,MATCH(H2615,编号表!$A:$A,0))*100000+INDEX(编号表!$F:$F,MATCH(D2615,编号表!$E:$E,0))*10000+INDEX(编号表!$D:$D,MATCH(AG2615,编号表!$C:$C,0))*1000+F2615</f>
        <v>11925084</v>
      </c>
      <c r="C2615" s="14" t="s">
        <v>4612</v>
      </c>
      <c r="D2615" s="14" t="s">
        <v>112</v>
      </c>
      <c r="E2615" s="14" t="s">
        <v>95</v>
      </c>
      <c r="F2615" s="14">
        <v>84</v>
      </c>
      <c r="G2615" s="14">
        <v>60</v>
      </c>
      <c r="H2615" s="14" t="s">
        <v>1400</v>
      </c>
      <c r="I2615" s="14" t="s">
        <v>75</v>
      </c>
      <c r="J2615" s="14" t="s">
        <v>201</v>
      </c>
      <c r="K2615" s="14">
        <v>1</v>
      </c>
      <c r="L2615" s="14" t="s">
        <v>1400</v>
      </c>
      <c r="N2615" s="14">
        <v>0</v>
      </c>
      <c r="O2615" s="14" t="b">
        <v>1</v>
      </c>
      <c r="Q2615" s="14" t="b">
        <v>0</v>
      </c>
      <c r="R2615" s="14">
        <v>1</v>
      </c>
      <c r="S2615" s="14" t="s">
        <v>77</v>
      </c>
      <c r="T2615" s="14">
        <v>999</v>
      </c>
      <c r="U2615" s="14" t="s">
        <v>1401</v>
      </c>
      <c r="V2615" s="14">
        <v>31925084</v>
      </c>
      <c r="X2615" s="14" t="s">
        <v>4613</v>
      </c>
      <c r="Y2615" s="14" t="s">
        <v>215</v>
      </c>
      <c r="Z2615" s="14">
        <v>21378</v>
      </c>
      <c r="AA2615" s="14" t="s">
        <v>4614</v>
      </c>
      <c r="AB2615" s="14">
        <v>40001</v>
      </c>
      <c r="AE2615" s="14" t="s">
        <v>1400</v>
      </c>
      <c r="AF2615" s="14" t="s">
        <v>1400</v>
      </c>
      <c r="AG2615" s="14" t="s">
        <v>95</v>
      </c>
    </row>
    <row r="2616" spans="2:33">
      <c r="B2616" s="14">
        <f>10000000+INDEX(编号表!$B:$B,MATCH(H2616,编号表!$A:$A,0))*100000+INDEX(编号表!$F:$F,MATCH(D2616,编号表!$E:$E,0))*10000+INDEX(编号表!$D:$D,MATCH(AG2616,编号表!$C:$C,0))*1000+F2616</f>
        <v>11935085</v>
      </c>
      <c r="C2616" s="14" t="s">
        <v>4612</v>
      </c>
      <c r="D2616" s="14" t="s">
        <v>276</v>
      </c>
      <c r="E2616" s="14" t="s">
        <v>95</v>
      </c>
      <c r="F2616" s="14">
        <v>85</v>
      </c>
      <c r="G2616" s="14">
        <v>60</v>
      </c>
      <c r="H2616" s="14" t="s">
        <v>1400</v>
      </c>
      <c r="I2616" s="14" t="s">
        <v>75</v>
      </c>
      <c r="J2616" s="14" t="s">
        <v>201</v>
      </c>
      <c r="K2616" s="14">
        <v>1</v>
      </c>
      <c r="L2616" s="14" t="s">
        <v>1400</v>
      </c>
      <c r="N2616" s="14">
        <v>0</v>
      </c>
      <c r="O2616" s="14" t="b">
        <v>1</v>
      </c>
      <c r="Q2616" s="14" t="b">
        <v>0</v>
      </c>
      <c r="R2616" s="14">
        <v>1</v>
      </c>
      <c r="S2616" s="14" t="s">
        <v>77</v>
      </c>
      <c r="T2616" s="14">
        <v>999</v>
      </c>
      <c r="U2616" s="14" t="s">
        <v>1401</v>
      </c>
      <c r="V2616" s="14">
        <v>31935085</v>
      </c>
      <c r="X2616" s="14" t="s">
        <v>4615</v>
      </c>
      <c r="Y2616" s="14" t="s">
        <v>215</v>
      </c>
      <c r="Z2616" s="14">
        <v>21379</v>
      </c>
      <c r="AA2616" s="14" t="s">
        <v>4616</v>
      </c>
      <c r="AB2616" s="14">
        <v>40001</v>
      </c>
      <c r="AE2616" s="14" t="s">
        <v>1400</v>
      </c>
      <c r="AF2616" s="14" t="s">
        <v>1400</v>
      </c>
      <c r="AG2616" s="14" t="s">
        <v>95</v>
      </c>
    </row>
    <row r="2617" spans="2:33">
      <c r="B2617" s="14">
        <f>10000000+INDEX(编号表!$B:$B,MATCH(H2617,编号表!$A:$A,0))*100000+INDEX(编号表!$F:$F,MATCH(D2617,编号表!$E:$E,0))*10000+INDEX(编号表!$D:$D,MATCH(AG2617,编号表!$C:$C,0))*1000+F2617</f>
        <v>11945086</v>
      </c>
      <c r="C2617" s="14" t="s">
        <v>4612</v>
      </c>
      <c r="D2617" s="14" t="s">
        <v>104</v>
      </c>
      <c r="E2617" s="14" t="s">
        <v>95</v>
      </c>
      <c r="F2617" s="14">
        <v>86</v>
      </c>
      <c r="G2617" s="14">
        <v>60</v>
      </c>
      <c r="H2617" s="14" t="s">
        <v>1400</v>
      </c>
      <c r="I2617" s="14" t="s">
        <v>75</v>
      </c>
      <c r="J2617" s="14" t="s">
        <v>201</v>
      </c>
      <c r="K2617" s="14">
        <v>1</v>
      </c>
      <c r="L2617" s="14" t="s">
        <v>1400</v>
      </c>
      <c r="N2617" s="14">
        <v>0</v>
      </c>
      <c r="O2617" s="14" t="b">
        <v>1</v>
      </c>
      <c r="Q2617" s="14" t="b">
        <v>0</v>
      </c>
      <c r="R2617" s="14">
        <v>1</v>
      </c>
      <c r="S2617" s="14" t="s">
        <v>77</v>
      </c>
      <c r="T2617" s="14">
        <v>999</v>
      </c>
      <c r="U2617" s="14" t="s">
        <v>1401</v>
      </c>
      <c r="V2617" s="14">
        <v>31945086</v>
      </c>
      <c r="X2617" s="14" t="s">
        <v>4617</v>
      </c>
      <c r="Y2617" s="14" t="s">
        <v>215</v>
      </c>
      <c r="Z2617" s="14">
        <v>21380</v>
      </c>
      <c r="AA2617" s="14" t="s">
        <v>4618</v>
      </c>
      <c r="AB2617" s="14">
        <v>40001</v>
      </c>
      <c r="AE2617" s="14" t="s">
        <v>1400</v>
      </c>
      <c r="AF2617" s="14" t="s">
        <v>1400</v>
      </c>
      <c r="AG2617" s="14" t="s">
        <v>95</v>
      </c>
    </row>
    <row r="2618" spans="2:33">
      <c r="B2618" s="14">
        <f>10000000+INDEX(编号表!$B:$B,MATCH(H2618,编号表!$A:$A,0))*100000+INDEX(编号表!$F:$F,MATCH(D2618,编号表!$E:$E,0))*10000+INDEX(编号表!$D:$D,MATCH(AG2618,编号表!$C:$C,0))*1000+F2618</f>
        <v>11925085</v>
      </c>
      <c r="C2618" s="14" t="s">
        <v>4619</v>
      </c>
      <c r="D2618" s="14" t="s">
        <v>112</v>
      </c>
      <c r="E2618" s="14" t="s">
        <v>95</v>
      </c>
      <c r="F2618" s="14">
        <v>85</v>
      </c>
      <c r="G2618" s="14">
        <v>60</v>
      </c>
      <c r="H2618" s="14" t="s">
        <v>1400</v>
      </c>
      <c r="I2618" s="14" t="s">
        <v>75</v>
      </c>
      <c r="J2618" s="14" t="s">
        <v>201</v>
      </c>
      <c r="K2618" s="14">
        <v>1</v>
      </c>
      <c r="L2618" s="14" t="s">
        <v>1400</v>
      </c>
      <c r="N2618" s="14">
        <v>0</v>
      </c>
      <c r="O2618" s="14" t="b">
        <v>1</v>
      </c>
      <c r="Q2618" s="14" t="b">
        <v>0</v>
      </c>
      <c r="R2618" s="14">
        <v>1</v>
      </c>
      <c r="S2618" s="14" t="s">
        <v>77</v>
      </c>
      <c r="T2618" s="14">
        <v>999</v>
      </c>
      <c r="U2618" s="14" t="s">
        <v>1401</v>
      </c>
      <c r="V2618" s="14">
        <v>31925085</v>
      </c>
      <c r="X2618" s="14" t="s">
        <v>4620</v>
      </c>
      <c r="Y2618" s="14" t="s">
        <v>215</v>
      </c>
      <c r="Z2618" s="14">
        <v>21381</v>
      </c>
      <c r="AA2618" s="14" t="s">
        <v>4621</v>
      </c>
      <c r="AB2618" s="14">
        <v>40001</v>
      </c>
      <c r="AE2618" s="14" t="s">
        <v>1400</v>
      </c>
      <c r="AF2618" s="14" t="s">
        <v>1400</v>
      </c>
      <c r="AG2618" s="14" t="s">
        <v>95</v>
      </c>
    </row>
    <row r="2619" spans="2:33">
      <c r="B2619" s="14">
        <f>10000000+INDEX(编号表!$B:$B,MATCH(H2619,编号表!$A:$A,0))*100000+INDEX(编号表!$F:$F,MATCH(D2619,编号表!$E:$E,0))*10000+INDEX(编号表!$D:$D,MATCH(AG2619,编号表!$C:$C,0))*1000+F2619</f>
        <v>11935086</v>
      </c>
      <c r="C2619" s="14" t="s">
        <v>4619</v>
      </c>
      <c r="D2619" s="14" t="s">
        <v>276</v>
      </c>
      <c r="E2619" s="14" t="s">
        <v>95</v>
      </c>
      <c r="F2619" s="14">
        <v>86</v>
      </c>
      <c r="G2619" s="14">
        <v>60</v>
      </c>
      <c r="H2619" s="14" t="s">
        <v>1400</v>
      </c>
      <c r="I2619" s="14" t="s">
        <v>75</v>
      </c>
      <c r="J2619" s="14" t="s">
        <v>201</v>
      </c>
      <c r="K2619" s="14">
        <v>1</v>
      </c>
      <c r="L2619" s="14" t="s">
        <v>1400</v>
      </c>
      <c r="N2619" s="14">
        <v>0</v>
      </c>
      <c r="O2619" s="14" t="b">
        <v>1</v>
      </c>
      <c r="Q2619" s="14" t="b">
        <v>0</v>
      </c>
      <c r="R2619" s="14">
        <v>1</v>
      </c>
      <c r="S2619" s="14" t="s">
        <v>77</v>
      </c>
      <c r="T2619" s="14">
        <v>999</v>
      </c>
      <c r="U2619" s="14" t="s">
        <v>1401</v>
      </c>
      <c r="V2619" s="14">
        <v>31935086</v>
      </c>
      <c r="X2619" s="14" t="s">
        <v>4622</v>
      </c>
      <c r="Y2619" s="14" t="s">
        <v>215</v>
      </c>
      <c r="Z2619" s="14">
        <v>21382</v>
      </c>
      <c r="AA2619" s="14" t="s">
        <v>4623</v>
      </c>
      <c r="AB2619" s="14">
        <v>40001</v>
      </c>
      <c r="AE2619" s="14" t="s">
        <v>1400</v>
      </c>
      <c r="AF2619" s="14" t="s">
        <v>1400</v>
      </c>
      <c r="AG2619" s="14" t="s">
        <v>95</v>
      </c>
    </row>
    <row r="2620" spans="2:33">
      <c r="B2620" s="14">
        <f>10000000+INDEX(编号表!$B:$B,MATCH(H2620,编号表!$A:$A,0))*100000+INDEX(编号表!$F:$F,MATCH(D2620,编号表!$E:$E,0))*10000+INDEX(编号表!$D:$D,MATCH(AG2620,编号表!$C:$C,0))*1000+F2620</f>
        <v>11945087</v>
      </c>
      <c r="C2620" s="14" t="s">
        <v>4619</v>
      </c>
      <c r="D2620" s="14" t="s">
        <v>104</v>
      </c>
      <c r="E2620" s="14" t="s">
        <v>95</v>
      </c>
      <c r="F2620" s="14">
        <v>87</v>
      </c>
      <c r="G2620" s="14">
        <v>60</v>
      </c>
      <c r="H2620" s="14" t="s">
        <v>1400</v>
      </c>
      <c r="I2620" s="14" t="s">
        <v>75</v>
      </c>
      <c r="J2620" s="14" t="s">
        <v>201</v>
      </c>
      <c r="K2620" s="14">
        <v>1</v>
      </c>
      <c r="L2620" s="14" t="s">
        <v>1400</v>
      </c>
      <c r="N2620" s="14">
        <v>0</v>
      </c>
      <c r="O2620" s="14" t="b">
        <v>1</v>
      </c>
      <c r="Q2620" s="14" t="b">
        <v>0</v>
      </c>
      <c r="R2620" s="14">
        <v>1</v>
      </c>
      <c r="S2620" s="14" t="s">
        <v>77</v>
      </c>
      <c r="T2620" s="14">
        <v>999</v>
      </c>
      <c r="U2620" s="14" t="s">
        <v>1401</v>
      </c>
      <c r="V2620" s="14">
        <v>31945087</v>
      </c>
      <c r="X2620" s="14" t="s">
        <v>4624</v>
      </c>
      <c r="Y2620" s="14" t="s">
        <v>215</v>
      </c>
      <c r="Z2620" s="14">
        <v>21383</v>
      </c>
      <c r="AA2620" s="14" t="s">
        <v>4625</v>
      </c>
      <c r="AB2620" s="14">
        <v>40001</v>
      </c>
      <c r="AE2620" s="14" t="s">
        <v>1400</v>
      </c>
      <c r="AF2620" s="14" t="s">
        <v>1400</v>
      </c>
      <c r="AG2620" s="14" t="s">
        <v>95</v>
      </c>
    </row>
    <row r="2621" spans="2:33">
      <c r="B2621" s="14">
        <f>10000000+INDEX(编号表!$B:$B,MATCH(H2621,编号表!$A:$A,0))*100000+INDEX(编号表!$F:$F,MATCH(D2621,编号表!$E:$E,0))*10000+INDEX(编号表!$D:$D,MATCH(AG2621,编号表!$C:$C,0))*1000+F2621</f>
        <v>11925086</v>
      </c>
      <c r="C2621" s="14" t="s">
        <v>4626</v>
      </c>
      <c r="D2621" s="14" t="s">
        <v>112</v>
      </c>
      <c r="E2621" s="14" t="s">
        <v>95</v>
      </c>
      <c r="F2621" s="14">
        <v>86</v>
      </c>
      <c r="G2621" s="14">
        <v>60</v>
      </c>
      <c r="H2621" s="14" t="s">
        <v>1400</v>
      </c>
      <c r="I2621" s="14" t="s">
        <v>75</v>
      </c>
      <c r="J2621" s="14" t="s">
        <v>201</v>
      </c>
      <c r="K2621" s="14">
        <v>1</v>
      </c>
      <c r="L2621" s="14" t="s">
        <v>1400</v>
      </c>
      <c r="N2621" s="14">
        <v>0</v>
      </c>
      <c r="O2621" s="14" t="b">
        <v>1</v>
      </c>
      <c r="Q2621" s="14" t="b">
        <v>0</v>
      </c>
      <c r="R2621" s="14">
        <v>1</v>
      </c>
      <c r="S2621" s="14" t="s">
        <v>77</v>
      </c>
      <c r="T2621" s="14">
        <v>999</v>
      </c>
      <c r="U2621" s="14" t="s">
        <v>1401</v>
      </c>
      <c r="V2621" s="14">
        <v>31925086</v>
      </c>
      <c r="X2621" s="14" t="s">
        <v>4627</v>
      </c>
      <c r="Y2621" s="14" t="s">
        <v>215</v>
      </c>
      <c r="Z2621" s="14">
        <v>21384</v>
      </c>
      <c r="AA2621" s="14" t="s">
        <v>4628</v>
      </c>
      <c r="AB2621" s="14">
        <v>40001</v>
      </c>
      <c r="AE2621" s="14" t="s">
        <v>1400</v>
      </c>
      <c r="AF2621" s="14" t="s">
        <v>1400</v>
      </c>
      <c r="AG2621" s="14" t="s">
        <v>95</v>
      </c>
    </row>
    <row r="2622" spans="2:33">
      <c r="B2622" s="14">
        <f>10000000+INDEX(编号表!$B:$B,MATCH(H2622,编号表!$A:$A,0))*100000+INDEX(编号表!$F:$F,MATCH(D2622,编号表!$E:$E,0))*10000+INDEX(编号表!$D:$D,MATCH(AG2622,编号表!$C:$C,0))*1000+F2622</f>
        <v>11935087</v>
      </c>
      <c r="C2622" s="14" t="s">
        <v>4626</v>
      </c>
      <c r="D2622" s="14" t="s">
        <v>276</v>
      </c>
      <c r="E2622" s="14" t="s">
        <v>95</v>
      </c>
      <c r="F2622" s="14">
        <v>87</v>
      </c>
      <c r="G2622" s="14">
        <v>60</v>
      </c>
      <c r="H2622" s="14" t="s">
        <v>1400</v>
      </c>
      <c r="I2622" s="14" t="s">
        <v>75</v>
      </c>
      <c r="J2622" s="14" t="s">
        <v>201</v>
      </c>
      <c r="K2622" s="14">
        <v>1</v>
      </c>
      <c r="L2622" s="14" t="s">
        <v>1400</v>
      </c>
      <c r="N2622" s="14">
        <v>0</v>
      </c>
      <c r="O2622" s="14" t="b">
        <v>1</v>
      </c>
      <c r="Q2622" s="14" t="b">
        <v>0</v>
      </c>
      <c r="R2622" s="14">
        <v>1</v>
      </c>
      <c r="S2622" s="14" t="s">
        <v>77</v>
      </c>
      <c r="T2622" s="14">
        <v>999</v>
      </c>
      <c r="U2622" s="14" t="s">
        <v>1401</v>
      </c>
      <c r="V2622" s="14">
        <v>31935087</v>
      </c>
      <c r="X2622" s="14" t="s">
        <v>4629</v>
      </c>
      <c r="Y2622" s="14" t="s">
        <v>215</v>
      </c>
      <c r="Z2622" s="14">
        <v>21385</v>
      </c>
      <c r="AA2622" s="14" t="s">
        <v>4630</v>
      </c>
      <c r="AB2622" s="14">
        <v>40001</v>
      </c>
      <c r="AE2622" s="14" t="s">
        <v>1400</v>
      </c>
      <c r="AF2622" s="14" t="s">
        <v>1400</v>
      </c>
      <c r="AG2622" s="14" t="s">
        <v>95</v>
      </c>
    </row>
    <row r="2623" spans="2:33">
      <c r="B2623" s="14">
        <f>10000000+INDEX(编号表!$B:$B,MATCH(H2623,编号表!$A:$A,0))*100000+INDEX(编号表!$F:$F,MATCH(D2623,编号表!$E:$E,0))*10000+INDEX(编号表!$D:$D,MATCH(AG2623,编号表!$C:$C,0))*1000+F2623</f>
        <v>11945088</v>
      </c>
      <c r="C2623" s="14" t="s">
        <v>4626</v>
      </c>
      <c r="D2623" s="14" t="s">
        <v>104</v>
      </c>
      <c r="E2623" s="14" t="s">
        <v>95</v>
      </c>
      <c r="F2623" s="14">
        <v>88</v>
      </c>
      <c r="G2623" s="14">
        <v>60</v>
      </c>
      <c r="H2623" s="14" t="s">
        <v>1400</v>
      </c>
      <c r="I2623" s="14" t="s">
        <v>75</v>
      </c>
      <c r="J2623" s="14" t="s">
        <v>201</v>
      </c>
      <c r="K2623" s="14">
        <v>1</v>
      </c>
      <c r="L2623" s="14" t="s">
        <v>1400</v>
      </c>
      <c r="N2623" s="14">
        <v>0</v>
      </c>
      <c r="O2623" s="14" t="b">
        <v>1</v>
      </c>
      <c r="Q2623" s="14" t="b">
        <v>0</v>
      </c>
      <c r="R2623" s="14">
        <v>1</v>
      </c>
      <c r="S2623" s="14" t="s">
        <v>77</v>
      </c>
      <c r="T2623" s="14">
        <v>999</v>
      </c>
      <c r="U2623" s="14" t="s">
        <v>1401</v>
      </c>
      <c r="V2623" s="14">
        <v>31945088</v>
      </c>
      <c r="X2623" s="14" t="s">
        <v>4631</v>
      </c>
      <c r="Y2623" s="14" t="s">
        <v>215</v>
      </c>
      <c r="Z2623" s="14">
        <v>21386</v>
      </c>
      <c r="AA2623" s="14" t="s">
        <v>4632</v>
      </c>
      <c r="AB2623" s="14">
        <v>40001</v>
      </c>
      <c r="AE2623" s="14" t="s">
        <v>1400</v>
      </c>
      <c r="AF2623" s="14" t="s">
        <v>1400</v>
      </c>
      <c r="AG2623" s="14" t="s">
        <v>95</v>
      </c>
    </row>
    <row r="2624" spans="2:33">
      <c r="B2624" s="14">
        <f>10000000+INDEX(编号表!$B:$B,MATCH(H2624,编号表!$A:$A,0))*100000+INDEX(编号表!$F:$F,MATCH(D2624,编号表!$E:$E,0))*10000+INDEX(编号表!$D:$D,MATCH(AG2624,编号表!$C:$C,0))*1000+F2624</f>
        <v>11925087</v>
      </c>
      <c r="C2624" s="14" t="s">
        <v>4633</v>
      </c>
      <c r="D2624" s="14" t="s">
        <v>112</v>
      </c>
      <c r="E2624" s="14" t="s">
        <v>95</v>
      </c>
      <c r="F2624" s="14">
        <v>87</v>
      </c>
      <c r="G2624" s="14">
        <v>60</v>
      </c>
      <c r="H2624" s="14" t="s">
        <v>1400</v>
      </c>
      <c r="I2624" s="14" t="s">
        <v>75</v>
      </c>
      <c r="J2624" s="14" t="s">
        <v>201</v>
      </c>
      <c r="K2624" s="14">
        <v>1</v>
      </c>
      <c r="L2624" s="14" t="s">
        <v>1400</v>
      </c>
      <c r="N2624" s="14">
        <v>0</v>
      </c>
      <c r="O2624" s="14" t="b">
        <v>1</v>
      </c>
      <c r="Q2624" s="14" t="b">
        <v>0</v>
      </c>
      <c r="R2624" s="14">
        <v>1</v>
      </c>
      <c r="S2624" s="14" t="s">
        <v>77</v>
      </c>
      <c r="T2624" s="14">
        <v>999</v>
      </c>
      <c r="U2624" s="14" t="s">
        <v>1401</v>
      </c>
      <c r="V2624" s="14">
        <v>31925087</v>
      </c>
      <c r="X2624" s="14" t="s">
        <v>4634</v>
      </c>
      <c r="Y2624" s="14" t="s">
        <v>215</v>
      </c>
      <c r="Z2624" s="14">
        <v>21387</v>
      </c>
      <c r="AA2624" s="14" t="s">
        <v>4635</v>
      </c>
      <c r="AB2624" s="14">
        <v>40001</v>
      </c>
      <c r="AE2624" s="14" t="s">
        <v>1400</v>
      </c>
      <c r="AF2624" s="14" t="s">
        <v>1400</v>
      </c>
      <c r="AG2624" s="14" t="s">
        <v>95</v>
      </c>
    </row>
    <row r="2625" spans="2:33">
      <c r="B2625" s="14">
        <f>10000000+INDEX(编号表!$B:$B,MATCH(H2625,编号表!$A:$A,0))*100000+INDEX(编号表!$F:$F,MATCH(D2625,编号表!$E:$E,0))*10000+INDEX(编号表!$D:$D,MATCH(AG2625,编号表!$C:$C,0))*1000+F2625</f>
        <v>11935088</v>
      </c>
      <c r="C2625" s="14" t="s">
        <v>4633</v>
      </c>
      <c r="D2625" s="14" t="s">
        <v>276</v>
      </c>
      <c r="E2625" s="14" t="s">
        <v>95</v>
      </c>
      <c r="F2625" s="14">
        <v>88</v>
      </c>
      <c r="G2625" s="14">
        <v>60</v>
      </c>
      <c r="H2625" s="14" t="s">
        <v>1400</v>
      </c>
      <c r="I2625" s="14" t="s">
        <v>75</v>
      </c>
      <c r="J2625" s="14" t="s">
        <v>201</v>
      </c>
      <c r="K2625" s="14">
        <v>1</v>
      </c>
      <c r="L2625" s="14" t="s">
        <v>1400</v>
      </c>
      <c r="N2625" s="14">
        <v>0</v>
      </c>
      <c r="O2625" s="14" t="b">
        <v>1</v>
      </c>
      <c r="Q2625" s="14" t="b">
        <v>0</v>
      </c>
      <c r="R2625" s="14">
        <v>1</v>
      </c>
      <c r="S2625" s="14" t="s">
        <v>77</v>
      </c>
      <c r="T2625" s="14">
        <v>999</v>
      </c>
      <c r="U2625" s="14" t="s">
        <v>1401</v>
      </c>
      <c r="V2625" s="14">
        <v>31935088</v>
      </c>
      <c r="X2625" s="14" t="s">
        <v>4636</v>
      </c>
      <c r="Y2625" s="14" t="s">
        <v>215</v>
      </c>
      <c r="Z2625" s="14">
        <v>21388</v>
      </c>
      <c r="AA2625" s="14" t="s">
        <v>4637</v>
      </c>
      <c r="AB2625" s="14">
        <v>40001</v>
      </c>
      <c r="AE2625" s="14" t="s">
        <v>1400</v>
      </c>
      <c r="AF2625" s="14" t="s">
        <v>1400</v>
      </c>
      <c r="AG2625" s="14" t="s">
        <v>95</v>
      </c>
    </row>
    <row r="2626" spans="2:33">
      <c r="B2626" s="14">
        <f>10000000+INDEX(编号表!$B:$B,MATCH(H2626,编号表!$A:$A,0))*100000+INDEX(编号表!$F:$F,MATCH(D2626,编号表!$E:$E,0))*10000+INDEX(编号表!$D:$D,MATCH(AG2626,编号表!$C:$C,0))*1000+F2626</f>
        <v>11945089</v>
      </c>
      <c r="C2626" s="14" t="s">
        <v>4633</v>
      </c>
      <c r="D2626" s="14" t="s">
        <v>104</v>
      </c>
      <c r="E2626" s="14" t="s">
        <v>95</v>
      </c>
      <c r="F2626" s="14">
        <v>89</v>
      </c>
      <c r="G2626" s="14">
        <v>60</v>
      </c>
      <c r="H2626" s="14" t="s">
        <v>1400</v>
      </c>
      <c r="I2626" s="14" t="s">
        <v>75</v>
      </c>
      <c r="J2626" s="14" t="s">
        <v>201</v>
      </c>
      <c r="K2626" s="14">
        <v>1</v>
      </c>
      <c r="L2626" s="14" t="s">
        <v>1400</v>
      </c>
      <c r="N2626" s="14">
        <v>0</v>
      </c>
      <c r="O2626" s="14" t="b">
        <v>1</v>
      </c>
      <c r="Q2626" s="14" t="b">
        <v>0</v>
      </c>
      <c r="R2626" s="14">
        <v>1</v>
      </c>
      <c r="S2626" s="14" t="s">
        <v>77</v>
      </c>
      <c r="T2626" s="14">
        <v>999</v>
      </c>
      <c r="U2626" s="14" t="s">
        <v>1401</v>
      </c>
      <c r="V2626" s="14">
        <v>31945089</v>
      </c>
      <c r="X2626" s="14" t="s">
        <v>4638</v>
      </c>
      <c r="Y2626" s="14" t="s">
        <v>215</v>
      </c>
      <c r="Z2626" s="14">
        <v>21389</v>
      </c>
      <c r="AA2626" s="14" t="s">
        <v>4639</v>
      </c>
      <c r="AB2626" s="14">
        <v>40001</v>
      </c>
      <c r="AE2626" s="14" t="s">
        <v>1400</v>
      </c>
      <c r="AF2626" s="14" t="s">
        <v>1400</v>
      </c>
      <c r="AG2626" s="14" t="s">
        <v>95</v>
      </c>
    </row>
    <row r="2627" spans="2:33">
      <c r="B2627" s="14">
        <f>10000000+INDEX(编号表!$B:$B,MATCH(H2627,编号表!$A:$A,0))*100000+INDEX(编号表!$F:$F,MATCH(D2627,编号表!$E:$E,0))*10000+INDEX(编号表!$D:$D,MATCH(AG2627,编号表!$C:$C,0))*1000+F2627</f>
        <v>11925088</v>
      </c>
      <c r="C2627" s="14" t="s">
        <v>4640</v>
      </c>
      <c r="D2627" s="14" t="s">
        <v>112</v>
      </c>
      <c r="E2627" s="14" t="s">
        <v>95</v>
      </c>
      <c r="F2627" s="14">
        <v>88</v>
      </c>
      <c r="G2627" s="14">
        <v>60</v>
      </c>
      <c r="H2627" s="14" t="s">
        <v>1400</v>
      </c>
      <c r="I2627" s="14" t="s">
        <v>75</v>
      </c>
      <c r="J2627" s="14" t="s">
        <v>201</v>
      </c>
      <c r="K2627" s="14">
        <v>1</v>
      </c>
      <c r="L2627" s="14" t="s">
        <v>1400</v>
      </c>
      <c r="N2627" s="14">
        <v>0</v>
      </c>
      <c r="O2627" s="14" t="b">
        <v>1</v>
      </c>
      <c r="Q2627" s="14" t="b">
        <v>0</v>
      </c>
      <c r="R2627" s="14">
        <v>1</v>
      </c>
      <c r="S2627" s="14" t="s">
        <v>77</v>
      </c>
      <c r="T2627" s="14">
        <v>999</v>
      </c>
      <c r="U2627" s="14" t="s">
        <v>1401</v>
      </c>
      <c r="V2627" s="14">
        <v>31925088</v>
      </c>
      <c r="X2627" s="14" t="s">
        <v>4641</v>
      </c>
      <c r="Y2627" s="14" t="s">
        <v>215</v>
      </c>
      <c r="Z2627" s="14">
        <v>21390</v>
      </c>
      <c r="AA2627" s="14" t="s">
        <v>4642</v>
      </c>
      <c r="AB2627" s="14">
        <v>40001</v>
      </c>
      <c r="AE2627" s="14" t="s">
        <v>1400</v>
      </c>
      <c r="AF2627" s="14" t="s">
        <v>1400</v>
      </c>
      <c r="AG2627" s="14" t="s">
        <v>95</v>
      </c>
    </row>
    <row r="2628" spans="2:33">
      <c r="B2628" s="14">
        <f>10000000+INDEX(编号表!$B:$B,MATCH(H2628,编号表!$A:$A,0))*100000+INDEX(编号表!$F:$F,MATCH(D2628,编号表!$E:$E,0))*10000+INDEX(编号表!$D:$D,MATCH(AG2628,编号表!$C:$C,0))*1000+F2628</f>
        <v>11935089</v>
      </c>
      <c r="C2628" s="14" t="s">
        <v>4640</v>
      </c>
      <c r="D2628" s="14" t="s">
        <v>276</v>
      </c>
      <c r="E2628" s="14" t="s">
        <v>95</v>
      </c>
      <c r="F2628" s="14">
        <v>89</v>
      </c>
      <c r="G2628" s="14">
        <v>60</v>
      </c>
      <c r="H2628" s="14" t="s">
        <v>1400</v>
      </c>
      <c r="I2628" s="14" t="s">
        <v>75</v>
      </c>
      <c r="J2628" s="14" t="s">
        <v>201</v>
      </c>
      <c r="K2628" s="14">
        <v>1</v>
      </c>
      <c r="L2628" s="14" t="s">
        <v>1400</v>
      </c>
      <c r="N2628" s="14">
        <v>0</v>
      </c>
      <c r="O2628" s="14" t="b">
        <v>1</v>
      </c>
      <c r="Q2628" s="14" t="b">
        <v>0</v>
      </c>
      <c r="R2628" s="14">
        <v>1</v>
      </c>
      <c r="S2628" s="14" t="s">
        <v>77</v>
      </c>
      <c r="T2628" s="14">
        <v>999</v>
      </c>
      <c r="U2628" s="14" t="s">
        <v>1401</v>
      </c>
      <c r="V2628" s="14">
        <v>31935089</v>
      </c>
      <c r="X2628" s="14" t="s">
        <v>4643</v>
      </c>
      <c r="Y2628" s="14" t="s">
        <v>215</v>
      </c>
      <c r="Z2628" s="14">
        <v>21391</v>
      </c>
      <c r="AA2628" s="14" t="s">
        <v>4644</v>
      </c>
      <c r="AB2628" s="14">
        <v>40001</v>
      </c>
      <c r="AE2628" s="14" t="s">
        <v>1400</v>
      </c>
      <c r="AF2628" s="14" t="s">
        <v>1400</v>
      </c>
      <c r="AG2628" s="14" t="s">
        <v>95</v>
      </c>
    </row>
    <row r="2629" spans="2:33">
      <c r="B2629" s="14">
        <f>10000000+INDEX(编号表!$B:$B,MATCH(H2629,编号表!$A:$A,0))*100000+INDEX(编号表!$F:$F,MATCH(D2629,编号表!$E:$E,0))*10000+INDEX(编号表!$D:$D,MATCH(AG2629,编号表!$C:$C,0))*1000+F2629</f>
        <v>11945090</v>
      </c>
      <c r="C2629" s="14" t="s">
        <v>4640</v>
      </c>
      <c r="D2629" s="14" t="s">
        <v>104</v>
      </c>
      <c r="E2629" s="14" t="s">
        <v>95</v>
      </c>
      <c r="F2629" s="14">
        <v>90</v>
      </c>
      <c r="G2629" s="14">
        <v>60</v>
      </c>
      <c r="H2629" s="14" t="s">
        <v>1400</v>
      </c>
      <c r="I2629" s="14" t="s">
        <v>75</v>
      </c>
      <c r="J2629" s="14" t="s">
        <v>201</v>
      </c>
      <c r="K2629" s="14">
        <v>1</v>
      </c>
      <c r="L2629" s="14" t="s">
        <v>1400</v>
      </c>
      <c r="N2629" s="14">
        <v>0</v>
      </c>
      <c r="O2629" s="14" t="b">
        <v>1</v>
      </c>
      <c r="Q2629" s="14" t="b">
        <v>0</v>
      </c>
      <c r="R2629" s="14">
        <v>1</v>
      </c>
      <c r="S2629" s="14" t="s">
        <v>77</v>
      </c>
      <c r="T2629" s="14">
        <v>999</v>
      </c>
      <c r="U2629" s="14" t="s">
        <v>1401</v>
      </c>
      <c r="V2629" s="14">
        <v>31945090</v>
      </c>
      <c r="X2629" s="14" t="s">
        <v>4645</v>
      </c>
      <c r="Y2629" s="14" t="s">
        <v>215</v>
      </c>
      <c r="Z2629" s="14">
        <v>21392</v>
      </c>
      <c r="AA2629" s="14" t="s">
        <v>4646</v>
      </c>
      <c r="AB2629" s="14">
        <v>40001</v>
      </c>
      <c r="AE2629" s="14" t="s">
        <v>1400</v>
      </c>
      <c r="AF2629" s="14" t="s">
        <v>1400</v>
      </c>
      <c r="AG2629" s="14" t="s">
        <v>95</v>
      </c>
    </row>
    <row r="2630" spans="2:33">
      <c r="B2630" s="14">
        <f>10000000+INDEX(编号表!$B:$B,MATCH(H2630,编号表!$A:$A,0))*100000+INDEX(编号表!$F:$F,MATCH(D2630,编号表!$E:$E,0))*10000+INDEX(编号表!$D:$D,MATCH(AG2630,编号表!$C:$C,0))*1000+F2630</f>
        <v>11925089</v>
      </c>
      <c r="C2630" s="14" t="s">
        <v>4647</v>
      </c>
      <c r="D2630" s="14" t="s">
        <v>112</v>
      </c>
      <c r="E2630" s="14" t="s">
        <v>95</v>
      </c>
      <c r="F2630" s="14">
        <v>89</v>
      </c>
      <c r="G2630" s="14">
        <v>60</v>
      </c>
      <c r="H2630" s="14" t="s">
        <v>1400</v>
      </c>
      <c r="I2630" s="14" t="s">
        <v>75</v>
      </c>
      <c r="J2630" s="14" t="s">
        <v>201</v>
      </c>
      <c r="K2630" s="14">
        <v>1</v>
      </c>
      <c r="L2630" s="14" t="s">
        <v>1400</v>
      </c>
      <c r="N2630" s="14">
        <v>0</v>
      </c>
      <c r="O2630" s="14" t="b">
        <v>1</v>
      </c>
      <c r="Q2630" s="14" t="b">
        <v>0</v>
      </c>
      <c r="R2630" s="14">
        <v>1</v>
      </c>
      <c r="S2630" s="14" t="s">
        <v>77</v>
      </c>
      <c r="T2630" s="14">
        <v>999</v>
      </c>
      <c r="U2630" s="14" t="s">
        <v>1401</v>
      </c>
      <c r="V2630" s="14">
        <v>31925089</v>
      </c>
      <c r="X2630" s="14" t="s">
        <v>4648</v>
      </c>
      <c r="Y2630" s="14" t="s">
        <v>215</v>
      </c>
      <c r="Z2630" s="14">
        <v>21393</v>
      </c>
      <c r="AA2630" s="14" t="s">
        <v>4649</v>
      </c>
      <c r="AB2630" s="14">
        <v>40001</v>
      </c>
      <c r="AE2630" s="14" t="s">
        <v>1400</v>
      </c>
      <c r="AF2630" s="14" t="s">
        <v>1400</v>
      </c>
      <c r="AG2630" s="14" t="s">
        <v>95</v>
      </c>
    </row>
    <row r="2631" spans="2:33">
      <c r="B2631" s="14">
        <f>10000000+INDEX(编号表!$B:$B,MATCH(H2631,编号表!$A:$A,0))*100000+INDEX(编号表!$F:$F,MATCH(D2631,编号表!$E:$E,0))*10000+INDEX(编号表!$D:$D,MATCH(AG2631,编号表!$C:$C,0))*1000+F2631</f>
        <v>11935090</v>
      </c>
      <c r="C2631" s="14" t="s">
        <v>4647</v>
      </c>
      <c r="D2631" s="14" t="s">
        <v>276</v>
      </c>
      <c r="E2631" s="14" t="s">
        <v>95</v>
      </c>
      <c r="F2631" s="14">
        <v>90</v>
      </c>
      <c r="G2631" s="14">
        <v>60</v>
      </c>
      <c r="H2631" s="14" t="s">
        <v>1400</v>
      </c>
      <c r="I2631" s="14" t="s">
        <v>75</v>
      </c>
      <c r="J2631" s="14" t="s">
        <v>201</v>
      </c>
      <c r="K2631" s="14">
        <v>1</v>
      </c>
      <c r="L2631" s="14" t="s">
        <v>1400</v>
      </c>
      <c r="N2631" s="14">
        <v>0</v>
      </c>
      <c r="O2631" s="14" t="b">
        <v>1</v>
      </c>
      <c r="Q2631" s="14" t="b">
        <v>0</v>
      </c>
      <c r="R2631" s="14">
        <v>1</v>
      </c>
      <c r="S2631" s="14" t="s">
        <v>77</v>
      </c>
      <c r="T2631" s="14">
        <v>999</v>
      </c>
      <c r="U2631" s="14" t="s">
        <v>1401</v>
      </c>
      <c r="V2631" s="14">
        <v>31935090</v>
      </c>
      <c r="X2631" s="14" t="s">
        <v>4650</v>
      </c>
      <c r="Y2631" s="14" t="s">
        <v>215</v>
      </c>
      <c r="Z2631" s="14">
        <v>21394</v>
      </c>
      <c r="AA2631" s="14" t="s">
        <v>4651</v>
      </c>
      <c r="AB2631" s="14">
        <v>40001</v>
      </c>
      <c r="AE2631" s="14" t="s">
        <v>1400</v>
      </c>
      <c r="AF2631" s="14" t="s">
        <v>1400</v>
      </c>
      <c r="AG2631" s="14" t="s">
        <v>95</v>
      </c>
    </row>
    <row r="2632" spans="2:33">
      <c r="B2632" s="14">
        <f>10000000+INDEX(编号表!$B:$B,MATCH(H2632,编号表!$A:$A,0))*100000+INDEX(编号表!$F:$F,MATCH(D2632,编号表!$E:$E,0))*10000+INDEX(编号表!$D:$D,MATCH(AG2632,编号表!$C:$C,0))*1000+F2632</f>
        <v>11945091</v>
      </c>
      <c r="C2632" s="14" t="s">
        <v>4647</v>
      </c>
      <c r="D2632" s="14" t="s">
        <v>104</v>
      </c>
      <c r="E2632" s="14" t="s">
        <v>95</v>
      </c>
      <c r="F2632" s="14">
        <v>91</v>
      </c>
      <c r="G2632" s="14">
        <v>60</v>
      </c>
      <c r="H2632" s="14" t="s">
        <v>1400</v>
      </c>
      <c r="I2632" s="14" t="s">
        <v>75</v>
      </c>
      <c r="J2632" s="14" t="s">
        <v>201</v>
      </c>
      <c r="K2632" s="14">
        <v>1</v>
      </c>
      <c r="L2632" s="14" t="s">
        <v>1400</v>
      </c>
      <c r="N2632" s="14">
        <v>0</v>
      </c>
      <c r="O2632" s="14" t="b">
        <v>1</v>
      </c>
      <c r="Q2632" s="14" t="b">
        <v>0</v>
      </c>
      <c r="R2632" s="14">
        <v>1</v>
      </c>
      <c r="S2632" s="14" t="s">
        <v>77</v>
      </c>
      <c r="T2632" s="14">
        <v>999</v>
      </c>
      <c r="U2632" s="14" t="s">
        <v>1401</v>
      </c>
      <c r="V2632" s="14">
        <v>31945091</v>
      </c>
      <c r="X2632" s="14" t="s">
        <v>4652</v>
      </c>
      <c r="Y2632" s="14" t="s">
        <v>215</v>
      </c>
      <c r="Z2632" s="14">
        <v>21395</v>
      </c>
      <c r="AA2632" s="14" t="s">
        <v>4653</v>
      </c>
      <c r="AB2632" s="14">
        <v>40001</v>
      </c>
      <c r="AE2632" s="14" t="s">
        <v>1400</v>
      </c>
      <c r="AF2632" s="14" t="s">
        <v>1400</v>
      </c>
      <c r="AG2632" s="14" t="s">
        <v>95</v>
      </c>
    </row>
    <row r="2633" spans="2:33">
      <c r="B2633" s="14">
        <f>10000000+INDEX(编号表!$B:$B,MATCH(H2633,编号表!$A:$A,0))*100000+INDEX(编号表!$F:$F,MATCH(D2633,编号表!$E:$E,0))*10000+INDEX(编号表!$D:$D,MATCH(AG2633,编号表!$C:$C,0))*1000+F2633</f>
        <v>11925090</v>
      </c>
      <c r="C2633" s="14" t="s">
        <v>4654</v>
      </c>
      <c r="D2633" s="14" t="s">
        <v>112</v>
      </c>
      <c r="E2633" s="14" t="s">
        <v>95</v>
      </c>
      <c r="F2633" s="14">
        <v>90</v>
      </c>
      <c r="G2633" s="14">
        <v>60</v>
      </c>
      <c r="H2633" s="14" t="s">
        <v>1400</v>
      </c>
      <c r="I2633" s="14" t="s">
        <v>75</v>
      </c>
      <c r="J2633" s="14" t="s">
        <v>201</v>
      </c>
      <c r="K2633" s="14">
        <v>1</v>
      </c>
      <c r="L2633" s="14" t="s">
        <v>1400</v>
      </c>
      <c r="N2633" s="14">
        <v>0</v>
      </c>
      <c r="O2633" s="14" t="b">
        <v>1</v>
      </c>
      <c r="Q2633" s="14" t="b">
        <v>0</v>
      </c>
      <c r="R2633" s="14">
        <v>1</v>
      </c>
      <c r="S2633" s="14" t="s">
        <v>77</v>
      </c>
      <c r="T2633" s="14">
        <v>999</v>
      </c>
      <c r="U2633" s="14" t="s">
        <v>1401</v>
      </c>
      <c r="V2633" s="14">
        <v>31925090</v>
      </c>
      <c r="X2633" s="14" t="s">
        <v>4655</v>
      </c>
      <c r="Y2633" s="14" t="s">
        <v>215</v>
      </c>
      <c r="Z2633" s="14">
        <v>21396</v>
      </c>
      <c r="AA2633" s="14" t="s">
        <v>4656</v>
      </c>
      <c r="AB2633" s="14">
        <v>40001</v>
      </c>
      <c r="AE2633" s="14" t="s">
        <v>1400</v>
      </c>
      <c r="AF2633" s="14" t="s">
        <v>1400</v>
      </c>
      <c r="AG2633" s="14" t="s">
        <v>95</v>
      </c>
    </row>
    <row r="2634" spans="2:33">
      <c r="B2634" s="14">
        <f>10000000+INDEX(编号表!$B:$B,MATCH(H2634,编号表!$A:$A,0))*100000+INDEX(编号表!$F:$F,MATCH(D2634,编号表!$E:$E,0))*10000+INDEX(编号表!$D:$D,MATCH(AG2634,编号表!$C:$C,0))*1000+F2634</f>
        <v>11935091</v>
      </c>
      <c r="C2634" s="14" t="s">
        <v>4654</v>
      </c>
      <c r="D2634" s="14" t="s">
        <v>276</v>
      </c>
      <c r="E2634" s="14" t="s">
        <v>95</v>
      </c>
      <c r="F2634" s="14">
        <v>91</v>
      </c>
      <c r="G2634" s="14">
        <v>60</v>
      </c>
      <c r="H2634" s="14" t="s">
        <v>1400</v>
      </c>
      <c r="I2634" s="14" t="s">
        <v>75</v>
      </c>
      <c r="J2634" s="14" t="s">
        <v>201</v>
      </c>
      <c r="K2634" s="14">
        <v>1</v>
      </c>
      <c r="L2634" s="14" t="s">
        <v>1400</v>
      </c>
      <c r="N2634" s="14">
        <v>0</v>
      </c>
      <c r="O2634" s="14" t="b">
        <v>1</v>
      </c>
      <c r="Q2634" s="14" t="b">
        <v>0</v>
      </c>
      <c r="R2634" s="14">
        <v>1</v>
      </c>
      <c r="S2634" s="14" t="s">
        <v>77</v>
      </c>
      <c r="T2634" s="14">
        <v>999</v>
      </c>
      <c r="U2634" s="14" t="s">
        <v>1401</v>
      </c>
      <c r="V2634" s="14">
        <v>31935091</v>
      </c>
      <c r="X2634" s="14" t="s">
        <v>4657</v>
      </c>
      <c r="Y2634" s="14" t="s">
        <v>215</v>
      </c>
      <c r="Z2634" s="14">
        <v>21397</v>
      </c>
      <c r="AA2634" s="14" t="s">
        <v>4658</v>
      </c>
      <c r="AB2634" s="14">
        <v>40001</v>
      </c>
      <c r="AE2634" s="14" t="s">
        <v>1400</v>
      </c>
      <c r="AF2634" s="14" t="s">
        <v>1400</v>
      </c>
      <c r="AG2634" s="14" t="s">
        <v>95</v>
      </c>
    </row>
    <row r="2635" spans="2:33">
      <c r="B2635" s="14">
        <f>10000000+INDEX(编号表!$B:$B,MATCH(H2635,编号表!$A:$A,0))*100000+INDEX(编号表!$F:$F,MATCH(D2635,编号表!$E:$E,0))*10000+INDEX(编号表!$D:$D,MATCH(AG2635,编号表!$C:$C,0))*1000+F2635</f>
        <v>11945092</v>
      </c>
      <c r="C2635" s="14" t="s">
        <v>4654</v>
      </c>
      <c r="D2635" s="14" t="s">
        <v>104</v>
      </c>
      <c r="E2635" s="14" t="s">
        <v>95</v>
      </c>
      <c r="F2635" s="14">
        <v>92</v>
      </c>
      <c r="G2635" s="14">
        <v>60</v>
      </c>
      <c r="H2635" s="14" t="s">
        <v>1400</v>
      </c>
      <c r="I2635" s="14" t="s">
        <v>75</v>
      </c>
      <c r="J2635" s="14" t="s">
        <v>201</v>
      </c>
      <c r="K2635" s="14">
        <v>1</v>
      </c>
      <c r="L2635" s="14" t="s">
        <v>1400</v>
      </c>
      <c r="N2635" s="14">
        <v>0</v>
      </c>
      <c r="O2635" s="14" t="b">
        <v>1</v>
      </c>
      <c r="Q2635" s="14" t="b">
        <v>0</v>
      </c>
      <c r="R2635" s="14">
        <v>1</v>
      </c>
      <c r="S2635" s="14" t="s">
        <v>77</v>
      </c>
      <c r="T2635" s="14">
        <v>999</v>
      </c>
      <c r="U2635" s="14" t="s">
        <v>1401</v>
      </c>
      <c r="V2635" s="14">
        <v>31945092</v>
      </c>
      <c r="X2635" s="14" t="s">
        <v>4659</v>
      </c>
      <c r="Y2635" s="14" t="s">
        <v>215</v>
      </c>
      <c r="Z2635" s="14">
        <v>21398</v>
      </c>
      <c r="AA2635" s="14" t="s">
        <v>4660</v>
      </c>
      <c r="AB2635" s="14">
        <v>40001</v>
      </c>
      <c r="AE2635" s="14" t="s">
        <v>1400</v>
      </c>
      <c r="AF2635" s="14" t="s">
        <v>1400</v>
      </c>
      <c r="AG2635" s="14" t="s">
        <v>95</v>
      </c>
    </row>
    <row r="2636" spans="2:33">
      <c r="B2636" s="14">
        <f>10000000+INDEX(编号表!$B:$B,MATCH(H2636,编号表!$A:$A,0))*100000+INDEX(编号表!$F:$F,MATCH(D2636,编号表!$E:$E,0))*10000+INDEX(编号表!$D:$D,MATCH(AG2636,编号表!$C:$C,0))*1000+F2636</f>
        <v>11925091</v>
      </c>
      <c r="C2636" s="14" t="s">
        <v>4661</v>
      </c>
      <c r="D2636" s="14" t="s">
        <v>112</v>
      </c>
      <c r="E2636" s="14" t="s">
        <v>95</v>
      </c>
      <c r="F2636" s="14">
        <v>91</v>
      </c>
      <c r="G2636" s="14">
        <v>60</v>
      </c>
      <c r="H2636" s="14" t="s">
        <v>1400</v>
      </c>
      <c r="I2636" s="14" t="s">
        <v>75</v>
      </c>
      <c r="J2636" s="14" t="s">
        <v>201</v>
      </c>
      <c r="K2636" s="14">
        <v>1</v>
      </c>
      <c r="L2636" s="14" t="s">
        <v>1400</v>
      </c>
      <c r="N2636" s="14">
        <v>0</v>
      </c>
      <c r="O2636" s="14" t="b">
        <v>1</v>
      </c>
      <c r="Q2636" s="14" t="b">
        <v>0</v>
      </c>
      <c r="R2636" s="14">
        <v>1</v>
      </c>
      <c r="S2636" s="14" t="s">
        <v>77</v>
      </c>
      <c r="T2636" s="14">
        <v>999</v>
      </c>
      <c r="U2636" s="14" t="s">
        <v>1401</v>
      </c>
      <c r="V2636" s="14">
        <v>31925091</v>
      </c>
      <c r="X2636" s="14" t="s">
        <v>4662</v>
      </c>
      <c r="Y2636" s="14" t="s">
        <v>215</v>
      </c>
      <c r="Z2636" s="14">
        <v>21399</v>
      </c>
      <c r="AA2636" s="14" t="s">
        <v>4663</v>
      </c>
      <c r="AB2636" s="14">
        <v>40001</v>
      </c>
      <c r="AE2636" s="14" t="s">
        <v>1400</v>
      </c>
      <c r="AF2636" s="14" t="s">
        <v>1400</v>
      </c>
      <c r="AG2636" s="14" t="s">
        <v>95</v>
      </c>
    </row>
    <row r="2637" spans="2:33">
      <c r="B2637" s="14">
        <f>10000000+INDEX(编号表!$B:$B,MATCH(H2637,编号表!$A:$A,0))*100000+INDEX(编号表!$F:$F,MATCH(D2637,编号表!$E:$E,0))*10000+INDEX(编号表!$D:$D,MATCH(AG2637,编号表!$C:$C,0))*1000+F2637</f>
        <v>11935092</v>
      </c>
      <c r="C2637" s="14" t="s">
        <v>4661</v>
      </c>
      <c r="D2637" s="14" t="s">
        <v>276</v>
      </c>
      <c r="E2637" s="14" t="s">
        <v>95</v>
      </c>
      <c r="F2637" s="14">
        <v>92</v>
      </c>
      <c r="G2637" s="14">
        <v>60</v>
      </c>
      <c r="H2637" s="14" t="s">
        <v>1400</v>
      </c>
      <c r="I2637" s="14" t="s">
        <v>75</v>
      </c>
      <c r="J2637" s="14" t="s">
        <v>201</v>
      </c>
      <c r="K2637" s="14">
        <v>1</v>
      </c>
      <c r="L2637" s="14" t="s">
        <v>1400</v>
      </c>
      <c r="N2637" s="14">
        <v>0</v>
      </c>
      <c r="O2637" s="14" t="b">
        <v>1</v>
      </c>
      <c r="Q2637" s="14" t="b">
        <v>0</v>
      </c>
      <c r="R2637" s="14">
        <v>1</v>
      </c>
      <c r="S2637" s="14" t="s">
        <v>77</v>
      </c>
      <c r="T2637" s="14">
        <v>999</v>
      </c>
      <c r="U2637" s="14" t="s">
        <v>1401</v>
      </c>
      <c r="V2637" s="14">
        <v>31935092</v>
      </c>
      <c r="X2637" s="14" t="s">
        <v>4664</v>
      </c>
      <c r="Y2637" s="14" t="s">
        <v>215</v>
      </c>
      <c r="Z2637" s="14">
        <v>21400</v>
      </c>
      <c r="AA2637" s="14" t="s">
        <v>4665</v>
      </c>
      <c r="AB2637" s="14">
        <v>40001</v>
      </c>
      <c r="AE2637" s="14" t="s">
        <v>1400</v>
      </c>
      <c r="AF2637" s="14" t="s">
        <v>1400</v>
      </c>
      <c r="AG2637" s="14" t="s">
        <v>95</v>
      </c>
    </row>
    <row r="2638" spans="2:33">
      <c r="B2638" s="14">
        <f>10000000+INDEX(编号表!$B:$B,MATCH(H2638,编号表!$A:$A,0))*100000+INDEX(编号表!$F:$F,MATCH(D2638,编号表!$E:$E,0))*10000+INDEX(编号表!$D:$D,MATCH(AG2638,编号表!$C:$C,0))*1000+F2638</f>
        <v>11945093</v>
      </c>
      <c r="C2638" s="14" t="s">
        <v>4661</v>
      </c>
      <c r="D2638" s="14" t="s">
        <v>104</v>
      </c>
      <c r="E2638" s="14" t="s">
        <v>95</v>
      </c>
      <c r="F2638" s="14">
        <v>93</v>
      </c>
      <c r="G2638" s="14">
        <v>60</v>
      </c>
      <c r="H2638" s="14" t="s">
        <v>1400</v>
      </c>
      <c r="I2638" s="14" t="s">
        <v>75</v>
      </c>
      <c r="J2638" s="14" t="s">
        <v>201</v>
      </c>
      <c r="K2638" s="14">
        <v>1</v>
      </c>
      <c r="L2638" s="14" t="s">
        <v>1400</v>
      </c>
      <c r="N2638" s="14">
        <v>0</v>
      </c>
      <c r="O2638" s="14" t="b">
        <v>1</v>
      </c>
      <c r="Q2638" s="14" t="b">
        <v>0</v>
      </c>
      <c r="R2638" s="14">
        <v>1</v>
      </c>
      <c r="S2638" s="14" t="s">
        <v>77</v>
      </c>
      <c r="T2638" s="14">
        <v>999</v>
      </c>
      <c r="U2638" s="14" t="s">
        <v>1401</v>
      </c>
      <c r="V2638" s="14">
        <v>31945093</v>
      </c>
      <c r="X2638" s="14" t="s">
        <v>4666</v>
      </c>
      <c r="Y2638" s="14" t="s">
        <v>215</v>
      </c>
      <c r="Z2638" s="14">
        <v>21401</v>
      </c>
      <c r="AA2638" s="14" t="s">
        <v>4667</v>
      </c>
      <c r="AB2638" s="14">
        <v>40001</v>
      </c>
      <c r="AE2638" s="14" t="s">
        <v>1400</v>
      </c>
      <c r="AF2638" s="14" t="s">
        <v>1400</v>
      </c>
      <c r="AG2638" s="14" t="s">
        <v>95</v>
      </c>
    </row>
    <row r="2639" spans="2:33">
      <c r="B2639" s="14">
        <f>10000000+INDEX(编号表!$B:$B,MATCH(H2639,编号表!$A:$A,0))*100000+INDEX(编号表!$F:$F,MATCH(D2639,编号表!$E:$E,0))*10000+INDEX(编号表!$D:$D,MATCH(AG2639,编号表!$C:$C,0))*1000+F2639</f>
        <v>11925092</v>
      </c>
      <c r="C2639" s="14" t="s">
        <v>4668</v>
      </c>
      <c r="D2639" s="14" t="s">
        <v>112</v>
      </c>
      <c r="E2639" s="14" t="s">
        <v>95</v>
      </c>
      <c r="F2639" s="14">
        <v>92</v>
      </c>
      <c r="G2639" s="14">
        <v>60</v>
      </c>
      <c r="H2639" s="14" t="s">
        <v>1400</v>
      </c>
      <c r="I2639" s="14" t="s">
        <v>75</v>
      </c>
      <c r="J2639" s="14" t="s">
        <v>201</v>
      </c>
      <c r="K2639" s="14">
        <v>1</v>
      </c>
      <c r="L2639" s="14" t="s">
        <v>1400</v>
      </c>
      <c r="N2639" s="14">
        <v>0</v>
      </c>
      <c r="O2639" s="14" t="b">
        <v>1</v>
      </c>
      <c r="Q2639" s="14" t="b">
        <v>0</v>
      </c>
      <c r="R2639" s="14">
        <v>1</v>
      </c>
      <c r="S2639" s="14" t="s">
        <v>77</v>
      </c>
      <c r="T2639" s="14">
        <v>999</v>
      </c>
      <c r="U2639" s="14" t="s">
        <v>1401</v>
      </c>
      <c r="V2639" s="14">
        <v>31925092</v>
      </c>
      <c r="X2639" s="14" t="s">
        <v>4669</v>
      </c>
      <c r="Y2639" s="14" t="s">
        <v>215</v>
      </c>
      <c r="Z2639" s="14">
        <v>21402</v>
      </c>
      <c r="AA2639" s="14" t="s">
        <v>4670</v>
      </c>
      <c r="AB2639" s="14">
        <v>40001</v>
      </c>
      <c r="AE2639" s="14" t="s">
        <v>1400</v>
      </c>
      <c r="AF2639" s="14" t="s">
        <v>1400</v>
      </c>
      <c r="AG2639" s="14" t="s">
        <v>95</v>
      </c>
    </row>
    <row r="2640" spans="2:33">
      <c r="B2640" s="14">
        <f>10000000+INDEX(编号表!$B:$B,MATCH(H2640,编号表!$A:$A,0))*100000+INDEX(编号表!$F:$F,MATCH(D2640,编号表!$E:$E,0))*10000+INDEX(编号表!$D:$D,MATCH(AG2640,编号表!$C:$C,0))*1000+F2640</f>
        <v>11935093</v>
      </c>
      <c r="C2640" s="14" t="s">
        <v>4668</v>
      </c>
      <c r="D2640" s="14" t="s">
        <v>276</v>
      </c>
      <c r="E2640" s="14" t="s">
        <v>95</v>
      </c>
      <c r="F2640" s="14">
        <v>93</v>
      </c>
      <c r="G2640" s="14">
        <v>60</v>
      </c>
      <c r="H2640" s="14" t="s">
        <v>1400</v>
      </c>
      <c r="I2640" s="14" t="s">
        <v>75</v>
      </c>
      <c r="J2640" s="14" t="s">
        <v>201</v>
      </c>
      <c r="K2640" s="14">
        <v>1</v>
      </c>
      <c r="L2640" s="14" t="s">
        <v>1400</v>
      </c>
      <c r="N2640" s="14">
        <v>0</v>
      </c>
      <c r="O2640" s="14" t="b">
        <v>1</v>
      </c>
      <c r="Q2640" s="14" t="b">
        <v>0</v>
      </c>
      <c r="R2640" s="14">
        <v>1</v>
      </c>
      <c r="S2640" s="14" t="s">
        <v>77</v>
      </c>
      <c r="T2640" s="14">
        <v>999</v>
      </c>
      <c r="U2640" s="14" t="s">
        <v>1401</v>
      </c>
      <c r="V2640" s="14">
        <v>31935093</v>
      </c>
      <c r="X2640" s="14" t="s">
        <v>4671</v>
      </c>
      <c r="Y2640" s="14" t="s">
        <v>215</v>
      </c>
      <c r="Z2640" s="14">
        <v>21403</v>
      </c>
      <c r="AA2640" s="14" t="s">
        <v>4672</v>
      </c>
      <c r="AB2640" s="14">
        <v>40001</v>
      </c>
      <c r="AE2640" s="14" t="s">
        <v>1400</v>
      </c>
      <c r="AF2640" s="14" t="s">
        <v>1400</v>
      </c>
      <c r="AG2640" s="14" t="s">
        <v>95</v>
      </c>
    </row>
    <row r="2641" spans="2:33">
      <c r="B2641" s="14">
        <f>10000000+INDEX(编号表!$B:$B,MATCH(H2641,编号表!$A:$A,0))*100000+INDEX(编号表!$F:$F,MATCH(D2641,编号表!$E:$E,0))*10000+INDEX(编号表!$D:$D,MATCH(AG2641,编号表!$C:$C,0))*1000+F2641</f>
        <v>11945094</v>
      </c>
      <c r="C2641" s="14" t="s">
        <v>4668</v>
      </c>
      <c r="D2641" s="14" t="s">
        <v>104</v>
      </c>
      <c r="E2641" s="14" t="s">
        <v>95</v>
      </c>
      <c r="F2641" s="14">
        <v>94</v>
      </c>
      <c r="G2641" s="14">
        <v>60</v>
      </c>
      <c r="H2641" s="14" t="s">
        <v>1400</v>
      </c>
      <c r="I2641" s="14" t="s">
        <v>75</v>
      </c>
      <c r="J2641" s="14" t="s">
        <v>201</v>
      </c>
      <c r="K2641" s="14">
        <v>1</v>
      </c>
      <c r="L2641" s="14" t="s">
        <v>1400</v>
      </c>
      <c r="N2641" s="14">
        <v>0</v>
      </c>
      <c r="O2641" s="14" t="b">
        <v>1</v>
      </c>
      <c r="Q2641" s="14" t="b">
        <v>0</v>
      </c>
      <c r="R2641" s="14">
        <v>1</v>
      </c>
      <c r="S2641" s="14" t="s">
        <v>77</v>
      </c>
      <c r="T2641" s="14">
        <v>999</v>
      </c>
      <c r="U2641" s="14" t="s">
        <v>1401</v>
      </c>
      <c r="V2641" s="14">
        <v>31945094</v>
      </c>
      <c r="X2641" s="14" t="s">
        <v>4673</v>
      </c>
      <c r="Y2641" s="14" t="s">
        <v>215</v>
      </c>
      <c r="Z2641" s="14">
        <v>21404</v>
      </c>
      <c r="AA2641" s="14" t="s">
        <v>4674</v>
      </c>
      <c r="AB2641" s="14">
        <v>40001</v>
      </c>
      <c r="AE2641" s="14" t="s">
        <v>1400</v>
      </c>
      <c r="AF2641" s="14" t="s">
        <v>1400</v>
      </c>
      <c r="AG2641" s="14" t="s">
        <v>95</v>
      </c>
    </row>
    <row r="2642" spans="2:33">
      <c r="B2642" s="14">
        <f>10000000+INDEX(编号表!$B:$B,MATCH(H2642,编号表!$A:$A,0))*100000+INDEX(编号表!$F:$F,MATCH(D2642,编号表!$E:$E,0))*10000+INDEX(编号表!$D:$D,MATCH(AG2642,编号表!$C:$C,0))*1000+F2642</f>
        <v>11925093</v>
      </c>
      <c r="C2642" s="14" t="s">
        <v>4675</v>
      </c>
      <c r="D2642" s="14" t="s">
        <v>112</v>
      </c>
      <c r="E2642" s="14" t="s">
        <v>95</v>
      </c>
      <c r="F2642" s="14">
        <v>93</v>
      </c>
      <c r="G2642" s="14">
        <v>60</v>
      </c>
      <c r="H2642" s="14" t="s">
        <v>1400</v>
      </c>
      <c r="I2642" s="14" t="s">
        <v>75</v>
      </c>
      <c r="J2642" s="14" t="s">
        <v>201</v>
      </c>
      <c r="K2642" s="14">
        <v>1</v>
      </c>
      <c r="L2642" s="14" t="s">
        <v>1400</v>
      </c>
      <c r="N2642" s="14">
        <v>0</v>
      </c>
      <c r="O2642" s="14" t="b">
        <v>1</v>
      </c>
      <c r="Q2642" s="14" t="b">
        <v>0</v>
      </c>
      <c r="R2642" s="14">
        <v>1</v>
      </c>
      <c r="S2642" s="14" t="s">
        <v>77</v>
      </c>
      <c r="T2642" s="14">
        <v>999</v>
      </c>
      <c r="U2642" s="14" t="s">
        <v>1401</v>
      </c>
      <c r="V2642" s="14">
        <v>31925093</v>
      </c>
      <c r="X2642" s="14" t="s">
        <v>4676</v>
      </c>
      <c r="Y2642" s="14" t="s">
        <v>215</v>
      </c>
      <c r="Z2642" s="14">
        <v>21405</v>
      </c>
      <c r="AA2642" s="14" t="s">
        <v>4677</v>
      </c>
      <c r="AB2642" s="14">
        <v>40001</v>
      </c>
      <c r="AE2642" s="14" t="s">
        <v>1400</v>
      </c>
      <c r="AF2642" s="14" t="s">
        <v>1400</v>
      </c>
      <c r="AG2642" s="14" t="s">
        <v>95</v>
      </c>
    </row>
    <row r="2643" spans="2:33">
      <c r="B2643" s="14">
        <f>10000000+INDEX(编号表!$B:$B,MATCH(H2643,编号表!$A:$A,0))*100000+INDEX(编号表!$F:$F,MATCH(D2643,编号表!$E:$E,0))*10000+INDEX(编号表!$D:$D,MATCH(AG2643,编号表!$C:$C,0))*1000+F2643</f>
        <v>11935094</v>
      </c>
      <c r="C2643" s="14" t="s">
        <v>4675</v>
      </c>
      <c r="D2643" s="14" t="s">
        <v>276</v>
      </c>
      <c r="E2643" s="14" t="s">
        <v>95</v>
      </c>
      <c r="F2643" s="14">
        <v>94</v>
      </c>
      <c r="G2643" s="14">
        <v>60</v>
      </c>
      <c r="H2643" s="14" t="s">
        <v>1400</v>
      </c>
      <c r="I2643" s="14" t="s">
        <v>75</v>
      </c>
      <c r="J2643" s="14" t="s">
        <v>201</v>
      </c>
      <c r="K2643" s="14">
        <v>1</v>
      </c>
      <c r="L2643" s="14" t="s">
        <v>1400</v>
      </c>
      <c r="N2643" s="14">
        <v>0</v>
      </c>
      <c r="O2643" s="14" t="b">
        <v>1</v>
      </c>
      <c r="Q2643" s="14" t="b">
        <v>0</v>
      </c>
      <c r="R2643" s="14">
        <v>1</v>
      </c>
      <c r="S2643" s="14" t="s">
        <v>77</v>
      </c>
      <c r="T2643" s="14">
        <v>999</v>
      </c>
      <c r="U2643" s="14" t="s">
        <v>1401</v>
      </c>
      <c r="V2643" s="14">
        <v>31935094</v>
      </c>
      <c r="X2643" s="14" t="s">
        <v>4678</v>
      </c>
      <c r="Y2643" s="14" t="s">
        <v>215</v>
      </c>
      <c r="Z2643" s="14">
        <v>21406</v>
      </c>
      <c r="AA2643" s="14" t="s">
        <v>4679</v>
      </c>
      <c r="AB2643" s="14">
        <v>40001</v>
      </c>
      <c r="AE2643" s="14" t="s">
        <v>1400</v>
      </c>
      <c r="AF2643" s="14" t="s">
        <v>1400</v>
      </c>
      <c r="AG2643" s="14" t="s">
        <v>95</v>
      </c>
    </row>
    <row r="2644" spans="2:33">
      <c r="B2644" s="14">
        <f>10000000+INDEX(编号表!$B:$B,MATCH(H2644,编号表!$A:$A,0))*100000+INDEX(编号表!$F:$F,MATCH(D2644,编号表!$E:$E,0))*10000+INDEX(编号表!$D:$D,MATCH(AG2644,编号表!$C:$C,0))*1000+F2644</f>
        <v>11945095</v>
      </c>
      <c r="C2644" s="14" t="s">
        <v>4675</v>
      </c>
      <c r="D2644" s="14" t="s">
        <v>104</v>
      </c>
      <c r="E2644" s="14" t="s">
        <v>95</v>
      </c>
      <c r="F2644" s="14">
        <v>95</v>
      </c>
      <c r="G2644" s="14">
        <v>60</v>
      </c>
      <c r="H2644" s="14" t="s">
        <v>1400</v>
      </c>
      <c r="I2644" s="14" t="s">
        <v>75</v>
      </c>
      <c r="J2644" s="14" t="s">
        <v>201</v>
      </c>
      <c r="K2644" s="14">
        <v>1</v>
      </c>
      <c r="L2644" s="14" t="s">
        <v>1400</v>
      </c>
      <c r="N2644" s="14">
        <v>0</v>
      </c>
      <c r="O2644" s="14" t="b">
        <v>1</v>
      </c>
      <c r="Q2644" s="14" t="b">
        <v>0</v>
      </c>
      <c r="R2644" s="14">
        <v>1</v>
      </c>
      <c r="S2644" s="14" t="s">
        <v>77</v>
      </c>
      <c r="T2644" s="14">
        <v>999</v>
      </c>
      <c r="U2644" s="14" t="s">
        <v>1401</v>
      </c>
      <c r="V2644" s="14">
        <v>31945095</v>
      </c>
      <c r="X2644" s="14" t="s">
        <v>4680</v>
      </c>
      <c r="Y2644" s="14" t="s">
        <v>215</v>
      </c>
      <c r="Z2644" s="14">
        <v>21407</v>
      </c>
      <c r="AA2644" s="14" t="s">
        <v>4681</v>
      </c>
      <c r="AB2644" s="14">
        <v>40001</v>
      </c>
      <c r="AE2644" s="14" t="s">
        <v>1400</v>
      </c>
      <c r="AF2644" s="14" t="s">
        <v>1400</v>
      </c>
      <c r="AG2644" s="14" t="s">
        <v>95</v>
      </c>
    </row>
    <row r="2645" spans="2:33">
      <c r="B2645" s="14">
        <f>10000000+INDEX(编号表!$B:$B,MATCH(H2645,编号表!$A:$A,0))*100000+INDEX(编号表!$F:$F,MATCH(D2645,编号表!$E:$E,0))*10000+INDEX(编号表!$D:$D,MATCH(AG2645,编号表!$C:$C,0))*1000+F2645</f>
        <v>11925094</v>
      </c>
      <c r="C2645" s="14" t="s">
        <v>4682</v>
      </c>
      <c r="D2645" s="14" t="s">
        <v>112</v>
      </c>
      <c r="E2645" s="14" t="s">
        <v>95</v>
      </c>
      <c r="F2645" s="14">
        <v>94</v>
      </c>
      <c r="G2645" s="14">
        <v>60</v>
      </c>
      <c r="H2645" s="14" t="s">
        <v>1400</v>
      </c>
      <c r="I2645" s="14" t="s">
        <v>75</v>
      </c>
      <c r="J2645" s="14" t="s">
        <v>201</v>
      </c>
      <c r="K2645" s="14">
        <v>1</v>
      </c>
      <c r="L2645" s="14" t="s">
        <v>1400</v>
      </c>
      <c r="N2645" s="14">
        <v>0</v>
      </c>
      <c r="O2645" s="14" t="b">
        <v>1</v>
      </c>
      <c r="Q2645" s="14" t="b">
        <v>0</v>
      </c>
      <c r="R2645" s="14">
        <v>1</v>
      </c>
      <c r="S2645" s="14" t="s">
        <v>77</v>
      </c>
      <c r="T2645" s="14">
        <v>999</v>
      </c>
      <c r="U2645" s="14" t="s">
        <v>1401</v>
      </c>
      <c r="V2645" s="14">
        <v>31925094</v>
      </c>
      <c r="X2645" s="14" t="s">
        <v>4683</v>
      </c>
      <c r="Y2645" s="14" t="s">
        <v>215</v>
      </c>
      <c r="Z2645" s="14">
        <v>21408</v>
      </c>
      <c r="AA2645" s="14" t="s">
        <v>4684</v>
      </c>
      <c r="AB2645" s="14">
        <v>40001</v>
      </c>
      <c r="AE2645" s="14" t="s">
        <v>1400</v>
      </c>
      <c r="AF2645" s="14" t="s">
        <v>1400</v>
      </c>
      <c r="AG2645" s="14" t="s">
        <v>95</v>
      </c>
    </row>
    <row r="2646" spans="2:33">
      <c r="B2646" s="14">
        <f>10000000+INDEX(编号表!$B:$B,MATCH(H2646,编号表!$A:$A,0))*100000+INDEX(编号表!$F:$F,MATCH(D2646,编号表!$E:$E,0))*10000+INDEX(编号表!$D:$D,MATCH(AG2646,编号表!$C:$C,0))*1000+F2646</f>
        <v>11935095</v>
      </c>
      <c r="C2646" s="14" t="s">
        <v>4682</v>
      </c>
      <c r="D2646" s="14" t="s">
        <v>276</v>
      </c>
      <c r="E2646" s="14" t="s">
        <v>95</v>
      </c>
      <c r="F2646" s="14">
        <v>95</v>
      </c>
      <c r="G2646" s="14">
        <v>60</v>
      </c>
      <c r="H2646" s="14" t="s">
        <v>1400</v>
      </c>
      <c r="I2646" s="14" t="s">
        <v>75</v>
      </c>
      <c r="J2646" s="14" t="s">
        <v>201</v>
      </c>
      <c r="K2646" s="14">
        <v>1</v>
      </c>
      <c r="L2646" s="14" t="s">
        <v>1400</v>
      </c>
      <c r="N2646" s="14">
        <v>0</v>
      </c>
      <c r="O2646" s="14" t="b">
        <v>1</v>
      </c>
      <c r="Q2646" s="14" t="b">
        <v>0</v>
      </c>
      <c r="R2646" s="14">
        <v>1</v>
      </c>
      <c r="S2646" s="14" t="s">
        <v>77</v>
      </c>
      <c r="T2646" s="14">
        <v>999</v>
      </c>
      <c r="U2646" s="14" t="s">
        <v>1401</v>
      </c>
      <c r="V2646" s="14">
        <v>31935095</v>
      </c>
      <c r="X2646" s="14" t="s">
        <v>4685</v>
      </c>
      <c r="Y2646" s="14" t="s">
        <v>215</v>
      </c>
      <c r="Z2646" s="14">
        <v>21409</v>
      </c>
      <c r="AA2646" s="14" t="s">
        <v>4686</v>
      </c>
      <c r="AB2646" s="14">
        <v>40001</v>
      </c>
      <c r="AE2646" s="14" t="s">
        <v>1400</v>
      </c>
      <c r="AF2646" s="14" t="s">
        <v>1400</v>
      </c>
      <c r="AG2646" s="14" t="s">
        <v>95</v>
      </c>
    </row>
    <row r="2647" spans="2:33">
      <c r="B2647" s="14">
        <f>10000000+INDEX(编号表!$B:$B,MATCH(H2647,编号表!$A:$A,0))*100000+INDEX(编号表!$F:$F,MATCH(D2647,编号表!$E:$E,0))*10000+INDEX(编号表!$D:$D,MATCH(AG2647,编号表!$C:$C,0))*1000+F2647</f>
        <v>11945096</v>
      </c>
      <c r="C2647" s="14" t="s">
        <v>4682</v>
      </c>
      <c r="D2647" s="14" t="s">
        <v>104</v>
      </c>
      <c r="E2647" s="14" t="s">
        <v>95</v>
      </c>
      <c r="F2647" s="14">
        <v>96</v>
      </c>
      <c r="G2647" s="14">
        <v>60</v>
      </c>
      <c r="H2647" s="14" t="s">
        <v>1400</v>
      </c>
      <c r="I2647" s="14" t="s">
        <v>75</v>
      </c>
      <c r="J2647" s="14" t="s">
        <v>201</v>
      </c>
      <c r="K2647" s="14">
        <v>1</v>
      </c>
      <c r="L2647" s="14" t="s">
        <v>1400</v>
      </c>
      <c r="N2647" s="14">
        <v>0</v>
      </c>
      <c r="O2647" s="14" t="b">
        <v>1</v>
      </c>
      <c r="Q2647" s="14" t="b">
        <v>0</v>
      </c>
      <c r="R2647" s="14">
        <v>1</v>
      </c>
      <c r="S2647" s="14" t="s">
        <v>77</v>
      </c>
      <c r="T2647" s="14">
        <v>999</v>
      </c>
      <c r="U2647" s="14" t="s">
        <v>1401</v>
      </c>
      <c r="V2647" s="14">
        <v>31945096</v>
      </c>
      <c r="X2647" s="14" t="s">
        <v>4687</v>
      </c>
      <c r="Y2647" s="14" t="s">
        <v>215</v>
      </c>
      <c r="Z2647" s="14">
        <v>21410</v>
      </c>
      <c r="AA2647" s="14" t="s">
        <v>4688</v>
      </c>
      <c r="AB2647" s="14">
        <v>40001</v>
      </c>
      <c r="AE2647" s="14" t="s">
        <v>1400</v>
      </c>
      <c r="AF2647" s="14" t="s">
        <v>1400</v>
      </c>
      <c r="AG2647" s="14" t="s">
        <v>95</v>
      </c>
    </row>
    <row r="2648" spans="2:33">
      <c r="B2648" s="14">
        <f>10000000+INDEX(编号表!$B:$B,MATCH(H2648,编号表!$A:$A,0))*100000+INDEX(编号表!$F:$F,MATCH(D2648,编号表!$E:$E,0))*10000+INDEX(编号表!$D:$D,MATCH(AG2648,编号表!$C:$C,0))*1000+F2648</f>
        <v>11925095</v>
      </c>
      <c r="C2648" s="14" t="s">
        <v>4689</v>
      </c>
      <c r="D2648" s="14" t="s">
        <v>112</v>
      </c>
      <c r="E2648" s="14" t="s">
        <v>95</v>
      </c>
      <c r="F2648" s="14">
        <v>95</v>
      </c>
      <c r="G2648" s="14">
        <v>60</v>
      </c>
      <c r="H2648" s="14" t="s">
        <v>1400</v>
      </c>
      <c r="I2648" s="14" t="s">
        <v>75</v>
      </c>
      <c r="J2648" s="14" t="s">
        <v>201</v>
      </c>
      <c r="K2648" s="14">
        <v>1</v>
      </c>
      <c r="L2648" s="14" t="s">
        <v>1400</v>
      </c>
      <c r="N2648" s="14">
        <v>0</v>
      </c>
      <c r="O2648" s="14" t="b">
        <v>1</v>
      </c>
      <c r="Q2648" s="14" t="b">
        <v>0</v>
      </c>
      <c r="R2648" s="14">
        <v>1</v>
      </c>
      <c r="S2648" s="14" t="s">
        <v>77</v>
      </c>
      <c r="T2648" s="14">
        <v>999</v>
      </c>
      <c r="U2648" s="14" t="s">
        <v>1401</v>
      </c>
      <c r="V2648" s="14">
        <v>31925095</v>
      </c>
      <c r="X2648" s="14" t="s">
        <v>4690</v>
      </c>
      <c r="Y2648" s="14" t="s">
        <v>215</v>
      </c>
      <c r="Z2648" s="14">
        <v>21411</v>
      </c>
      <c r="AA2648" s="14" t="s">
        <v>4691</v>
      </c>
      <c r="AB2648" s="14">
        <v>40001</v>
      </c>
      <c r="AE2648" s="14" t="s">
        <v>1400</v>
      </c>
      <c r="AF2648" s="14" t="s">
        <v>1400</v>
      </c>
      <c r="AG2648" s="14" t="s">
        <v>95</v>
      </c>
    </row>
    <row r="2649" spans="2:33">
      <c r="B2649" s="14">
        <f>10000000+INDEX(编号表!$B:$B,MATCH(H2649,编号表!$A:$A,0))*100000+INDEX(编号表!$F:$F,MATCH(D2649,编号表!$E:$E,0))*10000+INDEX(编号表!$D:$D,MATCH(AG2649,编号表!$C:$C,0))*1000+F2649</f>
        <v>11935096</v>
      </c>
      <c r="C2649" s="14" t="s">
        <v>4689</v>
      </c>
      <c r="D2649" s="14" t="s">
        <v>276</v>
      </c>
      <c r="E2649" s="14" t="s">
        <v>95</v>
      </c>
      <c r="F2649" s="14">
        <v>96</v>
      </c>
      <c r="G2649" s="14">
        <v>60</v>
      </c>
      <c r="H2649" s="14" t="s">
        <v>1400</v>
      </c>
      <c r="I2649" s="14" t="s">
        <v>75</v>
      </c>
      <c r="J2649" s="14" t="s">
        <v>201</v>
      </c>
      <c r="K2649" s="14">
        <v>1</v>
      </c>
      <c r="L2649" s="14" t="s">
        <v>1400</v>
      </c>
      <c r="N2649" s="14">
        <v>0</v>
      </c>
      <c r="O2649" s="14" t="b">
        <v>1</v>
      </c>
      <c r="Q2649" s="14" t="b">
        <v>0</v>
      </c>
      <c r="R2649" s="14">
        <v>1</v>
      </c>
      <c r="S2649" s="14" t="s">
        <v>77</v>
      </c>
      <c r="T2649" s="14">
        <v>999</v>
      </c>
      <c r="U2649" s="14" t="s">
        <v>1401</v>
      </c>
      <c r="V2649" s="14">
        <v>31935096</v>
      </c>
      <c r="X2649" s="14" t="s">
        <v>4692</v>
      </c>
      <c r="Y2649" s="14" t="s">
        <v>215</v>
      </c>
      <c r="Z2649" s="14">
        <v>21412</v>
      </c>
      <c r="AA2649" s="14" t="s">
        <v>4693</v>
      </c>
      <c r="AB2649" s="14">
        <v>40001</v>
      </c>
      <c r="AE2649" s="14" t="s">
        <v>1400</v>
      </c>
      <c r="AF2649" s="14" t="s">
        <v>1400</v>
      </c>
      <c r="AG2649" s="14" t="s">
        <v>95</v>
      </c>
    </row>
    <row r="2650" spans="2:33">
      <c r="B2650" s="14">
        <f>10000000+INDEX(编号表!$B:$B,MATCH(H2650,编号表!$A:$A,0))*100000+INDEX(编号表!$F:$F,MATCH(D2650,编号表!$E:$E,0))*10000+INDEX(编号表!$D:$D,MATCH(AG2650,编号表!$C:$C,0))*1000+F2650</f>
        <v>11945097</v>
      </c>
      <c r="C2650" s="14" t="s">
        <v>4689</v>
      </c>
      <c r="D2650" s="14" t="s">
        <v>104</v>
      </c>
      <c r="E2650" s="14" t="s">
        <v>95</v>
      </c>
      <c r="F2650" s="14">
        <v>97</v>
      </c>
      <c r="G2650" s="14">
        <v>60</v>
      </c>
      <c r="H2650" s="14" t="s">
        <v>1400</v>
      </c>
      <c r="I2650" s="14" t="s">
        <v>75</v>
      </c>
      <c r="J2650" s="14" t="s">
        <v>201</v>
      </c>
      <c r="K2650" s="14">
        <v>1</v>
      </c>
      <c r="L2650" s="14" t="s">
        <v>1400</v>
      </c>
      <c r="N2650" s="14">
        <v>0</v>
      </c>
      <c r="O2650" s="14" t="b">
        <v>1</v>
      </c>
      <c r="Q2650" s="14" t="b">
        <v>0</v>
      </c>
      <c r="R2650" s="14">
        <v>1</v>
      </c>
      <c r="S2650" s="14" t="s">
        <v>77</v>
      </c>
      <c r="T2650" s="14">
        <v>999</v>
      </c>
      <c r="U2650" s="14" t="s">
        <v>1401</v>
      </c>
      <c r="V2650" s="14">
        <v>31945097</v>
      </c>
      <c r="X2650" s="14" t="s">
        <v>4694</v>
      </c>
      <c r="Y2650" s="14" t="s">
        <v>215</v>
      </c>
      <c r="Z2650" s="14">
        <v>21413</v>
      </c>
      <c r="AA2650" s="14" t="s">
        <v>4695</v>
      </c>
      <c r="AB2650" s="14">
        <v>40001</v>
      </c>
      <c r="AE2650" s="14" t="s">
        <v>1400</v>
      </c>
      <c r="AF2650" s="14" t="s">
        <v>1400</v>
      </c>
      <c r="AG2650" s="14" t="s">
        <v>95</v>
      </c>
    </row>
    <row r="2651" spans="2:33">
      <c r="B2651" s="14">
        <f>10000000+INDEX(编号表!$B:$B,MATCH(H2651,编号表!$A:$A,0))*100000+INDEX(编号表!$F:$F,MATCH(D2651,编号表!$E:$E,0))*10000+INDEX(编号表!$D:$D,MATCH(AG2651,编号表!$C:$C,0))*1000+F2651</f>
        <v>11925096</v>
      </c>
      <c r="C2651" s="14" t="s">
        <v>4696</v>
      </c>
      <c r="D2651" s="14" t="s">
        <v>112</v>
      </c>
      <c r="E2651" s="14" t="s">
        <v>95</v>
      </c>
      <c r="F2651" s="14">
        <v>96</v>
      </c>
      <c r="G2651" s="14">
        <v>60</v>
      </c>
      <c r="H2651" s="14" t="s">
        <v>1400</v>
      </c>
      <c r="I2651" s="14" t="s">
        <v>75</v>
      </c>
      <c r="J2651" s="14" t="s">
        <v>201</v>
      </c>
      <c r="K2651" s="14">
        <v>1</v>
      </c>
      <c r="L2651" s="14" t="s">
        <v>1400</v>
      </c>
      <c r="N2651" s="14">
        <v>0</v>
      </c>
      <c r="O2651" s="14" t="b">
        <v>1</v>
      </c>
      <c r="Q2651" s="14" t="b">
        <v>0</v>
      </c>
      <c r="R2651" s="14">
        <v>1</v>
      </c>
      <c r="S2651" s="14" t="s">
        <v>77</v>
      </c>
      <c r="T2651" s="14">
        <v>999</v>
      </c>
      <c r="U2651" s="14" t="s">
        <v>1401</v>
      </c>
      <c r="V2651" s="14">
        <v>31925096</v>
      </c>
      <c r="X2651" s="14" t="s">
        <v>4697</v>
      </c>
      <c r="Y2651" s="14" t="s">
        <v>215</v>
      </c>
      <c r="Z2651" s="14">
        <v>21414</v>
      </c>
      <c r="AA2651" s="14" t="s">
        <v>4698</v>
      </c>
      <c r="AB2651" s="14">
        <v>40001</v>
      </c>
      <c r="AE2651" s="14" t="s">
        <v>1400</v>
      </c>
      <c r="AF2651" s="14" t="s">
        <v>1400</v>
      </c>
      <c r="AG2651" s="14" t="s">
        <v>95</v>
      </c>
    </row>
    <row r="2652" spans="2:33">
      <c r="B2652" s="14">
        <f>10000000+INDEX(编号表!$B:$B,MATCH(H2652,编号表!$A:$A,0))*100000+INDEX(编号表!$F:$F,MATCH(D2652,编号表!$E:$E,0))*10000+INDEX(编号表!$D:$D,MATCH(AG2652,编号表!$C:$C,0))*1000+F2652</f>
        <v>11935097</v>
      </c>
      <c r="C2652" s="14" t="s">
        <v>4696</v>
      </c>
      <c r="D2652" s="14" t="s">
        <v>276</v>
      </c>
      <c r="E2652" s="14" t="s">
        <v>95</v>
      </c>
      <c r="F2652" s="14">
        <v>97</v>
      </c>
      <c r="G2652" s="14">
        <v>60</v>
      </c>
      <c r="H2652" s="14" t="s">
        <v>1400</v>
      </c>
      <c r="I2652" s="14" t="s">
        <v>75</v>
      </c>
      <c r="J2652" s="14" t="s">
        <v>201</v>
      </c>
      <c r="K2652" s="14">
        <v>1</v>
      </c>
      <c r="L2652" s="14" t="s">
        <v>1400</v>
      </c>
      <c r="N2652" s="14">
        <v>0</v>
      </c>
      <c r="O2652" s="14" t="b">
        <v>1</v>
      </c>
      <c r="Q2652" s="14" t="b">
        <v>0</v>
      </c>
      <c r="R2652" s="14">
        <v>1</v>
      </c>
      <c r="S2652" s="14" t="s">
        <v>77</v>
      </c>
      <c r="T2652" s="14">
        <v>999</v>
      </c>
      <c r="U2652" s="14" t="s">
        <v>1401</v>
      </c>
      <c r="V2652" s="14">
        <v>31935097</v>
      </c>
      <c r="X2652" s="14" t="s">
        <v>4699</v>
      </c>
      <c r="Y2652" s="14" t="s">
        <v>215</v>
      </c>
      <c r="Z2652" s="14">
        <v>21415</v>
      </c>
      <c r="AA2652" s="14" t="s">
        <v>4700</v>
      </c>
      <c r="AB2652" s="14">
        <v>40001</v>
      </c>
      <c r="AE2652" s="14" t="s">
        <v>1400</v>
      </c>
      <c r="AF2652" s="14" t="s">
        <v>1400</v>
      </c>
      <c r="AG2652" s="14" t="s">
        <v>95</v>
      </c>
    </row>
    <row r="2653" spans="2:33">
      <c r="B2653" s="14">
        <f>10000000+INDEX(编号表!$B:$B,MATCH(H2653,编号表!$A:$A,0))*100000+INDEX(编号表!$F:$F,MATCH(D2653,编号表!$E:$E,0))*10000+INDEX(编号表!$D:$D,MATCH(AG2653,编号表!$C:$C,0))*1000+F2653</f>
        <v>11945098</v>
      </c>
      <c r="C2653" s="14" t="s">
        <v>4696</v>
      </c>
      <c r="D2653" s="14" t="s">
        <v>104</v>
      </c>
      <c r="E2653" s="14" t="s">
        <v>95</v>
      </c>
      <c r="F2653" s="14">
        <v>98</v>
      </c>
      <c r="G2653" s="14">
        <v>60</v>
      </c>
      <c r="H2653" s="14" t="s">
        <v>1400</v>
      </c>
      <c r="I2653" s="14" t="s">
        <v>75</v>
      </c>
      <c r="J2653" s="14" t="s">
        <v>201</v>
      </c>
      <c r="K2653" s="14">
        <v>1</v>
      </c>
      <c r="L2653" s="14" t="s">
        <v>1400</v>
      </c>
      <c r="N2653" s="14">
        <v>0</v>
      </c>
      <c r="O2653" s="14" t="b">
        <v>1</v>
      </c>
      <c r="Q2653" s="14" t="b">
        <v>0</v>
      </c>
      <c r="R2653" s="14">
        <v>1</v>
      </c>
      <c r="S2653" s="14" t="s">
        <v>77</v>
      </c>
      <c r="T2653" s="14">
        <v>999</v>
      </c>
      <c r="U2653" s="14" t="s">
        <v>1401</v>
      </c>
      <c r="V2653" s="14">
        <v>31945098</v>
      </c>
      <c r="X2653" s="14" t="s">
        <v>4701</v>
      </c>
      <c r="Y2653" s="14" t="s">
        <v>215</v>
      </c>
      <c r="Z2653" s="14">
        <v>21416</v>
      </c>
      <c r="AA2653" s="14" t="s">
        <v>4702</v>
      </c>
      <c r="AB2653" s="14">
        <v>40001</v>
      </c>
      <c r="AE2653" s="14" t="s">
        <v>1400</v>
      </c>
      <c r="AF2653" s="14" t="s">
        <v>1400</v>
      </c>
      <c r="AG2653" s="14" t="s">
        <v>95</v>
      </c>
    </row>
    <row r="2654" spans="2:33">
      <c r="B2654" s="14">
        <f>10000000+INDEX(编号表!$B:$B,MATCH(H2654,编号表!$A:$A,0))*100000+INDEX(编号表!$F:$F,MATCH(D2654,编号表!$E:$E,0))*10000+INDEX(编号表!$D:$D,MATCH(AG2654,编号表!$C:$C,0))*1000+F2654</f>
        <v>11925097</v>
      </c>
      <c r="C2654" s="14" t="s">
        <v>4703</v>
      </c>
      <c r="D2654" s="14" t="s">
        <v>112</v>
      </c>
      <c r="E2654" s="14" t="s">
        <v>95</v>
      </c>
      <c r="F2654" s="14">
        <v>97</v>
      </c>
      <c r="G2654" s="14">
        <v>60</v>
      </c>
      <c r="H2654" s="14" t="s">
        <v>1400</v>
      </c>
      <c r="I2654" s="14" t="s">
        <v>75</v>
      </c>
      <c r="J2654" s="14" t="s">
        <v>201</v>
      </c>
      <c r="K2654" s="14">
        <v>1</v>
      </c>
      <c r="L2654" s="14" t="s">
        <v>1400</v>
      </c>
      <c r="N2654" s="14">
        <v>0</v>
      </c>
      <c r="O2654" s="14" t="b">
        <v>1</v>
      </c>
      <c r="Q2654" s="14" t="b">
        <v>0</v>
      </c>
      <c r="R2654" s="14">
        <v>1</v>
      </c>
      <c r="S2654" s="14" t="s">
        <v>77</v>
      </c>
      <c r="T2654" s="14">
        <v>999</v>
      </c>
      <c r="U2654" s="14" t="s">
        <v>1401</v>
      </c>
      <c r="V2654" s="14">
        <v>31925097</v>
      </c>
      <c r="X2654" s="14" t="s">
        <v>4704</v>
      </c>
      <c r="Y2654" s="14" t="s">
        <v>215</v>
      </c>
      <c r="Z2654" s="14">
        <v>21417</v>
      </c>
      <c r="AA2654" s="14" t="s">
        <v>4705</v>
      </c>
      <c r="AB2654" s="14">
        <v>40001</v>
      </c>
      <c r="AE2654" s="14" t="s">
        <v>1400</v>
      </c>
      <c r="AF2654" s="14" t="s">
        <v>1400</v>
      </c>
      <c r="AG2654" s="14" t="s">
        <v>95</v>
      </c>
    </row>
    <row r="2655" spans="2:33">
      <c r="B2655" s="14">
        <f>10000000+INDEX(编号表!$B:$B,MATCH(H2655,编号表!$A:$A,0))*100000+INDEX(编号表!$F:$F,MATCH(D2655,编号表!$E:$E,0))*10000+INDEX(编号表!$D:$D,MATCH(AG2655,编号表!$C:$C,0))*1000+F2655</f>
        <v>11935098</v>
      </c>
      <c r="C2655" s="14" t="s">
        <v>4703</v>
      </c>
      <c r="D2655" s="14" t="s">
        <v>276</v>
      </c>
      <c r="E2655" s="14" t="s">
        <v>95</v>
      </c>
      <c r="F2655" s="14">
        <v>98</v>
      </c>
      <c r="G2655" s="14">
        <v>60</v>
      </c>
      <c r="H2655" s="14" t="s">
        <v>1400</v>
      </c>
      <c r="I2655" s="14" t="s">
        <v>75</v>
      </c>
      <c r="J2655" s="14" t="s">
        <v>201</v>
      </c>
      <c r="K2655" s="14">
        <v>1</v>
      </c>
      <c r="L2655" s="14" t="s">
        <v>1400</v>
      </c>
      <c r="N2655" s="14">
        <v>0</v>
      </c>
      <c r="O2655" s="14" t="b">
        <v>1</v>
      </c>
      <c r="Q2655" s="14" t="b">
        <v>0</v>
      </c>
      <c r="R2655" s="14">
        <v>1</v>
      </c>
      <c r="S2655" s="14" t="s">
        <v>77</v>
      </c>
      <c r="T2655" s="14">
        <v>999</v>
      </c>
      <c r="U2655" s="14" t="s">
        <v>1401</v>
      </c>
      <c r="V2655" s="14">
        <v>31935098</v>
      </c>
      <c r="X2655" s="14" t="s">
        <v>4706</v>
      </c>
      <c r="Y2655" s="14" t="s">
        <v>215</v>
      </c>
      <c r="Z2655" s="14">
        <v>21418</v>
      </c>
      <c r="AA2655" s="14" t="s">
        <v>4707</v>
      </c>
      <c r="AB2655" s="14">
        <v>40001</v>
      </c>
      <c r="AE2655" s="14" t="s">
        <v>1400</v>
      </c>
      <c r="AF2655" s="14" t="s">
        <v>1400</v>
      </c>
      <c r="AG2655" s="14" t="s">
        <v>95</v>
      </c>
    </row>
    <row r="2656" spans="2:33">
      <c r="B2656" s="14">
        <f>10000000+INDEX(编号表!$B:$B,MATCH(H2656,编号表!$A:$A,0))*100000+INDEX(编号表!$F:$F,MATCH(D2656,编号表!$E:$E,0))*10000+INDEX(编号表!$D:$D,MATCH(AG2656,编号表!$C:$C,0))*1000+F2656</f>
        <v>11945099</v>
      </c>
      <c r="C2656" s="14" t="s">
        <v>4703</v>
      </c>
      <c r="D2656" s="14" t="s">
        <v>104</v>
      </c>
      <c r="E2656" s="14" t="s">
        <v>95</v>
      </c>
      <c r="F2656" s="14">
        <v>99</v>
      </c>
      <c r="G2656" s="14">
        <v>60</v>
      </c>
      <c r="H2656" s="14" t="s">
        <v>1400</v>
      </c>
      <c r="I2656" s="14" t="s">
        <v>75</v>
      </c>
      <c r="J2656" s="14" t="s">
        <v>201</v>
      </c>
      <c r="K2656" s="14">
        <v>1</v>
      </c>
      <c r="L2656" s="14" t="s">
        <v>1400</v>
      </c>
      <c r="N2656" s="14">
        <v>0</v>
      </c>
      <c r="O2656" s="14" t="b">
        <v>1</v>
      </c>
      <c r="Q2656" s="14" t="b">
        <v>0</v>
      </c>
      <c r="R2656" s="14">
        <v>1</v>
      </c>
      <c r="S2656" s="14" t="s">
        <v>77</v>
      </c>
      <c r="T2656" s="14">
        <v>999</v>
      </c>
      <c r="U2656" s="14" t="s">
        <v>1401</v>
      </c>
      <c r="V2656" s="14">
        <v>31945099</v>
      </c>
      <c r="X2656" s="14" t="s">
        <v>4708</v>
      </c>
      <c r="Y2656" s="14" t="s">
        <v>215</v>
      </c>
      <c r="Z2656" s="14">
        <v>21419</v>
      </c>
      <c r="AA2656" s="14" t="s">
        <v>4709</v>
      </c>
      <c r="AB2656" s="14">
        <v>40001</v>
      </c>
      <c r="AE2656" s="14" t="s">
        <v>1400</v>
      </c>
      <c r="AF2656" s="14" t="s">
        <v>1400</v>
      </c>
      <c r="AG2656" s="14" t="s">
        <v>95</v>
      </c>
    </row>
    <row r="2657" spans="2:33">
      <c r="B2657" s="14">
        <f>10000000+INDEX(编号表!$B:$B,MATCH(H2657,编号表!$A:$A,0))*100000+INDEX(编号表!$F:$F,MATCH(D2657,编号表!$E:$E,0))*10000+INDEX(编号表!$D:$D,MATCH(AG2657,编号表!$C:$C,0))*1000+F2657</f>
        <v>11925098</v>
      </c>
      <c r="C2657" s="14" t="s">
        <v>4710</v>
      </c>
      <c r="D2657" s="14" t="s">
        <v>112</v>
      </c>
      <c r="E2657" s="14" t="s">
        <v>95</v>
      </c>
      <c r="F2657" s="14">
        <v>98</v>
      </c>
      <c r="G2657" s="14">
        <v>60</v>
      </c>
      <c r="H2657" s="14" t="s">
        <v>1400</v>
      </c>
      <c r="I2657" s="14" t="s">
        <v>75</v>
      </c>
      <c r="J2657" s="14" t="s">
        <v>201</v>
      </c>
      <c r="K2657" s="14">
        <v>1</v>
      </c>
      <c r="L2657" s="14" t="s">
        <v>1400</v>
      </c>
      <c r="N2657" s="14">
        <v>0</v>
      </c>
      <c r="O2657" s="14" t="b">
        <v>1</v>
      </c>
      <c r="Q2657" s="14" t="b">
        <v>0</v>
      </c>
      <c r="R2657" s="14">
        <v>1</v>
      </c>
      <c r="S2657" s="14" t="s">
        <v>77</v>
      </c>
      <c r="T2657" s="14">
        <v>999</v>
      </c>
      <c r="U2657" s="14" t="s">
        <v>1401</v>
      </c>
      <c r="V2657" s="14">
        <v>31925098</v>
      </c>
      <c r="X2657" s="14" t="s">
        <v>4711</v>
      </c>
      <c r="Y2657" s="14" t="s">
        <v>215</v>
      </c>
      <c r="Z2657" s="14">
        <v>21420</v>
      </c>
      <c r="AA2657" s="14" t="s">
        <v>4712</v>
      </c>
      <c r="AB2657" s="14">
        <v>40001</v>
      </c>
      <c r="AE2657" s="14" t="s">
        <v>1400</v>
      </c>
      <c r="AF2657" s="14" t="s">
        <v>1400</v>
      </c>
      <c r="AG2657" s="14" t="s">
        <v>95</v>
      </c>
    </row>
    <row r="2658" spans="2:33">
      <c r="B2658" s="14">
        <f>10000000+INDEX(编号表!$B:$B,MATCH(H2658,编号表!$A:$A,0))*100000+INDEX(编号表!$F:$F,MATCH(D2658,编号表!$E:$E,0))*10000+INDEX(编号表!$D:$D,MATCH(AG2658,编号表!$C:$C,0))*1000+F2658</f>
        <v>11935099</v>
      </c>
      <c r="C2658" s="14" t="s">
        <v>4710</v>
      </c>
      <c r="D2658" s="14" t="s">
        <v>276</v>
      </c>
      <c r="E2658" s="14" t="s">
        <v>95</v>
      </c>
      <c r="F2658" s="14">
        <v>99</v>
      </c>
      <c r="G2658" s="14">
        <v>60</v>
      </c>
      <c r="H2658" s="14" t="s">
        <v>1400</v>
      </c>
      <c r="I2658" s="14" t="s">
        <v>75</v>
      </c>
      <c r="J2658" s="14" t="s">
        <v>201</v>
      </c>
      <c r="K2658" s="14">
        <v>1</v>
      </c>
      <c r="L2658" s="14" t="s">
        <v>1400</v>
      </c>
      <c r="N2658" s="14">
        <v>0</v>
      </c>
      <c r="O2658" s="14" t="b">
        <v>1</v>
      </c>
      <c r="Q2658" s="14" t="b">
        <v>0</v>
      </c>
      <c r="R2658" s="14">
        <v>1</v>
      </c>
      <c r="S2658" s="14" t="s">
        <v>77</v>
      </c>
      <c r="T2658" s="14">
        <v>999</v>
      </c>
      <c r="U2658" s="14" t="s">
        <v>1401</v>
      </c>
      <c r="V2658" s="14">
        <v>31935099</v>
      </c>
      <c r="X2658" s="14" t="s">
        <v>4713</v>
      </c>
      <c r="Y2658" s="14" t="s">
        <v>215</v>
      </c>
      <c r="Z2658" s="14">
        <v>21421</v>
      </c>
      <c r="AA2658" s="14" t="s">
        <v>4714</v>
      </c>
      <c r="AB2658" s="14">
        <v>40001</v>
      </c>
      <c r="AE2658" s="14" t="s">
        <v>1400</v>
      </c>
      <c r="AF2658" s="14" t="s">
        <v>1400</v>
      </c>
      <c r="AG2658" s="14" t="s">
        <v>95</v>
      </c>
    </row>
    <row r="2659" spans="2:33">
      <c r="B2659" s="14">
        <f>10000000+INDEX(编号表!$B:$B,MATCH(H2659,编号表!$A:$A,0))*100000+INDEX(编号表!$F:$F,MATCH(D2659,编号表!$E:$E,0))*10000+INDEX(编号表!$D:$D,MATCH(AG2659,编号表!$C:$C,0))*1000+F2659</f>
        <v>11945100</v>
      </c>
      <c r="C2659" s="14" t="s">
        <v>4710</v>
      </c>
      <c r="D2659" s="14" t="s">
        <v>104</v>
      </c>
      <c r="E2659" s="14" t="s">
        <v>95</v>
      </c>
      <c r="F2659" s="14">
        <v>100</v>
      </c>
      <c r="G2659" s="14">
        <v>60</v>
      </c>
      <c r="H2659" s="14" t="s">
        <v>1400</v>
      </c>
      <c r="I2659" s="14" t="s">
        <v>75</v>
      </c>
      <c r="J2659" s="14" t="s">
        <v>201</v>
      </c>
      <c r="K2659" s="14">
        <v>1</v>
      </c>
      <c r="L2659" s="14" t="s">
        <v>1400</v>
      </c>
      <c r="N2659" s="14">
        <v>0</v>
      </c>
      <c r="O2659" s="14" t="b">
        <v>1</v>
      </c>
      <c r="Q2659" s="14" t="b">
        <v>0</v>
      </c>
      <c r="R2659" s="14">
        <v>1</v>
      </c>
      <c r="S2659" s="14" t="s">
        <v>77</v>
      </c>
      <c r="T2659" s="14">
        <v>999</v>
      </c>
      <c r="U2659" s="14" t="s">
        <v>1401</v>
      </c>
      <c r="V2659" s="14">
        <v>31945100</v>
      </c>
      <c r="X2659" s="14" t="s">
        <v>4715</v>
      </c>
      <c r="Y2659" s="14" t="s">
        <v>215</v>
      </c>
      <c r="Z2659" s="14">
        <v>21422</v>
      </c>
      <c r="AA2659" s="14" t="s">
        <v>4716</v>
      </c>
      <c r="AB2659" s="14">
        <v>40001</v>
      </c>
      <c r="AE2659" s="14" t="s">
        <v>1400</v>
      </c>
      <c r="AF2659" s="14" t="s">
        <v>1400</v>
      </c>
      <c r="AG2659" s="14" t="s">
        <v>95</v>
      </c>
    </row>
    <row r="2660" spans="2:33">
      <c r="B2660" s="14">
        <f>10000000+INDEX(编号表!$B:$B,MATCH(H2660,编号表!$A:$A,0))*100000+INDEX(编号表!$F:$F,MATCH(D2660,编号表!$E:$E,0))*10000+INDEX(编号表!$D:$D,MATCH(AG2660,编号表!$C:$C,0))*1000+F2660</f>
        <v>11925099</v>
      </c>
      <c r="C2660" s="14" t="s">
        <v>4717</v>
      </c>
      <c r="D2660" s="14" t="s">
        <v>112</v>
      </c>
      <c r="E2660" s="14" t="s">
        <v>95</v>
      </c>
      <c r="F2660" s="14">
        <v>99</v>
      </c>
      <c r="G2660" s="14">
        <v>60</v>
      </c>
      <c r="H2660" s="14" t="s">
        <v>1400</v>
      </c>
      <c r="I2660" s="14" t="s">
        <v>75</v>
      </c>
      <c r="J2660" s="14" t="s">
        <v>201</v>
      </c>
      <c r="K2660" s="14">
        <v>1</v>
      </c>
      <c r="L2660" s="14" t="s">
        <v>1400</v>
      </c>
      <c r="N2660" s="14">
        <v>0</v>
      </c>
      <c r="O2660" s="14" t="b">
        <v>1</v>
      </c>
      <c r="Q2660" s="14" t="b">
        <v>0</v>
      </c>
      <c r="R2660" s="14">
        <v>1</v>
      </c>
      <c r="S2660" s="14" t="s">
        <v>77</v>
      </c>
      <c r="T2660" s="14">
        <v>999</v>
      </c>
      <c r="U2660" s="14" t="s">
        <v>1401</v>
      </c>
      <c r="V2660" s="14">
        <v>31925099</v>
      </c>
      <c r="X2660" s="14" t="s">
        <v>4718</v>
      </c>
      <c r="Y2660" s="14" t="s">
        <v>215</v>
      </c>
      <c r="Z2660" s="14">
        <v>21423</v>
      </c>
      <c r="AA2660" s="14" t="s">
        <v>4719</v>
      </c>
      <c r="AB2660" s="14">
        <v>40001</v>
      </c>
      <c r="AE2660" s="14" t="s">
        <v>1400</v>
      </c>
      <c r="AF2660" s="14" t="s">
        <v>1400</v>
      </c>
      <c r="AG2660" s="14" t="s">
        <v>95</v>
      </c>
    </row>
    <row r="2661" spans="2:33">
      <c r="B2661" s="14">
        <f>10000000+INDEX(编号表!$B:$B,MATCH(H2661,编号表!$A:$A,0))*100000+INDEX(编号表!$F:$F,MATCH(D2661,编号表!$E:$E,0))*10000+INDEX(编号表!$D:$D,MATCH(AG2661,编号表!$C:$C,0))*1000+F2661</f>
        <v>11935100</v>
      </c>
      <c r="C2661" s="14" t="s">
        <v>4717</v>
      </c>
      <c r="D2661" s="14" t="s">
        <v>276</v>
      </c>
      <c r="E2661" s="14" t="s">
        <v>95</v>
      </c>
      <c r="F2661" s="14">
        <v>100</v>
      </c>
      <c r="G2661" s="14">
        <v>60</v>
      </c>
      <c r="H2661" s="14" t="s">
        <v>1400</v>
      </c>
      <c r="I2661" s="14" t="s">
        <v>75</v>
      </c>
      <c r="J2661" s="14" t="s">
        <v>201</v>
      </c>
      <c r="K2661" s="14">
        <v>1</v>
      </c>
      <c r="L2661" s="14" t="s">
        <v>1400</v>
      </c>
      <c r="N2661" s="14">
        <v>0</v>
      </c>
      <c r="O2661" s="14" t="b">
        <v>1</v>
      </c>
      <c r="Q2661" s="14" t="b">
        <v>0</v>
      </c>
      <c r="R2661" s="14">
        <v>1</v>
      </c>
      <c r="S2661" s="14" t="s">
        <v>77</v>
      </c>
      <c r="T2661" s="14">
        <v>999</v>
      </c>
      <c r="U2661" s="14" t="s">
        <v>1401</v>
      </c>
      <c r="V2661" s="14">
        <v>31935100</v>
      </c>
      <c r="X2661" s="14" t="s">
        <v>4720</v>
      </c>
      <c r="Y2661" s="14" t="s">
        <v>215</v>
      </c>
      <c r="Z2661" s="14">
        <v>21424</v>
      </c>
      <c r="AA2661" s="14" t="s">
        <v>4721</v>
      </c>
      <c r="AB2661" s="14">
        <v>40001</v>
      </c>
      <c r="AE2661" s="14" t="s">
        <v>1400</v>
      </c>
      <c r="AF2661" s="14" t="s">
        <v>1400</v>
      </c>
      <c r="AG2661" s="14" t="s">
        <v>95</v>
      </c>
    </row>
    <row r="2662" spans="2:33">
      <c r="B2662" s="14">
        <f>10000000+INDEX(编号表!$B:$B,MATCH(H2662,编号表!$A:$A,0))*100000+INDEX(编号表!$F:$F,MATCH(D2662,编号表!$E:$E,0))*10000+INDEX(编号表!$D:$D,MATCH(AG2662,编号表!$C:$C,0))*1000+F2662</f>
        <v>11945101</v>
      </c>
      <c r="C2662" s="14" t="s">
        <v>4717</v>
      </c>
      <c r="D2662" s="14" t="s">
        <v>104</v>
      </c>
      <c r="E2662" s="14" t="s">
        <v>95</v>
      </c>
      <c r="F2662" s="14">
        <v>101</v>
      </c>
      <c r="G2662" s="14">
        <v>60</v>
      </c>
      <c r="H2662" s="14" t="s">
        <v>1400</v>
      </c>
      <c r="I2662" s="14" t="s">
        <v>75</v>
      </c>
      <c r="J2662" s="14" t="s">
        <v>201</v>
      </c>
      <c r="K2662" s="14">
        <v>1</v>
      </c>
      <c r="L2662" s="14" t="s">
        <v>1400</v>
      </c>
      <c r="N2662" s="14">
        <v>0</v>
      </c>
      <c r="O2662" s="14" t="b">
        <v>1</v>
      </c>
      <c r="Q2662" s="14" t="b">
        <v>0</v>
      </c>
      <c r="R2662" s="14">
        <v>1</v>
      </c>
      <c r="S2662" s="14" t="s">
        <v>77</v>
      </c>
      <c r="T2662" s="14">
        <v>999</v>
      </c>
      <c r="U2662" s="14" t="s">
        <v>1401</v>
      </c>
      <c r="V2662" s="14">
        <v>31945101</v>
      </c>
      <c r="X2662" s="14" t="s">
        <v>4722</v>
      </c>
      <c r="Y2662" s="14" t="s">
        <v>215</v>
      </c>
      <c r="Z2662" s="14">
        <v>21425</v>
      </c>
      <c r="AA2662" s="14" t="s">
        <v>4723</v>
      </c>
      <c r="AB2662" s="14">
        <v>40001</v>
      </c>
      <c r="AE2662" s="14" t="s">
        <v>1400</v>
      </c>
      <c r="AF2662" s="14" t="s">
        <v>1400</v>
      </c>
      <c r="AG2662" s="14" t="s">
        <v>95</v>
      </c>
    </row>
    <row r="2663" spans="2:33">
      <c r="B2663" s="14">
        <f>10000000+INDEX(编号表!$B:$B,MATCH(H2663,编号表!$A:$A,0))*100000+INDEX(编号表!$F:$F,MATCH(D2663,编号表!$E:$E,0))*10000+INDEX(编号表!$D:$D,MATCH(AG2663,编号表!$C:$C,0))*1000+F2663</f>
        <v>11925100</v>
      </c>
      <c r="C2663" s="14" t="s">
        <v>4724</v>
      </c>
      <c r="D2663" s="14" t="s">
        <v>112</v>
      </c>
      <c r="E2663" s="14" t="s">
        <v>95</v>
      </c>
      <c r="F2663" s="14">
        <v>100</v>
      </c>
      <c r="G2663" s="14">
        <v>60</v>
      </c>
      <c r="H2663" s="14" t="s">
        <v>1400</v>
      </c>
      <c r="I2663" s="14" t="s">
        <v>75</v>
      </c>
      <c r="J2663" s="14" t="s">
        <v>201</v>
      </c>
      <c r="K2663" s="14">
        <v>1</v>
      </c>
      <c r="L2663" s="14" t="s">
        <v>1400</v>
      </c>
      <c r="N2663" s="14">
        <v>0</v>
      </c>
      <c r="O2663" s="14" t="b">
        <v>1</v>
      </c>
      <c r="Q2663" s="14" t="b">
        <v>0</v>
      </c>
      <c r="R2663" s="14">
        <v>1</v>
      </c>
      <c r="S2663" s="14" t="s">
        <v>77</v>
      </c>
      <c r="T2663" s="14">
        <v>999</v>
      </c>
      <c r="U2663" s="14" t="s">
        <v>1401</v>
      </c>
      <c r="V2663" s="14">
        <v>31925100</v>
      </c>
      <c r="X2663" s="14" t="s">
        <v>4725</v>
      </c>
      <c r="Y2663" s="14" t="s">
        <v>215</v>
      </c>
      <c r="Z2663" s="14">
        <v>21426</v>
      </c>
      <c r="AA2663" s="14" t="s">
        <v>4726</v>
      </c>
      <c r="AB2663" s="14">
        <v>40001</v>
      </c>
      <c r="AE2663" s="14" t="s">
        <v>1400</v>
      </c>
      <c r="AF2663" s="14" t="s">
        <v>1400</v>
      </c>
      <c r="AG2663" s="14" t="s">
        <v>95</v>
      </c>
    </row>
    <row r="2664" spans="2:33">
      <c r="B2664" s="14">
        <f>10000000+INDEX(编号表!$B:$B,MATCH(H2664,编号表!$A:$A,0))*100000+INDEX(编号表!$F:$F,MATCH(D2664,编号表!$E:$E,0))*10000+INDEX(编号表!$D:$D,MATCH(AG2664,编号表!$C:$C,0))*1000+F2664</f>
        <v>11935101</v>
      </c>
      <c r="C2664" s="14" t="s">
        <v>4724</v>
      </c>
      <c r="D2664" s="14" t="s">
        <v>276</v>
      </c>
      <c r="E2664" s="14" t="s">
        <v>95</v>
      </c>
      <c r="F2664" s="14">
        <v>101</v>
      </c>
      <c r="G2664" s="14">
        <v>60</v>
      </c>
      <c r="H2664" s="14" t="s">
        <v>1400</v>
      </c>
      <c r="I2664" s="14" t="s">
        <v>75</v>
      </c>
      <c r="J2664" s="14" t="s">
        <v>201</v>
      </c>
      <c r="K2664" s="14">
        <v>1</v>
      </c>
      <c r="L2664" s="14" t="s">
        <v>1400</v>
      </c>
      <c r="N2664" s="14">
        <v>0</v>
      </c>
      <c r="O2664" s="14" t="b">
        <v>1</v>
      </c>
      <c r="Q2664" s="14" t="b">
        <v>0</v>
      </c>
      <c r="R2664" s="14">
        <v>1</v>
      </c>
      <c r="S2664" s="14" t="s">
        <v>77</v>
      </c>
      <c r="T2664" s="14">
        <v>999</v>
      </c>
      <c r="U2664" s="14" t="s">
        <v>1401</v>
      </c>
      <c r="V2664" s="14">
        <v>31935101</v>
      </c>
      <c r="X2664" s="14" t="s">
        <v>4727</v>
      </c>
      <c r="Y2664" s="14" t="s">
        <v>215</v>
      </c>
      <c r="Z2664" s="14">
        <v>21427</v>
      </c>
      <c r="AA2664" s="14" t="s">
        <v>4728</v>
      </c>
      <c r="AB2664" s="14">
        <v>40001</v>
      </c>
      <c r="AE2664" s="14" t="s">
        <v>1400</v>
      </c>
      <c r="AF2664" s="14" t="s">
        <v>1400</v>
      </c>
      <c r="AG2664" s="14" t="s">
        <v>95</v>
      </c>
    </row>
    <row r="2665" spans="2:33">
      <c r="B2665" s="14">
        <f>10000000+INDEX(编号表!$B:$B,MATCH(H2665,编号表!$A:$A,0))*100000+INDEX(编号表!$F:$F,MATCH(D2665,编号表!$E:$E,0))*10000+INDEX(编号表!$D:$D,MATCH(AG2665,编号表!$C:$C,0))*1000+F2665</f>
        <v>11945102</v>
      </c>
      <c r="C2665" s="14" t="s">
        <v>4724</v>
      </c>
      <c r="D2665" s="14" t="s">
        <v>104</v>
      </c>
      <c r="E2665" s="14" t="s">
        <v>95</v>
      </c>
      <c r="F2665" s="14">
        <v>102</v>
      </c>
      <c r="G2665" s="14">
        <v>60</v>
      </c>
      <c r="H2665" s="14" t="s">
        <v>1400</v>
      </c>
      <c r="I2665" s="14" t="s">
        <v>75</v>
      </c>
      <c r="J2665" s="14" t="s">
        <v>201</v>
      </c>
      <c r="K2665" s="14">
        <v>1</v>
      </c>
      <c r="L2665" s="14" t="s">
        <v>1400</v>
      </c>
      <c r="N2665" s="14">
        <v>0</v>
      </c>
      <c r="O2665" s="14" t="b">
        <v>1</v>
      </c>
      <c r="Q2665" s="14" t="b">
        <v>0</v>
      </c>
      <c r="R2665" s="14">
        <v>1</v>
      </c>
      <c r="S2665" s="14" t="s">
        <v>77</v>
      </c>
      <c r="T2665" s="14">
        <v>999</v>
      </c>
      <c r="U2665" s="14" t="s">
        <v>1401</v>
      </c>
      <c r="V2665" s="14">
        <v>31945102</v>
      </c>
      <c r="X2665" s="14" t="s">
        <v>4729</v>
      </c>
      <c r="Y2665" s="14" t="s">
        <v>215</v>
      </c>
      <c r="Z2665" s="14">
        <v>21428</v>
      </c>
      <c r="AA2665" s="14" t="s">
        <v>4730</v>
      </c>
      <c r="AB2665" s="14">
        <v>40001</v>
      </c>
      <c r="AE2665" s="14" t="s">
        <v>1400</v>
      </c>
      <c r="AF2665" s="14" t="s">
        <v>1400</v>
      </c>
      <c r="AG2665" s="14" t="s">
        <v>95</v>
      </c>
    </row>
    <row r="2666" spans="2:33">
      <c r="B2666" s="14">
        <f>10000000+INDEX(编号表!$B:$B,MATCH(H2666,编号表!$A:$A,0))*100000+INDEX(编号表!$F:$F,MATCH(D2666,编号表!$E:$E,0))*10000+INDEX(编号表!$D:$D,MATCH(AG2666,编号表!$C:$C,0))*1000+F2666</f>
        <v>11925101</v>
      </c>
      <c r="C2666" s="14" t="s">
        <v>4731</v>
      </c>
      <c r="D2666" s="14" t="s">
        <v>112</v>
      </c>
      <c r="E2666" s="14" t="s">
        <v>95</v>
      </c>
      <c r="F2666" s="14">
        <v>101</v>
      </c>
      <c r="G2666" s="14">
        <v>60</v>
      </c>
      <c r="H2666" s="14" t="s">
        <v>1400</v>
      </c>
      <c r="I2666" s="14" t="s">
        <v>75</v>
      </c>
      <c r="J2666" s="14" t="s">
        <v>201</v>
      </c>
      <c r="K2666" s="14">
        <v>1</v>
      </c>
      <c r="L2666" s="14" t="s">
        <v>1400</v>
      </c>
      <c r="N2666" s="14">
        <v>0</v>
      </c>
      <c r="O2666" s="14" t="b">
        <v>1</v>
      </c>
      <c r="Q2666" s="14" t="b">
        <v>0</v>
      </c>
      <c r="R2666" s="14">
        <v>1</v>
      </c>
      <c r="S2666" s="14" t="s">
        <v>77</v>
      </c>
      <c r="T2666" s="14">
        <v>999</v>
      </c>
      <c r="U2666" s="14" t="s">
        <v>1401</v>
      </c>
      <c r="V2666" s="14">
        <v>31925101</v>
      </c>
      <c r="X2666" s="14" t="s">
        <v>4732</v>
      </c>
      <c r="Y2666" s="14" t="s">
        <v>215</v>
      </c>
      <c r="Z2666" s="14">
        <v>21429</v>
      </c>
      <c r="AA2666" s="14" t="s">
        <v>4733</v>
      </c>
      <c r="AB2666" s="14">
        <v>40001</v>
      </c>
      <c r="AE2666" s="14" t="s">
        <v>1400</v>
      </c>
      <c r="AF2666" s="14" t="s">
        <v>1400</v>
      </c>
      <c r="AG2666" s="14" t="s">
        <v>95</v>
      </c>
    </row>
    <row r="2667" spans="2:33">
      <c r="B2667" s="14">
        <f>10000000+INDEX(编号表!$B:$B,MATCH(H2667,编号表!$A:$A,0))*100000+INDEX(编号表!$F:$F,MATCH(D2667,编号表!$E:$E,0))*10000+INDEX(编号表!$D:$D,MATCH(AG2667,编号表!$C:$C,0))*1000+F2667</f>
        <v>11935102</v>
      </c>
      <c r="C2667" s="14" t="s">
        <v>4731</v>
      </c>
      <c r="D2667" s="14" t="s">
        <v>276</v>
      </c>
      <c r="E2667" s="14" t="s">
        <v>95</v>
      </c>
      <c r="F2667" s="14">
        <v>102</v>
      </c>
      <c r="G2667" s="14">
        <v>60</v>
      </c>
      <c r="H2667" s="14" t="s">
        <v>1400</v>
      </c>
      <c r="I2667" s="14" t="s">
        <v>75</v>
      </c>
      <c r="J2667" s="14" t="s">
        <v>201</v>
      </c>
      <c r="K2667" s="14">
        <v>1</v>
      </c>
      <c r="L2667" s="14" t="s">
        <v>1400</v>
      </c>
      <c r="N2667" s="14">
        <v>0</v>
      </c>
      <c r="O2667" s="14" t="b">
        <v>1</v>
      </c>
      <c r="Q2667" s="14" t="b">
        <v>0</v>
      </c>
      <c r="R2667" s="14">
        <v>1</v>
      </c>
      <c r="S2667" s="14" t="s">
        <v>77</v>
      </c>
      <c r="T2667" s="14">
        <v>999</v>
      </c>
      <c r="U2667" s="14" t="s">
        <v>1401</v>
      </c>
      <c r="V2667" s="14">
        <v>31935102</v>
      </c>
      <c r="X2667" s="14" t="s">
        <v>4734</v>
      </c>
      <c r="Y2667" s="14" t="s">
        <v>215</v>
      </c>
      <c r="Z2667" s="14">
        <v>21430</v>
      </c>
      <c r="AA2667" s="14" t="s">
        <v>4735</v>
      </c>
      <c r="AB2667" s="14">
        <v>40001</v>
      </c>
      <c r="AE2667" s="14" t="s">
        <v>1400</v>
      </c>
      <c r="AF2667" s="14" t="s">
        <v>1400</v>
      </c>
      <c r="AG2667" s="14" t="s">
        <v>95</v>
      </c>
    </row>
    <row r="2668" spans="2:33">
      <c r="B2668" s="14">
        <f>10000000+INDEX(编号表!$B:$B,MATCH(H2668,编号表!$A:$A,0))*100000+INDEX(编号表!$F:$F,MATCH(D2668,编号表!$E:$E,0))*10000+INDEX(编号表!$D:$D,MATCH(AG2668,编号表!$C:$C,0))*1000+F2668</f>
        <v>11945103</v>
      </c>
      <c r="C2668" s="14" t="s">
        <v>4731</v>
      </c>
      <c r="D2668" s="14" t="s">
        <v>104</v>
      </c>
      <c r="E2668" s="14" t="s">
        <v>95</v>
      </c>
      <c r="F2668" s="14">
        <v>103</v>
      </c>
      <c r="G2668" s="14">
        <v>60</v>
      </c>
      <c r="H2668" s="14" t="s">
        <v>1400</v>
      </c>
      <c r="I2668" s="14" t="s">
        <v>75</v>
      </c>
      <c r="J2668" s="14" t="s">
        <v>201</v>
      </c>
      <c r="K2668" s="14">
        <v>1</v>
      </c>
      <c r="L2668" s="14" t="s">
        <v>1400</v>
      </c>
      <c r="N2668" s="14">
        <v>0</v>
      </c>
      <c r="O2668" s="14" t="b">
        <v>1</v>
      </c>
      <c r="Q2668" s="14" t="b">
        <v>0</v>
      </c>
      <c r="R2668" s="14">
        <v>1</v>
      </c>
      <c r="S2668" s="14" t="s">
        <v>77</v>
      </c>
      <c r="T2668" s="14">
        <v>999</v>
      </c>
      <c r="U2668" s="14" t="s">
        <v>1401</v>
      </c>
      <c r="V2668" s="14">
        <v>31945103</v>
      </c>
      <c r="X2668" s="14" t="s">
        <v>4736</v>
      </c>
      <c r="Y2668" s="14" t="s">
        <v>215</v>
      </c>
      <c r="Z2668" s="14">
        <v>21431</v>
      </c>
      <c r="AA2668" s="14" t="s">
        <v>4737</v>
      </c>
      <c r="AB2668" s="14">
        <v>40001</v>
      </c>
      <c r="AE2668" s="14" t="s">
        <v>1400</v>
      </c>
      <c r="AF2668" s="14" t="s">
        <v>1400</v>
      </c>
      <c r="AG2668" s="14" t="s">
        <v>95</v>
      </c>
    </row>
    <row r="2669" spans="2:33">
      <c r="B2669" s="14">
        <f>10000000+INDEX(编号表!$B:$B,MATCH(H2669,编号表!$A:$A,0))*100000+INDEX(编号表!$F:$F,MATCH(D2669,编号表!$E:$E,0))*10000+INDEX(编号表!$D:$D,MATCH(AG2669,编号表!$C:$C,0))*1000+F2669</f>
        <v>11925102</v>
      </c>
      <c r="C2669" s="14" t="s">
        <v>4738</v>
      </c>
      <c r="D2669" s="14" t="s">
        <v>112</v>
      </c>
      <c r="E2669" s="14" t="s">
        <v>95</v>
      </c>
      <c r="F2669" s="14">
        <v>102</v>
      </c>
      <c r="G2669" s="14">
        <v>60</v>
      </c>
      <c r="H2669" s="14" t="s">
        <v>1400</v>
      </c>
      <c r="I2669" s="14" t="s">
        <v>75</v>
      </c>
      <c r="J2669" s="14" t="s">
        <v>201</v>
      </c>
      <c r="K2669" s="14">
        <v>1</v>
      </c>
      <c r="L2669" s="14" t="s">
        <v>1400</v>
      </c>
      <c r="N2669" s="14">
        <v>0</v>
      </c>
      <c r="O2669" s="14" t="b">
        <v>1</v>
      </c>
      <c r="Q2669" s="14" t="b">
        <v>0</v>
      </c>
      <c r="R2669" s="14">
        <v>1</v>
      </c>
      <c r="S2669" s="14" t="s">
        <v>77</v>
      </c>
      <c r="T2669" s="14">
        <v>999</v>
      </c>
      <c r="U2669" s="14" t="s">
        <v>1401</v>
      </c>
      <c r="V2669" s="14">
        <v>31925102</v>
      </c>
      <c r="X2669" s="14" t="s">
        <v>4739</v>
      </c>
      <c r="Y2669" s="14" t="s">
        <v>215</v>
      </c>
      <c r="Z2669" s="14">
        <v>21432</v>
      </c>
      <c r="AA2669" s="14" t="s">
        <v>4740</v>
      </c>
      <c r="AB2669" s="14">
        <v>40001</v>
      </c>
      <c r="AE2669" s="14" t="s">
        <v>1400</v>
      </c>
      <c r="AF2669" s="14" t="s">
        <v>1400</v>
      </c>
      <c r="AG2669" s="14" t="s">
        <v>95</v>
      </c>
    </row>
    <row r="2670" spans="2:33">
      <c r="B2670" s="14">
        <f>10000000+INDEX(编号表!$B:$B,MATCH(H2670,编号表!$A:$A,0))*100000+INDEX(编号表!$F:$F,MATCH(D2670,编号表!$E:$E,0))*10000+INDEX(编号表!$D:$D,MATCH(AG2670,编号表!$C:$C,0))*1000+F2670</f>
        <v>11935103</v>
      </c>
      <c r="C2670" s="14" t="s">
        <v>4738</v>
      </c>
      <c r="D2670" s="14" t="s">
        <v>276</v>
      </c>
      <c r="E2670" s="14" t="s">
        <v>95</v>
      </c>
      <c r="F2670" s="14">
        <v>103</v>
      </c>
      <c r="G2670" s="14">
        <v>60</v>
      </c>
      <c r="H2670" s="14" t="s">
        <v>1400</v>
      </c>
      <c r="I2670" s="14" t="s">
        <v>75</v>
      </c>
      <c r="J2670" s="14" t="s">
        <v>201</v>
      </c>
      <c r="K2670" s="14">
        <v>1</v>
      </c>
      <c r="L2670" s="14" t="s">
        <v>1400</v>
      </c>
      <c r="N2670" s="14">
        <v>0</v>
      </c>
      <c r="O2670" s="14" t="b">
        <v>1</v>
      </c>
      <c r="Q2670" s="14" t="b">
        <v>0</v>
      </c>
      <c r="R2670" s="14">
        <v>1</v>
      </c>
      <c r="S2670" s="14" t="s">
        <v>77</v>
      </c>
      <c r="T2670" s="14">
        <v>999</v>
      </c>
      <c r="U2670" s="14" t="s">
        <v>1401</v>
      </c>
      <c r="V2670" s="14">
        <v>31935103</v>
      </c>
      <c r="X2670" s="14" t="s">
        <v>4741</v>
      </c>
      <c r="Y2670" s="14" t="s">
        <v>215</v>
      </c>
      <c r="Z2670" s="14">
        <v>21433</v>
      </c>
      <c r="AA2670" s="14" t="s">
        <v>4742</v>
      </c>
      <c r="AB2670" s="14">
        <v>40001</v>
      </c>
      <c r="AE2670" s="14" t="s">
        <v>1400</v>
      </c>
      <c r="AF2670" s="14" t="s">
        <v>1400</v>
      </c>
      <c r="AG2670" s="14" t="s">
        <v>95</v>
      </c>
    </row>
    <row r="2671" spans="2:33">
      <c r="B2671" s="14">
        <f>10000000+INDEX(编号表!$B:$B,MATCH(H2671,编号表!$A:$A,0))*100000+INDEX(编号表!$F:$F,MATCH(D2671,编号表!$E:$E,0))*10000+INDEX(编号表!$D:$D,MATCH(AG2671,编号表!$C:$C,0))*1000+F2671</f>
        <v>11945104</v>
      </c>
      <c r="C2671" s="14" t="s">
        <v>4738</v>
      </c>
      <c r="D2671" s="14" t="s">
        <v>104</v>
      </c>
      <c r="E2671" s="14" t="s">
        <v>95</v>
      </c>
      <c r="F2671" s="14">
        <v>104</v>
      </c>
      <c r="G2671" s="14">
        <v>60</v>
      </c>
      <c r="H2671" s="14" t="s">
        <v>1400</v>
      </c>
      <c r="I2671" s="14" t="s">
        <v>75</v>
      </c>
      <c r="J2671" s="14" t="s">
        <v>201</v>
      </c>
      <c r="K2671" s="14">
        <v>1</v>
      </c>
      <c r="L2671" s="14" t="s">
        <v>1400</v>
      </c>
      <c r="N2671" s="14">
        <v>0</v>
      </c>
      <c r="O2671" s="14" t="b">
        <v>1</v>
      </c>
      <c r="Q2671" s="14" t="b">
        <v>0</v>
      </c>
      <c r="R2671" s="14">
        <v>1</v>
      </c>
      <c r="S2671" s="14" t="s">
        <v>77</v>
      </c>
      <c r="T2671" s="14">
        <v>999</v>
      </c>
      <c r="U2671" s="14" t="s">
        <v>1401</v>
      </c>
      <c r="V2671" s="14">
        <v>31945104</v>
      </c>
      <c r="X2671" s="14" t="s">
        <v>4743</v>
      </c>
      <c r="Y2671" s="14" t="s">
        <v>215</v>
      </c>
      <c r="Z2671" s="14">
        <v>21434</v>
      </c>
      <c r="AA2671" s="14" t="s">
        <v>4744</v>
      </c>
      <c r="AB2671" s="14">
        <v>40001</v>
      </c>
      <c r="AE2671" s="14" t="s">
        <v>1400</v>
      </c>
      <c r="AF2671" s="14" t="s">
        <v>1400</v>
      </c>
      <c r="AG2671" s="14" t="s">
        <v>95</v>
      </c>
    </row>
    <row r="2672" spans="2:33">
      <c r="B2672" s="14">
        <f>10000000+INDEX(编号表!$B:$B,MATCH(H2672,编号表!$A:$A,0))*100000+INDEX(编号表!$F:$F,MATCH(D2672,编号表!$E:$E,0))*10000+INDEX(编号表!$D:$D,MATCH(AG2672,编号表!$C:$C,0))*1000+F2672</f>
        <v>11925103</v>
      </c>
      <c r="C2672" s="14" t="s">
        <v>4745</v>
      </c>
      <c r="D2672" s="14" t="s">
        <v>112</v>
      </c>
      <c r="E2672" s="14" t="s">
        <v>95</v>
      </c>
      <c r="F2672" s="14">
        <v>103</v>
      </c>
      <c r="G2672" s="14">
        <v>60</v>
      </c>
      <c r="H2672" s="14" t="s">
        <v>1400</v>
      </c>
      <c r="I2672" s="14" t="s">
        <v>75</v>
      </c>
      <c r="J2672" s="14" t="s">
        <v>201</v>
      </c>
      <c r="K2672" s="14">
        <v>1</v>
      </c>
      <c r="L2672" s="14" t="s">
        <v>1400</v>
      </c>
      <c r="N2672" s="14">
        <v>0</v>
      </c>
      <c r="O2672" s="14" t="b">
        <v>1</v>
      </c>
      <c r="Q2672" s="14" t="b">
        <v>0</v>
      </c>
      <c r="R2672" s="14">
        <v>1</v>
      </c>
      <c r="S2672" s="14" t="s">
        <v>77</v>
      </c>
      <c r="T2672" s="14">
        <v>999</v>
      </c>
      <c r="U2672" s="14" t="s">
        <v>1401</v>
      </c>
      <c r="V2672" s="14">
        <v>31925103</v>
      </c>
      <c r="X2672" s="14" t="s">
        <v>4746</v>
      </c>
      <c r="Y2672" s="14" t="s">
        <v>215</v>
      </c>
      <c r="Z2672" s="14">
        <v>21435</v>
      </c>
      <c r="AA2672" s="14" t="s">
        <v>4747</v>
      </c>
      <c r="AB2672" s="14">
        <v>40001</v>
      </c>
      <c r="AE2672" s="14" t="s">
        <v>1400</v>
      </c>
      <c r="AF2672" s="14" t="s">
        <v>1400</v>
      </c>
      <c r="AG2672" s="14" t="s">
        <v>95</v>
      </c>
    </row>
    <row r="2673" spans="2:33">
      <c r="B2673" s="14">
        <f>10000000+INDEX(编号表!$B:$B,MATCH(H2673,编号表!$A:$A,0))*100000+INDEX(编号表!$F:$F,MATCH(D2673,编号表!$E:$E,0))*10000+INDEX(编号表!$D:$D,MATCH(AG2673,编号表!$C:$C,0))*1000+F2673</f>
        <v>11935104</v>
      </c>
      <c r="C2673" s="14" t="s">
        <v>4745</v>
      </c>
      <c r="D2673" s="14" t="s">
        <v>276</v>
      </c>
      <c r="E2673" s="14" t="s">
        <v>95</v>
      </c>
      <c r="F2673" s="14">
        <v>104</v>
      </c>
      <c r="G2673" s="14">
        <v>60</v>
      </c>
      <c r="H2673" s="14" t="s">
        <v>1400</v>
      </c>
      <c r="I2673" s="14" t="s">
        <v>75</v>
      </c>
      <c r="J2673" s="14" t="s">
        <v>201</v>
      </c>
      <c r="K2673" s="14">
        <v>1</v>
      </c>
      <c r="L2673" s="14" t="s">
        <v>1400</v>
      </c>
      <c r="N2673" s="14">
        <v>0</v>
      </c>
      <c r="O2673" s="14" t="b">
        <v>1</v>
      </c>
      <c r="Q2673" s="14" t="b">
        <v>0</v>
      </c>
      <c r="R2673" s="14">
        <v>1</v>
      </c>
      <c r="S2673" s="14" t="s">
        <v>77</v>
      </c>
      <c r="T2673" s="14">
        <v>999</v>
      </c>
      <c r="U2673" s="14" t="s">
        <v>1401</v>
      </c>
      <c r="V2673" s="14">
        <v>31935104</v>
      </c>
      <c r="X2673" s="14" t="s">
        <v>4748</v>
      </c>
      <c r="Y2673" s="14" t="s">
        <v>215</v>
      </c>
      <c r="Z2673" s="14">
        <v>21436</v>
      </c>
      <c r="AA2673" s="14" t="s">
        <v>4749</v>
      </c>
      <c r="AB2673" s="14">
        <v>40001</v>
      </c>
      <c r="AE2673" s="14" t="s">
        <v>1400</v>
      </c>
      <c r="AF2673" s="14" t="s">
        <v>1400</v>
      </c>
      <c r="AG2673" s="14" t="s">
        <v>95</v>
      </c>
    </row>
    <row r="2674" spans="2:33">
      <c r="B2674" s="14">
        <f>10000000+INDEX(编号表!$B:$B,MATCH(H2674,编号表!$A:$A,0))*100000+INDEX(编号表!$F:$F,MATCH(D2674,编号表!$E:$E,0))*10000+INDEX(编号表!$D:$D,MATCH(AG2674,编号表!$C:$C,0))*1000+F2674</f>
        <v>11945105</v>
      </c>
      <c r="C2674" s="14" t="s">
        <v>4745</v>
      </c>
      <c r="D2674" s="14" t="s">
        <v>104</v>
      </c>
      <c r="E2674" s="14" t="s">
        <v>95</v>
      </c>
      <c r="F2674" s="14">
        <v>105</v>
      </c>
      <c r="G2674" s="14">
        <v>60</v>
      </c>
      <c r="H2674" s="14" t="s">
        <v>1400</v>
      </c>
      <c r="I2674" s="14" t="s">
        <v>75</v>
      </c>
      <c r="J2674" s="14" t="s">
        <v>201</v>
      </c>
      <c r="K2674" s="14">
        <v>1</v>
      </c>
      <c r="L2674" s="14" t="s">
        <v>1400</v>
      </c>
      <c r="N2674" s="14">
        <v>0</v>
      </c>
      <c r="O2674" s="14" t="b">
        <v>1</v>
      </c>
      <c r="Q2674" s="14" t="b">
        <v>0</v>
      </c>
      <c r="R2674" s="14">
        <v>1</v>
      </c>
      <c r="S2674" s="14" t="s">
        <v>77</v>
      </c>
      <c r="T2674" s="14">
        <v>999</v>
      </c>
      <c r="U2674" s="14" t="s">
        <v>1401</v>
      </c>
      <c r="V2674" s="14">
        <v>31945105</v>
      </c>
      <c r="X2674" s="14" t="s">
        <v>4750</v>
      </c>
      <c r="Y2674" s="14" t="s">
        <v>215</v>
      </c>
      <c r="Z2674" s="14">
        <v>21437</v>
      </c>
      <c r="AA2674" s="14" t="s">
        <v>4751</v>
      </c>
      <c r="AB2674" s="14">
        <v>40001</v>
      </c>
      <c r="AE2674" s="14" t="s">
        <v>1400</v>
      </c>
      <c r="AF2674" s="14" t="s">
        <v>1400</v>
      </c>
      <c r="AG2674" s="14" t="s">
        <v>95</v>
      </c>
    </row>
    <row r="2675" spans="2:33">
      <c r="B2675" s="14">
        <f>10000000+INDEX(编号表!$B:$B,MATCH(H2675,编号表!$A:$A,0))*100000+INDEX(编号表!$F:$F,MATCH(D2675,编号表!$E:$E,0))*10000+INDEX(编号表!$D:$D,MATCH(AG2675,编号表!$C:$C,0))*1000+F2675</f>
        <v>11925104</v>
      </c>
      <c r="C2675" s="14" t="s">
        <v>4752</v>
      </c>
      <c r="D2675" s="14" t="s">
        <v>112</v>
      </c>
      <c r="E2675" s="14" t="s">
        <v>95</v>
      </c>
      <c r="F2675" s="14">
        <v>104</v>
      </c>
      <c r="G2675" s="14">
        <v>60</v>
      </c>
      <c r="H2675" s="14" t="s">
        <v>1400</v>
      </c>
      <c r="I2675" s="14" t="s">
        <v>75</v>
      </c>
      <c r="J2675" s="14" t="s">
        <v>201</v>
      </c>
      <c r="K2675" s="14">
        <v>1</v>
      </c>
      <c r="L2675" s="14" t="s">
        <v>1400</v>
      </c>
      <c r="N2675" s="14">
        <v>0</v>
      </c>
      <c r="O2675" s="14" t="b">
        <v>1</v>
      </c>
      <c r="Q2675" s="14" t="b">
        <v>0</v>
      </c>
      <c r="R2675" s="14">
        <v>1</v>
      </c>
      <c r="S2675" s="14" t="s">
        <v>77</v>
      </c>
      <c r="T2675" s="14">
        <v>999</v>
      </c>
      <c r="U2675" s="14" t="s">
        <v>1401</v>
      </c>
      <c r="V2675" s="14">
        <v>31925104</v>
      </c>
      <c r="X2675" s="14" t="s">
        <v>4753</v>
      </c>
      <c r="Y2675" s="14" t="s">
        <v>215</v>
      </c>
      <c r="Z2675" s="14">
        <v>21438</v>
      </c>
      <c r="AA2675" s="14" t="s">
        <v>4754</v>
      </c>
      <c r="AB2675" s="14">
        <v>40001</v>
      </c>
      <c r="AE2675" s="14" t="s">
        <v>1400</v>
      </c>
      <c r="AF2675" s="14" t="s">
        <v>1400</v>
      </c>
      <c r="AG2675" s="14" t="s">
        <v>95</v>
      </c>
    </row>
    <row r="2676" spans="2:33">
      <c r="B2676" s="14">
        <f>10000000+INDEX(编号表!$B:$B,MATCH(H2676,编号表!$A:$A,0))*100000+INDEX(编号表!$F:$F,MATCH(D2676,编号表!$E:$E,0))*10000+INDEX(编号表!$D:$D,MATCH(AG2676,编号表!$C:$C,0))*1000+F2676</f>
        <v>11935105</v>
      </c>
      <c r="C2676" s="14" t="s">
        <v>4752</v>
      </c>
      <c r="D2676" s="14" t="s">
        <v>276</v>
      </c>
      <c r="E2676" s="14" t="s">
        <v>95</v>
      </c>
      <c r="F2676" s="14">
        <v>105</v>
      </c>
      <c r="G2676" s="14">
        <v>60</v>
      </c>
      <c r="H2676" s="14" t="s">
        <v>1400</v>
      </c>
      <c r="I2676" s="14" t="s">
        <v>75</v>
      </c>
      <c r="J2676" s="14" t="s">
        <v>201</v>
      </c>
      <c r="K2676" s="14">
        <v>1</v>
      </c>
      <c r="L2676" s="14" t="s">
        <v>1400</v>
      </c>
      <c r="N2676" s="14">
        <v>0</v>
      </c>
      <c r="O2676" s="14" t="b">
        <v>1</v>
      </c>
      <c r="Q2676" s="14" t="b">
        <v>0</v>
      </c>
      <c r="R2676" s="14">
        <v>1</v>
      </c>
      <c r="S2676" s="14" t="s">
        <v>77</v>
      </c>
      <c r="T2676" s="14">
        <v>999</v>
      </c>
      <c r="U2676" s="14" t="s">
        <v>1401</v>
      </c>
      <c r="V2676" s="14">
        <v>31935105</v>
      </c>
      <c r="X2676" s="14" t="s">
        <v>4755</v>
      </c>
      <c r="Y2676" s="14" t="s">
        <v>215</v>
      </c>
      <c r="Z2676" s="14">
        <v>21439</v>
      </c>
      <c r="AA2676" s="14" t="s">
        <v>4756</v>
      </c>
      <c r="AB2676" s="14">
        <v>40001</v>
      </c>
      <c r="AE2676" s="14" t="s">
        <v>1400</v>
      </c>
      <c r="AF2676" s="14" t="s">
        <v>1400</v>
      </c>
      <c r="AG2676" s="14" t="s">
        <v>95</v>
      </c>
    </row>
    <row r="2677" spans="2:33">
      <c r="B2677" s="14">
        <f>10000000+INDEX(编号表!$B:$B,MATCH(H2677,编号表!$A:$A,0))*100000+INDEX(编号表!$F:$F,MATCH(D2677,编号表!$E:$E,0))*10000+INDEX(编号表!$D:$D,MATCH(AG2677,编号表!$C:$C,0))*1000+F2677</f>
        <v>11945106</v>
      </c>
      <c r="C2677" s="14" t="s">
        <v>4752</v>
      </c>
      <c r="D2677" s="14" t="s">
        <v>104</v>
      </c>
      <c r="E2677" s="14" t="s">
        <v>95</v>
      </c>
      <c r="F2677" s="14">
        <v>106</v>
      </c>
      <c r="G2677" s="14">
        <v>60</v>
      </c>
      <c r="H2677" s="14" t="s">
        <v>1400</v>
      </c>
      <c r="I2677" s="14" t="s">
        <v>75</v>
      </c>
      <c r="J2677" s="14" t="s">
        <v>201</v>
      </c>
      <c r="K2677" s="14">
        <v>1</v>
      </c>
      <c r="L2677" s="14" t="s">
        <v>1400</v>
      </c>
      <c r="N2677" s="14">
        <v>0</v>
      </c>
      <c r="O2677" s="14" t="b">
        <v>1</v>
      </c>
      <c r="Q2677" s="14" t="b">
        <v>0</v>
      </c>
      <c r="R2677" s="14">
        <v>1</v>
      </c>
      <c r="S2677" s="14" t="s">
        <v>77</v>
      </c>
      <c r="T2677" s="14">
        <v>999</v>
      </c>
      <c r="U2677" s="14" t="s">
        <v>1401</v>
      </c>
      <c r="V2677" s="14">
        <v>31945106</v>
      </c>
      <c r="X2677" s="14" t="s">
        <v>4757</v>
      </c>
      <c r="Y2677" s="14" t="s">
        <v>215</v>
      </c>
      <c r="Z2677" s="14">
        <v>21440</v>
      </c>
      <c r="AA2677" s="14" t="s">
        <v>4758</v>
      </c>
      <c r="AB2677" s="14">
        <v>40001</v>
      </c>
      <c r="AE2677" s="14" t="s">
        <v>1400</v>
      </c>
      <c r="AF2677" s="14" t="s">
        <v>1400</v>
      </c>
      <c r="AG2677" s="14" t="s">
        <v>95</v>
      </c>
    </row>
    <row r="2678" spans="2:33">
      <c r="B2678" s="14">
        <f>10000000+INDEX(编号表!$B:$B,MATCH(H2678,编号表!$A:$A,0))*100000+INDEX(编号表!$F:$F,MATCH(D2678,编号表!$E:$E,0))*10000+INDEX(编号表!$D:$D,MATCH(AG2678,编号表!$C:$C,0))*1000+F2678</f>
        <v>11925105</v>
      </c>
      <c r="C2678" s="14" t="s">
        <v>4759</v>
      </c>
      <c r="D2678" s="14" t="s">
        <v>112</v>
      </c>
      <c r="E2678" s="14" t="s">
        <v>95</v>
      </c>
      <c r="F2678" s="14">
        <v>105</v>
      </c>
      <c r="G2678" s="14">
        <v>60</v>
      </c>
      <c r="H2678" s="14" t="s">
        <v>1400</v>
      </c>
      <c r="I2678" s="14" t="s">
        <v>75</v>
      </c>
      <c r="J2678" s="14" t="s">
        <v>201</v>
      </c>
      <c r="K2678" s="14">
        <v>1</v>
      </c>
      <c r="L2678" s="14" t="s">
        <v>1400</v>
      </c>
      <c r="N2678" s="14">
        <v>0</v>
      </c>
      <c r="O2678" s="14" t="b">
        <v>1</v>
      </c>
      <c r="Q2678" s="14" t="b">
        <v>0</v>
      </c>
      <c r="R2678" s="14">
        <v>1</v>
      </c>
      <c r="S2678" s="14" t="s">
        <v>77</v>
      </c>
      <c r="T2678" s="14">
        <v>999</v>
      </c>
      <c r="U2678" s="14" t="s">
        <v>1401</v>
      </c>
      <c r="V2678" s="14">
        <v>31925105</v>
      </c>
      <c r="X2678" s="14" t="s">
        <v>4760</v>
      </c>
      <c r="Y2678" s="14" t="s">
        <v>215</v>
      </c>
      <c r="Z2678" s="14">
        <v>21441</v>
      </c>
      <c r="AA2678" s="14" t="s">
        <v>4761</v>
      </c>
      <c r="AB2678" s="14">
        <v>40001</v>
      </c>
      <c r="AE2678" s="14" t="s">
        <v>1400</v>
      </c>
      <c r="AF2678" s="14" t="s">
        <v>1400</v>
      </c>
      <c r="AG2678" s="14" t="s">
        <v>95</v>
      </c>
    </row>
    <row r="2679" spans="2:33">
      <c r="B2679" s="14">
        <f>10000000+INDEX(编号表!$B:$B,MATCH(H2679,编号表!$A:$A,0))*100000+INDEX(编号表!$F:$F,MATCH(D2679,编号表!$E:$E,0))*10000+INDEX(编号表!$D:$D,MATCH(AG2679,编号表!$C:$C,0))*1000+F2679</f>
        <v>11935106</v>
      </c>
      <c r="C2679" s="14" t="s">
        <v>4759</v>
      </c>
      <c r="D2679" s="14" t="s">
        <v>276</v>
      </c>
      <c r="E2679" s="14" t="s">
        <v>95</v>
      </c>
      <c r="F2679" s="14">
        <v>106</v>
      </c>
      <c r="G2679" s="14">
        <v>60</v>
      </c>
      <c r="H2679" s="14" t="s">
        <v>1400</v>
      </c>
      <c r="I2679" s="14" t="s">
        <v>75</v>
      </c>
      <c r="J2679" s="14" t="s">
        <v>201</v>
      </c>
      <c r="K2679" s="14">
        <v>1</v>
      </c>
      <c r="L2679" s="14" t="s">
        <v>1400</v>
      </c>
      <c r="N2679" s="14">
        <v>0</v>
      </c>
      <c r="O2679" s="14" t="b">
        <v>1</v>
      </c>
      <c r="Q2679" s="14" t="b">
        <v>0</v>
      </c>
      <c r="R2679" s="14">
        <v>1</v>
      </c>
      <c r="S2679" s="14" t="s">
        <v>77</v>
      </c>
      <c r="T2679" s="14">
        <v>999</v>
      </c>
      <c r="U2679" s="14" t="s">
        <v>1401</v>
      </c>
      <c r="V2679" s="14">
        <v>31935106</v>
      </c>
      <c r="X2679" s="14" t="s">
        <v>4762</v>
      </c>
      <c r="Y2679" s="14" t="s">
        <v>215</v>
      </c>
      <c r="Z2679" s="14">
        <v>21442</v>
      </c>
      <c r="AA2679" s="14" t="s">
        <v>4763</v>
      </c>
      <c r="AB2679" s="14">
        <v>40001</v>
      </c>
      <c r="AE2679" s="14" t="s">
        <v>1400</v>
      </c>
      <c r="AF2679" s="14" t="s">
        <v>1400</v>
      </c>
      <c r="AG2679" s="14" t="s">
        <v>95</v>
      </c>
    </row>
    <row r="2680" spans="2:33">
      <c r="B2680" s="14">
        <f>10000000+INDEX(编号表!$B:$B,MATCH(H2680,编号表!$A:$A,0))*100000+INDEX(编号表!$F:$F,MATCH(D2680,编号表!$E:$E,0))*10000+INDEX(编号表!$D:$D,MATCH(AG2680,编号表!$C:$C,0))*1000+F2680</f>
        <v>11945107</v>
      </c>
      <c r="C2680" s="14" t="s">
        <v>4759</v>
      </c>
      <c r="D2680" s="14" t="s">
        <v>104</v>
      </c>
      <c r="E2680" s="14" t="s">
        <v>95</v>
      </c>
      <c r="F2680" s="14">
        <v>107</v>
      </c>
      <c r="G2680" s="14">
        <v>60</v>
      </c>
      <c r="H2680" s="14" t="s">
        <v>1400</v>
      </c>
      <c r="I2680" s="14" t="s">
        <v>75</v>
      </c>
      <c r="J2680" s="14" t="s">
        <v>201</v>
      </c>
      <c r="K2680" s="14">
        <v>1</v>
      </c>
      <c r="L2680" s="14" t="s">
        <v>1400</v>
      </c>
      <c r="N2680" s="14">
        <v>0</v>
      </c>
      <c r="O2680" s="14" t="b">
        <v>1</v>
      </c>
      <c r="Q2680" s="14" t="b">
        <v>0</v>
      </c>
      <c r="R2680" s="14">
        <v>1</v>
      </c>
      <c r="S2680" s="14" t="s">
        <v>77</v>
      </c>
      <c r="T2680" s="14">
        <v>999</v>
      </c>
      <c r="U2680" s="14" t="s">
        <v>1401</v>
      </c>
      <c r="V2680" s="14">
        <v>31945107</v>
      </c>
      <c r="X2680" s="14" t="s">
        <v>4764</v>
      </c>
      <c r="Y2680" s="14" t="s">
        <v>215</v>
      </c>
      <c r="Z2680" s="14">
        <v>21443</v>
      </c>
      <c r="AA2680" s="14" t="s">
        <v>4765</v>
      </c>
      <c r="AB2680" s="14">
        <v>40001</v>
      </c>
      <c r="AE2680" s="14" t="s">
        <v>1400</v>
      </c>
      <c r="AF2680" s="14" t="s">
        <v>1400</v>
      </c>
      <c r="AG2680" s="14" t="s">
        <v>95</v>
      </c>
    </row>
    <row r="2681" spans="2:33">
      <c r="B2681" s="14">
        <f>10000000+INDEX(编号表!$B:$B,MATCH(H2681,编号表!$A:$A,0))*100000+INDEX(编号表!$F:$F,MATCH(D2681,编号表!$E:$E,0))*10000+INDEX(编号表!$D:$D,MATCH(AG2681,编号表!$C:$C,0))*1000+F2681</f>
        <v>11925106</v>
      </c>
      <c r="C2681" s="14" t="s">
        <v>4766</v>
      </c>
      <c r="D2681" s="14" t="s">
        <v>112</v>
      </c>
      <c r="E2681" s="14" t="s">
        <v>95</v>
      </c>
      <c r="F2681" s="14">
        <v>106</v>
      </c>
      <c r="G2681" s="14">
        <v>60</v>
      </c>
      <c r="H2681" s="14" t="s">
        <v>1400</v>
      </c>
      <c r="I2681" s="14" t="s">
        <v>75</v>
      </c>
      <c r="J2681" s="14" t="s">
        <v>201</v>
      </c>
      <c r="K2681" s="14">
        <v>1</v>
      </c>
      <c r="L2681" s="14" t="s">
        <v>1400</v>
      </c>
      <c r="N2681" s="14">
        <v>0</v>
      </c>
      <c r="O2681" s="14" t="b">
        <v>1</v>
      </c>
      <c r="Q2681" s="14" t="b">
        <v>0</v>
      </c>
      <c r="R2681" s="14">
        <v>1</v>
      </c>
      <c r="S2681" s="14" t="s">
        <v>77</v>
      </c>
      <c r="T2681" s="14">
        <v>999</v>
      </c>
      <c r="U2681" s="14" t="s">
        <v>1401</v>
      </c>
      <c r="V2681" s="14">
        <v>31925106</v>
      </c>
      <c r="X2681" s="14" t="s">
        <v>4767</v>
      </c>
      <c r="Y2681" s="14" t="s">
        <v>215</v>
      </c>
      <c r="Z2681" s="14">
        <v>21444</v>
      </c>
      <c r="AA2681" s="14" t="s">
        <v>4768</v>
      </c>
      <c r="AB2681" s="14">
        <v>40001</v>
      </c>
      <c r="AE2681" s="14" t="s">
        <v>1400</v>
      </c>
      <c r="AF2681" s="14" t="s">
        <v>1400</v>
      </c>
      <c r="AG2681" s="14" t="s">
        <v>95</v>
      </c>
    </row>
    <row r="2682" spans="2:33">
      <c r="B2682" s="14">
        <f>10000000+INDEX(编号表!$B:$B,MATCH(H2682,编号表!$A:$A,0))*100000+INDEX(编号表!$F:$F,MATCH(D2682,编号表!$E:$E,0))*10000+INDEX(编号表!$D:$D,MATCH(AG2682,编号表!$C:$C,0))*1000+F2682</f>
        <v>11935107</v>
      </c>
      <c r="C2682" s="14" t="s">
        <v>4766</v>
      </c>
      <c r="D2682" s="14" t="s">
        <v>276</v>
      </c>
      <c r="E2682" s="14" t="s">
        <v>95</v>
      </c>
      <c r="F2682" s="14">
        <v>107</v>
      </c>
      <c r="G2682" s="14">
        <v>60</v>
      </c>
      <c r="H2682" s="14" t="s">
        <v>1400</v>
      </c>
      <c r="I2682" s="14" t="s">
        <v>75</v>
      </c>
      <c r="J2682" s="14" t="s">
        <v>201</v>
      </c>
      <c r="K2682" s="14">
        <v>1</v>
      </c>
      <c r="L2682" s="14" t="s">
        <v>1400</v>
      </c>
      <c r="N2682" s="14">
        <v>0</v>
      </c>
      <c r="O2682" s="14" t="b">
        <v>1</v>
      </c>
      <c r="Q2682" s="14" t="b">
        <v>0</v>
      </c>
      <c r="R2682" s="14">
        <v>1</v>
      </c>
      <c r="S2682" s="14" t="s">
        <v>77</v>
      </c>
      <c r="T2682" s="14">
        <v>999</v>
      </c>
      <c r="U2682" s="14" t="s">
        <v>1401</v>
      </c>
      <c r="V2682" s="14">
        <v>31935107</v>
      </c>
      <c r="X2682" s="14" t="s">
        <v>4769</v>
      </c>
      <c r="Y2682" s="14" t="s">
        <v>215</v>
      </c>
      <c r="Z2682" s="14">
        <v>21445</v>
      </c>
      <c r="AA2682" s="14" t="s">
        <v>4770</v>
      </c>
      <c r="AB2682" s="14">
        <v>40001</v>
      </c>
      <c r="AE2682" s="14" t="s">
        <v>1400</v>
      </c>
      <c r="AF2682" s="14" t="s">
        <v>1400</v>
      </c>
      <c r="AG2682" s="14" t="s">
        <v>95</v>
      </c>
    </row>
    <row r="2683" spans="2:33">
      <c r="B2683" s="14">
        <f>10000000+INDEX(编号表!$B:$B,MATCH(H2683,编号表!$A:$A,0))*100000+INDEX(编号表!$F:$F,MATCH(D2683,编号表!$E:$E,0))*10000+INDEX(编号表!$D:$D,MATCH(AG2683,编号表!$C:$C,0))*1000+F2683</f>
        <v>11945108</v>
      </c>
      <c r="C2683" s="14" t="s">
        <v>4766</v>
      </c>
      <c r="D2683" s="14" t="s">
        <v>104</v>
      </c>
      <c r="E2683" s="14" t="s">
        <v>95</v>
      </c>
      <c r="F2683" s="14">
        <v>108</v>
      </c>
      <c r="G2683" s="14">
        <v>60</v>
      </c>
      <c r="H2683" s="14" t="s">
        <v>1400</v>
      </c>
      <c r="I2683" s="14" t="s">
        <v>75</v>
      </c>
      <c r="J2683" s="14" t="s">
        <v>201</v>
      </c>
      <c r="K2683" s="14">
        <v>1</v>
      </c>
      <c r="L2683" s="14" t="s">
        <v>1400</v>
      </c>
      <c r="N2683" s="14">
        <v>0</v>
      </c>
      <c r="O2683" s="14" t="b">
        <v>1</v>
      </c>
      <c r="Q2683" s="14" t="b">
        <v>0</v>
      </c>
      <c r="R2683" s="14">
        <v>1</v>
      </c>
      <c r="S2683" s="14" t="s">
        <v>77</v>
      </c>
      <c r="T2683" s="14">
        <v>999</v>
      </c>
      <c r="U2683" s="14" t="s">
        <v>1401</v>
      </c>
      <c r="V2683" s="14">
        <v>31945108</v>
      </c>
      <c r="X2683" s="14" t="s">
        <v>4771</v>
      </c>
      <c r="Y2683" s="14" t="s">
        <v>215</v>
      </c>
      <c r="Z2683" s="14">
        <v>21446</v>
      </c>
      <c r="AA2683" s="14" t="s">
        <v>4772</v>
      </c>
      <c r="AB2683" s="14">
        <v>40001</v>
      </c>
      <c r="AE2683" s="14" t="s">
        <v>1400</v>
      </c>
      <c r="AF2683" s="14" t="s">
        <v>1400</v>
      </c>
      <c r="AG2683" s="14" t="s">
        <v>95</v>
      </c>
    </row>
    <row r="2684" spans="2:33">
      <c r="B2684" s="14">
        <f>10000000+INDEX(编号表!$B:$B,MATCH(H2684,编号表!$A:$A,0))*100000+INDEX(编号表!$F:$F,MATCH(D2684,编号表!$E:$E,0))*10000+INDEX(编号表!$D:$D,MATCH(AG2684,编号表!$C:$C,0))*1000+F2684</f>
        <v>11925107</v>
      </c>
      <c r="C2684" s="14" t="s">
        <v>4773</v>
      </c>
      <c r="D2684" s="14" t="s">
        <v>112</v>
      </c>
      <c r="E2684" s="14" t="s">
        <v>95</v>
      </c>
      <c r="F2684" s="14">
        <v>107</v>
      </c>
      <c r="G2684" s="14">
        <v>60</v>
      </c>
      <c r="H2684" s="14" t="s">
        <v>1400</v>
      </c>
      <c r="I2684" s="14" t="s">
        <v>75</v>
      </c>
      <c r="J2684" s="14" t="s">
        <v>201</v>
      </c>
      <c r="K2684" s="14">
        <v>1</v>
      </c>
      <c r="L2684" s="14" t="s">
        <v>1400</v>
      </c>
      <c r="N2684" s="14">
        <v>0</v>
      </c>
      <c r="O2684" s="14" t="b">
        <v>1</v>
      </c>
      <c r="Q2684" s="14" t="b">
        <v>0</v>
      </c>
      <c r="R2684" s="14">
        <v>1</v>
      </c>
      <c r="S2684" s="14" t="s">
        <v>77</v>
      </c>
      <c r="T2684" s="14">
        <v>999</v>
      </c>
      <c r="U2684" s="14" t="s">
        <v>1401</v>
      </c>
      <c r="V2684" s="14">
        <v>31925107</v>
      </c>
      <c r="X2684" s="14" t="s">
        <v>4774</v>
      </c>
      <c r="Y2684" s="14" t="s">
        <v>215</v>
      </c>
      <c r="Z2684" s="14">
        <v>21447</v>
      </c>
      <c r="AA2684" s="14" t="s">
        <v>4775</v>
      </c>
      <c r="AB2684" s="14">
        <v>40001</v>
      </c>
      <c r="AE2684" s="14" t="s">
        <v>1400</v>
      </c>
      <c r="AF2684" s="14" t="s">
        <v>1400</v>
      </c>
      <c r="AG2684" s="14" t="s">
        <v>95</v>
      </c>
    </row>
    <row r="2685" spans="2:33">
      <c r="B2685" s="14">
        <f>10000000+INDEX(编号表!$B:$B,MATCH(H2685,编号表!$A:$A,0))*100000+INDEX(编号表!$F:$F,MATCH(D2685,编号表!$E:$E,0))*10000+INDEX(编号表!$D:$D,MATCH(AG2685,编号表!$C:$C,0))*1000+F2685</f>
        <v>11935108</v>
      </c>
      <c r="C2685" s="14" t="s">
        <v>4773</v>
      </c>
      <c r="D2685" s="14" t="s">
        <v>276</v>
      </c>
      <c r="E2685" s="14" t="s">
        <v>95</v>
      </c>
      <c r="F2685" s="14">
        <v>108</v>
      </c>
      <c r="G2685" s="14">
        <v>60</v>
      </c>
      <c r="H2685" s="14" t="s">
        <v>1400</v>
      </c>
      <c r="I2685" s="14" t="s">
        <v>75</v>
      </c>
      <c r="J2685" s="14" t="s">
        <v>201</v>
      </c>
      <c r="K2685" s="14">
        <v>1</v>
      </c>
      <c r="L2685" s="14" t="s">
        <v>1400</v>
      </c>
      <c r="N2685" s="14">
        <v>0</v>
      </c>
      <c r="O2685" s="14" t="b">
        <v>1</v>
      </c>
      <c r="Q2685" s="14" t="b">
        <v>0</v>
      </c>
      <c r="R2685" s="14">
        <v>1</v>
      </c>
      <c r="S2685" s="14" t="s">
        <v>77</v>
      </c>
      <c r="T2685" s="14">
        <v>999</v>
      </c>
      <c r="U2685" s="14" t="s">
        <v>1401</v>
      </c>
      <c r="V2685" s="14">
        <v>31935108</v>
      </c>
      <c r="X2685" s="14" t="s">
        <v>4776</v>
      </c>
      <c r="Y2685" s="14" t="s">
        <v>215</v>
      </c>
      <c r="Z2685" s="14">
        <v>21448</v>
      </c>
      <c r="AA2685" s="14" t="s">
        <v>4777</v>
      </c>
      <c r="AB2685" s="14">
        <v>40001</v>
      </c>
      <c r="AE2685" s="14" t="s">
        <v>1400</v>
      </c>
      <c r="AF2685" s="14" t="s">
        <v>1400</v>
      </c>
      <c r="AG2685" s="14" t="s">
        <v>95</v>
      </c>
    </row>
    <row r="2686" spans="2:33">
      <c r="B2686" s="14">
        <f>10000000+INDEX(编号表!$B:$B,MATCH(H2686,编号表!$A:$A,0))*100000+INDEX(编号表!$F:$F,MATCH(D2686,编号表!$E:$E,0))*10000+INDEX(编号表!$D:$D,MATCH(AG2686,编号表!$C:$C,0))*1000+F2686</f>
        <v>11945109</v>
      </c>
      <c r="C2686" s="14" t="s">
        <v>4773</v>
      </c>
      <c r="D2686" s="14" t="s">
        <v>104</v>
      </c>
      <c r="E2686" s="14" t="s">
        <v>95</v>
      </c>
      <c r="F2686" s="14">
        <v>109</v>
      </c>
      <c r="G2686" s="14">
        <v>60</v>
      </c>
      <c r="H2686" s="14" t="s">
        <v>1400</v>
      </c>
      <c r="I2686" s="14" t="s">
        <v>75</v>
      </c>
      <c r="J2686" s="14" t="s">
        <v>201</v>
      </c>
      <c r="K2686" s="14">
        <v>1</v>
      </c>
      <c r="L2686" s="14" t="s">
        <v>1400</v>
      </c>
      <c r="N2686" s="14">
        <v>0</v>
      </c>
      <c r="O2686" s="14" t="b">
        <v>1</v>
      </c>
      <c r="Q2686" s="14" t="b">
        <v>0</v>
      </c>
      <c r="R2686" s="14">
        <v>1</v>
      </c>
      <c r="S2686" s="14" t="s">
        <v>77</v>
      </c>
      <c r="T2686" s="14">
        <v>999</v>
      </c>
      <c r="U2686" s="14" t="s">
        <v>1401</v>
      </c>
      <c r="V2686" s="14">
        <v>31945109</v>
      </c>
      <c r="X2686" s="14" t="s">
        <v>4778</v>
      </c>
      <c r="Y2686" s="14" t="s">
        <v>215</v>
      </c>
      <c r="Z2686" s="14">
        <v>21449</v>
      </c>
      <c r="AA2686" s="14" t="s">
        <v>4779</v>
      </c>
      <c r="AB2686" s="14">
        <v>40001</v>
      </c>
      <c r="AE2686" s="14" t="s">
        <v>1400</v>
      </c>
      <c r="AF2686" s="14" t="s">
        <v>1400</v>
      </c>
      <c r="AG2686" s="14" t="s">
        <v>95</v>
      </c>
    </row>
    <row r="2687" spans="2:33">
      <c r="B2687" s="14">
        <f>10000000+INDEX(编号表!$B:$B,MATCH(H2687,编号表!$A:$A,0))*100000+INDEX(编号表!$F:$F,MATCH(D2687,编号表!$E:$E,0))*10000+INDEX(编号表!$D:$D,MATCH(AG2687,编号表!$C:$C,0))*1000+F2687</f>
        <v>11925108</v>
      </c>
      <c r="C2687" s="14" t="s">
        <v>4780</v>
      </c>
      <c r="D2687" s="14" t="s">
        <v>112</v>
      </c>
      <c r="E2687" s="14" t="s">
        <v>95</v>
      </c>
      <c r="F2687" s="14">
        <v>108</v>
      </c>
      <c r="G2687" s="14">
        <v>60</v>
      </c>
      <c r="H2687" s="14" t="s">
        <v>1400</v>
      </c>
      <c r="I2687" s="14" t="s">
        <v>75</v>
      </c>
      <c r="J2687" s="14" t="s">
        <v>201</v>
      </c>
      <c r="K2687" s="14">
        <v>1</v>
      </c>
      <c r="L2687" s="14" t="s">
        <v>1400</v>
      </c>
      <c r="N2687" s="14">
        <v>0</v>
      </c>
      <c r="O2687" s="14" t="b">
        <v>1</v>
      </c>
      <c r="Q2687" s="14" t="b">
        <v>0</v>
      </c>
      <c r="R2687" s="14">
        <v>1</v>
      </c>
      <c r="S2687" s="14" t="s">
        <v>77</v>
      </c>
      <c r="T2687" s="14">
        <v>999</v>
      </c>
      <c r="U2687" s="14" t="s">
        <v>1401</v>
      </c>
      <c r="V2687" s="14">
        <v>31925108</v>
      </c>
      <c r="X2687" s="14" t="s">
        <v>4781</v>
      </c>
      <c r="Y2687" s="14" t="s">
        <v>215</v>
      </c>
      <c r="Z2687" s="14">
        <v>21450</v>
      </c>
      <c r="AA2687" s="14" t="s">
        <v>4782</v>
      </c>
      <c r="AB2687" s="14">
        <v>40001</v>
      </c>
      <c r="AE2687" s="14" t="s">
        <v>1400</v>
      </c>
      <c r="AF2687" s="14" t="s">
        <v>1400</v>
      </c>
      <c r="AG2687" s="14" t="s">
        <v>95</v>
      </c>
    </row>
    <row r="2688" spans="2:33">
      <c r="B2688" s="14">
        <f>10000000+INDEX(编号表!$B:$B,MATCH(H2688,编号表!$A:$A,0))*100000+INDEX(编号表!$F:$F,MATCH(D2688,编号表!$E:$E,0))*10000+INDEX(编号表!$D:$D,MATCH(AG2688,编号表!$C:$C,0))*1000+F2688</f>
        <v>11935109</v>
      </c>
      <c r="C2688" s="14" t="s">
        <v>4780</v>
      </c>
      <c r="D2688" s="14" t="s">
        <v>276</v>
      </c>
      <c r="E2688" s="14" t="s">
        <v>95</v>
      </c>
      <c r="F2688" s="14">
        <v>109</v>
      </c>
      <c r="G2688" s="14">
        <v>60</v>
      </c>
      <c r="H2688" s="14" t="s">
        <v>1400</v>
      </c>
      <c r="I2688" s="14" t="s">
        <v>75</v>
      </c>
      <c r="J2688" s="14" t="s">
        <v>201</v>
      </c>
      <c r="K2688" s="14">
        <v>1</v>
      </c>
      <c r="L2688" s="14" t="s">
        <v>1400</v>
      </c>
      <c r="N2688" s="14">
        <v>0</v>
      </c>
      <c r="O2688" s="14" t="b">
        <v>1</v>
      </c>
      <c r="Q2688" s="14" t="b">
        <v>0</v>
      </c>
      <c r="R2688" s="14">
        <v>1</v>
      </c>
      <c r="S2688" s="14" t="s">
        <v>77</v>
      </c>
      <c r="T2688" s="14">
        <v>999</v>
      </c>
      <c r="U2688" s="14" t="s">
        <v>1401</v>
      </c>
      <c r="V2688" s="14">
        <v>31935109</v>
      </c>
      <c r="X2688" s="14" t="s">
        <v>4783</v>
      </c>
      <c r="Y2688" s="14" t="s">
        <v>215</v>
      </c>
      <c r="Z2688" s="14">
        <v>21451</v>
      </c>
      <c r="AA2688" s="14" t="s">
        <v>4784</v>
      </c>
      <c r="AB2688" s="14">
        <v>40001</v>
      </c>
      <c r="AE2688" s="14" t="s">
        <v>1400</v>
      </c>
      <c r="AF2688" s="14" t="s">
        <v>1400</v>
      </c>
      <c r="AG2688" s="14" t="s">
        <v>95</v>
      </c>
    </row>
    <row r="2689" spans="2:33">
      <c r="B2689" s="14">
        <f>10000000+INDEX(编号表!$B:$B,MATCH(H2689,编号表!$A:$A,0))*100000+INDEX(编号表!$F:$F,MATCH(D2689,编号表!$E:$E,0))*10000+INDEX(编号表!$D:$D,MATCH(AG2689,编号表!$C:$C,0))*1000+F2689</f>
        <v>11945110</v>
      </c>
      <c r="C2689" s="14" t="s">
        <v>4780</v>
      </c>
      <c r="D2689" s="14" t="s">
        <v>104</v>
      </c>
      <c r="E2689" s="14" t="s">
        <v>95</v>
      </c>
      <c r="F2689" s="14">
        <v>110</v>
      </c>
      <c r="G2689" s="14">
        <v>60</v>
      </c>
      <c r="H2689" s="14" t="s">
        <v>1400</v>
      </c>
      <c r="I2689" s="14" t="s">
        <v>75</v>
      </c>
      <c r="J2689" s="14" t="s">
        <v>201</v>
      </c>
      <c r="K2689" s="14">
        <v>1</v>
      </c>
      <c r="L2689" s="14" t="s">
        <v>1400</v>
      </c>
      <c r="N2689" s="14">
        <v>0</v>
      </c>
      <c r="O2689" s="14" t="b">
        <v>1</v>
      </c>
      <c r="Q2689" s="14" t="b">
        <v>0</v>
      </c>
      <c r="R2689" s="14">
        <v>1</v>
      </c>
      <c r="S2689" s="14" t="s">
        <v>77</v>
      </c>
      <c r="T2689" s="14">
        <v>999</v>
      </c>
      <c r="U2689" s="14" t="s">
        <v>1401</v>
      </c>
      <c r="V2689" s="14">
        <v>31945110</v>
      </c>
      <c r="X2689" s="14" t="s">
        <v>4785</v>
      </c>
      <c r="Y2689" s="14" t="s">
        <v>215</v>
      </c>
      <c r="Z2689" s="14">
        <v>21452</v>
      </c>
      <c r="AA2689" s="14" t="s">
        <v>4786</v>
      </c>
      <c r="AB2689" s="14">
        <v>40001</v>
      </c>
      <c r="AE2689" s="14" t="s">
        <v>1400</v>
      </c>
      <c r="AF2689" s="14" t="s">
        <v>1400</v>
      </c>
      <c r="AG2689" s="14" t="s">
        <v>95</v>
      </c>
    </row>
    <row r="2690" spans="2:33">
      <c r="B2690" s="14">
        <f>10000000+INDEX(编号表!$B:$B,MATCH(H2690,编号表!$A:$A,0))*100000+INDEX(编号表!$F:$F,MATCH(D2690,编号表!$E:$E,0))*10000+INDEX(编号表!$D:$D,MATCH(AG2690,编号表!$C:$C,0))*1000+F2690</f>
        <v>11925109</v>
      </c>
      <c r="C2690" s="14" t="s">
        <v>4787</v>
      </c>
      <c r="D2690" s="14" t="s">
        <v>112</v>
      </c>
      <c r="E2690" s="14" t="s">
        <v>95</v>
      </c>
      <c r="F2690" s="14">
        <v>109</v>
      </c>
      <c r="G2690" s="14">
        <v>60</v>
      </c>
      <c r="H2690" s="14" t="s">
        <v>1400</v>
      </c>
      <c r="I2690" s="14" t="s">
        <v>75</v>
      </c>
      <c r="J2690" s="14" t="s">
        <v>201</v>
      </c>
      <c r="K2690" s="14">
        <v>1</v>
      </c>
      <c r="L2690" s="14" t="s">
        <v>1400</v>
      </c>
      <c r="N2690" s="14">
        <v>0</v>
      </c>
      <c r="O2690" s="14" t="b">
        <v>1</v>
      </c>
      <c r="Q2690" s="14" t="b">
        <v>0</v>
      </c>
      <c r="R2690" s="14">
        <v>1</v>
      </c>
      <c r="S2690" s="14" t="s">
        <v>77</v>
      </c>
      <c r="T2690" s="14">
        <v>999</v>
      </c>
      <c r="U2690" s="14" t="s">
        <v>1401</v>
      </c>
      <c r="V2690" s="14">
        <v>31925109</v>
      </c>
      <c r="X2690" s="14" t="s">
        <v>4788</v>
      </c>
      <c r="Y2690" s="14" t="s">
        <v>215</v>
      </c>
      <c r="Z2690" s="14">
        <v>21453</v>
      </c>
      <c r="AA2690" s="14" t="s">
        <v>4789</v>
      </c>
      <c r="AB2690" s="14">
        <v>40001</v>
      </c>
      <c r="AE2690" s="14" t="s">
        <v>1400</v>
      </c>
      <c r="AF2690" s="14" t="s">
        <v>1400</v>
      </c>
      <c r="AG2690" s="14" t="s">
        <v>95</v>
      </c>
    </row>
    <row r="2691" spans="2:33">
      <c r="B2691" s="14">
        <f>10000000+INDEX(编号表!$B:$B,MATCH(H2691,编号表!$A:$A,0))*100000+INDEX(编号表!$F:$F,MATCH(D2691,编号表!$E:$E,0))*10000+INDEX(编号表!$D:$D,MATCH(AG2691,编号表!$C:$C,0))*1000+F2691</f>
        <v>11935110</v>
      </c>
      <c r="C2691" s="14" t="s">
        <v>4787</v>
      </c>
      <c r="D2691" s="14" t="s">
        <v>276</v>
      </c>
      <c r="E2691" s="14" t="s">
        <v>95</v>
      </c>
      <c r="F2691" s="14">
        <v>110</v>
      </c>
      <c r="G2691" s="14">
        <v>60</v>
      </c>
      <c r="H2691" s="14" t="s">
        <v>1400</v>
      </c>
      <c r="I2691" s="14" t="s">
        <v>75</v>
      </c>
      <c r="J2691" s="14" t="s">
        <v>201</v>
      </c>
      <c r="K2691" s="14">
        <v>1</v>
      </c>
      <c r="L2691" s="14" t="s">
        <v>1400</v>
      </c>
      <c r="N2691" s="14">
        <v>0</v>
      </c>
      <c r="O2691" s="14" t="b">
        <v>1</v>
      </c>
      <c r="Q2691" s="14" t="b">
        <v>0</v>
      </c>
      <c r="R2691" s="14">
        <v>1</v>
      </c>
      <c r="S2691" s="14" t="s">
        <v>77</v>
      </c>
      <c r="T2691" s="14">
        <v>999</v>
      </c>
      <c r="U2691" s="14" t="s">
        <v>1401</v>
      </c>
      <c r="V2691" s="14">
        <v>31935110</v>
      </c>
      <c r="X2691" s="14" t="s">
        <v>4790</v>
      </c>
      <c r="Y2691" s="14" t="s">
        <v>215</v>
      </c>
      <c r="Z2691" s="14">
        <v>21454</v>
      </c>
      <c r="AA2691" s="14" t="s">
        <v>4791</v>
      </c>
      <c r="AB2691" s="14">
        <v>40001</v>
      </c>
      <c r="AE2691" s="14" t="s">
        <v>1400</v>
      </c>
      <c r="AF2691" s="14" t="s">
        <v>1400</v>
      </c>
      <c r="AG2691" s="14" t="s">
        <v>95</v>
      </c>
    </row>
    <row r="2692" spans="2:33">
      <c r="B2692" s="14">
        <f>10000000+INDEX(编号表!$B:$B,MATCH(H2692,编号表!$A:$A,0))*100000+INDEX(编号表!$F:$F,MATCH(D2692,编号表!$E:$E,0))*10000+INDEX(编号表!$D:$D,MATCH(AG2692,编号表!$C:$C,0))*1000+F2692</f>
        <v>11945111</v>
      </c>
      <c r="C2692" s="14" t="s">
        <v>4787</v>
      </c>
      <c r="D2692" s="14" t="s">
        <v>104</v>
      </c>
      <c r="E2692" s="14" t="s">
        <v>95</v>
      </c>
      <c r="F2692" s="14">
        <v>111</v>
      </c>
      <c r="G2692" s="14">
        <v>60</v>
      </c>
      <c r="H2692" s="14" t="s">
        <v>1400</v>
      </c>
      <c r="I2692" s="14" t="s">
        <v>75</v>
      </c>
      <c r="J2692" s="14" t="s">
        <v>201</v>
      </c>
      <c r="K2692" s="14">
        <v>1</v>
      </c>
      <c r="L2692" s="14" t="s">
        <v>1400</v>
      </c>
      <c r="N2692" s="14">
        <v>0</v>
      </c>
      <c r="O2692" s="14" t="b">
        <v>1</v>
      </c>
      <c r="Q2692" s="14" t="b">
        <v>0</v>
      </c>
      <c r="R2692" s="14">
        <v>1</v>
      </c>
      <c r="S2692" s="14" t="s">
        <v>77</v>
      </c>
      <c r="T2692" s="14">
        <v>999</v>
      </c>
      <c r="U2692" s="14" t="s">
        <v>1401</v>
      </c>
      <c r="V2692" s="14">
        <v>31945111</v>
      </c>
      <c r="X2692" s="14" t="s">
        <v>4792</v>
      </c>
      <c r="Y2692" s="14" t="s">
        <v>215</v>
      </c>
      <c r="Z2692" s="14">
        <v>21455</v>
      </c>
      <c r="AA2692" s="14" t="s">
        <v>4793</v>
      </c>
      <c r="AB2692" s="14">
        <v>40001</v>
      </c>
      <c r="AE2692" s="14" t="s">
        <v>1400</v>
      </c>
      <c r="AF2692" s="14" t="s">
        <v>1400</v>
      </c>
      <c r="AG2692" s="14" t="s">
        <v>95</v>
      </c>
    </row>
    <row r="2693" spans="2:33">
      <c r="B2693" s="14">
        <f>10000000+INDEX(编号表!$B:$B,MATCH(H2693,编号表!$A:$A,0))*100000+INDEX(编号表!$F:$F,MATCH(D2693,编号表!$E:$E,0))*10000+INDEX(编号表!$D:$D,MATCH(AG2693,编号表!$C:$C,0))*1000+F2693</f>
        <v>11925110</v>
      </c>
      <c r="C2693" s="14" t="s">
        <v>4794</v>
      </c>
      <c r="D2693" s="14" t="s">
        <v>112</v>
      </c>
      <c r="E2693" s="14" t="s">
        <v>95</v>
      </c>
      <c r="F2693" s="14">
        <v>110</v>
      </c>
      <c r="G2693" s="14">
        <v>60</v>
      </c>
      <c r="H2693" s="14" t="s">
        <v>1400</v>
      </c>
      <c r="I2693" s="14" t="s">
        <v>75</v>
      </c>
      <c r="J2693" s="14" t="s">
        <v>201</v>
      </c>
      <c r="K2693" s="14">
        <v>1</v>
      </c>
      <c r="L2693" s="14" t="s">
        <v>1400</v>
      </c>
      <c r="N2693" s="14">
        <v>0</v>
      </c>
      <c r="O2693" s="14" t="b">
        <v>1</v>
      </c>
      <c r="Q2693" s="14" t="b">
        <v>0</v>
      </c>
      <c r="R2693" s="14">
        <v>1</v>
      </c>
      <c r="S2693" s="14" t="s">
        <v>77</v>
      </c>
      <c r="T2693" s="14">
        <v>999</v>
      </c>
      <c r="U2693" s="14" t="s">
        <v>1401</v>
      </c>
      <c r="V2693" s="14">
        <v>31925110</v>
      </c>
      <c r="X2693" s="14" t="s">
        <v>4795</v>
      </c>
      <c r="Y2693" s="14" t="s">
        <v>215</v>
      </c>
      <c r="Z2693" s="14">
        <v>21456</v>
      </c>
      <c r="AA2693" s="14" t="s">
        <v>4796</v>
      </c>
      <c r="AB2693" s="14">
        <v>40001</v>
      </c>
      <c r="AE2693" s="14" t="s">
        <v>1400</v>
      </c>
      <c r="AF2693" s="14" t="s">
        <v>1400</v>
      </c>
      <c r="AG2693" s="14" t="s">
        <v>95</v>
      </c>
    </row>
    <row r="2694" spans="2:33">
      <c r="B2694" s="14">
        <f>10000000+INDEX(编号表!$B:$B,MATCH(H2694,编号表!$A:$A,0))*100000+INDEX(编号表!$F:$F,MATCH(D2694,编号表!$E:$E,0))*10000+INDEX(编号表!$D:$D,MATCH(AG2694,编号表!$C:$C,0))*1000+F2694</f>
        <v>11935111</v>
      </c>
      <c r="C2694" s="14" t="s">
        <v>4794</v>
      </c>
      <c r="D2694" s="14" t="s">
        <v>276</v>
      </c>
      <c r="E2694" s="14" t="s">
        <v>95</v>
      </c>
      <c r="F2694" s="14">
        <v>111</v>
      </c>
      <c r="G2694" s="14">
        <v>60</v>
      </c>
      <c r="H2694" s="14" t="s">
        <v>1400</v>
      </c>
      <c r="I2694" s="14" t="s">
        <v>75</v>
      </c>
      <c r="J2694" s="14" t="s">
        <v>201</v>
      </c>
      <c r="K2694" s="14">
        <v>1</v>
      </c>
      <c r="L2694" s="14" t="s">
        <v>1400</v>
      </c>
      <c r="N2694" s="14">
        <v>0</v>
      </c>
      <c r="O2694" s="14" t="b">
        <v>1</v>
      </c>
      <c r="Q2694" s="14" t="b">
        <v>0</v>
      </c>
      <c r="R2694" s="14">
        <v>1</v>
      </c>
      <c r="S2694" s="14" t="s">
        <v>77</v>
      </c>
      <c r="T2694" s="14">
        <v>999</v>
      </c>
      <c r="U2694" s="14" t="s">
        <v>1401</v>
      </c>
      <c r="V2694" s="14">
        <v>31935111</v>
      </c>
      <c r="X2694" s="14" t="s">
        <v>4797</v>
      </c>
      <c r="Y2694" s="14" t="s">
        <v>215</v>
      </c>
      <c r="Z2694" s="14">
        <v>21457</v>
      </c>
      <c r="AA2694" s="14" t="s">
        <v>4798</v>
      </c>
      <c r="AB2694" s="14">
        <v>40001</v>
      </c>
      <c r="AE2694" s="14" t="s">
        <v>1400</v>
      </c>
      <c r="AF2694" s="14" t="s">
        <v>1400</v>
      </c>
      <c r="AG2694" s="14" t="s">
        <v>95</v>
      </c>
    </row>
    <row r="2695" spans="2:33">
      <c r="B2695" s="14">
        <f>10000000+INDEX(编号表!$B:$B,MATCH(H2695,编号表!$A:$A,0))*100000+INDEX(编号表!$F:$F,MATCH(D2695,编号表!$E:$E,0))*10000+INDEX(编号表!$D:$D,MATCH(AG2695,编号表!$C:$C,0))*1000+F2695</f>
        <v>11945112</v>
      </c>
      <c r="C2695" s="14" t="s">
        <v>4794</v>
      </c>
      <c r="D2695" s="14" t="s">
        <v>104</v>
      </c>
      <c r="E2695" s="14" t="s">
        <v>95</v>
      </c>
      <c r="F2695" s="14">
        <v>112</v>
      </c>
      <c r="G2695" s="14">
        <v>60</v>
      </c>
      <c r="H2695" s="14" t="s">
        <v>1400</v>
      </c>
      <c r="I2695" s="14" t="s">
        <v>75</v>
      </c>
      <c r="J2695" s="14" t="s">
        <v>201</v>
      </c>
      <c r="K2695" s="14">
        <v>1</v>
      </c>
      <c r="L2695" s="14" t="s">
        <v>1400</v>
      </c>
      <c r="N2695" s="14">
        <v>0</v>
      </c>
      <c r="O2695" s="14" t="b">
        <v>1</v>
      </c>
      <c r="Q2695" s="14" t="b">
        <v>0</v>
      </c>
      <c r="R2695" s="14">
        <v>1</v>
      </c>
      <c r="S2695" s="14" t="s">
        <v>77</v>
      </c>
      <c r="T2695" s="14">
        <v>999</v>
      </c>
      <c r="U2695" s="14" t="s">
        <v>1401</v>
      </c>
      <c r="V2695" s="14">
        <v>31945112</v>
      </c>
      <c r="X2695" s="14" t="s">
        <v>4799</v>
      </c>
      <c r="Y2695" s="14" t="s">
        <v>215</v>
      </c>
      <c r="Z2695" s="14">
        <v>21458</v>
      </c>
      <c r="AA2695" s="14" t="s">
        <v>4800</v>
      </c>
      <c r="AB2695" s="14">
        <v>40001</v>
      </c>
      <c r="AE2695" s="14" t="s">
        <v>1400</v>
      </c>
      <c r="AF2695" s="14" t="s">
        <v>1400</v>
      </c>
      <c r="AG2695" s="14" t="s">
        <v>95</v>
      </c>
    </row>
    <row r="2696" spans="2:33">
      <c r="B2696" s="14">
        <f>10000000+INDEX(编号表!$B:$B,MATCH(H2696,编号表!$A:$A,0))*100000+INDEX(编号表!$F:$F,MATCH(D2696,编号表!$E:$E,0))*10000+INDEX(编号表!$D:$D,MATCH(AG2696,编号表!$C:$C,0))*1000+F2696</f>
        <v>11925111</v>
      </c>
      <c r="C2696" s="14" t="s">
        <v>4801</v>
      </c>
      <c r="D2696" s="14" t="s">
        <v>112</v>
      </c>
      <c r="E2696" s="14" t="s">
        <v>95</v>
      </c>
      <c r="F2696" s="14">
        <v>111</v>
      </c>
      <c r="G2696" s="14">
        <v>60</v>
      </c>
      <c r="H2696" s="14" t="s">
        <v>1400</v>
      </c>
      <c r="I2696" s="14" t="s">
        <v>75</v>
      </c>
      <c r="J2696" s="14" t="s">
        <v>201</v>
      </c>
      <c r="K2696" s="14">
        <v>1</v>
      </c>
      <c r="L2696" s="14" t="s">
        <v>1400</v>
      </c>
      <c r="N2696" s="14">
        <v>0</v>
      </c>
      <c r="O2696" s="14" t="b">
        <v>1</v>
      </c>
      <c r="Q2696" s="14" t="b">
        <v>0</v>
      </c>
      <c r="R2696" s="14">
        <v>1</v>
      </c>
      <c r="S2696" s="14" t="s">
        <v>77</v>
      </c>
      <c r="T2696" s="14">
        <v>999</v>
      </c>
      <c r="U2696" s="14" t="s">
        <v>1401</v>
      </c>
      <c r="V2696" s="14">
        <v>31925111</v>
      </c>
      <c r="X2696" s="14" t="s">
        <v>4802</v>
      </c>
      <c r="Y2696" s="14" t="s">
        <v>215</v>
      </c>
      <c r="Z2696" s="14">
        <v>21459</v>
      </c>
      <c r="AA2696" s="14" t="s">
        <v>4803</v>
      </c>
      <c r="AB2696" s="14">
        <v>40001</v>
      </c>
      <c r="AE2696" s="14" t="s">
        <v>1400</v>
      </c>
      <c r="AF2696" s="14" t="s">
        <v>1400</v>
      </c>
      <c r="AG2696" s="14" t="s">
        <v>95</v>
      </c>
    </row>
    <row r="2697" spans="2:33">
      <c r="B2697" s="14">
        <f>10000000+INDEX(编号表!$B:$B,MATCH(H2697,编号表!$A:$A,0))*100000+INDEX(编号表!$F:$F,MATCH(D2697,编号表!$E:$E,0))*10000+INDEX(编号表!$D:$D,MATCH(AG2697,编号表!$C:$C,0))*1000+F2697</f>
        <v>11935112</v>
      </c>
      <c r="C2697" s="14" t="s">
        <v>4801</v>
      </c>
      <c r="D2697" s="14" t="s">
        <v>276</v>
      </c>
      <c r="E2697" s="14" t="s">
        <v>95</v>
      </c>
      <c r="F2697" s="14">
        <v>112</v>
      </c>
      <c r="G2697" s="14">
        <v>60</v>
      </c>
      <c r="H2697" s="14" t="s">
        <v>1400</v>
      </c>
      <c r="I2697" s="14" t="s">
        <v>75</v>
      </c>
      <c r="J2697" s="14" t="s">
        <v>201</v>
      </c>
      <c r="K2697" s="14">
        <v>1</v>
      </c>
      <c r="L2697" s="14" t="s">
        <v>1400</v>
      </c>
      <c r="N2697" s="14">
        <v>0</v>
      </c>
      <c r="O2697" s="14" t="b">
        <v>1</v>
      </c>
      <c r="Q2697" s="14" t="b">
        <v>0</v>
      </c>
      <c r="R2697" s="14">
        <v>1</v>
      </c>
      <c r="S2697" s="14" t="s">
        <v>77</v>
      </c>
      <c r="T2697" s="14">
        <v>999</v>
      </c>
      <c r="U2697" s="14" t="s">
        <v>1401</v>
      </c>
      <c r="V2697" s="14">
        <v>31935112</v>
      </c>
      <c r="X2697" s="14" t="s">
        <v>4804</v>
      </c>
      <c r="Y2697" s="14" t="s">
        <v>215</v>
      </c>
      <c r="Z2697" s="14">
        <v>21460</v>
      </c>
      <c r="AA2697" s="14" t="s">
        <v>4805</v>
      </c>
      <c r="AB2697" s="14">
        <v>40001</v>
      </c>
      <c r="AE2697" s="14" t="s">
        <v>1400</v>
      </c>
      <c r="AF2697" s="14" t="s">
        <v>1400</v>
      </c>
      <c r="AG2697" s="14" t="s">
        <v>95</v>
      </c>
    </row>
    <row r="2698" spans="2:33">
      <c r="B2698" s="14">
        <f>10000000+INDEX(编号表!$B:$B,MATCH(H2698,编号表!$A:$A,0))*100000+INDEX(编号表!$F:$F,MATCH(D2698,编号表!$E:$E,0))*10000+INDEX(编号表!$D:$D,MATCH(AG2698,编号表!$C:$C,0))*1000+F2698</f>
        <v>11945113</v>
      </c>
      <c r="C2698" s="14" t="s">
        <v>4801</v>
      </c>
      <c r="D2698" s="14" t="s">
        <v>104</v>
      </c>
      <c r="E2698" s="14" t="s">
        <v>95</v>
      </c>
      <c r="F2698" s="14">
        <v>113</v>
      </c>
      <c r="G2698" s="14">
        <v>60</v>
      </c>
      <c r="H2698" s="14" t="s">
        <v>1400</v>
      </c>
      <c r="I2698" s="14" t="s">
        <v>75</v>
      </c>
      <c r="J2698" s="14" t="s">
        <v>201</v>
      </c>
      <c r="K2698" s="14">
        <v>1</v>
      </c>
      <c r="L2698" s="14" t="s">
        <v>1400</v>
      </c>
      <c r="N2698" s="14">
        <v>0</v>
      </c>
      <c r="O2698" s="14" t="b">
        <v>1</v>
      </c>
      <c r="Q2698" s="14" t="b">
        <v>0</v>
      </c>
      <c r="R2698" s="14">
        <v>1</v>
      </c>
      <c r="S2698" s="14" t="s">
        <v>77</v>
      </c>
      <c r="T2698" s="14">
        <v>999</v>
      </c>
      <c r="U2698" s="14" t="s">
        <v>1401</v>
      </c>
      <c r="V2698" s="14">
        <v>31945113</v>
      </c>
      <c r="X2698" s="14" t="s">
        <v>4806</v>
      </c>
      <c r="Y2698" s="14" t="s">
        <v>215</v>
      </c>
      <c r="Z2698" s="14">
        <v>21461</v>
      </c>
      <c r="AA2698" s="14" t="s">
        <v>4807</v>
      </c>
      <c r="AB2698" s="14">
        <v>40001</v>
      </c>
      <c r="AE2698" s="14" t="s">
        <v>1400</v>
      </c>
      <c r="AF2698" s="14" t="s">
        <v>1400</v>
      </c>
      <c r="AG2698" s="14" t="s">
        <v>95</v>
      </c>
    </row>
    <row r="2699" spans="2:33">
      <c r="B2699" s="14">
        <f>10000000+INDEX(编号表!$B:$B,MATCH(H2699,编号表!$A:$A,0))*100000+INDEX(编号表!$F:$F,MATCH(D2699,编号表!$E:$E,0))*10000+INDEX(编号表!$D:$D,MATCH(AG2699,编号表!$C:$C,0))*1000+F2699</f>
        <v>11925112</v>
      </c>
      <c r="C2699" s="14" t="s">
        <v>4808</v>
      </c>
      <c r="D2699" s="14" t="s">
        <v>112</v>
      </c>
      <c r="E2699" s="14" t="s">
        <v>95</v>
      </c>
      <c r="F2699" s="14">
        <v>112</v>
      </c>
      <c r="G2699" s="14">
        <v>60</v>
      </c>
      <c r="H2699" s="14" t="s">
        <v>1400</v>
      </c>
      <c r="I2699" s="14" t="s">
        <v>75</v>
      </c>
      <c r="J2699" s="14" t="s">
        <v>201</v>
      </c>
      <c r="K2699" s="14">
        <v>1</v>
      </c>
      <c r="L2699" s="14" t="s">
        <v>1400</v>
      </c>
      <c r="N2699" s="14">
        <v>0</v>
      </c>
      <c r="O2699" s="14" t="b">
        <v>1</v>
      </c>
      <c r="Q2699" s="14" t="b">
        <v>0</v>
      </c>
      <c r="R2699" s="14">
        <v>1</v>
      </c>
      <c r="S2699" s="14" t="s">
        <v>77</v>
      </c>
      <c r="T2699" s="14">
        <v>999</v>
      </c>
      <c r="U2699" s="14" t="s">
        <v>1401</v>
      </c>
      <c r="V2699" s="14">
        <v>31925112</v>
      </c>
      <c r="X2699" s="14" t="s">
        <v>4809</v>
      </c>
      <c r="Y2699" s="14" t="s">
        <v>215</v>
      </c>
      <c r="Z2699" s="14">
        <v>21462</v>
      </c>
      <c r="AA2699" s="14" t="s">
        <v>4810</v>
      </c>
      <c r="AB2699" s="14">
        <v>40001</v>
      </c>
      <c r="AE2699" s="14" t="s">
        <v>1400</v>
      </c>
      <c r="AF2699" s="14" t="s">
        <v>1400</v>
      </c>
      <c r="AG2699" s="14" t="s">
        <v>95</v>
      </c>
    </row>
    <row r="2700" spans="2:33">
      <c r="B2700" s="14">
        <f>10000000+INDEX(编号表!$B:$B,MATCH(H2700,编号表!$A:$A,0))*100000+INDEX(编号表!$F:$F,MATCH(D2700,编号表!$E:$E,0))*10000+INDEX(编号表!$D:$D,MATCH(AG2700,编号表!$C:$C,0))*1000+F2700</f>
        <v>11935113</v>
      </c>
      <c r="C2700" s="14" t="s">
        <v>4808</v>
      </c>
      <c r="D2700" s="14" t="s">
        <v>276</v>
      </c>
      <c r="E2700" s="14" t="s">
        <v>95</v>
      </c>
      <c r="F2700" s="14">
        <v>113</v>
      </c>
      <c r="G2700" s="14">
        <v>60</v>
      </c>
      <c r="H2700" s="14" t="s">
        <v>1400</v>
      </c>
      <c r="I2700" s="14" t="s">
        <v>75</v>
      </c>
      <c r="J2700" s="14" t="s">
        <v>201</v>
      </c>
      <c r="K2700" s="14">
        <v>1</v>
      </c>
      <c r="L2700" s="14" t="s">
        <v>1400</v>
      </c>
      <c r="N2700" s="14">
        <v>0</v>
      </c>
      <c r="O2700" s="14" t="b">
        <v>1</v>
      </c>
      <c r="Q2700" s="14" t="b">
        <v>0</v>
      </c>
      <c r="R2700" s="14">
        <v>1</v>
      </c>
      <c r="S2700" s="14" t="s">
        <v>77</v>
      </c>
      <c r="T2700" s="14">
        <v>999</v>
      </c>
      <c r="U2700" s="14" t="s">
        <v>1401</v>
      </c>
      <c r="V2700" s="14">
        <v>31935113</v>
      </c>
      <c r="X2700" s="14" t="s">
        <v>4811</v>
      </c>
      <c r="Y2700" s="14" t="s">
        <v>215</v>
      </c>
      <c r="Z2700" s="14">
        <v>21463</v>
      </c>
      <c r="AA2700" s="14" t="s">
        <v>4812</v>
      </c>
      <c r="AB2700" s="14">
        <v>40001</v>
      </c>
      <c r="AE2700" s="14" t="s">
        <v>1400</v>
      </c>
      <c r="AF2700" s="14" t="s">
        <v>1400</v>
      </c>
      <c r="AG2700" s="14" t="s">
        <v>95</v>
      </c>
    </row>
    <row r="2701" spans="2:33">
      <c r="B2701" s="14">
        <f>10000000+INDEX(编号表!$B:$B,MATCH(H2701,编号表!$A:$A,0))*100000+INDEX(编号表!$F:$F,MATCH(D2701,编号表!$E:$E,0))*10000+INDEX(编号表!$D:$D,MATCH(AG2701,编号表!$C:$C,0))*1000+F2701</f>
        <v>11945114</v>
      </c>
      <c r="C2701" s="14" t="s">
        <v>4808</v>
      </c>
      <c r="D2701" s="14" t="s">
        <v>104</v>
      </c>
      <c r="E2701" s="14" t="s">
        <v>95</v>
      </c>
      <c r="F2701" s="14">
        <v>114</v>
      </c>
      <c r="G2701" s="14">
        <v>60</v>
      </c>
      <c r="H2701" s="14" t="s">
        <v>1400</v>
      </c>
      <c r="I2701" s="14" t="s">
        <v>75</v>
      </c>
      <c r="J2701" s="14" t="s">
        <v>201</v>
      </c>
      <c r="K2701" s="14">
        <v>1</v>
      </c>
      <c r="L2701" s="14" t="s">
        <v>1400</v>
      </c>
      <c r="N2701" s="14">
        <v>0</v>
      </c>
      <c r="O2701" s="14" t="b">
        <v>1</v>
      </c>
      <c r="Q2701" s="14" t="b">
        <v>0</v>
      </c>
      <c r="R2701" s="14">
        <v>1</v>
      </c>
      <c r="S2701" s="14" t="s">
        <v>77</v>
      </c>
      <c r="T2701" s="14">
        <v>999</v>
      </c>
      <c r="U2701" s="14" t="s">
        <v>1401</v>
      </c>
      <c r="V2701" s="14">
        <v>31945114</v>
      </c>
      <c r="X2701" s="14" t="s">
        <v>4813</v>
      </c>
      <c r="Y2701" s="14" t="s">
        <v>215</v>
      </c>
      <c r="Z2701" s="14">
        <v>21464</v>
      </c>
      <c r="AA2701" s="14" t="s">
        <v>4814</v>
      </c>
      <c r="AB2701" s="14">
        <v>40001</v>
      </c>
      <c r="AE2701" s="14" t="s">
        <v>1400</v>
      </c>
      <c r="AF2701" s="14" t="s">
        <v>1400</v>
      </c>
      <c r="AG2701" s="14" t="s">
        <v>95</v>
      </c>
    </row>
    <row r="2702" spans="2:33">
      <c r="B2702" s="14">
        <f>10000000+INDEX(编号表!$B:$B,MATCH(H2702,编号表!$A:$A,0))*100000+INDEX(编号表!$F:$F,MATCH(D2702,编号表!$E:$E,0))*10000+INDEX(编号表!$D:$D,MATCH(AG2702,编号表!$C:$C,0))*1000+F2702</f>
        <v>11925113</v>
      </c>
      <c r="C2702" s="14" t="s">
        <v>4815</v>
      </c>
      <c r="D2702" s="14" t="s">
        <v>112</v>
      </c>
      <c r="E2702" s="14" t="s">
        <v>95</v>
      </c>
      <c r="F2702" s="14">
        <v>113</v>
      </c>
      <c r="G2702" s="14">
        <v>60</v>
      </c>
      <c r="H2702" s="14" t="s">
        <v>1400</v>
      </c>
      <c r="I2702" s="14" t="s">
        <v>75</v>
      </c>
      <c r="J2702" s="14" t="s">
        <v>201</v>
      </c>
      <c r="K2702" s="14">
        <v>1</v>
      </c>
      <c r="L2702" s="14" t="s">
        <v>1400</v>
      </c>
      <c r="N2702" s="14">
        <v>0</v>
      </c>
      <c r="O2702" s="14" t="b">
        <v>1</v>
      </c>
      <c r="Q2702" s="14" t="b">
        <v>0</v>
      </c>
      <c r="R2702" s="14">
        <v>1</v>
      </c>
      <c r="S2702" s="14" t="s">
        <v>77</v>
      </c>
      <c r="T2702" s="14">
        <v>999</v>
      </c>
      <c r="U2702" s="14" t="s">
        <v>1401</v>
      </c>
      <c r="V2702" s="14">
        <v>31925113</v>
      </c>
      <c r="X2702" s="14" t="s">
        <v>4816</v>
      </c>
      <c r="Y2702" s="14" t="s">
        <v>215</v>
      </c>
      <c r="Z2702" s="14">
        <v>21465</v>
      </c>
      <c r="AA2702" s="14" t="s">
        <v>4817</v>
      </c>
      <c r="AB2702" s="14">
        <v>40001</v>
      </c>
      <c r="AE2702" s="14" t="s">
        <v>1400</v>
      </c>
      <c r="AF2702" s="14" t="s">
        <v>1400</v>
      </c>
      <c r="AG2702" s="14" t="s">
        <v>95</v>
      </c>
    </row>
    <row r="2703" spans="2:33">
      <c r="B2703" s="14">
        <f>10000000+INDEX(编号表!$B:$B,MATCH(H2703,编号表!$A:$A,0))*100000+INDEX(编号表!$F:$F,MATCH(D2703,编号表!$E:$E,0))*10000+INDEX(编号表!$D:$D,MATCH(AG2703,编号表!$C:$C,0))*1000+F2703</f>
        <v>11935114</v>
      </c>
      <c r="C2703" s="14" t="s">
        <v>4815</v>
      </c>
      <c r="D2703" s="14" t="s">
        <v>276</v>
      </c>
      <c r="E2703" s="14" t="s">
        <v>95</v>
      </c>
      <c r="F2703" s="14">
        <v>114</v>
      </c>
      <c r="G2703" s="14">
        <v>60</v>
      </c>
      <c r="H2703" s="14" t="s">
        <v>1400</v>
      </c>
      <c r="I2703" s="14" t="s">
        <v>75</v>
      </c>
      <c r="J2703" s="14" t="s">
        <v>201</v>
      </c>
      <c r="K2703" s="14">
        <v>1</v>
      </c>
      <c r="L2703" s="14" t="s">
        <v>1400</v>
      </c>
      <c r="N2703" s="14">
        <v>0</v>
      </c>
      <c r="O2703" s="14" t="b">
        <v>1</v>
      </c>
      <c r="Q2703" s="14" t="b">
        <v>0</v>
      </c>
      <c r="R2703" s="14">
        <v>1</v>
      </c>
      <c r="S2703" s="14" t="s">
        <v>77</v>
      </c>
      <c r="T2703" s="14">
        <v>999</v>
      </c>
      <c r="U2703" s="14" t="s">
        <v>1401</v>
      </c>
      <c r="V2703" s="14">
        <v>31935114</v>
      </c>
      <c r="X2703" s="14" t="s">
        <v>4818</v>
      </c>
      <c r="Y2703" s="14" t="s">
        <v>215</v>
      </c>
      <c r="Z2703" s="14">
        <v>21466</v>
      </c>
      <c r="AA2703" s="14" t="s">
        <v>4819</v>
      </c>
      <c r="AB2703" s="14">
        <v>40001</v>
      </c>
      <c r="AE2703" s="14" t="s">
        <v>1400</v>
      </c>
      <c r="AF2703" s="14" t="s">
        <v>1400</v>
      </c>
      <c r="AG2703" s="14" t="s">
        <v>95</v>
      </c>
    </row>
    <row r="2704" spans="2:33">
      <c r="B2704" s="14">
        <f>10000000+INDEX(编号表!$B:$B,MATCH(H2704,编号表!$A:$A,0))*100000+INDEX(编号表!$F:$F,MATCH(D2704,编号表!$E:$E,0))*10000+INDEX(编号表!$D:$D,MATCH(AG2704,编号表!$C:$C,0))*1000+F2704</f>
        <v>11945115</v>
      </c>
      <c r="C2704" s="14" t="s">
        <v>4815</v>
      </c>
      <c r="D2704" s="14" t="s">
        <v>104</v>
      </c>
      <c r="E2704" s="14" t="s">
        <v>95</v>
      </c>
      <c r="F2704" s="14">
        <v>115</v>
      </c>
      <c r="G2704" s="14">
        <v>60</v>
      </c>
      <c r="H2704" s="14" t="s">
        <v>1400</v>
      </c>
      <c r="I2704" s="14" t="s">
        <v>75</v>
      </c>
      <c r="J2704" s="14" t="s">
        <v>201</v>
      </c>
      <c r="K2704" s="14">
        <v>1</v>
      </c>
      <c r="L2704" s="14" t="s">
        <v>1400</v>
      </c>
      <c r="N2704" s="14">
        <v>0</v>
      </c>
      <c r="O2704" s="14" t="b">
        <v>1</v>
      </c>
      <c r="Q2704" s="14" t="b">
        <v>0</v>
      </c>
      <c r="R2704" s="14">
        <v>1</v>
      </c>
      <c r="S2704" s="14" t="s">
        <v>77</v>
      </c>
      <c r="T2704" s="14">
        <v>999</v>
      </c>
      <c r="U2704" s="14" t="s">
        <v>1401</v>
      </c>
      <c r="V2704" s="14">
        <v>31945115</v>
      </c>
      <c r="X2704" s="14" t="s">
        <v>4820</v>
      </c>
      <c r="Y2704" s="14" t="s">
        <v>215</v>
      </c>
      <c r="Z2704" s="14">
        <v>21467</v>
      </c>
      <c r="AA2704" s="14" t="s">
        <v>4821</v>
      </c>
      <c r="AB2704" s="14">
        <v>40001</v>
      </c>
      <c r="AE2704" s="14" t="s">
        <v>1400</v>
      </c>
      <c r="AF2704" s="14" t="s">
        <v>1400</v>
      </c>
      <c r="AG2704" s="14" t="s">
        <v>95</v>
      </c>
    </row>
    <row r="2705" spans="2:33">
      <c r="B2705" s="14">
        <f>10000000+INDEX(编号表!$B:$B,MATCH(H2705,编号表!$A:$A,0))*100000+INDEX(编号表!$F:$F,MATCH(D2705,编号表!$E:$E,0))*10000+INDEX(编号表!$D:$D,MATCH(AG2705,编号表!$C:$C,0))*1000+F2705</f>
        <v>11925114</v>
      </c>
      <c r="C2705" s="14" t="s">
        <v>4822</v>
      </c>
      <c r="D2705" s="14" t="s">
        <v>112</v>
      </c>
      <c r="E2705" s="14" t="s">
        <v>95</v>
      </c>
      <c r="F2705" s="14">
        <v>114</v>
      </c>
      <c r="G2705" s="14">
        <v>60</v>
      </c>
      <c r="H2705" s="14" t="s">
        <v>1400</v>
      </c>
      <c r="I2705" s="14" t="s">
        <v>75</v>
      </c>
      <c r="J2705" s="14" t="s">
        <v>201</v>
      </c>
      <c r="K2705" s="14">
        <v>1</v>
      </c>
      <c r="L2705" s="14" t="s">
        <v>1400</v>
      </c>
      <c r="N2705" s="14">
        <v>0</v>
      </c>
      <c r="O2705" s="14" t="b">
        <v>1</v>
      </c>
      <c r="Q2705" s="14" t="b">
        <v>0</v>
      </c>
      <c r="R2705" s="14">
        <v>1</v>
      </c>
      <c r="S2705" s="14" t="s">
        <v>77</v>
      </c>
      <c r="T2705" s="14">
        <v>999</v>
      </c>
      <c r="U2705" s="14" t="s">
        <v>1401</v>
      </c>
      <c r="V2705" s="14">
        <v>31925114</v>
      </c>
      <c r="X2705" s="14" t="s">
        <v>4823</v>
      </c>
      <c r="Y2705" s="14" t="s">
        <v>215</v>
      </c>
      <c r="Z2705" s="14">
        <v>21468</v>
      </c>
      <c r="AA2705" s="14" t="s">
        <v>4824</v>
      </c>
      <c r="AB2705" s="14">
        <v>40001</v>
      </c>
      <c r="AE2705" s="14" t="s">
        <v>1400</v>
      </c>
      <c r="AF2705" s="14" t="s">
        <v>1400</v>
      </c>
      <c r="AG2705" s="14" t="s">
        <v>95</v>
      </c>
    </row>
    <row r="2706" spans="2:33">
      <c r="B2706" s="14">
        <f>10000000+INDEX(编号表!$B:$B,MATCH(H2706,编号表!$A:$A,0))*100000+INDEX(编号表!$F:$F,MATCH(D2706,编号表!$E:$E,0))*10000+INDEX(编号表!$D:$D,MATCH(AG2706,编号表!$C:$C,0))*1000+F2706</f>
        <v>11935115</v>
      </c>
      <c r="C2706" s="14" t="s">
        <v>4822</v>
      </c>
      <c r="D2706" s="14" t="s">
        <v>276</v>
      </c>
      <c r="E2706" s="14" t="s">
        <v>95</v>
      </c>
      <c r="F2706" s="14">
        <v>115</v>
      </c>
      <c r="G2706" s="14">
        <v>60</v>
      </c>
      <c r="H2706" s="14" t="s">
        <v>1400</v>
      </c>
      <c r="I2706" s="14" t="s">
        <v>75</v>
      </c>
      <c r="J2706" s="14" t="s">
        <v>201</v>
      </c>
      <c r="K2706" s="14">
        <v>1</v>
      </c>
      <c r="L2706" s="14" t="s">
        <v>1400</v>
      </c>
      <c r="N2706" s="14">
        <v>0</v>
      </c>
      <c r="O2706" s="14" t="b">
        <v>1</v>
      </c>
      <c r="Q2706" s="14" t="b">
        <v>0</v>
      </c>
      <c r="R2706" s="14">
        <v>1</v>
      </c>
      <c r="S2706" s="14" t="s">
        <v>77</v>
      </c>
      <c r="T2706" s="14">
        <v>999</v>
      </c>
      <c r="U2706" s="14" t="s">
        <v>1401</v>
      </c>
      <c r="V2706" s="14">
        <v>31935115</v>
      </c>
      <c r="X2706" s="14" t="s">
        <v>4825</v>
      </c>
      <c r="Y2706" s="14" t="s">
        <v>215</v>
      </c>
      <c r="Z2706" s="14">
        <v>21469</v>
      </c>
      <c r="AA2706" s="14" t="s">
        <v>4826</v>
      </c>
      <c r="AB2706" s="14">
        <v>40001</v>
      </c>
      <c r="AE2706" s="14" t="s">
        <v>1400</v>
      </c>
      <c r="AF2706" s="14" t="s">
        <v>1400</v>
      </c>
      <c r="AG2706" s="14" t="s">
        <v>95</v>
      </c>
    </row>
    <row r="2707" spans="2:33">
      <c r="B2707" s="14">
        <f>10000000+INDEX(编号表!$B:$B,MATCH(H2707,编号表!$A:$A,0))*100000+INDEX(编号表!$F:$F,MATCH(D2707,编号表!$E:$E,0))*10000+INDEX(编号表!$D:$D,MATCH(AG2707,编号表!$C:$C,0))*1000+F2707</f>
        <v>11945116</v>
      </c>
      <c r="C2707" s="14" t="s">
        <v>4822</v>
      </c>
      <c r="D2707" s="14" t="s">
        <v>104</v>
      </c>
      <c r="E2707" s="14" t="s">
        <v>95</v>
      </c>
      <c r="F2707" s="14">
        <v>116</v>
      </c>
      <c r="G2707" s="14">
        <v>60</v>
      </c>
      <c r="H2707" s="14" t="s">
        <v>1400</v>
      </c>
      <c r="I2707" s="14" t="s">
        <v>75</v>
      </c>
      <c r="J2707" s="14" t="s">
        <v>201</v>
      </c>
      <c r="K2707" s="14">
        <v>1</v>
      </c>
      <c r="L2707" s="14" t="s">
        <v>1400</v>
      </c>
      <c r="N2707" s="14">
        <v>0</v>
      </c>
      <c r="O2707" s="14" t="b">
        <v>1</v>
      </c>
      <c r="Q2707" s="14" t="b">
        <v>0</v>
      </c>
      <c r="R2707" s="14">
        <v>1</v>
      </c>
      <c r="S2707" s="14" t="s">
        <v>77</v>
      </c>
      <c r="T2707" s="14">
        <v>999</v>
      </c>
      <c r="U2707" s="14" t="s">
        <v>1401</v>
      </c>
      <c r="V2707" s="14">
        <v>31945116</v>
      </c>
      <c r="X2707" s="14" t="s">
        <v>4827</v>
      </c>
      <c r="Y2707" s="14" t="s">
        <v>215</v>
      </c>
      <c r="Z2707" s="14">
        <v>21470</v>
      </c>
      <c r="AA2707" s="14" t="s">
        <v>4828</v>
      </c>
      <c r="AB2707" s="14">
        <v>40001</v>
      </c>
      <c r="AE2707" s="14" t="s">
        <v>1400</v>
      </c>
      <c r="AF2707" s="14" t="s">
        <v>1400</v>
      </c>
      <c r="AG2707" s="14" t="s">
        <v>95</v>
      </c>
    </row>
    <row r="2708" spans="2:33">
      <c r="B2708" s="14">
        <f>10000000+INDEX(编号表!$B:$B,MATCH(H2708,编号表!$A:$A,0))*100000+INDEX(编号表!$F:$F,MATCH(D2708,编号表!$E:$E,0))*10000+INDEX(编号表!$D:$D,MATCH(AG2708,编号表!$C:$C,0))*1000+F2708</f>
        <v>11925115</v>
      </c>
      <c r="C2708" s="14" t="s">
        <v>4829</v>
      </c>
      <c r="D2708" s="14" t="s">
        <v>112</v>
      </c>
      <c r="E2708" s="14" t="s">
        <v>95</v>
      </c>
      <c r="F2708" s="14">
        <v>115</v>
      </c>
      <c r="G2708" s="14">
        <v>60</v>
      </c>
      <c r="H2708" s="14" t="s">
        <v>1400</v>
      </c>
      <c r="I2708" s="14" t="s">
        <v>75</v>
      </c>
      <c r="J2708" s="14" t="s">
        <v>201</v>
      </c>
      <c r="K2708" s="14">
        <v>1</v>
      </c>
      <c r="L2708" s="14" t="s">
        <v>1400</v>
      </c>
      <c r="N2708" s="14">
        <v>0</v>
      </c>
      <c r="O2708" s="14" t="b">
        <v>1</v>
      </c>
      <c r="Q2708" s="14" t="b">
        <v>0</v>
      </c>
      <c r="R2708" s="14">
        <v>1</v>
      </c>
      <c r="S2708" s="14" t="s">
        <v>77</v>
      </c>
      <c r="T2708" s="14">
        <v>999</v>
      </c>
      <c r="U2708" s="14" t="s">
        <v>1401</v>
      </c>
      <c r="V2708" s="14">
        <v>31925115</v>
      </c>
      <c r="X2708" s="14" t="s">
        <v>4830</v>
      </c>
      <c r="Y2708" s="14" t="s">
        <v>215</v>
      </c>
      <c r="Z2708" s="14">
        <v>21471</v>
      </c>
      <c r="AA2708" s="14" t="s">
        <v>4831</v>
      </c>
      <c r="AB2708" s="14">
        <v>40001</v>
      </c>
      <c r="AE2708" s="14" t="s">
        <v>1400</v>
      </c>
      <c r="AF2708" s="14" t="s">
        <v>1400</v>
      </c>
      <c r="AG2708" s="14" t="s">
        <v>95</v>
      </c>
    </row>
    <row r="2709" spans="2:33">
      <c r="B2709" s="14">
        <f>10000000+INDEX(编号表!$B:$B,MATCH(H2709,编号表!$A:$A,0))*100000+INDEX(编号表!$F:$F,MATCH(D2709,编号表!$E:$E,0))*10000+INDEX(编号表!$D:$D,MATCH(AG2709,编号表!$C:$C,0))*1000+F2709</f>
        <v>11935116</v>
      </c>
      <c r="C2709" s="14" t="s">
        <v>4829</v>
      </c>
      <c r="D2709" s="14" t="s">
        <v>276</v>
      </c>
      <c r="E2709" s="14" t="s">
        <v>95</v>
      </c>
      <c r="F2709" s="14">
        <v>116</v>
      </c>
      <c r="G2709" s="14">
        <v>60</v>
      </c>
      <c r="H2709" s="14" t="s">
        <v>1400</v>
      </c>
      <c r="I2709" s="14" t="s">
        <v>75</v>
      </c>
      <c r="J2709" s="14" t="s">
        <v>201</v>
      </c>
      <c r="K2709" s="14">
        <v>1</v>
      </c>
      <c r="L2709" s="14" t="s">
        <v>1400</v>
      </c>
      <c r="N2709" s="14">
        <v>0</v>
      </c>
      <c r="O2709" s="14" t="b">
        <v>1</v>
      </c>
      <c r="Q2709" s="14" t="b">
        <v>0</v>
      </c>
      <c r="R2709" s="14">
        <v>1</v>
      </c>
      <c r="S2709" s="14" t="s">
        <v>77</v>
      </c>
      <c r="T2709" s="14">
        <v>999</v>
      </c>
      <c r="U2709" s="14" t="s">
        <v>1401</v>
      </c>
      <c r="V2709" s="14">
        <v>31935116</v>
      </c>
      <c r="X2709" s="14" t="s">
        <v>4832</v>
      </c>
      <c r="Y2709" s="14" t="s">
        <v>215</v>
      </c>
      <c r="Z2709" s="14">
        <v>21472</v>
      </c>
      <c r="AA2709" s="14" t="s">
        <v>4833</v>
      </c>
      <c r="AB2709" s="14">
        <v>40001</v>
      </c>
      <c r="AE2709" s="14" t="s">
        <v>1400</v>
      </c>
      <c r="AF2709" s="14" t="s">
        <v>1400</v>
      </c>
      <c r="AG2709" s="14" t="s">
        <v>95</v>
      </c>
    </row>
    <row r="2710" spans="2:33">
      <c r="B2710" s="14">
        <f>10000000+INDEX(编号表!$B:$B,MATCH(H2710,编号表!$A:$A,0))*100000+INDEX(编号表!$F:$F,MATCH(D2710,编号表!$E:$E,0))*10000+INDEX(编号表!$D:$D,MATCH(AG2710,编号表!$C:$C,0))*1000+F2710</f>
        <v>11945117</v>
      </c>
      <c r="C2710" s="14" t="s">
        <v>4829</v>
      </c>
      <c r="D2710" s="14" t="s">
        <v>104</v>
      </c>
      <c r="E2710" s="14" t="s">
        <v>95</v>
      </c>
      <c r="F2710" s="14">
        <v>117</v>
      </c>
      <c r="G2710" s="14">
        <v>60</v>
      </c>
      <c r="H2710" s="14" t="s">
        <v>1400</v>
      </c>
      <c r="I2710" s="14" t="s">
        <v>75</v>
      </c>
      <c r="J2710" s="14" t="s">
        <v>201</v>
      </c>
      <c r="K2710" s="14">
        <v>1</v>
      </c>
      <c r="L2710" s="14" t="s">
        <v>1400</v>
      </c>
      <c r="N2710" s="14">
        <v>0</v>
      </c>
      <c r="O2710" s="14" t="b">
        <v>1</v>
      </c>
      <c r="Q2710" s="14" t="b">
        <v>0</v>
      </c>
      <c r="R2710" s="14">
        <v>1</v>
      </c>
      <c r="S2710" s="14" t="s">
        <v>77</v>
      </c>
      <c r="T2710" s="14">
        <v>999</v>
      </c>
      <c r="U2710" s="14" t="s">
        <v>1401</v>
      </c>
      <c r="V2710" s="14">
        <v>31945117</v>
      </c>
      <c r="X2710" s="14" t="s">
        <v>4834</v>
      </c>
      <c r="Y2710" s="14" t="s">
        <v>215</v>
      </c>
      <c r="Z2710" s="14">
        <v>21473</v>
      </c>
      <c r="AA2710" s="14" t="s">
        <v>4835</v>
      </c>
      <c r="AB2710" s="14">
        <v>40001</v>
      </c>
      <c r="AE2710" s="14" t="s">
        <v>1400</v>
      </c>
      <c r="AF2710" s="14" t="s">
        <v>1400</v>
      </c>
      <c r="AG2710" s="14" t="s">
        <v>95</v>
      </c>
    </row>
    <row r="2711" spans="2:33">
      <c r="B2711" s="14">
        <f>10000000+INDEX(编号表!$B:$B,MATCH(H2711,编号表!$A:$A,0))*100000+INDEX(编号表!$F:$F,MATCH(D2711,编号表!$E:$E,0))*10000+INDEX(编号表!$D:$D,MATCH(AG2711,编号表!$C:$C,0))*1000+F2711</f>
        <v>11925116</v>
      </c>
      <c r="C2711" s="14" t="s">
        <v>4836</v>
      </c>
      <c r="D2711" s="14" t="s">
        <v>112</v>
      </c>
      <c r="E2711" s="14" t="s">
        <v>95</v>
      </c>
      <c r="F2711" s="14">
        <v>116</v>
      </c>
      <c r="G2711" s="14">
        <v>60</v>
      </c>
      <c r="H2711" s="14" t="s">
        <v>1400</v>
      </c>
      <c r="I2711" s="14" t="s">
        <v>75</v>
      </c>
      <c r="J2711" s="14" t="s">
        <v>201</v>
      </c>
      <c r="K2711" s="14">
        <v>1</v>
      </c>
      <c r="L2711" s="14" t="s">
        <v>1400</v>
      </c>
      <c r="N2711" s="14">
        <v>0</v>
      </c>
      <c r="O2711" s="14" t="b">
        <v>1</v>
      </c>
      <c r="Q2711" s="14" t="b">
        <v>0</v>
      </c>
      <c r="R2711" s="14">
        <v>1</v>
      </c>
      <c r="S2711" s="14" t="s">
        <v>77</v>
      </c>
      <c r="T2711" s="14">
        <v>999</v>
      </c>
      <c r="U2711" s="14" t="s">
        <v>1401</v>
      </c>
      <c r="V2711" s="14">
        <v>31925116</v>
      </c>
      <c r="X2711" s="14" t="s">
        <v>4837</v>
      </c>
      <c r="Y2711" s="14" t="s">
        <v>215</v>
      </c>
      <c r="Z2711" s="14">
        <v>21474</v>
      </c>
      <c r="AA2711" s="14" t="s">
        <v>4838</v>
      </c>
      <c r="AB2711" s="14">
        <v>40001</v>
      </c>
      <c r="AE2711" s="14" t="s">
        <v>1400</v>
      </c>
      <c r="AF2711" s="14" t="s">
        <v>1400</v>
      </c>
      <c r="AG2711" s="14" t="s">
        <v>95</v>
      </c>
    </row>
    <row r="2712" spans="2:33">
      <c r="B2712" s="14">
        <f>10000000+INDEX(编号表!$B:$B,MATCH(H2712,编号表!$A:$A,0))*100000+INDEX(编号表!$F:$F,MATCH(D2712,编号表!$E:$E,0))*10000+INDEX(编号表!$D:$D,MATCH(AG2712,编号表!$C:$C,0))*1000+F2712</f>
        <v>11935117</v>
      </c>
      <c r="C2712" s="14" t="s">
        <v>4836</v>
      </c>
      <c r="D2712" s="14" t="s">
        <v>276</v>
      </c>
      <c r="E2712" s="14" t="s">
        <v>95</v>
      </c>
      <c r="F2712" s="14">
        <v>117</v>
      </c>
      <c r="G2712" s="14">
        <v>60</v>
      </c>
      <c r="H2712" s="14" t="s">
        <v>1400</v>
      </c>
      <c r="I2712" s="14" t="s">
        <v>75</v>
      </c>
      <c r="J2712" s="14" t="s">
        <v>201</v>
      </c>
      <c r="K2712" s="14">
        <v>1</v>
      </c>
      <c r="L2712" s="14" t="s">
        <v>1400</v>
      </c>
      <c r="N2712" s="14">
        <v>0</v>
      </c>
      <c r="O2712" s="14" t="b">
        <v>1</v>
      </c>
      <c r="Q2712" s="14" t="b">
        <v>0</v>
      </c>
      <c r="R2712" s="14">
        <v>1</v>
      </c>
      <c r="S2712" s="14" t="s">
        <v>77</v>
      </c>
      <c r="T2712" s="14">
        <v>999</v>
      </c>
      <c r="U2712" s="14" t="s">
        <v>1401</v>
      </c>
      <c r="V2712" s="14">
        <v>31935117</v>
      </c>
      <c r="X2712" s="14" t="s">
        <v>4839</v>
      </c>
      <c r="Y2712" s="14" t="s">
        <v>215</v>
      </c>
      <c r="Z2712" s="14">
        <v>21475</v>
      </c>
      <c r="AA2712" s="14" t="s">
        <v>4840</v>
      </c>
      <c r="AB2712" s="14">
        <v>40001</v>
      </c>
      <c r="AE2712" s="14" t="s">
        <v>1400</v>
      </c>
      <c r="AF2712" s="14" t="s">
        <v>1400</v>
      </c>
      <c r="AG2712" s="14" t="s">
        <v>95</v>
      </c>
    </row>
    <row r="2713" spans="2:33">
      <c r="B2713" s="14">
        <f>10000000+INDEX(编号表!$B:$B,MATCH(H2713,编号表!$A:$A,0))*100000+INDEX(编号表!$F:$F,MATCH(D2713,编号表!$E:$E,0))*10000+INDEX(编号表!$D:$D,MATCH(AG2713,编号表!$C:$C,0))*1000+F2713</f>
        <v>11945118</v>
      </c>
      <c r="C2713" s="14" t="s">
        <v>4836</v>
      </c>
      <c r="D2713" s="14" t="s">
        <v>104</v>
      </c>
      <c r="E2713" s="14" t="s">
        <v>95</v>
      </c>
      <c r="F2713" s="14">
        <v>118</v>
      </c>
      <c r="G2713" s="14">
        <v>60</v>
      </c>
      <c r="H2713" s="14" t="s">
        <v>1400</v>
      </c>
      <c r="I2713" s="14" t="s">
        <v>75</v>
      </c>
      <c r="J2713" s="14" t="s">
        <v>201</v>
      </c>
      <c r="K2713" s="14">
        <v>1</v>
      </c>
      <c r="L2713" s="14" t="s">
        <v>1400</v>
      </c>
      <c r="N2713" s="14">
        <v>0</v>
      </c>
      <c r="O2713" s="14" t="b">
        <v>1</v>
      </c>
      <c r="Q2713" s="14" t="b">
        <v>0</v>
      </c>
      <c r="R2713" s="14">
        <v>1</v>
      </c>
      <c r="S2713" s="14" t="s">
        <v>77</v>
      </c>
      <c r="T2713" s="14">
        <v>999</v>
      </c>
      <c r="U2713" s="14" t="s">
        <v>1401</v>
      </c>
      <c r="V2713" s="14">
        <v>31945118</v>
      </c>
      <c r="X2713" s="14" t="s">
        <v>4841</v>
      </c>
      <c r="Y2713" s="14" t="s">
        <v>215</v>
      </c>
      <c r="Z2713" s="14">
        <v>21476</v>
      </c>
      <c r="AA2713" s="14" t="s">
        <v>4842</v>
      </c>
      <c r="AB2713" s="14">
        <v>40001</v>
      </c>
      <c r="AE2713" s="14" t="s">
        <v>1400</v>
      </c>
      <c r="AF2713" s="14" t="s">
        <v>1400</v>
      </c>
      <c r="AG2713" s="14" t="s">
        <v>95</v>
      </c>
    </row>
    <row r="2714" spans="2:33">
      <c r="B2714" s="14">
        <f>10000000+INDEX(编号表!$B:$B,MATCH(H2714,编号表!$A:$A,0))*100000+INDEX(编号表!$F:$F,MATCH(D2714,编号表!$E:$E,0))*10000+INDEX(编号表!$D:$D,MATCH(AG2714,编号表!$C:$C,0))*1000+F2714</f>
        <v>11925117</v>
      </c>
      <c r="C2714" s="14" t="s">
        <v>4843</v>
      </c>
      <c r="D2714" s="14" t="s">
        <v>112</v>
      </c>
      <c r="E2714" s="14" t="s">
        <v>95</v>
      </c>
      <c r="F2714" s="14">
        <v>117</v>
      </c>
      <c r="G2714" s="14">
        <v>60</v>
      </c>
      <c r="H2714" s="14" t="s">
        <v>1400</v>
      </c>
      <c r="I2714" s="14" t="s">
        <v>75</v>
      </c>
      <c r="J2714" s="14" t="s">
        <v>201</v>
      </c>
      <c r="K2714" s="14">
        <v>1</v>
      </c>
      <c r="L2714" s="14" t="s">
        <v>1400</v>
      </c>
      <c r="N2714" s="14">
        <v>0</v>
      </c>
      <c r="O2714" s="14" t="b">
        <v>1</v>
      </c>
      <c r="Q2714" s="14" t="b">
        <v>0</v>
      </c>
      <c r="R2714" s="14">
        <v>1</v>
      </c>
      <c r="S2714" s="14" t="s">
        <v>77</v>
      </c>
      <c r="T2714" s="14">
        <v>999</v>
      </c>
      <c r="U2714" s="14" t="s">
        <v>1401</v>
      </c>
      <c r="V2714" s="14">
        <v>31925117</v>
      </c>
      <c r="X2714" s="14" t="s">
        <v>4844</v>
      </c>
      <c r="Y2714" s="14" t="s">
        <v>215</v>
      </c>
      <c r="Z2714" s="14">
        <v>21477</v>
      </c>
      <c r="AA2714" s="14" t="s">
        <v>4845</v>
      </c>
      <c r="AB2714" s="14">
        <v>40001</v>
      </c>
      <c r="AE2714" s="14" t="s">
        <v>1400</v>
      </c>
      <c r="AF2714" s="14" t="s">
        <v>1400</v>
      </c>
      <c r="AG2714" s="14" t="s">
        <v>95</v>
      </c>
    </row>
    <row r="2715" spans="2:33">
      <c r="B2715" s="14">
        <f>10000000+INDEX(编号表!$B:$B,MATCH(H2715,编号表!$A:$A,0))*100000+INDEX(编号表!$F:$F,MATCH(D2715,编号表!$E:$E,0))*10000+INDEX(编号表!$D:$D,MATCH(AG2715,编号表!$C:$C,0))*1000+F2715</f>
        <v>11935118</v>
      </c>
      <c r="C2715" s="14" t="s">
        <v>4843</v>
      </c>
      <c r="D2715" s="14" t="s">
        <v>276</v>
      </c>
      <c r="E2715" s="14" t="s">
        <v>95</v>
      </c>
      <c r="F2715" s="14">
        <v>118</v>
      </c>
      <c r="G2715" s="14">
        <v>60</v>
      </c>
      <c r="H2715" s="14" t="s">
        <v>1400</v>
      </c>
      <c r="I2715" s="14" t="s">
        <v>75</v>
      </c>
      <c r="J2715" s="14" t="s">
        <v>201</v>
      </c>
      <c r="K2715" s="14">
        <v>1</v>
      </c>
      <c r="L2715" s="14" t="s">
        <v>1400</v>
      </c>
      <c r="N2715" s="14">
        <v>0</v>
      </c>
      <c r="O2715" s="14" t="b">
        <v>1</v>
      </c>
      <c r="Q2715" s="14" t="b">
        <v>0</v>
      </c>
      <c r="R2715" s="14">
        <v>1</v>
      </c>
      <c r="S2715" s="14" t="s">
        <v>77</v>
      </c>
      <c r="T2715" s="14">
        <v>999</v>
      </c>
      <c r="U2715" s="14" t="s">
        <v>1401</v>
      </c>
      <c r="V2715" s="14">
        <v>31935118</v>
      </c>
      <c r="X2715" s="14" t="s">
        <v>4846</v>
      </c>
      <c r="Y2715" s="14" t="s">
        <v>215</v>
      </c>
      <c r="Z2715" s="14">
        <v>21478</v>
      </c>
      <c r="AA2715" s="14" t="s">
        <v>4847</v>
      </c>
      <c r="AB2715" s="14">
        <v>40001</v>
      </c>
      <c r="AE2715" s="14" t="s">
        <v>1400</v>
      </c>
      <c r="AF2715" s="14" t="s">
        <v>1400</v>
      </c>
      <c r="AG2715" s="14" t="s">
        <v>95</v>
      </c>
    </row>
    <row r="2716" spans="2:33">
      <c r="B2716" s="14">
        <f>10000000+INDEX(编号表!$B:$B,MATCH(H2716,编号表!$A:$A,0))*100000+INDEX(编号表!$F:$F,MATCH(D2716,编号表!$E:$E,0))*10000+INDEX(编号表!$D:$D,MATCH(AG2716,编号表!$C:$C,0))*1000+F2716</f>
        <v>11945119</v>
      </c>
      <c r="C2716" s="14" t="s">
        <v>4843</v>
      </c>
      <c r="D2716" s="14" t="s">
        <v>104</v>
      </c>
      <c r="E2716" s="14" t="s">
        <v>95</v>
      </c>
      <c r="F2716" s="14">
        <v>119</v>
      </c>
      <c r="G2716" s="14">
        <v>60</v>
      </c>
      <c r="H2716" s="14" t="s">
        <v>1400</v>
      </c>
      <c r="I2716" s="14" t="s">
        <v>75</v>
      </c>
      <c r="J2716" s="14" t="s">
        <v>201</v>
      </c>
      <c r="K2716" s="14">
        <v>1</v>
      </c>
      <c r="L2716" s="14" t="s">
        <v>1400</v>
      </c>
      <c r="N2716" s="14">
        <v>0</v>
      </c>
      <c r="O2716" s="14" t="b">
        <v>1</v>
      </c>
      <c r="Q2716" s="14" t="b">
        <v>0</v>
      </c>
      <c r="R2716" s="14">
        <v>1</v>
      </c>
      <c r="S2716" s="14" t="s">
        <v>77</v>
      </c>
      <c r="T2716" s="14">
        <v>999</v>
      </c>
      <c r="U2716" s="14" t="s">
        <v>1401</v>
      </c>
      <c r="V2716" s="14">
        <v>31945119</v>
      </c>
      <c r="X2716" s="14" t="s">
        <v>4848</v>
      </c>
      <c r="Y2716" s="14" t="s">
        <v>215</v>
      </c>
      <c r="Z2716" s="14">
        <v>21479</v>
      </c>
      <c r="AA2716" s="14" t="s">
        <v>4849</v>
      </c>
      <c r="AB2716" s="14">
        <v>40001</v>
      </c>
      <c r="AE2716" s="14" t="s">
        <v>1400</v>
      </c>
      <c r="AF2716" s="14" t="s">
        <v>1400</v>
      </c>
      <c r="AG2716" s="14" t="s">
        <v>95</v>
      </c>
    </row>
    <row r="2717" spans="2:33">
      <c r="B2717" s="14">
        <f>10000000+INDEX(编号表!$B:$B,MATCH(H2717,编号表!$A:$A,0))*100000+INDEX(编号表!$F:$F,MATCH(D2717,编号表!$E:$E,0))*10000+INDEX(编号表!$D:$D,MATCH(AG2717,编号表!$C:$C,0))*1000+F2717</f>
        <v>11925118</v>
      </c>
      <c r="C2717" s="14" t="s">
        <v>4850</v>
      </c>
      <c r="D2717" s="14" t="s">
        <v>112</v>
      </c>
      <c r="E2717" s="14" t="s">
        <v>95</v>
      </c>
      <c r="F2717" s="14">
        <v>118</v>
      </c>
      <c r="G2717" s="14">
        <v>60</v>
      </c>
      <c r="H2717" s="14" t="s">
        <v>1400</v>
      </c>
      <c r="I2717" s="14" t="s">
        <v>75</v>
      </c>
      <c r="J2717" s="14" t="s">
        <v>201</v>
      </c>
      <c r="K2717" s="14">
        <v>1</v>
      </c>
      <c r="L2717" s="14" t="s">
        <v>1400</v>
      </c>
      <c r="N2717" s="14">
        <v>0</v>
      </c>
      <c r="O2717" s="14" t="b">
        <v>1</v>
      </c>
      <c r="Q2717" s="14" t="b">
        <v>0</v>
      </c>
      <c r="R2717" s="14">
        <v>1</v>
      </c>
      <c r="S2717" s="14" t="s">
        <v>77</v>
      </c>
      <c r="T2717" s="14">
        <v>999</v>
      </c>
      <c r="U2717" s="14" t="s">
        <v>1401</v>
      </c>
      <c r="V2717" s="14">
        <v>31925118</v>
      </c>
      <c r="X2717" s="14" t="s">
        <v>4851</v>
      </c>
      <c r="Y2717" s="14" t="s">
        <v>215</v>
      </c>
      <c r="Z2717" s="14">
        <v>21480</v>
      </c>
      <c r="AA2717" s="14" t="s">
        <v>4852</v>
      </c>
      <c r="AB2717" s="14">
        <v>40001</v>
      </c>
      <c r="AE2717" s="14" t="s">
        <v>1400</v>
      </c>
      <c r="AF2717" s="14" t="s">
        <v>1400</v>
      </c>
      <c r="AG2717" s="14" t="s">
        <v>95</v>
      </c>
    </row>
    <row r="2718" spans="2:33">
      <c r="B2718" s="14">
        <f>10000000+INDEX(编号表!$B:$B,MATCH(H2718,编号表!$A:$A,0))*100000+INDEX(编号表!$F:$F,MATCH(D2718,编号表!$E:$E,0))*10000+INDEX(编号表!$D:$D,MATCH(AG2718,编号表!$C:$C,0))*1000+F2718</f>
        <v>11935119</v>
      </c>
      <c r="C2718" s="14" t="s">
        <v>4850</v>
      </c>
      <c r="D2718" s="14" t="s">
        <v>276</v>
      </c>
      <c r="E2718" s="14" t="s">
        <v>95</v>
      </c>
      <c r="F2718" s="14">
        <v>119</v>
      </c>
      <c r="G2718" s="14">
        <v>60</v>
      </c>
      <c r="H2718" s="14" t="s">
        <v>1400</v>
      </c>
      <c r="I2718" s="14" t="s">
        <v>75</v>
      </c>
      <c r="J2718" s="14" t="s">
        <v>201</v>
      </c>
      <c r="K2718" s="14">
        <v>1</v>
      </c>
      <c r="L2718" s="14" t="s">
        <v>1400</v>
      </c>
      <c r="N2718" s="14">
        <v>0</v>
      </c>
      <c r="O2718" s="14" t="b">
        <v>1</v>
      </c>
      <c r="Q2718" s="14" t="b">
        <v>0</v>
      </c>
      <c r="R2718" s="14">
        <v>1</v>
      </c>
      <c r="S2718" s="14" t="s">
        <v>77</v>
      </c>
      <c r="T2718" s="14">
        <v>999</v>
      </c>
      <c r="U2718" s="14" t="s">
        <v>1401</v>
      </c>
      <c r="V2718" s="14">
        <v>31935119</v>
      </c>
      <c r="X2718" s="14" t="s">
        <v>4853</v>
      </c>
      <c r="Y2718" s="14" t="s">
        <v>215</v>
      </c>
      <c r="Z2718" s="14">
        <v>21481</v>
      </c>
      <c r="AA2718" s="14" t="s">
        <v>4854</v>
      </c>
      <c r="AB2718" s="14">
        <v>40001</v>
      </c>
      <c r="AE2718" s="14" t="s">
        <v>1400</v>
      </c>
      <c r="AF2718" s="14" t="s">
        <v>1400</v>
      </c>
      <c r="AG2718" s="14" t="s">
        <v>95</v>
      </c>
    </row>
    <row r="2719" spans="2:33">
      <c r="B2719" s="14">
        <f>10000000+INDEX(编号表!$B:$B,MATCH(H2719,编号表!$A:$A,0))*100000+INDEX(编号表!$F:$F,MATCH(D2719,编号表!$E:$E,0))*10000+INDEX(编号表!$D:$D,MATCH(AG2719,编号表!$C:$C,0))*1000+F2719</f>
        <v>11945120</v>
      </c>
      <c r="C2719" s="14" t="s">
        <v>4850</v>
      </c>
      <c r="D2719" s="14" t="s">
        <v>104</v>
      </c>
      <c r="E2719" s="14" t="s">
        <v>95</v>
      </c>
      <c r="F2719" s="14">
        <v>120</v>
      </c>
      <c r="G2719" s="14">
        <v>60</v>
      </c>
      <c r="H2719" s="14" t="s">
        <v>1400</v>
      </c>
      <c r="I2719" s="14" t="s">
        <v>75</v>
      </c>
      <c r="J2719" s="14" t="s">
        <v>201</v>
      </c>
      <c r="K2719" s="14">
        <v>1</v>
      </c>
      <c r="L2719" s="14" t="s">
        <v>1400</v>
      </c>
      <c r="N2719" s="14">
        <v>0</v>
      </c>
      <c r="O2719" s="14" t="b">
        <v>1</v>
      </c>
      <c r="Q2719" s="14" t="b">
        <v>0</v>
      </c>
      <c r="R2719" s="14">
        <v>1</v>
      </c>
      <c r="S2719" s="14" t="s">
        <v>77</v>
      </c>
      <c r="T2719" s="14">
        <v>999</v>
      </c>
      <c r="U2719" s="14" t="s">
        <v>1401</v>
      </c>
      <c r="V2719" s="14">
        <v>31945120</v>
      </c>
      <c r="X2719" s="14" t="s">
        <v>4855</v>
      </c>
      <c r="Y2719" s="14" t="s">
        <v>215</v>
      </c>
      <c r="Z2719" s="14">
        <v>21482</v>
      </c>
      <c r="AA2719" s="14" t="s">
        <v>4856</v>
      </c>
      <c r="AB2719" s="14">
        <v>40001</v>
      </c>
      <c r="AE2719" s="14" t="s">
        <v>1400</v>
      </c>
      <c r="AF2719" s="14" t="s">
        <v>1400</v>
      </c>
      <c r="AG2719" s="14" t="s">
        <v>95</v>
      </c>
    </row>
    <row r="2720" spans="2:33">
      <c r="B2720" s="14">
        <f>10000000+INDEX(编号表!$B:$B,MATCH(H2720,编号表!$A:$A,0))*100000+INDEX(编号表!$F:$F,MATCH(D2720,编号表!$E:$E,0))*10000+INDEX(编号表!$D:$D,MATCH(AG2720,编号表!$C:$C,0))*1000+F2720</f>
        <v>11925119</v>
      </c>
      <c r="C2720" s="14" t="s">
        <v>4857</v>
      </c>
      <c r="D2720" s="14" t="s">
        <v>112</v>
      </c>
      <c r="E2720" s="14" t="s">
        <v>95</v>
      </c>
      <c r="F2720" s="14">
        <v>119</v>
      </c>
      <c r="G2720" s="14">
        <v>60</v>
      </c>
      <c r="H2720" s="14" t="s">
        <v>1400</v>
      </c>
      <c r="I2720" s="14" t="s">
        <v>75</v>
      </c>
      <c r="J2720" s="14" t="s">
        <v>201</v>
      </c>
      <c r="K2720" s="14">
        <v>1</v>
      </c>
      <c r="L2720" s="14" t="s">
        <v>1400</v>
      </c>
      <c r="N2720" s="14">
        <v>0</v>
      </c>
      <c r="O2720" s="14" t="b">
        <v>1</v>
      </c>
      <c r="Q2720" s="14" t="b">
        <v>0</v>
      </c>
      <c r="R2720" s="14">
        <v>1</v>
      </c>
      <c r="S2720" s="14" t="s">
        <v>77</v>
      </c>
      <c r="T2720" s="14">
        <v>999</v>
      </c>
      <c r="U2720" s="14" t="s">
        <v>1401</v>
      </c>
      <c r="V2720" s="14">
        <v>31925119</v>
      </c>
      <c r="X2720" s="14" t="s">
        <v>4858</v>
      </c>
      <c r="Y2720" s="14" t="s">
        <v>215</v>
      </c>
      <c r="Z2720" s="14">
        <v>21483</v>
      </c>
      <c r="AA2720" s="14" t="s">
        <v>4859</v>
      </c>
      <c r="AB2720" s="14">
        <v>40001</v>
      </c>
      <c r="AE2720" s="14" t="s">
        <v>1400</v>
      </c>
      <c r="AF2720" s="14" t="s">
        <v>1400</v>
      </c>
      <c r="AG2720" s="14" t="s">
        <v>95</v>
      </c>
    </row>
    <row r="2721" spans="2:33">
      <c r="B2721" s="14">
        <f>10000000+INDEX(编号表!$B:$B,MATCH(H2721,编号表!$A:$A,0))*100000+INDEX(编号表!$F:$F,MATCH(D2721,编号表!$E:$E,0))*10000+INDEX(编号表!$D:$D,MATCH(AG2721,编号表!$C:$C,0))*1000+F2721</f>
        <v>11935120</v>
      </c>
      <c r="C2721" s="14" t="s">
        <v>4857</v>
      </c>
      <c r="D2721" s="14" t="s">
        <v>276</v>
      </c>
      <c r="E2721" s="14" t="s">
        <v>95</v>
      </c>
      <c r="F2721" s="14">
        <v>120</v>
      </c>
      <c r="G2721" s="14">
        <v>60</v>
      </c>
      <c r="H2721" s="14" t="s">
        <v>1400</v>
      </c>
      <c r="I2721" s="14" t="s">
        <v>75</v>
      </c>
      <c r="J2721" s="14" t="s">
        <v>201</v>
      </c>
      <c r="K2721" s="14">
        <v>1</v>
      </c>
      <c r="L2721" s="14" t="s">
        <v>1400</v>
      </c>
      <c r="N2721" s="14">
        <v>0</v>
      </c>
      <c r="O2721" s="14" t="b">
        <v>1</v>
      </c>
      <c r="Q2721" s="14" t="b">
        <v>0</v>
      </c>
      <c r="R2721" s="14">
        <v>1</v>
      </c>
      <c r="S2721" s="14" t="s">
        <v>77</v>
      </c>
      <c r="T2721" s="14">
        <v>999</v>
      </c>
      <c r="U2721" s="14" t="s">
        <v>1401</v>
      </c>
      <c r="V2721" s="14">
        <v>31935120</v>
      </c>
      <c r="X2721" s="14" t="s">
        <v>4860</v>
      </c>
      <c r="Y2721" s="14" t="s">
        <v>215</v>
      </c>
      <c r="Z2721" s="14">
        <v>21484</v>
      </c>
      <c r="AA2721" s="14" t="s">
        <v>4861</v>
      </c>
      <c r="AB2721" s="14">
        <v>40001</v>
      </c>
      <c r="AE2721" s="14" t="s">
        <v>1400</v>
      </c>
      <c r="AF2721" s="14" t="s">
        <v>1400</v>
      </c>
      <c r="AG2721" s="14" t="s">
        <v>95</v>
      </c>
    </row>
    <row r="2722" spans="2:33">
      <c r="B2722" s="14">
        <f>10000000+INDEX(编号表!$B:$B,MATCH(H2722,编号表!$A:$A,0))*100000+INDEX(编号表!$F:$F,MATCH(D2722,编号表!$E:$E,0))*10000+INDEX(编号表!$D:$D,MATCH(AG2722,编号表!$C:$C,0))*1000+F2722</f>
        <v>11945121</v>
      </c>
      <c r="C2722" s="14" t="s">
        <v>4857</v>
      </c>
      <c r="D2722" s="14" t="s">
        <v>104</v>
      </c>
      <c r="E2722" s="14" t="s">
        <v>95</v>
      </c>
      <c r="F2722" s="14">
        <v>121</v>
      </c>
      <c r="G2722" s="14">
        <v>60</v>
      </c>
      <c r="H2722" s="14" t="s">
        <v>1400</v>
      </c>
      <c r="I2722" s="14" t="s">
        <v>75</v>
      </c>
      <c r="J2722" s="14" t="s">
        <v>201</v>
      </c>
      <c r="K2722" s="14">
        <v>1</v>
      </c>
      <c r="L2722" s="14" t="s">
        <v>1400</v>
      </c>
      <c r="N2722" s="14">
        <v>0</v>
      </c>
      <c r="O2722" s="14" t="b">
        <v>1</v>
      </c>
      <c r="Q2722" s="14" t="b">
        <v>0</v>
      </c>
      <c r="R2722" s="14">
        <v>1</v>
      </c>
      <c r="S2722" s="14" t="s">
        <v>77</v>
      </c>
      <c r="T2722" s="14">
        <v>999</v>
      </c>
      <c r="U2722" s="14" t="s">
        <v>1401</v>
      </c>
      <c r="V2722" s="14">
        <v>31945121</v>
      </c>
      <c r="X2722" s="14" t="s">
        <v>4862</v>
      </c>
      <c r="Y2722" s="14" t="s">
        <v>215</v>
      </c>
      <c r="Z2722" s="14">
        <v>21485</v>
      </c>
      <c r="AA2722" s="14" t="s">
        <v>4863</v>
      </c>
      <c r="AB2722" s="14">
        <v>40001</v>
      </c>
      <c r="AE2722" s="14" t="s">
        <v>1400</v>
      </c>
      <c r="AF2722" s="14" t="s">
        <v>1400</v>
      </c>
      <c r="AG2722" s="14" t="s">
        <v>95</v>
      </c>
    </row>
    <row r="2723" spans="2:33">
      <c r="B2723" s="14">
        <f>10000000+INDEX(编号表!$B:$B,MATCH(H2723,编号表!$A:$A,0))*100000+INDEX(编号表!$F:$F,MATCH(D2723,编号表!$E:$E,0))*10000+INDEX(编号表!$D:$D,MATCH(AG2723,编号表!$C:$C,0))*1000+F2723</f>
        <v>11925120</v>
      </c>
      <c r="C2723" s="14" t="s">
        <v>4864</v>
      </c>
      <c r="D2723" s="14" t="s">
        <v>112</v>
      </c>
      <c r="E2723" s="14" t="s">
        <v>95</v>
      </c>
      <c r="F2723" s="14">
        <v>120</v>
      </c>
      <c r="G2723" s="14">
        <v>60</v>
      </c>
      <c r="H2723" s="14" t="s">
        <v>1400</v>
      </c>
      <c r="I2723" s="14" t="s">
        <v>75</v>
      </c>
      <c r="J2723" s="14" t="s">
        <v>201</v>
      </c>
      <c r="K2723" s="14">
        <v>1</v>
      </c>
      <c r="L2723" s="14" t="s">
        <v>1400</v>
      </c>
      <c r="N2723" s="14">
        <v>0</v>
      </c>
      <c r="O2723" s="14" t="b">
        <v>1</v>
      </c>
      <c r="Q2723" s="14" t="b">
        <v>0</v>
      </c>
      <c r="R2723" s="14">
        <v>1</v>
      </c>
      <c r="S2723" s="14" t="s">
        <v>77</v>
      </c>
      <c r="T2723" s="14">
        <v>999</v>
      </c>
      <c r="U2723" s="14" t="s">
        <v>1401</v>
      </c>
      <c r="V2723" s="14">
        <v>31925120</v>
      </c>
      <c r="X2723" s="14" t="s">
        <v>4865</v>
      </c>
      <c r="Y2723" s="14" t="s">
        <v>215</v>
      </c>
      <c r="Z2723" s="14">
        <v>21486</v>
      </c>
      <c r="AA2723" s="14" t="s">
        <v>4866</v>
      </c>
      <c r="AB2723" s="14">
        <v>40001</v>
      </c>
      <c r="AE2723" s="14" t="s">
        <v>1400</v>
      </c>
      <c r="AF2723" s="14" t="s">
        <v>1400</v>
      </c>
      <c r="AG2723" s="14" t="s">
        <v>95</v>
      </c>
    </row>
    <row r="2724" spans="2:33">
      <c r="B2724" s="14">
        <f>10000000+INDEX(编号表!$B:$B,MATCH(H2724,编号表!$A:$A,0))*100000+INDEX(编号表!$F:$F,MATCH(D2724,编号表!$E:$E,0))*10000+INDEX(编号表!$D:$D,MATCH(AG2724,编号表!$C:$C,0))*1000+F2724</f>
        <v>11935121</v>
      </c>
      <c r="C2724" s="14" t="s">
        <v>4864</v>
      </c>
      <c r="D2724" s="14" t="s">
        <v>276</v>
      </c>
      <c r="E2724" s="14" t="s">
        <v>95</v>
      </c>
      <c r="F2724" s="14">
        <v>121</v>
      </c>
      <c r="G2724" s="14">
        <v>60</v>
      </c>
      <c r="H2724" s="14" t="s">
        <v>1400</v>
      </c>
      <c r="I2724" s="14" t="s">
        <v>75</v>
      </c>
      <c r="J2724" s="14" t="s">
        <v>201</v>
      </c>
      <c r="K2724" s="14">
        <v>1</v>
      </c>
      <c r="L2724" s="14" t="s">
        <v>1400</v>
      </c>
      <c r="N2724" s="14">
        <v>0</v>
      </c>
      <c r="O2724" s="14" t="b">
        <v>1</v>
      </c>
      <c r="Q2724" s="14" t="b">
        <v>0</v>
      </c>
      <c r="R2724" s="14">
        <v>1</v>
      </c>
      <c r="S2724" s="14" t="s">
        <v>77</v>
      </c>
      <c r="T2724" s="14">
        <v>999</v>
      </c>
      <c r="U2724" s="14" t="s">
        <v>1401</v>
      </c>
      <c r="V2724" s="14">
        <v>31935121</v>
      </c>
      <c r="X2724" s="14" t="s">
        <v>4867</v>
      </c>
      <c r="Y2724" s="14" t="s">
        <v>215</v>
      </c>
      <c r="Z2724" s="14">
        <v>21487</v>
      </c>
      <c r="AA2724" s="14" t="s">
        <v>4868</v>
      </c>
      <c r="AB2724" s="14">
        <v>40001</v>
      </c>
      <c r="AE2724" s="14" t="s">
        <v>1400</v>
      </c>
      <c r="AF2724" s="14" t="s">
        <v>1400</v>
      </c>
      <c r="AG2724" s="14" t="s">
        <v>95</v>
      </c>
    </row>
    <row r="2725" spans="2:33">
      <c r="B2725" s="14">
        <f>10000000+INDEX(编号表!$B:$B,MATCH(H2725,编号表!$A:$A,0))*100000+INDEX(编号表!$F:$F,MATCH(D2725,编号表!$E:$E,0))*10000+INDEX(编号表!$D:$D,MATCH(AG2725,编号表!$C:$C,0))*1000+F2725</f>
        <v>11945122</v>
      </c>
      <c r="C2725" s="14" t="s">
        <v>4864</v>
      </c>
      <c r="D2725" s="14" t="s">
        <v>104</v>
      </c>
      <c r="E2725" s="14" t="s">
        <v>95</v>
      </c>
      <c r="F2725" s="14">
        <v>122</v>
      </c>
      <c r="G2725" s="14">
        <v>60</v>
      </c>
      <c r="H2725" s="14" t="s">
        <v>1400</v>
      </c>
      <c r="I2725" s="14" t="s">
        <v>75</v>
      </c>
      <c r="J2725" s="14" t="s">
        <v>201</v>
      </c>
      <c r="K2725" s="14">
        <v>1</v>
      </c>
      <c r="L2725" s="14" t="s">
        <v>1400</v>
      </c>
      <c r="N2725" s="14">
        <v>0</v>
      </c>
      <c r="O2725" s="14" t="b">
        <v>1</v>
      </c>
      <c r="Q2725" s="14" t="b">
        <v>0</v>
      </c>
      <c r="R2725" s="14">
        <v>1</v>
      </c>
      <c r="S2725" s="14" t="s">
        <v>77</v>
      </c>
      <c r="T2725" s="14">
        <v>999</v>
      </c>
      <c r="U2725" s="14" t="s">
        <v>1401</v>
      </c>
      <c r="V2725" s="14">
        <v>31945122</v>
      </c>
      <c r="X2725" s="14" t="s">
        <v>4869</v>
      </c>
      <c r="Y2725" s="14" t="s">
        <v>215</v>
      </c>
      <c r="Z2725" s="14">
        <v>21488</v>
      </c>
      <c r="AA2725" s="14" t="s">
        <v>4870</v>
      </c>
      <c r="AB2725" s="14">
        <v>40001</v>
      </c>
      <c r="AE2725" s="14" t="s">
        <v>1400</v>
      </c>
      <c r="AF2725" s="14" t="s">
        <v>1400</v>
      </c>
      <c r="AG2725" s="14" t="s">
        <v>95</v>
      </c>
    </row>
    <row r="2726" spans="2:33">
      <c r="B2726" s="14">
        <f>10000000+INDEX(编号表!$B:$B,MATCH(H2726,编号表!$A:$A,0))*100000+INDEX(编号表!$F:$F,MATCH(D2726,编号表!$E:$E,0))*10000+INDEX(编号表!$D:$D,MATCH(AG2726,编号表!$C:$C,0))*1000+F2726</f>
        <v>11925121</v>
      </c>
      <c r="C2726" s="14" t="s">
        <v>4871</v>
      </c>
      <c r="D2726" s="14" t="s">
        <v>112</v>
      </c>
      <c r="E2726" s="14" t="s">
        <v>95</v>
      </c>
      <c r="F2726" s="14">
        <v>121</v>
      </c>
      <c r="G2726" s="14">
        <v>60</v>
      </c>
      <c r="H2726" s="14" t="s">
        <v>1400</v>
      </c>
      <c r="I2726" s="14" t="s">
        <v>75</v>
      </c>
      <c r="J2726" s="14" t="s">
        <v>201</v>
      </c>
      <c r="K2726" s="14">
        <v>1</v>
      </c>
      <c r="L2726" s="14" t="s">
        <v>1400</v>
      </c>
      <c r="N2726" s="14">
        <v>0</v>
      </c>
      <c r="O2726" s="14" t="b">
        <v>1</v>
      </c>
      <c r="Q2726" s="14" t="b">
        <v>0</v>
      </c>
      <c r="R2726" s="14">
        <v>1</v>
      </c>
      <c r="S2726" s="14" t="s">
        <v>77</v>
      </c>
      <c r="T2726" s="14">
        <v>999</v>
      </c>
      <c r="U2726" s="14" t="s">
        <v>1401</v>
      </c>
      <c r="V2726" s="14">
        <v>31925121</v>
      </c>
      <c r="X2726" s="14" t="s">
        <v>4872</v>
      </c>
      <c r="Y2726" s="14" t="s">
        <v>215</v>
      </c>
      <c r="Z2726" s="14">
        <v>21489</v>
      </c>
      <c r="AA2726" s="14" t="s">
        <v>4873</v>
      </c>
      <c r="AB2726" s="14">
        <v>40001</v>
      </c>
      <c r="AE2726" s="14" t="s">
        <v>1400</v>
      </c>
      <c r="AF2726" s="14" t="s">
        <v>1400</v>
      </c>
      <c r="AG2726" s="14" t="s">
        <v>95</v>
      </c>
    </row>
    <row r="2727" spans="2:33">
      <c r="B2727" s="14">
        <f>10000000+INDEX(编号表!$B:$B,MATCH(H2727,编号表!$A:$A,0))*100000+INDEX(编号表!$F:$F,MATCH(D2727,编号表!$E:$E,0))*10000+INDEX(编号表!$D:$D,MATCH(AG2727,编号表!$C:$C,0))*1000+F2727</f>
        <v>11935122</v>
      </c>
      <c r="C2727" s="14" t="s">
        <v>4871</v>
      </c>
      <c r="D2727" s="14" t="s">
        <v>276</v>
      </c>
      <c r="E2727" s="14" t="s">
        <v>95</v>
      </c>
      <c r="F2727" s="14">
        <v>122</v>
      </c>
      <c r="G2727" s="14">
        <v>60</v>
      </c>
      <c r="H2727" s="14" t="s">
        <v>1400</v>
      </c>
      <c r="I2727" s="14" t="s">
        <v>75</v>
      </c>
      <c r="J2727" s="14" t="s">
        <v>201</v>
      </c>
      <c r="K2727" s="14">
        <v>1</v>
      </c>
      <c r="L2727" s="14" t="s">
        <v>1400</v>
      </c>
      <c r="N2727" s="14">
        <v>0</v>
      </c>
      <c r="O2727" s="14" t="b">
        <v>1</v>
      </c>
      <c r="Q2727" s="14" t="b">
        <v>0</v>
      </c>
      <c r="R2727" s="14">
        <v>1</v>
      </c>
      <c r="S2727" s="14" t="s">
        <v>77</v>
      </c>
      <c r="T2727" s="14">
        <v>999</v>
      </c>
      <c r="U2727" s="14" t="s">
        <v>1401</v>
      </c>
      <c r="V2727" s="14">
        <v>31935122</v>
      </c>
      <c r="X2727" s="14" t="s">
        <v>4874</v>
      </c>
      <c r="Y2727" s="14" t="s">
        <v>215</v>
      </c>
      <c r="Z2727" s="14">
        <v>21490</v>
      </c>
      <c r="AA2727" s="14" t="s">
        <v>4875</v>
      </c>
      <c r="AB2727" s="14">
        <v>40001</v>
      </c>
      <c r="AE2727" s="14" t="s">
        <v>1400</v>
      </c>
      <c r="AF2727" s="14" t="s">
        <v>1400</v>
      </c>
      <c r="AG2727" s="14" t="s">
        <v>95</v>
      </c>
    </row>
    <row r="2728" spans="2:33">
      <c r="B2728" s="14">
        <f>10000000+INDEX(编号表!$B:$B,MATCH(H2728,编号表!$A:$A,0))*100000+INDEX(编号表!$F:$F,MATCH(D2728,编号表!$E:$E,0))*10000+INDEX(编号表!$D:$D,MATCH(AG2728,编号表!$C:$C,0))*1000+F2728</f>
        <v>11945123</v>
      </c>
      <c r="C2728" s="14" t="s">
        <v>4871</v>
      </c>
      <c r="D2728" s="14" t="s">
        <v>104</v>
      </c>
      <c r="E2728" s="14" t="s">
        <v>95</v>
      </c>
      <c r="F2728" s="14">
        <v>123</v>
      </c>
      <c r="G2728" s="14">
        <v>60</v>
      </c>
      <c r="H2728" s="14" t="s">
        <v>1400</v>
      </c>
      <c r="I2728" s="14" t="s">
        <v>75</v>
      </c>
      <c r="J2728" s="14" t="s">
        <v>201</v>
      </c>
      <c r="K2728" s="14">
        <v>1</v>
      </c>
      <c r="L2728" s="14" t="s">
        <v>1400</v>
      </c>
      <c r="N2728" s="14">
        <v>0</v>
      </c>
      <c r="O2728" s="14" t="b">
        <v>1</v>
      </c>
      <c r="Q2728" s="14" t="b">
        <v>0</v>
      </c>
      <c r="R2728" s="14">
        <v>1</v>
      </c>
      <c r="S2728" s="14" t="s">
        <v>77</v>
      </c>
      <c r="T2728" s="14">
        <v>999</v>
      </c>
      <c r="U2728" s="14" t="s">
        <v>1401</v>
      </c>
      <c r="V2728" s="14">
        <v>31945123</v>
      </c>
      <c r="X2728" s="14" t="s">
        <v>4876</v>
      </c>
      <c r="Y2728" s="14" t="s">
        <v>215</v>
      </c>
      <c r="Z2728" s="14">
        <v>21491</v>
      </c>
      <c r="AA2728" s="14" t="s">
        <v>4877</v>
      </c>
      <c r="AB2728" s="14">
        <v>40001</v>
      </c>
      <c r="AE2728" s="14" t="s">
        <v>1400</v>
      </c>
      <c r="AF2728" s="14" t="s">
        <v>1400</v>
      </c>
      <c r="AG2728" s="14" t="s">
        <v>95</v>
      </c>
    </row>
    <row r="2729" spans="2:33">
      <c r="B2729" s="14">
        <f>10000000+INDEX(编号表!$B:$B,MATCH(H2729,编号表!$A:$A,0))*100000+INDEX(编号表!$F:$F,MATCH(D2729,编号表!$E:$E,0))*10000+INDEX(编号表!$D:$D,MATCH(AG2729,编号表!$C:$C,0))*1000+F2729</f>
        <v>11925122</v>
      </c>
      <c r="C2729" s="14" t="s">
        <v>4878</v>
      </c>
      <c r="D2729" s="14" t="s">
        <v>112</v>
      </c>
      <c r="E2729" s="14" t="s">
        <v>95</v>
      </c>
      <c r="F2729" s="14">
        <v>122</v>
      </c>
      <c r="G2729" s="14">
        <v>60</v>
      </c>
      <c r="H2729" s="14" t="s">
        <v>1400</v>
      </c>
      <c r="I2729" s="14" t="s">
        <v>75</v>
      </c>
      <c r="J2729" s="14" t="s">
        <v>201</v>
      </c>
      <c r="K2729" s="14">
        <v>1</v>
      </c>
      <c r="L2729" s="14" t="s">
        <v>1400</v>
      </c>
      <c r="N2729" s="14">
        <v>0</v>
      </c>
      <c r="O2729" s="14" t="b">
        <v>1</v>
      </c>
      <c r="Q2729" s="14" t="b">
        <v>0</v>
      </c>
      <c r="R2729" s="14">
        <v>1</v>
      </c>
      <c r="S2729" s="14" t="s">
        <v>77</v>
      </c>
      <c r="T2729" s="14">
        <v>999</v>
      </c>
      <c r="U2729" s="14" t="s">
        <v>1401</v>
      </c>
      <c r="V2729" s="14">
        <v>31925122</v>
      </c>
      <c r="X2729" s="14" t="s">
        <v>4879</v>
      </c>
      <c r="Y2729" s="14" t="s">
        <v>215</v>
      </c>
      <c r="Z2729" s="14">
        <v>21492</v>
      </c>
      <c r="AA2729" s="14" t="s">
        <v>4880</v>
      </c>
      <c r="AB2729" s="14">
        <v>40001</v>
      </c>
      <c r="AE2729" s="14" t="s">
        <v>1400</v>
      </c>
      <c r="AF2729" s="14" t="s">
        <v>1400</v>
      </c>
      <c r="AG2729" s="14" t="s">
        <v>95</v>
      </c>
    </row>
    <row r="2730" spans="2:33">
      <c r="B2730" s="14">
        <f>10000000+INDEX(编号表!$B:$B,MATCH(H2730,编号表!$A:$A,0))*100000+INDEX(编号表!$F:$F,MATCH(D2730,编号表!$E:$E,0))*10000+INDEX(编号表!$D:$D,MATCH(AG2730,编号表!$C:$C,0))*1000+F2730</f>
        <v>11935123</v>
      </c>
      <c r="C2730" s="14" t="s">
        <v>4878</v>
      </c>
      <c r="D2730" s="14" t="s">
        <v>276</v>
      </c>
      <c r="E2730" s="14" t="s">
        <v>95</v>
      </c>
      <c r="F2730" s="14">
        <v>123</v>
      </c>
      <c r="G2730" s="14">
        <v>60</v>
      </c>
      <c r="H2730" s="14" t="s">
        <v>1400</v>
      </c>
      <c r="I2730" s="14" t="s">
        <v>75</v>
      </c>
      <c r="J2730" s="14" t="s">
        <v>201</v>
      </c>
      <c r="K2730" s="14">
        <v>1</v>
      </c>
      <c r="L2730" s="14" t="s">
        <v>1400</v>
      </c>
      <c r="N2730" s="14">
        <v>0</v>
      </c>
      <c r="O2730" s="14" t="b">
        <v>1</v>
      </c>
      <c r="Q2730" s="14" t="b">
        <v>0</v>
      </c>
      <c r="R2730" s="14">
        <v>1</v>
      </c>
      <c r="S2730" s="14" t="s">
        <v>77</v>
      </c>
      <c r="T2730" s="14">
        <v>999</v>
      </c>
      <c r="U2730" s="14" t="s">
        <v>1401</v>
      </c>
      <c r="V2730" s="14">
        <v>31935123</v>
      </c>
      <c r="X2730" s="14" t="s">
        <v>4881</v>
      </c>
      <c r="Y2730" s="14" t="s">
        <v>215</v>
      </c>
      <c r="Z2730" s="14">
        <v>21493</v>
      </c>
      <c r="AA2730" s="14" t="s">
        <v>4882</v>
      </c>
      <c r="AB2730" s="14">
        <v>40001</v>
      </c>
      <c r="AE2730" s="14" t="s">
        <v>1400</v>
      </c>
      <c r="AF2730" s="14" t="s">
        <v>1400</v>
      </c>
      <c r="AG2730" s="14" t="s">
        <v>95</v>
      </c>
    </row>
    <row r="2731" spans="2:33">
      <c r="B2731" s="14">
        <f>10000000+INDEX(编号表!$B:$B,MATCH(H2731,编号表!$A:$A,0))*100000+INDEX(编号表!$F:$F,MATCH(D2731,编号表!$E:$E,0))*10000+INDEX(编号表!$D:$D,MATCH(AG2731,编号表!$C:$C,0))*1000+F2731</f>
        <v>11945124</v>
      </c>
      <c r="C2731" s="14" t="s">
        <v>4878</v>
      </c>
      <c r="D2731" s="14" t="s">
        <v>104</v>
      </c>
      <c r="E2731" s="14" t="s">
        <v>95</v>
      </c>
      <c r="F2731" s="14">
        <v>124</v>
      </c>
      <c r="G2731" s="14">
        <v>60</v>
      </c>
      <c r="H2731" s="14" t="s">
        <v>1400</v>
      </c>
      <c r="I2731" s="14" t="s">
        <v>75</v>
      </c>
      <c r="J2731" s="14" t="s">
        <v>201</v>
      </c>
      <c r="K2731" s="14">
        <v>1</v>
      </c>
      <c r="L2731" s="14" t="s">
        <v>1400</v>
      </c>
      <c r="N2731" s="14">
        <v>0</v>
      </c>
      <c r="O2731" s="14" t="b">
        <v>1</v>
      </c>
      <c r="Q2731" s="14" t="b">
        <v>0</v>
      </c>
      <c r="R2731" s="14">
        <v>1</v>
      </c>
      <c r="S2731" s="14" t="s">
        <v>77</v>
      </c>
      <c r="T2731" s="14">
        <v>999</v>
      </c>
      <c r="U2731" s="14" t="s">
        <v>1401</v>
      </c>
      <c r="V2731" s="14">
        <v>31945124</v>
      </c>
      <c r="X2731" s="14" t="s">
        <v>4883</v>
      </c>
      <c r="Y2731" s="14" t="s">
        <v>215</v>
      </c>
      <c r="Z2731" s="14">
        <v>21494</v>
      </c>
      <c r="AA2731" s="14" t="s">
        <v>4884</v>
      </c>
      <c r="AB2731" s="14">
        <v>40001</v>
      </c>
      <c r="AE2731" s="14" t="s">
        <v>1400</v>
      </c>
      <c r="AF2731" s="14" t="s">
        <v>1400</v>
      </c>
      <c r="AG2731" s="14" t="s">
        <v>95</v>
      </c>
    </row>
    <row r="2732" spans="2:33">
      <c r="B2732" s="14">
        <f>10000000+INDEX(编号表!$B:$B,MATCH(H2732,编号表!$A:$A,0))*100000+INDEX(编号表!$F:$F,MATCH(D2732,编号表!$E:$E,0))*10000+INDEX(编号表!$D:$D,MATCH(AG2732,编号表!$C:$C,0))*1000+F2732</f>
        <v>11925123</v>
      </c>
      <c r="C2732" s="14" t="s">
        <v>4885</v>
      </c>
      <c r="D2732" s="14" t="s">
        <v>112</v>
      </c>
      <c r="E2732" s="14" t="s">
        <v>95</v>
      </c>
      <c r="F2732" s="14">
        <v>123</v>
      </c>
      <c r="G2732" s="14">
        <v>60</v>
      </c>
      <c r="H2732" s="14" t="s">
        <v>1400</v>
      </c>
      <c r="I2732" s="14" t="s">
        <v>75</v>
      </c>
      <c r="J2732" s="14" t="s">
        <v>201</v>
      </c>
      <c r="K2732" s="14">
        <v>1</v>
      </c>
      <c r="L2732" s="14" t="s">
        <v>1400</v>
      </c>
      <c r="N2732" s="14">
        <v>0</v>
      </c>
      <c r="O2732" s="14" t="b">
        <v>1</v>
      </c>
      <c r="Q2732" s="14" t="b">
        <v>0</v>
      </c>
      <c r="R2732" s="14">
        <v>1</v>
      </c>
      <c r="S2732" s="14" t="s">
        <v>77</v>
      </c>
      <c r="T2732" s="14">
        <v>999</v>
      </c>
      <c r="U2732" s="14" t="s">
        <v>1401</v>
      </c>
      <c r="V2732" s="14">
        <v>31925123</v>
      </c>
      <c r="X2732" s="14" t="s">
        <v>4886</v>
      </c>
      <c r="Y2732" s="14" t="s">
        <v>215</v>
      </c>
      <c r="Z2732" s="14">
        <v>21495</v>
      </c>
      <c r="AA2732" s="14" t="s">
        <v>4887</v>
      </c>
      <c r="AB2732" s="14">
        <v>40001</v>
      </c>
      <c r="AE2732" s="14" t="s">
        <v>1400</v>
      </c>
      <c r="AF2732" s="14" t="s">
        <v>1400</v>
      </c>
      <c r="AG2732" s="14" t="s">
        <v>95</v>
      </c>
    </row>
    <row r="2733" spans="2:33">
      <c r="B2733" s="14">
        <f>10000000+INDEX(编号表!$B:$B,MATCH(H2733,编号表!$A:$A,0))*100000+INDEX(编号表!$F:$F,MATCH(D2733,编号表!$E:$E,0))*10000+INDEX(编号表!$D:$D,MATCH(AG2733,编号表!$C:$C,0))*1000+F2733</f>
        <v>11935124</v>
      </c>
      <c r="C2733" s="14" t="s">
        <v>4885</v>
      </c>
      <c r="D2733" s="14" t="s">
        <v>276</v>
      </c>
      <c r="E2733" s="14" t="s">
        <v>95</v>
      </c>
      <c r="F2733" s="14">
        <v>124</v>
      </c>
      <c r="G2733" s="14">
        <v>60</v>
      </c>
      <c r="H2733" s="14" t="s">
        <v>1400</v>
      </c>
      <c r="I2733" s="14" t="s">
        <v>75</v>
      </c>
      <c r="J2733" s="14" t="s">
        <v>201</v>
      </c>
      <c r="K2733" s="14">
        <v>1</v>
      </c>
      <c r="L2733" s="14" t="s">
        <v>1400</v>
      </c>
      <c r="N2733" s="14">
        <v>0</v>
      </c>
      <c r="O2733" s="14" t="b">
        <v>1</v>
      </c>
      <c r="Q2733" s="14" t="b">
        <v>0</v>
      </c>
      <c r="R2733" s="14">
        <v>1</v>
      </c>
      <c r="S2733" s="14" t="s">
        <v>77</v>
      </c>
      <c r="T2733" s="14">
        <v>999</v>
      </c>
      <c r="U2733" s="14" t="s">
        <v>1401</v>
      </c>
      <c r="V2733" s="14">
        <v>31935124</v>
      </c>
      <c r="X2733" s="14" t="s">
        <v>4888</v>
      </c>
      <c r="Y2733" s="14" t="s">
        <v>215</v>
      </c>
      <c r="Z2733" s="14">
        <v>21496</v>
      </c>
      <c r="AA2733" s="14" t="s">
        <v>4889</v>
      </c>
      <c r="AB2733" s="14">
        <v>40001</v>
      </c>
      <c r="AE2733" s="14" t="s">
        <v>1400</v>
      </c>
      <c r="AF2733" s="14" t="s">
        <v>1400</v>
      </c>
      <c r="AG2733" s="14" t="s">
        <v>95</v>
      </c>
    </row>
    <row r="2734" spans="2:33">
      <c r="B2734" s="14">
        <f>10000000+INDEX(编号表!$B:$B,MATCH(H2734,编号表!$A:$A,0))*100000+INDEX(编号表!$F:$F,MATCH(D2734,编号表!$E:$E,0))*10000+INDEX(编号表!$D:$D,MATCH(AG2734,编号表!$C:$C,0))*1000+F2734</f>
        <v>11945125</v>
      </c>
      <c r="C2734" s="14" t="s">
        <v>4885</v>
      </c>
      <c r="D2734" s="14" t="s">
        <v>104</v>
      </c>
      <c r="E2734" s="14" t="s">
        <v>95</v>
      </c>
      <c r="F2734" s="14">
        <v>125</v>
      </c>
      <c r="G2734" s="14">
        <v>60</v>
      </c>
      <c r="H2734" s="14" t="s">
        <v>1400</v>
      </c>
      <c r="I2734" s="14" t="s">
        <v>75</v>
      </c>
      <c r="J2734" s="14" t="s">
        <v>201</v>
      </c>
      <c r="K2734" s="14">
        <v>1</v>
      </c>
      <c r="L2734" s="14" t="s">
        <v>1400</v>
      </c>
      <c r="N2734" s="14">
        <v>0</v>
      </c>
      <c r="O2734" s="14" t="b">
        <v>1</v>
      </c>
      <c r="Q2734" s="14" t="b">
        <v>0</v>
      </c>
      <c r="R2734" s="14">
        <v>1</v>
      </c>
      <c r="S2734" s="14" t="s">
        <v>77</v>
      </c>
      <c r="T2734" s="14">
        <v>999</v>
      </c>
      <c r="U2734" s="14" t="s">
        <v>1401</v>
      </c>
      <c r="V2734" s="14">
        <v>31945125</v>
      </c>
      <c r="X2734" s="14" t="s">
        <v>4890</v>
      </c>
      <c r="Y2734" s="14" t="s">
        <v>215</v>
      </c>
      <c r="Z2734" s="14">
        <v>21497</v>
      </c>
      <c r="AA2734" s="14" t="s">
        <v>4891</v>
      </c>
      <c r="AB2734" s="14">
        <v>40001</v>
      </c>
      <c r="AE2734" s="14" t="s">
        <v>1400</v>
      </c>
      <c r="AF2734" s="14" t="s">
        <v>1400</v>
      </c>
      <c r="AG2734" s="14" t="s">
        <v>95</v>
      </c>
    </row>
    <row r="2735" spans="2:33">
      <c r="B2735" s="14">
        <f>10000000+INDEX(编号表!$B:$B,MATCH(H2735,编号表!$A:$A,0))*100000+INDEX(编号表!$F:$F,MATCH(D2735,编号表!$E:$E,0))*10000+INDEX(编号表!$D:$D,MATCH(AG2735,编号表!$C:$C,0))*1000+F2735</f>
        <v>11925124</v>
      </c>
      <c r="C2735" s="14" t="s">
        <v>4892</v>
      </c>
      <c r="D2735" s="14" t="s">
        <v>112</v>
      </c>
      <c r="E2735" s="14" t="s">
        <v>95</v>
      </c>
      <c r="F2735" s="14">
        <v>124</v>
      </c>
      <c r="G2735" s="14">
        <v>60</v>
      </c>
      <c r="H2735" s="14" t="s">
        <v>1400</v>
      </c>
      <c r="I2735" s="14" t="s">
        <v>75</v>
      </c>
      <c r="J2735" s="14" t="s">
        <v>201</v>
      </c>
      <c r="K2735" s="14">
        <v>1</v>
      </c>
      <c r="L2735" s="14" t="s">
        <v>1400</v>
      </c>
      <c r="N2735" s="14">
        <v>0</v>
      </c>
      <c r="O2735" s="14" t="b">
        <v>1</v>
      </c>
      <c r="Q2735" s="14" t="b">
        <v>0</v>
      </c>
      <c r="R2735" s="14">
        <v>1</v>
      </c>
      <c r="S2735" s="14" t="s">
        <v>77</v>
      </c>
      <c r="T2735" s="14">
        <v>999</v>
      </c>
      <c r="U2735" s="14" t="s">
        <v>1401</v>
      </c>
      <c r="V2735" s="14">
        <v>31925124</v>
      </c>
      <c r="X2735" s="14" t="s">
        <v>4893</v>
      </c>
      <c r="Y2735" s="14" t="s">
        <v>215</v>
      </c>
      <c r="Z2735" s="14">
        <v>21498</v>
      </c>
      <c r="AA2735" s="14" t="s">
        <v>4894</v>
      </c>
      <c r="AB2735" s="14">
        <v>40001</v>
      </c>
      <c r="AE2735" s="14" t="s">
        <v>1400</v>
      </c>
      <c r="AF2735" s="14" t="s">
        <v>1400</v>
      </c>
      <c r="AG2735" s="14" t="s">
        <v>95</v>
      </c>
    </row>
    <row r="2736" spans="2:33">
      <c r="B2736" s="14">
        <f>10000000+INDEX(编号表!$B:$B,MATCH(H2736,编号表!$A:$A,0))*100000+INDEX(编号表!$F:$F,MATCH(D2736,编号表!$E:$E,0))*10000+INDEX(编号表!$D:$D,MATCH(AG2736,编号表!$C:$C,0))*1000+F2736</f>
        <v>11935125</v>
      </c>
      <c r="C2736" s="14" t="s">
        <v>4892</v>
      </c>
      <c r="D2736" s="14" t="s">
        <v>276</v>
      </c>
      <c r="E2736" s="14" t="s">
        <v>95</v>
      </c>
      <c r="F2736" s="14">
        <v>125</v>
      </c>
      <c r="G2736" s="14">
        <v>60</v>
      </c>
      <c r="H2736" s="14" t="s">
        <v>1400</v>
      </c>
      <c r="I2736" s="14" t="s">
        <v>75</v>
      </c>
      <c r="J2736" s="14" t="s">
        <v>201</v>
      </c>
      <c r="K2736" s="14">
        <v>1</v>
      </c>
      <c r="L2736" s="14" t="s">
        <v>1400</v>
      </c>
      <c r="N2736" s="14">
        <v>0</v>
      </c>
      <c r="O2736" s="14" t="b">
        <v>1</v>
      </c>
      <c r="Q2736" s="14" t="b">
        <v>0</v>
      </c>
      <c r="R2736" s="14">
        <v>1</v>
      </c>
      <c r="S2736" s="14" t="s">
        <v>77</v>
      </c>
      <c r="T2736" s="14">
        <v>999</v>
      </c>
      <c r="U2736" s="14" t="s">
        <v>1401</v>
      </c>
      <c r="V2736" s="14">
        <v>31935125</v>
      </c>
      <c r="X2736" s="14" t="s">
        <v>4895</v>
      </c>
      <c r="Y2736" s="14" t="s">
        <v>215</v>
      </c>
      <c r="Z2736" s="14">
        <v>21499</v>
      </c>
      <c r="AA2736" s="14" t="s">
        <v>4896</v>
      </c>
      <c r="AB2736" s="14">
        <v>40001</v>
      </c>
      <c r="AE2736" s="14" t="s">
        <v>1400</v>
      </c>
      <c r="AF2736" s="14" t="s">
        <v>1400</v>
      </c>
      <c r="AG2736" s="14" t="s">
        <v>95</v>
      </c>
    </row>
    <row r="2737" spans="2:33">
      <c r="B2737" s="14">
        <f>10000000+INDEX(编号表!$B:$B,MATCH(H2737,编号表!$A:$A,0))*100000+INDEX(编号表!$F:$F,MATCH(D2737,编号表!$E:$E,0))*10000+INDEX(编号表!$D:$D,MATCH(AG2737,编号表!$C:$C,0))*1000+F2737</f>
        <v>11945126</v>
      </c>
      <c r="C2737" s="14" t="s">
        <v>4892</v>
      </c>
      <c r="D2737" s="14" t="s">
        <v>104</v>
      </c>
      <c r="E2737" s="14" t="s">
        <v>95</v>
      </c>
      <c r="F2737" s="14">
        <v>126</v>
      </c>
      <c r="G2737" s="14">
        <v>60</v>
      </c>
      <c r="H2737" s="14" t="s">
        <v>1400</v>
      </c>
      <c r="I2737" s="14" t="s">
        <v>75</v>
      </c>
      <c r="J2737" s="14" t="s">
        <v>201</v>
      </c>
      <c r="K2737" s="14">
        <v>1</v>
      </c>
      <c r="L2737" s="14" t="s">
        <v>1400</v>
      </c>
      <c r="N2737" s="14">
        <v>0</v>
      </c>
      <c r="O2737" s="14" t="b">
        <v>1</v>
      </c>
      <c r="Q2737" s="14" t="b">
        <v>0</v>
      </c>
      <c r="R2737" s="14">
        <v>1</v>
      </c>
      <c r="S2737" s="14" t="s">
        <v>77</v>
      </c>
      <c r="T2737" s="14">
        <v>999</v>
      </c>
      <c r="U2737" s="14" t="s">
        <v>1401</v>
      </c>
      <c r="V2737" s="14">
        <v>31945126</v>
      </c>
      <c r="X2737" s="14" t="s">
        <v>4897</v>
      </c>
      <c r="Y2737" s="14" t="s">
        <v>215</v>
      </c>
      <c r="Z2737" s="14">
        <v>21500</v>
      </c>
      <c r="AA2737" s="14" t="s">
        <v>4898</v>
      </c>
      <c r="AB2737" s="14">
        <v>40001</v>
      </c>
      <c r="AE2737" s="14" t="s">
        <v>1400</v>
      </c>
      <c r="AF2737" s="14" t="s">
        <v>1400</v>
      </c>
      <c r="AG2737" s="14" t="s">
        <v>95</v>
      </c>
    </row>
    <row r="2738" spans="2:33">
      <c r="B2738" s="14">
        <f>10000000+INDEX(编号表!$B:$B,MATCH(H2738,编号表!$A:$A,0))*100000+INDEX(编号表!$F:$F,MATCH(D2738,编号表!$E:$E,0))*10000+INDEX(编号表!$D:$D,MATCH(AG2738,编号表!$C:$C,0))*1000+F2738</f>
        <v>11926000</v>
      </c>
      <c r="C2738" s="14" t="s">
        <v>4899</v>
      </c>
      <c r="D2738" s="14" t="s">
        <v>112</v>
      </c>
      <c r="E2738" s="14" t="s">
        <v>98</v>
      </c>
      <c r="F2738" s="14">
        <v>0</v>
      </c>
      <c r="G2738" s="14">
        <v>60</v>
      </c>
      <c r="H2738" s="14" t="s">
        <v>1400</v>
      </c>
      <c r="I2738" s="14" t="s">
        <v>75</v>
      </c>
      <c r="J2738" s="14" t="s">
        <v>201</v>
      </c>
      <c r="K2738" s="14">
        <v>1</v>
      </c>
      <c r="L2738" s="14" t="s">
        <v>1400</v>
      </c>
      <c r="N2738" s="14">
        <v>0</v>
      </c>
      <c r="O2738" s="14" t="b">
        <v>1</v>
      </c>
      <c r="Q2738" s="14" t="b">
        <v>0</v>
      </c>
      <c r="R2738" s="14">
        <v>1</v>
      </c>
      <c r="S2738" s="14" t="s">
        <v>77</v>
      </c>
      <c r="T2738" s="14">
        <v>999</v>
      </c>
      <c r="U2738" s="14" t="s">
        <v>1401</v>
      </c>
      <c r="V2738" s="14">
        <v>31926000</v>
      </c>
      <c r="X2738" s="14" t="s">
        <v>4900</v>
      </c>
      <c r="Y2738" s="14" t="s">
        <v>215</v>
      </c>
      <c r="Z2738" s="14">
        <v>21501</v>
      </c>
      <c r="AA2738" s="14" t="s">
        <v>4901</v>
      </c>
      <c r="AB2738" s="14">
        <v>40001</v>
      </c>
      <c r="AE2738" s="14" t="s">
        <v>1400</v>
      </c>
      <c r="AF2738" s="14" t="s">
        <v>1400</v>
      </c>
      <c r="AG2738" s="14" t="s">
        <v>98</v>
      </c>
    </row>
    <row r="2739" spans="2:33">
      <c r="B2739" s="14">
        <f>10000000+INDEX(编号表!$B:$B,MATCH(H2739,编号表!$A:$A,0))*100000+INDEX(编号表!$F:$F,MATCH(D2739,编号表!$E:$E,0))*10000+INDEX(编号表!$D:$D,MATCH(AG2739,编号表!$C:$C,0))*1000+F2739</f>
        <v>11936001</v>
      </c>
      <c r="C2739" s="14" t="s">
        <v>4899</v>
      </c>
      <c r="D2739" s="14" t="s">
        <v>276</v>
      </c>
      <c r="E2739" s="14" t="s">
        <v>98</v>
      </c>
      <c r="F2739" s="14">
        <v>1</v>
      </c>
      <c r="G2739" s="14">
        <v>60</v>
      </c>
      <c r="H2739" s="14" t="s">
        <v>1400</v>
      </c>
      <c r="I2739" s="14" t="s">
        <v>75</v>
      </c>
      <c r="J2739" s="14" t="s">
        <v>201</v>
      </c>
      <c r="K2739" s="14">
        <v>1</v>
      </c>
      <c r="L2739" s="14" t="s">
        <v>1400</v>
      </c>
      <c r="N2739" s="14">
        <v>0</v>
      </c>
      <c r="O2739" s="14" t="b">
        <v>1</v>
      </c>
      <c r="Q2739" s="14" t="b">
        <v>0</v>
      </c>
      <c r="R2739" s="14">
        <v>1</v>
      </c>
      <c r="S2739" s="14" t="s">
        <v>77</v>
      </c>
      <c r="T2739" s="14">
        <v>999</v>
      </c>
      <c r="U2739" s="14" t="s">
        <v>1401</v>
      </c>
      <c r="V2739" s="14">
        <v>31936001</v>
      </c>
      <c r="X2739" s="14" t="s">
        <v>4902</v>
      </c>
      <c r="Y2739" s="14" t="s">
        <v>215</v>
      </c>
      <c r="Z2739" s="14">
        <v>21502</v>
      </c>
      <c r="AA2739" s="14" t="s">
        <v>4903</v>
      </c>
      <c r="AB2739" s="14">
        <v>40001</v>
      </c>
      <c r="AE2739" s="14" t="s">
        <v>1400</v>
      </c>
      <c r="AF2739" s="14" t="s">
        <v>1400</v>
      </c>
      <c r="AG2739" s="14" t="s">
        <v>98</v>
      </c>
    </row>
    <row r="2740" spans="2:33">
      <c r="B2740" s="14">
        <f>10000000+INDEX(编号表!$B:$B,MATCH(H2740,编号表!$A:$A,0))*100000+INDEX(编号表!$F:$F,MATCH(D2740,编号表!$E:$E,0))*10000+INDEX(编号表!$D:$D,MATCH(AG2740,编号表!$C:$C,0))*1000+F2740</f>
        <v>11946002</v>
      </c>
      <c r="C2740" s="14" t="s">
        <v>4899</v>
      </c>
      <c r="D2740" s="14" t="s">
        <v>104</v>
      </c>
      <c r="E2740" s="14" t="s">
        <v>98</v>
      </c>
      <c r="F2740" s="14">
        <v>2</v>
      </c>
      <c r="G2740" s="14">
        <v>60</v>
      </c>
      <c r="H2740" s="14" t="s">
        <v>1400</v>
      </c>
      <c r="I2740" s="14" t="s">
        <v>75</v>
      </c>
      <c r="J2740" s="14" t="s">
        <v>201</v>
      </c>
      <c r="K2740" s="14">
        <v>1</v>
      </c>
      <c r="L2740" s="14" t="s">
        <v>1400</v>
      </c>
      <c r="N2740" s="14">
        <v>0</v>
      </c>
      <c r="O2740" s="14" t="b">
        <v>1</v>
      </c>
      <c r="Q2740" s="14" t="b">
        <v>0</v>
      </c>
      <c r="R2740" s="14">
        <v>1</v>
      </c>
      <c r="S2740" s="14" t="s">
        <v>77</v>
      </c>
      <c r="T2740" s="14">
        <v>999</v>
      </c>
      <c r="U2740" s="14" t="s">
        <v>1401</v>
      </c>
      <c r="V2740" s="14">
        <v>31946002</v>
      </c>
      <c r="X2740" s="14" t="s">
        <v>4904</v>
      </c>
      <c r="Y2740" s="14" t="s">
        <v>215</v>
      </c>
      <c r="Z2740" s="14">
        <v>21503</v>
      </c>
      <c r="AA2740" s="14" t="s">
        <v>4905</v>
      </c>
      <c r="AB2740" s="14">
        <v>40001</v>
      </c>
      <c r="AE2740" s="14" t="s">
        <v>1400</v>
      </c>
      <c r="AF2740" s="14" t="s">
        <v>1400</v>
      </c>
      <c r="AG2740" s="14" t="s">
        <v>98</v>
      </c>
    </row>
    <row r="2741" spans="2:33">
      <c r="B2741" s="14">
        <f>10000000+INDEX(编号表!$B:$B,MATCH(H2741,编号表!$A:$A,0))*100000+INDEX(编号表!$F:$F,MATCH(D2741,编号表!$E:$E,0))*10000+INDEX(编号表!$D:$D,MATCH(AG2741,编号表!$C:$C,0))*1000+F2741</f>
        <v>11926001</v>
      </c>
      <c r="C2741" s="14" t="s">
        <v>4906</v>
      </c>
      <c r="D2741" s="14" t="s">
        <v>112</v>
      </c>
      <c r="E2741" s="14" t="s">
        <v>98</v>
      </c>
      <c r="F2741" s="14">
        <v>1</v>
      </c>
      <c r="G2741" s="14">
        <v>60</v>
      </c>
      <c r="H2741" s="14" t="s">
        <v>1400</v>
      </c>
      <c r="I2741" s="14" t="s">
        <v>75</v>
      </c>
      <c r="J2741" s="14" t="s">
        <v>201</v>
      </c>
      <c r="K2741" s="14">
        <v>1</v>
      </c>
      <c r="L2741" s="14" t="s">
        <v>1400</v>
      </c>
      <c r="N2741" s="14">
        <v>0</v>
      </c>
      <c r="O2741" s="14" t="b">
        <v>1</v>
      </c>
      <c r="Q2741" s="14" t="b">
        <v>0</v>
      </c>
      <c r="R2741" s="14">
        <v>1</v>
      </c>
      <c r="S2741" s="14" t="s">
        <v>77</v>
      </c>
      <c r="T2741" s="14">
        <v>999</v>
      </c>
      <c r="U2741" s="14" t="s">
        <v>1401</v>
      </c>
      <c r="V2741" s="14">
        <v>31926001</v>
      </c>
      <c r="X2741" s="14" t="s">
        <v>4907</v>
      </c>
      <c r="Y2741" s="14" t="s">
        <v>215</v>
      </c>
      <c r="Z2741" s="14">
        <v>21504</v>
      </c>
      <c r="AA2741" s="14" t="s">
        <v>4908</v>
      </c>
      <c r="AB2741" s="14">
        <v>40001</v>
      </c>
      <c r="AE2741" s="14" t="s">
        <v>1400</v>
      </c>
      <c r="AF2741" s="14" t="s">
        <v>1400</v>
      </c>
      <c r="AG2741" s="14" t="s">
        <v>98</v>
      </c>
    </row>
    <row r="2742" spans="2:33">
      <c r="B2742" s="14">
        <f>10000000+INDEX(编号表!$B:$B,MATCH(H2742,编号表!$A:$A,0))*100000+INDEX(编号表!$F:$F,MATCH(D2742,编号表!$E:$E,0))*10000+INDEX(编号表!$D:$D,MATCH(AG2742,编号表!$C:$C,0))*1000+F2742</f>
        <v>11936002</v>
      </c>
      <c r="C2742" s="14" t="s">
        <v>4906</v>
      </c>
      <c r="D2742" s="14" t="s">
        <v>276</v>
      </c>
      <c r="E2742" s="14" t="s">
        <v>98</v>
      </c>
      <c r="F2742" s="14">
        <v>2</v>
      </c>
      <c r="G2742" s="14">
        <v>60</v>
      </c>
      <c r="H2742" s="14" t="s">
        <v>1400</v>
      </c>
      <c r="I2742" s="14" t="s">
        <v>75</v>
      </c>
      <c r="J2742" s="14" t="s">
        <v>201</v>
      </c>
      <c r="K2742" s="14">
        <v>1</v>
      </c>
      <c r="L2742" s="14" t="s">
        <v>1400</v>
      </c>
      <c r="N2742" s="14">
        <v>0</v>
      </c>
      <c r="O2742" s="14" t="b">
        <v>1</v>
      </c>
      <c r="Q2742" s="14" t="b">
        <v>0</v>
      </c>
      <c r="R2742" s="14">
        <v>1</v>
      </c>
      <c r="S2742" s="14" t="s">
        <v>77</v>
      </c>
      <c r="T2742" s="14">
        <v>999</v>
      </c>
      <c r="U2742" s="14" t="s">
        <v>1401</v>
      </c>
      <c r="V2742" s="14">
        <v>31936002</v>
      </c>
      <c r="X2742" s="14" t="s">
        <v>4909</v>
      </c>
      <c r="Y2742" s="14" t="s">
        <v>215</v>
      </c>
      <c r="Z2742" s="14">
        <v>21505</v>
      </c>
      <c r="AA2742" s="14" t="s">
        <v>4910</v>
      </c>
      <c r="AB2742" s="14">
        <v>40001</v>
      </c>
      <c r="AE2742" s="14" t="s">
        <v>1400</v>
      </c>
      <c r="AF2742" s="14" t="s">
        <v>1400</v>
      </c>
      <c r="AG2742" s="14" t="s">
        <v>98</v>
      </c>
    </row>
    <row r="2743" spans="2:33">
      <c r="B2743" s="14">
        <f>10000000+INDEX(编号表!$B:$B,MATCH(H2743,编号表!$A:$A,0))*100000+INDEX(编号表!$F:$F,MATCH(D2743,编号表!$E:$E,0))*10000+INDEX(编号表!$D:$D,MATCH(AG2743,编号表!$C:$C,0))*1000+F2743</f>
        <v>11946003</v>
      </c>
      <c r="C2743" s="14" t="s">
        <v>4906</v>
      </c>
      <c r="D2743" s="14" t="s">
        <v>104</v>
      </c>
      <c r="E2743" s="14" t="s">
        <v>98</v>
      </c>
      <c r="F2743" s="14">
        <v>3</v>
      </c>
      <c r="G2743" s="14">
        <v>60</v>
      </c>
      <c r="H2743" s="14" t="s">
        <v>1400</v>
      </c>
      <c r="I2743" s="14" t="s">
        <v>75</v>
      </c>
      <c r="J2743" s="14" t="s">
        <v>201</v>
      </c>
      <c r="K2743" s="14">
        <v>1</v>
      </c>
      <c r="L2743" s="14" t="s">
        <v>1400</v>
      </c>
      <c r="N2743" s="14">
        <v>0</v>
      </c>
      <c r="O2743" s="14" t="b">
        <v>1</v>
      </c>
      <c r="Q2743" s="14" t="b">
        <v>0</v>
      </c>
      <c r="R2743" s="14">
        <v>1</v>
      </c>
      <c r="S2743" s="14" t="s">
        <v>77</v>
      </c>
      <c r="T2743" s="14">
        <v>999</v>
      </c>
      <c r="U2743" s="14" t="s">
        <v>1401</v>
      </c>
      <c r="V2743" s="14">
        <v>31946003</v>
      </c>
      <c r="X2743" s="14" t="s">
        <v>4911</v>
      </c>
      <c r="Y2743" s="14" t="s">
        <v>215</v>
      </c>
      <c r="Z2743" s="14">
        <v>21506</v>
      </c>
      <c r="AA2743" s="14" t="s">
        <v>4912</v>
      </c>
      <c r="AB2743" s="14">
        <v>40001</v>
      </c>
      <c r="AE2743" s="14" t="s">
        <v>1400</v>
      </c>
      <c r="AF2743" s="14" t="s">
        <v>1400</v>
      </c>
      <c r="AG2743" s="14" t="s">
        <v>98</v>
      </c>
    </row>
    <row r="2744" spans="2:33">
      <c r="B2744" s="14">
        <f>10000000+INDEX(编号表!$B:$B,MATCH(H2744,编号表!$A:$A,0))*100000+INDEX(编号表!$F:$F,MATCH(D2744,编号表!$E:$E,0))*10000+INDEX(编号表!$D:$D,MATCH(AG2744,编号表!$C:$C,0))*1000+F2744</f>
        <v>11926002</v>
      </c>
      <c r="C2744" s="14" t="s">
        <v>4913</v>
      </c>
      <c r="D2744" s="14" t="s">
        <v>112</v>
      </c>
      <c r="E2744" s="14" t="s">
        <v>98</v>
      </c>
      <c r="F2744" s="14">
        <v>2</v>
      </c>
      <c r="G2744" s="14">
        <v>60</v>
      </c>
      <c r="H2744" s="14" t="s">
        <v>1400</v>
      </c>
      <c r="I2744" s="14" t="s">
        <v>75</v>
      </c>
      <c r="J2744" s="14" t="s">
        <v>201</v>
      </c>
      <c r="K2744" s="14">
        <v>1</v>
      </c>
      <c r="L2744" s="14" t="s">
        <v>1400</v>
      </c>
      <c r="N2744" s="14">
        <v>0</v>
      </c>
      <c r="O2744" s="14" t="b">
        <v>1</v>
      </c>
      <c r="Q2744" s="14" t="b">
        <v>0</v>
      </c>
      <c r="R2744" s="14">
        <v>1</v>
      </c>
      <c r="S2744" s="14" t="s">
        <v>77</v>
      </c>
      <c r="T2744" s="14">
        <v>999</v>
      </c>
      <c r="U2744" s="14" t="s">
        <v>1401</v>
      </c>
      <c r="V2744" s="14">
        <v>31926002</v>
      </c>
      <c r="X2744" s="14" t="s">
        <v>4914</v>
      </c>
      <c r="Y2744" s="14" t="s">
        <v>215</v>
      </c>
      <c r="Z2744" s="14">
        <v>21507</v>
      </c>
      <c r="AA2744" s="14" t="s">
        <v>4915</v>
      </c>
      <c r="AB2744" s="14">
        <v>40001</v>
      </c>
      <c r="AE2744" s="14" t="s">
        <v>1400</v>
      </c>
      <c r="AF2744" s="14" t="s">
        <v>1400</v>
      </c>
      <c r="AG2744" s="14" t="s">
        <v>98</v>
      </c>
    </row>
    <row r="2745" spans="2:33">
      <c r="B2745" s="14">
        <f>10000000+INDEX(编号表!$B:$B,MATCH(H2745,编号表!$A:$A,0))*100000+INDEX(编号表!$F:$F,MATCH(D2745,编号表!$E:$E,0))*10000+INDEX(编号表!$D:$D,MATCH(AG2745,编号表!$C:$C,0))*1000+F2745</f>
        <v>11936003</v>
      </c>
      <c r="C2745" s="14" t="s">
        <v>4913</v>
      </c>
      <c r="D2745" s="14" t="s">
        <v>276</v>
      </c>
      <c r="E2745" s="14" t="s">
        <v>98</v>
      </c>
      <c r="F2745" s="14">
        <v>3</v>
      </c>
      <c r="G2745" s="14">
        <v>60</v>
      </c>
      <c r="H2745" s="14" t="s">
        <v>1400</v>
      </c>
      <c r="I2745" s="14" t="s">
        <v>75</v>
      </c>
      <c r="J2745" s="14" t="s">
        <v>201</v>
      </c>
      <c r="K2745" s="14">
        <v>1</v>
      </c>
      <c r="L2745" s="14" t="s">
        <v>1400</v>
      </c>
      <c r="N2745" s="14">
        <v>0</v>
      </c>
      <c r="O2745" s="14" t="b">
        <v>1</v>
      </c>
      <c r="Q2745" s="14" t="b">
        <v>0</v>
      </c>
      <c r="R2745" s="14">
        <v>1</v>
      </c>
      <c r="S2745" s="14" t="s">
        <v>77</v>
      </c>
      <c r="T2745" s="14">
        <v>999</v>
      </c>
      <c r="U2745" s="14" t="s">
        <v>1401</v>
      </c>
      <c r="V2745" s="14">
        <v>31936003</v>
      </c>
      <c r="X2745" s="14" t="s">
        <v>4916</v>
      </c>
      <c r="Y2745" s="14" t="s">
        <v>215</v>
      </c>
      <c r="Z2745" s="14">
        <v>21508</v>
      </c>
      <c r="AA2745" s="14" t="s">
        <v>4917</v>
      </c>
      <c r="AB2745" s="14">
        <v>40001</v>
      </c>
      <c r="AE2745" s="14" t="s">
        <v>1400</v>
      </c>
      <c r="AF2745" s="14" t="s">
        <v>1400</v>
      </c>
      <c r="AG2745" s="14" t="s">
        <v>98</v>
      </c>
    </row>
    <row r="2746" spans="2:33">
      <c r="B2746" s="14">
        <f>10000000+INDEX(编号表!$B:$B,MATCH(H2746,编号表!$A:$A,0))*100000+INDEX(编号表!$F:$F,MATCH(D2746,编号表!$E:$E,0))*10000+INDEX(编号表!$D:$D,MATCH(AG2746,编号表!$C:$C,0))*1000+F2746</f>
        <v>11946004</v>
      </c>
      <c r="C2746" s="14" t="s">
        <v>4913</v>
      </c>
      <c r="D2746" s="14" t="s">
        <v>104</v>
      </c>
      <c r="E2746" s="14" t="s">
        <v>98</v>
      </c>
      <c r="F2746" s="14">
        <v>4</v>
      </c>
      <c r="G2746" s="14">
        <v>60</v>
      </c>
      <c r="H2746" s="14" t="s">
        <v>1400</v>
      </c>
      <c r="I2746" s="14" t="s">
        <v>75</v>
      </c>
      <c r="J2746" s="14" t="s">
        <v>201</v>
      </c>
      <c r="K2746" s="14">
        <v>1</v>
      </c>
      <c r="L2746" s="14" t="s">
        <v>1400</v>
      </c>
      <c r="N2746" s="14">
        <v>0</v>
      </c>
      <c r="O2746" s="14" t="b">
        <v>1</v>
      </c>
      <c r="Q2746" s="14" t="b">
        <v>0</v>
      </c>
      <c r="R2746" s="14">
        <v>1</v>
      </c>
      <c r="S2746" s="14" t="s">
        <v>77</v>
      </c>
      <c r="T2746" s="14">
        <v>999</v>
      </c>
      <c r="U2746" s="14" t="s">
        <v>1401</v>
      </c>
      <c r="V2746" s="14">
        <v>31946004</v>
      </c>
      <c r="X2746" s="14" t="s">
        <v>4918</v>
      </c>
      <c r="Y2746" s="14" t="s">
        <v>215</v>
      </c>
      <c r="Z2746" s="14">
        <v>21509</v>
      </c>
      <c r="AA2746" s="14" t="s">
        <v>4919</v>
      </c>
      <c r="AB2746" s="14">
        <v>40001</v>
      </c>
      <c r="AE2746" s="14" t="s">
        <v>1400</v>
      </c>
      <c r="AF2746" s="14" t="s">
        <v>1400</v>
      </c>
      <c r="AG2746" s="14" t="s">
        <v>98</v>
      </c>
    </row>
    <row r="2747" spans="2:33">
      <c r="B2747" s="14">
        <f>10000000+INDEX(编号表!$B:$B,MATCH(H2747,编号表!$A:$A,0))*100000+INDEX(编号表!$F:$F,MATCH(D2747,编号表!$E:$E,0))*10000+INDEX(编号表!$D:$D,MATCH(AG2747,编号表!$C:$C,0))*1000+F2747</f>
        <v>11926003</v>
      </c>
      <c r="C2747" s="14" t="s">
        <v>4920</v>
      </c>
      <c r="D2747" s="14" t="s">
        <v>112</v>
      </c>
      <c r="E2747" s="14" t="s">
        <v>98</v>
      </c>
      <c r="F2747" s="14">
        <v>3</v>
      </c>
      <c r="G2747" s="14">
        <v>60</v>
      </c>
      <c r="H2747" s="14" t="s">
        <v>1400</v>
      </c>
      <c r="I2747" s="14" t="s">
        <v>75</v>
      </c>
      <c r="J2747" s="14" t="s">
        <v>201</v>
      </c>
      <c r="K2747" s="14">
        <v>1</v>
      </c>
      <c r="L2747" s="14" t="s">
        <v>1400</v>
      </c>
      <c r="N2747" s="14">
        <v>0</v>
      </c>
      <c r="O2747" s="14" t="b">
        <v>1</v>
      </c>
      <c r="Q2747" s="14" t="b">
        <v>0</v>
      </c>
      <c r="R2747" s="14">
        <v>1</v>
      </c>
      <c r="S2747" s="14" t="s">
        <v>77</v>
      </c>
      <c r="T2747" s="14">
        <v>999</v>
      </c>
      <c r="U2747" s="14" t="s">
        <v>1401</v>
      </c>
      <c r="V2747" s="14">
        <v>31926003</v>
      </c>
      <c r="X2747" s="14" t="s">
        <v>4921</v>
      </c>
      <c r="Y2747" s="14" t="s">
        <v>215</v>
      </c>
      <c r="Z2747" s="14">
        <v>21510</v>
      </c>
      <c r="AA2747" s="14" t="s">
        <v>4922</v>
      </c>
      <c r="AB2747" s="14">
        <v>40001</v>
      </c>
      <c r="AE2747" s="14" t="s">
        <v>1400</v>
      </c>
      <c r="AF2747" s="14" t="s">
        <v>1400</v>
      </c>
      <c r="AG2747" s="14" t="s">
        <v>98</v>
      </c>
    </row>
    <row r="2748" spans="2:33">
      <c r="B2748" s="14">
        <f>10000000+INDEX(编号表!$B:$B,MATCH(H2748,编号表!$A:$A,0))*100000+INDEX(编号表!$F:$F,MATCH(D2748,编号表!$E:$E,0))*10000+INDEX(编号表!$D:$D,MATCH(AG2748,编号表!$C:$C,0))*1000+F2748</f>
        <v>11936004</v>
      </c>
      <c r="C2748" s="14" t="s">
        <v>4920</v>
      </c>
      <c r="D2748" s="14" t="s">
        <v>276</v>
      </c>
      <c r="E2748" s="14" t="s">
        <v>98</v>
      </c>
      <c r="F2748" s="14">
        <v>4</v>
      </c>
      <c r="G2748" s="14">
        <v>60</v>
      </c>
      <c r="H2748" s="14" t="s">
        <v>1400</v>
      </c>
      <c r="I2748" s="14" t="s">
        <v>75</v>
      </c>
      <c r="J2748" s="14" t="s">
        <v>201</v>
      </c>
      <c r="K2748" s="14">
        <v>1</v>
      </c>
      <c r="L2748" s="14" t="s">
        <v>1400</v>
      </c>
      <c r="N2748" s="14">
        <v>0</v>
      </c>
      <c r="O2748" s="14" t="b">
        <v>1</v>
      </c>
      <c r="Q2748" s="14" t="b">
        <v>0</v>
      </c>
      <c r="R2748" s="14">
        <v>1</v>
      </c>
      <c r="S2748" s="14" t="s">
        <v>77</v>
      </c>
      <c r="T2748" s="14">
        <v>999</v>
      </c>
      <c r="U2748" s="14" t="s">
        <v>1401</v>
      </c>
      <c r="V2748" s="14">
        <v>31936004</v>
      </c>
      <c r="X2748" s="14" t="s">
        <v>4923</v>
      </c>
      <c r="Y2748" s="14" t="s">
        <v>215</v>
      </c>
      <c r="Z2748" s="14">
        <v>21511</v>
      </c>
      <c r="AA2748" s="14" t="s">
        <v>4924</v>
      </c>
      <c r="AB2748" s="14">
        <v>40001</v>
      </c>
      <c r="AE2748" s="14" t="s">
        <v>1400</v>
      </c>
      <c r="AF2748" s="14" t="s">
        <v>1400</v>
      </c>
      <c r="AG2748" s="14" t="s">
        <v>98</v>
      </c>
    </row>
    <row r="2749" spans="2:33">
      <c r="B2749" s="14">
        <f>10000000+INDEX(编号表!$B:$B,MATCH(H2749,编号表!$A:$A,0))*100000+INDEX(编号表!$F:$F,MATCH(D2749,编号表!$E:$E,0))*10000+INDEX(编号表!$D:$D,MATCH(AG2749,编号表!$C:$C,0))*1000+F2749</f>
        <v>11946005</v>
      </c>
      <c r="C2749" s="14" t="s">
        <v>4920</v>
      </c>
      <c r="D2749" s="14" t="s">
        <v>104</v>
      </c>
      <c r="E2749" s="14" t="s">
        <v>98</v>
      </c>
      <c r="F2749" s="14">
        <v>5</v>
      </c>
      <c r="G2749" s="14">
        <v>60</v>
      </c>
      <c r="H2749" s="14" t="s">
        <v>1400</v>
      </c>
      <c r="I2749" s="14" t="s">
        <v>75</v>
      </c>
      <c r="J2749" s="14" t="s">
        <v>201</v>
      </c>
      <c r="K2749" s="14">
        <v>1</v>
      </c>
      <c r="L2749" s="14" t="s">
        <v>1400</v>
      </c>
      <c r="N2749" s="14">
        <v>0</v>
      </c>
      <c r="O2749" s="14" t="b">
        <v>1</v>
      </c>
      <c r="Q2749" s="14" t="b">
        <v>0</v>
      </c>
      <c r="R2749" s="14">
        <v>1</v>
      </c>
      <c r="S2749" s="14" t="s">
        <v>77</v>
      </c>
      <c r="T2749" s="14">
        <v>999</v>
      </c>
      <c r="U2749" s="14" t="s">
        <v>1401</v>
      </c>
      <c r="V2749" s="14">
        <v>31946005</v>
      </c>
      <c r="X2749" s="14" t="s">
        <v>4925</v>
      </c>
      <c r="Y2749" s="14" t="s">
        <v>215</v>
      </c>
      <c r="Z2749" s="14">
        <v>21512</v>
      </c>
      <c r="AA2749" s="14" t="s">
        <v>4926</v>
      </c>
      <c r="AB2749" s="14">
        <v>40001</v>
      </c>
      <c r="AE2749" s="14" t="s">
        <v>1400</v>
      </c>
      <c r="AF2749" s="14" t="s">
        <v>1400</v>
      </c>
      <c r="AG2749" s="14" t="s">
        <v>98</v>
      </c>
    </row>
    <row r="2750" spans="2:33">
      <c r="B2750" s="14">
        <f>10000000+INDEX(编号表!$B:$B,MATCH(H2750,编号表!$A:$A,0))*100000+INDEX(编号表!$F:$F,MATCH(D2750,编号表!$E:$E,0))*10000+INDEX(编号表!$D:$D,MATCH(AG2750,编号表!$C:$C,0))*1000+F2750</f>
        <v>11926004</v>
      </c>
      <c r="C2750" s="14" t="s">
        <v>4927</v>
      </c>
      <c r="D2750" s="14" t="s">
        <v>112</v>
      </c>
      <c r="E2750" s="14" t="s">
        <v>98</v>
      </c>
      <c r="F2750" s="14">
        <v>4</v>
      </c>
      <c r="G2750" s="14">
        <v>60</v>
      </c>
      <c r="H2750" s="14" t="s">
        <v>1400</v>
      </c>
      <c r="I2750" s="14" t="s">
        <v>75</v>
      </c>
      <c r="J2750" s="14" t="s">
        <v>201</v>
      </c>
      <c r="K2750" s="14">
        <v>1</v>
      </c>
      <c r="L2750" s="14" t="s">
        <v>1400</v>
      </c>
      <c r="N2750" s="14">
        <v>0</v>
      </c>
      <c r="O2750" s="14" t="b">
        <v>1</v>
      </c>
      <c r="Q2750" s="14" t="b">
        <v>0</v>
      </c>
      <c r="R2750" s="14">
        <v>1</v>
      </c>
      <c r="S2750" s="14" t="s">
        <v>77</v>
      </c>
      <c r="T2750" s="14">
        <v>999</v>
      </c>
      <c r="U2750" s="14" t="s">
        <v>1401</v>
      </c>
      <c r="V2750" s="14">
        <v>31926004</v>
      </c>
      <c r="X2750" s="14" t="s">
        <v>4928</v>
      </c>
      <c r="Y2750" s="14" t="s">
        <v>215</v>
      </c>
      <c r="Z2750" s="14">
        <v>21513</v>
      </c>
      <c r="AA2750" s="14" t="s">
        <v>4929</v>
      </c>
      <c r="AB2750" s="14">
        <v>40001</v>
      </c>
      <c r="AE2750" s="14" t="s">
        <v>1400</v>
      </c>
      <c r="AF2750" s="14" t="s">
        <v>1400</v>
      </c>
      <c r="AG2750" s="14" t="s">
        <v>98</v>
      </c>
    </row>
    <row r="2751" spans="2:33">
      <c r="B2751" s="14">
        <f>10000000+INDEX(编号表!$B:$B,MATCH(H2751,编号表!$A:$A,0))*100000+INDEX(编号表!$F:$F,MATCH(D2751,编号表!$E:$E,0))*10000+INDEX(编号表!$D:$D,MATCH(AG2751,编号表!$C:$C,0))*1000+F2751</f>
        <v>11936005</v>
      </c>
      <c r="C2751" s="14" t="s">
        <v>4927</v>
      </c>
      <c r="D2751" s="14" t="s">
        <v>276</v>
      </c>
      <c r="E2751" s="14" t="s">
        <v>98</v>
      </c>
      <c r="F2751" s="14">
        <v>5</v>
      </c>
      <c r="G2751" s="14">
        <v>60</v>
      </c>
      <c r="H2751" s="14" t="s">
        <v>1400</v>
      </c>
      <c r="I2751" s="14" t="s">
        <v>75</v>
      </c>
      <c r="J2751" s="14" t="s">
        <v>201</v>
      </c>
      <c r="K2751" s="14">
        <v>1</v>
      </c>
      <c r="L2751" s="14" t="s">
        <v>1400</v>
      </c>
      <c r="N2751" s="14">
        <v>0</v>
      </c>
      <c r="O2751" s="14" t="b">
        <v>1</v>
      </c>
      <c r="Q2751" s="14" t="b">
        <v>0</v>
      </c>
      <c r="R2751" s="14">
        <v>1</v>
      </c>
      <c r="S2751" s="14" t="s">
        <v>77</v>
      </c>
      <c r="T2751" s="14">
        <v>999</v>
      </c>
      <c r="U2751" s="14" t="s">
        <v>1401</v>
      </c>
      <c r="V2751" s="14">
        <v>31936005</v>
      </c>
      <c r="X2751" s="14" t="s">
        <v>4930</v>
      </c>
      <c r="Y2751" s="14" t="s">
        <v>215</v>
      </c>
      <c r="Z2751" s="14">
        <v>21514</v>
      </c>
      <c r="AA2751" s="14" t="s">
        <v>4931</v>
      </c>
      <c r="AB2751" s="14">
        <v>40001</v>
      </c>
      <c r="AE2751" s="14" t="s">
        <v>1400</v>
      </c>
      <c r="AF2751" s="14" t="s">
        <v>1400</v>
      </c>
      <c r="AG2751" s="14" t="s">
        <v>98</v>
      </c>
    </row>
    <row r="2752" spans="2:33">
      <c r="B2752" s="14">
        <f>10000000+INDEX(编号表!$B:$B,MATCH(H2752,编号表!$A:$A,0))*100000+INDEX(编号表!$F:$F,MATCH(D2752,编号表!$E:$E,0))*10000+INDEX(编号表!$D:$D,MATCH(AG2752,编号表!$C:$C,0))*1000+F2752</f>
        <v>11946006</v>
      </c>
      <c r="C2752" s="14" t="s">
        <v>4927</v>
      </c>
      <c r="D2752" s="14" t="s">
        <v>104</v>
      </c>
      <c r="E2752" s="14" t="s">
        <v>98</v>
      </c>
      <c r="F2752" s="14">
        <v>6</v>
      </c>
      <c r="G2752" s="14">
        <v>60</v>
      </c>
      <c r="H2752" s="14" t="s">
        <v>1400</v>
      </c>
      <c r="I2752" s="14" t="s">
        <v>75</v>
      </c>
      <c r="J2752" s="14" t="s">
        <v>201</v>
      </c>
      <c r="K2752" s="14">
        <v>1</v>
      </c>
      <c r="L2752" s="14" t="s">
        <v>1400</v>
      </c>
      <c r="N2752" s="14">
        <v>0</v>
      </c>
      <c r="O2752" s="14" t="b">
        <v>1</v>
      </c>
      <c r="Q2752" s="14" t="b">
        <v>0</v>
      </c>
      <c r="R2752" s="14">
        <v>1</v>
      </c>
      <c r="S2752" s="14" t="s">
        <v>77</v>
      </c>
      <c r="T2752" s="14">
        <v>999</v>
      </c>
      <c r="U2752" s="14" t="s">
        <v>1401</v>
      </c>
      <c r="V2752" s="14">
        <v>31946006</v>
      </c>
      <c r="X2752" s="14" t="s">
        <v>4932</v>
      </c>
      <c r="Y2752" s="14" t="s">
        <v>215</v>
      </c>
      <c r="Z2752" s="14">
        <v>21515</v>
      </c>
      <c r="AA2752" s="14" t="s">
        <v>4933</v>
      </c>
      <c r="AB2752" s="14">
        <v>40001</v>
      </c>
      <c r="AE2752" s="14" t="s">
        <v>1400</v>
      </c>
      <c r="AF2752" s="14" t="s">
        <v>1400</v>
      </c>
      <c r="AG2752" s="14" t="s">
        <v>98</v>
      </c>
    </row>
    <row r="2753" spans="2:33">
      <c r="B2753" s="14">
        <f>10000000+INDEX(编号表!$B:$B,MATCH(H2753,编号表!$A:$A,0))*100000+INDEX(编号表!$F:$F,MATCH(D2753,编号表!$E:$E,0))*10000+INDEX(编号表!$D:$D,MATCH(AG2753,编号表!$C:$C,0))*1000+F2753</f>
        <v>11926005</v>
      </c>
      <c r="C2753" s="14" t="s">
        <v>4934</v>
      </c>
      <c r="D2753" s="14" t="s">
        <v>112</v>
      </c>
      <c r="E2753" s="14" t="s">
        <v>98</v>
      </c>
      <c r="F2753" s="14">
        <v>5</v>
      </c>
      <c r="G2753" s="14">
        <v>60</v>
      </c>
      <c r="H2753" s="14" t="s">
        <v>1400</v>
      </c>
      <c r="I2753" s="14" t="s">
        <v>75</v>
      </c>
      <c r="J2753" s="14" t="s">
        <v>201</v>
      </c>
      <c r="K2753" s="14">
        <v>1</v>
      </c>
      <c r="L2753" s="14" t="s">
        <v>1400</v>
      </c>
      <c r="N2753" s="14">
        <v>0</v>
      </c>
      <c r="O2753" s="14" t="b">
        <v>1</v>
      </c>
      <c r="Q2753" s="14" t="b">
        <v>0</v>
      </c>
      <c r="R2753" s="14">
        <v>1</v>
      </c>
      <c r="S2753" s="14" t="s">
        <v>77</v>
      </c>
      <c r="T2753" s="14">
        <v>999</v>
      </c>
      <c r="U2753" s="14" t="s">
        <v>1401</v>
      </c>
      <c r="V2753" s="14">
        <v>31926005</v>
      </c>
      <c r="X2753" s="14" t="s">
        <v>4935</v>
      </c>
      <c r="Y2753" s="14" t="s">
        <v>215</v>
      </c>
      <c r="Z2753" s="14">
        <v>21516</v>
      </c>
      <c r="AA2753" s="14" t="s">
        <v>4936</v>
      </c>
      <c r="AB2753" s="14">
        <v>40001</v>
      </c>
      <c r="AE2753" s="14" t="s">
        <v>1400</v>
      </c>
      <c r="AF2753" s="14" t="s">
        <v>1400</v>
      </c>
      <c r="AG2753" s="14" t="s">
        <v>98</v>
      </c>
    </row>
    <row r="2754" spans="2:33">
      <c r="B2754" s="14">
        <f>10000000+INDEX(编号表!$B:$B,MATCH(H2754,编号表!$A:$A,0))*100000+INDEX(编号表!$F:$F,MATCH(D2754,编号表!$E:$E,0))*10000+INDEX(编号表!$D:$D,MATCH(AG2754,编号表!$C:$C,0))*1000+F2754</f>
        <v>11936006</v>
      </c>
      <c r="C2754" s="14" t="s">
        <v>4934</v>
      </c>
      <c r="D2754" s="14" t="s">
        <v>276</v>
      </c>
      <c r="E2754" s="14" t="s">
        <v>98</v>
      </c>
      <c r="F2754" s="14">
        <v>6</v>
      </c>
      <c r="G2754" s="14">
        <v>60</v>
      </c>
      <c r="H2754" s="14" t="s">
        <v>1400</v>
      </c>
      <c r="I2754" s="14" t="s">
        <v>75</v>
      </c>
      <c r="J2754" s="14" t="s">
        <v>201</v>
      </c>
      <c r="K2754" s="14">
        <v>1</v>
      </c>
      <c r="L2754" s="14" t="s">
        <v>1400</v>
      </c>
      <c r="N2754" s="14">
        <v>0</v>
      </c>
      <c r="O2754" s="14" t="b">
        <v>1</v>
      </c>
      <c r="Q2754" s="14" t="b">
        <v>0</v>
      </c>
      <c r="R2754" s="14">
        <v>1</v>
      </c>
      <c r="S2754" s="14" t="s">
        <v>77</v>
      </c>
      <c r="T2754" s="14">
        <v>999</v>
      </c>
      <c r="U2754" s="14" t="s">
        <v>1401</v>
      </c>
      <c r="V2754" s="14">
        <v>31936006</v>
      </c>
      <c r="X2754" s="14" t="s">
        <v>4937</v>
      </c>
      <c r="Y2754" s="14" t="s">
        <v>215</v>
      </c>
      <c r="Z2754" s="14">
        <v>21517</v>
      </c>
      <c r="AA2754" s="14" t="s">
        <v>4938</v>
      </c>
      <c r="AB2754" s="14">
        <v>40001</v>
      </c>
      <c r="AE2754" s="14" t="s">
        <v>1400</v>
      </c>
      <c r="AF2754" s="14" t="s">
        <v>1400</v>
      </c>
      <c r="AG2754" s="14" t="s">
        <v>98</v>
      </c>
    </row>
    <row r="2755" spans="2:33">
      <c r="B2755" s="14">
        <f>10000000+INDEX(编号表!$B:$B,MATCH(H2755,编号表!$A:$A,0))*100000+INDEX(编号表!$F:$F,MATCH(D2755,编号表!$E:$E,0))*10000+INDEX(编号表!$D:$D,MATCH(AG2755,编号表!$C:$C,0))*1000+F2755</f>
        <v>11946007</v>
      </c>
      <c r="C2755" s="14" t="s">
        <v>4934</v>
      </c>
      <c r="D2755" s="14" t="s">
        <v>104</v>
      </c>
      <c r="E2755" s="14" t="s">
        <v>98</v>
      </c>
      <c r="F2755" s="14">
        <v>7</v>
      </c>
      <c r="G2755" s="14">
        <v>60</v>
      </c>
      <c r="H2755" s="14" t="s">
        <v>1400</v>
      </c>
      <c r="I2755" s="14" t="s">
        <v>75</v>
      </c>
      <c r="J2755" s="14" t="s">
        <v>201</v>
      </c>
      <c r="K2755" s="14">
        <v>1</v>
      </c>
      <c r="L2755" s="14" t="s">
        <v>1400</v>
      </c>
      <c r="N2755" s="14">
        <v>0</v>
      </c>
      <c r="O2755" s="14" t="b">
        <v>1</v>
      </c>
      <c r="Q2755" s="14" t="b">
        <v>0</v>
      </c>
      <c r="R2755" s="14">
        <v>1</v>
      </c>
      <c r="S2755" s="14" t="s">
        <v>77</v>
      </c>
      <c r="T2755" s="14">
        <v>999</v>
      </c>
      <c r="U2755" s="14" t="s">
        <v>1401</v>
      </c>
      <c r="V2755" s="14">
        <v>31946007</v>
      </c>
      <c r="X2755" s="14" t="s">
        <v>4939</v>
      </c>
      <c r="Y2755" s="14" t="s">
        <v>215</v>
      </c>
      <c r="Z2755" s="14">
        <v>21518</v>
      </c>
      <c r="AA2755" s="14" t="s">
        <v>4940</v>
      </c>
      <c r="AB2755" s="14">
        <v>40001</v>
      </c>
      <c r="AE2755" s="14" t="s">
        <v>1400</v>
      </c>
      <c r="AF2755" s="14" t="s">
        <v>1400</v>
      </c>
      <c r="AG2755" s="14" t="s">
        <v>98</v>
      </c>
    </row>
    <row r="2756" spans="2:33">
      <c r="B2756" s="14">
        <f>10000000+INDEX(编号表!$B:$B,MATCH(H2756,编号表!$A:$A,0))*100000+INDEX(编号表!$F:$F,MATCH(D2756,编号表!$E:$E,0))*10000+INDEX(编号表!$D:$D,MATCH(AG2756,编号表!$C:$C,0))*1000+F2756</f>
        <v>11926006</v>
      </c>
      <c r="C2756" s="14" t="s">
        <v>4941</v>
      </c>
      <c r="D2756" s="14" t="s">
        <v>112</v>
      </c>
      <c r="E2756" s="14" t="s">
        <v>98</v>
      </c>
      <c r="F2756" s="14">
        <v>6</v>
      </c>
      <c r="G2756" s="14">
        <v>60</v>
      </c>
      <c r="H2756" s="14" t="s">
        <v>1400</v>
      </c>
      <c r="I2756" s="14" t="s">
        <v>75</v>
      </c>
      <c r="J2756" s="14" t="s">
        <v>201</v>
      </c>
      <c r="K2756" s="14">
        <v>1</v>
      </c>
      <c r="L2756" s="14" t="s">
        <v>1400</v>
      </c>
      <c r="N2756" s="14">
        <v>0</v>
      </c>
      <c r="O2756" s="14" t="b">
        <v>1</v>
      </c>
      <c r="Q2756" s="14" t="b">
        <v>0</v>
      </c>
      <c r="R2756" s="14">
        <v>1</v>
      </c>
      <c r="S2756" s="14" t="s">
        <v>77</v>
      </c>
      <c r="T2756" s="14">
        <v>999</v>
      </c>
      <c r="U2756" s="14" t="s">
        <v>1401</v>
      </c>
      <c r="V2756" s="14">
        <v>31926006</v>
      </c>
      <c r="X2756" s="14" t="s">
        <v>4942</v>
      </c>
      <c r="Y2756" s="14" t="s">
        <v>215</v>
      </c>
      <c r="Z2756" s="14">
        <v>21519</v>
      </c>
      <c r="AA2756" s="14" t="s">
        <v>4943</v>
      </c>
      <c r="AB2756" s="14">
        <v>40001</v>
      </c>
      <c r="AE2756" s="14" t="s">
        <v>1400</v>
      </c>
      <c r="AF2756" s="14" t="s">
        <v>1400</v>
      </c>
      <c r="AG2756" s="14" t="s">
        <v>98</v>
      </c>
    </row>
    <row r="2757" spans="2:33">
      <c r="B2757" s="14">
        <f>10000000+INDEX(编号表!$B:$B,MATCH(H2757,编号表!$A:$A,0))*100000+INDEX(编号表!$F:$F,MATCH(D2757,编号表!$E:$E,0))*10000+INDEX(编号表!$D:$D,MATCH(AG2757,编号表!$C:$C,0))*1000+F2757</f>
        <v>11936007</v>
      </c>
      <c r="C2757" s="14" t="s">
        <v>4941</v>
      </c>
      <c r="D2757" s="14" t="s">
        <v>276</v>
      </c>
      <c r="E2757" s="14" t="s">
        <v>98</v>
      </c>
      <c r="F2757" s="14">
        <v>7</v>
      </c>
      <c r="G2757" s="14">
        <v>60</v>
      </c>
      <c r="H2757" s="14" t="s">
        <v>1400</v>
      </c>
      <c r="I2757" s="14" t="s">
        <v>75</v>
      </c>
      <c r="J2757" s="14" t="s">
        <v>201</v>
      </c>
      <c r="K2757" s="14">
        <v>1</v>
      </c>
      <c r="L2757" s="14" t="s">
        <v>1400</v>
      </c>
      <c r="N2757" s="14">
        <v>0</v>
      </c>
      <c r="O2757" s="14" t="b">
        <v>1</v>
      </c>
      <c r="Q2757" s="14" t="b">
        <v>0</v>
      </c>
      <c r="R2757" s="14">
        <v>1</v>
      </c>
      <c r="S2757" s="14" t="s">
        <v>77</v>
      </c>
      <c r="T2757" s="14">
        <v>999</v>
      </c>
      <c r="U2757" s="14" t="s">
        <v>1401</v>
      </c>
      <c r="V2757" s="14">
        <v>31936007</v>
      </c>
      <c r="X2757" s="14" t="s">
        <v>4944</v>
      </c>
      <c r="Y2757" s="14" t="s">
        <v>215</v>
      </c>
      <c r="Z2757" s="14">
        <v>21520</v>
      </c>
      <c r="AA2757" s="14" t="s">
        <v>4945</v>
      </c>
      <c r="AB2757" s="14">
        <v>40001</v>
      </c>
      <c r="AE2757" s="14" t="s">
        <v>1400</v>
      </c>
      <c r="AF2757" s="14" t="s">
        <v>1400</v>
      </c>
      <c r="AG2757" s="14" t="s">
        <v>98</v>
      </c>
    </row>
    <row r="2758" spans="2:33">
      <c r="B2758" s="14">
        <f>10000000+INDEX(编号表!$B:$B,MATCH(H2758,编号表!$A:$A,0))*100000+INDEX(编号表!$F:$F,MATCH(D2758,编号表!$E:$E,0))*10000+INDEX(编号表!$D:$D,MATCH(AG2758,编号表!$C:$C,0))*1000+F2758</f>
        <v>11946008</v>
      </c>
      <c r="C2758" s="14" t="s">
        <v>4941</v>
      </c>
      <c r="D2758" s="14" t="s">
        <v>104</v>
      </c>
      <c r="E2758" s="14" t="s">
        <v>98</v>
      </c>
      <c r="F2758" s="14">
        <v>8</v>
      </c>
      <c r="G2758" s="14">
        <v>60</v>
      </c>
      <c r="H2758" s="14" t="s">
        <v>1400</v>
      </c>
      <c r="I2758" s="14" t="s">
        <v>75</v>
      </c>
      <c r="J2758" s="14" t="s">
        <v>201</v>
      </c>
      <c r="K2758" s="14">
        <v>1</v>
      </c>
      <c r="L2758" s="14" t="s">
        <v>1400</v>
      </c>
      <c r="N2758" s="14">
        <v>0</v>
      </c>
      <c r="O2758" s="14" t="b">
        <v>1</v>
      </c>
      <c r="Q2758" s="14" t="b">
        <v>0</v>
      </c>
      <c r="R2758" s="14">
        <v>1</v>
      </c>
      <c r="S2758" s="14" t="s">
        <v>77</v>
      </c>
      <c r="T2758" s="14">
        <v>999</v>
      </c>
      <c r="U2758" s="14" t="s">
        <v>1401</v>
      </c>
      <c r="V2758" s="14">
        <v>31946008</v>
      </c>
      <c r="X2758" s="14" t="s">
        <v>4946</v>
      </c>
      <c r="Y2758" s="14" t="s">
        <v>215</v>
      </c>
      <c r="Z2758" s="14">
        <v>21521</v>
      </c>
      <c r="AA2758" s="14" t="s">
        <v>4947</v>
      </c>
      <c r="AB2758" s="14">
        <v>40001</v>
      </c>
      <c r="AE2758" s="14" t="s">
        <v>1400</v>
      </c>
      <c r="AF2758" s="14" t="s">
        <v>1400</v>
      </c>
      <c r="AG2758" s="14" t="s">
        <v>98</v>
      </c>
    </row>
    <row r="2759" spans="2:33">
      <c r="B2759" s="14">
        <f>10000000+INDEX(编号表!$B:$B,MATCH(H2759,编号表!$A:$A,0))*100000+INDEX(编号表!$F:$F,MATCH(D2759,编号表!$E:$E,0))*10000+INDEX(编号表!$D:$D,MATCH(AG2759,编号表!$C:$C,0))*1000+F2759</f>
        <v>11926007</v>
      </c>
      <c r="C2759" s="14" t="s">
        <v>4948</v>
      </c>
      <c r="D2759" s="14" t="s">
        <v>112</v>
      </c>
      <c r="E2759" s="14" t="s">
        <v>98</v>
      </c>
      <c r="F2759" s="14">
        <v>7</v>
      </c>
      <c r="G2759" s="14">
        <v>60</v>
      </c>
      <c r="H2759" s="14" t="s">
        <v>1400</v>
      </c>
      <c r="I2759" s="14" t="s">
        <v>75</v>
      </c>
      <c r="J2759" s="14" t="s">
        <v>201</v>
      </c>
      <c r="K2759" s="14">
        <v>1</v>
      </c>
      <c r="L2759" s="14" t="s">
        <v>1400</v>
      </c>
      <c r="N2759" s="14">
        <v>0</v>
      </c>
      <c r="O2759" s="14" t="b">
        <v>1</v>
      </c>
      <c r="Q2759" s="14" t="b">
        <v>0</v>
      </c>
      <c r="R2759" s="14">
        <v>1</v>
      </c>
      <c r="S2759" s="14" t="s">
        <v>77</v>
      </c>
      <c r="T2759" s="14">
        <v>999</v>
      </c>
      <c r="U2759" s="14" t="s">
        <v>1401</v>
      </c>
      <c r="V2759" s="14">
        <v>31926007</v>
      </c>
      <c r="X2759" s="14" t="s">
        <v>4949</v>
      </c>
      <c r="Y2759" s="14" t="s">
        <v>215</v>
      </c>
      <c r="Z2759" s="14">
        <v>21522</v>
      </c>
      <c r="AA2759" s="14" t="s">
        <v>4950</v>
      </c>
      <c r="AB2759" s="14">
        <v>40001</v>
      </c>
      <c r="AE2759" s="14" t="s">
        <v>1400</v>
      </c>
      <c r="AF2759" s="14" t="s">
        <v>1400</v>
      </c>
      <c r="AG2759" s="14" t="s">
        <v>98</v>
      </c>
    </row>
    <row r="2760" spans="2:33">
      <c r="B2760" s="14">
        <f>10000000+INDEX(编号表!$B:$B,MATCH(H2760,编号表!$A:$A,0))*100000+INDEX(编号表!$F:$F,MATCH(D2760,编号表!$E:$E,0))*10000+INDEX(编号表!$D:$D,MATCH(AG2760,编号表!$C:$C,0))*1000+F2760</f>
        <v>11936008</v>
      </c>
      <c r="C2760" s="14" t="s">
        <v>4948</v>
      </c>
      <c r="D2760" s="14" t="s">
        <v>276</v>
      </c>
      <c r="E2760" s="14" t="s">
        <v>98</v>
      </c>
      <c r="F2760" s="14">
        <v>8</v>
      </c>
      <c r="G2760" s="14">
        <v>60</v>
      </c>
      <c r="H2760" s="14" t="s">
        <v>1400</v>
      </c>
      <c r="I2760" s="14" t="s">
        <v>75</v>
      </c>
      <c r="J2760" s="14" t="s">
        <v>201</v>
      </c>
      <c r="K2760" s="14">
        <v>1</v>
      </c>
      <c r="L2760" s="14" t="s">
        <v>1400</v>
      </c>
      <c r="N2760" s="14">
        <v>0</v>
      </c>
      <c r="O2760" s="14" t="b">
        <v>1</v>
      </c>
      <c r="Q2760" s="14" t="b">
        <v>0</v>
      </c>
      <c r="R2760" s="14">
        <v>1</v>
      </c>
      <c r="S2760" s="14" t="s">
        <v>77</v>
      </c>
      <c r="T2760" s="14">
        <v>999</v>
      </c>
      <c r="U2760" s="14" t="s">
        <v>1401</v>
      </c>
      <c r="V2760" s="14">
        <v>31936008</v>
      </c>
      <c r="X2760" s="14" t="s">
        <v>4951</v>
      </c>
      <c r="Y2760" s="14" t="s">
        <v>215</v>
      </c>
      <c r="Z2760" s="14">
        <v>21523</v>
      </c>
      <c r="AA2760" s="14" t="s">
        <v>4952</v>
      </c>
      <c r="AB2760" s="14">
        <v>40001</v>
      </c>
      <c r="AE2760" s="14" t="s">
        <v>1400</v>
      </c>
      <c r="AF2760" s="14" t="s">
        <v>1400</v>
      </c>
      <c r="AG2760" s="14" t="s">
        <v>98</v>
      </c>
    </row>
    <row r="2761" spans="2:33">
      <c r="B2761" s="14">
        <f>10000000+INDEX(编号表!$B:$B,MATCH(H2761,编号表!$A:$A,0))*100000+INDEX(编号表!$F:$F,MATCH(D2761,编号表!$E:$E,0))*10000+INDEX(编号表!$D:$D,MATCH(AG2761,编号表!$C:$C,0))*1000+F2761</f>
        <v>11946009</v>
      </c>
      <c r="C2761" s="14" t="s">
        <v>4948</v>
      </c>
      <c r="D2761" s="14" t="s">
        <v>104</v>
      </c>
      <c r="E2761" s="14" t="s">
        <v>98</v>
      </c>
      <c r="F2761" s="14">
        <v>9</v>
      </c>
      <c r="G2761" s="14">
        <v>60</v>
      </c>
      <c r="H2761" s="14" t="s">
        <v>1400</v>
      </c>
      <c r="I2761" s="14" t="s">
        <v>75</v>
      </c>
      <c r="J2761" s="14" t="s">
        <v>201</v>
      </c>
      <c r="K2761" s="14">
        <v>1</v>
      </c>
      <c r="L2761" s="14" t="s">
        <v>1400</v>
      </c>
      <c r="N2761" s="14">
        <v>0</v>
      </c>
      <c r="O2761" s="14" t="b">
        <v>1</v>
      </c>
      <c r="Q2761" s="14" t="b">
        <v>0</v>
      </c>
      <c r="R2761" s="14">
        <v>1</v>
      </c>
      <c r="S2761" s="14" t="s">
        <v>77</v>
      </c>
      <c r="T2761" s="14">
        <v>999</v>
      </c>
      <c r="U2761" s="14" t="s">
        <v>1401</v>
      </c>
      <c r="V2761" s="14">
        <v>31946009</v>
      </c>
      <c r="X2761" s="14" t="s">
        <v>4953</v>
      </c>
      <c r="Y2761" s="14" t="s">
        <v>215</v>
      </c>
      <c r="Z2761" s="14">
        <v>21524</v>
      </c>
      <c r="AA2761" s="14" t="s">
        <v>4954</v>
      </c>
      <c r="AB2761" s="14">
        <v>40001</v>
      </c>
      <c r="AE2761" s="14" t="s">
        <v>1400</v>
      </c>
      <c r="AF2761" s="14" t="s">
        <v>1400</v>
      </c>
      <c r="AG2761" s="14" t="s">
        <v>98</v>
      </c>
    </row>
    <row r="2762" spans="2:33">
      <c r="B2762" s="14">
        <f>10000000+INDEX(编号表!$B:$B,MATCH(H2762,编号表!$A:$A,0))*100000+INDEX(编号表!$F:$F,MATCH(D2762,编号表!$E:$E,0))*10000+INDEX(编号表!$D:$D,MATCH(AG2762,编号表!$C:$C,0))*1000+F2762</f>
        <v>11926008</v>
      </c>
      <c r="C2762" s="14" t="s">
        <v>4955</v>
      </c>
      <c r="D2762" s="14" t="s">
        <v>112</v>
      </c>
      <c r="E2762" s="14" t="s">
        <v>98</v>
      </c>
      <c r="F2762" s="14">
        <v>8</v>
      </c>
      <c r="G2762" s="14">
        <v>60</v>
      </c>
      <c r="H2762" s="14" t="s">
        <v>1400</v>
      </c>
      <c r="I2762" s="14" t="s">
        <v>75</v>
      </c>
      <c r="J2762" s="14" t="s">
        <v>201</v>
      </c>
      <c r="K2762" s="14">
        <v>1</v>
      </c>
      <c r="L2762" s="14" t="s">
        <v>1400</v>
      </c>
      <c r="N2762" s="14">
        <v>0</v>
      </c>
      <c r="O2762" s="14" t="b">
        <v>1</v>
      </c>
      <c r="Q2762" s="14" t="b">
        <v>0</v>
      </c>
      <c r="R2762" s="14">
        <v>1</v>
      </c>
      <c r="S2762" s="14" t="s">
        <v>77</v>
      </c>
      <c r="T2762" s="14">
        <v>999</v>
      </c>
      <c r="U2762" s="14" t="s">
        <v>1401</v>
      </c>
      <c r="V2762" s="14">
        <v>31926008</v>
      </c>
      <c r="X2762" s="14" t="s">
        <v>4956</v>
      </c>
      <c r="Y2762" s="14" t="s">
        <v>215</v>
      </c>
      <c r="Z2762" s="14">
        <v>21525</v>
      </c>
      <c r="AA2762" s="14" t="s">
        <v>4957</v>
      </c>
      <c r="AB2762" s="14">
        <v>40001</v>
      </c>
      <c r="AE2762" s="14" t="s">
        <v>1400</v>
      </c>
      <c r="AF2762" s="14" t="s">
        <v>1400</v>
      </c>
      <c r="AG2762" s="14" t="s">
        <v>98</v>
      </c>
    </row>
    <row r="2763" spans="2:33">
      <c r="B2763" s="14">
        <f>10000000+INDEX(编号表!$B:$B,MATCH(H2763,编号表!$A:$A,0))*100000+INDEX(编号表!$F:$F,MATCH(D2763,编号表!$E:$E,0))*10000+INDEX(编号表!$D:$D,MATCH(AG2763,编号表!$C:$C,0))*1000+F2763</f>
        <v>11936009</v>
      </c>
      <c r="C2763" s="14" t="s">
        <v>4955</v>
      </c>
      <c r="D2763" s="14" t="s">
        <v>276</v>
      </c>
      <c r="E2763" s="14" t="s">
        <v>98</v>
      </c>
      <c r="F2763" s="14">
        <v>9</v>
      </c>
      <c r="G2763" s="14">
        <v>60</v>
      </c>
      <c r="H2763" s="14" t="s">
        <v>1400</v>
      </c>
      <c r="I2763" s="14" t="s">
        <v>75</v>
      </c>
      <c r="J2763" s="14" t="s">
        <v>201</v>
      </c>
      <c r="K2763" s="14">
        <v>1</v>
      </c>
      <c r="L2763" s="14" t="s">
        <v>1400</v>
      </c>
      <c r="N2763" s="14">
        <v>0</v>
      </c>
      <c r="O2763" s="14" t="b">
        <v>1</v>
      </c>
      <c r="Q2763" s="14" t="b">
        <v>0</v>
      </c>
      <c r="R2763" s="14">
        <v>1</v>
      </c>
      <c r="S2763" s="14" t="s">
        <v>77</v>
      </c>
      <c r="T2763" s="14">
        <v>999</v>
      </c>
      <c r="U2763" s="14" t="s">
        <v>1401</v>
      </c>
      <c r="V2763" s="14">
        <v>31936009</v>
      </c>
      <c r="X2763" s="14" t="s">
        <v>4958</v>
      </c>
      <c r="Y2763" s="14" t="s">
        <v>215</v>
      </c>
      <c r="Z2763" s="14">
        <v>21526</v>
      </c>
      <c r="AA2763" s="14" t="s">
        <v>4959</v>
      </c>
      <c r="AB2763" s="14">
        <v>40001</v>
      </c>
      <c r="AE2763" s="14" t="s">
        <v>1400</v>
      </c>
      <c r="AF2763" s="14" t="s">
        <v>1400</v>
      </c>
      <c r="AG2763" s="14" t="s">
        <v>98</v>
      </c>
    </row>
    <row r="2764" spans="2:33">
      <c r="B2764" s="14">
        <f>10000000+INDEX(编号表!$B:$B,MATCH(H2764,编号表!$A:$A,0))*100000+INDEX(编号表!$F:$F,MATCH(D2764,编号表!$E:$E,0))*10000+INDEX(编号表!$D:$D,MATCH(AG2764,编号表!$C:$C,0))*1000+F2764</f>
        <v>11946010</v>
      </c>
      <c r="C2764" s="14" t="s">
        <v>4955</v>
      </c>
      <c r="D2764" s="14" t="s">
        <v>104</v>
      </c>
      <c r="E2764" s="14" t="s">
        <v>98</v>
      </c>
      <c r="F2764" s="14">
        <v>10</v>
      </c>
      <c r="G2764" s="14">
        <v>60</v>
      </c>
      <c r="H2764" s="14" t="s">
        <v>1400</v>
      </c>
      <c r="I2764" s="14" t="s">
        <v>75</v>
      </c>
      <c r="J2764" s="14" t="s">
        <v>201</v>
      </c>
      <c r="K2764" s="14">
        <v>1</v>
      </c>
      <c r="L2764" s="14" t="s">
        <v>1400</v>
      </c>
      <c r="N2764" s="14">
        <v>0</v>
      </c>
      <c r="O2764" s="14" t="b">
        <v>1</v>
      </c>
      <c r="Q2764" s="14" t="b">
        <v>0</v>
      </c>
      <c r="R2764" s="14">
        <v>1</v>
      </c>
      <c r="S2764" s="14" t="s">
        <v>77</v>
      </c>
      <c r="T2764" s="14">
        <v>999</v>
      </c>
      <c r="U2764" s="14" t="s">
        <v>1401</v>
      </c>
      <c r="V2764" s="14">
        <v>31946010</v>
      </c>
      <c r="X2764" s="14" t="s">
        <v>4960</v>
      </c>
      <c r="Y2764" s="14" t="s">
        <v>215</v>
      </c>
      <c r="Z2764" s="14">
        <v>21527</v>
      </c>
      <c r="AA2764" s="14" t="s">
        <v>4961</v>
      </c>
      <c r="AB2764" s="14">
        <v>40001</v>
      </c>
      <c r="AE2764" s="14" t="s">
        <v>1400</v>
      </c>
      <c r="AF2764" s="14" t="s">
        <v>1400</v>
      </c>
      <c r="AG2764" s="14" t="s">
        <v>98</v>
      </c>
    </row>
    <row r="2765" spans="2:33">
      <c r="B2765" s="14">
        <f>10000000+INDEX(编号表!$B:$B,MATCH(H2765,编号表!$A:$A,0))*100000+INDEX(编号表!$F:$F,MATCH(D2765,编号表!$E:$E,0))*10000+INDEX(编号表!$D:$D,MATCH(AG2765,编号表!$C:$C,0))*1000+F2765</f>
        <v>11926009</v>
      </c>
      <c r="C2765" s="14" t="s">
        <v>4962</v>
      </c>
      <c r="D2765" s="14" t="s">
        <v>112</v>
      </c>
      <c r="E2765" s="14" t="s">
        <v>98</v>
      </c>
      <c r="F2765" s="14">
        <v>9</v>
      </c>
      <c r="G2765" s="14">
        <v>60</v>
      </c>
      <c r="H2765" s="14" t="s">
        <v>1400</v>
      </c>
      <c r="I2765" s="14" t="s">
        <v>75</v>
      </c>
      <c r="J2765" s="14" t="s">
        <v>201</v>
      </c>
      <c r="K2765" s="14">
        <v>1</v>
      </c>
      <c r="L2765" s="14" t="s">
        <v>1400</v>
      </c>
      <c r="N2765" s="14">
        <v>0</v>
      </c>
      <c r="O2765" s="14" t="b">
        <v>1</v>
      </c>
      <c r="Q2765" s="14" t="b">
        <v>0</v>
      </c>
      <c r="R2765" s="14">
        <v>1</v>
      </c>
      <c r="S2765" s="14" t="s">
        <v>77</v>
      </c>
      <c r="T2765" s="14">
        <v>999</v>
      </c>
      <c r="U2765" s="14" t="s">
        <v>1401</v>
      </c>
      <c r="V2765" s="14">
        <v>31926009</v>
      </c>
      <c r="X2765" s="14" t="s">
        <v>4963</v>
      </c>
      <c r="Y2765" s="14" t="s">
        <v>215</v>
      </c>
      <c r="Z2765" s="14">
        <v>21528</v>
      </c>
      <c r="AA2765" s="14" t="s">
        <v>4964</v>
      </c>
      <c r="AB2765" s="14">
        <v>40001</v>
      </c>
      <c r="AE2765" s="14" t="s">
        <v>1400</v>
      </c>
      <c r="AF2765" s="14" t="s">
        <v>1400</v>
      </c>
      <c r="AG2765" s="14" t="s">
        <v>98</v>
      </c>
    </row>
    <row r="2766" spans="2:33">
      <c r="B2766" s="14">
        <f>10000000+INDEX(编号表!$B:$B,MATCH(H2766,编号表!$A:$A,0))*100000+INDEX(编号表!$F:$F,MATCH(D2766,编号表!$E:$E,0))*10000+INDEX(编号表!$D:$D,MATCH(AG2766,编号表!$C:$C,0))*1000+F2766</f>
        <v>11936010</v>
      </c>
      <c r="C2766" s="14" t="s">
        <v>4962</v>
      </c>
      <c r="D2766" s="14" t="s">
        <v>276</v>
      </c>
      <c r="E2766" s="14" t="s">
        <v>98</v>
      </c>
      <c r="F2766" s="14">
        <v>10</v>
      </c>
      <c r="G2766" s="14">
        <v>60</v>
      </c>
      <c r="H2766" s="14" t="s">
        <v>1400</v>
      </c>
      <c r="I2766" s="14" t="s">
        <v>75</v>
      </c>
      <c r="J2766" s="14" t="s">
        <v>201</v>
      </c>
      <c r="K2766" s="14">
        <v>1</v>
      </c>
      <c r="L2766" s="14" t="s">
        <v>1400</v>
      </c>
      <c r="N2766" s="14">
        <v>0</v>
      </c>
      <c r="O2766" s="14" t="b">
        <v>1</v>
      </c>
      <c r="Q2766" s="14" t="b">
        <v>0</v>
      </c>
      <c r="R2766" s="14">
        <v>1</v>
      </c>
      <c r="S2766" s="14" t="s">
        <v>77</v>
      </c>
      <c r="T2766" s="14">
        <v>999</v>
      </c>
      <c r="U2766" s="14" t="s">
        <v>1401</v>
      </c>
      <c r="V2766" s="14">
        <v>31936010</v>
      </c>
      <c r="X2766" s="14" t="s">
        <v>4965</v>
      </c>
      <c r="Y2766" s="14" t="s">
        <v>215</v>
      </c>
      <c r="Z2766" s="14">
        <v>21529</v>
      </c>
      <c r="AA2766" s="14" t="s">
        <v>4966</v>
      </c>
      <c r="AB2766" s="14">
        <v>40001</v>
      </c>
      <c r="AE2766" s="14" t="s">
        <v>1400</v>
      </c>
      <c r="AF2766" s="14" t="s">
        <v>1400</v>
      </c>
      <c r="AG2766" s="14" t="s">
        <v>98</v>
      </c>
    </row>
    <row r="2767" spans="2:33">
      <c r="B2767" s="14">
        <f>10000000+INDEX(编号表!$B:$B,MATCH(H2767,编号表!$A:$A,0))*100000+INDEX(编号表!$F:$F,MATCH(D2767,编号表!$E:$E,0))*10000+INDEX(编号表!$D:$D,MATCH(AG2767,编号表!$C:$C,0))*1000+F2767</f>
        <v>11946011</v>
      </c>
      <c r="C2767" s="14" t="s">
        <v>4962</v>
      </c>
      <c r="D2767" s="14" t="s">
        <v>104</v>
      </c>
      <c r="E2767" s="14" t="s">
        <v>98</v>
      </c>
      <c r="F2767" s="14">
        <v>11</v>
      </c>
      <c r="G2767" s="14">
        <v>60</v>
      </c>
      <c r="H2767" s="14" t="s">
        <v>1400</v>
      </c>
      <c r="I2767" s="14" t="s">
        <v>75</v>
      </c>
      <c r="J2767" s="14" t="s">
        <v>201</v>
      </c>
      <c r="K2767" s="14">
        <v>1</v>
      </c>
      <c r="L2767" s="14" t="s">
        <v>1400</v>
      </c>
      <c r="N2767" s="14">
        <v>0</v>
      </c>
      <c r="O2767" s="14" t="b">
        <v>1</v>
      </c>
      <c r="Q2767" s="14" t="b">
        <v>0</v>
      </c>
      <c r="R2767" s="14">
        <v>1</v>
      </c>
      <c r="S2767" s="14" t="s">
        <v>77</v>
      </c>
      <c r="T2767" s="14">
        <v>999</v>
      </c>
      <c r="U2767" s="14" t="s">
        <v>1401</v>
      </c>
      <c r="V2767" s="14">
        <v>31946011</v>
      </c>
      <c r="X2767" s="14" t="s">
        <v>4967</v>
      </c>
      <c r="Y2767" s="14" t="s">
        <v>215</v>
      </c>
      <c r="Z2767" s="14">
        <v>21530</v>
      </c>
      <c r="AA2767" s="14" t="s">
        <v>4968</v>
      </c>
      <c r="AB2767" s="14">
        <v>40001</v>
      </c>
      <c r="AE2767" s="14" t="s">
        <v>1400</v>
      </c>
      <c r="AF2767" s="14" t="s">
        <v>1400</v>
      </c>
      <c r="AG2767" s="14" t="s">
        <v>98</v>
      </c>
    </row>
    <row r="2768" spans="2:33">
      <c r="B2768" s="14">
        <f>10000000+INDEX(编号表!$B:$B,MATCH(H2768,编号表!$A:$A,0))*100000+INDEX(编号表!$F:$F,MATCH(D2768,编号表!$E:$E,0))*10000+INDEX(编号表!$D:$D,MATCH(AG2768,编号表!$C:$C,0))*1000+F2768</f>
        <v>11926010</v>
      </c>
      <c r="C2768" s="14" t="s">
        <v>4969</v>
      </c>
      <c r="D2768" s="14" t="s">
        <v>112</v>
      </c>
      <c r="E2768" s="14" t="s">
        <v>98</v>
      </c>
      <c r="F2768" s="14">
        <v>10</v>
      </c>
      <c r="G2768" s="14">
        <v>60</v>
      </c>
      <c r="H2768" s="14" t="s">
        <v>1400</v>
      </c>
      <c r="I2768" s="14" t="s">
        <v>75</v>
      </c>
      <c r="J2768" s="14" t="s">
        <v>201</v>
      </c>
      <c r="K2768" s="14">
        <v>1</v>
      </c>
      <c r="L2768" s="14" t="s">
        <v>1400</v>
      </c>
      <c r="N2768" s="14">
        <v>0</v>
      </c>
      <c r="O2768" s="14" t="b">
        <v>1</v>
      </c>
      <c r="Q2768" s="14" t="b">
        <v>0</v>
      </c>
      <c r="R2768" s="14">
        <v>1</v>
      </c>
      <c r="S2768" s="14" t="s">
        <v>77</v>
      </c>
      <c r="T2768" s="14">
        <v>999</v>
      </c>
      <c r="U2768" s="14" t="s">
        <v>1401</v>
      </c>
      <c r="V2768" s="14">
        <v>31926010</v>
      </c>
      <c r="X2768" s="14" t="s">
        <v>4970</v>
      </c>
      <c r="Y2768" s="14" t="s">
        <v>215</v>
      </c>
      <c r="Z2768" s="14">
        <v>21531</v>
      </c>
      <c r="AA2768" s="14" t="s">
        <v>4971</v>
      </c>
      <c r="AB2768" s="14">
        <v>40001</v>
      </c>
      <c r="AE2768" s="14" t="s">
        <v>1400</v>
      </c>
      <c r="AF2768" s="14" t="s">
        <v>1400</v>
      </c>
      <c r="AG2768" s="14" t="s">
        <v>98</v>
      </c>
    </row>
    <row r="2769" spans="2:33">
      <c r="B2769" s="14">
        <f>10000000+INDEX(编号表!$B:$B,MATCH(H2769,编号表!$A:$A,0))*100000+INDEX(编号表!$F:$F,MATCH(D2769,编号表!$E:$E,0))*10000+INDEX(编号表!$D:$D,MATCH(AG2769,编号表!$C:$C,0))*1000+F2769</f>
        <v>11936011</v>
      </c>
      <c r="C2769" s="14" t="s">
        <v>4969</v>
      </c>
      <c r="D2769" s="14" t="s">
        <v>276</v>
      </c>
      <c r="E2769" s="14" t="s">
        <v>98</v>
      </c>
      <c r="F2769" s="14">
        <v>11</v>
      </c>
      <c r="G2769" s="14">
        <v>60</v>
      </c>
      <c r="H2769" s="14" t="s">
        <v>1400</v>
      </c>
      <c r="I2769" s="14" t="s">
        <v>75</v>
      </c>
      <c r="J2769" s="14" t="s">
        <v>201</v>
      </c>
      <c r="K2769" s="14">
        <v>1</v>
      </c>
      <c r="L2769" s="14" t="s">
        <v>1400</v>
      </c>
      <c r="N2769" s="14">
        <v>0</v>
      </c>
      <c r="O2769" s="14" t="b">
        <v>1</v>
      </c>
      <c r="Q2769" s="14" t="b">
        <v>0</v>
      </c>
      <c r="R2769" s="14">
        <v>1</v>
      </c>
      <c r="S2769" s="14" t="s">
        <v>77</v>
      </c>
      <c r="T2769" s="14">
        <v>999</v>
      </c>
      <c r="U2769" s="14" t="s">
        <v>1401</v>
      </c>
      <c r="V2769" s="14">
        <v>31936011</v>
      </c>
      <c r="X2769" s="14" t="s">
        <v>4972</v>
      </c>
      <c r="Y2769" s="14" t="s">
        <v>215</v>
      </c>
      <c r="Z2769" s="14">
        <v>21532</v>
      </c>
      <c r="AA2769" s="14" t="s">
        <v>4973</v>
      </c>
      <c r="AB2769" s="14">
        <v>40001</v>
      </c>
      <c r="AE2769" s="14" t="s">
        <v>1400</v>
      </c>
      <c r="AF2769" s="14" t="s">
        <v>1400</v>
      </c>
      <c r="AG2769" s="14" t="s">
        <v>98</v>
      </c>
    </row>
    <row r="2770" spans="2:33">
      <c r="B2770" s="14">
        <f>10000000+INDEX(编号表!$B:$B,MATCH(H2770,编号表!$A:$A,0))*100000+INDEX(编号表!$F:$F,MATCH(D2770,编号表!$E:$E,0))*10000+INDEX(编号表!$D:$D,MATCH(AG2770,编号表!$C:$C,0))*1000+F2770</f>
        <v>11946012</v>
      </c>
      <c r="C2770" s="14" t="s">
        <v>4969</v>
      </c>
      <c r="D2770" s="14" t="s">
        <v>104</v>
      </c>
      <c r="E2770" s="14" t="s">
        <v>98</v>
      </c>
      <c r="F2770" s="14">
        <v>12</v>
      </c>
      <c r="G2770" s="14">
        <v>60</v>
      </c>
      <c r="H2770" s="14" t="s">
        <v>1400</v>
      </c>
      <c r="I2770" s="14" t="s">
        <v>75</v>
      </c>
      <c r="J2770" s="14" t="s">
        <v>201</v>
      </c>
      <c r="K2770" s="14">
        <v>1</v>
      </c>
      <c r="L2770" s="14" t="s">
        <v>1400</v>
      </c>
      <c r="N2770" s="14">
        <v>0</v>
      </c>
      <c r="O2770" s="14" t="b">
        <v>1</v>
      </c>
      <c r="Q2770" s="14" t="b">
        <v>0</v>
      </c>
      <c r="R2770" s="14">
        <v>1</v>
      </c>
      <c r="S2770" s="14" t="s">
        <v>77</v>
      </c>
      <c r="T2770" s="14">
        <v>999</v>
      </c>
      <c r="U2770" s="14" t="s">
        <v>1401</v>
      </c>
      <c r="V2770" s="14">
        <v>31946012</v>
      </c>
      <c r="X2770" s="14" t="s">
        <v>4974</v>
      </c>
      <c r="Y2770" s="14" t="s">
        <v>215</v>
      </c>
      <c r="Z2770" s="14">
        <v>21533</v>
      </c>
      <c r="AA2770" s="14" t="s">
        <v>4975</v>
      </c>
      <c r="AB2770" s="14">
        <v>40001</v>
      </c>
      <c r="AE2770" s="14" t="s">
        <v>1400</v>
      </c>
      <c r="AF2770" s="14" t="s">
        <v>1400</v>
      </c>
      <c r="AG2770" s="14" t="s">
        <v>98</v>
      </c>
    </row>
    <row r="2771" spans="2:33">
      <c r="B2771" s="14">
        <f>10000000+INDEX(编号表!$B:$B,MATCH(H2771,编号表!$A:$A,0))*100000+INDEX(编号表!$F:$F,MATCH(D2771,编号表!$E:$E,0))*10000+INDEX(编号表!$D:$D,MATCH(AG2771,编号表!$C:$C,0))*1000+F2771</f>
        <v>11926011</v>
      </c>
      <c r="C2771" s="14" t="s">
        <v>4976</v>
      </c>
      <c r="D2771" s="14" t="s">
        <v>112</v>
      </c>
      <c r="E2771" s="14" t="s">
        <v>98</v>
      </c>
      <c r="F2771" s="14">
        <v>11</v>
      </c>
      <c r="G2771" s="14">
        <v>60</v>
      </c>
      <c r="H2771" s="14" t="s">
        <v>1400</v>
      </c>
      <c r="I2771" s="14" t="s">
        <v>75</v>
      </c>
      <c r="J2771" s="14" t="s">
        <v>201</v>
      </c>
      <c r="K2771" s="14">
        <v>1</v>
      </c>
      <c r="L2771" s="14" t="s">
        <v>1400</v>
      </c>
      <c r="N2771" s="14">
        <v>0</v>
      </c>
      <c r="O2771" s="14" t="b">
        <v>1</v>
      </c>
      <c r="Q2771" s="14" t="b">
        <v>0</v>
      </c>
      <c r="R2771" s="14">
        <v>1</v>
      </c>
      <c r="S2771" s="14" t="s">
        <v>77</v>
      </c>
      <c r="T2771" s="14">
        <v>999</v>
      </c>
      <c r="U2771" s="14" t="s">
        <v>1401</v>
      </c>
      <c r="V2771" s="14">
        <v>31926011</v>
      </c>
      <c r="X2771" s="14" t="s">
        <v>4977</v>
      </c>
      <c r="Y2771" s="14" t="s">
        <v>215</v>
      </c>
      <c r="Z2771" s="14">
        <v>21534</v>
      </c>
      <c r="AA2771" s="14" t="s">
        <v>4978</v>
      </c>
      <c r="AB2771" s="14">
        <v>40001</v>
      </c>
      <c r="AE2771" s="14" t="s">
        <v>1400</v>
      </c>
      <c r="AF2771" s="14" t="s">
        <v>1400</v>
      </c>
      <c r="AG2771" s="14" t="s">
        <v>98</v>
      </c>
    </row>
    <row r="2772" spans="2:33">
      <c r="B2772" s="14">
        <f>10000000+INDEX(编号表!$B:$B,MATCH(H2772,编号表!$A:$A,0))*100000+INDEX(编号表!$F:$F,MATCH(D2772,编号表!$E:$E,0))*10000+INDEX(编号表!$D:$D,MATCH(AG2772,编号表!$C:$C,0))*1000+F2772</f>
        <v>11936012</v>
      </c>
      <c r="C2772" s="14" t="s">
        <v>4976</v>
      </c>
      <c r="D2772" s="14" t="s">
        <v>276</v>
      </c>
      <c r="E2772" s="14" t="s">
        <v>98</v>
      </c>
      <c r="F2772" s="14">
        <v>12</v>
      </c>
      <c r="G2772" s="14">
        <v>60</v>
      </c>
      <c r="H2772" s="14" t="s">
        <v>1400</v>
      </c>
      <c r="I2772" s="14" t="s">
        <v>75</v>
      </c>
      <c r="J2772" s="14" t="s">
        <v>201</v>
      </c>
      <c r="K2772" s="14">
        <v>1</v>
      </c>
      <c r="L2772" s="14" t="s">
        <v>1400</v>
      </c>
      <c r="N2772" s="14">
        <v>0</v>
      </c>
      <c r="O2772" s="14" t="b">
        <v>1</v>
      </c>
      <c r="Q2772" s="14" t="b">
        <v>0</v>
      </c>
      <c r="R2772" s="14">
        <v>1</v>
      </c>
      <c r="S2772" s="14" t="s">
        <v>77</v>
      </c>
      <c r="T2772" s="14">
        <v>999</v>
      </c>
      <c r="U2772" s="14" t="s">
        <v>1401</v>
      </c>
      <c r="V2772" s="14">
        <v>31936012</v>
      </c>
      <c r="X2772" s="14" t="s">
        <v>4979</v>
      </c>
      <c r="Y2772" s="14" t="s">
        <v>215</v>
      </c>
      <c r="Z2772" s="14">
        <v>21535</v>
      </c>
      <c r="AA2772" s="14" t="s">
        <v>4980</v>
      </c>
      <c r="AB2772" s="14">
        <v>40001</v>
      </c>
      <c r="AE2772" s="14" t="s">
        <v>1400</v>
      </c>
      <c r="AF2772" s="14" t="s">
        <v>1400</v>
      </c>
      <c r="AG2772" s="14" t="s">
        <v>98</v>
      </c>
    </row>
    <row r="2773" spans="2:33">
      <c r="B2773" s="14">
        <f>10000000+INDEX(编号表!$B:$B,MATCH(H2773,编号表!$A:$A,0))*100000+INDEX(编号表!$F:$F,MATCH(D2773,编号表!$E:$E,0))*10000+INDEX(编号表!$D:$D,MATCH(AG2773,编号表!$C:$C,0))*1000+F2773</f>
        <v>11946013</v>
      </c>
      <c r="C2773" s="14" t="s">
        <v>4976</v>
      </c>
      <c r="D2773" s="14" t="s">
        <v>104</v>
      </c>
      <c r="E2773" s="14" t="s">
        <v>98</v>
      </c>
      <c r="F2773" s="14">
        <v>13</v>
      </c>
      <c r="G2773" s="14">
        <v>60</v>
      </c>
      <c r="H2773" s="14" t="s">
        <v>1400</v>
      </c>
      <c r="I2773" s="14" t="s">
        <v>75</v>
      </c>
      <c r="J2773" s="14" t="s">
        <v>201</v>
      </c>
      <c r="K2773" s="14">
        <v>1</v>
      </c>
      <c r="L2773" s="14" t="s">
        <v>1400</v>
      </c>
      <c r="N2773" s="14">
        <v>0</v>
      </c>
      <c r="O2773" s="14" t="b">
        <v>1</v>
      </c>
      <c r="Q2773" s="14" t="b">
        <v>0</v>
      </c>
      <c r="R2773" s="14">
        <v>1</v>
      </c>
      <c r="S2773" s="14" t="s">
        <v>77</v>
      </c>
      <c r="T2773" s="14">
        <v>999</v>
      </c>
      <c r="U2773" s="14" t="s">
        <v>1401</v>
      </c>
      <c r="V2773" s="14">
        <v>31946013</v>
      </c>
      <c r="X2773" s="14" t="s">
        <v>4981</v>
      </c>
      <c r="Y2773" s="14" t="s">
        <v>215</v>
      </c>
      <c r="Z2773" s="14">
        <v>21536</v>
      </c>
      <c r="AA2773" s="14" t="s">
        <v>4982</v>
      </c>
      <c r="AB2773" s="14">
        <v>40001</v>
      </c>
      <c r="AE2773" s="14" t="s">
        <v>1400</v>
      </c>
      <c r="AF2773" s="14" t="s">
        <v>1400</v>
      </c>
      <c r="AG2773" s="14" t="s">
        <v>98</v>
      </c>
    </row>
    <row r="2774" spans="2:33">
      <c r="B2774" s="14">
        <f>10000000+INDEX(编号表!$B:$B,MATCH(H2774,编号表!$A:$A,0))*100000+INDEX(编号表!$F:$F,MATCH(D2774,编号表!$E:$E,0))*10000+INDEX(编号表!$D:$D,MATCH(AG2774,编号表!$C:$C,0))*1000+F2774</f>
        <v>11926012</v>
      </c>
      <c r="C2774" s="14" t="s">
        <v>4983</v>
      </c>
      <c r="D2774" s="14" t="s">
        <v>112</v>
      </c>
      <c r="E2774" s="14" t="s">
        <v>98</v>
      </c>
      <c r="F2774" s="14">
        <v>12</v>
      </c>
      <c r="G2774" s="14">
        <v>60</v>
      </c>
      <c r="H2774" s="14" t="s">
        <v>1400</v>
      </c>
      <c r="I2774" s="14" t="s">
        <v>75</v>
      </c>
      <c r="J2774" s="14" t="s">
        <v>201</v>
      </c>
      <c r="K2774" s="14">
        <v>1</v>
      </c>
      <c r="L2774" s="14" t="s">
        <v>1400</v>
      </c>
      <c r="N2774" s="14">
        <v>0</v>
      </c>
      <c r="O2774" s="14" t="b">
        <v>1</v>
      </c>
      <c r="Q2774" s="14" t="b">
        <v>0</v>
      </c>
      <c r="R2774" s="14">
        <v>1</v>
      </c>
      <c r="S2774" s="14" t="s">
        <v>77</v>
      </c>
      <c r="T2774" s="14">
        <v>999</v>
      </c>
      <c r="U2774" s="14" t="s">
        <v>1401</v>
      </c>
      <c r="V2774" s="14">
        <v>31926012</v>
      </c>
      <c r="X2774" s="14" t="s">
        <v>4984</v>
      </c>
      <c r="Y2774" s="14" t="s">
        <v>215</v>
      </c>
      <c r="Z2774" s="14">
        <v>21537</v>
      </c>
      <c r="AA2774" s="14" t="s">
        <v>4985</v>
      </c>
      <c r="AB2774" s="14">
        <v>40001</v>
      </c>
      <c r="AE2774" s="14" t="s">
        <v>1400</v>
      </c>
      <c r="AF2774" s="14" t="s">
        <v>1400</v>
      </c>
      <c r="AG2774" s="14" t="s">
        <v>98</v>
      </c>
    </row>
    <row r="2775" spans="2:33">
      <c r="B2775" s="14">
        <f>10000000+INDEX(编号表!$B:$B,MATCH(H2775,编号表!$A:$A,0))*100000+INDEX(编号表!$F:$F,MATCH(D2775,编号表!$E:$E,0))*10000+INDEX(编号表!$D:$D,MATCH(AG2775,编号表!$C:$C,0))*1000+F2775</f>
        <v>11936013</v>
      </c>
      <c r="C2775" s="14" t="s">
        <v>4983</v>
      </c>
      <c r="D2775" s="14" t="s">
        <v>276</v>
      </c>
      <c r="E2775" s="14" t="s">
        <v>98</v>
      </c>
      <c r="F2775" s="14">
        <v>13</v>
      </c>
      <c r="G2775" s="14">
        <v>60</v>
      </c>
      <c r="H2775" s="14" t="s">
        <v>1400</v>
      </c>
      <c r="I2775" s="14" t="s">
        <v>75</v>
      </c>
      <c r="J2775" s="14" t="s">
        <v>201</v>
      </c>
      <c r="K2775" s="14">
        <v>1</v>
      </c>
      <c r="L2775" s="14" t="s">
        <v>1400</v>
      </c>
      <c r="N2775" s="14">
        <v>0</v>
      </c>
      <c r="O2775" s="14" t="b">
        <v>1</v>
      </c>
      <c r="Q2775" s="14" t="b">
        <v>0</v>
      </c>
      <c r="R2775" s="14">
        <v>1</v>
      </c>
      <c r="S2775" s="14" t="s">
        <v>77</v>
      </c>
      <c r="T2775" s="14">
        <v>999</v>
      </c>
      <c r="U2775" s="14" t="s">
        <v>1401</v>
      </c>
      <c r="V2775" s="14">
        <v>31936013</v>
      </c>
      <c r="X2775" s="14" t="s">
        <v>4986</v>
      </c>
      <c r="Y2775" s="14" t="s">
        <v>215</v>
      </c>
      <c r="Z2775" s="14">
        <v>21538</v>
      </c>
      <c r="AA2775" s="14" t="s">
        <v>4987</v>
      </c>
      <c r="AB2775" s="14">
        <v>40001</v>
      </c>
      <c r="AE2775" s="14" t="s">
        <v>1400</v>
      </c>
      <c r="AF2775" s="14" t="s">
        <v>1400</v>
      </c>
      <c r="AG2775" s="14" t="s">
        <v>98</v>
      </c>
    </row>
    <row r="2776" spans="2:33">
      <c r="B2776" s="14">
        <f>10000000+INDEX(编号表!$B:$B,MATCH(H2776,编号表!$A:$A,0))*100000+INDEX(编号表!$F:$F,MATCH(D2776,编号表!$E:$E,0))*10000+INDEX(编号表!$D:$D,MATCH(AG2776,编号表!$C:$C,0))*1000+F2776</f>
        <v>11946014</v>
      </c>
      <c r="C2776" s="14" t="s">
        <v>4983</v>
      </c>
      <c r="D2776" s="14" t="s">
        <v>104</v>
      </c>
      <c r="E2776" s="14" t="s">
        <v>98</v>
      </c>
      <c r="F2776" s="14">
        <v>14</v>
      </c>
      <c r="G2776" s="14">
        <v>60</v>
      </c>
      <c r="H2776" s="14" t="s">
        <v>1400</v>
      </c>
      <c r="I2776" s="14" t="s">
        <v>75</v>
      </c>
      <c r="J2776" s="14" t="s">
        <v>201</v>
      </c>
      <c r="K2776" s="14">
        <v>1</v>
      </c>
      <c r="L2776" s="14" t="s">
        <v>1400</v>
      </c>
      <c r="N2776" s="14">
        <v>0</v>
      </c>
      <c r="O2776" s="14" t="b">
        <v>1</v>
      </c>
      <c r="Q2776" s="14" t="b">
        <v>0</v>
      </c>
      <c r="R2776" s="14">
        <v>1</v>
      </c>
      <c r="S2776" s="14" t="s">
        <v>77</v>
      </c>
      <c r="T2776" s="14">
        <v>999</v>
      </c>
      <c r="U2776" s="14" t="s">
        <v>1401</v>
      </c>
      <c r="V2776" s="14">
        <v>31946014</v>
      </c>
      <c r="X2776" s="14" t="s">
        <v>4988</v>
      </c>
      <c r="Y2776" s="14" t="s">
        <v>215</v>
      </c>
      <c r="Z2776" s="14">
        <v>21539</v>
      </c>
      <c r="AA2776" s="14" t="s">
        <v>4989</v>
      </c>
      <c r="AB2776" s="14">
        <v>40001</v>
      </c>
      <c r="AE2776" s="14" t="s">
        <v>1400</v>
      </c>
      <c r="AF2776" s="14" t="s">
        <v>1400</v>
      </c>
      <c r="AG2776" s="14" t="s">
        <v>98</v>
      </c>
    </row>
    <row r="2777" spans="2:33">
      <c r="B2777" s="14">
        <f>10000000+INDEX(编号表!$B:$B,MATCH(H2777,编号表!$A:$A,0))*100000+INDEX(编号表!$F:$F,MATCH(D2777,编号表!$E:$E,0))*10000+INDEX(编号表!$D:$D,MATCH(AG2777,编号表!$C:$C,0))*1000+F2777</f>
        <v>11926013</v>
      </c>
      <c r="C2777" s="14" t="s">
        <v>4990</v>
      </c>
      <c r="D2777" s="14" t="s">
        <v>112</v>
      </c>
      <c r="E2777" s="14" t="s">
        <v>98</v>
      </c>
      <c r="F2777" s="14">
        <v>13</v>
      </c>
      <c r="G2777" s="14">
        <v>60</v>
      </c>
      <c r="H2777" s="14" t="s">
        <v>1400</v>
      </c>
      <c r="I2777" s="14" t="s">
        <v>75</v>
      </c>
      <c r="J2777" s="14" t="s">
        <v>201</v>
      </c>
      <c r="K2777" s="14">
        <v>1</v>
      </c>
      <c r="L2777" s="14" t="s">
        <v>1400</v>
      </c>
      <c r="N2777" s="14">
        <v>0</v>
      </c>
      <c r="O2777" s="14" t="b">
        <v>1</v>
      </c>
      <c r="Q2777" s="14" t="b">
        <v>0</v>
      </c>
      <c r="R2777" s="14">
        <v>1</v>
      </c>
      <c r="S2777" s="14" t="s">
        <v>77</v>
      </c>
      <c r="T2777" s="14">
        <v>999</v>
      </c>
      <c r="U2777" s="14" t="s">
        <v>1401</v>
      </c>
      <c r="V2777" s="14">
        <v>31926013</v>
      </c>
      <c r="X2777" s="14" t="s">
        <v>4991</v>
      </c>
      <c r="Y2777" s="14" t="s">
        <v>215</v>
      </c>
      <c r="Z2777" s="14">
        <v>21540</v>
      </c>
      <c r="AA2777" s="14" t="s">
        <v>4992</v>
      </c>
      <c r="AB2777" s="14">
        <v>40001</v>
      </c>
      <c r="AE2777" s="14" t="s">
        <v>1400</v>
      </c>
      <c r="AF2777" s="14" t="s">
        <v>1400</v>
      </c>
      <c r="AG2777" s="14" t="s">
        <v>98</v>
      </c>
    </row>
    <row r="2778" spans="2:33">
      <c r="B2778" s="14">
        <f>10000000+INDEX(编号表!$B:$B,MATCH(H2778,编号表!$A:$A,0))*100000+INDEX(编号表!$F:$F,MATCH(D2778,编号表!$E:$E,0))*10000+INDEX(编号表!$D:$D,MATCH(AG2778,编号表!$C:$C,0))*1000+F2778</f>
        <v>11936014</v>
      </c>
      <c r="C2778" s="14" t="s">
        <v>4990</v>
      </c>
      <c r="D2778" s="14" t="s">
        <v>276</v>
      </c>
      <c r="E2778" s="14" t="s">
        <v>98</v>
      </c>
      <c r="F2778" s="14">
        <v>14</v>
      </c>
      <c r="G2778" s="14">
        <v>60</v>
      </c>
      <c r="H2778" s="14" t="s">
        <v>1400</v>
      </c>
      <c r="I2778" s="14" t="s">
        <v>75</v>
      </c>
      <c r="J2778" s="14" t="s">
        <v>201</v>
      </c>
      <c r="K2778" s="14">
        <v>1</v>
      </c>
      <c r="L2778" s="14" t="s">
        <v>1400</v>
      </c>
      <c r="N2778" s="14">
        <v>0</v>
      </c>
      <c r="O2778" s="14" t="b">
        <v>1</v>
      </c>
      <c r="Q2778" s="14" t="b">
        <v>0</v>
      </c>
      <c r="R2778" s="14">
        <v>1</v>
      </c>
      <c r="S2778" s="14" t="s">
        <v>77</v>
      </c>
      <c r="T2778" s="14">
        <v>999</v>
      </c>
      <c r="U2778" s="14" t="s">
        <v>1401</v>
      </c>
      <c r="V2778" s="14">
        <v>31936014</v>
      </c>
      <c r="X2778" s="14" t="s">
        <v>4993</v>
      </c>
      <c r="Y2778" s="14" t="s">
        <v>215</v>
      </c>
      <c r="Z2778" s="14">
        <v>21541</v>
      </c>
      <c r="AA2778" s="14" t="s">
        <v>4994</v>
      </c>
      <c r="AB2778" s="14">
        <v>40001</v>
      </c>
      <c r="AE2778" s="14" t="s">
        <v>1400</v>
      </c>
      <c r="AF2778" s="14" t="s">
        <v>1400</v>
      </c>
      <c r="AG2778" s="14" t="s">
        <v>98</v>
      </c>
    </row>
    <row r="2779" spans="2:33">
      <c r="B2779" s="14">
        <f>10000000+INDEX(编号表!$B:$B,MATCH(H2779,编号表!$A:$A,0))*100000+INDEX(编号表!$F:$F,MATCH(D2779,编号表!$E:$E,0))*10000+INDEX(编号表!$D:$D,MATCH(AG2779,编号表!$C:$C,0))*1000+F2779</f>
        <v>11946015</v>
      </c>
      <c r="C2779" s="14" t="s">
        <v>4990</v>
      </c>
      <c r="D2779" s="14" t="s">
        <v>104</v>
      </c>
      <c r="E2779" s="14" t="s">
        <v>98</v>
      </c>
      <c r="F2779" s="14">
        <v>15</v>
      </c>
      <c r="G2779" s="14">
        <v>60</v>
      </c>
      <c r="H2779" s="14" t="s">
        <v>1400</v>
      </c>
      <c r="I2779" s="14" t="s">
        <v>75</v>
      </c>
      <c r="J2779" s="14" t="s">
        <v>201</v>
      </c>
      <c r="K2779" s="14">
        <v>1</v>
      </c>
      <c r="L2779" s="14" t="s">
        <v>1400</v>
      </c>
      <c r="N2779" s="14">
        <v>0</v>
      </c>
      <c r="O2779" s="14" t="b">
        <v>1</v>
      </c>
      <c r="Q2779" s="14" t="b">
        <v>0</v>
      </c>
      <c r="R2779" s="14">
        <v>1</v>
      </c>
      <c r="S2779" s="14" t="s">
        <v>77</v>
      </c>
      <c r="T2779" s="14">
        <v>999</v>
      </c>
      <c r="U2779" s="14" t="s">
        <v>1401</v>
      </c>
      <c r="V2779" s="14">
        <v>31946015</v>
      </c>
      <c r="X2779" s="14" t="s">
        <v>4995</v>
      </c>
      <c r="Y2779" s="14" t="s">
        <v>215</v>
      </c>
      <c r="Z2779" s="14">
        <v>21542</v>
      </c>
      <c r="AA2779" s="14" t="s">
        <v>4996</v>
      </c>
      <c r="AB2779" s="14">
        <v>40001</v>
      </c>
      <c r="AE2779" s="14" t="s">
        <v>1400</v>
      </c>
      <c r="AF2779" s="14" t="s">
        <v>1400</v>
      </c>
      <c r="AG2779" s="14" t="s">
        <v>98</v>
      </c>
    </row>
    <row r="2780" spans="2:33">
      <c r="B2780" s="14">
        <f>10000000+INDEX(编号表!$B:$B,MATCH(H2780,编号表!$A:$A,0))*100000+INDEX(编号表!$F:$F,MATCH(D2780,编号表!$E:$E,0))*10000+INDEX(编号表!$D:$D,MATCH(AG2780,编号表!$C:$C,0))*1000+F2780</f>
        <v>11926014</v>
      </c>
      <c r="C2780" s="14" t="s">
        <v>4997</v>
      </c>
      <c r="D2780" s="14" t="s">
        <v>112</v>
      </c>
      <c r="E2780" s="14" t="s">
        <v>98</v>
      </c>
      <c r="F2780" s="14">
        <v>14</v>
      </c>
      <c r="G2780" s="14">
        <v>60</v>
      </c>
      <c r="H2780" s="14" t="s">
        <v>1400</v>
      </c>
      <c r="I2780" s="14" t="s">
        <v>75</v>
      </c>
      <c r="J2780" s="14" t="s">
        <v>201</v>
      </c>
      <c r="K2780" s="14">
        <v>1</v>
      </c>
      <c r="L2780" s="14" t="s">
        <v>1400</v>
      </c>
      <c r="N2780" s="14">
        <v>0</v>
      </c>
      <c r="O2780" s="14" t="b">
        <v>1</v>
      </c>
      <c r="Q2780" s="14" t="b">
        <v>0</v>
      </c>
      <c r="R2780" s="14">
        <v>1</v>
      </c>
      <c r="S2780" s="14" t="s">
        <v>77</v>
      </c>
      <c r="T2780" s="14">
        <v>999</v>
      </c>
      <c r="U2780" s="14" t="s">
        <v>1401</v>
      </c>
      <c r="V2780" s="14">
        <v>31926014</v>
      </c>
      <c r="X2780" s="14" t="s">
        <v>4998</v>
      </c>
      <c r="Y2780" s="14" t="s">
        <v>215</v>
      </c>
      <c r="Z2780" s="14">
        <v>21543</v>
      </c>
      <c r="AA2780" s="14" t="s">
        <v>4999</v>
      </c>
      <c r="AB2780" s="14">
        <v>40001</v>
      </c>
      <c r="AE2780" s="14" t="s">
        <v>1400</v>
      </c>
      <c r="AF2780" s="14" t="s">
        <v>1400</v>
      </c>
      <c r="AG2780" s="14" t="s">
        <v>98</v>
      </c>
    </row>
    <row r="2781" spans="2:33">
      <c r="B2781" s="14">
        <f>10000000+INDEX(编号表!$B:$B,MATCH(H2781,编号表!$A:$A,0))*100000+INDEX(编号表!$F:$F,MATCH(D2781,编号表!$E:$E,0))*10000+INDEX(编号表!$D:$D,MATCH(AG2781,编号表!$C:$C,0))*1000+F2781</f>
        <v>11936015</v>
      </c>
      <c r="C2781" s="14" t="s">
        <v>4997</v>
      </c>
      <c r="D2781" s="14" t="s">
        <v>276</v>
      </c>
      <c r="E2781" s="14" t="s">
        <v>98</v>
      </c>
      <c r="F2781" s="14">
        <v>15</v>
      </c>
      <c r="G2781" s="14">
        <v>60</v>
      </c>
      <c r="H2781" s="14" t="s">
        <v>1400</v>
      </c>
      <c r="I2781" s="14" t="s">
        <v>75</v>
      </c>
      <c r="J2781" s="14" t="s">
        <v>201</v>
      </c>
      <c r="K2781" s="14">
        <v>1</v>
      </c>
      <c r="L2781" s="14" t="s">
        <v>1400</v>
      </c>
      <c r="N2781" s="14">
        <v>0</v>
      </c>
      <c r="O2781" s="14" t="b">
        <v>1</v>
      </c>
      <c r="Q2781" s="14" t="b">
        <v>0</v>
      </c>
      <c r="R2781" s="14">
        <v>1</v>
      </c>
      <c r="S2781" s="14" t="s">
        <v>77</v>
      </c>
      <c r="T2781" s="14">
        <v>999</v>
      </c>
      <c r="U2781" s="14" t="s">
        <v>1401</v>
      </c>
      <c r="V2781" s="14">
        <v>31936015</v>
      </c>
      <c r="X2781" s="14" t="s">
        <v>5000</v>
      </c>
      <c r="Y2781" s="14" t="s">
        <v>215</v>
      </c>
      <c r="Z2781" s="14">
        <v>21544</v>
      </c>
      <c r="AA2781" s="14" t="s">
        <v>5001</v>
      </c>
      <c r="AB2781" s="14">
        <v>40001</v>
      </c>
      <c r="AE2781" s="14" t="s">
        <v>1400</v>
      </c>
      <c r="AF2781" s="14" t="s">
        <v>1400</v>
      </c>
      <c r="AG2781" s="14" t="s">
        <v>98</v>
      </c>
    </row>
    <row r="2782" spans="2:33">
      <c r="B2782" s="14">
        <f>10000000+INDEX(编号表!$B:$B,MATCH(H2782,编号表!$A:$A,0))*100000+INDEX(编号表!$F:$F,MATCH(D2782,编号表!$E:$E,0))*10000+INDEX(编号表!$D:$D,MATCH(AG2782,编号表!$C:$C,0))*1000+F2782</f>
        <v>11946016</v>
      </c>
      <c r="C2782" s="14" t="s">
        <v>4997</v>
      </c>
      <c r="D2782" s="14" t="s">
        <v>104</v>
      </c>
      <c r="E2782" s="14" t="s">
        <v>98</v>
      </c>
      <c r="F2782" s="14">
        <v>16</v>
      </c>
      <c r="G2782" s="14">
        <v>60</v>
      </c>
      <c r="H2782" s="14" t="s">
        <v>1400</v>
      </c>
      <c r="I2782" s="14" t="s">
        <v>75</v>
      </c>
      <c r="J2782" s="14" t="s">
        <v>201</v>
      </c>
      <c r="K2782" s="14">
        <v>1</v>
      </c>
      <c r="L2782" s="14" t="s">
        <v>1400</v>
      </c>
      <c r="N2782" s="14">
        <v>0</v>
      </c>
      <c r="O2782" s="14" t="b">
        <v>1</v>
      </c>
      <c r="Q2782" s="14" t="b">
        <v>0</v>
      </c>
      <c r="R2782" s="14">
        <v>1</v>
      </c>
      <c r="S2782" s="14" t="s">
        <v>77</v>
      </c>
      <c r="T2782" s="14">
        <v>999</v>
      </c>
      <c r="U2782" s="14" t="s">
        <v>1401</v>
      </c>
      <c r="V2782" s="14">
        <v>31946016</v>
      </c>
      <c r="X2782" s="14" t="s">
        <v>5002</v>
      </c>
      <c r="Y2782" s="14" t="s">
        <v>215</v>
      </c>
      <c r="Z2782" s="14">
        <v>21545</v>
      </c>
      <c r="AA2782" s="14" t="s">
        <v>5003</v>
      </c>
      <c r="AB2782" s="14">
        <v>40001</v>
      </c>
      <c r="AE2782" s="14" t="s">
        <v>1400</v>
      </c>
      <c r="AF2782" s="14" t="s">
        <v>1400</v>
      </c>
      <c r="AG2782" s="14" t="s">
        <v>98</v>
      </c>
    </row>
    <row r="2783" spans="2:33">
      <c r="B2783" s="14">
        <f>10000000+INDEX(编号表!$B:$B,MATCH(H2783,编号表!$A:$A,0))*100000+INDEX(编号表!$F:$F,MATCH(D2783,编号表!$E:$E,0))*10000+INDEX(编号表!$D:$D,MATCH(AG2783,编号表!$C:$C,0))*1000+F2783</f>
        <v>11926015</v>
      </c>
      <c r="C2783" s="14" t="s">
        <v>5004</v>
      </c>
      <c r="D2783" s="14" t="s">
        <v>112</v>
      </c>
      <c r="E2783" s="14" t="s">
        <v>98</v>
      </c>
      <c r="F2783" s="14">
        <v>15</v>
      </c>
      <c r="G2783" s="14">
        <v>60</v>
      </c>
      <c r="H2783" s="14" t="s">
        <v>1400</v>
      </c>
      <c r="I2783" s="14" t="s">
        <v>75</v>
      </c>
      <c r="J2783" s="14" t="s">
        <v>201</v>
      </c>
      <c r="K2783" s="14">
        <v>1</v>
      </c>
      <c r="L2783" s="14" t="s">
        <v>1400</v>
      </c>
      <c r="N2783" s="14">
        <v>0</v>
      </c>
      <c r="O2783" s="14" t="b">
        <v>1</v>
      </c>
      <c r="Q2783" s="14" t="b">
        <v>0</v>
      </c>
      <c r="R2783" s="14">
        <v>1</v>
      </c>
      <c r="S2783" s="14" t="s">
        <v>77</v>
      </c>
      <c r="T2783" s="14">
        <v>999</v>
      </c>
      <c r="U2783" s="14" t="s">
        <v>1401</v>
      </c>
      <c r="V2783" s="14">
        <v>31926015</v>
      </c>
      <c r="X2783" s="14" t="s">
        <v>5005</v>
      </c>
      <c r="Y2783" s="14" t="s">
        <v>215</v>
      </c>
      <c r="Z2783" s="14">
        <v>21546</v>
      </c>
      <c r="AA2783" s="14" t="s">
        <v>5006</v>
      </c>
      <c r="AB2783" s="14">
        <v>40001</v>
      </c>
      <c r="AE2783" s="14" t="s">
        <v>1400</v>
      </c>
      <c r="AF2783" s="14" t="s">
        <v>1400</v>
      </c>
      <c r="AG2783" s="14" t="s">
        <v>98</v>
      </c>
    </row>
    <row r="2784" spans="2:33">
      <c r="B2784" s="14">
        <f>10000000+INDEX(编号表!$B:$B,MATCH(H2784,编号表!$A:$A,0))*100000+INDEX(编号表!$F:$F,MATCH(D2784,编号表!$E:$E,0))*10000+INDEX(编号表!$D:$D,MATCH(AG2784,编号表!$C:$C,0))*1000+F2784</f>
        <v>11936016</v>
      </c>
      <c r="C2784" s="14" t="s">
        <v>5004</v>
      </c>
      <c r="D2784" s="14" t="s">
        <v>276</v>
      </c>
      <c r="E2784" s="14" t="s">
        <v>98</v>
      </c>
      <c r="F2784" s="14">
        <v>16</v>
      </c>
      <c r="G2784" s="14">
        <v>60</v>
      </c>
      <c r="H2784" s="14" t="s">
        <v>1400</v>
      </c>
      <c r="I2784" s="14" t="s">
        <v>75</v>
      </c>
      <c r="J2784" s="14" t="s">
        <v>201</v>
      </c>
      <c r="K2784" s="14">
        <v>1</v>
      </c>
      <c r="L2784" s="14" t="s">
        <v>1400</v>
      </c>
      <c r="N2784" s="14">
        <v>0</v>
      </c>
      <c r="O2784" s="14" t="b">
        <v>1</v>
      </c>
      <c r="Q2784" s="14" t="b">
        <v>0</v>
      </c>
      <c r="R2784" s="14">
        <v>1</v>
      </c>
      <c r="S2784" s="14" t="s">
        <v>77</v>
      </c>
      <c r="T2784" s="14">
        <v>999</v>
      </c>
      <c r="U2784" s="14" t="s">
        <v>1401</v>
      </c>
      <c r="V2784" s="14">
        <v>31936016</v>
      </c>
      <c r="X2784" s="14" t="s">
        <v>5007</v>
      </c>
      <c r="Y2784" s="14" t="s">
        <v>215</v>
      </c>
      <c r="Z2784" s="14">
        <v>21547</v>
      </c>
      <c r="AA2784" s="14" t="s">
        <v>5008</v>
      </c>
      <c r="AB2784" s="14">
        <v>40001</v>
      </c>
      <c r="AE2784" s="14" t="s">
        <v>1400</v>
      </c>
      <c r="AF2784" s="14" t="s">
        <v>1400</v>
      </c>
      <c r="AG2784" s="14" t="s">
        <v>98</v>
      </c>
    </row>
    <row r="2785" spans="2:33">
      <c r="B2785" s="14">
        <f>10000000+INDEX(编号表!$B:$B,MATCH(H2785,编号表!$A:$A,0))*100000+INDEX(编号表!$F:$F,MATCH(D2785,编号表!$E:$E,0))*10000+INDEX(编号表!$D:$D,MATCH(AG2785,编号表!$C:$C,0))*1000+F2785</f>
        <v>11946017</v>
      </c>
      <c r="C2785" s="14" t="s">
        <v>5004</v>
      </c>
      <c r="D2785" s="14" t="s">
        <v>104</v>
      </c>
      <c r="E2785" s="14" t="s">
        <v>98</v>
      </c>
      <c r="F2785" s="14">
        <v>17</v>
      </c>
      <c r="G2785" s="14">
        <v>60</v>
      </c>
      <c r="H2785" s="14" t="s">
        <v>1400</v>
      </c>
      <c r="I2785" s="14" t="s">
        <v>75</v>
      </c>
      <c r="J2785" s="14" t="s">
        <v>201</v>
      </c>
      <c r="K2785" s="14">
        <v>1</v>
      </c>
      <c r="L2785" s="14" t="s">
        <v>1400</v>
      </c>
      <c r="N2785" s="14">
        <v>0</v>
      </c>
      <c r="O2785" s="14" t="b">
        <v>1</v>
      </c>
      <c r="Q2785" s="14" t="b">
        <v>0</v>
      </c>
      <c r="R2785" s="14">
        <v>1</v>
      </c>
      <c r="S2785" s="14" t="s">
        <v>77</v>
      </c>
      <c r="T2785" s="14">
        <v>999</v>
      </c>
      <c r="U2785" s="14" t="s">
        <v>1401</v>
      </c>
      <c r="V2785" s="14">
        <v>31946017</v>
      </c>
      <c r="X2785" s="14" t="s">
        <v>5009</v>
      </c>
      <c r="Y2785" s="14" t="s">
        <v>215</v>
      </c>
      <c r="Z2785" s="14">
        <v>21548</v>
      </c>
      <c r="AA2785" s="14" t="s">
        <v>5010</v>
      </c>
      <c r="AB2785" s="14">
        <v>40001</v>
      </c>
      <c r="AE2785" s="14" t="s">
        <v>1400</v>
      </c>
      <c r="AF2785" s="14" t="s">
        <v>1400</v>
      </c>
      <c r="AG2785" s="14" t="s">
        <v>98</v>
      </c>
    </row>
    <row r="2786" spans="2:33">
      <c r="B2786" s="14">
        <f>10000000+INDEX(编号表!$B:$B,MATCH(H2786,编号表!$A:$A,0))*100000+INDEX(编号表!$F:$F,MATCH(D2786,编号表!$E:$E,0))*10000+INDEX(编号表!$D:$D,MATCH(AG2786,编号表!$C:$C,0))*1000+F2786</f>
        <v>11926016</v>
      </c>
      <c r="C2786" s="14" t="s">
        <v>5011</v>
      </c>
      <c r="D2786" s="14" t="s">
        <v>112</v>
      </c>
      <c r="E2786" s="14" t="s">
        <v>98</v>
      </c>
      <c r="F2786" s="14">
        <v>16</v>
      </c>
      <c r="G2786" s="14">
        <v>60</v>
      </c>
      <c r="H2786" s="14" t="s">
        <v>1400</v>
      </c>
      <c r="I2786" s="14" t="s">
        <v>75</v>
      </c>
      <c r="J2786" s="14" t="s">
        <v>201</v>
      </c>
      <c r="K2786" s="14">
        <v>1</v>
      </c>
      <c r="L2786" s="14" t="s">
        <v>1400</v>
      </c>
      <c r="N2786" s="14">
        <v>0</v>
      </c>
      <c r="O2786" s="14" t="b">
        <v>1</v>
      </c>
      <c r="Q2786" s="14" t="b">
        <v>0</v>
      </c>
      <c r="R2786" s="14">
        <v>1</v>
      </c>
      <c r="S2786" s="14" t="s">
        <v>77</v>
      </c>
      <c r="T2786" s="14">
        <v>999</v>
      </c>
      <c r="U2786" s="14" t="s">
        <v>1401</v>
      </c>
      <c r="V2786" s="14">
        <v>31926016</v>
      </c>
      <c r="X2786" s="14" t="s">
        <v>5012</v>
      </c>
      <c r="Y2786" s="14" t="s">
        <v>215</v>
      </c>
      <c r="Z2786" s="14">
        <v>21549</v>
      </c>
      <c r="AA2786" s="14" t="s">
        <v>5013</v>
      </c>
      <c r="AB2786" s="14">
        <v>40001</v>
      </c>
      <c r="AE2786" s="14" t="s">
        <v>1400</v>
      </c>
      <c r="AF2786" s="14" t="s">
        <v>1400</v>
      </c>
      <c r="AG2786" s="14" t="s">
        <v>98</v>
      </c>
    </row>
    <row r="2787" spans="2:33">
      <c r="B2787" s="14">
        <f>10000000+INDEX(编号表!$B:$B,MATCH(H2787,编号表!$A:$A,0))*100000+INDEX(编号表!$F:$F,MATCH(D2787,编号表!$E:$E,0))*10000+INDEX(编号表!$D:$D,MATCH(AG2787,编号表!$C:$C,0))*1000+F2787</f>
        <v>11936017</v>
      </c>
      <c r="C2787" s="14" t="s">
        <v>5011</v>
      </c>
      <c r="D2787" s="14" t="s">
        <v>276</v>
      </c>
      <c r="E2787" s="14" t="s">
        <v>98</v>
      </c>
      <c r="F2787" s="14">
        <v>17</v>
      </c>
      <c r="G2787" s="14">
        <v>60</v>
      </c>
      <c r="H2787" s="14" t="s">
        <v>1400</v>
      </c>
      <c r="I2787" s="14" t="s">
        <v>75</v>
      </c>
      <c r="J2787" s="14" t="s">
        <v>201</v>
      </c>
      <c r="K2787" s="14">
        <v>1</v>
      </c>
      <c r="L2787" s="14" t="s">
        <v>1400</v>
      </c>
      <c r="N2787" s="14">
        <v>0</v>
      </c>
      <c r="O2787" s="14" t="b">
        <v>1</v>
      </c>
      <c r="Q2787" s="14" t="b">
        <v>0</v>
      </c>
      <c r="R2787" s="14">
        <v>1</v>
      </c>
      <c r="S2787" s="14" t="s">
        <v>77</v>
      </c>
      <c r="T2787" s="14">
        <v>999</v>
      </c>
      <c r="U2787" s="14" t="s">
        <v>1401</v>
      </c>
      <c r="V2787" s="14">
        <v>31936017</v>
      </c>
      <c r="X2787" s="14" t="s">
        <v>5014</v>
      </c>
      <c r="Y2787" s="14" t="s">
        <v>215</v>
      </c>
      <c r="Z2787" s="14">
        <v>21550</v>
      </c>
      <c r="AA2787" s="14" t="s">
        <v>5015</v>
      </c>
      <c r="AB2787" s="14">
        <v>40001</v>
      </c>
      <c r="AE2787" s="14" t="s">
        <v>1400</v>
      </c>
      <c r="AF2787" s="14" t="s">
        <v>1400</v>
      </c>
      <c r="AG2787" s="14" t="s">
        <v>98</v>
      </c>
    </row>
    <row r="2788" spans="2:33">
      <c r="B2788" s="14">
        <f>10000000+INDEX(编号表!$B:$B,MATCH(H2788,编号表!$A:$A,0))*100000+INDEX(编号表!$F:$F,MATCH(D2788,编号表!$E:$E,0))*10000+INDEX(编号表!$D:$D,MATCH(AG2788,编号表!$C:$C,0))*1000+F2788</f>
        <v>11946018</v>
      </c>
      <c r="C2788" s="14" t="s">
        <v>5011</v>
      </c>
      <c r="D2788" s="14" t="s">
        <v>104</v>
      </c>
      <c r="E2788" s="14" t="s">
        <v>98</v>
      </c>
      <c r="F2788" s="14">
        <v>18</v>
      </c>
      <c r="G2788" s="14">
        <v>60</v>
      </c>
      <c r="H2788" s="14" t="s">
        <v>1400</v>
      </c>
      <c r="I2788" s="14" t="s">
        <v>75</v>
      </c>
      <c r="J2788" s="14" t="s">
        <v>201</v>
      </c>
      <c r="K2788" s="14">
        <v>1</v>
      </c>
      <c r="L2788" s="14" t="s">
        <v>1400</v>
      </c>
      <c r="N2788" s="14">
        <v>0</v>
      </c>
      <c r="O2788" s="14" t="b">
        <v>1</v>
      </c>
      <c r="Q2788" s="14" t="b">
        <v>0</v>
      </c>
      <c r="R2788" s="14">
        <v>1</v>
      </c>
      <c r="S2788" s="14" t="s">
        <v>77</v>
      </c>
      <c r="T2788" s="14">
        <v>999</v>
      </c>
      <c r="U2788" s="14" t="s">
        <v>1401</v>
      </c>
      <c r="V2788" s="14">
        <v>31946018</v>
      </c>
      <c r="X2788" s="14" t="s">
        <v>5016</v>
      </c>
      <c r="Y2788" s="14" t="s">
        <v>215</v>
      </c>
      <c r="Z2788" s="14">
        <v>21551</v>
      </c>
      <c r="AA2788" s="14" t="s">
        <v>5017</v>
      </c>
      <c r="AB2788" s="14">
        <v>40001</v>
      </c>
      <c r="AE2788" s="14" t="s">
        <v>1400</v>
      </c>
      <c r="AF2788" s="14" t="s">
        <v>1400</v>
      </c>
      <c r="AG2788" s="14" t="s">
        <v>98</v>
      </c>
    </row>
    <row r="2789" spans="2:33">
      <c r="B2789" s="14">
        <f>10000000+INDEX(编号表!$B:$B,MATCH(H2789,编号表!$A:$A,0))*100000+INDEX(编号表!$F:$F,MATCH(D2789,编号表!$E:$E,0))*10000+INDEX(编号表!$D:$D,MATCH(AG2789,编号表!$C:$C,0))*1000+F2789</f>
        <v>11926017</v>
      </c>
      <c r="C2789" s="14" t="s">
        <v>5018</v>
      </c>
      <c r="D2789" s="14" t="s">
        <v>112</v>
      </c>
      <c r="E2789" s="14" t="s">
        <v>98</v>
      </c>
      <c r="F2789" s="14">
        <v>17</v>
      </c>
      <c r="G2789" s="14">
        <v>60</v>
      </c>
      <c r="H2789" s="14" t="s">
        <v>1400</v>
      </c>
      <c r="I2789" s="14" t="s">
        <v>75</v>
      </c>
      <c r="J2789" s="14" t="s">
        <v>201</v>
      </c>
      <c r="K2789" s="14">
        <v>1</v>
      </c>
      <c r="L2789" s="14" t="s">
        <v>1400</v>
      </c>
      <c r="N2789" s="14">
        <v>0</v>
      </c>
      <c r="O2789" s="14" t="b">
        <v>1</v>
      </c>
      <c r="Q2789" s="14" t="b">
        <v>0</v>
      </c>
      <c r="R2789" s="14">
        <v>1</v>
      </c>
      <c r="S2789" s="14" t="s">
        <v>77</v>
      </c>
      <c r="T2789" s="14">
        <v>999</v>
      </c>
      <c r="U2789" s="14" t="s">
        <v>1401</v>
      </c>
      <c r="V2789" s="14">
        <v>31926017</v>
      </c>
      <c r="X2789" s="14" t="s">
        <v>5019</v>
      </c>
      <c r="Y2789" s="14" t="s">
        <v>215</v>
      </c>
      <c r="Z2789" s="14">
        <v>21552</v>
      </c>
      <c r="AA2789" s="14" t="s">
        <v>5020</v>
      </c>
      <c r="AB2789" s="14">
        <v>40001</v>
      </c>
      <c r="AE2789" s="14" t="s">
        <v>1400</v>
      </c>
      <c r="AF2789" s="14" t="s">
        <v>1400</v>
      </c>
      <c r="AG2789" s="14" t="s">
        <v>98</v>
      </c>
    </row>
    <row r="2790" spans="2:33">
      <c r="B2790" s="14">
        <f>10000000+INDEX(编号表!$B:$B,MATCH(H2790,编号表!$A:$A,0))*100000+INDEX(编号表!$F:$F,MATCH(D2790,编号表!$E:$E,0))*10000+INDEX(编号表!$D:$D,MATCH(AG2790,编号表!$C:$C,0))*1000+F2790</f>
        <v>11936018</v>
      </c>
      <c r="C2790" s="14" t="s">
        <v>5018</v>
      </c>
      <c r="D2790" s="14" t="s">
        <v>276</v>
      </c>
      <c r="E2790" s="14" t="s">
        <v>98</v>
      </c>
      <c r="F2790" s="14">
        <v>18</v>
      </c>
      <c r="G2790" s="14">
        <v>60</v>
      </c>
      <c r="H2790" s="14" t="s">
        <v>1400</v>
      </c>
      <c r="I2790" s="14" t="s">
        <v>75</v>
      </c>
      <c r="J2790" s="14" t="s">
        <v>201</v>
      </c>
      <c r="K2790" s="14">
        <v>1</v>
      </c>
      <c r="L2790" s="14" t="s">
        <v>1400</v>
      </c>
      <c r="N2790" s="14">
        <v>0</v>
      </c>
      <c r="O2790" s="14" t="b">
        <v>1</v>
      </c>
      <c r="Q2790" s="14" t="b">
        <v>0</v>
      </c>
      <c r="R2790" s="14">
        <v>1</v>
      </c>
      <c r="S2790" s="14" t="s">
        <v>77</v>
      </c>
      <c r="T2790" s="14">
        <v>999</v>
      </c>
      <c r="U2790" s="14" t="s">
        <v>1401</v>
      </c>
      <c r="V2790" s="14">
        <v>31936018</v>
      </c>
      <c r="X2790" s="14" t="s">
        <v>5021</v>
      </c>
      <c r="Y2790" s="14" t="s">
        <v>215</v>
      </c>
      <c r="Z2790" s="14">
        <v>21553</v>
      </c>
      <c r="AA2790" s="14" t="s">
        <v>5022</v>
      </c>
      <c r="AB2790" s="14">
        <v>40001</v>
      </c>
      <c r="AE2790" s="14" t="s">
        <v>1400</v>
      </c>
      <c r="AF2790" s="14" t="s">
        <v>1400</v>
      </c>
      <c r="AG2790" s="14" t="s">
        <v>98</v>
      </c>
    </row>
    <row r="2791" spans="2:33">
      <c r="B2791" s="14">
        <f>10000000+INDEX(编号表!$B:$B,MATCH(H2791,编号表!$A:$A,0))*100000+INDEX(编号表!$F:$F,MATCH(D2791,编号表!$E:$E,0))*10000+INDEX(编号表!$D:$D,MATCH(AG2791,编号表!$C:$C,0))*1000+F2791</f>
        <v>11946019</v>
      </c>
      <c r="C2791" s="14" t="s">
        <v>5018</v>
      </c>
      <c r="D2791" s="14" t="s">
        <v>104</v>
      </c>
      <c r="E2791" s="14" t="s">
        <v>98</v>
      </c>
      <c r="F2791" s="14">
        <v>19</v>
      </c>
      <c r="G2791" s="14">
        <v>60</v>
      </c>
      <c r="H2791" s="14" t="s">
        <v>1400</v>
      </c>
      <c r="I2791" s="14" t="s">
        <v>75</v>
      </c>
      <c r="J2791" s="14" t="s">
        <v>201</v>
      </c>
      <c r="K2791" s="14">
        <v>1</v>
      </c>
      <c r="L2791" s="14" t="s">
        <v>1400</v>
      </c>
      <c r="N2791" s="14">
        <v>0</v>
      </c>
      <c r="O2791" s="14" t="b">
        <v>1</v>
      </c>
      <c r="Q2791" s="14" t="b">
        <v>0</v>
      </c>
      <c r="R2791" s="14">
        <v>1</v>
      </c>
      <c r="S2791" s="14" t="s">
        <v>77</v>
      </c>
      <c r="T2791" s="14">
        <v>999</v>
      </c>
      <c r="U2791" s="14" t="s">
        <v>1401</v>
      </c>
      <c r="V2791" s="14">
        <v>31946019</v>
      </c>
      <c r="X2791" s="14" t="s">
        <v>5023</v>
      </c>
      <c r="Y2791" s="14" t="s">
        <v>215</v>
      </c>
      <c r="Z2791" s="14">
        <v>21554</v>
      </c>
      <c r="AA2791" s="14" t="s">
        <v>5024</v>
      </c>
      <c r="AB2791" s="14">
        <v>40001</v>
      </c>
      <c r="AE2791" s="14" t="s">
        <v>1400</v>
      </c>
      <c r="AF2791" s="14" t="s">
        <v>1400</v>
      </c>
      <c r="AG2791" s="14" t="s">
        <v>98</v>
      </c>
    </row>
    <row r="2792" spans="2:33">
      <c r="B2792" s="14">
        <f>10000000+INDEX(编号表!$B:$B,MATCH(H2792,编号表!$A:$A,0))*100000+INDEX(编号表!$F:$F,MATCH(D2792,编号表!$E:$E,0))*10000+INDEX(编号表!$D:$D,MATCH(AG2792,编号表!$C:$C,0))*1000+F2792</f>
        <v>11926018</v>
      </c>
      <c r="C2792" s="14" t="s">
        <v>5025</v>
      </c>
      <c r="D2792" s="14" t="s">
        <v>112</v>
      </c>
      <c r="E2792" s="14" t="s">
        <v>98</v>
      </c>
      <c r="F2792" s="14">
        <v>18</v>
      </c>
      <c r="G2792" s="14">
        <v>60</v>
      </c>
      <c r="H2792" s="14" t="s">
        <v>1400</v>
      </c>
      <c r="I2792" s="14" t="s">
        <v>75</v>
      </c>
      <c r="J2792" s="14" t="s">
        <v>201</v>
      </c>
      <c r="K2792" s="14">
        <v>1</v>
      </c>
      <c r="L2792" s="14" t="s">
        <v>1400</v>
      </c>
      <c r="N2792" s="14">
        <v>0</v>
      </c>
      <c r="O2792" s="14" t="b">
        <v>1</v>
      </c>
      <c r="Q2792" s="14" t="b">
        <v>0</v>
      </c>
      <c r="R2792" s="14">
        <v>1</v>
      </c>
      <c r="S2792" s="14" t="s">
        <v>77</v>
      </c>
      <c r="T2792" s="14">
        <v>999</v>
      </c>
      <c r="U2792" s="14" t="s">
        <v>1401</v>
      </c>
      <c r="V2792" s="14">
        <v>31926018</v>
      </c>
      <c r="X2792" s="14" t="s">
        <v>5026</v>
      </c>
      <c r="Y2792" s="14" t="s">
        <v>215</v>
      </c>
      <c r="Z2792" s="14">
        <v>21555</v>
      </c>
      <c r="AA2792" s="14" t="s">
        <v>5027</v>
      </c>
      <c r="AB2792" s="14">
        <v>40001</v>
      </c>
      <c r="AE2792" s="14" t="s">
        <v>1400</v>
      </c>
      <c r="AF2792" s="14" t="s">
        <v>1400</v>
      </c>
      <c r="AG2792" s="14" t="s">
        <v>98</v>
      </c>
    </row>
    <row r="2793" spans="2:33">
      <c r="B2793" s="14">
        <f>10000000+INDEX(编号表!$B:$B,MATCH(H2793,编号表!$A:$A,0))*100000+INDEX(编号表!$F:$F,MATCH(D2793,编号表!$E:$E,0))*10000+INDEX(编号表!$D:$D,MATCH(AG2793,编号表!$C:$C,0))*1000+F2793</f>
        <v>11936019</v>
      </c>
      <c r="C2793" s="14" t="s">
        <v>5025</v>
      </c>
      <c r="D2793" s="14" t="s">
        <v>276</v>
      </c>
      <c r="E2793" s="14" t="s">
        <v>98</v>
      </c>
      <c r="F2793" s="14">
        <v>19</v>
      </c>
      <c r="G2793" s="14">
        <v>60</v>
      </c>
      <c r="H2793" s="14" t="s">
        <v>1400</v>
      </c>
      <c r="I2793" s="14" t="s">
        <v>75</v>
      </c>
      <c r="J2793" s="14" t="s">
        <v>201</v>
      </c>
      <c r="K2793" s="14">
        <v>1</v>
      </c>
      <c r="L2793" s="14" t="s">
        <v>1400</v>
      </c>
      <c r="N2793" s="14">
        <v>0</v>
      </c>
      <c r="O2793" s="14" t="b">
        <v>1</v>
      </c>
      <c r="Q2793" s="14" t="b">
        <v>0</v>
      </c>
      <c r="R2793" s="14">
        <v>1</v>
      </c>
      <c r="S2793" s="14" t="s">
        <v>77</v>
      </c>
      <c r="T2793" s="14">
        <v>999</v>
      </c>
      <c r="U2793" s="14" t="s">
        <v>1401</v>
      </c>
      <c r="V2793" s="14">
        <v>31936019</v>
      </c>
      <c r="X2793" s="14" t="s">
        <v>5028</v>
      </c>
      <c r="Y2793" s="14" t="s">
        <v>215</v>
      </c>
      <c r="Z2793" s="14">
        <v>21556</v>
      </c>
      <c r="AA2793" s="14" t="s">
        <v>5029</v>
      </c>
      <c r="AB2793" s="14">
        <v>40001</v>
      </c>
      <c r="AE2793" s="14" t="s">
        <v>1400</v>
      </c>
      <c r="AF2793" s="14" t="s">
        <v>1400</v>
      </c>
      <c r="AG2793" s="14" t="s">
        <v>98</v>
      </c>
    </row>
    <row r="2794" spans="2:33">
      <c r="B2794" s="14">
        <f>10000000+INDEX(编号表!$B:$B,MATCH(H2794,编号表!$A:$A,0))*100000+INDEX(编号表!$F:$F,MATCH(D2794,编号表!$E:$E,0))*10000+INDEX(编号表!$D:$D,MATCH(AG2794,编号表!$C:$C,0))*1000+F2794</f>
        <v>11946020</v>
      </c>
      <c r="C2794" s="14" t="s">
        <v>5025</v>
      </c>
      <c r="D2794" s="14" t="s">
        <v>104</v>
      </c>
      <c r="E2794" s="14" t="s">
        <v>98</v>
      </c>
      <c r="F2794" s="14">
        <v>20</v>
      </c>
      <c r="G2794" s="14">
        <v>60</v>
      </c>
      <c r="H2794" s="14" t="s">
        <v>1400</v>
      </c>
      <c r="I2794" s="14" t="s">
        <v>75</v>
      </c>
      <c r="J2794" s="14" t="s">
        <v>201</v>
      </c>
      <c r="K2794" s="14">
        <v>1</v>
      </c>
      <c r="L2794" s="14" t="s">
        <v>1400</v>
      </c>
      <c r="N2794" s="14">
        <v>0</v>
      </c>
      <c r="O2794" s="14" t="b">
        <v>1</v>
      </c>
      <c r="Q2794" s="14" t="b">
        <v>0</v>
      </c>
      <c r="R2794" s="14">
        <v>1</v>
      </c>
      <c r="S2794" s="14" t="s">
        <v>77</v>
      </c>
      <c r="T2794" s="14">
        <v>999</v>
      </c>
      <c r="U2794" s="14" t="s">
        <v>1401</v>
      </c>
      <c r="V2794" s="14">
        <v>31946020</v>
      </c>
      <c r="X2794" s="14" t="s">
        <v>5030</v>
      </c>
      <c r="Y2794" s="14" t="s">
        <v>215</v>
      </c>
      <c r="Z2794" s="14">
        <v>21557</v>
      </c>
      <c r="AA2794" s="14" t="s">
        <v>5031</v>
      </c>
      <c r="AB2794" s="14">
        <v>40001</v>
      </c>
      <c r="AE2794" s="14" t="s">
        <v>1400</v>
      </c>
      <c r="AF2794" s="14" t="s">
        <v>1400</v>
      </c>
      <c r="AG2794" s="14" t="s">
        <v>98</v>
      </c>
    </row>
    <row r="2795" spans="2:33">
      <c r="B2795" s="14">
        <f>10000000+INDEX(编号表!$B:$B,MATCH(H2795,编号表!$A:$A,0))*100000+INDEX(编号表!$F:$F,MATCH(D2795,编号表!$E:$E,0))*10000+INDEX(编号表!$D:$D,MATCH(AG2795,编号表!$C:$C,0))*1000+F2795</f>
        <v>11926019</v>
      </c>
      <c r="C2795" s="14" t="s">
        <v>5032</v>
      </c>
      <c r="D2795" s="14" t="s">
        <v>112</v>
      </c>
      <c r="E2795" s="14" t="s">
        <v>98</v>
      </c>
      <c r="F2795" s="14">
        <v>19</v>
      </c>
      <c r="G2795" s="14">
        <v>60</v>
      </c>
      <c r="H2795" s="14" t="s">
        <v>1400</v>
      </c>
      <c r="I2795" s="14" t="s">
        <v>75</v>
      </c>
      <c r="J2795" s="14" t="s">
        <v>201</v>
      </c>
      <c r="K2795" s="14">
        <v>1</v>
      </c>
      <c r="L2795" s="14" t="s">
        <v>1400</v>
      </c>
      <c r="N2795" s="14">
        <v>0</v>
      </c>
      <c r="O2795" s="14" t="b">
        <v>1</v>
      </c>
      <c r="Q2795" s="14" t="b">
        <v>0</v>
      </c>
      <c r="R2795" s="14">
        <v>1</v>
      </c>
      <c r="S2795" s="14" t="s">
        <v>77</v>
      </c>
      <c r="T2795" s="14">
        <v>999</v>
      </c>
      <c r="U2795" s="14" t="s">
        <v>1401</v>
      </c>
      <c r="V2795" s="14">
        <v>31926019</v>
      </c>
      <c r="X2795" s="14" t="s">
        <v>5033</v>
      </c>
      <c r="Y2795" s="14" t="s">
        <v>215</v>
      </c>
      <c r="Z2795" s="14">
        <v>21558</v>
      </c>
      <c r="AA2795" s="14" t="s">
        <v>5034</v>
      </c>
      <c r="AB2795" s="14">
        <v>40001</v>
      </c>
      <c r="AE2795" s="14" t="s">
        <v>1400</v>
      </c>
      <c r="AF2795" s="14" t="s">
        <v>1400</v>
      </c>
      <c r="AG2795" s="14" t="s">
        <v>98</v>
      </c>
    </row>
    <row r="2796" spans="2:33">
      <c r="B2796" s="14">
        <f>10000000+INDEX(编号表!$B:$B,MATCH(H2796,编号表!$A:$A,0))*100000+INDEX(编号表!$F:$F,MATCH(D2796,编号表!$E:$E,0))*10000+INDEX(编号表!$D:$D,MATCH(AG2796,编号表!$C:$C,0))*1000+F2796</f>
        <v>11936020</v>
      </c>
      <c r="C2796" s="14" t="s">
        <v>5032</v>
      </c>
      <c r="D2796" s="14" t="s">
        <v>276</v>
      </c>
      <c r="E2796" s="14" t="s">
        <v>98</v>
      </c>
      <c r="F2796" s="14">
        <v>20</v>
      </c>
      <c r="G2796" s="14">
        <v>60</v>
      </c>
      <c r="H2796" s="14" t="s">
        <v>1400</v>
      </c>
      <c r="I2796" s="14" t="s">
        <v>75</v>
      </c>
      <c r="J2796" s="14" t="s">
        <v>201</v>
      </c>
      <c r="K2796" s="14">
        <v>1</v>
      </c>
      <c r="L2796" s="14" t="s">
        <v>1400</v>
      </c>
      <c r="N2796" s="14">
        <v>0</v>
      </c>
      <c r="O2796" s="14" t="b">
        <v>1</v>
      </c>
      <c r="Q2796" s="14" t="b">
        <v>0</v>
      </c>
      <c r="R2796" s="14">
        <v>1</v>
      </c>
      <c r="S2796" s="14" t="s">
        <v>77</v>
      </c>
      <c r="T2796" s="14">
        <v>999</v>
      </c>
      <c r="U2796" s="14" t="s">
        <v>1401</v>
      </c>
      <c r="V2796" s="14">
        <v>31936020</v>
      </c>
      <c r="X2796" s="14" t="s">
        <v>5035</v>
      </c>
      <c r="Y2796" s="14" t="s">
        <v>215</v>
      </c>
      <c r="Z2796" s="14">
        <v>21559</v>
      </c>
      <c r="AA2796" s="14" t="s">
        <v>5036</v>
      </c>
      <c r="AB2796" s="14">
        <v>40001</v>
      </c>
      <c r="AE2796" s="14" t="s">
        <v>1400</v>
      </c>
      <c r="AF2796" s="14" t="s">
        <v>1400</v>
      </c>
      <c r="AG2796" s="14" t="s">
        <v>98</v>
      </c>
    </row>
    <row r="2797" spans="2:33">
      <c r="B2797" s="14">
        <f>10000000+INDEX(编号表!$B:$B,MATCH(H2797,编号表!$A:$A,0))*100000+INDEX(编号表!$F:$F,MATCH(D2797,编号表!$E:$E,0))*10000+INDEX(编号表!$D:$D,MATCH(AG2797,编号表!$C:$C,0))*1000+F2797</f>
        <v>11946021</v>
      </c>
      <c r="C2797" s="14" t="s">
        <v>5032</v>
      </c>
      <c r="D2797" s="14" t="s">
        <v>104</v>
      </c>
      <c r="E2797" s="14" t="s">
        <v>98</v>
      </c>
      <c r="F2797" s="14">
        <v>21</v>
      </c>
      <c r="G2797" s="14">
        <v>60</v>
      </c>
      <c r="H2797" s="14" t="s">
        <v>1400</v>
      </c>
      <c r="I2797" s="14" t="s">
        <v>75</v>
      </c>
      <c r="J2797" s="14" t="s">
        <v>201</v>
      </c>
      <c r="K2797" s="14">
        <v>1</v>
      </c>
      <c r="L2797" s="14" t="s">
        <v>1400</v>
      </c>
      <c r="N2797" s="14">
        <v>0</v>
      </c>
      <c r="O2797" s="14" t="b">
        <v>1</v>
      </c>
      <c r="Q2797" s="14" t="b">
        <v>0</v>
      </c>
      <c r="R2797" s="14">
        <v>1</v>
      </c>
      <c r="S2797" s="14" t="s">
        <v>77</v>
      </c>
      <c r="T2797" s="14">
        <v>999</v>
      </c>
      <c r="U2797" s="14" t="s">
        <v>1401</v>
      </c>
      <c r="V2797" s="14">
        <v>31946021</v>
      </c>
      <c r="X2797" s="14" t="s">
        <v>5037</v>
      </c>
      <c r="Y2797" s="14" t="s">
        <v>215</v>
      </c>
      <c r="Z2797" s="14">
        <v>21560</v>
      </c>
      <c r="AA2797" s="14" t="s">
        <v>5038</v>
      </c>
      <c r="AB2797" s="14">
        <v>40001</v>
      </c>
      <c r="AE2797" s="14" t="s">
        <v>1400</v>
      </c>
      <c r="AF2797" s="14" t="s">
        <v>1400</v>
      </c>
      <c r="AG2797" s="14" t="s">
        <v>98</v>
      </c>
    </row>
    <row r="2798" spans="2:33">
      <c r="B2798" s="14">
        <f>10000000+INDEX(编号表!$B:$B,MATCH(H2798,编号表!$A:$A,0))*100000+INDEX(编号表!$F:$F,MATCH(D2798,编号表!$E:$E,0))*10000+INDEX(编号表!$D:$D,MATCH(AG2798,编号表!$C:$C,0))*1000+F2798</f>
        <v>11926020</v>
      </c>
      <c r="C2798" s="14" t="s">
        <v>5039</v>
      </c>
      <c r="D2798" s="14" t="s">
        <v>112</v>
      </c>
      <c r="E2798" s="14" t="s">
        <v>98</v>
      </c>
      <c r="F2798" s="14">
        <v>20</v>
      </c>
      <c r="G2798" s="14">
        <v>60</v>
      </c>
      <c r="H2798" s="14" t="s">
        <v>1400</v>
      </c>
      <c r="I2798" s="14" t="s">
        <v>75</v>
      </c>
      <c r="J2798" s="14" t="s">
        <v>201</v>
      </c>
      <c r="K2798" s="14">
        <v>1</v>
      </c>
      <c r="L2798" s="14" t="s">
        <v>1400</v>
      </c>
      <c r="N2798" s="14">
        <v>0</v>
      </c>
      <c r="O2798" s="14" t="b">
        <v>1</v>
      </c>
      <c r="Q2798" s="14" t="b">
        <v>0</v>
      </c>
      <c r="R2798" s="14">
        <v>1</v>
      </c>
      <c r="S2798" s="14" t="s">
        <v>77</v>
      </c>
      <c r="T2798" s="14">
        <v>999</v>
      </c>
      <c r="U2798" s="14" t="s">
        <v>1401</v>
      </c>
      <c r="V2798" s="14">
        <v>31926020</v>
      </c>
      <c r="X2798" s="14" t="s">
        <v>5040</v>
      </c>
      <c r="Y2798" s="14" t="s">
        <v>215</v>
      </c>
      <c r="Z2798" s="14">
        <v>21561</v>
      </c>
      <c r="AA2798" s="14" t="s">
        <v>5041</v>
      </c>
      <c r="AB2798" s="14">
        <v>40001</v>
      </c>
      <c r="AE2798" s="14" t="s">
        <v>1400</v>
      </c>
      <c r="AF2798" s="14" t="s">
        <v>1400</v>
      </c>
      <c r="AG2798" s="14" t="s">
        <v>98</v>
      </c>
    </row>
    <row r="2799" spans="2:33">
      <c r="B2799" s="14">
        <f>10000000+INDEX(编号表!$B:$B,MATCH(H2799,编号表!$A:$A,0))*100000+INDEX(编号表!$F:$F,MATCH(D2799,编号表!$E:$E,0))*10000+INDEX(编号表!$D:$D,MATCH(AG2799,编号表!$C:$C,0))*1000+F2799</f>
        <v>11936021</v>
      </c>
      <c r="C2799" s="14" t="s">
        <v>5039</v>
      </c>
      <c r="D2799" s="14" t="s">
        <v>276</v>
      </c>
      <c r="E2799" s="14" t="s">
        <v>98</v>
      </c>
      <c r="F2799" s="14">
        <v>21</v>
      </c>
      <c r="G2799" s="14">
        <v>60</v>
      </c>
      <c r="H2799" s="14" t="s">
        <v>1400</v>
      </c>
      <c r="I2799" s="14" t="s">
        <v>75</v>
      </c>
      <c r="J2799" s="14" t="s">
        <v>201</v>
      </c>
      <c r="K2799" s="14">
        <v>1</v>
      </c>
      <c r="L2799" s="14" t="s">
        <v>1400</v>
      </c>
      <c r="N2799" s="14">
        <v>0</v>
      </c>
      <c r="O2799" s="14" t="b">
        <v>1</v>
      </c>
      <c r="Q2799" s="14" t="b">
        <v>0</v>
      </c>
      <c r="R2799" s="14">
        <v>1</v>
      </c>
      <c r="S2799" s="14" t="s">
        <v>77</v>
      </c>
      <c r="T2799" s="14">
        <v>999</v>
      </c>
      <c r="U2799" s="14" t="s">
        <v>1401</v>
      </c>
      <c r="V2799" s="14">
        <v>31936021</v>
      </c>
      <c r="X2799" s="14" t="s">
        <v>5042</v>
      </c>
      <c r="Y2799" s="14" t="s">
        <v>215</v>
      </c>
      <c r="Z2799" s="14">
        <v>21562</v>
      </c>
      <c r="AA2799" s="14" t="s">
        <v>5043</v>
      </c>
      <c r="AB2799" s="14">
        <v>40001</v>
      </c>
      <c r="AE2799" s="14" t="s">
        <v>1400</v>
      </c>
      <c r="AF2799" s="14" t="s">
        <v>1400</v>
      </c>
      <c r="AG2799" s="14" t="s">
        <v>98</v>
      </c>
    </row>
    <row r="2800" spans="2:33">
      <c r="B2800" s="14">
        <f>10000000+INDEX(编号表!$B:$B,MATCH(H2800,编号表!$A:$A,0))*100000+INDEX(编号表!$F:$F,MATCH(D2800,编号表!$E:$E,0))*10000+INDEX(编号表!$D:$D,MATCH(AG2800,编号表!$C:$C,0))*1000+F2800</f>
        <v>11946022</v>
      </c>
      <c r="C2800" s="14" t="s">
        <v>5039</v>
      </c>
      <c r="D2800" s="14" t="s">
        <v>104</v>
      </c>
      <c r="E2800" s="14" t="s">
        <v>98</v>
      </c>
      <c r="F2800" s="14">
        <v>22</v>
      </c>
      <c r="G2800" s="14">
        <v>60</v>
      </c>
      <c r="H2800" s="14" t="s">
        <v>1400</v>
      </c>
      <c r="I2800" s="14" t="s">
        <v>75</v>
      </c>
      <c r="J2800" s="14" t="s">
        <v>201</v>
      </c>
      <c r="K2800" s="14">
        <v>1</v>
      </c>
      <c r="L2800" s="14" t="s">
        <v>1400</v>
      </c>
      <c r="N2800" s="14">
        <v>0</v>
      </c>
      <c r="O2800" s="14" t="b">
        <v>1</v>
      </c>
      <c r="Q2800" s="14" t="b">
        <v>0</v>
      </c>
      <c r="R2800" s="14">
        <v>1</v>
      </c>
      <c r="S2800" s="14" t="s">
        <v>77</v>
      </c>
      <c r="T2800" s="14">
        <v>999</v>
      </c>
      <c r="U2800" s="14" t="s">
        <v>1401</v>
      </c>
      <c r="V2800" s="14">
        <v>31946022</v>
      </c>
      <c r="X2800" s="14" t="s">
        <v>5044</v>
      </c>
      <c r="Y2800" s="14" t="s">
        <v>215</v>
      </c>
      <c r="Z2800" s="14">
        <v>21563</v>
      </c>
      <c r="AA2800" s="14" t="s">
        <v>5045</v>
      </c>
      <c r="AB2800" s="14">
        <v>40001</v>
      </c>
      <c r="AE2800" s="14" t="s">
        <v>1400</v>
      </c>
      <c r="AF2800" s="14" t="s">
        <v>1400</v>
      </c>
      <c r="AG2800" s="14" t="s">
        <v>98</v>
      </c>
    </row>
    <row r="2801" spans="2:33">
      <c r="B2801" s="14">
        <f>10000000+INDEX(编号表!$B:$B,MATCH(H2801,编号表!$A:$A,0))*100000+INDEX(编号表!$F:$F,MATCH(D2801,编号表!$E:$E,0))*10000+INDEX(编号表!$D:$D,MATCH(AG2801,编号表!$C:$C,0))*1000+F2801</f>
        <v>11926021</v>
      </c>
      <c r="C2801" s="14" t="s">
        <v>5046</v>
      </c>
      <c r="D2801" s="14" t="s">
        <v>112</v>
      </c>
      <c r="E2801" s="14" t="s">
        <v>98</v>
      </c>
      <c r="F2801" s="14">
        <v>21</v>
      </c>
      <c r="G2801" s="14">
        <v>60</v>
      </c>
      <c r="H2801" s="14" t="s">
        <v>1400</v>
      </c>
      <c r="I2801" s="14" t="s">
        <v>75</v>
      </c>
      <c r="J2801" s="14" t="s">
        <v>201</v>
      </c>
      <c r="K2801" s="14">
        <v>1</v>
      </c>
      <c r="L2801" s="14" t="s">
        <v>1400</v>
      </c>
      <c r="N2801" s="14">
        <v>0</v>
      </c>
      <c r="O2801" s="14" t="b">
        <v>1</v>
      </c>
      <c r="Q2801" s="14" t="b">
        <v>0</v>
      </c>
      <c r="R2801" s="14">
        <v>1</v>
      </c>
      <c r="S2801" s="14" t="s">
        <v>77</v>
      </c>
      <c r="T2801" s="14">
        <v>999</v>
      </c>
      <c r="U2801" s="14" t="s">
        <v>1401</v>
      </c>
      <c r="V2801" s="14">
        <v>31926021</v>
      </c>
      <c r="X2801" s="14" t="s">
        <v>5047</v>
      </c>
      <c r="Y2801" s="14" t="s">
        <v>215</v>
      </c>
      <c r="Z2801" s="14">
        <v>21564</v>
      </c>
      <c r="AA2801" s="14" t="s">
        <v>5048</v>
      </c>
      <c r="AB2801" s="14">
        <v>40001</v>
      </c>
      <c r="AE2801" s="14" t="s">
        <v>1400</v>
      </c>
      <c r="AF2801" s="14" t="s">
        <v>1400</v>
      </c>
      <c r="AG2801" s="14" t="s">
        <v>98</v>
      </c>
    </row>
    <row r="2802" spans="2:33">
      <c r="B2802" s="14">
        <f>10000000+INDEX(编号表!$B:$B,MATCH(H2802,编号表!$A:$A,0))*100000+INDEX(编号表!$F:$F,MATCH(D2802,编号表!$E:$E,0))*10000+INDEX(编号表!$D:$D,MATCH(AG2802,编号表!$C:$C,0))*1000+F2802</f>
        <v>11936022</v>
      </c>
      <c r="C2802" s="14" t="s">
        <v>5046</v>
      </c>
      <c r="D2802" s="14" t="s">
        <v>276</v>
      </c>
      <c r="E2802" s="14" t="s">
        <v>98</v>
      </c>
      <c r="F2802" s="14">
        <v>22</v>
      </c>
      <c r="G2802" s="14">
        <v>60</v>
      </c>
      <c r="H2802" s="14" t="s">
        <v>1400</v>
      </c>
      <c r="I2802" s="14" t="s">
        <v>75</v>
      </c>
      <c r="J2802" s="14" t="s">
        <v>201</v>
      </c>
      <c r="K2802" s="14">
        <v>1</v>
      </c>
      <c r="L2802" s="14" t="s">
        <v>1400</v>
      </c>
      <c r="N2802" s="14">
        <v>0</v>
      </c>
      <c r="O2802" s="14" t="b">
        <v>1</v>
      </c>
      <c r="Q2802" s="14" t="b">
        <v>0</v>
      </c>
      <c r="R2802" s="14">
        <v>1</v>
      </c>
      <c r="S2802" s="14" t="s">
        <v>77</v>
      </c>
      <c r="T2802" s="14">
        <v>999</v>
      </c>
      <c r="U2802" s="14" t="s">
        <v>1401</v>
      </c>
      <c r="V2802" s="14">
        <v>31936022</v>
      </c>
      <c r="X2802" s="14" t="s">
        <v>5049</v>
      </c>
      <c r="Y2802" s="14" t="s">
        <v>215</v>
      </c>
      <c r="Z2802" s="14">
        <v>21565</v>
      </c>
      <c r="AA2802" s="14" t="s">
        <v>5050</v>
      </c>
      <c r="AB2802" s="14">
        <v>40001</v>
      </c>
      <c r="AE2802" s="14" t="s">
        <v>1400</v>
      </c>
      <c r="AF2802" s="14" t="s">
        <v>1400</v>
      </c>
      <c r="AG2802" s="14" t="s">
        <v>98</v>
      </c>
    </row>
    <row r="2803" spans="2:33">
      <c r="B2803" s="14">
        <f>10000000+INDEX(编号表!$B:$B,MATCH(H2803,编号表!$A:$A,0))*100000+INDEX(编号表!$F:$F,MATCH(D2803,编号表!$E:$E,0))*10000+INDEX(编号表!$D:$D,MATCH(AG2803,编号表!$C:$C,0))*1000+F2803</f>
        <v>11946023</v>
      </c>
      <c r="C2803" s="14" t="s">
        <v>5046</v>
      </c>
      <c r="D2803" s="14" t="s">
        <v>104</v>
      </c>
      <c r="E2803" s="14" t="s">
        <v>98</v>
      </c>
      <c r="F2803" s="14">
        <v>23</v>
      </c>
      <c r="G2803" s="14">
        <v>60</v>
      </c>
      <c r="H2803" s="14" t="s">
        <v>1400</v>
      </c>
      <c r="I2803" s="14" t="s">
        <v>75</v>
      </c>
      <c r="J2803" s="14" t="s">
        <v>201</v>
      </c>
      <c r="K2803" s="14">
        <v>1</v>
      </c>
      <c r="L2803" s="14" t="s">
        <v>1400</v>
      </c>
      <c r="N2803" s="14">
        <v>0</v>
      </c>
      <c r="O2803" s="14" t="b">
        <v>1</v>
      </c>
      <c r="Q2803" s="14" t="b">
        <v>0</v>
      </c>
      <c r="R2803" s="14">
        <v>1</v>
      </c>
      <c r="S2803" s="14" t="s">
        <v>77</v>
      </c>
      <c r="T2803" s="14">
        <v>999</v>
      </c>
      <c r="U2803" s="14" t="s">
        <v>1401</v>
      </c>
      <c r="V2803" s="14">
        <v>31946023</v>
      </c>
      <c r="X2803" s="14" t="s">
        <v>5051</v>
      </c>
      <c r="Y2803" s="14" t="s">
        <v>215</v>
      </c>
      <c r="Z2803" s="14">
        <v>21566</v>
      </c>
      <c r="AA2803" s="14" t="s">
        <v>5052</v>
      </c>
      <c r="AB2803" s="14">
        <v>40001</v>
      </c>
      <c r="AE2803" s="14" t="s">
        <v>1400</v>
      </c>
      <c r="AF2803" s="14" t="s">
        <v>1400</v>
      </c>
      <c r="AG2803" s="14" t="s">
        <v>98</v>
      </c>
    </row>
    <row r="2804" spans="2:33">
      <c r="B2804" s="14">
        <f>10000000+INDEX(编号表!$B:$B,MATCH(H2804,编号表!$A:$A,0))*100000+INDEX(编号表!$F:$F,MATCH(D2804,编号表!$E:$E,0))*10000+INDEX(编号表!$D:$D,MATCH(AG2804,编号表!$C:$C,0))*1000+F2804</f>
        <v>11926022</v>
      </c>
      <c r="C2804" s="14" t="s">
        <v>5053</v>
      </c>
      <c r="D2804" s="14" t="s">
        <v>112</v>
      </c>
      <c r="E2804" s="14" t="s">
        <v>98</v>
      </c>
      <c r="F2804" s="14">
        <v>22</v>
      </c>
      <c r="G2804" s="14">
        <v>60</v>
      </c>
      <c r="H2804" s="14" t="s">
        <v>1400</v>
      </c>
      <c r="I2804" s="14" t="s">
        <v>75</v>
      </c>
      <c r="J2804" s="14" t="s">
        <v>201</v>
      </c>
      <c r="K2804" s="14">
        <v>1</v>
      </c>
      <c r="L2804" s="14" t="s">
        <v>1400</v>
      </c>
      <c r="N2804" s="14">
        <v>0</v>
      </c>
      <c r="O2804" s="14" t="b">
        <v>1</v>
      </c>
      <c r="Q2804" s="14" t="b">
        <v>0</v>
      </c>
      <c r="R2804" s="14">
        <v>1</v>
      </c>
      <c r="S2804" s="14" t="s">
        <v>77</v>
      </c>
      <c r="T2804" s="14">
        <v>999</v>
      </c>
      <c r="U2804" s="14" t="s">
        <v>1401</v>
      </c>
      <c r="V2804" s="14">
        <v>31926022</v>
      </c>
      <c r="X2804" s="14" t="s">
        <v>5054</v>
      </c>
      <c r="Y2804" s="14" t="s">
        <v>215</v>
      </c>
      <c r="Z2804" s="14">
        <v>21567</v>
      </c>
      <c r="AA2804" s="14" t="s">
        <v>5055</v>
      </c>
      <c r="AB2804" s="14">
        <v>40001</v>
      </c>
      <c r="AE2804" s="14" t="s">
        <v>1400</v>
      </c>
      <c r="AF2804" s="14" t="s">
        <v>1400</v>
      </c>
      <c r="AG2804" s="14" t="s">
        <v>98</v>
      </c>
    </row>
    <row r="2805" spans="2:33">
      <c r="B2805" s="14">
        <f>10000000+INDEX(编号表!$B:$B,MATCH(H2805,编号表!$A:$A,0))*100000+INDEX(编号表!$F:$F,MATCH(D2805,编号表!$E:$E,0))*10000+INDEX(编号表!$D:$D,MATCH(AG2805,编号表!$C:$C,0))*1000+F2805</f>
        <v>11936023</v>
      </c>
      <c r="C2805" s="14" t="s">
        <v>5053</v>
      </c>
      <c r="D2805" s="14" t="s">
        <v>276</v>
      </c>
      <c r="E2805" s="14" t="s">
        <v>98</v>
      </c>
      <c r="F2805" s="14">
        <v>23</v>
      </c>
      <c r="G2805" s="14">
        <v>60</v>
      </c>
      <c r="H2805" s="14" t="s">
        <v>1400</v>
      </c>
      <c r="I2805" s="14" t="s">
        <v>75</v>
      </c>
      <c r="J2805" s="14" t="s">
        <v>201</v>
      </c>
      <c r="K2805" s="14">
        <v>1</v>
      </c>
      <c r="L2805" s="14" t="s">
        <v>1400</v>
      </c>
      <c r="N2805" s="14">
        <v>0</v>
      </c>
      <c r="O2805" s="14" t="b">
        <v>1</v>
      </c>
      <c r="Q2805" s="14" t="b">
        <v>0</v>
      </c>
      <c r="R2805" s="14">
        <v>1</v>
      </c>
      <c r="S2805" s="14" t="s">
        <v>77</v>
      </c>
      <c r="T2805" s="14">
        <v>999</v>
      </c>
      <c r="U2805" s="14" t="s">
        <v>1401</v>
      </c>
      <c r="V2805" s="14">
        <v>31936023</v>
      </c>
      <c r="X2805" s="14" t="s">
        <v>5056</v>
      </c>
      <c r="Y2805" s="14" t="s">
        <v>215</v>
      </c>
      <c r="Z2805" s="14">
        <v>21568</v>
      </c>
      <c r="AA2805" s="14" t="s">
        <v>5057</v>
      </c>
      <c r="AB2805" s="14">
        <v>40001</v>
      </c>
      <c r="AE2805" s="14" t="s">
        <v>1400</v>
      </c>
      <c r="AF2805" s="14" t="s">
        <v>1400</v>
      </c>
      <c r="AG2805" s="14" t="s">
        <v>98</v>
      </c>
    </row>
    <row r="2806" spans="2:33">
      <c r="B2806" s="14">
        <f>10000000+INDEX(编号表!$B:$B,MATCH(H2806,编号表!$A:$A,0))*100000+INDEX(编号表!$F:$F,MATCH(D2806,编号表!$E:$E,0))*10000+INDEX(编号表!$D:$D,MATCH(AG2806,编号表!$C:$C,0))*1000+F2806</f>
        <v>11946024</v>
      </c>
      <c r="C2806" s="14" t="s">
        <v>5053</v>
      </c>
      <c r="D2806" s="14" t="s">
        <v>104</v>
      </c>
      <c r="E2806" s="14" t="s">
        <v>98</v>
      </c>
      <c r="F2806" s="14">
        <v>24</v>
      </c>
      <c r="G2806" s="14">
        <v>60</v>
      </c>
      <c r="H2806" s="14" t="s">
        <v>1400</v>
      </c>
      <c r="I2806" s="14" t="s">
        <v>75</v>
      </c>
      <c r="J2806" s="14" t="s">
        <v>201</v>
      </c>
      <c r="K2806" s="14">
        <v>1</v>
      </c>
      <c r="L2806" s="14" t="s">
        <v>1400</v>
      </c>
      <c r="N2806" s="14">
        <v>0</v>
      </c>
      <c r="O2806" s="14" t="b">
        <v>1</v>
      </c>
      <c r="Q2806" s="14" t="b">
        <v>0</v>
      </c>
      <c r="R2806" s="14">
        <v>1</v>
      </c>
      <c r="S2806" s="14" t="s">
        <v>77</v>
      </c>
      <c r="T2806" s="14">
        <v>999</v>
      </c>
      <c r="U2806" s="14" t="s">
        <v>1401</v>
      </c>
      <c r="V2806" s="14">
        <v>31946024</v>
      </c>
      <c r="X2806" s="14" t="s">
        <v>5058</v>
      </c>
      <c r="Y2806" s="14" t="s">
        <v>215</v>
      </c>
      <c r="Z2806" s="14">
        <v>21569</v>
      </c>
      <c r="AA2806" s="14" t="s">
        <v>5059</v>
      </c>
      <c r="AB2806" s="14">
        <v>40001</v>
      </c>
      <c r="AE2806" s="14" t="s">
        <v>1400</v>
      </c>
      <c r="AF2806" s="14" t="s">
        <v>1400</v>
      </c>
      <c r="AG2806" s="14" t="s">
        <v>98</v>
      </c>
    </row>
    <row r="2807" spans="2:33">
      <c r="B2807" s="14">
        <f>10000000+INDEX(编号表!$B:$B,MATCH(H2807,编号表!$A:$A,0))*100000+INDEX(编号表!$F:$F,MATCH(D2807,编号表!$E:$E,0))*10000+INDEX(编号表!$D:$D,MATCH(AG2807,编号表!$C:$C,0))*1000+F2807</f>
        <v>11926023</v>
      </c>
      <c r="C2807" s="14" t="s">
        <v>5060</v>
      </c>
      <c r="D2807" s="14" t="s">
        <v>112</v>
      </c>
      <c r="E2807" s="14" t="s">
        <v>98</v>
      </c>
      <c r="F2807" s="14">
        <v>23</v>
      </c>
      <c r="G2807" s="14">
        <v>60</v>
      </c>
      <c r="H2807" s="14" t="s">
        <v>1400</v>
      </c>
      <c r="I2807" s="14" t="s">
        <v>75</v>
      </c>
      <c r="J2807" s="14" t="s">
        <v>201</v>
      </c>
      <c r="K2807" s="14">
        <v>1</v>
      </c>
      <c r="L2807" s="14" t="s">
        <v>1400</v>
      </c>
      <c r="N2807" s="14">
        <v>0</v>
      </c>
      <c r="O2807" s="14" t="b">
        <v>1</v>
      </c>
      <c r="Q2807" s="14" t="b">
        <v>0</v>
      </c>
      <c r="R2807" s="14">
        <v>1</v>
      </c>
      <c r="S2807" s="14" t="s">
        <v>77</v>
      </c>
      <c r="T2807" s="14">
        <v>999</v>
      </c>
      <c r="U2807" s="14" t="s">
        <v>1401</v>
      </c>
      <c r="V2807" s="14">
        <v>31926023</v>
      </c>
      <c r="X2807" s="14" t="s">
        <v>5061</v>
      </c>
      <c r="Y2807" s="14" t="s">
        <v>215</v>
      </c>
      <c r="Z2807" s="14">
        <v>21570</v>
      </c>
      <c r="AA2807" s="14" t="s">
        <v>5062</v>
      </c>
      <c r="AB2807" s="14">
        <v>40001</v>
      </c>
      <c r="AE2807" s="14" t="s">
        <v>1400</v>
      </c>
      <c r="AF2807" s="14" t="s">
        <v>1400</v>
      </c>
      <c r="AG2807" s="14" t="s">
        <v>98</v>
      </c>
    </row>
    <row r="2808" spans="2:33">
      <c r="B2808" s="14">
        <f>10000000+INDEX(编号表!$B:$B,MATCH(H2808,编号表!$A:$A,0))*100000+INDEX(编号表!$F:$F,MATCH(D2808,编号表!$E:$E,0))*10000+INDEX(编号表!$D:$D,MATCH(AG2808,编号表!$C:$C,0))*1000+F2808</f>
        <v>11936024</v>
      </c>
      <c r="C2808" s="14" t="s">
        <v>5060</v>
      </c>
      <c r="D2808" s="14" t="s">
        <v>276</v>
      </c>
      <c r="E2808" s="14" t="s">
        <v>98</v>
      </c>
      <c r="F2808" s="14">
        <v>24</v>
      </c>
      <c r="G2808" s="14">
        <v>60</v>
      </c>
      <c r="H2808" s="14" t="s">
        <v>1400</v>
      </c>
      <c r="I2808" s="14" t="s">
        <v>75</v>
      </c>
      <c r="J2808" s="14" t="s">
        <v>201</v>
      </c>
      <c r="K2808" s="14">
        <v>1</v>
      </c>
      <c r="L2808" s="14" t="s">
        <v>1400</v>
      </c>
      <c r="N2808" s="14">
        <v>0</v>
      </c>
      <c r="O2808" s="14" t="b">
        <v>1</v>
      </c>
      <c r="Q2808" s="14" t="b">
        <v>0</v>
      </c>
      <c r="R2808" s="14">
        <v>1</v>
      </c>
      <c r="S2808" s="14" t="s">
        <v>77</v>
      </c>
      <c r="T2808" s="14">
        <v>999</v>
      </c>
      <c r="U2808" s="14" t="s">
        <v>1401</v>
      </c>
      <c r="V2808" s="14">
        <v>31936024</v>
      </c>
      <c r="X2808" s="14" t="s">
        <v>5063</v>
      </c>
      <c r="Y2808" s="14" t="s">
        <v>215</v>
      </c>
      <c r="Z2808" s="14">
        <v>21571</v>
      </c>
      <c r="AA2808" s="14" t="s">
        <v>5064</v>
      </c>
      <c r="AB2808" s="14">
        <v>40001</v>
      </c>
      <c r="AE2808" s="14" t="s">
        <v>1400</v>
      </c>
      <c r="AF2808" s="14" t="s">
        <v>1400</v>
      </c>
      <c r="AG2808" s="14" t="s">
        <v>98</v>
      </c>
    </row>
    <row r="2809" spans="2:33">
      <c r="B2809" s="14">
        <f>10000000+INDEX(编号表!$B:$B,MATCH(H2809,编号表!$A:$A,0))*100000+INDEX(编号表!$F:$F,MATCH(D2809,编号表!$E:$E,0))*10000+INDEX(编号表!$D:$D,MATCH(AG2809,编号表!$C:$C,0))*1000+F2809</f>
        <v>11946025</v>
      </c>
      <c r="C2809" s="14" t="s">
        <v>5060</v>
      </c>
      <c r="D2809" s="14" t="s">
        <v>104</v>
      </c>
      <c r="E2809" s="14" t="s">
        <v>98</v>
      </c>
      <c r="F2809" s="14">
        <v>25</v>
      </c>
      <c r="G2809" s="14">
        <v>60</v>
      </c>
      <c r="H2809" s="14" t="s">
        <v>1400</v>
      </c>
      <c r="I2809" s="14" t="s">
        <v>75</v>
      </c>
      <c r="J2809" s="14" t="s">
        <v>201</v>
      </c>
      <c r="K2809" s="14">
        <v>1</v>
      </c>
      <c r="L2809" s="14" t="s">
        <v>1400</v>
      </c>
      <c r="N2809" s="14">
        <v>0</v>
      </c>
      <c r="O2809" s="14" t="b">
        <v>1</v>
      </c>
      <c r="Q2809" s="14" t="b">
        <v>0</v>
      </c>
      <c r="R2809" s="14">
        <v>1</v>
      </c>
      <c r="S2809" s="14" t="s">
        <v>77</v>
      </c>
      <c r="T2809" s="14">
        <v>999</v>
      </c>
      <c r="U2809" s="14" t="s">
        <v>1401</v>
      </c>
      <c r="V2809" s="14">
        <v>31946025</v>
      </c>
      <c r="X2809" s="14" t="s">
        <v>5065</v>
      </c>
      <c r="Y2809" s="14" t="s">
        <v>215</v>
      </c>
      <c r="Z2809" s="14">
        <v>21572</v>
      </c>
      <c r="AA2809" s="14" t="s">
        <v>5066</v>
      </c>
      <c r="AB2809" s="14">
        <v>40001</v>
      </c>
      <c r="AE2809" s="14" t="s">
        <v>1400</v>
      </c>
      <c r="AF2809" s="14" t="s">
        <v>1400</v>
      </c>
      <c r="AG2809" s="14" t="s">
        <v>98</v>
      </c>
    </row>
    <row r="2810" spans="2:33">
      <c r="B2810" s="14">
        <f>10000000+INDEX(编号表!$B:$B,MATCH(H2810,编号表!$A:$A,0))*100000+INDEX(编号表!$F:$F,MATCH(D2810,编号表!$E:$E,0))*10000+INDEX(编号表!$D:$D,MATCH(AG2810,编号表!$C:$C,0))*1000+F2810</f>
        <v>11926024</v>
      </c>
      <c r="C2810" s="14" t="s">
        <v>5067</v>
      </c>
      <c r="D2810" s="14" t="s">
        <v>112</v>
      </c>
      <c r="E2810" s="14" t="s">
        <v>98</v>
      </c>
      <c r="F2810" s="14">
        <v>24</v>
      </c>
      <c r="G2810" s="14">
        <v>60</v>
      </c>
      <c r="H2810" s="14" t="s">
        <v>1400</v>
      </c>
      <c r="I2810" s="14" t="s">
        <v>75</v>
      </c>
      <c r="J2810" s="14" t="s">
        <v>201</v>
      </c>
      <c r="K2810" s="14">
        <v>1</v>
      </c>
      <c r="L2810" s="14" t="s">
        <v>1400</v>
      </c>
      <c r="N2810" s="14">
        <v>0</v>
      </c>
      <c r="O2810" s="14" t="b">
        <v>1</v>
      </c>
      <c r="Q2810" s="14" t="b">
        <v>0</v>
      </c>
      <c r="R2810" s="14">
        <v>1</v>
      </c>
      <c r="S2810" s="14" t="s">
        <v>77</v>
      </c>
      <c r="T2810" s="14">
        <v>999</v>
      </c>
      <c r="U2810" s="14" t="s">
        <v>1401</v>
      </c>
      <c r="V2810" s="14">
        <v>31926024</v>
      </c>
      <c r="X2810" s="14" t="s">
        <v>5068</v>
      </c>
      <c r="Y2810" s="14" t="s">
        <v>215</v>
      </c>
      <c r="Z2810" s="14">
        <v>21573</v>
      </c>
      <c r="AA2810" s="14" t="s">
        <v>5069</v>
      </c>
      <c r="AB2810" s="14">
        <v>40001</v>
      </c>
      <c r="AE2810" s="14" t="s">
        <v>1400</v>
      </c>
      <c r="AF2810" s="14" t="s">
        <v>1400</v>
      </c>
      <c r="AG2810" s="14" t="s">
        <v>98</v>
      </c>
    </row>
    <row r="2811" spans="2:33">
      <c r="B2811" s="14">
        <f>10000000+INDEX(编号表!$B:$B,MATCH(H2811,编号表!$A:$A,0))*100000+INDEX(编号表!$F:$F,MATCH(D2811,编号表!$E:$E,0))*10000+INDEX(编号表!$D:$D,MATCH(AG2811,编号表!$C:$C,0))*1000+F2811</f>
        <v>11936025</v>
      </c>
      <c r="C2811" s="14" t="s">
        <v>5067</v>
      </c>
      <c r="D2811" s="14" t="s">
        <v>276</v>
      </c>
      <c r="E2811" s="14" t="s">
        <v>98</v>
      </c>
      <c r="F2811" s="14">
        <v>25</v>
      </c>
      <c r="G2811" s="14">
        <v>60</v>
      </c>
      <c r="H2811" s="14" t="s">
        <v>1400</v>
      </c>
      <c r="I2811" s="14" t="s">
        <v>75</v>
      </c>
      <c r="J2811" s="14" t="s">
        <v>201</v>
      </c>
      <c r="K2811" s="14">
        <v>1</v>
      </c>
      <c r="L2811" s="14" t="s">
        <v>1400</v>
      </c>
      <c r="N2811" s="14">
        <v>0</v>
      </c>
      <c r="O2811" s="14" t="b">
        <v>1</v>
      </c>
      <c r="Q2811" s="14" t="b">
        <v>0</v>
      </c>
      <c r="R2811" s="14">
        <v>1</v>
      </c>
      <c r="S2811" s="14" t="s">
        <v>77</v>
      </c>
      <c r="T2811" s="14">
        <v>999</v>
      </c>
      <c r="U2811" s="14" t="s">
        <v>1401</v>
      </c>
      <c r="V2811" s="14">
        <v>31936025</v>
      </c>
      <c r="X2811" s="14" t="s">
        <v>5070</v>
      </c>
      <c r="Y2811" s="14" t="s">
        <v>215</v>
      </c>
      <c r="Z2811" s="14">
        <v>21574</v>
      </c>
      <c r="AA2811" s="14" t="s">
        <v>5071</v>
      </c>
      <c r="AB2811" s="14">
        <v>40001</v>
      </c>
      <c r="AE2811" s="14" t="s">
        <v>1400</v>
      </c>
      <c r="AF2811" s="14" t="s">
        <v>1400</v>
      </c>
      <c r="AG2811" s="14" t="s">
        <v>98</v>
      </c>
    </row>
    <row r="2812" spans="2:33">
      <c r="B2812" s="14">
        <f>10000000+INDEX(编号表!$B:$B,MATCH(H2812,编号表!$A:$A,0))*100000+INDEX(编号表!$F:$F,MATCH(D2812,编号表!$E:$E,0))*10000+INDEX(编号表!$D:$D,MATCH(AG2812,编号表!$C:$C,0))*1000+F2812</f>
        <v>11946026</v>
      </c>
      <c r="C2812" s="14" t="s">
        <v>5067</v>
      </c>
      <c r="D2812" s="14" t="s">
        <v>104</v>
      </c>
      <c r="E2812" s="14" t="s">
        <v>98</v>
      </c>
      <c r="F2812" s="14">
        <v>26</v>
      </c>
      <c r="G2812" s="14">
        <v>60</v>
      </c>
      <c r="H2812" s="14" t="s">
        <v>1400</v>
      </c>
      <c r="I2812" s="14" t="s">
        <v>75</v>
      </c>
      <c r="J2812" s="14" t="s">
        <v>201</v>
      </c>
      <c r="K2812" s="14">
        <v>1</v>
      </c>
      <c r="L2812" s="14" t="s">
        <v>1400</v>
      </c>
      <c r="N2812" s="14">
        <v>0</v>
      </c>
      <c r="O2812" s="14" t="b">
        <v>1</v>
      </c>
      <c r="Q2812" s="14" t="b">
        <v>0</v>
      </c>
      <c r="R2812" s="14">
        <v>1</v>
      </c>
      <c r="S2812" s="14" t="s">
        <v>77</v>
      </c>
      <c r="T2812" s="14">
        <v>999</v>
      </c>
      <c r="U2812" s="14" t="s">
        <v>1401</v>
      </c>
      <c r="V2812" s="14">
        <v>31946026</v>
      </c>
      <c r="X2812" s="14" t="s">
        <v>5072</v>
      </c>
      <c r="Y2812" s="14" t="s">
        <v>215</v>
      </c>
      <c r="Z2812" s="14">
        <v>21575</v>
      </c>
      <c r="AA2812" s="14" t="s">
        <v>5073</v>
      </c>
      <c r="AB2812" s="14">
        <v>40001</v>
      </c>
      <c r="AE2812" s="14" t="s">
        <v>1400</v>
      </c>
      <c r="AF2812" s="14" t="s">
        <v>1400</v>
      </c>
      <c r="AG2812" s="14" t="s">
        <v>98</v>
      </c>
    </row>
    <row r="2813" spans="2:33">
      <c r="B2813" s="14">
        <f>10000000+INDEX(编号表!$B:$B,MATCH(H2813,编号表!$A:$A,0))*100000+INDEX(编号表!$F:$F,MATCH(D2813,编号表!$E:$E,0))*10000+INDEX(编号表!$D:$D,MATCH(AG2813,编号表!$C:$C,0))*1000+F2813</f>
        <v>11926025</v>
      </c>
      <c r="C2813" s="14" t="s">
        <v>5074</v>
      </c>
      <c r="D2813" s="14" t="s">
        <v>112</v>
      </c>
      <c r="E2813" s="14" t="s">
        <v>98</v>
      </c>
      <c r="F2813" s="14">
        <v>25</v>
      </c>
      <c r="G2813" s="14">
        <v>60</v>
      </c>
      <c r="H2813" s="14" t="s">
        <v>1400</v>
      </c>
      <c r="I2813" s="14" t="s">
        <v>75</v>
      </c>
      <c r="J2813" s="14" t="s">
        <v>201</v>
      </c>
      <c r="K2813" s="14">
        <v>1</v>
      </c>
      <c r="L2813" s="14" t="s">
        <v>1400</v>
      </c>
      <c r="N2813" s="14">
        <v>0</v>
      </c>
      <c r="O2813" s="14" t="b">
        <v>1</v>
      </c>
      <c r="Q2813" s="14" t="b">
        <v>0</v>
      </c>
      <c r="R2813" s="14">
        <v>1</v>
      </c>
      <c r="S2813" s="14" t="s">
        <v>77</v>
      </c>
      <c r="T2813" s="14">
        <v>999</v>
      </c>
      <c r="U2813" s="14" t="s">
        <v>1401</v>
      </c>
      <c r="V2813" s="14">
        <v>31926025</v>
      </c>
      <c r="X2813" s="14" t="s">
        <v>5075</v>
      </c>
      <c r="Y2813" s="14" t="s">
        <v>215</v>
      </c>
      <c r="Z2813" s="14">
        <v>21576</v>
      </c>
      <c r="AA2813" s="14" t="s">
        <v>5076</v>
      </c>
      <c r="AB2813" s="14">
        <v>40001</v>
      </c>
      <c r="AE2813" s="14" t="s">
        <v>1400</v>
      </c>
      <c r="AF2813" s="14" t="s">
        <v>1400</v>
      </c>
      <c r="AG2813" s="14" t="s">
        <v>98</v>
      </c>
    </row>
    <row r="2814" spans="2:33">
      <c r="B2814" s="14">
        <f>10000000+INDEX(编号表!$B:$B,MATCH(H2814,编号表!$A:$A,0))*100000+INDEX(编号表!$F:$F,MATCH(D2814,编号表!$E:$E,0))*10000+INDEX(编号表!$D:$D,MATCH(AG2814,编号表!$C:$C,0))*1000+F2814</f>
        <v>11936026</v>
      </c>
      <c r="C2814" s="14" t="s">
        <v>5074</v>
      </c>
      <c r="D2814" s="14" t="s">
        <v>276</v>
      </c>
      <c r="E2814" s="14" t="s">
        <v>98</v>
      </c>
      <c r="F2814" s="14">
        <v>26</v>
      </c>
      <c r="G2814" s="14">
        <v>60</v>
      </c>
      <c r="H2814" s="14" t="s">
        <v>1400</v>
      </c>
      <c r="I2814" s="14" t="s">
        <v>75</v>
      </c>
      <c r="J2814" s="14" t="s">
        <v>201</v>
      </c>
      <c r="K2814" s="14">
        <v>1</v>
      </c>
      <c r="L2814" s="14" t="s">
        <v>1400</v>
      </c>
      <c r="N2814" s="14">
        <v>0</v>
      </c>
      <c r="O2814" s="14" t="b">
        <v>1</v>
      </c>
      <c r="Q2814" s="14" t="b">
        <v>0</v>
      </c>
      <c r="R2814" s="14">
        <v>1</v>
      </c>
      <c r="S2814" s="14" t="s">
        <v>77</v>
      </c>
      <c r="T2814" s="14">
        <v>999</v>
      </c>
      <c r="U2814" s="14" t="s">
        <v>1401</v>
      </c>
      <c r="V2814" s="14">
        <v>31936026</v>
      </c>
      <c r="X2814" s="14" t="s">
        <v>5077</v>
      </c>
      <c r="Y2814" s="14" t="s">
        <v>215</v>
      </c>
      <c r="Z2814" s="14">
        <v>21577</v>
      </c>
      <c r="AA2814" s="14" t="s">
        <v>5078</v>
      </c>
      <c r="AB2814" s="14">
        <v>40001</v>
      </c>
      <c r="AE2814" s="14" t="s">
        <v>1400</v>
      </c>
      <c r="AF2814" s="14" t="s">
        <v>1400</v>
      </c>
      <c r="AG2814" s="14" t="s">
        <v>98</v>
      </c>
    </row>
    <row r="2815" spans="2:33">
      <c r="B2815" s="14">
        <f>10000000+INDEX(编号表!$B:$B,MATCH(H2815,编号表!$A:$A,0))*100000+INDEX(编号表!$F:$F,MATCH(D2815,编号表!$E:$E,0))*10000+INDEX(编号表!$D:$D,MATCH(AG2815,编号表!$C:$C,0))*1000+F2815</f>
        <v>11946027</v>
      </c>
      <c r="C2815" s="14" t="s">
        <v>5074</v>
      </c>
      <c r="D2815" s="14" t="s">
        <v>104</v>
      </c>
      <c r="E2815" s="14" t="s">
        <v>98</v>
      </c>
      <c r="F2815" s="14">
        <v>27</v>
      </c>
      <c r="G2815" s="14">
        <v>60</v>
      </c>
      <c r="H2815" s="14" t="s">
        <v>1400</v>
      </c>
      <c r="I2815" s="14" t="s">
        <v>75</v>
      </c>
      <c r="J2815" s="14" t="s">
        <v>201</v>
      </c>
      <c r="K2815" s="14">
        <v>1</v>
      </c>
      <c r="L2815" s="14" t="s">
        <v>1400</v>
      </c>
      <c r="N2815" s="14">
        <v>0</v>
      </c>
      <c r="O2815" s="14" t="b">
        <v>1</v>
      </c>
      <c r="Q2815" s="14" t="b">
        <v>0</v>
      </c>
      <c r="R2815" s="14">
        <v>1</v>
      </c>
      <c r="S2815" s="14" t="s">
        <v>77</v>
      </c>
      <c r="T2815" s="14">
        <v>999</v>
      </c>
      <c r="U2815" s="14" t="s">
        <v>1401</v>
      </c>
      <c r="V2815" s="14">
        <v>31946027</v>
      </c>
      <c r="X2815" s="14" t="s">
        <v>5079</v>
      </c>
      <c r="Y2815" s="14" t="s">
        <v>215</v>
      </c>
      <c r="Z2815" s="14">
        <v>21578</v>
      </c>
      <c r="AA2815" s="14" t="s">
        <v>5080</v>
      </c>
      <c r="AB2815" s="14">
        <v>40001</v>
      </c>
      <c r="AE2815" s="14" t="s">
        <v>1400</v>
      </c>
      <c r="AF2815" s="14" t="s">
        <v>1400</v>
      </c>
      <c r="AG2815" s="14" t="s">
        <v>98</v>
      </c>
    </row>
    <row r="2816" spans="2:33">
      <c r="B2816" s="14">
        <f>10000000+INDEX(编号表!$B:$B,MATCH(H2816,编号表!$A:$A,0))*100000+INDEX(编号表!$F:$F,MATCH(D2816,编号表!$E:$E,0))*10000+INDEX(编号表!$D:$D,MATCH(AG2816,编号表!$C:$C,0))*1000+F2816</f>
        <v>11926026</v>
      </c>
      <c r="C2816" s="14" t="s">
        <v>5081</v>
      </c>
      <c r="D2816" s="14" t="s">
        <v>112</v>
      </c>
      <c r="E2816" s="14" t="s">
        <v>98</v>
      </c>
      <c r="F2816" s="14">
        <v>26</v>
      </c>
      <c r="G2816" s="14">
        <v>60</v>
      </c>
      <c r="H2816" s="14" t="s">
        <v>1400</v>
      </c>
      <c r="I2816" s="14" t="s">
        <v>75</v>
      </c>
      <c r="J2816" s="14" t="s">
        <v>201</v>
      </c>
      <c r="K2816" s="14">
        <v>1</v>
      </c>
      <c r="L2816" s="14" t="s">
        <v>1400</v>
      </c>
      <c r="N2816" s="14">
        <v>0</v>
      </c>
      <c r="O2816" s="14" t="b">
        <v>1</v>
      </c>
      <c r="Q2816" s="14" t="b">
        <v>0</v>
      </c>
      <c r="R2816" s="14">
        <v>1</v>
      </c>
      <c r="S2816" s="14" t="s">
        <v>77</v>
      </c>
      <c r="T2816" s="14">
        <v>999</v>
      </c>
      <c r="U2816" s="14" t="s">
        <v>1401</v>
      </c>
      <c r="V2816" s="14">
        <v>31926026</v>
      </c>
      <c r="X2816" s="14" t="s">
        <v>5082</v>
      </c>
      <c r="Y2816" s="14" t="s">
        <v>215</v>
      </c>
      <c r="Z2816" s="14">
        <v>21579</v>
      </c>
      <c r="AA2816" s="14" t="s">
        <v>5083</v>
      </c>
      <c r="AB2816" s="14">
        <v>40001</v>
      </c>
      <c r="AE2816" s="14" t="s">
        <v>1400</v>
      </c>
      <c r="AF2816" s="14" t="s">
        <v>1400</v>
      </c>
      <c r="AG2816" s="14" t="s">
        <v>98</v>
      </c>
    </row>
    <row r="2817" spans="2:33">
      <c r="B2817" s="14">
        <f>10000000+INDEX(编号表!$B:$B,MATCH(H2817,编号表!$A:$A,0))*100000+INDEX(编号表!$F:$F,MATCH(D2817,编号表!$E:$E,0))*10000+INDEX(编号表!$D:$D,MATCH(AG2817,编号表!$C:$C,0))*1000+F2817</f>
        <v>11936027</v>
      </c>
      <c r="C2817" s="14" t="s">
        <v>5081</v>
      </c>
      <c r="D2817" s="14" t="s">
        <v>276</v>
      </c>
      <c r="E2817" s="14" t="s">
        <v>98</v>
      </c>
      <c r="F2817" s="14">
        <v>27</v>
      </c>
      <c r="G2817" s="14">
        <v>60</v>
      </c>
      <c r="H2817" s="14" t="s">
        <v>1400</v>
      </c>
      <c r="I2817" s="14" t="s">
        <v>75</v>
      </c>
      <c r="J2817" s="14" t="s">
        <v>201</v>
      </c>
      <c r="K2817" s="14">
        <v>1</v>
      </c>
      <c r="L2817" s="14" t="s">
        <v>1400</v>
      </c>
      <c r="N2817" s="14">
        <v>0</v>
      </c>
      <c r="O2817" s="14" t="b">
        <v>1</v>
      </c>
      <c r="Q2817" s="14" t="b">
        <v>0</v>
      </c>
      <c r="R2817" s="14">
        <v>1</v>
      </c>
      <c r="S2817" s="14" t="s">
        <v>77</v>
      </c>
      <c r="T2817" s="14">
        <v>999</v>
      </c>
      <c r="U2817" s="14" t="s">
        <v>1401</v>
      </c>
      <c r="V2817" s="14">
        <v>31936027</v>
      </c>
      <c r="X2817" s="14" t="s">
        <v>5084</v>
      </c>
      <c r="Y2817" s="14" t="s">
        <v>215</v>
      </c>
      <c r="Z2817" s="14">
        <v>21580</v>
      </c>
      <c r="AA2817" s="14" t="s">
        <v>5085</v>
      </c>
      <c r="AB2817" s="14">
        <v>40001</v>
      </c>
      <c r="AE2817" s="14" t="s">
        <v>1400</v>
      </c>
      <c r="AF2817" s="14" t="s">
        <v>1400</v>
      </c>
      <c r="AG2817" s="14" t="s">
        <v>98</v>
      </c>
    </row>
    <row r="2818" spans="2:33">
      <c r="B2818" s="14">
        <f>10000000+INDEX(编号表!$B:$B,MATCH(H2818,编号表!$A:$A,0))*100000+INDEX(编号表!$F:$F,MATCH(D2818,编号表!$E:$E,0))*10000+INDEX(编号表!$D:$D,MATCH(AG2818,编号表!$C:$C,0))*1000+F2818</f>
        <v>11946028</v>
      </c>
      <c r="C2818" s="14" t="s">
        <v>5081</v>
      </c>
      <c r="D2818" s="14" t="s">
        <v>104</v>
      </c>
      <c r="E2818" s="14" t="s">
        <v>98</v>
      </c>
      <c r="F2818" s="14">
        <v>28</v>
      </c>
      <c r="G2818" s="14">
        <v>60</v>
      </c>
      <c r="H2818" s="14" t="s">
        <v>1400</v>
      </c>
      <c r="I2818" s="14" t="s">
        <v>75</v>
      </c>
      <c r="J2818" s="14" t="s">
        <v>201</v>
      </c>
      <c r="K2818" s="14">
        <v>1</v>
      </c>
      <c r="L2818" s="14" t="s">
        <v>1400</v>
      </c>
      <c r="N2818" s="14">
        <v>0</v>
      </c>
      <c r="O2818" s="14" t="b">
        <v>1</v>
      </c>
      <c r="Q2818" s="14" t="b">
        <v>0</v>
      </c>
      <c r="R2818" s="14">
        <v>1</v>
      </c>
      <c r="S2818" s="14" t="s">
        <v>77</v>
      </c>
      <c r="T2818" s="14">
        <v>999</v>
      </c>
      <c r="U2818" s="14" t="s">
        <v>1401</v>
      </c>
      <c r="V2818" s="14">
        <v>31946028</v>
      </c>
      <c r="X2818" s="14" t="s">
        <v>5086</v>
      </c>
      <c r="Y2818" s="14" t="s">
        <v>215</v>
      </c>
      <c r="Z2818" s="14">
        <v>21581</v>
      </c>
      <c r="AA2818" s="14" t="s">
        <v>5087</v>
      </c>
      <c r="AB2818" s="14">
        <v>40001</v>
      </c>
      <c r="AE2818" s="14" t="s">
        <v>1400</v>
      </c>
      <c r="AF2818" s="14" t="s">
        <v>1400</v>
      </c>
      <c r="AG2818" s="14" t="s">
        <v>98</v>
      </c>
    </row>
    <row r="2819" spans="2:33">
      <c r="B2819" s="14">
        <f>10000000+INDEX(编号表!$B:$B,MATCH(H2819,编号表!$A:$A,0))*100000+INDEX(编号表!$F:$F,MATCH(D2819,编号表!$E:$E,0))*10000+INDEX(编号表!$D:$D,MATCH(AG2819,编号表!$C:$C,0))*1000+F2819</f>
        <v>11926027</v>
      </c>
      <c r="C2819" s="14" t="s">
        <v>5088</v>
      </c>
      <c r="D2819" s="14" t="s">
        <v>112</v>
      </c>
      <c r="E2819" s="14" t="s">
        <v>98</v>
      </c>
      <c r="F2819" s="14">
        <v>27</v>
      </c>
      <c r="G2819" s="14">
        <v>60</v>
      </c>
      <c r="H2819" s="14" t="s">
        <v>1400</v>
      </c>
      <c r="I2819" s="14" t="s">
        <v>75</v>
      </c>
      <c r="J2819" s="14" t="s">
        <v>201</v>
      </c>
      <c r="K2819" s="14">
        <v>1</v>
      </c>
      <c r="L2819" s="14" t="s">
        <v>1400</v>
      </c>
      <c r="N2819" s="14">
        <v>0</v>
      </c>
      <c r="O2819" s="14" t="b">
        <v>1</v>
      </c>
      <c r="Q2819" s="14" t="b">
        <v>0</v>
      </c>
      <c r="R2819" s="14">
        <v>1</v>
      </c>
      <c r="S2819" s="14" t="s">
        <v>77</v>
      </c>
      <c r="T2819" s="14">
        <v>999</v>
      </c>
      <c r="U2819" s="14" t="s">
        <v>1401</v>
      </c>
      <c r="V2819" s="14">
        <v>31926027</v>
      </c>
      <c r="X2819" s="14" t="s">
        <v>5089</v>
      </c>
      <c r="Y2819" s="14" t="s">
        <v>215</v>
      </c>
      <c r="Z2819" s="14">
        <v>21582</v>
      </c>
      <c r="AA2819" s="14" t="s">
        <v>5090</v>
      </c>
      <c r="AB2819" s="14">
        <v>40001</v>
      </c>
      <c r="AE2819" s="14" t="s">
        <v>1400</v>
      </c>
      <c r="AF2819" s="14" t="s">
        <v>1400</v>
      </c>
      <c r="AG2819" s="14" t="s">
        <v>98</v>
      </c>
    </row>
    <row r="2820" spans="2:33">
      <c r="B2820" s="14">
        <f>10000000+INDEX(编号表!$B:$B,MATCH(H2820,编号表!$A:$A,0))*100000+INDEX(编号表!$F:$F,MATCH(D2820,编号表!$E:$E,0))*10000+INDEX(编号表!$D:$D,MATCH(AG2820,编号表!$C:$C,0))*1000+F2820</f>
        <v>11936028</v>
      </c>
      <c r="C2820" s="14" t="s">
        <v>5088</v>
      </c>
      <c r="D2820" s="14" t="s">
        <v>276</v>
      </c>
      <c r="E2820" s="14" t="s">
        <v>98</v>
      </c>
      <c r="F2820" s="14">
        <v>28</v>
      </c>
      <c r="G2820" s="14">
        <v>60</v>
      </c>
      <c r="H2820" s="14" t="s">
        <v>1400</v>
      </c>
      <c r="I2820" s="14" t="s">
        <v>75</v>
      </c>
      <c r="J2820" s="14" t="s">
        <v>201</v>
      </c>
      <c r="K2820" s="14">
        <v>1</v>
      </c>
      <c r="L2820" s="14" t="s">
        <v>1400</v>
      </c>
      <c r="N2820" s="14">
        <v>0</v>
      </c>
      <c r="O2820" s="14" t="b">
        <v>1</v>
      </c>
      <c r="Q2820" s="14" t="b">
        <v>0</v>
      </c>
      <c r="R2820" s="14">
        <v>1</v>
      </c>
      <c r="S2820" s="14" t="s">
        <v>77</v>
      </c>
      <c r="T2820" s="14">
        <v>999</v>
      </c>
      <c r="U2820" s="14" t="s">
        <v>1401</v>
      </c>
      <c r="V2820" s="14">
        <v>31936028</v>
      </c>
      <c r="X2820" s="14" t="s">
        <v>5091</v>
      </c>
      <c r="Y2820" s="14" t="s">
        <v>215</v>
      </c>
      <c r="Z2820" s="14">
        <v>21583</v>
      </c>
      <c r="AA2820" s="14" t="s">
        <v>5092</v>
      </c>
      <c r="AB2820" s="14">
        <v>40001</v>
      </c>
      <c r="AE2820" s="14" t="s">
        <v>1400</v>
      </c>
      <c r="AF2820" s="14" t="s">
        <v>1400</v>
      </c>
      <c r="AG2820" s="14" t="s">
        <v>98</v>
      </c>
    </row>
    <row r="2821" spans="2:33">
      <c r="B2821" s="14">
        <f>10000000+INDEX(编号表!$B:$B,MATCH(H2821,编号表!$A:$A,0))*100000+INDEX(编号表!$F:$F,MATCH(D2821,编号表!$E:$E,0))*10000+INDEX(编号表!$D:$D,MATCH(AG2821,编号表!$C:$C,0))*1000+F2821</f>
        <v>11946029</v>
      </c>
      <c r="C2821" s="14" t="s">
        <v>5088</v>
      </c>
      <c r="D2821" s="14" t="s">
        <v>104</v>
      </c>
      <c r="E2821" s="14" t="s">
        <v>98</v>
      </c>
      <c r="F2821" s="14">
        <v>29</v>
      </c>
      <c r="G2821" s="14">
        <v>60</v>
      </c>
      <c r="H2821" s="14" t="s">
        <v>1400</v>
      </c>
      <c r="I2821" s="14" t="s">
        <v>75</v>
      </c>
      <c r="J2821" s="14" t="s">
        <v>201</v>
      </c>
      <c r="K2821" s="14">
        <v>1</v>
      </c>
      <c r="L2821" s="14" t="s">
        <v>1400</v>
      </c>
      <c r="N2821" s="14">
        <v>0</v>
      </c>
      <c r="O2821" s="14" t="b">
        <v>1</v>
      </c>
      <c r="Q2821" s="14" t="b">
        <v>0</v>
      </c>
      <c r="R2821" s="14">
        <v>1</v>
      </c>
      <c r="S2821" s="14" t="s">
        <v>77</v>
      </c>
      <c r="T2821" s="14">
        <v>999</v>
      </c>
      <c r="U2821" s="14" t="s">
        <v>1401</v>
      </c>
      <c r="V2821" s="14">
        <v>31946029</v>
      </c>
      <c r="X2821" s="14" t="s">
        <v>5093</v>
      </c>
      <c r="Y2821" s="14" t="s">
        <v>215</v>
      </c>
      <c r="Z2821" s="14">
        <v>21584</v>
      </c>
      <c r="AA2821" s="14" t="s">
        <v>5094</v>
      </c>
      <c r="AB2821" s="14">
        <v>40001</v>
      </c>
      <c r="AE2821" s="14" t="s">
        <v>1400</v>
      </c>
      <c r="AF2821" s="14" t="s">
        <v>1400</v>
      </c>
      <c r="AG2821" s="14" t="s">
        <v>98</v>
      </c>
    </row>
    <row r="2822" spans="2:33">
      <c r="B2822" s="14">
        <f>10000000+INDEX(编号表!$B:$B,MATCH(H2822,编号表!$A:$A,0))*100000+INDEX(编号表!$F:$F,MATCH(D2822,编号表!$E:$E,0))*10000+INDEX(编号表!$D:$D,MATCH(AG2822,编号表!$C:$C,0))*1000+F2822</f>
        <v>11926028</v>
      </c>
      <c r="C2822" s="14" t="s">
        <v>5095</v>
      </c>
      <c r="D2822" s="14" t="s">
        <v>112</v>
      </c>
      <c r="E2822" s="14" t="s">
        <v>98</v>
      </c>
      <c r="F2822" s="14">
        <v>28</v>
      </c>
      <c r="G2822" s="14">
        <v>60</v>
      </c>
      <c r="H2822" s="14" t="s">
        <v>1400</v>
      </c>
      <c r="I2822" s="14" t="s">
        <v>75</v>
      </c>
      <c r="J2822" s="14" t="s">
        <v>201</v>
      </c>
      <c r="K2822" s="14">
        <v>1</v>
      </c>
      <c r="L2822" s="14" t="s">
        <v>1400</v>
      </c>
      <c r="N2822" s="14">
        <v>0</v>
      </c>
      <c r="O2822" s="14" t="b">
        <v>1</v>
      </c>
      <c r="Q2822" s="14" t="b">
        <v>0</v>
      </c>
      <c r="R2822" s="14">
        <v>1</v>
      </c>
      <c r="S2822" s="14" t="s">
        <v>77</v>
      </c>
      <c r="T2822" s="14">
        <v>999</v>
      </c>
      <c r="U2822" s="14" t="s">
        <v>1401</v>
      </c>
      <c r="V2822" s="14">
        <v>31926028</v>
      </c>
      <c r="X2822" s="14" t="s">
        <v>5096</v>
      </c>
      <c r="Y2822" s="14" t="s">
        <v>215</v>
      </c>
      <c r="Z2822" s="14">
        <v>21585</v>
      </c>
      <c r="AA2822" s="14" t="s">
        <v>5097</v>
      </c>
      <c r="AB2822" s="14">
        <v>40001</v>
      </c>
      <c r="AE2822" s="14" t="s">
        <v>1400</v>
      </c>
      <c r="AF2822" s="14" t="s">
        <v>1400</v>
      </c>
      <c r="AG2822" s="14" t="s">
        <v>98</v>
      </c>
    </row>
    <row r="2823" spans="2:33">
      <c r="B2823" s="14">
        <f>10000000+INDEX(编号表!$B:$B,MATCH(H2823,编号表!$A:$A,0))*100000+INDEX(编号表!$F:$F,MATCH(D2823,编号表!$E:$E,0))*10000+INDEX(编号表!$D:$D,MATCH(AG2823,编号表!$C:$C,0))*1000+F2823</f>
        <v>11936029</v>
      </c>
      <c r="C2823" s="14" t="s">
        <v>5095</v>
      </c>
      <c r="D2823" s="14" t="s">
        <v>276</v>
      </c>
      <c r="E2823" s="14" t="s">
        <v>98</v>
      </c>
      <c r="F2823" s="14">
        <v>29</v>
      </c>
      <c r="G2823" s="14">
        <v>60</v>
      </c>
      <c r="H2823" s="14" t="s">
        <v>1400</v>
      </c>
      <c r="I2823" s="14" t="s">
        <v>75</v>
      </c>
      <c r="J2823" s="14" t="s">
        <v>201</v>
      </c>
      <c r="K2823" s="14">
        <v>1</v>
      </c>
      <c r="L2823" s="14" t="s">
        <v>1400</v>
      </c>
      <c r="N2823" s="14">
        <v>0</v>
      </c>
      <c r="O2823" s="14" t="b">
        <v>1</v>
      </c>
      <c r="Q2823" s="14" t="b">
        <v>0</v>
      </c>
      <c r="R2823" s="14">
        <v>1</v>
      </c>
      <c r="S2823" s="14" t="s">
        <v>77</v>
      </c>
      <c r="T2823" s="14">
        <v>999</v>
      </c>
      <c r="U2823" s="14" t="s">
        <v>1401</v>
      </c>
      <c r="V2823" s="14">
        <v>31936029</v>
      </c>
      <c r="X2823" s="14" t="s">
        <v>5098</v>
      </c>
      <c r="Y2823" s="14" t="s">
        <v>215</v>
      </c>
      <c r="Z2823" s="14">
        <v>21586</v>
      </c>
      <c r="AA2823" s="14" t="s">
        <v>5099</v>
      </c>
      <c r="AB2823" s="14">
        <v>40001</v>
      </c>
      <c r="AE2823" s="14" t="s">
        <v>1400</v>
      </c>
      <c r="AF2823" s="14" t="s">
        <v>1400</v>
      </c>
      <c r="AG2823" s="14" t="s">
        <v>98</v>
      </c>
    </row>
    <row r="2824" spans="2:33">
      <c r="B2824" s="14">
        <f>10000000+INDEX(编号表!$B:$B,MATCH(H2824,编号表!$A:$A,0))*100000+INDEX(编号表!$F:$F,MATCH(D2824,编号表!$E:$E,0))*10000+INDEX(编号表!$D:$D,MATCH(AG2824,编号表!$C:$C,0))*1000+F2824</f>
        <v>11946030</v>
      </c>
      <c r="C2824" s="14" t="s">
        <v>5095</v>
      </c>
      <c r="D2824" s="14" t="s">
        <v>104</v>
      </c>
      <c r="E2824" s="14" t="s">
        <v>98</v>
      </c>
      <c r="F2824" s="14">
        <v>30</v>
      </c>
      <c r="G2824" s="14">
        <v>60</v>
      </c>
      <c r="H2824" s="14" t="s">
        <v>1400</v>
      </c>
      <c r="I2824" s="14" t="s">
        <v>75</v>
      </c>
      <c r="J2824" s="14" t="s">
        <v>201</v>
      </c>
      <c r="K2824" s="14">
        <v>1</v>
      </c>
      <c r="L2824" s="14" t="s">
        <v>1400</v>
      </c>
      <c r="N2824" s="14">
        <v>0</v>
      </c>
      <c r="O2824" s="14" t="b">
        <v>1</v>
      </c>
      <c r="Q2824" s="14" t="b">
        <v>0</v>
      </c>
      <c r="R2824" s="14">
        <v>1</v>
      </c>
      <c r="S2824" s="14" t="s">
        <v>77</v>
      </c>
      <c r="T2824" s="14">
        <v>999</v>
      </c>
      <c r="U2824" s="14" t="s">
        <v>1401</v>
      </c>
      <c r="V2824" s="14">
        <v>31946030</v>
      </c>
      <c r="X2824" s="14" t="s">
        <v>5100</v>
      </c>
      <c r="Y2824" s="14" t="s">
        <v>215</v>
      </c>
      <c r="Z2824" s="14">
        <v>21587</v>
      </c>
      <c r="AA2824" s="14" t="s">
        <v>5101</v>
      </c>
      <c r="AB2824" s="14">
        <v>40001</v>
      </c>
      <c r="AE2824" s="14" t="s">
        <v>1400</v>
      </c>
      <c r="AF2824" s="14" t="s">
        <v>1400</v>
      </c>
      <c r="AG2824" s="14" t="s">
        <v>98</v>
      </c>
    </row>
    <row r="2825" spans="2:33">
      <c r="B2825" s="14">
        <f>10000000+INDEX(编号表!$B:$B,MATCH(H2825,编号表!$A:$A,0))*100000+INDEX(编号表!$F:$F,MATCH(D2825,编号表!$E:$E,0))*10000+INDEX(编号表!$D:$D,MATCH(AG2825,编号表!$C:$C,0))*1000+F2825</f>
        <v>11926029</v>
      </c>
      <c r="C2825" s="14" t="s">
        <v>5102</v>
      </c>
      <c r="D2825" s="14" t="s">
        <v>112</v>
      </c>
      <c r="E2825" s="14" t="s">
        <v>98</v>
      </c>
      <c r="F2825" s="14">
        <v>29</v>
      </c>
      <c r="G2825" s="14">
        <v>60</v>
      </c>
      <c r="H2825" s="14" t="s">
        <v>1400</v>
      </c>
      <c r="I2825" s="14" t="s">
        <v>75</v>
      </c>
      <c r="J2825" s="14" t="s">
        <v>201</v>
      </c>
      <c r="K2825" s="14">
        <v>1</v>
      </c>
      <c r="L2825" s="14" t="s">
        <v>1400</v>
      </c>
      <c r="N2825" s="14">
        <v>0</v>
      </c>
      <c r="O2825" s="14" t="b">
        <v>1</v>
      </c>
      <c r="Q2825" s="14" t="b">
        <v>0</v>
      </c>
      <c r="R2825" s="14">
        <v>1</v>
      </c>
      <c r="S2825" s="14" t="s">
        <v>77</v>
      </c>
      <c r="T2825" s="14">
        <v>999</v>
      </c>
      <c r="U2825" s="14" t="s">
        <v>1401</v>
      </c>
      <c r="V2825" s="14">
        <v>31926029</v>
      </c>
      <c r="X2825" s="14" t="s">
        <v>5103</v>
      </c>
      <c r="Y2825" s="14" t="s">
        <v>215</v>
      </c>
      <c r="Z2825" s="14">
        <v>21588</v>
      </c>
      <c r="AA2825" s="14" t="s">
        <v>5104</v>
      </c>
      <c r="AB2825" s="14">
        <v>40001</v>
      </c>
      <c r="AE2825" s="14" t="s">
        <v>1400</v>
      </c>
      <c r="AF2825" s="14" t="s">
        <v>1400</v>
      </c>
      <c r="AG2825" s="14" t="s">
        <v>98</v>
      </c>
    </row>
    <row r="2826" spans="2:33">
      <c r="B2826" s="14">
        <f>10000000+INDEX(编号表!$B:$B,MATCH(H2826,编号表!$A:$A,0))*100000+INDEX(编号表!$F:$F,MATCH(D2826,编号表!$E:$E,0))*10000+INDEX(编号表!$D:$D,MATCH(AG2826,编号表!$C:$C,0))*1000+F2826</f>
        <v>11936030</v>
      </c>
      <c r="C2826" s="14" t="s">
        <v>5102</v>
      </c>
      <c r="D2826" s="14" t="s">
        <v>276</v>
      </c>
      <c r="E2826" s="14" t="s">
        <v>98</v>
      </c>
      <c r="F2826" s="14">
        <v>30</v>
      </c>
      <c r="G2826" s="14">
        <v>60</v>
      </c>
      <c r="H2826" s="14" t="s">
        <v>1400</v>
      </c>
      <c r="I2826" s="14" t="s">
        <v>75</v>
      </c>
      <c r="J2826" s="14" t="s">
        <v>201</v>
      </c>
      <c r="K2826" s="14">
        <v>1</v>
      </c>
      <c r="L2826" s="14" t="s">
        <v>1400</v>
      </c>
      <c r="N2826" s="14">
        <v>0</v>
      </c>
      <c r="O2826" s="14" t="b">
        <v>1</v>
      </c>
      <c r="Q2826" s="14" t="b">
        <v>0</v>
      </c>
      <c r="R2826" s="14">
        <v>1</v>
      </c>
      <c r="S2826" s="14" t="s">
        <v>77</v>
      </c>
      <c r="T2826" s="14">
        <v>999</v>
      </c>
      <c r="U2826" s="14" t="s">
        <v>1401</v>
      </c>
      <c r="V2826" s="14">
        <v>31936030</v>
      </c>
      <c r="X2826" s="14" t="s">
        <v>5105</v>
      </c>
      <c r="Y2826" s="14" t="s">
        <v>215</v>
      </c>
      <c r="Z2826" s="14">
        <v>21589</v>
      </c>
      <c r="AA2826" s="14" t="s">
        <v>5106</v>
      </c>
      <c r="AB2826" s="14">
        <v>40001</v>
      </c>
      <c r="AE2826" s="14" t="s">
        <v>1400</v>
      </c>
      <c r="AF2826" s="14" t="s">
        <v>1400</v>
      </c>
      <c r="AG2826" s="14" t="s">
        <v>98</v>
      </c>
    </row>
    <row r="2827" spans="2:33">
      <c r="B2827" s="14">
        <f>10000000+INDEX(编号表!$B:$B,MATCH(H2827,编号表!$A:$A,0))*100000+INDEX(编号表!$F:$F,MATCH(D2827,编号表!$E:$E,0))*10000+INDEX(编号表!$D:$D,MATCH(AG2827,编号表!$C:$C,0))*1000+F2827</f>
        <v>11946031</v>
      </c>
      <c r="C2827" s="14" t="s">
        <v>5102</v>
      </c>
      <c r="D2827" s="14" t="s">
        <v>104</v>
      </c>
      <c r="E2827" s="14" t="s">
        <v>98</v>
      </c>
      <c r="F2827" s="14">
        <v>31</v>
      </c>
      <c r="G2827" s="14">
        <v>60</v>
      </c>
      <c r="H2827" s="14" t="s">
        <v>1400</v>
      </c>
      <c r="I2827" s="14" t="s">
        <v>75</v>
      </c>
      <c r="J2827" s="14" t="s">
        <v>201</v>
      </c>
      <c r="K2827" s="14">
        <v>1</v>
      </c>
      <c r="L2827" s="14" t="s">
        <v>1400</v>
      </c>
      <c r="N2827" s="14">
        <v>0</v>
      </c>
      <c r="O2827" s="14" t="b">
        <v>1</v>
      </c>
      <c r="Q2827" s="14" t="b">
        <v>0</v>
      </c>
      <c r="R2827" s="14">
        <v>1</v>
      </c>
      <c r="S2827" s="14" t="s">
        <v>77</v>
      </c>
      <c r="T2827" s="14">
        <v>999</v>
      </c>
      <c r="U2827" s="14" t="s">
        <v>1401</v>
      </c>
      <c r="V2827" s="14">
        <v>31946031</v>
      </c>
      <c r="X2827" s="14" t="s">
        <v>5107</v>
      </c>
      <c r="Y2827" s="14" t="s">
        <v>215</v>
      </c>
      <c r="Z2827" s="14">
        <v>21590</v>
      </c>
      <c r="AA2827" s="14" t="s">
        <v>5108</v>
      </c>
      <c r="AB2827" s="14">
        <v>40001</v>
      </c>
      <c r="AE2827" s="14" t="s">
        <v>1400</v>
      </c>
      <c r="AF2827" s="14" t="s">
        <v>1400</v>
      </c>
      <c r="AG2827" s="14" t="s">
        <v>98</v>
      </c>
    </row>
    <row r="2828" spans="2:33">
      <c r="B2828" s="14">
        <f>10000000+INDEX(编号表!$B:$B,MATCH(H2828,编号表!$A:$A,0))*100000+INDEX(编号表!$F:$F,MATCH(D2828,编号表!$E:$E,0))*10000+INDEX(编号表!$D:$D,MATCH(AG2828,编号表!$C:$C,0))*1000+F2828</f>
        <v>11926030</v>
      </c>
      <c r="C2828" s="14" t="s">
        <v>5109</v>
      </c>
      <c r="D2828" s="14" t="s">
        <v>112</v>
      </c>
      <c r="E2828" s="14" t="s">
        <v>98</v>
      </c>
      <c r="F2828" s="14">
        <v>30</v>
      </c>
      <c r="G2828" s="14">
        <v>60</v>
      </c>
      <c r="H2828" s="14" t="s">
        <v>1400</v>
      </c>
      <c r="I2828" s="14" t="s">
        <v>75</v>
      </c>
      <c r="J2828" s="14" t="s">
        <v>201</v>
      </c>
      <c r="K2828" s="14">
        <v>1</v>
      </c>
      <c r="L2828" s="14" t="s">
        <v>1400</v>
      </c>
      <c r="N2828" s="14">
        <v>0</v>
      </c>
      <c r="O2828" s="14" t="b">
        <v>1</v>
      </c>
      <c r="Q2828" s="14" t="b">
        <v>0</v>
      </c>
      <c r="R2828" s="14">
        <v>1</v>
      </c>
      <c r="S2828" s="14" t="s">
        <v>77</v>
      </c>
      <c r="T2828" s="14">
        <v>999</v>
      </c>
      <c r="U2828" s="14" t="s">
        <v>1401</v>
      </c>
      <c r="V2828" s="14">
        <v>31926030</v>
      </c>
      <c r="X2828" s="14" t="s">
        <v>5110</v>
      </c>
      <c r="Y2828" s="14" t="s">
        <v>215</v>
      </c>
      <c r="Z2828" s="14">
        <v>21591</v>
      </c>
      <c r="AA2828" s="14" t="s">
        <v>5111</v>
      </c>
      <c r="AB2828" s="14">
        <v>40001</v>
      </c>
      <c r="AE2828" s="14" t="s">
        <v>1400</v>
      </c>
      <c r="AF2828" s="14" t="s">
        <v>1400</v>
      </c>
      <c r="AG2828" s="14" t="s">
        <v>98</v>
      </c>
    </row>
    <row r="2829" spans="2:33">
      <c r="B2829" s="14">
        <f>10000000+INDEX(编号表!$B:$B,MATCH(H2829,编号表!$A:$A,0))*100000+INDEX(编号表!$F:$F,MATCH(D2829,编号表!$E:$E,0))*10000+INDEX(编号表!$D:$D,MATCH(AG2829,编号表!$C:$C,0))*1000+F2829</f>
        <v>11936031</v>
      </c>
      <c r="C2829" s="14" t="s">
        <v>5109</v>
      </c>
      <c r="D2829" s="14" t="s">
        <v>276</v>
      </c>
      <c r="E2829" s="14" t="s">
        <v>98</v>
      </c>
      <c r="F2829" s="14">
        <v>31</v>
      </c>
      <c r="G2829" s="14">
        <v>60</v>
      </c>
      <c r="H2829" s="14" t="s">
        <v>1400</v>
      </c>
      <c r="I2829" s="14" t="s">
        <v>75</v>
      </c>
      <c r="J2829" s="14" t="s">
        <v>201</v>
      </c>
      <c r="K2829" s="14">
        <v>1</v>
      </c>
      <c r="L2829" s="14" t="s">
        <v>1400</v>
      </c>
      <c r="N2829" s="14">
        <v>0</v>
      </c>
      <c r="O2829" s="14" t="b">
        <v>1</v>
      </c>
      <c r="Q2829" s="14" t="b">
        <v>0</v>
      </c>
      <c r="R2829" s="14">
        <v>1</v>
      </c>
      <c r="S2829" s="14" t="s">
        <v>77</v>
      </c>
      <c r="T2829" s="14">
        <v>999</v>
      </c>
      <c r="U2829" s="14" t="s">
        <v>1401</v>
      </c>
      <c r="V2829" s="14">
        <v>31936031</v>
      </c>
      <c r="X2829" s="14" t="s">
        <v>5112</v>
      </c>
      <c r="Y2829" s="14" t="s">
        <v>215</v>
      </c>
      <c r="Z2829" s="14">
        <v>21592</v>
      </c>
      <c r="AA2829" s="14" t="s">
        <v>5113</v>
      </c>
      <c r="AB2829" s="14">
        <v>40001</v>
      </c>
      <c r="AE2829" s="14" t="s">
        <v>1400</v>
      </c>
      <c r="AF2829" s="14" t="s">
        <v>1400</v>
      </c>
      <c r="AG2829" s="14" t="s">
        <v>98</v>
      </c>
    </row>
    <row r="2830" spans="2:33">
      <c r="B2830" s="14">
        <f>10000000+INDEX(编号表!$B:$B,MATCH(H2830,编号表!$A:$A,0))*100000+INDEX(编号表!$F:$F,MATCH(D2830,编号表!$E:$E,0))*10000+INDEX(编号表!$D:$D,MATCH(AG2830,编号表!$C:$C,0))*1000+F2830</f>
        <v>11946032</v>
      </c>
      <c r="C2830" s="14" t="s">
        <v>5109</v>
      </c>
      <c r="D2830" s="14" t="s">
        <v>104</v>
      </c>
      <c r="E2830" s="14" t="s">
        <v>98</v>
      </c>
      <c r="F2830" s="14">
        <v>32</v>
      </c>
      <c r="G2830" s="14">
        <v>60</v>
      </c>
      <c r="H2830" s="14" t="s">
        <v>1400</v>
      </c>
      <c r="I2830" s="14" t="s">
        <v>75</v>
      </c>
      <c r="J2830" s="14" t="s">
        <v>201</v>
      </c>
      <c r="K2830" s="14">
        <v>1</v>
      </c>
      <c r="L2830" s="14" t="s">
        <v>1400</v>
      </c>
      <c r="N2830" s="14">
        <v>0</v>
      </c>
      <c r="O2830" s="14" t="b">
        <v>1</v>
      </c>
      <c r="Q2830" s="14" t="b">
        <v>0</v>
      </c>
      <c r="R2830" s="14">
        <v>1</v>
      </c>
      <c r="S2830" s="14" t="s">
        <v>77</v>
      </c>
      <c r="T2830" s="14">
        <v>999</v>
      </c>
      <c r="U2830" s="14" t="s">
        <v>1401</v>
      </c>
      <c r="V2830" s="14">
        <v>31946032</v>
      </c>
      <c r="X2830" s="14" t="s">
        <v>5114</v>
      </c>
      <c r="Y2830" s="14" t="s">
        <v>215</v>
      </c>
      <c r="Z2830" s="14">
        <v>21593</v>
      </c>
      <c r="AA2830" s="14" t="s">
        <v>5115</v>
      </c>
      <c r="AB2830" s="14">
        <v>40001</v>
      </c>
      <c r="AE2830" s="14" t="s">
        <v>1400</v>
      </c>
      <c r="AF2830" s="14" t="s">
        <v>1400</v>
      </c>
      <c r="AG2830" s="14" t="s">
        <v>98</v>
      </c>
    </row>
    <row r="2831" spans="2:33">
      <c r="B2831" s="14">
        <f>10000000+INDEX(编号表!$B:$B,MATCH(H2831,编号表!$A:$A,0))*100000+INDEX(编号表!$F:$F,MATCH(D2831,编号表!$E:$E,0))*10000+INDEX(编号表!$D:$D,MATCH(AG2831,编号表!$C:$C,0))*1000+F2831</f>
        <v>11926031</v>
      </c>
      <c r="C2831" s="14" t="s">
        <v>5116</v>
      </c>
      <c r="D2831" s="14" t="s">
        <v>112</v>
      </c>
      <c r="E2831" s="14" t="s">
        <v>98</v>
      </c>
      <c r="F2831" s="14">
        <v>31</v>
      </c>
      <c r="G2831" s="14">
        <v>60</v>
      </c>
      <c r="H2831" s="14" t="s">
        <v>1400</v>
      </c>
      <c r="I2831" s="14" t="s">
        <v>75</v>
      </c>
      <c r="J2831" s="14" t="s">
        <v>201</v>
      </c>
      <c r="K2831" s="14">
        <v>1</v>
      </c>
      <c r="L2831" s="14" t="s">
        <v>1400</v>
      </c>
      <c r="N2831" s="14">
        <v>0</v>
      </c>
      <c r="O2831" s="14" t="b">
        <v>1</v>
      </c>
      <c r="Q2831" s="14" t="b">
        <v>0</v>
      </c>
      <c r="R2831" s="14">
        <v>1</v>
      </c>
      <c r="S2831" s="14" t="s">
        <v>77</v>
      </c>
      <c r="T2831" s="14">
        <v>999</v>
      </c>
      <c r="U2831" s="14" t="s">
        <v>1401</v>
      </c>
      <c r="V2831" s="14">
        <v>31926031</v>
      </c>
      <c r="X2831" s="14" t="s">
        <v>5117</v>
      </c>
      <c r="Y2831" s="14" t="s">
        <v>215</v>
      </c>
      <c r="Z2831" s="14">
        <v>21594</v>
      </c>
      <c r="AA2831" s="14" t="s">
        <v>5118</v>
      </c>
      <c r="AB2831" s="14">
        <v>40001</v>
      </c>
      <c r="AE2831" s="14" t="s">
        <v>1400</v>
      </c>
      <c r="AF2831" s="14" t="s">
        <v>1400</v>
      </c>
      <c r="AG2831" s="14" t="s">
        <v>98</v>
      </c>
    </row>
    <row r="2832" spans="2:33">
      <c r="B2832" s="14">
        <f>10000000+INDEX(编号表!$B:$B,MATCH(H2832,编号表!$A:$A,0))*100000+INDEX(编号表!$F:$F,MATCH(D2832,编号表!$E:$E,0))*10000+INDEX(编号表!$D:$D,MATCH(AG2832,编号表!$C:$C,0))*1000+F2832</f>
        <v>11936032</v>
      </c>
      <c r="C2832" s="14" t="s">
        <v>5116</v>
      </c>
      <c r="D2832" s="14" t="s">
        <v>276</v>
      </c>
      <c r="E2832" s="14" t="s">
        <v>98</v>
      </c>
      <c r="F2832" s="14">
        <v>32</v>
      </c>
      <c r="G2832" s="14">
        <v>60</v>
      </c>
      <c r="H2832" s="14" t="s">
        <v>1400</v>
      </c>
      <c r="I2832" s="14" t="s">
        <v>75</v>
      </c>
      <c r="J2832" s="14" t="s">
        <v>201</v>
      </c>
      <c r="K2832" s="14">
        <v>1</v>
      </c>
      <c r="L2832" s="14" t="s">
        <v>1400</v>
      </c>
      <c r="N2832" s="14">
        <v>0</v>
      </c>
      <c r="O2832" s="14" t="b">
        <v>1</v>
      </c>
      <c r="Q2832" s="14" t="b">
        <v>0</v>
      </c>
      <c r="R2832" s="14">
        <v>1</v>
      </c>
      <c r="S2832" s="14" t="s">
        <v>77</v>
      </c>
      <c r="T2832" s="14">
        <v>999</v>
      </c>
      <c r="U2832" s="14" t="s">
        <v>1401</v>
      </c>
      <c r="V2832" s="14">
        <v>31936032</v>
      </c>
      <c r="X2832" s="14" t="s">
        <v>5119</v>
      </c>
      <c r="Y2832" s="14" t="s">
        <v>215</v>
      </c>
      <c r="Z2832" s="14">
        <v>21595</v>
      </c>
      <c r="AA2832" s="14" t="s">
        <v>5120</v>
      </c>
      <c r="AB2832" s="14">
        <v>40001</v>
      </c>
      <c r="AE2832" s="14" t="s">
        <v>1400</v>
      </c>
      <c r="AF2832" s="14" t="s">
        <v>1400</v>
      </c>
      <c r="AG2832" s="14" t="s">
        <v>98</v>
      </c>
    </row>
    <row r="2833" spans="2:33">
      <c r="B2833" s="14">
        <f>10000000+INDEX(编号表!$B:$B,MATCH(H2833,编号表!$A:$A,0))*100000+INDEX(编号表!$F:$F,MATCH(D2833,编号表!$E:$E,0))*10000+INDEX(编号表!$D:$D,MATCH(AG2833,编号表!$C:$C,0))*1000+F2833</f>
        <v>11946033</v>
      </c>
      <c r="C2833" s="14" t="s">
        <v>5116</v>
      </c>
      <c r="D2833" s="14" t="s">
        <v>104</v>
      </c>
      <c r="E2833" s="14" t="s">
        <v>98</v>
      </c>
      <c r="F2833" s="14">
        <v>33</v>
      </c>
      <c r="G2833" s="14">
        <v>60</v>
      </c>
      <c r="H2833" s="14" t="s">
        <v>1400</v>
      </c>
      <c r="I2833" s="14" t="s">
        <v>75</v>
      </c>
      <c r="J2833" s="14" t="s">
        <v>201</v>
      </c>
      <c r="K2833" s="14">
        <v>1</v>
      </c>
      <c r="L2833" s="14" t="s">
        <v>1400</v>
      </c>
      <c r="N2833" s="14">
        <v>0</v>
      </c>
      <c r="O2833" s="14" t="b">
        <v>1</v>
      </c>
      <c r="Q2833" s="14" t="b">
        <v>0</v>
      </c>
      <c r="R2833" s="14">
        <v>1</v>
      </c>
      <c r="S2833" s="14" t="s">
        <v>77</v>
      </c>
      <c r="T2833" s="14">
        <v>999</v>
      </c>
      <c r="U2833" s="14" t="s">
        <v>1401</v>
      </c>
      <c r="V2833" s="14">
        <v>31946033</v>
      </c>
      <c r="X2833" s="14" t="s">
        <v>5121</v>
      </c>
      <c r="Y2833" s="14" t="s">
        <v>215</v>
      </c>
      <c r="Z2833" s="14">
        <v>21596</v>
      </c>
      <c r="AA2833" s="14" t="s">
        <v>5122</v>
      </c>
      <c r="AB2833" s="14">
        <v>40001</v>
      </c>
      <c r="AE2833" s="14" t="s">
        <v>1400</v>
      </c>
      <c r="AF2833" s="14" t="s">
        <v>1400</v>
      </c>
      <c r="AG2833" s="14" t="s">
        <v>98</v>
      </c>
    </row>
    <row r="2834" spans="2:33">
      <c r="B2834" s="14">
        <f>10000000+INDEX(编号表!$B:$B,MATCH(H2834,编号表!$A:$A,0))*100000+INDEX(编号表!$F:$F,MATCH(D2834,编号表!$E:$E,0))*10000+INDEX(编号表!$D:$D,MATCH(AG2834,编号表!$C:$C,0))*1000+F2834</f>
        <v>11926032</v>
      </c>
      <c r="C2834" s="14" t="s">
        <v>5123</v>
      </c>
      <c r="D2834" s="14" t="s">
        <v>112</v>
      </c>
      <c r="E2834" s="14" t="s">
        <v>98</v>
      </c>
      <c r="F2834" s="14">
        <v>32</v>
      </c>
      <c r="G2834" s="14">
        <v>60</v>
      </c>
      <c r="H2834" s="14" t="s">
        <v>1400</v>
      </c>
      <c r="I2834" s="14" t="s">
        <v>75</v>
      </c>
      <c r="J2834" s="14" t="s">
        <v>201</v>
      </c>
      <c r="K2834" s="14">
        <v>1</v>
      </c>
      <c r="L2834" s="14" t="s">
        <v>1400</v>
      </c>
      <c r="N2834" s="14">
        <v>0</v>
      </c>
      <c r="O2834" s="14" t="b">
        <v>1</v>
      </c>
      <c r="Q2834" s="14" t="b">
        <v>0</v>
      </c>
      <c r="R2834" s="14">
        <v>1</v>
      </c>
      <c r="S2834" s="14" t="s">
        <v>77</v>
      </c>
      <c r="T2834" s="14">
        <v>999</v>
      </c>
      <c r="U2834" s="14" t="s">
        <v>1401</v>
      </c>
      <c r="V2834" s="14">
        <v>31926032</v>
      </c>
      <c r="X2834" s="14" t="s">
        <v>5124</v>
      </c>
      <c r="Y2834" s="14" t="s">
        <v>215</v>
      </c>
      <c r="Z2834" s="14">
        <v>21597</v>
      </c>
      <c r="AA2834" s="14" t="s">
        <v>5125</v>
      </c>
      <c r="AB2834" s="14">
        <v>40001</v>
      </c>
      <c r="AE2834" s="14" t="s">
        <v>1400</v>
      </c>
      <c r="AF2834" s="14" t="s">
        <v>1400</v>
      </c>
      <c r="AG2834" s="14" t="s">
        <v>98</v>
      </c>
    </row>
    <row r="2835" spans="2:33">
      <c r="B2835" s="14">
        <f>10000000+INDEX(编号表!$B:$B,MATCH(H2835,编号表!$A:$A,0))*100000+INDEX(编号表!$F:$F,MATCH(D2835,编号表!$E:$E,0))*10000+INDEX(编号表!$D:$D,MATCH(AG2835,编号表!$C:$C,0))*1000+F2835</f>
        <v>11936033</v>
      </c>
      <c r="C2835" s="14" t="s">
        <v>5123</v>
      </c>
      <c r="D2835" s="14" t="s">
        <v>276</v>
      </c>
      <c r="E2835" s="14" t="s">
        <v>98</v>
      </c>
      <c r="F2835" s="14">
        <v>33</v>
      </c>
      <c r="G2835" s="14">
        <v>60</v>
      </c>
      <c r="H2835" s="14" t="s">
        <v>1400</v>
      </c>
      <c r="I2835" s="14" t="s">
        <v>75</v>
      </c>
      <c r="J2835" s="14" t="s">
        <v>201</v>
      </c>
      <c r="K2835" s="14">
        <v>1</v>
      </c>
      <c r="L2835" s="14" t="s">
        <v>1400</v>
      </c>
      <c r="N2835" s="14">
        <v>0</v>
      </c>
      <c r="O2835" s="14" t="b">
        <v>1</v>
      </c>
      <c r="Q2835" s="14" t="b">
        <v>0</v>
      </c>
      <c r="R2835" s="14">
        <v>1</v>
      </c>
      <c r="S2835" s="14" t="s">
        <v>77</v>
      </c>
      <c r="T2835" s="14">
        <v>999</v>
      </c>
      <c r="U2835" s="14" t="s">
        <v>1401</v>
      </c>
      <c r="V2835" s="14">
        <v>31936033</v>
      </c>
      <c r="X2835" s="14" t="s">
        <v>5126</v>
      </c>
      <c r="Y2835" s="14" t="s">
        <v>215</v>
      </c>
      <c r="Z2835" s="14">
        <v>21598</v>
      </c>
      <c r="AA2835" s="14" t="s">
        <v>5127</v>
      </c>
      <c r="AB2835" s="14">
        <v>40001</v>
      </c>
      <c r="AE2835" s="14" t="s">
        <v>1400</v>
      </c>
      <c r="AF2835" s="14" t="s">
        <v>1400</v>
      </c>
      <c r="AG2835" s="14" t="s">
        <v>98</v>
      </c>
    </row>
    <row r="2836" spans="2:33">
      <c r="B2836" s="14">
        <f>10000000+INDEX(编号表!$B:$B,MATCH(H2836,编号表!$A:$A,0))*100000+INDEX(编号表!$F:$F,MATCH(D2836,编号表!$E:$E,0))*10000+INDEX(编号表!$D:$D,MATCH(AG2836,编号表!$C:$C,0))*1000+F2836</f>
        <v>11946034</v>
      </c>
      <c r="C2836" s="14" t="s">
        <v>5123</v>
      </c>
      <c r="D2836" s="14" t="s">
        <v>104</v>
      </c>
      <c r="E2836" s="14" t="s">
        <v>98</v>
      </c>
      <c r="F2836" s="14">
        <v>34</v>
      </c>
      <c r="G2836" s="14">
        <v>60</v>
      </c>
      <c r="H2836" s="14" t="s">
        <v>1400</v>
      </c>
      <c r="I2836" s="14" t="s">
        <v>75</v>
      </c>
      <c r="J2836" s="14" t="s">
        <v>201</v>
      </c>
      <c r="K2836" s="14">
        <v>1</v>
      </c>
      <c r="L2836" s="14" t="s">
        <v>1400</v>
      </c>
      <c r="N2836" s="14">
        <v>0</v>
      </c>
      <c r="O2836" s="14" t="b">
        <v>1</v>
      </c>
      <c r="Q2836" s="14" t="b">
        <v>0</v>
      </c>
      <c r="R2836" s="14">
        <v>1</v>
      </c>
      <c r="S2836" s="14" t="s">
        <v>77</v>
      </c>
      <c r="T2836" s="14">
        <v>999</v>
      </c>
      <c r="U2836" s="14" t="s">
        <v>1401</v>
      </c>
      <c r="V2836" s="14">
        <v>31946034</v>
      </c>
      <c r="X2836" s="14" t="s">
        <v>5128</v>
      </c>
      <c r="Y2836" s="14" t="s">
        <v>215</v>
      </c>
      <c r="Z2836" s="14">
        <v>21599</v>
      </c>
      <c r="AA2836" s="14" t="s">
        <v>5129</v>
      </c>
      <c r="AB2836" s="14">
        <v>40001</v>
      </c>
      <c r="AE2836" s="14" t="s">
        <v>1400</v>
      </c>
      <c r="AF2836" s="14" t="s">
        <v>1400</v>
      </c>
      <c r="AG2836" s="14" t="s">
        <v>98</v>
      </c>
    </row>
    <row r="2837" spans="2:33">
      <c r="B2837" s="14">
        <f>10000000+INDEX(编号表!$B:$B,MATCH(H2837,编号表!$A:$A,0))*100000+INDEX(编号表!$F:$F,MATCH(D2837,编号表!$E:$E,0))*10000+INDEX(编号表!$D:$D,MATCH(AG2837,编号表!$C:$C,0))*1000+F2837</f>
        <v>11926033</v>
      </c>
      <c r="C2837" s="14" t="s">
        <v>5130</v>
      </c>
      <c r="D2837" s="14" t="s">
        <v>112</v>
      </c>
      <c r="E2837" s="14" t="s">
        <v>98</v>
      </c>
      <c r="F2837" s="14">
        <v>33</v>
      </c>
      <c r="G2837" s="14">
        <v>60</v>
      </c>
      <c r="H2837" s="14" t="s">
        <v>1400</v>
      </c>
      <c r="I2837" s="14" t="s">
        <v>75</v>
      </c>
      <c r="J2837" s="14" t="s">
        <v>201</v>
      </c>
      <c r="K2837" s="14">
        <v>1</v>
      </c>
      <c r="L2837" s="14" t="s">
        <v>1400</v>
      </c>
      <c r="N2837" s="14">
        <v>0</v>
      </c>
      <c r="O2837" s="14" t="b">
        <v>1</v>
      </c>
      <c r="Q2837" s="14" t="b">
        <v>0</v>
      </c>
      <c r="R2837" s="14">
        <v>1</v>
      </c>
      <c r="S2837" s="14" t="s">
        <v>77</v>
      </c>
      <c r="T2837" s="14">
        <v>999</v>
      </c>
      <c r="U2837" s="14" t="s">
        <v>1401</v>
      </c>
      <c r="V2837" s="14">
        <v>31926033</v>
      </c>
      <c r="X2837" s="14" t="s">
        <v>5131</v>
      </c>
      <c r="Y2837" s="14" t="s">
        <v>215</v>
      </c>
      <c r="Z2837" s="14">
        <v>21600</v>
      </c>
      <c r="AA2837" s="14" t="s">
        <v>5132</v>
      </c>
      <c r="AB2837" s="14">
        <v>40001</v>
      </c>
      <c r="AE2837" s="14" t="s">
        <v>1400</v>
      </c>
      <c r="AF2837" s="14" t="s">
        <v>1400</v>
      </c>
      <c r="AG2837" s="14" t="s">
        <v>98</v>
      </c>
    </row>
    <row r="2838" spans="2:33">
      <c r="B2838" s="14">
        <f>10000000+INDEX(编号表!$B:$B,MATCH(H2838,编号表!$A:$A,0))*100000+INDEX(编号表!$F:$F,MATCH(D2838,编号表!$E:$E,0))*10000+INDEX(编号表!$D:$D,MATCH(AG2838,编号表!$C:$C,0))*1000+F2838</f>
        <v>11936034</v>
      </c>
      <c r="C2838" s="14" t="s">
        <v>5130</v>
      </c>
      <c r="D2838" s="14" t="s">
        <v>276</v>
      </c>
      <c r="E2838" s="14" t="s">
        <v>98</v>
      </c>
      <c r="F2838" s="14">
        <v>34</v>
      </c>
      <c r="G2838" s="14">
        <v>60</v>
      </c>
      <c r="H2838" s="14" t="s">
        <v>1400</v>
      </c>
      <c r="I2838" s="14" t="s">
        <v>75</v>
      </c>
      <c r="J2838" s="14" t="s">
        <v>201</v>
      </c>
      <c r="K2838" s="14">
        <v>1</v>
      </c>
      <c r="L2838" s="14" t="s">
        <v>1400</v>
      </c>
      <c r="N2838" s="14">
        <v>0</v>
      </c>
      <c r="O2838" s="14" t="b">
        <v>1</v>
      </c>
      <c r="Q2838" s="14" t="b">
        <v>0</v>
      </c>
      <c r="R2838" s="14">
        <v>1</v>
      </c>
      <c r="S2838" s="14" t="s">
        <v>77</v>
      </c>
      <c r="T2838" s="14">
        <v>999</v>
      </c>
      <c r="U2838" s="14" t="s">
        <v>1401</v>
      </c>
      <c r="V2838" s="14">
        <v>31936034</v>
      </c>
      <c r="X2838" s="14" t="s">
        <v>5133</v>
      </c>
      <c r="Y2838" s="14" t="s">
        <v>215</v>
      </c>
      <c r="Z2838" s="14">
        <v>21601</v>
      </c>
      <c r="AA2838" s="14" t="s">
        <v>5134</v>
      </c>
      <c r="AB2838" s="14">
        <v>40001</v>
      </c>
      <c r="AE2838" s="14" t="s">
        <v>1400</v>
      </c>
      <c r="AF2838" s="14" t="s">
        <v>1400</v>
      </c>
      <c r="AG2838" s="14" t="s">
        <v>98</v>
      </c>
    </row>
    <row r="2839" spans="2:33">
      <c r="B2839" s="14">
        <f>10000000+INDEX(编号表!$B:$B,MATCH(H2839,编号表!$A:$A,0))*100000+INDEX(编号表!$F:$F,MATCH(D2839,编号表!$E:$E,0))*10000+INDEX(编号表!$D:$D,MATCH(AG2839,编号表!$C:$C,0))*1000+F2839</f>
        <v>11946035</v>
      </c>
      <c r="C2839" s="14" t="s">
        <v>5130</v>
      </c>
      <c r="D2839" s="14" t="s">
        <v>104</v>
      </c>
      <c r="E2839" s="14" t="s">
        <v>98</v>
      </c>
      <c r="F2839" s="14">
        <v>35</v>
      </c>
      <c r="G2839" s="14">
        <v>60</v>
      </c>
      <c r="H2839" s="14" t="s">
        <v>1400</v>
      </c>
      <c r="I2839" s="14" t="s">
        <v>75</v>
      </c>
      <c r="J2839" s="14" t="s">
        <v>201</v>
      </c>
      <c r="K2839" s="14">
        <v>1</v>
      </c>
      <c r="L2839" s="14" t="s">
        <v>1400</v>
      </c>
      <c r="N2839" s="14">
        <v>0</v>
      </c>
      <c r="O2839" s="14" t="b">
        <v>1</v>
      </c>
      <c r="Q2839" s="14" t="b">
        <v>0</v>
      </c>
      <c r="R2839" s="14">
        <v>1</v>
      </c>
      <c r="S2839" s="14" t="s">
        <v>77</v>
      </c>
      <c r="T2839" s="14">
        <v>999</v>
      </c>
      <c r="U2839" s="14" t="s">
        <v>1401</v>
      </c>
      <c r="V2839" s="14">
        <v>31946035</v>
      </c>
      <c r="X2839" s="14" t="s">
        <v>5135</v>
      </c>
      <c r="Y2839" s="14" t="s">
        <v>215</v>
      </c>
      <c r="Z2839" s="14">
        <v>21602</v>
      </c>
      <c r="AA2839" s="14" t="s">
        <v>5136</v>
      </c>
      <c r="AB2839" s="14">
        <v>40001</v>
      </c>
      <c r="AE2839" s="14" t="s">
        <v>1400</v>
      </c>
      <c r="AF2839" s="14" t="s">
        <v>1400</v>
      </c>
      <c r="AG2839" s="14" t="s">
        <v>98</v>
      </c>
    </row>
    <row r="2840" spans="2:33">
      <c r="B2840" s="14">
        <f>10000000+INDEX(编号表!$B:$B,MATCH(H2840,编号表!$A:$A,0))*100000+INDEX(编号表!$F:$F,MATCH(D2840,编号表!$E:$E,0))*10000+INDEX(编号表!$D:$D,MATCH(AG2840,编号表!$C:$C,0))*1000+F2840</f>
        <v>11926034</v>
      </c>
      <c r="C2840" s="14" t="s">
        <v>5137</v>
      </c>
      <c r="D2840" s="14" t="s">
        <v>112</v>
      </c>
      <c r="E2840" s="14" t="s">
        <v>98</v>
      </c>
      <c r="F2840" s="14">
        <v>34</v>
      </c>
      <c r="G2840" s="14">
        <v>60</v>
      </c>
      <c r="H2840" s="14" t="s">
        <v>1400</v>
      </c>
      <c r="I2840" s="14" t="s">
        <v>75</v>
      </c>
      <c r="J2840" s="14" t="s">
        <v>201</v>
      </c>
      <c r="K2840" s="14">
        <v>1</v>
      </c>
      <c r="L2840" s="14" t="s">
        <v>1400</v>
      </c>
      <c r="N2840" s="14">
        <v>0</v>
      </c>
      <c r="O2840" s="14" t="b">
        <v>1</v>
      </c>
      <c r="Q2840" s="14" t="b">
        <v>0</v>
      </c>
      <c r="R2840" s="14">
        <v>1</v>
      </c>
      <c r="S2840" s="14" t="s">
        <v>77</v>
      </c>
      <c r="T2840" s="14">
        <v>999</v>
      </c>
      <c r="U2840" s="14" t="s">
        <v>1401</v>
      </c>
      <c r="V2840" s="14">
        <v>31926034</v>
      </c>
      <c r="X2840" s="14" t="s">
        <v>5138</v>
      </c>
      <c r="Y2840" s="14" t="s">
        <v>215</v>
      </c>
      <c r="Z2840" s="14">
        <v>21603</v>
      </c>
      <c r="AA2840" s="14" t="s">
        <v>5139</v>
      </c>
      <c r="AB2840" s="14">
        <v>40001</v>
      </c>
      <c r="AE2840" s="14" t="s">
        <v>1400</v>
      </c>
      <c r="AF2840" s="14" t="s">
        <v>1400</v>
      </c>
      <c r="AG2840" s="14" t="s">
        <v>98</v>
      </c>
    </row>
    <row r="2841" spans="2:33">
      <c r="B2841" s="14">
        <f>10000000+INDEX(编号表!$B:$B,MATCH(H2841,编号表!$A:$A,0))*100000+INDEX(编号表!$F:$F,MATCH(D2841,编号表!$E:$E,0))*10000+INDEX(编号表!$D:$D,MATCH(AG2841,编号表!$C:$C,0))*1000+F2841</f>
        <v>11936035</v>
      </c>
      <c r="C2841" s="14" t="s">
        <v>5137</v>
      </c>
      <c r="D2841" s="14" t="s">
        <v>276</v>
      </c>
      <c r="E2841" s="14" t="s">
        <v>98</v>
      </c>
      <c r="F2841" s="14">
        <v>35</v>
      </c>
      <c r="G2841" s="14">
        <v>60</v>
      </c>
      <c r="H2841" s="14" t="s">
        <v>1400</v>
      </c>
      <c r="I2841" s="14" t="s">
        <v>75</v>
      </c>
      <c r="J2841" s="14" t="s">
        <v>201</v>
      </c>
      <c r="K2841" s="14">
        <v>1</v>
      </c>
      <c r="L2841" s="14" t="s">
        <v>1400</v>
      </c>
      <c r="N2841" s="14">
        <v>0</v>
      </c>
      <c r="O2841" s="14" t="b">
        <v>1</v>
      </c>
      <c r="Q2841" s="14" t="b">
        <v>0</v>
      </c>
      <c r="R2841" s="14">
        <v>1</v>
      </c>
      <c r="S2841" s="14" t="s">
        <v>77</v>
      </c>
      <c r="T2841" s="14">
        <v>999</v>
      </c>
      <c r="U2841" s="14" t="s">
        <v>1401</v>
      </c>
      <c r="V2841" s="14">
        <v>31936035</v>
      </c>
      <c r="X2841" s="14" t="s">
        <v>5140</v>
      </c>
      <c r="Y2841" s="14" t="s">
        <v>215</v>
      </c>
      <c r="Z2841" s="14">
        <v>21604</v>
      </c>
      <c r="AA2841" s="14" t="s">
        <v>5141</v>
      </c>
      <c r="AB2841" s="14">
        <v>40001</v>
      </c>
      <c r="AE2841" s="14" t="s">
        <v>1400</v>
      </c>
      <c r="AF2841" s="14" t="s">
        <v>1400</v>
      </c>
      <c r="AG2841" s="14" t="s">
        <v>98</v>
      </c>
    </row>
    <row r="2842" spans="2:33">
      <c r="B2842" s="14">
        <f>10000000+INDEX(编号表!$B:$B,MATCH(H2842,编号表!$A:$A,0))*100000+INDEX(编号表!$F:$F,MATCH(D2842,编号表!$E:$E,0))*10000+INDEX(编号表!$D:$D,MATCH(AG2842,编号表!$C:$C,0))*1000+F2842</f>
        <v>11946036</v>
      </c>
      <c r="C2842" s="14" t="s">
        <v>5137</v>
      </c>
      <c r="D2842" s="14" t="s">
        <v>104</v>
      </c>
      <c r="E2842" s="14" t="s">
        <v>98</v>
      </c>
      <c r="F2842" s="14">
        <v>36</v>
      </c>
      <c r="G2842" s="14">
        <v>60</v>
      </c>
      <c r="H2842" s="14" t="s">
        <v>1400</v>
      </c>
      <c r="I2842" s="14" t="s">
        <v>75</v>
      </c>
      <c r="J2842" s="14" t="s">
        <v>201</v>
      </c>
      <c r="K2842" s="14">
        <v>1</v>
      </c>
      <c r="L2842" s="14" t="s">
        <v>1400</v>
      </c>
      <c r="N2842" s="14">
        <v>0</v>
      </c>
      <c r="O2842" s="14" t="b">
        <v>1</v>
      </c>
      <c r="Q2842" s="14" t="b">
        <v>0</v>
      </c>
      <c r="R2842" s="14">
        <v>1</v>
      </c>
      <c r="S2842" s="14" t="s">
        <v>77</v>
      </c>
      <c r="T2842" s="14">
        <v>999</v>
      </c>
      <c r="U2842" s="14" t="s">
        <v>1401</v>
      </c>
      <c r="V2842" s="14">
        <v>31946036</v>
      </c>
      <c r="X2842" s="14" t="s">
        <v>5142</v>
      </c>
      <c r="Y2842" s="14" t="s">
        <v>215</v>
      </c>
      <c r="Z2842" s="14">
        <v>21605</v>
      </c>
      <c r="AA2842" s="14" t="s">
        <v>5143</v>
      </c>
      <c r="AB2842" s="14">
        <v>40001</v>
      </c>
      <c r="AE2842" s="14" t="s">
        <v>1400</v>
      </c>
      <c r="AF2842" s="14" t="s">
        <v>1400</v>
      </c>
      <c r="AG2842" s="14" t="s">
        <v>98</v>
      </c>
    </row>
    <row r="2843" spans="2:33">
      <c r="B2843" s="14">
        <f>10000000+INDEX(编号表!$B:$B,MATCH(H2843,编号表!$A:$A,0))*100000+INDEX(编号表!$F:$F,MATCH(D2843,编号表!$E:$E,0))*10000+INDEX(编号表!$D:$D,MATCH(AG2843,编号表!$C:$C,0))*1000+F2843</f>
        <v>11926035</v>
      </c>
      <c r="C2843" s="14" t="s">
        <v>5144</v>
      </c>
      <c r="D2843" s="14" t="s">
        <v>112</v>
      </c>
      <c r="E2843" s="14" t="s">
        <v>98</v>
      </c>
      <c r="F2843" s="14">
        <v>35</v>
      </c>
      <c r="G2843" s="14">
        <v>60</v>
      </c>
      <c r="H2843" s="14" t="s">
        <v>1400</v>
      </c>
      <c r="I2843" s="14" t="s">
        <v>75</v>
      </c>
      <c r="J2843" s="14" t="s">
        <v>201</v>
      </c>
      <c r="K2843" s="14">
        <v>1</v>
      </c>
      <c r="L2843" s="14" t="s">
        <v>1400</v>
      </c>
      <c r="N2843" s="14">
        <v>0</v>
      </c>
      <c r="O2843" s="14" t="b">
        <v>1</v>
      </c>
      <c r="Q2843" s="14" t="b">
        <v>0</v>
      </c>
      <c r="R2843" s="14">
        <v>1</v>
      </c>
      <c r="S2843" s="14" t="s">
        <v>77</v>
      </c>
      <c r="T2843" s="14">
        <v>999</v>
      </c>
      <c r="U2843" s="14" t="s">
        <v>1401</v>
      </c>
      <c r="V2843" s="14">
        <v>31926035</v>
      </c>
      <c r="X2843" s="14" t="s">
        <v>5145</v>
      </c>
      <c r="Y2843" s="14" t="s">
        <v>215</v>
      </c>
      <c r="Z2843" s="14">
        <v>21606</v>
      </c>
      <c r="AA2843" s="14" t="s">
        <v>5146</v>
      </c>
      <c r="AB2843" s="14">
        <v>40001</v>
      </c>
      <c r="AE2843" s="14" t="s">
        <v>1400</v>
      </c>
      <c r="AF2843" s="14" t="s">
        <v>1400</v>
      </c>
      <c r="AG2843" s="14" t="s">
        <v>98</v>
      </c>
    </row>
    <row r="2844" spans="2:33">
      <c r="B2844" s="14">
        <f>10000000+INDEX(编号表!$B:$B,MATCH(H2844,编号表!$A:$A,0))*100000+INDEX(编号表!$F:$F,MATCH(D2844,编号表!$E:$E,0))*10000+INDEX(编号表!$D:$D,MATCH(AG2844,编号表!$C:$C,0))*1000+F2844</f>
        <v>11936036</v>
      </c>
      <c r="C2844" s="14" t="s">
        <v>5144</v>
      </c>
      <c r="D2844" s="14" t="s">
        <v>276</v>
      </c>
      <c r="E2844" s="14" t="s">
        <v>98</v>
      </c>
      <c r="F2844" s="14">
        <v>36</v>
      </c>
      <c r="G2844" s="14">
        <v>60</v>
      </c>
      <c r="H2844" s="14" t="s">
        <v>1400</v>
      </c>
      <c r="I2844" s="14" t="s">
        <v>75</v>
      </c>
      <c r="J2844" s="14" t="s">
        <v>201</v>
      </c>
      <c r="K2844" s="14">
        <v>1</v>
      </c>
      <c r="L2844" s="14" t="s">
        <v>1400</v>
      </c>
      <c r="N2844" s="14">
        <v>0</v>
      </c>
      <c r="O2844" s="14" t="b">
        <v>1</v>
      </c>
      <c r="Q2844" s="14" t="b">
        <v>0</v>
      </c>
      <c r="R2844" s="14">
        <v>1</v>
      </c>
      <c r="S2844" s="14" t="s">
        <v>77</v>
      </c>
      <c r="T2844" s="14">
        <v>999</v>
      </c>
      <c r="U2844" s="14" t="s">
        <v>1401</v>
      </c>
      <c r="V2844" s="14">
        <v>31936036</v>
      </c>
      <c r="X2844" s="14" t="s">
        <v>5147</v>
      </c>
      <c r="Y2844" s="14" t="s">
        <v>215</v>
      </c>
      <c r="Z2844" s="14">
        <v>21607</v>
      </c>
      <c r="AA2844" s="14" t="s">
        <v>5148</v>
      </c>
      <c r="AB2844" s="14">
        <v>40001</v>
      </c>
      <c r="AE2844" s="14" t="s">
        <v>1400</v>
      </c>
      <c r="AF2844" s="14" t="s">
        <v>1400</v>
      </c>
      <c r="AG2844" s="14" t="s">
        <v>98</v>
      </c>
    </row>
    <row r="2845" spans="2:33">
      <c r="B2845" s="14">
        <f>10000000+INDEX(编号表!$B:$B,MATCH(H2845,编号表!$A:$A,0))*100000+INDEX(编号表!$F:$F,MATCH(D2845,编号表!$E:$E,0))*10000+INDEX(编号表!$D:$D,MATCH(AG2845,编号表!$C:$C,0))*1000+F2845</f>
        <v>11946037</v>
      </c>
      <c r="C2845" s="14" t="s">
        <v>5144</v>
      </c>
      <c r="D2845" s="14" t="s">
        <v>104</v>
      </c>
      <c r="E2845" s="14" t="s">
        <v>98</v>
      </c>
      <c r="F2845" s="14">
        <v>37</v>
      </c>
      <c r="G2845" s="14">
        <v>60</v>
      </c>
      <c r="H2845" s="14" t="s">
        <v>1400</v>
      </c>
      <c r="I2845" s="14" t="s">
        <v>75</v>
      </c>
      <c r="J2845" s="14" t="s">
        <v>201</v>
      </c>
      <c r="K2845" s="14">
        <v>1</v>
      </c>
      <c r="L2845" s="14" t="s">
        <v>1400</v>
      </c>
      <c r="N2845" s="14">
        <v>0</v>
      </c>
      <c r="O2845" s="14" t="b">
        <v>1</v>
      </c>
      <c r="Q2845" s="14" t="b">
        <v>0</v>
      </c>
      <c r="R2845" s="14">
        <v>1</v>
      </c>
      <c r="S2845" s="14" t="s">
        <v>77</v>
      </c>
      <c r="T2845" s="14">
        <v>999</v>
      </c>
      <c r="U2845" s="14" t="s">
        <v>1401</v>
      </c>
      <c r="V2845" s="14">
        <v>31946037</v>
      </c>
      <c r="X2845" s="14" t="s">
        <v>5149</v>
      </c>
      <c r="Y2845" s="14" t="s">
        <v>215</v>
      </c>
      <c r="Z2845" s="14">
        <v>21608</v>
      </c>
      <c r="AA2845" s="14" t="s">
        <v>5150</v>
      </c>
      <c r="AB2845" s="14">
        <v>40001</v>
      </c>
      <c r="AE2845" s="14" t="s">
        <v>1400</v>
      </c>
      <c r="AF2845" s="14" t="s">
        <v>1400</v>
      </c>
      <c r="AG2845" s="14" t="s">
        <v>98</v>
      </c>
    </row>
    <row r="2846" spans="2:33">
      <c r="B2846" s="14">
        <f>10000000+INDEX(编号表!$B:$B,MATCH(H2846,编号表!$A:$A,0))*100000+INDEX(编号表!$F:$F,MATCH(D2846,编号表!$E:$E,0))*10000+INDEX(编号表!$D:$D,MATCH(AG2846,编号表!$C:$C,0))*1000+F2846</f>
        <v>11926036</v>
      </c>
      <c r="C2846" s="14" t="s">
        <v>5151</v>
      </c>
      <c r="D2846" s="14" t="s">
        <v>112</v>
      </c>
      <c r="E2846" s="14" t="s">
        <v>98</v>
      </c>
      <c r="F2846" s="14">
        <v>36</v>
      </c>
      <c r="G2846" s="14">
        <v>60</v>
      </c>
      <c r="H2846" s="14" t="s">
        <v>1400</v>
      </c>
      <c r="I2846" s="14" t="s">
        <v>75</v>
      </c>
      <c r="J2846" s="14" t="s">
        <v>201</v>
      </c>
      <c r="K2846" s="14">
        <v>1</v>
      </c>
      <c r="L2846" s="14" t="s">
        <v>1400</v>
      </c>
      <c r="N2846" s="14">
        <v>0</v>
      </c>
      <c r="O2846" s="14" t="b">
        <v>1</v>
      </c>
      <c r="Q2846" s="14" t="b">
        <v>0</v>
      </c>
      <c r="R2846" s="14">
        <v>1</v>
      </c>
      <c r="S2846" s="14" t="s">
        <v>77</v>
      </c>
      <c r="T2846" s="14">
        <v>999</v>
      </c>
      <c r="U2846" s="14" t="s">
        <v>1401</v>
      </c>
      <c r="V2846" s="14">
        <v>31926036</v>
      </c>
      <c r="X2846" s="14" t="s">
        <v>5152</v>
      </c>
      <c r="Y2846" s="14" t="s">
        <v>215</v>
      </c>
      <c r="Z2846" s="14">
        <v>21609</v>
      </c>
      <c r="AA2846" s="14" t="s">
        <v>5153</v>
      </c>
      <c r="AB2846" s="14">
        <v>40001</v>
      </c>
      <c r="AE2846" s="14" t="s">
        <v>1400</v>
      </c>
      <c r="AF2846" s="14" t="s">
        <v>1400</v>
      </c>
      <c r="AG2846" s="14" t="s">
        <v>98</v>
      </c>
    </row>
    <row r="2847" spans="2:33">
      <c r="B2847" s="14">
        <f>10000000+INDEX(编号表!$B:$B,MATCH(H2847,编号表!$A:$A,0))*100000+INDEX(编号表!$F:$F,MATCH(D2847,编号表!$E:$E,0))*10000+INDEX(编号表!$D:$D,MATCH(AG2847,编号表!$C:$C,0))*1000+F2847</f>
        <v>11936037</v>
      </c>
      <c r="C2847" s="14" t="s">
        <v>5151</v>
      </c>
      <c r="D2847" s="14" t="s">
        <v>276</v>
      </c>
      <c r="E2847" s="14" t="s">
        <v>98</v>
      </c>
      <c r="F2847" s="14">
        <v>37</v>
      </c>
      <c r="G2847" s="14">
        <v>60</v>
      </c>
      <c r="H2847" s="14" t="s">
        <v>1400</v>
      </c>
      <c r="I2847" s="14" t="s">
        <v>75</v>
      </c>
      <c r="J2847" s="14" t="s">
        <v>201</v>
      </c>
      <c r="K2847" s="14">
        <v>1</v>
      </c>
      <c r="L2847" s="14" t="s">
        <v>1400</v>
      </c>
      <c r="N2847" s="14">
        <v>0</v>
      </c>
      <c r="O2847" s="14" t="b">
        <v>1</v>
      </c>
      <c r="Q2847" s="14" t="b">
        <v>0</v>
      </c>
      <c r="R2847" s="14">
        <v>1</v>
      </c>
      <c r="S2847" s="14" t="s">
        <v>77</v>
      </c>
      <c r="T2847" s="14">
        <v>999</v>
      </c>
      <c r="U2847" s="14" t="s">
        <v>1401</v>
      </c>
      <c r="V2847" s="14">
        <v>31936037</v>
      </c>
      <c r="X2847" s="14" t="s">
        <v>5154</v>
      </c>
      <c r="Y2847" s="14" t="s">
        <v>215</v>
      </c>
      <c r="Z2847" s="14">
        <v>21610</v>
      </c>
      <c r="AA2847" s="14" t="s">
        <v>5155</v>
      </c>
      <c r="AB2847" s="14">
        <v>40001</v>
      </c>
      <c r="AE2847" s="14" t="s">
        <v>1400</v>
      </c>
      <c r="AF2847" s="14" t="s">
        <v>1400</v>
      </c>
      <c r="AG2847" s="14" t="s">
        <v>98</v>
      </c>
    </row>
    <row r="2848" spans="2:33">
      <c r="B2848" s="14">
        <f>10000000+INDEX(编号表!$B:$B,MATCH(H2848,编号表!$A:$A,0))*100000+INDEX(编号表!$F:$F,MATCH(D2848,编号表!$E:$E,0))*10000+INDEX(编号表!$D:$D,MATCH(AG2848,编号表!$C:$C,0))*1000+F2848</f>
        <v>11946038</v>
      </c>
      <c r="C2848" s="14" t="s">
        <v>5151</v>
      </c>
      <c r="D2848" s="14" t="s">
        <v>104</v>
      </c>
      <c r="E2848" s="14" t="s">
        <v>98</v>
      </c>
      <c r="F2848" s="14">
        <v>38</v>
      </c>
      <c r="G2848" s="14">
        <v>60</v>
      </c>
      <c r="H2848" s="14" t="s">
        <v>1400</v>
      </c>
      <c r="I2848" s="14" t="s">
        <v>75</v>
      </c>
      <c r="J2848" s="14" t="s">
        <v>201</v>
      </c>
      <c r="K2848" s="14">
        <v>1</v>
      </c>
      <c r="L2848" s="14" t="s">
        <v>1400</v>
      </c>
      <c r="N2848" s="14">
        <v>0</v>
      </c>
      <c r="O2848" s="14" t="b">
        <v>1</v>
      </c>
      <c r="Q2848" s="14" t="b">
        <v>0</v>
      </c>
      <c r="R2848" s="14">
        <v>1</v>
      </c>
      <c r="S2848" s="14" t="s">
        <v>77</v>
      </c>
      <c r="T2848" s="14">
        <v>999</v>
      </c>
      <c r="U2848" s="14" t="s">
        <v>1401</v>
      </c>
      <c r="V2848" s="14">
        <v>31946038</v>
      </c>
      <c r="X2848" s="14" t="s">
        <v>5156</v>
      </c>
      <c r="Y2848" s="14" t="s">
        <v>215</v>
      </c>
      <c r="Z2848" s="14">
        <v>21611</v>
      </c>
      <c r="AA2848" s="14" t="s">
        <v>5157</v>
      </c>
      <c r="AB2848" s="14">
        <v>40001</v>
      </c>
      <c r="AE2848" s="14" t="s">
        <v>1400</v>
      </c>
      <c r="AF2848" s="14" t="s">
        <v>1400</v>
      </c>
      <c r="AG2848" s="14" t="s">
        <v>98</v>
      </c>
    </row>
    <row r="2849" spans="2:33">
      <c r="B2849" s="14">
        <f>10000000+INDEX(编号表!$B:$B,MATCH(H2849,编号表!$A:$A,0))*100000+INDEX(编号表!$F:$F,MATCH(D2849,编号表!$E:$E,0))*10000+INDEX(编号表!$D:$D,MATCH(AG2849,编号表!$C:$C,0))*1000+F2849</f>
        <v>11926037</v>
      </c>
      <c r="C2849" s="14" t="s">
        <v>5158</v>
      </c>
      <c r="D2849" s="14" t="s">
        <v>112</v>
      </c>
      <c r="E2849" s="14" t="s">
        <v>98</v>
      </c>
      <c r="F2849" s="14">
        <v>37</v>
      </c>
      <c r="G2849" s="14">
        <v>60</v>
      </c>
      <c r="H2849" s="14" t="s">
        <v>1400</v>
      </c>
      <c r="I2849" s="14" t="s">
        <v>75</v>
      </c>
      <c r="J2849" s="14" t="s">
        <v>201</v>
      </c>
      <c r="K2849" s="14">
        <v>1</v>
      </c>
      <c r="L2849" s="14" t="s">
        <v>1400</v>
      </c>
      <c r="N2849" s="14">
        <v>0</v>
      </c>
      <c r="O2849" s="14" t="b">
        <v>1</v>
      </c>
      <c r="Q2849" s="14" t="b">
        <v>0</v>
      </c>
      <c r="R2849" s="14">
        <v>1</v>
      </c>
      <c r="S2849" s="14" t="s">
        <v>77</v>
      </c>
      <c r="T2849" s="14">
        <v>999</v>
      </c>
      <c r="U2849" s="14" t="s">
        <v>1401</v>
      </c>
      <c r="V2849" s="14">
        <v>31926037</v>
      </c>
      <c r="X2849" s="14" t="s">
        <v>5159</v>
      </c>
      <c r="Y2849" s="14" t="s">
        <v>215</v>
      </c>
      <c r="Z2849" s="14">
        <v>21612</v>
      </c>
      <c r="AA2849" s="14" t="s">
        <v>5160</v>
      </c>
      <c r="AB2849" s="14">
        <v>40001</v>
      </c>
      <c r="AE2849" s="14" t="s">
        <v>1400</v>
      </c>
      <c r="AF2849" s="14" t="s">
        <v>1400</v>
      </c>
      <c r="AG2849" s="14" t="s">
        <v>98</v>
      </c>
    </row>
    <row r="2850" spans="2:33">
      <c r="B2850" s="14">
        <f>10000000+INDEX(编号表!$B:$B,MATCH(H2850,编号表!$A:$A,0))*100000+INDEX(编号表!$F:$F,MATCH(D2850,编号表!$E:$E,0))*10000+INDEX(编号表!$D:$D,MATCH(AG2850,编号表!$C:$C,0))*1000+F2850</f>
        <v>11936038</v>
      </c>
      <c r="C2850" s="14" t="s">
        <v>5158</v>
      </c>
      <c r="D2850" s="14" t="s">
        <v>276</v>
      </c>
      <c r="E2850" s="14" t="s">
        <v>98</v>
      </c>
      <c r="F2850" s="14">
        <v>38</v>
      </c>
      <c r="G2850" s="14">
        <v>60</v>
      </c>
      <c r="H2850" s="14" t="s">
        <v>1400</v>
      </c>
      <c r="I2850" s="14" t="s">
        <v>75</v>
      </c>
      <c r="J2850" s="14" t="s">
        <v>201</v>
      </c>
      <c r="K2850" s="14">
        <v>1</v>
      </c>
      <c r="L2850" s="14" t="s">
        <v>1400</v>
      </c>
      <c r="N2850" s="14">
        <v>0</v>
      </c>
      <c r="O2850" s="14" t="b">
        <v>1</v>
      </c>
      <c r="Q2850" s="14" t="b">
        <v>0</v>
      </c>
      <c r="R2850" s="14">
        <v>1</v>
      </c>
      <c r="S2850" s="14" t="s">
        <v>77</v>
      </c>
      <c r="T2850" s="14">
        <v>999</v>
      </c>
      <c r="U2850" s="14" t="s">
        <v>1401</v>
      </c>
      <c r="V2850" s="14">
        <v>31936038</v>
      </c>
      <c r="X2850" s="14" t="s">
        <v>5161</v>
      </c>
      <c r="Y2850" s="14" t="s">
        <v>215</v>
      </c>
      <c r="Z2850" s="14">
        <v>21613</v>
      </c>
      <c r="AA2850" s="14" t="s">
        <v>5162</v>
      </c>
      <c r="AB2850" s="14">
        <v>40001</v>
      </c>
      <c r="AE2850" s="14" t="s">
        <v>1400</v>
      </c>
      <c r="AF2850" s="14" t="s">
        <v>1400</v>
      </c>
      <c r="AG2850" s="14" t="s">
        <v>98</v>
      </c>
    </row>
    <row r="2851" spans="2:33">
      <c r="B2851" s="14">
        <f>10000000+INDEX(编号表!$B:$B,MATCH(H2851,编号表!$A:$A,0))*100000+INDEX(编号表!$F:$F,MATCH(D2851,编号表!$E:$E,0))*10000+INDEX(编号表!$D:$D,MATCH(AG2851,编号表!$C:$C,0))*1000+F2851</f>
        <v>11946039</v>
      </c>
      <c r="C2851" s="14" t="s">
        <v>5158</v>
      </c>
      <c r="D2851" s="14" t="s">
        <v>104</v>
      </c>
      <c r="E2851" s="14" t="s">
        <v>98</v>
      </c>
      <c r="F2851" s="14">
        <v>39</v>
      </c>
      <c r="G2851" s="14">
        <v>60</v>
      </c>
      <c r="H2851" s="14" t="s">
        <v>1400</v>
      </c>
      <c r="I2851" s="14" t="s">
        <v>75</v>
      </c>
      <c r="J2851" s="14" t="s">
        <v>201</v>
      </c>
      <c r="K2851" s="14">
        <v>1</v>
      </c>
      <c r="L2851" s="14" t="s">
        <v>1400</v>
      </c>
      <c r="N2851" s="14">
        <v>0</v>
      </c>
      <c r="O2851" s="14" t="b">
        <v>1</v>
      </c>
      <c r="Q2851" s="14" t="b">
        <v>0</v>
      </c>
      <c r="R2851" s="14">
        <v>1</v>
      </c>
      <c r="S2851" s="14" t="s">
        <v>77</v>
      </c>
      <c r="T2851" s="14">
        <v>999</v>
      </c>
      <c r="U2851" s="14" t="s">
        <v>1401</v>
      </c>
      <c r="V2851" s="14">
        <v>31946039</v>
      </c>
      <c r="X2851" s="14" t="s">
        <v>5163</v>
      </c>
      <c r="Y2851" s="14" t="s">
        <v>215</v>
      </c>
      <c r="Z2851" s="14">
        <v>21614</v>
      </c>
      <c r="AA2851" s="14" t="s">
        <v>5164</v>
      </c>
      <c r="AB2851" s="14">
        <v>40001</v>
      </c>
      <c r="AE2851" s="14" t="s">
        <v>1400</v>
      </c>
      <c r="AF2851" s="14" t="s">
        <v>1400</v>
      </c>
      <c r="AG2851" s="14" t="s">
        <v>98</v>
      </c>
    </row>
    <row r="2852" spans="2:33">
      <c r="B2852" s="14">
        <f>10000000+INDEX(编号表!$B:$B,MATCH(H2852,编号表!$A:$A,0))*100000+INDEX(编号表!$F:$F,MATCH(D2852,编号表!$E:$E,0))*10000+INDEX(编号表!$D:$D,MATCH(AG2852,编号表!$C:$C,0))*1000+F2852</f>
        <v>11926038</v>
      </c>
      <c r="C2852" s="14" t="s">
        <v>5165</v>
      </c>
      <c r="D2852" s="14" t="s">
        <v>112</v>
      </c>
      <c r="E2852" s="14" t="s">
        <v>98</v>
      </c>
      <c r="F2852" s="14">
        <v>38</v>
      </c>
      <c r="G2852" s="14">
        <v>60</v>
      </c>
      <c r="H2852" s="14" t="s">
        <v>1400</v>
      </c>
      <c r="I2852" s="14" t="s">
        <v>75</v>
      </c>
      <c r="J2852" s="14" t="s">
        <v>201</v>
      </c>
      <c r="K2852" s="14">
        <v>1</v>
      </c>
      <c r="L2852" s="14" t="s">
        <v>1400</v>
      </c>
      <c r="N2852" s="14">
        <v>0</v>
      </c>
      <c r="O2852" s="14" t="b">
        <v>1</v>
      </c>
      <c r="Q2852" s="14" t="b">
        <v>0</v>
      </c>
      <c r="R2852" s="14">
        <v>1</v>
      </c>
      <c r="S2852" s="14" t="s">
        <v>77</v>
      </c>
      <c r="T2852" s="14">
        <v>999</v>
      </c>
      <c r="U2852" s="14" t="s">
        <v>1401</v>
      </c>
      <c r="V2852" s="14">
        <v>31926038</v>
      </c>
      <c r="X2852" s="14" t="s">
        <v>5166</v>
      </c>
      <c r="Y2852" s="14" t="s">
        <v>215</v>
      </c>
      <c r="Z2852" s="14">
        <v>21615</v>
      </c>
      <c r="AA2852" s="14" t="s">
        <v>5167</v>
      </c>
      <c r="AB2852" s="14">
        <v>40001</v>
      </c>
      <c r="AE2852" s="14" t="s">
        <v>1400</v>
      </c>
      <c r="AF2852" s="14" t="s">
        <v>1400</v>
      </c>
      <c r="AG2852" s="14" t="s">
        <v>98</v>
      </c>
    </row>
    <row r="2853" spans="2:33">
      <c r="B2853" s="14">
        <f>10000000+INDEX(编号表!$B:$B,MATCH(H2853,编号表!$A:$A,0))*100000+INDEX(编号表!$F:$F,MATCH(D2853,编号表!$E:$E,0))*10000+INDEX(编号表!$D:$D,MATCH(AG2853,编号表!$C:$C,0))*1000+F2853</f>
        <v>11936039</v>
      </c>
      <c r="C2853" s="14" t="s">
        <v>5165</v>
      </c>
      <c r="D2853" s="14" t="s">
        <v>276</v>
      </c>
      <c r="E2853" s="14" t="s">
        <v>98</v>
      </c>
      <c r="F2853" s="14">
        <v>39</v>
      </c>
      <c r="G2853" s="14">
        <v>60</v>
      </c>
      <c r="H2853" s="14" t="s">
        <v>1400</v>
      </c>
      <c r="I2853" s="14" t="s">
        <v>75</v>
      </c>
      <c r="J2853" s="14" t="s">
        <v>201</v>
      </c>
      <c r="K2853" s="14">
        <v>1</v>
      </c>
      <c r="L2853" s="14" t="s">
        <v>1400</v>
      </c>
      <c r="N2853" s="14">
        <v>0</v>
      </c>
      <c r="O2853" s="14" t="b">
        <v>1</v>
      </c>
      <c r="Q2853" s="14" t="b">
        <v>0</v>
      </c>
      <c r="R2853" s="14">
        <v>1</v>
      </c>
      <c r="S2853" s="14" t="s">
        <v>77</v>
      </c>
      <c r="T2853" s="14">
        <v>999</v>
      </c>
      <c r="U2853" s="14" t="s">
        <v>1401</v>
      </c>
      <c r="V2853" s="14">
        <v>31936039</v>
      </c>
      <c r="X2853" s="14" t="s">
        <v>5168</v>
      </c>
      <c r="Y2853" s="14" t="s">
        <v>215</v>
      </c>
      <c r="Z2853" s="14">
        <v>21616</v>
      </c>
      <c r="AA2853" s="14" t="s">
        <v>5169</v>
      </c>
      <c r="AB2853" s="14">
        <v>40001</v>
      </c>
      <c r="AE2853" s="14" t="s">
        <v>1400</v>
      </c>
      <c r="AF2853" s="14" t="s">
        <v>1400</v>
      </c>
      <c r="AG2853" s="14" t="s">
        <v>98</v>
      </c>
    </row>
    <row r="2854" spans="2:33">
      <c r="B2854" s="14">
        <f>10000000+INDEX(编号表!$B:$B,MATCH(H2854,编号表!$A:$A,0))*100000+INDEX(编号表!$F:$F,MATCH(D2854,编号表!$E:$E,0))*10000+INDEX(编号表!$D:$D,MATCH(AG2854,编号表!$C:$C,0))*1000+F2854</f>
        <v>11946040</v>
      </c>
      <c r="C2854" s="14" t="s">
        <v>5165</v>
      </c>
      <c r="D2854" s="14" t="s">
        <v>104</v>
      </c>
      <c r="E2854" s="14" t="s">
        <v>98</v>
      </c>
      <c r="F2854" s="14">
        <v>40</v>
      </c>
      <c r="G2854" s="14">
        <v>60</v>
      </c>
      <c r="H2854" s="14" t="s">
        <v>1400</v>
      </c>
      <c r="I2854" s="14" t="s">
        <v>75</v>
      </c>
      <c r="J2854" s="14" t="s">
        <v>201</v>
      </c>
      <c r="K2854" s="14">
        <v>1</v>
      </c>
      <c r="L2854" s="14" t="s">
        <v>1400</v>
      </c>
      <c r="N2854" s="14">
        <v>0</v>
      </c>
      <c r="O2854" s="14" t="b">
        <v>1</v>
      </c>
      <c r="Q2854" s="14" t="b">
        <v>0</v>
      </c>
      <c r="R2854" s="14">
        <v>1</v>
      </c>
      <c r="S2854" s="14" t="s">
        <v>77</v>
      </c>
      <c r="T2854" s="14">
        <v>999</v>
      </c>
      <c r="U2854" s="14" t="s">
        <v>1401</v>
      </c>
      <c r="V2854" s="14">
        <v>31946040</v>
      </c>
      <c r="X2854" s="14" t="s">
        <v>5170</v>
      </c>
      <c r="Y2854" s="14" t="s">
        <v>215</v>
      </c>
      <c r="Z2854" s="14">
        <v>21617</v>
      </c>
      <c r="AA2854" s="14" t="s">
        <v>5171</v>
      </c>
      <c r="AB2854" s="14">
        <v>40001</v>
      </c>
      <c r="AE2854" s="14" t="s">
        <v>1400</v>
      </c>
      <c r="AF2854" s="14" t="s">
        <v>1400</v>
      </c>
      <c r="AG2854" s="14" t="s">
        <v>98</v>
      </c>
    </row>
    <row r="2855" spans="2:33">
      <c r="B2855" s="14">
        <f>10000000+INDEX(编号表!$B:$B,MATCH(H2855,编号表!$A:$A,0))*100000+INDEX(编号表!$F:$F,MATCH(D2855,编号表!$E:$E,0))*10000+INDEX(编号表!$D:$D,MATCH(AG2855,编号表!$C:$C,0))*1000+F2855</f>
        <v>11926039</v>
      </c>
      <c r="C2855" s="14" t="s">
        <v>5172</v>
      </c>
      <c r="D2855" s="14" t="s">
        <v>112</v>
      </c>
      <c r="E2855" s="14" t="s">
        <v>98</v>
      </c>
      <c r="F2855" s="14">
        <v>39</v>
      </c>
      <c r="G2855" s="14">
        <v>60</v>
      </c>
      <c r="H2855" s="14" t="s">
        <v>1400</v>
      </c>
      <c r="I2855" s="14" t="s">
        <v>75</v>
      </c>
      <c r="J2855" s="14" t="s">
        <v>201</v>
      </c>
      <c r="K2855" s="14">
        <v>1</v>
      </c>
      <c r="L2855" s="14" t="s">
        <v>1400</v>
      </c>
      <c r="N2855" s="14">
        <v>0</v>
      </c>
      <c r="O2855" s="14" t="b">
        <v>1</v>
      </c>
      <c r="Q2855" s="14" t="b">
        <v>0</v>
      </c>
      <c r="R2855" s="14">
        <v>1</v>
      </c>
      <c r="S2855" s="14" t="s">
        <v>77</v>
      </c>
      <c r="T2855" s="14">
        <v>999</v>
      </c>
      <c r="U2855" s="14" t="s">
        <v>1401</v>
      </c>
      <c r="V2855" s="14">
        <v>31926039</v>
      </c>
      <c r="X2855" s="14" t="s">
        <v>5173</v>
      </c>
      <c r="Y2855" s="14" t="s">
        <v>215</v>
      </c>
      <c r="Z2855" s="14">
        <v>21618</v>
      </c>
      <c r="AA2855" s="14" t="s">
        <v>5174</v>
      </c>
      <c r="AB2855" s="14">
        <v>40001</v>
      </c>
      <c r="AE2855" s="14" t="s">
        <v>1400</v>
      </c>
      <c r="AF2855" s="14" t="s">
        <v>1400</v>
      </c>
      <c r="AG2855" s="14" t="s">
        <v>98</v>
      </c>
    </row>
    <row r="2856" spans="2:33">
      <c r="B2856" s="14">
        <f>10000000+INDEX(编号表!$B:$B,MATCH(H2856,编号表!$A:$A,0))*100000+INDEX(编号表!$F:$F,MATCH(D2856,编号表!$E:$E,0))*10000+INDEX(编号表!$D:$D,MATCH(AG2856,编号表!$C:$C,0))*1000+F2856</f>
        <v>11936040</v>
      </c>
      <c r="C2856" s="14" t="s">
        <v>5172</v>
      </c>
      <c r="D2856" s="14" t="s">
        <v>276</v>
      </c>
      <c r="E2856" s="14" t="s">
        <v>98</v>
      </c>
      <c r="F2856" s="14">
        <v>40</v>
      </c>
      <c r="G2856" s="14">
        <v>60</v>
      </c>
      <c r="H2856" s="14" t="s">
        <v>1400</v>
      </c>
      <c r="I2856" s="14" t="s">
        <v>75</v>
      </c>
      <c r="J2856" s="14" t="s">
        <v>201</v>
      </c>
      <c r="K2856" s="14">
        <v>1</v>
      </c>
      <c r="L2856" s="14" t="s">
        <v>1400</v>
      </c>
      <c r="N2856" s="14">
        <v>0</v>
      </c>
      <c r="O2856" s="14" t="b">
        <v>1</v>
      </c>
      <c r="Q2856" s="14" t="b">
        <v>0</v>
      </c>
      <c r="R2856" s="14">
        <v>1</v>
      </c>
      <c r="S2856" s="14" t="s">
        <v>77</v>
      </c>
      <c r="T2856" s="14">
        <v>999</v>
      </c>
      <c r="U2856" s="14" t="s">
        <v>1401</v>
      </c>
      <c r="V2856" s="14">
        <v>31936040</v>
      </c>
      <c r="X2856" s="14" t="s">
        <v>5175</v>
      </c>
      <c r="Y2856" s="14" t="s">
        <v>215</v>
      </c>
      <c r="Z2856" s="14">
        <v>21619</v>
      </c>
      <c r="AA2856" s="14" t="s">
        <v>5176</v>
      </c>
      <c r="AB2856" s="14">
        <v>40001</v>
      </c>
      <c r="AE2856" s="14" t="s">
        <v>1400</v>
      </c>
      <c r="AF2856" s="14" t="s">
        <v>1400</v>
      </c>
      <c r="AG2856" s="14" t="s">
        <v>98</v>
      </c>
    </row>
    <row r="2857" spans="2:33">
      <c r="B2857" s="14">
        <f>10000000+INDEX(编号表!$B:$B,MATCH(H2857,编号表!$A:$A,0))*100000+INDEX(编号表!$F:$F,MATCH(D2857,编号表!$E:$E,0))*10000+INDEX(编号表!$D:$D,MATCH(AG2857,编号表!$C:$C,0))*1000+F2857</f>
        <v>11946041</v>
      </c>
      <c r="C2857" s="14" t="s">
        <v>5172</v>
      </c>
      <c r="D2857" s="14" t="s">
        <v>104</v>
      </c>
      <c r="E2857" s="14" t="s">
        <v>98</v>
      </c>
      <c r="F2857" s="14">
        <v>41</v>
      </c>
      <c r="G2857" s="14">
        <v>60</v>
      </c>
      <c r="H2857" s="14" t="s">
        <v>1400</v>
      </c>
      <c r="I2857" s="14" t="s">
        <v>75</v>
      </c>
      <c r="J2857" s="14" t="s">
        <v>201</v>
      </c>
      <c r="K2857" s="14">
        <v>1</v>
      </c>
      <c r="L2857" s="14" t="s">
        <v>1400</v>
      </c>
      <c r="N2857" s="14">
        <v>0</v>
      </c>
      <c r="O2857" s="14" t="b">
        <v>1</v>
      </c>
      <c r="Q2857" s="14" t="b">
        <v>0</v>
      </c>
      <c r="R2857" s="14">
        <v>1</v>
      </c>
      <c r="S2857" s="14" t="s">
        <v>77</v>
      </c>
      <c r="T2857" s="14">
        <v>999</v>
      </c>
      <c r="U2857" s="14" t="s">
        <v>1401</v>
      </c>
      <c r="V2857" s="14">
        <v>31946041</v>
      </c>
      <c r="X2857" s="14" t="s">
        <v>5177</v>
      </c>
      <c r="Y2857" s="14" t="s">
        <v>215</v>
      </c>
      <c r="Z2857" s="14">
        <v>21620</v>
      </c>
      <c r="AA2857" s="14" t="s">
        <v>5178</v>
      </c>
      <c r="AB2857" s="14">
        <v>40001</v>
      </c>
      <c r="AE2857" s="14" t="s">
        <v>1400</v>
      </c>
      <c r="AF2857" s="14" t="s">
        <v>1400</v>
      </c>
      <c r="AG2857" s="14" t="s">
        <v>98</v>
      </c>
    </row>
    <row r="2858" spans="2:33">
      <c r="B2858" s="14">
        <f>10000000+INDEX(编号表!$B:$B,MATCH(H2858,编号表!$A:$A,0))*100000+INDEX(编号表!$F:$F,MATCH(D2858,编号表!$E:$E,0))*10000+INDEX(编号表!$D:$D,MATCH(AG2858,编号表!$C:$C,0))*1000+F2858</f>
        <v>11926040</v>
      </c>
      <c r="C2858" s="14" t="s">
        <v>5179</v>
      </c>
      <c r="D2858" s="14" t="s">
        <v>112</v>
      </c>
      <c r="E2858" s="14" t="s">
        <v>98</v>
      </c>
      <c r="F2858" s="14">
        <v>40</v>
      </c>
      <c r="G2858" s="14">
        <v>60</v>
      </c>
      <c r="H2858" s="14" t="s">
        <v>1400</v>
      </c>
      <c r="I2858" s="14" t="s">
        <v>75</v>
      </c>
      <c r="J2858" s="14" t="s">
        <v>201</v>
      </c>
      <c r="K2858" s="14">
        <v>1</v>
      </c>
      <c r="L2858" s="14" t="s">
        <v>1400</v>
      </c>
      <c r="N2858" s="14">
        <v>0</v>
      </c>
      <c r="O2858" s="14" t="b">
        <v>1</v>
      </c>
      <c r="Q2858" s="14" t="b">
        <v>0</v>
      </c>
      <c r="R2858" s="14">
        <v>1</v>
      </c>
      <c r="S2858" s="14" t="s">
        <v>77</v>
      </c>
      <c r="T2858" s="14">
        <v>999</v>
      </c>
      <c r="U2858" s="14" t="s">
        <v>1401</v>
      </c>
      <c r="V2858" s="14">
        <v>31926040</v>
      </c>
      <c r="X2858" s="14" t="s">
        <v>5180</v>
      </c>
      <c r="Y2858" s="14" t="s">
        <v>215</v>
      </c>
      <c r="Z2858" s="14">
        <v>21621</v>
      </c>
      <c r="AA2858" s="14" t="s">
        <v>5181</v>
      </c>
      <c r="AB2858" s="14">
        <v>40001</v>
      </c>
      <c r="AE2858" s="14" t="s">
        <v>1400</v>
      </c>
      <c r="AF2858" s="14" t="s">
        <v>1400</v>
      </c>
      <c r="AG2858" s="14" t="s">
        <v>98</v>
      </c>
    </row>
    <row r="2859" spans="2:33">
      <c r="B2859" s="14">
        <f>10000000+INDEX(编号表!$B:$B,MATCH(H2859,编号表!$A:$A,0))*100000+INDEX(编号表!$F:$F,MATCH(D2859,编号表!$E:$E,0))*10000+INDEX(编号表!$D:$D,MATCH(AG2859,编号表!$C:$C,0))*1000+F2859</f>
        <v>11936041</v>
      </c>
      <c r="C2859" s="14" t="s">
        <v>5179</v>
      </c>
      <c r="D2859" s="14" t="s">
        <v>276</v>
      </c>
      <c r="E2859" s="14" t="s">
        <v>98</v>
      </c>
      <c r="F2859" s="14">
        <v>41</v>
      </c>
      <c r="G2859" s="14">
        <v>60</v>
      </c>
      <c r="H2859" s="14" t="s">
        <v>1400</v>
      </c>
      <c r="I2859" s="14" t="s">
        <v>75</v>
      </c>
      <c r="J2859" s="14" t="s">
        <v>201</v>
      </c>
      <c r="K2859" s="14">
        <v>1</v>
      </c>
      <c r="L2859" s="14" t="s">
        <v>1400</v>
      </c>
      <c r="N2859" s="14">
        <v>0</v>
      </c>
      <c r="O2859" s="14" t="b">
        <v>1</v>
      </c>
      <c r="Q2859" s="14" t="b">
        <v>0</v>
      </c>
      <c r="R2859" s="14">
        <v>1</v>
      </c>
      <c r="S2859" s="14" t="s">
        <v>77</v>
      </c>
      <c r="T2859" s="14">
        <v>999</v>
      </c>
      <c r="U2859" s="14" t="s">
        <v>1401</v>
      </c>
      <c r="V2859" s="14">
        <v>31936041</v>
      </c>
      <c r="X2859" s="14" t="s">
        <v>5182</v>
      </c>
      <c r="Y2859" s="14" t="s">
        <v>215</v>
      </c>
      <c r="Z2859" s="14">
        <v>21622</v>
      </c>
      <c r="AA2859" s="14" t="s">
        <v>5183</v>
      </c>
      <c r="AB2859" s="14">
        <v>40001</v>
      </c>
      <c r="AE2859" s="14" t="s">
        <v>1400</v>
      </c>
      <c r="AF2859" s="14" t="s">
        <v>1400</v>
      </c>
      <c r="AG2859" s="14" t="s">
        <v>98</v>
      </c>
    </row>
    <row r="2860" spans="2:33">
      <c r="B2860" s="14">
        <f>10000000+INDEX(编号表!$B:$B,MATCH(H2860,编号表!$A:$A,0))*100000+INDEX(编号表!$F:$F,MATCH(D2860,编号表!$E:$E,0))*10000+INDEX(编号表!$D:$D,MATCH(AG2860,编号表!$C:$C,0))*1000+F2860</f>
        <v>11946042</v>
      </c>
      <c r="C2860" s="14" t="s">
        <v>5179</v>
      </c>
      <c r="D2860" s="14" t="s">
        <v>104</v>
      </c>
      <c r="E2860" s="14" t="s">
        <v>98</v>
      </c>
      <c r="F2860" s="14">
        <v>42</v>
      </c>
      <c r="G2860" s="14">
        <v>60</v>
      </c>
      <c r="H2860" s="14" t="s">
        <v>1400</v>
      </c>
      <c r="I2860" s="14" t="s">
        <v>75</v>
      </c>
      <c r="J2860" s="14" t="s">
        <v>201</v>
      </c>
      <c r="K2860" s="14">
        <v>1</v>
      </c>
      <c r="L2860" s="14" t="s">
        <v>1400</v>
      </c>
      <c r="N2860" s="14">
        <v>0</v>
      </c>
      <c r="O2860" s="14" t="b">
        <v>1</v>
      </c>
      <c r="Q2860" s="14" t="b">
        <v>0</v>
      </c>
      <c r="R2860" s="14">
        <v>1</v>
      </c>
      <c r="S2860" s="14" t="s">
        <v>77</v>
      </c>
      <c r="T2860" s="14">
        <v>999</v>
      </c>
      <c r="U2860" s="14" t="s">
        <v>1401</v>
      </c>
      <c r="V2860" s="14">
        <v>31946042</v>
      </c>
      <c r="X2860" s="14" t="s">
        <v>5184</v>
      </c>
      <c r="Y2860" s="14" t="s">
        <v>215</v>
      </c>
      <c r="Z2860" s="14">
        <v>21623</v>
      </c>
      <c r="AA2860" s="14" t="s">
        <v>5185</v>
      </c>
      <c r="AB2860" s="14">
        <v>40001</v>
      </c>
      <c r="AE2860" s="14" t="s">
        <v>1400</v>
      </c>
      <c r="AF2860" s="14" t="s">
        <v>1400</v>
      </c>
      <c r="AG2860" s="14" t="s">
        <v>98</v>
      </c>
    </row>
    <row r="2861" spans="2:33">
      <c r="B2861" s="14">
        <f>10000000+INDEX(编号表!$B:$B,MATCH(H2861,编号表!$A:$A,0))*100000+INDEX(编号表!$F:$F,MATCH(D2861,编号表!$E:$E,0))*10000+INDEX(编号表!$D:$D,MATCH(AG2861,编号表!$C:$C,0))*1000+F2861</f>
        <v>11926041</v>
      </c>
      <c r="C2861" s="14" t="s">
        <v>5186</v>
      </c>
      <c r="D2861" s="14" t="s">
        <v>112</v>
      </c>
      <c r="E2861" s="14" t="s">
        <v>98</v>
      </c>
      <c r="F2861" s="14">
        <v>41</v>
      </c>
      <c r="G2861" s="14">
        <v>60</v>
      </c>
      <c r="H2861" s="14" t="s">
        <v>1400</v>
      </c>
      <c r="I2861" s="14" t="s">
        <v>75</v>
      </c>
      <c r="J2861" s="14" t="s">
        <v>201</v>
      </c>
      <c r="K2861" s="14">
        <v>1</v>
      </c>
      <c r="L2861" s="14" t="s">
        <v>1400</v>
      </c>
      <c r="N2861" s="14">
        <v>0</v>
      </c>
      <c r="O2861" s="14" t="b">
        <v>1</v>
      </c>
      <c r="Q2861" s="14" t="b">
        <v>0</v>
      </c>
      <c r="R2861" s="14">
        <v>1</v>
      </c>
      <c r="S2861" s="14" t="s">
        <v>77</v>
      </c>
      <c r="T2861" s="14">
        <v>999</v>
      </c>
      <c r="U2861" s="14" t="s">
        <v>1401</v>
      </c>
      <c r="V2861" s="14">
        <v>31926041</v>
      </c>
      <c r="X2861" s="14" t="s">
        <v>5187</v>
      </c>
      <c r="Y2861" s="14" t="s">
        <v>215</v>
      </c>
      <c r="Z2861" s="14">
        <v>21624</v>
      </c>
      <c r="AA2861" s="14" t="s">
        <v>5188</v>
      </c>
      <c r="AB2861" s="14">
        <v>40001</v>
      </c>
      <c r="AE2861" s="14" t="s">
        <v>1400</v>
      </c>
      <c r="AF2861" s="14" t="s">
        <v>1400</v>
      </c>
      <c r="AG2861" s="14" t="s">
        <v>98</v>
      </c>
    </row>
    <row r="2862" spans="2:33">
      <c r="B2862" s="14">
        <f>10000000+INDEX(编号表!$B:$B,MATCH(H2862,编号表!$A:$A,0))*100000+INDEX(编号表!$F:$F,MATCH(D2862,编号表!$E:$E,0))*10000+INDEX(编号表!$D:$D,MATCH(AG2862,编号表!$C:$C,0))*1000+F2862</f>
        <v>11936042</v>
      </c>
      <c r="C2862" s="14" t="s">
        <v>5186</v>
      </c>
      <c r="D2862" s="14" t="s">
        <v>276</v>
      </c>
      <c r="E2862" s="14" t="s">
        <v>98</v>
      </c>
      <c r="F2862" s="14">
        <v>42</v>
      </c>
      <c r="G2862" s="14">
        <v>60</v>
      </c>
      <c r="H2862" s="14" t="s">
        <v>1400</v>
      </c>
      <c r="I2862" s="14" t="s">
        <v>75</v>
      </c>
      <c r="J2862" s="14" t="s">
        <v>201</v>
      </c>
      <c r="K2862" s="14">
        <v>1</v>
      </c>
      <c r="L2862" s="14" t="s">
        <v>1400</v>
      </c>
      <c r="N2862" s="14">
        <v>0</v>
      </c>
      <c r="O2862" s="14" t="b">
        <v>1</v>
      </c>
      <c r="Q2862" s="14" t="b">
        <v>0</v>
      </c>
      <c r="R2862" s="14">
        <v>1</v>
      </c>
      <c r="S2862" s="14" t="s">
        <v>77</v>
      </c>
      <c r="T2862" s="14">
        <v>999</v>
      </c>
      <c r="U2862" s="14" t="s">
        <v>1401</v>
      </c>
      <c r="V2862" s="14">
        <v>31936042</v>
      </c>
      <c r="X2862" s="14" t="s">
        <v>5189</v>
      </c>
      <c r="Y2862" s="14" t="s">
        <v>215</v>
      </c>
      <c r="Z2862" s="14">
        <v>21625</v>
      </c>
      <c r="AA2862" s="14" t="s">
        <v>5190</v>
      </c>
      <c r="AB2862" s="14">
        <v>40001</v>
      </c>
      <c r="AE2862" s="14" t="s">
        <v>1400</v>
      </c>
      <c r="AF2862" s="14" t="s">
        <v>1400</v>
      </c>
      <c r="AG2862" s="14" t="s">
        <v>98</v>
      </c>
    </row>
    <row r="2863" spans="2:33">
      <c r="B2863" s="14">
        <f>10000000+INDEX(编号表!$B:$B,MATCH(H2863,编号表!$A:$A,0))*100000+INDEX(编号表!$F:$F,MATCH(D2863,编号表!$E:$E,0))*10000+INDEX(编号表!$D:$D,MATCH(AG2863,编号表!$C:$C,0))*1000+F2863</f>
        <v>11946043</v>
      </c>
      <c r="C2863" s="14" t="s">
        <v>5186</v>
      </c>
      <c r="D2863" s="14" t="s">
        <v>104</v>
      </c>
      <c r="E2863" s="14" t="s">
        <v>98</v>
      </c>
      <c r="F2863" s="14">
        <v>43</v>
      </c>
      <c r="G2863" s="14">
        <v>60</v>
      </c>
      <c r="H2863" s="14" t="s">
        <v>1400</v>
      </c>
      <c r="I2863" s="14" t="s">
        <v>75</v>
      </c>
      <c r="J2863" s="14" t="s">
        <v>201</v>
      </c>
      <c r="K2863" s="14">
        <v>1</v>
      </c>
      <c r="L2863" s="14" t="s">
        <v>1400</v>
      </c>
      <c r="N2863" s="14">
        <v>0</v>
      </c>
      <c r="O2863" s="14" t="b">
        <v>1</v>
      </c>
      <c r="Q2863" s="14" t="b">
        <v>0</v>
      </c>
      <c r="R2863" s="14">
        <v>1</v>
      </c>
      <c r="S2863" s="14" t="s">
        <v>77</v>
      </c>
      <c r="T2863" s="14">
        <v>999</v>
      </c>
      <c r="U2863" s="14" t="s">
        <v>1401</v>
      </c>
      <c r="V2863" s="14">
        <v>31946043</v>
      </c>
      <c r="X2863" s="14" t="s">
        <v>5191</v>
      </c>
      <c r="Y2863" s="14" t="s">
        <v>215</v>
      </c>
      <c r="Z2863" s="14">
        <v>21626</v>
      </c>
      <c r="AA2863" s="14" t="s">
        <v>5192</v>
      </c>
      <c r="AB2863" s="14">
        <v>40001</v>
      </c>
      <c r="AE2863" s="14" t="s">
        <v>1400</v>
      </c>
      <c r="AF2863" s="14" t="s">
        <v>1400</v>
      </c>
      <c r="AG2863" s="14" t="s">
        <v>98</v>
      </c>
    </row>
    <row r="2864" spans="2:33">
      <c r="B2864" s="14">
        <f>10000000+INDEX(编号表!$B:$B,MATCH(H2864,编号表!$A:$A,0))*100000+INDEX(编号表!$F:$F,MATCH(D2864,编号表!$E:$E,0))*10000+INDEX(编号表!$D:$D,MATCH(AG2864,编号表!$C:$C,0))*1000+F2864</f>
        <v>11926042</v>
      </c>
      <c r="C2864" s="14" t="s">
        <v>5193</v>
      </c>
      <c r="D2864" s="14" t="s">
        <v>112</v>
      </c>
      <c r="E2864" s="14" t="s">
        <v>98</v>
      </c>
      <c r="F2864" s="14">
        <v>42</v>
      </c>
      <c r="G2864" s="14">
        <v>60</v>
      </c>
      <c r="H2864" s="14" t="s">
        <v>1400</v>
      </c>
      <c r="I2864" s="14" t="s">
        <v>75</v>
      </c>
      <c r="J2864" s="14" t="s">
        <v>201</v>
      </c>
      <c r="K2864" s="14">
        <v>1</v>
      </c>
      <c r="L2864" s="14" t="s">
        <v>1400</v>
      </c>
      <c r="N2864" s="14">
        <v>0</v>
      </c>
      <c r="O2864" s="14" t="b">
        <v>1</v>
      </c>
      <c r="Q2864" s="14" t="b">
        <v>0</v>
      </c>
      <c r="R2864" s="14">
        <v>1</v>
      </c>
      <c r="S2864" s="14" t="s">
        <v>77</v>
      </c>
      <c r="T2864" s="14">
        <v>999</v>
      </c>
      <c r="U2864" s="14" t="s">
        <v>1401</v>
      </c>
      <c r="V2864" s="14">
        <v>31926042</v>
      </c>
      <c r="X2864" s="14" t="s">
        <v>5194</v>
      </c>
      <c r="Y2864" s="14" t="s">
        <v>215</v>
      </c>
      <c r="Z2864" s="14">
        <v>21627</v>
      </c>
      <c r="AA2864" s="14" t="s">
        <v>5195</v>
      </c>
      <c r="AB2864" s="14">
        <v>40001</v>
      </c>
      <c r="AE2864" s="14" t="s">
        <v>1400</v>
      </c>
      <c r="AF2864" s="14" t="s">
        <v>1400</v>
      </c>
      <c r="AG2864" s="14" t="s">
        <v>98</v>
      </c>
    </row>
    <row r="2865" spans="2:33">
      <c r="B2865" s="14">
        <f>10000000+INDEX(编号表!$B:$B,MATCH(H2865,编号表!$A:$A,0))*100000+INDEX(编号表!$F:$F,MATCH(D2865,编号表!$E:$E,0))*10000+INDEX(编号表!$D:$D,MATCH(AG2865,编号表!$C:$C,0))*1000+F2865</f>
        <v>11936043</v>
      </c>
      <c r="C2865" s="14" t="s">
        <v>5193</v>
      </c>
      <c r="D2865" s="14" t="s">
        <v>276</v>
      </c>
      <c r="E2865" s="14" t="s">
        <v>98</v>
      </c>
      <c r="F2865" s="14">
        <v>43</v>
      </c>
      <c r="G2865" s="14">
        <v>60</v>
      </c>
      <c r="H2865" s="14" t="s">
        <v>1400</v>
      </c>
      <c r="I2865" s="14" t="s">
        <v>75</v>
      </c>
      <c r="J2865" s="14" t="s">
        <v>201</v>
      </c>
      <c r="K2865" s="14">
        <v>1</v>
      </c>
      <c r="L2865" s="14" t="s">
        <v>1400</v>
      </c>
      <c r="N2865" s="14">
        <v>0</v>
      </c>
      <c r="O2865" s="14" t="b">
        <v>1</v>
      </c>
      <c r="Q2865" s="14" t="b">
        <v>0</v>
      </c>
      <c r="R2865" s="14">
        <v>1</v>
      </c>
      <c r="S2865" s="14" t="s">
        <v>77</v>
      </c>
      <c r="T2865" s="14">
        <v>999</v>
      </c>
      <c r="U2865" s="14" t="s">
        <v>1401</v>
      </c>
      <c r="V2865" s="14">
        <v>31936043</v>
      </c>
      <c r="X2865" s="14" t="s">
        <v>5196</v>
      </c>
      <c r="Y2865" s="14" t="s">
        <v>215</v>
      </c>
      <c r="Z2865" s="14">
        <v>21628</v>
      </c>
      <c r="AA2865" s="14" t="s">
        <v>5197</v>
      </c>
      <c r="AB2865" s="14">
        <v>40001</v>
      </c>
      <c r="AE2865" s="14" t="s">
        <v>1400</v>
      </c>
      <c r="AF2865" s="14" t="s">
        <v>1400</v>
      </c>
      <c r="AG2865" s="14" t="s">
        <v>98</v>
      </c>
    </row>
    <row r="2866" spans="2:33">
      <c r="B2866" s="14">
        <f>10000000+INDEX(编号表!$B:$B,MATCH(H2866,编号表!$A:$A,0))*100000+INDEX(编号表!$F:$F,MATCH(D2866,编号表!$E:$E,0))*10000+INDEX(编号表!$D:$D,MATCH(AG2866,编号表!$C:$C,0))*1000+F2866</f>
        <v>11946044</v>
      </c>
      <c r="C2866" s="14" t="s">
        <v>5193</v>
      </c>
      <c r="D2866" s="14" t="s">
        <v>104</v>
      </c>
      <c r="E2866" s="14" t="s">
        <v>98</v>
      </c>
      <c r="F2866" s="14">
        <v>44</v>
      </c>
      <c r="G2866" s="14">
        <v>60</v>
      </c>
      <c r="H2866" s="14" t="s">
        <v>1400</v>
      </c>
      <c r="I2866" s="14" t="s">
        <v>75</v>
      </c>
      <c r="J2866" s="14" t="s">
        <v>201</v>
      </c>
      <c r="K2866" s="14">
        <v>1</v>
      </c>
      <c r="L2866" s="14" t="s">
        <v>1400</v>
      </c>
      <c r="N2866" s="14">
        <v>0</v>
      </c>
      <c r="O2866" s="14" t="b">
        <v>1</v>
      </c>
      <c r="Q2866" s="14" t="b">
        <v>0</v>
      </c>
      <c r="R2866" s="14">
        <v>1</v>
      </c>
      <c r="S2866" s="14" t="s">
        <v>77</v>
      </c>
      <c r="T2866" s="14">
        <v>999</v>
      </c>
      <c r="U2866" s="14" t="s">
        <v>1401</v>
      </c>
      <c r="V2866" s="14">
        <v>31946044</v>
      </c>
      <c r="X2866" s="14" t="s">
        <v>5198</v>
      </c>
      <c r="Y2866" s="14" t="s">
        <v>215</v>
      </c>
      <c r="Z2866" s="14">
        <v>21629</v>
      </c>
      <c r="AA2866" s="14" t="s">
        <v>5199</v>
      </c>
      <c r="AB2866" s="14">
        <v>40001</v>
      </c>
      <c r="AE2866" s="14" t="s">
        <v>1400</v>
      </c>
      <c r="AF2866" s="14" t="s">
        <v>1400</v>
      </c>
      <c r="AG2866" s="14" t="s">
        <v>98</v>
      </c>
    </row>
    <row r="2867" spans="2:33">
      <c r="B2867" s="14">
        <f>10000000+INDEX(编号表!$B:$B,MATCH(H2867,编号表!$A:$A,0))*100000+INDEX(编号表!$F:$F,MATCH(D2867,编号表!$E:$E,0))*10000+INDEX(编号表!$D:$D,MATCH(AG2867,编号表!$C:$C,0))*1000+F2867</f>
        <v>11926043</v>
      </c>
      <c r="C2867" s="14" t="s">
        <v>5200</v>
      </c>
      <c r="D2867" s="14" t="s">
        <v>112</v>
      </c>
      <c r="E2867" s="14" t="s">
        <v>98</v>
      </c>
      <c r="F2867" s="14">
        <v>43</v>
      </c>
      <c r="G2867" s="14">
        <v>60</v>
      </c>
      <c r="H2867" s="14" t="s">
        <v>1400</v>
      </c>
      <c r="I2867" s="14" t="s">
        <v>75</v>
      </c>
      <c r="J2867" s="14" t="s">
        <v>201</v>
      </c>
      <c r="K2867" s="14">
        <v>1</v>
      </c>
      <c r="L2867" s="14" t="s">
        <v>1400</v>
      </c>
      <c r="N2867" s="14">
        <v>0</v>
      </c>
      <c r="O2867" s="14" t="b">
        <v>1</v>
      </c>
      <c r="Q2867" s="14" t="b">
        <v>0</v>
      </c>
      <c r="R2867" s="14">
        <v>1</v>
      </c>
      <c r="S2867" s="14" t="s">
        <v>77</v>
      </c>
      <c r="T2867" s="14">
        <v>999</v>
      </c>
      <c r="U2867" s="14" t="s">
        <v>1401</v>
      </c>
      <c r="V2867" s="14">
        <v>31926043</v>
      </c>
      <c r="X2867" s="14" t="s">
        <v>5201</v>
      </c>
      <c r="Y2867" s="14" t="s">
        <v>215</v>
      </c>
      <c r="Z2867" s="14">
        <v>21630</v>
      </c>
      <c r="AA2867" s="14" t="s">
        <v>5202</v>
      </c>
      <c r="AB2867" s="14">
        <v>40001</v>
      </c>
      <c r="AE2867" s="14" t="s">
        <v>1400</v>
      </c>
      <c r="AF2867" s="14" t="s">
        <v>1400</v>
      </c>
      <c r="AG2867" s="14" t="s">
        <v>98</v>
      </c>
    </row>
    <row r="2868" spans="2:33">
      <c r="B2868" s="14">
        <f>10000000+INDEX(编号表!$B:$B,MATCH(H2868,编号表!$A:$A,0))*100000+INDEX(编号表!$F:$F,MATCH(D2868,编号表!$E:$E,0))*10000+INDEX(编号表!$D:$D,MATCH(AG2868,编号表!$C:$C,0))*1000+F2868</f>
        <v>11936044</v>
      </c>
      <c r="C2868" s="14" t="s">
        <v>5200</v>
      </c>
      <c r="D2868" s="14" t="s">
        <v>276</v>
      </c>
      <c r="E2868" s="14" t="s">
        <v>98</v>
      </c>
      <c r="F2868" s="14">
        <v>44</v>
      </c>
      <c r="G2868" s="14">
        <v>60</v>
      </c>
      <c r="H2868" s="14" t="s">
        <v>1400</v>
      </c>
      <c r="I2868" s="14" t="s">
        <v>75</v>
      </c>
      <c r="J2868" s="14" t="s">
        <v>201</v>
      </c>
      <c r="K2868" s="14">
        <v>1</v>
      </c>
      <c r="L2868" s="14" t="s">
        <v>1400</v>
      </c>
      <c r="N2868" s="14">
        <v>0</v>
      </c>
      <c r="O2868" s="14" t="b">
        <v>1</v>
      </c>
      <c r="Q2868" s="14" t="b">
        <v>0</v>
      </c>
      <c r="R2868" s="14">
        <v>1</v>
      </c>
      <c r="S2868" s="14" t="s">
        <v>77</v>
      </c>
      <c r="T2868" s="14">
        <v>999</v>
      </c>
      <c r="U2868" s="14" t="s">
        <v>1401</v>
      </c>
      <c r="V2868" s="14">
        <v>31936044</v>
      </c>
      <c r="X2868" s="14" t="s">
        <v>5203</v>
      </c>
      <c r="Y2868" s="14" t="s">
        <v>215</v>
      </c>
      <c r="Z2868" s="14">
        <v>21631</v>
      </c>
      <c r="AA2868" s="14" t="s">
        <v>5204</v>
      </c>
      <c r="AB2868" s="14">
        <v>40001</v>
      </c>
      <c r="AE2868" s="14" t="s">
        <v>1400</v>
      </c>
      <c r="AF2868" s="14" t="s">
        <v>1400</v>
      </c>
      <c r="AG2868" s="14" t="s">
        <v>98</v>
      </c>
    </row>
    <row r="2869" spans="2:33">
      <c r="B2869" s="14">
        <f>10000000+INDEX(编号表!$B:$B,MATCH(H2869,编号表!$A:$A,0))*100000+INDEX(编号表!$F:$F,MATCH(D2869,编号表!$E:$E,0))*10000+INDEX(编号表!$D:$D,MATCH(AG2869,编号表!$C:$C,0))*1000+F2869</f>
        <v>11946045</v>
      </c>
      <c r="C2869" s="14" t="s">
        <v>5200</v>
      </c>
      <c r="D2869" s="14" t="s">
        <v>104</v>
      </c>
      <c r="E2869" s="14" t="s">
        <v>98</v>
      </c>
      <c r="F2869" s="14">
        <v>45</v>
      </c>
      <c r="G2869" s="14">
        <v>60</v>
      </c>
      <c r="H2869" s="14" t="s">
        <v>1400</v>
      </c>
      <c r="I2869" s="14" t="s">
        <v>75</v>
      </c>
      <c r="J2869" s="14" t="s">
        <v>201</v>
      </c>
      <c r="K2869" s="14">
        <v>1</v>
      </c>
      <c r="L2869" s="14" t="s">
        <v>1400</v>
      </c>
      <c r="N2869" s="14">
        <v>0</v>
      </c>
      <c r="O2869" s="14" t="b">
        <v>1</v>
      </c>
      <c r="Q2869" s="14" t="b">
        <v>0</v>
      </c>
      <c r="R2869" s="14">
        <v>1</v>
      </c>
      <c r="S2869" s="14" t="s">
        <v>77</v>
      </c>
      <c r="T2869" s="14">
        <v>999</v>
      </c>
      <c r="U2869" s="14" t="s">
        <v>1401</v>
      </c>
      <c r="V2869" s="14">
        <v>31946045</v>
      </c>
      <c r="X2869" s="14" t="s">
        <v>5205</v>
      </c>
      <c r="Y2869" s="14" t="s">
        <v>215</v>
      </c>
      <c r="Z2869" s="14">
        <v>21632</v>
      </c>
      <c r="AA2869" s="14" t="s">
        <v>5206</v>
      </c>
      <c r="AB2869" s="14">
        <v>40001</v>
      </c>
      <c r="AE2869" s="14" t="s">
        <v>1400</v>
      </c>
      <c r="AF2869" s="14" t="s">
        <v>1400</v>
      </c>
      <c r="AG2869" s="14" t="s">
        <v>98</v>
      </c>
    </row>
    <row r="2870" spans="2:33">
      <c r="B2870" s="14">
        <f>10000000+INDEX(编号表!$B:$B,MATCH(H2870,编号表!$A:$A,0))*100000+INDEX(编号表!$F:$F,MATCH(D2870,编号表!$E:$E,0))*10000+INDEX(编号表!$D:$D,MATCH(AG2870,编号表!$C:$C,0))*1000+F2870</f>
        <v>11926044</v>
      </c>
      <c r="C2870" s="14" t="s">
        <v>5207</v>
      </c>
      <c r="D2870" s="14" t="s">
        <v>112</v>
      </c>
      <c r="E2870" s="14" t="s">
        <v>98</v>
      </c>
      <c r="F2870" s="14">
        <v>44</v>
      </c>
      <c r="G2870" s="14">
        <v>60</v>
      </c>
      <c r="H2870" s="14" t="s">
        <v>1400</v>
      </c>
      <c r="I2870" s="14" t="s">
        <v>75</v>
      </c>
      <c r="J2870" s="14" t="s">
        <v>201</v>
      </c>
      <c r="K2870" s="14">
        <v>1</v>
      </c>
      <c r="L2870" s="14" t="s">
        <v>1400</v>
      </c>
      <c r="N2870" s="14">
        <v>0</v>
      </c>
      <c r="O2870" s="14" t="b">
        <v>1</v>
      </c>
      <c r="Q2870" s="14" t="b">
        <v>0</v>
      </c>
      <c r="R2870" s="14">
        <v>1</v>
      </c>
      <c r="S2870" s="14" t="s">
        <v>77</v>
      </c>
      <c r="T2870" s="14">
        <v>999</v>
      </c>
      <c r="U2870" s="14" t="s">
        <v>1401</v>
      </c>
      <c r="V2870" s="14">
        <v>31926044</v>
      </c>
      <c r="X2870" s="14" t="s">
        <v>5208</v>
      </c>
      <c r="Y2870" s="14" t="s">
        <v>215</v>
      </c>
      <c r="Z2870" s="14">
        <v>21633</v>
      </c>
      <c r="AA2870" s="14" t="s">
        <v>5209</v>
      </c>
      <c r="AB2870" s="14">
        <v>40001</v>
      </c>
      <c r="AE2870" s="14" t="s">
        <v>1400</v>
      </c>
      <c r="AF2870" s="14" t="s">
        <v>1400</v>
      </c>
      <c r="AG2870" s="14" t="s">
        <v>98</v>
      </c>
    </row>
    <row r="2871" spans="2:33">
      <c r="B2871" s="14">
        <f>10000000+INDEX(编号表!$B:$B,MATCH(H2871,编号表!$A:$A,0))*100000+INDEX(编号表!$F:$F,MATCH(D2871,编号表!$E:$E,0))*10000+INDEX(编号表!$D:$D,MATCH(AG2871,编号表!$C:$C,0))*1000+F2871</f>
        <v>11936045</v>
      </c>
      <c r="C2871" s="14" t="s">
        <v>5207</v>
      </c>
      <c r="D2871" s="14" t="s">
        <v>276</v>
      </c>
      <c r="E2871" s="14" t="s">
        <v>98</v>
      </c>
      <c r="F2871" s="14">
        <v>45</v>
      </c>
      <c r="G2871" s="14">
        <v>60</v>
      </c>
      <c r="H2871" s="14" t="s">
        <v>1400</v>
      </c>
      <c r="I2871" s="14" t="s">
        <v>75</v>
      </c>
      <c r="J2871" s="14" t="s">
        <v>201</v>
      </c>
      <c r="K2871" s="14">
        <v>1</v>
      </c>
      <c r="L2871" s="14" t="s">
        <v>1400</v>
      </c>
      <c r="N2871" s="14">
        <v>0</v>
      </c>
      <c r="O2871" s="14" t="b">
        <v>1</v>
      </c>
      <c r="Q2871" s="14" t="b">
        <v>0</v>
      </c>
      <c r="R2871" s="14">
        <v>1</v>
      </c>
      <c r="S2871" s="14" t="s">
        <v>77</v>
      </c>
      <c r="T2871" s="14">
        <v>999</v>
      </c>
      <c r="U2871" s="14" t="s">
        <v>1401</v>
      </c>
      <c r="V2871" s="14">
        <v>31936045</v>
      </c>
      <c r="X2871" s="14" t="s">
        <v>5210</v>
      </c>
      <c r="Y2871" s="14" t="s">
        <v>215</v>
      </c>
      <c r="Z2871" s="14">
        <v>21634</v>
      </c>
      <c r="AA2871" s="14" t="s">
        <v>5211</v>
      </c>
      <c r="AB2871" s="14">
        <v>40001</v>
      </c>
      <c r="AE2871" s="14" t="s">
        <v>1400</v>
      </c>
      <c r="AF2871" s="14" t="s">
        <v>1400</v>
      </c>
      <c r="AG2871" s="14" t="s">
        <v>98</v>
      </c>
    </row>
    <row r="2872" spans="2:33">
      <c r="B2872" s="14">
        <f>10000000+INDEX(编号表!$B:$B,MATCH(H2872,编号表!$A:$A,0))*100000+INDEX(编号表!$F:$F,MATCH(D2872,编号表!$E:$E,0))*10000+INDEX(编号表!$D:$D,MATCH(AG2872,编号表!$C:$C,0))*1000+F2872</f>
        <v>11946046</v>
      </c>
      <c r="C2872" s="14" t="s">
        <v>5207</v>
      </c>
      <c r="D2872" s="14" t="s">
        <v>104</v>
      </c>
      <c r="E2872" s="14" t="s">
        <v>98</v>
      </c>
      <c r="F2872" s="14">
        <v>46</v>
      </c>
      <c r="G2872" s="14">
        <v>60</v>
      </c>
      <c r="H2872" s="14" t="s">
        <v>1400</v>
      </c>
      <c r="I2872" s="14" t="s">
        <v>75</v>
      </c>
      <c r="J2872" s="14" t="s">
        <v>201</v>
      </c>
      <c r="K2872" s="14">
        <v>1</v>
      </c>
      <c r="L2872" s="14" t="s">
        <v>1400</v>
      </c>
      <c r="N2872" s="14">
        <v>0</v>
      </c>
      <c r="O2872" s="14" t="b">
        <v>1</v>
      </c>
      <c r="Q2872" s="14" t="b">
        <v>0</v>
      </c>
      <c r="R2872" s="14">
        <v>1</v>
      </c>
      <c r="S2872" s="14" t="s">
        <v>77</v>
      </c>
      <c r="T2872" s="14">
        <v>999</v>
      </c>
      <c r="U2872" s="14" t="s">
        <v>1401</v>
      </c>
      <c r="V2872" s="14">
        <v>31946046</v>
      </c>
      <c r="X2872" s="14" t="s">
        <v>5212</v>
      </c>
      <c r="Y2872" s="14" t="s">
        <v>215</v>
      </c>
      <c r="Z2872" s="14">
        <v>21635</v>
      </c>
      <c r="AA2872" s="14" t="s">
        <v>5213</v>
      </c>
      <c r="AB2872" s="14">
        <v>40001</v>
      </c>
      <c r="AE2872" s="14" t="s">
        <v>1400</v>
      </c>
      <c r="AF2872" s="14" t="s">
        <v>1400</v>
      </c>
      <c r="AG2872" s="14" t="s">
        <v>98</v>
      </c>
    </row>
    <row r="2873" spans="2:33">
      <c r="B2873" s="14">
        <f>10000000+INDEX(编号表!$B:$B,MATCH(H2873,编号表!$A:$A,0))*100000+INDEX(编号表!$F:$F,MATCH(D2873,编号表!$E:$E,0))*10000+INDEX(编号表!$D:$D,MATCH(AG2873,编号表!$C:$C,0))*1000+F2873</f>
        <v>11926045</v>
      </c>
      <c r="C2873" s="14" t="s">
        <v>5214</v>
      </c>
      <c r="D2873" s="14" t="s">
        <v>112</v>
      </c>
      <c r="E2873" s="14" t="s">
        <v>98</v>
      </c>
      <c r="F2873" s="14">
        <v>45</v>
      </c>
      <c r="G2873" s="14">
        <v>60</v>
      </c>
      <c r="H2873" s="14" t="s">
        <v>1400</v>
      </c>
      <c r="I2873" s="14" t="s">
        <v>75</v>
      </c>
      <c r="J2873" s="14" t="s">
        <v>201</v>
      </c>
      <c r="K2873" s="14">
        <v>1</v>
      </c>
      <c r="L2873" s="14" t="s">
        <v>1400</v>
      </c>
      <c r="N2873" s="14">
        <v>0</v>
      </c>
      <c r="O2873" s="14" t="b">
        <v>1</v>
      </c>
      <c r="Q2873" s="14" t="b">
        <v>0</v>
      </c>
      <c r="R2873" s="14">
        <v>1</v>
      </c>
      <c r="S2873" s="14" t="s">
        <v>77</v>
      </c>
      <c r="T2873" s="14">
        <v>999</v>
      </c>
      <c r="U2873" s="14" t="s">
        <v>1401</v>
      </c>
      <c r="V2873" s="14">
        <v>31926045</v>
      </c>
      <c r="X2873" s="14" t="s">
        <v>5215</v>
      </c>
      <c r="Y2873" s="14" t="s">
        <v>215</v>
      </c>
      <c r="Z2873" s="14">
        <v>21636</v>
      </c>
      <c r="AA2873" s="14" t="s">
        <v>5216</v>
      </c>
      <c r="AB2873" s="14">
        <v>40001</v>
      </c>
      <c r="AE2873" s="14" t="s">
        <v>1400</v>
      </c>
      <c r="AF2873" s="14" t="s">
        <v>1400</v>
      </c>
      <c r="AG2873" s="14" t="s">
        <v>98</v>
      </c>
    </row>
    <row r="2874" spans="2:33">
      <c r="B2874" s="14">
        <f>10000000+INDEX(编号表!$B:$B,MATCH(H2874,编号表!$A:$A,0))*100000+INDEX(编号表!$F:$F,MATCH(D2874,编号表!$E:$E,0))*10000+INDEX(编号表!$D:$D,MATCH(AG2874,编号表!$C:$C,0))*1000+F2874</f>
        <v>11936046</v>
      </c>
      <c r="C2874" s="14" t="s">
        <v>5214</v>
      </c>
      <c r="D2874" s="14" t="s">
        <v>276</v>
      </c>
      <c r="E2874" s="14" t="s">
        <v>98</v>
      </c>
      <c r="F2874" s="14">
        <v>46</v>
      </c>
      <c r="G2874" s="14">
        <v>60</v>
      </c>
      <c r="H2874" s="14" t="s">
        <v>1400</v>
      </c>
      <c r="I2874" s="14" t="s">
        <v>75</v>
      </c>
      <c r="J2874" s="14" t="s">
        <v>201</v>
      </c>
      <c r="K2874" s="14">
        <v>1</v>
      </c>
      <c r="L2874" s="14" t="s">
        <v>1400</v>
      </c>
      <c r="N2874" s="14">
        <v>0</v>
      </c>
      <c r="O2874" s="14" t="b">
        <v>1</v>
      </c>
      <c r="Q2874" s="14" t="b">
        <v>0</v>
      </c>
      <c r="R2874" s="14">
        <v>1</v>
      </c>
      <c r="S2874" s="14" t="s">
        <v>77</v>
      </c>
      <c r="T2874" s="14">
        <v>999</v>
      </c>
      <c r="U2874" s="14" t="s">
        <v>1401</v>
      </c>
      <c r="V2874" s="14">
        <v>31936046</v>
      </c>
      <c r="X2874" s="14" t="s">
        <v>5217</v>
      </c>
      <c r="Y2874" s="14" t="s">
        <v>215</v>
      </c>
      <c r="Z2874" s="14">
        <v>21637</v>
      </c>
      <c r="AA2874" s="14" t="s">
        <v>5218</v>
      </c>
      <c r="AB2874" s="14">
        <v>40001</v>
      </c>
      <c r="AE2874" s="14" t="s">
        <v>1400</v>
      </c>
      <c r="AF2874" s="14" t="s">
        <v>1400</v>
      </c>
      <c r="AG2874" s="14" t="s">
        <v>98</v>
      </c>
    </row>
    <row r="2875" spans="2:33">
      <c r="B2875" s="14">
        <f>10000000+INDEX(编号表!$B:$B,MATCH(H2875,编号表!$A:$A,0))*100000+INDEX(编号表!$F:$F,MATCH(D2875,编号表!$E:$E,0))*10000+INDEX(编号表!$D:$D,MATCH(AG2875,编号表!$C:$C,0))*1000+F2875</f>
        <v>11946047</v>
      </c>
      <c r="C2875" s="14" t="s">
        <v>5214</v>
      </c>
      <c r="D2875" s="14" t="s">
        <v>104</v>
      </c>
      <c r="E2875" s="14" t="s">
        <v>98</v>
      </c>
      <c r="F2875" s="14">
        <v>47</v>
      </c>
      <c r="G2875" s="14">
        <v>60</v>
      </c>
      <c r="H2875" s="14" t="s">
        <v>1400</v>
      </c>
      <c r="I2875" s="14" t="s">
        <v>75</v>
      </c>
      <c r="J2875" s="14" t="s">
        <v>201</v>
      </c>
      <c r="K2875" s="14">
        <v>1</v>
      </c>
      <c r="L2875" s="14" t="s">
        <v>1400</v>
      </c>
      <c r="N2875" s="14">
        <v>0</v>
      </c>
      <c r="O2875" s="14" t="b">
        <v>1</v>
      </c>
      <c r="Q2875" s="14" t="b">
        <v>0</v>
      </c>
      <c r="R2875" s="14">
        <v>1</v>
      </c>
      <c r="S2875" s="14" t="s">
        <v>77</v>
      </c>
      <c r="T2875" s="14">
        <v>999</v>
      </c>
      <c r="U2875" s="14" t="s">
        <v>1401</v>
      </c>
      <c r="V2875" s="14">
        <v>31946047</v>
      </c>
      <c r="X2875" s="14" t="s">
        <v>5219</v>
      </c>
      <c r="Y2875" s="14" t="s">
        <v>215</v>
      </c>
      <c r="Z2875" s="14">
        <v>21638</v>
      </c>
      <c r="AA2875" s="14" t="s">
        <v>5220</v>
      </c>
      <c r="AB2875" s="14">
        <v>40001</v>
      </c>
      <c r="AE2875" s="14" t="s">
        <v>1400</v>
      </c>
      <c r="AF2875" s="14" t="s">
        <v>1400</v>
      </c>
      <c r="AG2875" s="14" t="s">
        <v>98</v>
      </c>
    </row>
    <row r="2876" spans="2:33">
      <c r="B2876" s="14">
        <f>10000000+INDEX(编号表!$B:$B,MATCH(H2876,编号表!$A:$A,0))*100000+INDEX(编号表!$F:$F,MATCH(D2876,编号表!$E:$E,0))*10000+INDEX(编号表!$D:$D,MATCH(AG2876,编号表!$C:$C,0))*1000+F2876</f>
        <v>11926046</v>
      </c>
      <c r="C2876" s="14" t="s">
        <v>5221</v>
      </c>
      <c r="D2876" s="14" t="s">
        <v>112</v>
      </c>
      <c r="E2876" s="14" t="s">
        <v>98</v>
      </c>
      <c r="F2876" s="14">
        <v>46</v>
      </c>
      <c r="G2876" s="14">
        <v>60</v>
      </c>
      <c r="H2876" s="14" t="s">
        <v>1400</v>
      </c>
      <c r="I2876" s="14" t="s">
        <v>75</v>
      </c>
      <c r="J2876" s="14" t="s">
        <v>201</v>
      </c>
      <c r="K2876" s="14">
        <v>1</v>
      </c>
      <c r="L2876" s="14" t="s">
        <v>1400</v>
      </c>
      <c r="N2876" s="14">
        <v>0</v>
      </c>
      <c r="O2876" s="14" t="b">
        <v>1</v>
      </c>
      <c r="Q2876" s="14" t="b">
        <v>0</v>
      </c>
      <c r="R2876" s="14">
        <v>1</v>
      </c>
      <c r="S2876" s="14" t="s">
        <v>77</v>
      </c>
      <c r="T2876" s="14">
        <v>999</v>
      </c>
      <c r="U2876" s="14" t="s">
        <v>1401</v>
      </c>
      <c r="V2876" s="14">
        <v>31926046</v>
      </c>
      <c r="X2876" s="14" t="s">
        <v>5222</v>
      </c>
      <c r="Y2876" s="14" t="s">
        <v>215</v>
      </c>
      <c r="Z2876" s="14">
        <v>21639</v>
      </c>
      <c r="AA2876" s="14" t="s">
        <v>5223</v>
      </c>
      <c r="AB2876" s="14">
        <v>40001</v>
      </c>
      <c r="AE2876" s="14" t="s">
        <v>1400</v>
      </c>
      <c r="AF2876" s="14" t="s">
        <v>1400</v>
      </c>
      <c r="AG2876" s="14" t="s">
        <v>98</v>
      </c>
    </row>
    <row r="2877" spans="2:33">
      <c r="B2877" s="14">
        <f>10000000+INDEX(编号表!$B:$B,MATCH(H2877,编号表!$A:$A,0))*100000+INDEX(编号表!$F:$F,MATCH(D2877,编号表!$E:$E,0))*10000+INDEX(编号表!$D:$D,MATCH(AG2877,编号表!$C:$C,0))*1000+F2877</f>
        <v>11936047</v>
      </c>
      <c r="C2877" s="14" t="s">
        <v>5221</v>
      </c>
      <c r="D2877" s="14" t="s">
        <v>276</v>
      </c>
      <c r="E2877" s="14" t="s">
        <v>98</v>
      </c>
      <c r="F2877" s="14">
        <v>47</v>
      </c>
      <c r="G2877" s="14">
        <v>60</v>
      </c>
      <c r="H2877" s="14" t="s">
        <v>1400</v>
      </c>
      <c r="I2877" s="14" t="s">
        <v>75</v>
      </c>
      <c r="J2877" s="14" t="s">
        <v>201</v>
      </c>
      <c r="K2877" s="14">
        <v>1</v>
      </c>
      <c r="L2877" s="14" t="s">
        <v>1400</v>
      </c>
      <c r="N2877" s="14">
        <v>0</v>
      </c>
      <c r="O2877" s="14" t="b">
        <v>1</v>
      </c>
      <c r="Q2877" s="14" t="b">
        <v>0</v>
      </c>
      <c r="R2877" s="14">
        <v>1</v>
      </c>
      <c r="S2877" s="14" t="s">
        <v>77</v>
      </c>
      <c r="T2877" s="14">
        <v>999</v>
      </c>
      <c r="U2877" s="14" t="s">
        <v>1401</v>
      </c>
      <c r="V2877" s="14">
        <v>31936047</v>
      </c>
      <c r="X2877" s="14" t="s">
        <v>5224</v>
      </c>
      <c r="Y2877" s="14" t="s">
        <v>215</v>
      </c>
      <c r="Z2877" s="14">
        <v>21640</v>
      </c>
      <c r="AA2877" s="14" t="s">
        <v>5225</v>
      </c>
      <c r="AB2877" s="14">
        <v>40001</v>
      </c>
      <c r="AE2877" s="14" t="s">
        <v>1400</v>
      </c>
      <c r="AF2877" s="14" t="s">
        <v>1400</v>
      </c>
      <c r="AG2877" s="14" t="s">
        <v>98</v>
      </c>
    </row>
    <row r="2878" spans="2:33">
      <c r="B2878" s="14">
        <f>10000000+INDEX(编号表!$B:$B,MATCH(H2878,编号表!$A:$A,0))*100000+INDEX(编号表!$F:$F,MATCH(D2878,编号表!$E:$E,0))*10000+INDEX(编号表!$D:$D,MATCH(AG2878,编号表!$C:$C,0))*1000+F2878</f>
        <v>11946048</v>
      </c>
      <c r="C2878" s="14" t="s">
        <v>5221</v>
      </c>
      <c r="D2878" s="14" t="s">
        <v>104</v>
      </c>
      <c r="E2878" s="14" t="s">
        <v>98</v>
      </c>
      <c r="F2878" s="14">
        <v>48</v>
      </c>
      <c r="G2878" s="14">
        <v>60</v>
      </c>
      <c r="H2878" s="14" t="s">
        <v>1400</v>
      </c>
      <c r="I2878" s="14" t="s">
        <v>75</v>
      </c>
      <c r="J2878" s="14" t="s">
        <v>201</v>
      </c>
      <c r="K2878" s="14">
        <v>1</v>
      </c>
      <c r="L2878" s="14" t="s">
        <v>1400</v>
      </c>
      <c r="N2878" s="14">
        <v>0</v>
      </c>
      <c r="O2878" s="14" t="b">
        <v>1</v>
      </c>
      <c r="Q2878" s="14" t="b">
        <v>0</v>
      </c>
      <c r="R2878" s="14">
        <v>1</v>
      </c>
      <c r="S2878" s="14" t="s">
        <v>77</v>
      </c>
      <c r="T2878" s="14">
        <v>999</v>
      </c>
      <c r="U2878" s="14" t="s">
        <v>1401</v>
      </c>
      <c r="V2878" s="14">
        <v>31946048</v>
      </c>
      <c r="X2878" s="14" t="s">
        <v>5226</v>
      </c>
      <c r="Y2878" s="14" t="s">
        <v>215</v>
      </c>
      <c r="Z2878" s="14">
        <v>21641</v>
      </c>
      <c r="AA2878" s="14" t="s">
        <v>5227</v>
      </c>
      <c r="AB2878" s="14">
        <v>40001</v>
      </c>
      <c r="AE2878" s="14" t="s">
        <v>1400</v>
      </c>
      <c r="AF2878" s="14" t="s">
        <v>1400</v>
      </c>
      <c r="AG2878" s="14" t="s">
        <v>98</v>
      </c>
    </row>
    <row r="2879" spans="2:33">
      <c r="B2879" s="14">
        <f>10000000+INDEX(编号表!$B:$B,MATCH(H2879,编号表!$A:$A,0))*100000+INDEX(编号表!$F:$F,MATCH(D2879,编号表!$E:$E,0))*10000+INDEX(编号表!$D:$D,MATCH(AG2879,编号表!$C:$C,0))*1000+F2879</f>
        <v>11926047</v>
      </c>
      <c r="C2879" s="14" t="s">
        <v>5228</v>
      </c>
      <c r="D2879" s="14" t="s">
        <v>112</v>
      </c>
      <c r="E2879" s="14" t="s">
        <v>98</v>
      </c>
      <c r="F2879" s="14">
        <v>47</v>
      </c>
      <c r="G2879" s="14">
        <v>60</v>
      </c>
      <c r="H2879" s="14" t="s">
        <v>1400</v>
      </c>
      <c r="I2879" s="14" t="s">
        <v>75</v>
      </c>
      <c r="J2879" s="14" t="s">
        <v>201</v>
      </c>
      <c r="K2879" s="14">
        <v>1</v>
      </c>
      <c r="L2879" s="14" t="s">
        <v>1400</v>
      </c>
      <c r="N2879" s="14">
        <v>0</v>
      </c>
      <c r="O2879" s="14" t="b">
        <v>1</v>
      </c>
      <c r="Q2879" s="14" t="b">
        <v>0</v>
      </c>
      <c r="R2879" s="14">
        <v>1</v>
      </c>
      <c r="S2879" s="14" t="s">
        <v>77</v>
      </c>
      <c r="T2879" s="14">
        <v>999</v>
      </c>
      <c r="U2879" s="14" t="s">
        <v>1401</v>
      </c>
      <c r="V2879" s="14">
        <v>31926047</v>
      </c>
      <c r="X2879" s="14" t="s">
        <v>5229</v>
      </c>
      <c r="Y2879" s="14" t="s">
        <v>215</v>
      </c>
      <c r="Z2879" s="14">
        <v>21642</v>
      </c>
      <c r="AA2879" s="14" t="s">
        <v>5230</v>
      </c>
      <c r="AB2879" s="14">
        <v>40001</v>
      </c>
      <c r="AE2879" s="14" t="s">
        <v>1400</v>
      </c>
      <c r="AF2879" s="14" t="s">
        <v>1400</v>
      </c>
      <c r="AG2879" s="14" t="s">
        <v>98</v>
      </c>
    </row>
    <row r="2880" spans="2:33">
      <c r="B2880" s="14">
        <f>10000000+INDEX(编号表!$B:$B,MATCH(H2880,编号表!$A:$A,0))*100000+INDEX(编号表!$F:$F,MATCH(D2880,编号表!$E:$E,0))*10000+INDEX(编号表!$D:$D,MATCH(AG2880,编号表!$C:$C,0))*1000+F2880</f>
        <v>11936048</v>
      </c>
      <c r="C2880" s="14" t="s">
        <v>5228</v>
      </c>
      <c r="D2880" s="14" t="s">
        <v>276</v>
      </c>
      <c r="E2880" s="14" t="s">
        <v>98</v>
      </c>
      <c r="F2880" s="14">
        <v>48</v>
      </c>
      <c r="G2880" s="14">
        <v>60</v>
      </c>
      <c r="H2880" s="14" t="s">
        <v>1400</v>
      </c>
      <c r="I2880" s="14" t="s">
        <v>75</v>
      </c>
      <c r="J2880" s="14" t="s">
        <v>201</v>
      </c>
      <c r="K2880" s="14">
        <v>1</v>
      </c>
      <c r="L2880" s="14" t="s">
        <v>1400</v>
      </c>
      <c r="N2880" s="14">
        <v>0</v>
      </c>
      <c r="O2880" s="14" t="b">
        <v>1</v>
      </c>
      <c r="Q2880" s="14" t="b">
        <v>0</v>
      </c>
      <c r="R2880" s="14">
        <v>1</v>
      </c>
      <c r="S2880" s="14" t="s">
        <v>77</v>
      </c>
      <c r="T2880" s="14">
        <v>999</v>
      </c>
      <c r="U2880" s="14" t="s">
        <v>1401</v>
      </c>
      <c r="V2880" s="14">
        <v>31936048</v>
      </c>
      <c r="X2880" s="14" t="s">
        <v>5231</v>
      </c>
      <c r="Y2880" s="14" t="s">
        <v>215</v>
      </c>
      <c r="Z2880" s="14">
        <v>21643</v>
      </c>
      <c r="AA2880" s="14" t="s">
        <v>5232</v>
      </c>
      <c r="AB2880" s="14">
        <v>40001</v>
      </c>
      <c r="AE2880" s="14" t="s">
        <v>1400</v>
      </c>
      <c r="AF2880" s="14" t="s">
        <v>1400</v>
      </c>
      <c r="AG2880" s="14" t="s">
        <v>98</v>
      </c>
    </row>
    <row r="2881" spans="2:33">
      <c r="B2881" s="14">
        <f>10000000+INDEX(编号表!$B:$B,MATCH(H2881,编号表!$A:$A,0))*100000+INDEX(编号表!$F:$F,MATCH(D2881,编号表!$E:$E,0))*10000+INDEX(编号表!$D:$D,MATCH(AG2881,编号表!$C:$C,0))*1000+F2881</f>
        <v>11946049</v>
      </c>
      <c r="C2881" s="14" t="s">
        <v>5228</v>
      </c>
      <c r="D2881" s="14" t="s">
        <v>104</v>
      </c>
      <c r="E2881" s="14" t="s">
        <v>98</v>
      </c>
      <c r="F2881" s="14">
        <v>49</v>
      </c>
      <c r="G2881" s="14">
        <v>60</v>
      </c>
      <c r="H2881" s="14" t="s">
        <v>1400</v>
      </c>
      <c r="I2881" s="14" t="s">
        <v>75</v>
      </c>
      <c r="J2881" s="14" t="s">
        <v>201</v>
      </c>
      <c r="K2881" s="14">
        <v>1</v>
      </c>
      <c r="L2881" s="14" t="s">
        <v>1400</v>
      </c>
      <c r="N2881" s="14">
        <v>0</v>
      </c>
      <c r="O2881" s="14" t="b">
        <v>1</v>
      </c>
      <c r="Q2881" s="14" t="b">
        <v>0</v>
      </c>
      <c r="R2881" s="14">
        <v>1</v>
      </c>
      <c r="S2881" s="14" t="s">
        <v>77</v>
      </c>
      <c r="T2881" s="14">
        <v>999</v>
      </c>
      <c r="U2881" s="14" t="s">
        <v>1401</v>
      </c>
      <c r="V2881" s="14">
        <v>31946049</v>
      </c>
      <c r="X2881" s="14" t="s">
        <v>5233</v>
      </c>
      <c r="Y2881" s="14" t="s">
        <v>215</v>
      </c>
      <c r="Z2881" s="14">
        <v>21644</v>
      </c>
      <c r="AA2881" s="14" t="s">
        <v>5234</v>
      </c>
      <c r="AB2881" s="14">
        <v>40001</v>
      </c>
      <c r="AE2881" s="14" t="s">
        <v>1400</v>
      </c>
      <c r="AF2881" s="14" t="s">
        <v>1400</v>
      </c>
      <c r="AG2881" s="14" t="s">
        <v>98</v>
      </c>
    </row>
    <row r="2882" spans="2:33">
      <c r="B2882" s="14">
        <f>10000000+INDEX(编号表!$B:$B,MATCH(H2882,编号表!$A:$A,0))*100000+INDEX(编号表!$F:$F,MATCH(D2882,编号表!$E:$E,0))*10000+INDEX(编号表!$D:$D,MATCH(AG2882,编号表!$C:$C,0))*1000+F2882</f>
        <v>11926048</v>
      </c>
      <c r="C2882" s="14" t="s">
        <v>5235</v>
      </c>
      <c r="D2882" s="14" t="s">
        <v>112</v>
      </c>
      <c r="E2882" s="14" t="s">
        <v>98</v>
      </c>
      <c r="F2882" s="14">
        <v>48</v>
      </c>
      <c r="G2882" s="14">
        <v>60</v>
      </c>
      <c r="H2882" s="14" t="s">
        <v>1400</v>
      </c>
      <c r="I2882" s="14" t="s">
        <v>75</v>
      </c>
      <c r="J2882" s="14" t="s">
        <v>201</v>
      </c>
      <c r="K2882" s="14">
        <v>1</v>
      </c>
      <c r="L2882" s="14" t="s">
        <v>1400</v>
      </c>
      <c r="N2882" s="14">
        <v>0</v>
      </c>
      <c r="O2882" s="14" t="b">
        <v>1</v>
      </c>
      <c r="Q2882" s="14" t="b">
        <v>0</v>
      </c>
      <c r="R2882" s="14">
        <v>1</v>
      </c>
      <c r="S2882" s="14" t="s">
        <v>77</v>
      </c>
      <c r="T2882" s="14">
        <v>999</v>
      </c>
      <c r="U2882" s="14" t="s">
        <v>1401</v>
      </c>
      <c r="V2882" s="14">
        <v>31926048</v>
      </c>
      <c r="X2882" s="14" t="s">
        <v>5236</v>
      </c>
      <c r="Y2882" s="14" t="s">
        <v>215</v>
      </c>
      <c r="Z2882" s="14">
        <v>21645</v>
      </c>
      <c r="AA2882" s="14" t="s">
        <v>5237</v>
      </c>
      <c r="AB2882" s="14">
        <v>40001</v>
      </c>
      <c r="AE2882" s="14" t="s">
        <v>1400</v>
      </c>
      <c r="AF2882" s="14" t="s">
        <v>1400</v>
      </c>
      <c r="AG2882" s="14" t="s">
        <v>98</v>
      </c>
    </row>
    <row r="2883" spans="2:33">
      <c r="B2883" s="14">
        <f>10000000+INDEX(编号表!$B:$B,MATCH(H2883,编号表!$A:$A,0))*100000+INDEX(编号表!$F:$F,MATCH(D2883,编号表!$E:$E,0))*10000+INDEX(编号表!$D:$D,MATCH(AG2883,编号表!$C:$C,0))*1000+F2883</f>
        <v>11936049</v>
      </c>
      <c r="C2883" s="14" t="s">
        <v>5235</v>
      </c>
      <c r="D2883" s="14" t="s">
        <v>276</v>
      </c>
      <c r="E2883" s="14" t="s">
        <v>98</v>
      </c>
      <c r="F2883" s="14">
        <v>49</v>
      </c>
      <c r="G2883" s="14">
        <v>60</v>
      </c>
      <c r="H2883" s="14" t="s">
        <v>1400</v>
      </c>
      <c r="I2883" s="14" t="s">
        <v>75</v>
      </c>
      <c r="J2883" s="14" t="s">
        <v>201</v>
      </c>
      <c r="K2883" s="14">
        <v>1</v>
      </c>
      <c r="L2883" s="14" t="s">
        <v>1400</v>
      </c>
      <c r="N2883" s="14">
        <v>0</v>
      </c>
      <c r="O2883" s="14" t="b">
        <v>1</v>
      </c>
      <c r="Q2883" s="14" t="b">
        <v>0</v>
      </c>
      <c r="R2883" s="14">
        <v>1</v>
      </c>
      <c r="S2883" s="14" t="s">
        <v>77</v>
      </c>
      <c r="T2883" s="14">
        <v>999</v>
      </c>
      <c r="U2883" s="14" t="s">
        <v>1401</v>
      </c>
      <c r="V2883" s="14">
        <v>31936049</v>
      </c>
      <c r="X2883" s="14" t="s">
        <v>5238</v>
      </c>
      <c r="Y2883" s="14" t="s">
        <v>215</v>
      </c>
      <c r="Z2883" s="14">
        <v>21646</v>
      </c>
      <c r="AA2883" s="14" t="s">
        <v>5239</v>
      </c>
      <c r="AB2883" s="14">
        <v>40001</v>
      </c>
      <c r="AE2883" s="14" t="s">
        <v>1400</v>
      </c>
      <c r="AF2883" s="14" t="s">
        <v>1400</v>
      </c>
      <c r="AG2883" s="14" t="s">
        <v>98</v>
      </c>
    </row>
    <row r="2884" spans="2:33">
      <c r="B2884" s="14">
        <f>10000000+INDEX(编号表!$B:$B,MATCH(H2884,编号表!$A:$A,0))*100000+INDEX(编号表!$F:$F,MATCH(D2884,编号表!$E:$E,0))*10000+INDEX(编号表!$D:$D,MATCH(AG2884,编号表!$C:$C,0))*1000+F2884</f>
        <v>11946050</v>
      </c>
      <c r="C2884" s="14" t="s">
        <v>5235</v>
      </c>
      <c r="D2884" s="14" t="s">
        <v>104</v>
      </c>
      <c r="E2884" s="14" t="s">
        <v>98</v>
      </c>
      <c r="F2884" s="14">
        <v>50</v>
      </c>
      <c r="G2884" s="14">
        <v>60</v>
      </c>
      <c r="H2884" s="14" t="s">
        <v>1400</v>
      </c>
      <c r="I2884" s="14" t="s">
        <v>75</v>
      </c>
      <c r="J2884" s="14" t="s">
        <v>201</v>
      </c>
      <c r="K2884" s="14">
        <v>1</v>
      </c>
      <c r="L2884" s="14" t="s">
        <v>1400</v>
      </c>
      <c r="N2884" s="14">
        <v>0</v>
      </c>
      <c r="O2884" s="14" t="b">
        <v>1</v>
      </c>
      <c r="Q2884" s="14" t="b">
        <v>0</v>
      </c>
      <c r="R2884" s="14">
        <v>1</v>
      </c>
      <c r="S2884" s="14" t="s">
        <v>77</v>
      </c>
      <c r="T2884" s="14">
        <v>999</v>
      </c>
      <c r="U2884" s="14" t="s">
        <v>1401</v>
      </c>
      <c r="V2884" s="14">
        <v>31946050</v>
      </c>
      <c r="X2884" s="14" t="s">
        <v>5240</v>
      </c>
      <c r="Y2884" s="14" t="s">
        <v>215</v>
      </c>
      <c r="Z2884" s="14">
        <v>21647</v>
      </c>
      <c r="AA2884" s="14" t="s">
        <v>5241</v>
      </c>
      <c r="AB2884" s="14">
        <v>40001</v>
      </c>
      <c r="AE2884" s="14" t="s">
        <v>1400</v>
      </c>
      <c r="AF2884" s="14" t="s">
        <v>1400</v>
      </c>
      <c r="AG2884" s="14" t="s">
        <v>98</v>
      </c>
    </row>
    <row r="2885" spans="2:33">
      <c r="B2885" s="14">
        <f>10000000+INDEX(编号表!$B:$B,MATCH(H2885,编号表!$A:$A,0))*100000+INDEX(编号表!$F:$F,MATCH(D2885,编号表!$E:$E,0))*10000+INDEX(编号表!$D:$D,MATCH(AG2885,编号表!$C:$C,0))*1000+F2885</f>
        <v>11926049</v>
      </c>
      <c r="C2885" s="14" t="s">
        <v>5242</v>
      </c>
      <c r="D2885" s="14" t="s">
        <v>112</v>
      </c>
      <c r="E2885" s="14" t="s">
        <v>98</v>
      </c>
      <c r="F2885" s="14">
        <v>49</v>
      </c>
      <c r="G2885" s="14">
        <v>60</v>
      </c>
      <c r="H2885" s="14" t="s">
        <v>1400</v>
      </c>
      <c r="I2885" s="14" t="s">
        <v>75</v>
      </c>
      <c r="J2885" s="14" t="s">
        <v>201</v>
      </c>
      <c r="K2885" s="14">
        <v>1</v>
      </c>
      <c r="L2885" s="14" t="s">
        <v>1400</v>
      </c>
      <c r="N2885" s="14">
        <v>0</v>
      </c>
      <c r="O2885" s="14" t="b">
        <v>1</v>
      </c>
      <c r="Q2885" s="14" t="b">
        <v>0</v>
      </c>
      <c r="R2885" s="14">
        <v>1</v>
      </c>
      <c r="S2885" s="14" t="s">
        <v>77</v>
      </c>
      <c r="T2885" s="14">
        <v>999</v>
      </c>
      <c r="U2885" s="14" t="s">
        <v>1401</v>
      </c>
      <c r="V2885" s="14">
        <v>31926049</v>
      </c>
      <c r="X2885" s="14" t="s">
        <v>5243</v>
      </c>
      <c r="Y2885" s="14" t="s">
        <v>215</v>
      </c>
      <c r="Z2885" s="14">
        <v>21648</v>
      </c>
      <c r="AA2885" s="14" t="s">
        <v>5244</v>
      </c>
      <c r="AB2885" s="14">
        <v>40001</v>
      </c>
      <c r="AE2885" s="14" t="s">
        <v>1400</v>
      </c>
      <c r="AF2885" s="14" t="s">
        <v>1400</v>
      </c>
      <c r="AG2885" s="14" t="s">
        <v>98</v>
      </c>
    </row>
    <row r="2886" spans="2:33">
      <c r="B2886" s="14">
        <f>10000000+INDEX(编号表!$B:$B,MATCH(H2886,编号表!$A:$A,0))*100000+INDEX(编号表!$F:$F,MATCH(D2886,编号表!$E:$E,0))*10000+INDEX(编号表!$D:$D,MATCH(AG2886,编号表!$C:$C,0))*1000+F2886</f>
        <v>11936050</v>
      </c>
      <c r="C2886" s="14" t="s">
        <v>5242</v>
      </c>
      <c r="D2886" s="14" t="s">
        <v>276</v>
      </c>
      <c r="E2886" s="14" t="s">
        <v>98</v>
      </c>
      <c r="F2886" s="14">
        <v>50</v>
      </c>
      <c r="G2886" s="14">
        <v>60</v>
      </c>
      <c r="H2886" s="14" t="s">
        <v>1400</v>
      </c>
      <c r="I2886" s="14" t="s">
        <v>75</v>
      </c>
      <c r="J2886" s="14" t="s">
        <v>201</v>
      </c>
      <c r="K2886" s="14">
        <v>1</v>
      </c>
      <c r="L2886" s="14" t="s">
        <v>1400</v>
      </c>
      <c r="N2886" s="14">
        <v>0</v>
      </c>
      <c r="O2886" s="14" t="b">
        <v>1</v>
      </c>
      <c r="Q2886" s="14" t="b">
        <v>0</v>
      </c>
      <c r="R2886" s="14">
        <v>1</v>
      </c>
      <c r="S2886" s="14" t="s">
        <v>77</v>
      </c>
      <c r="T2886" s="14">
        <v>999</v>
      </c>
      <c r="U2886" s="14" t="s">
        <v>1401</v>
      </c>
      <c r="V2886" s="14">
        <v>31936050</v>
      </c>
      <c r="X2886" s="14" t="s">
        <v>5245</v>
      </c>
      <c r="Y2886" s="14" t="s">
        <v>215</v>
      </c>
      <c r="Z2886" s="14">
        <v>21649</v>
      </c>
      <c r="AA2886" s="14" t="s">
        <v>5246</v>
      </c>
      <c r="AB2886" s="14">
        <v>40001</v>
      </c>
      <c r="AE2886" s="14" t="s">
        <v>1400</v>
      </c>
      <c r="AF2886" s="14" t="s">
        <v>1400</v>
      </c>
      <c r="AG2886" s="14" t="s">
        <v>98</v>
      </c>
    </row>
    <row r="2887" spans="2:33">
      <c r="B2887" s="14">
        <f>10000000+INDEX(编号表!$B:$B,MATCH(H2887,编号表!$A:$A,0))*100000+INDEX(编号表!$F:$F,MATCH(D2887,编号表!$E:$E,0))*10000+INDEX(编号表!$D:$D,MATCH(AG2887,编号表!$C:$C,0))*1000+F2887</f>
        <v>11946051</v>
      </c>
      <c r="C2887" s="14" t="s">
        <v>5242</v>
      </c>
      <c r="D2887" s="14" t="s">
        <v>104</v>
      </c>
      <c r="E2887" s="14" t="s">
        <v>98</v>
      </c>
      <c r="F2887" s="14">
        <v>51</v>
      </c>
      <c r="G2887" s="14">
        <v>60</v>
      </c>
      <c r="H2887" s="14" t="s">
        <v>1400</v>
      </c>
      <c r="I2887" s="14" t="s">
        <v>75</v>
      </c>
      <c r="J2887" s="14" t="s">
        <v>201</v>
      </c>
      <c r="K2887" s="14">
        <v>1</v>
      </c>
      <c r="L2887" s="14" t="s">
        <v>1400</v>
      </c>
      <c r="N2887" s="14">
        <v>0</v>
      </c>
      <c r="O2887" s="14" t="b">
        <v>1</v>
      </c>
      <c r="Q2887" s="14" t="b">
        <v>0</v>
      </c>
      <c r="R2887" s="14">
        <v>1</v>
      </c>
      <c r="S2887" s="14" t="s">
        <v>77</v>
      </c>
      <c r="T2887" s="14">
        <v>999</v>
      </c>
      <c r="U2887" s="14" t="s">
        <v>1401</v>
      </c>
      <c r="V2887" s="14">
        <v>31946051</v>
      </c>
      <c r="X2887" s="14" t="s">
        <v>5247</v>
      </c>
      <c r="Y2887" s="14" t="s">
        <v>215</v>
      </c>
      <c r="Z2887" s="14">
        <v>21650</v>
      </c>
      <c r="AA2887" s="14" t="s">
        <v>5248</v>
      </c>
      <c r="AB2887" s="14">
        <v>40001</v>
      </c>
      <c r="AE2887" s="14" t="s">
        <v>1400</v>
      </c>
      <c r="AF2887" s="14" t="s">
        <v>1400</v>
      </c>
      <c r="AG2887" s="14" t="s">
        <v>98</v>
      </c>
    </row>
    <row r="2888" spans="2:33">
      <c r="B2888" s="14">
        <f>10000000+INDEX(编号表!$B:$B,MATCH(H2888,编号表!$A:$A,0))*100000+INDEX(编号表!$F:$F,MATCH(D2888,编号表!$E:$E,0))*10000+INDEX(编号表!$D:$D,MATCH(AG2888,编号表!$C:$C,0))*1000+F2888</f>
        <v>11926050</v>
      </c>
      <c r="C2888" s="14" t="s">
        <v>5249</v>
      </c>
      <c r="D2888" s="14" t="s">
        <v>112</v>
      </c>
      <c r="E2888" s="14" t="s">
        <v>98</v>
      </c>
      <c r="F2888" s="14">
        <v>50</v>
      </c>
      <c r="G2888" s="14">
        <v>60</v>
      </c>
      <c r="H2888" s="14" t="s">
        <v>1400</v>
      </c>
      <c r="I2888" s="14" t="s">
        <v>75</v>
      </c>
      <c r="J2888" s="14" t="s">
        <v>201</v>
      </c>
      <c r="K2888" s="14">
        <v>1</v>
      </c>
      <c r="L2888" s="14" t="s">
        <v>1400</v>
      </c>
      <c r="N2888" s="14">
        <v>0</v>
      </c>
      <c r="O2888" s="14" t="b">
        <v>1</v>
      </c>
      <c r="Q2888" s="14" t="b">
        <v>0</v>
      </c>
      <c r="R2888" s="14">
        <v>1</v>
      </c>
      <c r="S2888" s="14" t="s">
        <v>77</v>
      </c>
      <c r="T2888" s="14">
        <v>999</v>
      </c>
      <c r="U2888" s="14" t="s">
        <v>1401</v>
      </c>
      <c r="V2888" s="14">
        <v>31926050</v>
      </c>
      <c r="X2888" s="14" t="s">
        <v>5250</v>
      </c>
      <c r="Y2888" s="14" t="s">
        <v>215</v>
      </c>
      <c r="Z2888" s="14">
        <v>21651</v>
      </c>
      <c r="AA2888" s="14" t="s">
        <v>5251</v>
      </c>
      <c r="AB2888" s="14">
        <v>40001</v>
      </c>
      <c r="AE2888" s="14" t="s">
        <v>1400</v>
      </c>
      <c r="AF2888" s="14" t="s">
        <v>1400</v>
      </c>
      <c r="AG2888" s="14" t="s">
        <v>98</v>
      </c>
    </row>
    <row r="2889" spans="2:33">
      <c r="B2889" s="14">
        <f>10000000+INDEX(编号表!$B:$B,MATCH(H2889,编号表!$A:$A,0))*100000+INDEX(编号表!$F:$F,MATCH(D2889,编号表!$E:$E,0))*10000+INDEX(编号表!$D:$D,MATCH(AG2889,编号表!$C:$C,0))*1000+F2889</f>
        <v>11936051</v>
      </c>
      <c r="C2889" s="14" t="s">
        <v>5249</v>
      </c>
      <c r="D2889" s="14" t="s">
        <v>276</v>
      </c>
      <c r="E2889" s="14" t="s">
        <v>98</v>
      </c>
      <c r="F2889" s="14">
        <v>51</v>
      </c>
      <c r="G2889" s="14">
        <v>60</v>
      </c>
      <c r="H2889" s="14" t="s">
        <v>1400</v>
      </c>
      <c r="I2889" s="14" t="s">
        <v>75</v>
      </c>
      <c r="J2889" s="14" t="s">
        <v>201</v>
      </c>
      <c r="K2889" s="14">
        <v>1</v>
      </c>
      <c r="L2889" s="14" t="s">
        <v>1400</v>
      </c>
      <c r="N2889" s="14">
        <v>0</v>
      </c>
      <c r="O2889" s="14" t="b">
        <v>1</v>
      </c>
      <c r="Q2889" s="14" t="b">
        <v>0</v>
      </c>
      <c r="R2889" s="14">
        <v>1</v>
      </c>
      <c r="S2889" s="14" t="s">
        <v>77</v>
      </c>
      <c r="T2889" s="14">
        <v>999</v>
      </c>
      <c r="U2889" s="14" t="s">
        <v>1401</v>
      </c>
      <c r="V2889" s="14">
        <v>31936051</v>
      </c>
      <c r="X2889" s="14" t="s">
        <v>5252</v>
      </c>
      <c r="Y2889" s="14" t="s">
        <v>215</v>
      </c>
      <c r="Z2889" s="14">
        <v>21652</v>
      </c>
      <c r="AA2889" s="14" t="s">
        <v>5253</v>
      </c>
      <c r="AB2889" s="14">
        <v>40001</v>
      </c>
      <c r="AE2889" s="14" t="s">
        <v>1400</v>
      </c>
      <c r="AF2889" s="14" t="s">
        <v>1400</v>
      </c>
      <c r="AG2889" s="14" t="s">
        <v>98</v>
      </c>
    </row>
    <row r="2890" spans="2:33">
      <c r="B2890" s="14">
        <f>10000000+INDEX(编号表!$B:$B,MATCH(H2890,编号表!$A:$A,0))*100000+INDEX(编号表!$F:$F,MATCH(D2890,编号表!$E:$E,0))*10000+INDEX(编号表!$D:$D,MATCH(AG2890,编号表!$C:$C,0))*1000+F2890</f>
        <v>11946052</v>
      </c>
      <c r="C2890" s="14" t="s">
        <v>5249</v>
      </c>
      <c r="D2890" s="14" t="s">
        <v>104</v>
      </c>
      <c r="E2890" s="14" t="s">
        <v>98</v>
      </c>
      <c r="F2890" s="14">
        <v>52</v>
      </c>
      <c r="G2890" s="14">
        <v>60</v>
      </c>
      <c r="H2890" s="14" t="s">
        <v>1400</v>
      </c>
      <c r="I2890" s="14" t="s">
        <v>75</v>
      </c>
      <c r="J2890" s="14" t="s">
        <v>201</v>
      </c>
      <c r="K2890" s="14">
        <v>1</v>
      </c>
      <c r="L2890" s="14" t="s">
        <v>1400</v>
      </c>
      <c r="N2890" s="14">
        <v>0</v>
      </c>
      <c r="O2890" s="14" t="b">
        <v>1</v>
      </c>
      <c r="Q2890" s="14" t="b">
        <v>0</v>
      </c>
      <c r="R2890" s="14">
        <v>1</v>
      </c>
      <c r="S2890" s="14" t="s">
        <v>77</v>
      </c>
      <c r="T2890" s="14">
        <v>999</v>
      </c>
      <c r="U2890" s="14" t="s">
        <v>1401</v>
      </c>
      <c r="V2890" s="14">
        <v>31946052</v>
      </c>
      <c r="X2890" s="14" t="s">
        <v>5254</v>
      </c>
      <c r="Y2890" s="14" t="s">
        <v>215</v>
      </c>
      <c r="Z2890" s="14">
        <v>21653</v>
      </c>
      <c r="AA2890" s="14" t="s">
        <v>5255</v>
      </c>
      <c r="AB2890" s="14">
        <v>40001</v>
      </c>
      <c r="AE2890" s="14" t="s">
        <v>1400</v>
      </c>
      <c r="AF2890" s="14" t="s">
        <v>1400</v>
      </c>
      <c r="AG2890" s="14" t="s">
        <v>98</v>
      </c>
    </row>
    <row r="2891" spans="2:33">
      <c r="B2891" s="14">
        <f>10000000+INDEX(编号表!$B:$B,MATCH(H2891,编号表!$A:$A,0))*100000+INDEX(编号表!$F:$F,MATCH(D2891,编号表!$E:$E,0))*10000+INDEX(编号表!$D:$D,MATCH(AG2891,编号表!$C:$C,0))*1000+F2891</f>
        <v>11926051</v>
      </c>
      <c r="C2891" s="14" t="s">
        <v>5256</v>
      </c>
      <c r="D2891" s="14" t="s">
        <v>112</v>
      </c>
      <c r="E2891" s="14" t="s">
        <v>98</v>
      </c>
      <c r="F2891" s="14">
        <v>51</v>
      </c>
      <c r="G2891" s="14">
        <v>60</v>
      </c>
      <c r="H2891" s="14" t="s">
        <v>1400</v>
      </c>
      <c r="I2891" s="14" t="s">
        <v>75</v>
      </c>
      <c r="J2891" s="14" t="s">
        <v>201</v>
      </c>
      <c r="K2891" s="14">
        <v>1</v>
      </c>
      <c r="L2891" s="14" t="s">
        <v>1400</v>
      </c>
      <c r="N2891" s="14">
        <v>0</v>
      </c>
      <c r="O2891" s="14" t="b">
        <v>1</v>
      </c>
      <c r="Q2891" s="14" t="b">
        <v>0</v>
      </c>
      <c r="R2891" s="14">
        <v>1</v>
      </c>
      <c r="S2891" s="14" t="s">
        <v>77</v>
      </c>
      <c r="T2891" s="14">
        <v>999</v>
      </c>
      <c r="U2891" s="14" t="s">
        <v>1401</v>
      </c>
      <c r="V2891" s="14">
        <v>31926051</v>
      </c>
      <c r="X2891" s="14" t="s">
        <v>5257</v>
      </c>
      <c r="Y2891" s="14" t="s">
        <v>215</v>
      </c>
      <c r="Z2891" s="14">
        <v>21654</v>
      </c>
      <c r="AA2891" s="14" t="s">
        <v>5258</v>
      </c>
      <c r="AB2891" s="14">
        <v>40001</v>
      </c>
      <c r="AE2891" s="14" t="s">
        <v>1400</v>
      </c>
      <c r="AF2891" s="14" t="s">
        <v>1400</v>
      </c>
      <c r="AG2891" s="14" t="s">
        <v>98</v>
      </c>
    </row>
    <row r="2892" spans="2:33">
      <c r="B2892" s="14">
        <f>10000000+INDEX(编号表!$B:$B,MATCH(H2892,编号表!$A:$A,0))*100000+INDEX(编号表!$F:$F,MATCH(D2892,编号表!$E:$E,0))*10000+INDEX(编号表!$D:$D,MATCH(AG2892,编号表!$C:$C,0))*1000+F2892</f>
        <v>11936052</v>
      </c>
      <c r="C2892" s="14" t="s">
        <v>5256</v>
      </c>
      <c r="D2892" s="14" t="s">
        <v>276</v>
      </c>
      <c r="E2892" s="14" t="s">
        <v>98</v>
      </c>
      <c r="F2892" s="14">
        <v>52</v>
      </c>
      <c r="G2892" s="14">
        <v>60</v>
      </c>
      <c r="H2892" s="14" t="s">
        <v>1400</v>
      </c>
      <c r="I2892" s="14" t="s">
        <v>75</v>
      </c>
      <c r="J2892" s="14" t="s">
        <v>201</v>
      </c>
      <c r="K2892" s="14">
        <v>1</v>
      </c>
      <c r="L2892" s="14" t="s">
        <v>1400</v>
      </c>
      <c r="N2892" s="14">
        <v>0</v>
      </c>
      <c r="O2892" s="14" t="b">
        <v>1</v>
      </c>
      <c r="Q2892" s="14" t="b">
        <v>0</v>
      </c>
      <c r="R2892" s="14">
        <v>1</v>
      </c>
      <c r="S2892" s="14" t="s">
        <v>77</v>
      </c>
      <c r="T2892" s="14">
        <v>999</v>
      </c>
      <c r="U2892" s="14" t="s">
        <v>1401</v>
      </c>
      <c r="V2892" s="14">
        <v>31936052</v>
      </c>
      <c r="X2892" s="14" t="s">
        <v>5259</v>
      </c>
      <c r="Y2892" s="14" t="s">
        <v>215</v>
      </c>
      <c r="Z2892" s="14">
        <v>21655</v>
      </c>
      <c r="AA2892" s="14" t="s">
        <v>5260</v>
      </c>
      <c r="AB2892" s="14">
        <v>40001</v>
      </c>
      <c r="AE2892" s="14" t="s">
        <v>1400</v>
      </c>
      <c r="AF2892" s="14" t="s">
        <v>1400</v>
      </c>
      <c r="AG2892" s="14" t="s">
        <v>98</v>
      </c>
    </row>
    <row r="2893" spans="2:33">
      <c r="B2893" s="14">
        <f>10000000+INDEX(编号表!$B:$B,MATCH(H2893,编号表!$A:$A,0))*100000+INDEX(编号表!$F:$F,MATCH(D2893,编号表!$E:$E,0))*10000+INDEX(编号表!$D:$D,MATCH(AG2893,编号表!$C:$C,0))*1000+F2893</f>
        <v>11946053</v>
      </c>
      <c r="C2893" s="14" t="s">
        <v>5256</v>
      </c>
      <c r="D2893" s="14" t="s">
        <v>104</v>
      </c>
      <c r="E2893" s="14" t="s">
        <v>98</v>
      </c>
      <c r="F2893" s="14">
        <v>53</v>
      </c>
      <c r="G2893" s="14">
        <v>60</v>
      </c>
      <c r="H2893" s="14" t="s">
        <v>1400</v>
      </c>
      <c r="I2893" s="14" t="s">
        <v>75</v>
      </c>
      <c r="J2893" s="14" t="s">
        <v>201</v>
      </c>
      <c r="K2893" s="14">
        <v>1</v>
      </c>
      <c r="L2893" s="14" t="s">
        <v>1400</v>
      </c>
      <c r="N2893" s="14">
        <v>0</v>
      </c>
      <c r="O2893" s="14" t="b">
        <v>1</v>
      </c>
      <c r="Q2893" s="14" t="b">
        <v>0</v>
      </c>
      <c r="R2893" s="14">
        <v>1</v>
      </c>
      <c r="S2893" s="14" t="s">
        <v>77</v>
      </c>
      <c r="T2893" s="14">
        <v>999</v>
      </c>
      <c r="U2893" s="14" t="s">
        <v>1401</v>
      </c>
      <c r="V2893" s="14">
        <v>31946053</v>
      </c>
      <c r="X2893" s="14" t="s">
        <v>5261</v>
      </c>
      <c r="Y2893" s="14" t="s">
        <v>215</v>
      </c>
      <c r="Z2893" s="14">
        <v>21656</v>
      </c>
      <c r="AA2893" s="14" t="s">
        <v>5262</v>
      </c>
      <c r="AB2893" s="14">
        <v>40001</v>
      </c>
      <c r="AE2893" s="14" t="s">
        <v>1400</v>
      </c>
      <c r="AF2893" s="14" t="s">
        <v>1400</v>
      </c>
      <c r="AG2893" s="14" t="s">
        <v>98</v>
      </c>
    </row>
    <row r="2894" spans="2:33">
      <c r="B2894" s="14">
        <f>10000000+INDEX(编号表!$B:$B,MATCH(H2894,编号表!$A:$A,0))*100000+INDEX(编号表!$F:$F,MATCH(D2894,编号表!$E:$E,0))*10000+INDEX(编号表!$D:$D,MATCH(AG2894,编号表!$C:$C,0))*1000+F2894</f>
        <v>11926052</v>
      </c>
      <c r="C2894" s="14" t="s">
        <v>5263</v>
      </c>
      <c r="D2894" s="14" t="s">
        <v>112</v>
      </c>
      <c r="E2894" s="14" t="s">
        <v>98</v>
      </c>
      <c r="F2894" s="14">
        <v>52</v>
      </c>
      <c r="G2894" s="14">
        <v>60</v>
      </c>
      <c r="H2894" s="14" t="s">
        <v>1400</v>
      </c>
      <c r="I2894" s="14" t="s">
        <v>75</v>
      </c>
      <c r="J2894" s="14" t="s">
        <v>201</v>
      </c>
      <c r="K2894" s="14">
        <v>1</v>
      </c>
      <c r="L2894" s="14" t="s">
        <v>1400</v>
      </c>
      <c r="N2894" s="14">
        <v>0</v>
      </c>
      <c r="O2894" s="14" t="b">
        <v>1</v>
      </c>
      <c r="Q2894" s="14" t="b">
        <v>0</v>
      </c>
      <c r="R2894" s="14">
        <v>1</v>
      </c>
      <c r="S2894" s="14" t="s">
        <v>77</v>
      </c>
      <c r="T2894" s="14">
        <v>999</v>
      </c>
      <c r="U2894" s="14" t="s">
        <v>1401</v>
      </c>
      <c r="V2894" s="14">
        <v>31926052</v>
      </c>
      <c r="X2894" s="14" t="s">
        <v>5264</v>
      </c>
      <c r="Y2894" s="14" t="s">
        <v>215</v>
      </c>
      <c r="Z2894" s="14">
        <v>21657</v>
      </c>
      <c r="AA2894" s="14" t="s">
        <v>5265</v>
      </c>
      <c r="AB2894" s="14">
        <v>40001</v>
      </c>
      <c r="AE2894" s="14" t="s">
        <v>1400</v>
      </c>
      <c r="AF2894" s="14" t="s">
        <v>1400</v>
      </c>
      <c r="AG2894" s="14" t="s">
        <v>98</v>
      </c>
    </row>
    <row r="2895" spans="2:33">
      <c r="B2895" s="14">
        <f>10000000+INDEX(编号表!$B:$B,MATCH(H2895,编号表!$A:$A,0))*100000+INDEX(编号表!$F:$F,MATCH(D2895,编号表!$E:$E,0))*10000+INDEX(编号表!$D:$D,MATCH(AG2895,编号表!$C:$C,0))*1000+F2895</f>
        <v>11936053</v>
      </c>
      <c r="C2895" s="14" t="s">
        <v>5263</v>
      </c>
      <c r="D2895" s="14" t="s">
        <v>276</v>
      </c>
      <c r="E2895" s="14" t="s">
        <v>98</v>
      </c>
      <c r="F2895" s="14">
        <v>53</v>
      </c>
      <c r="G2895" s="14">
        <v>60</v>
      </c>
      <c r="H2895" s="14" t="s">
        <v>1400</v>
      </c>
      <c r="I2895" s="14" t="s">
        <v>75</v>
      </c>
      <c r="J2895" s="14" t="s">
        <v>201</v>
      </c>
      <c r="K2895" s="14">
        <v>1</v>
      </c>
      <c r="L2895" s="14" t="s">
        <v>1400</v>
      </c>
      <c r="N2895" s="14">
        <v>0</v>
      </c>
      <c r="O2895" s="14" t="b">
        <v>1</v>
      </c>
      <c r="Q2895" s="14" t="b">
        <v>0</v>
      </c>
      <c r="R2895" s="14">
        <v>1</v>
      </c>
      <c r="S2895" s="14" t="s">
        <v>77</v>
      </c>
      <c r="T2895" s="14">
        <v>999</v>
      </c>
      <c r="U2895" s="14" t="s">
        <v>1401</v>
      </c>
      <c r="V2895" s="14">
        <v>31936053</v>
      </c>
      <c r="X2895" s="14" t="s">
        <v>5266</v>
      </c>
      <c r="Y2895" s="14" t="s">
        <v>215</v>
      </c>
      <c r="Z2895" s="14">
        <v>21658</v>
      </c>
      <c r="AA2895" s="14" t="s">
        <v>5267</v>
      </c>
      <c r="AB2895" s="14">
        <v>40001</v>
      </c>
      <c r="AE2895" s="14" t="s">
        <v>1400</v>
      </c>
      <c r="AF2895" s="14" t="s">
        <v>1400</v>
      </c>
      <c r="AG2895" s="14" t="s">
        <v>98</v>
      </c>
    </row>
    <row r="2896" spans="2:33">
      <c r="B2896" s="14">
        <f>10000000+INDEX(编号表!$B:$B,MATCH(H2896,编号表!$A:$A,0))*100000+INDEX(编号表!$F:$F,MATCH(D2896,编号表!$E:$E,0))*10000+INDEX(编号表!$D:$D,MATCH(AG2896,编号表!$C:$C,0))*1000+F2896</f>
        <v>11946054</v>
      </c>
      <c r="C2896" s="14" t="s">
        <v>5263</v>
      </c>
      <c r="D2896" s="14" t="s">
        <v>104</v>
      </c>
      <c r="E2896" s="14" t="s">
        <v>98</v>
      </c>
      <c r="F2896" s="14">
        <v>54</v>
      </c>
      <c r="G2896" s="14">
        <v>60</v>
      </c>
      <c r="H2896" s="14" t="s">
        <v>1400</v>
      </c>
      <c r="I2896" s="14" t="s">
        <v>75</v>
      </c>
      <c r="J2896" s="14" t="s">
        <v>201</v>
      </c>
      <c r="K2896" s="14">
        <v>1</v>
      </c>
      <c r="L2896" s="14" t="s">
        <v>1400</v>
      </c>
      <c r="N2896" s="14">
        <v>0</v>
      </c>
      <c r="O2896" s="14" t="b">
        <v>1</v>
      </c>
      <c r="Q2896" s="14" t="b">
        <v>0</v>
      </c>
      <c r="R2896" s="14">
        <v>1</v>
      </c>
      <c r="S2896" s="14" t="s">
        <v>77</v>
      </c>
      <c r="T2896" s="14">
        <v>999</v>
      </c>
      <c r="U2896" s="14" t="s">
        <v>1401</v>
      </c>
      <c r="V2896" s="14">
        <v>31946054</v>
      </c>
      <c r="X2896" s="14" t="s">
        <v>5268</v>
      </c>
      <c r="Y2896" s="14" t="s">
        <v>215</v>
      </c>
      <c r="Z2896" s="14">
        <v>21659</v>
      </c>
      <c r="AA2896" s="14" t="s">
        <v>5269</v>
      </c>
      <c r="AB2896" s="14">
        <v>40001</v>
      </c>
      <c r="AE2896" s="14" t="s">
        <v>1400</v>
      </c>
      <c r="AF2896" s="14" t="s">
        <v>1400</v>
      </c>
      <c r="AG2896" s="14" t="s">
        <v>98</v>
      </c>
    </row>
    <row r="2897" spans="2:33">
      <c r="B2897" s="14">
        <f>10000000+INDEX(编号表!$B:$B,MATCH(H2897,编号表!$A:$A,0))*100000+INDEX(编号表!$F:$F,MATCH(D2897,编号表!$E:$E,0))*10000+INDEX(编号表!$D:$D,MATCH(AG2897,编号表!$C:$C,0))*1000+F2897</f>
        <v>11926053</v>
      </c>
      <c r="C2897" s="14" t="s">
        <v>5270</v>
      </c>
      <c r="D2897" s="14" t="s">
        <v>112</v>
      </c>
      <c r="E2897" s="14" t="s">
        <v>98</v>
      </c>
      <c r="F2897" s="14">
        <v>53</v>
      </c>
      <c r="G2897" s="14">
        <v>60</v>
      </c>
      <c r="H2897" s="14" t="s">
        <v>1400</v>
      </c>
      <c r="I2897" s="14" t="s">
        <v>75</v>
      </c>
      <c r="J2897" s="14" t="s">
        <v>201</v>
      </c>
      <c r="K2897" s="14">
        <v>1</v>
      </c>
      <c r="L2897" s="14" t="s">
        <v>1400</v>
      </c>
      <c r="N2897" s="14">
        <v>0</v>
      </c>
      <c r="O2897" s="14" t="b">
        <v>1</v>
      </c>
      <c r="Q2897" s="14" t="b">
        <v>0</v>
      </c>
      <c r="R2897" s="14">
        <v>1</v>
      </c>
      <c r="S2897" s="14" t="s">
        <v>77</v>
      </c>
      <c r="T2897" s="14">
        <v>999</v>
      </c>
      <c r="U2897" s="14" t="s">
        <v>1401</v>
      </c>
      <c r="V2897" s="14">
        <v>31926053</v>
      </c>
      <c r="X2897" s="14" t="s">
        <v>5271</v>
      </c>
      <c r="Y2897" s="14" t="s">
        <v>215</v>
      </c>
      <c r="Z2897" s="14">
        <v>21660</v>
      </c>
      <c r="AA2897" s="14" t="s">
        <v>5272</v>
      </c>
      <c r="AB2897" s="14">
        <v>40001</v>
      </c>
      <c r="AE2897" s="14" t="s">
        <v>1400</v>
      </c>
      <c r="AF2897" s="14" t="s">
        <v>1400</v>
      </c>
      <c r="AG2897" s="14" t="s">
        <v>98</v>
      </c>
    </row>
    <row r="2898" spans="2:33">
      <c r="B2898" s="14">
        <f>10000000+INDEX(编号表!$B:$B,MATCH(H2898,编号表!$A:$A,0))*100000+INDEX(编号表!$F:$F,MATCH(D2898,编号表!$E:$E,0))*10000+INDEX(编号表!$D:$D,MATCH(AG2898,编号表!$C:$C,0))*1000+F2898</f>
        <v>11936054</v>
      </c>
      <c r="C2898" s="14" t="s">
        <v>5270</v>
      </c>
      <c r="D2898" s="14" t="s">
        <v>276</v>
      </c>
      <c r="E2898" s="14" t="s">
        <v>98</v>
      </c>
      <c r="F2898" s="14">
        <v>54</v>
      </c>
      <c r="G2898" s="14">
        <v>60</v>
      </c>
      <c r="H2898" s="14" t="s">
        <v>1400</v>
      </c>
      <c r="I2898" s="14" t="s">
        <v>75</v>
      </c>
      <c r="J2898" s="14" t="s">
        <v>201</v>
      </c>
      <c r="K2898" s="14">
        <v>1</v>
      </c>
      <c r="L2898" s="14" t="s">
        <v>1400</v>
      </c>
      <c r="N2898" s="14">
        <v>0</v>
      </c>
      <c r="O2898" s="14" t="b">
        <v>1</v>
      </c>
      <c r="Q2898" s="14" t="b">
        <v>0</v>
      </c>
      <c r="R2898" s="14">
        <v>1</v>
      </c>
      <c r="S2898" s="14" t="s">
        <v>77</v>
      </c>
      <c r="T2898" s="14">
        <v>999</v>
      </c>
      <c r="U2898" s="14" t="s">
        <v>1401</v>
      </c>
      <c r="V2898" s="14">
        <v>31936054</v>
      </c>
      <c r="X2898" s="14" t="s">
        <v>5273</v>
      </c>
      <c r="Y2898" s="14" t="s">
        <v>215</v>
      </c>
      <c r="Z2898" s="14">
        <v>21661</v>
      </c>
      <c r="AA2898" s="14" t="s">
        <v>5274</v>
      </c>
      <c r="AB2898" s="14">
        <v>40001</v>
      </c>
      <c r="AE2898" s="14" t="s">
        <v>1400</v>
      </c>
      <c r="AF2898" s="14" t="s">
        <v>1400</v>
      </c>
      <c r="AG2898" s="14" t="s">
        <v>98</v>
      </c>
    </row>
    <row r="2899" spans="2:33">
      <c r="B2899" s="14">
        <f>10000000+INDEX(编号表!$B:$B,MATCH(H2899,编号表!$A:$A,0))*100000+INDEX(编号表!$F:$F,MATCH(D2899,编号表!$E:$E,0))*10000+INDEX(编号表!$D:$D,MATCH(AG2899,编号表!$C:$C,0))*1000+F2899</f>
        <v>11946055</v>
      </c>
      <c r="C2899" s="14" t="s">
        <v>5270</v>
      </c>
      <c r="D2899" s="14" t="s">
        <v>104</v>
      </c>
      <c r="E2899" s="14" t="s">
        <v>98</v>
      </c>
      <c r="F2899" s="14">
        <v>55</v>
      </c>
      <c r="G2899" s="14">
        <v>60</v>
      </c>
      <c r="H2899" s="14" t="s">
        <v>1400</v>
      </c>
      <c r="I2899" s="14" t="s">
        <v>75</v>
      </c>
      <c r="J2899" s="14" t="s">
        <v>201</v>
      </c>
      <c r="K2899" s="14">
        <v>1</v>
      </c>
      <c r="L2899" s="14" t="s">
        <v>1400</v>
      </c>
      <c r="N2899" s="14">
        <v>0</v>
      </c>
      <c r="O2899" s="14" t="b">
        <v>1</v>
      </c>
      <c r="Q2899" s="14" t="b">
        <v>0</v>
      </c>
      <c r="R2899" s="14">
        <v>1</v>
      </c>
      <c r="S2899" s="14" t="s">
        <v>77</v>
      </c>
      <c r="T2899" s="14">
        <v>999</v>
      </c>
      <c r="U2899" s="14" t="s">
        <v>1401</v>
      </c>
      <c r="V2899" s="14">
        <v>31946055</v>
      </c>
      <c r="X2899" s="14" t="s">
        <v>5275</v>
      </c>
      <c r="Y2899" s="14" t="s">
        <v>215</v>
      </c>
      <c r="Z2899" s="14">
        <v>21662</v>
      </c>
      <c r="AA2899" s="14" t="s">
        <v>5276</v>
      </c>
      <c r="AB2899" s="14">
        <v>40001</v>
      </c>
      <c r="AE2899" s="14" t="s">
        <v>1400</v>
      </c>
      <c r="AF2899" s="14" t="s">
        <v>1400</v>
      </c>
      <c r="AG2899" s="14" t="s">
        <v>98</v>
      </c>
    </row>
    <row r="2900" spans="2:33">
      <c r="B2900" s="14">
        <f>10000000+INDEX(编号表!$B:$B,MATCH(H2900,编号表!$A:$A,0))*100000+INDEX(编号表!$F:$F,MATCH(D2900,编号表!$E:$E,0))*10000+INDEX(编号表!$D:$D,MATCH(AG2900,编号表!$C:$C,0))*1000+F2900</f>
        <v>11926054</v>
      </c>
      <c r="C2900" s="14" t="s">
        <v>5277</v>
      </c>
      <c r="D2900" s="14" t="s">
        <v>112</v>
      </c>
      <c r="E2900" s="14" t="s">
        <v>98</v>
      </c>
      <c r="F2900" s="14">
        <v>54</v>
      </c>
      <c r="G2900" s="14">
        <v>60</v>
      </c>
      <c r="H2900" s="14" t="s">
        <v>1400</v>
      </c>
      <c r="I2900" s="14" t="s">
        <v>75</v>
      </c>
      <c r="J2900" s="14" t="s">
        <v>201</v>
      </c>
      <c r="K2900" s="14">
        <v>1</v>
      </c>
      <c r="L2900" s="14" t="s">
        <v>1400</v>
      </c>
      <c r="N2900" s="14">
        <v>0</v>
      </c>
      <c r="O2900" s="14" t="b">
        <v>1</v>
      </c>
      <c r="Q2900" s="14" t="b">
        <v>0</v>
      </c>
      <c r="R2900" s="14">
        <v>1</v>
      </c>
      <c r="S2900" s="14" t="s">
        <v>77</v>
      </c>
      <c r="T2900" s="14">
        <v>999</v>
      </c>
      <c r="U2900" s="14" t="s">
        <v>1401</v>
      </c>
      <c r="V2900" s="14">
        <v>31926054</v>
      </c>
      <c r="X2900" s="14" t="s">
        <v>5278</v>
      </c>
      <c r="Y2900" s="14" t="s">
        <v>215</v>
      </c>
      <c r="Z2900" s="14">
        <v>21663</v>
      </c>
      <c r="AA2900" s="14" t="s">
        <v>5279</v>
      </c>
      <c r="AB2900" s="14">
        <v>40001</v>
      </c>
      <c r="AE2900" s="14" t="s">
        <v>1400</v>
      </c>
      <c r="AF2900" s="14" t="s">
        <v>1400</v>
      </c>
      <c r="AG2900" s="14" t="s">
        <v>98</v>
      </c>
    </row>
    <row r="2901" spans="2:33">
      <c r="B2901" s="14">
        <f>10000000+INDEX(编号表!$B:$B,MATCH(H2901,编号表!$A:$A,0))*100000+INDEX(编号表!$F:$F,MATCH(D2901,编号表!$E:$E,0))*10000+INDEX(编号表!$D:$D,MATCH(AG2901,编号表!$C:$C,0))*1000+F2901</f>
        <v>11936055</v>
      </c>
      <c r="C2901" s="14" t="s">
        <v>5277</v>
      </c>
      <c r="D2901" s="14" t="s">
        <v>276</v>
      </c>
      <c r="E2901" s="14" t="s">
        <v>98</v>
      </c>
      <c r="F2901" s="14">
        <v>55</v>
      </c>
      <c r="G2901" s="14">
        <v>60</v>
      </c>
      <c r="H2901" s="14" t="s">
        <v>1400</v>
      </c>
      <c r="I2901" s="14" t="s">
        <v>75</v>
      </c>
      <c r="J2901" s="14" t="s">
        <v>201</v>
      </c>
      <c r="K2901" s="14">
        <v>1</v>
      </c>
      <c r="L2901" s="14" t="s">
        <v>1400</v>
      </c>
      <c r="N2901" s="14">
        <v>0</v>
      </c>
      <c r="O2901" s="14" t="b">
        <v>1</v>
      </c>
      <c r="Q2901" s="14" t="b">
        <v>0</v>
      </c>
      <c r="R2901" s="14">
        <v>1</v>
      </c>
      <c r="S2901" s="14" t="s">
        <v>77</v>
      </c>
      <c r="T2901" s="14">
        <v>999</v>
      </c>
      <c r="U2901" s="14" t="s">
        <v>1401</v>
      </c>
      <c r="V2901" s="14">
        <v>31936055</v>
      </c>
      <c r="X2901" s="14" t="s">
        <v>5280</v>
      </c>
      <c r="Y2901" s="14" t="s">
        <v>215</v>
      </c>
      <c r="Z2901" s="14">
        <v>21664</v>
      </c>
      <c r="AA2901" s="14" t="s">
        <v>5281</v>
      </c>
      <c r="AB2901" s="14">
        <v>40001</v>
      </c>
      <c r="AE2901" s="14" t="s">
        <v>1400</v>
      </c>
      <c r="AF2901" s="14" t="s">
        <v>1400</v>
      </c>
      <c r="AG2901" s="14" t="s">
        <v>98</v>
      </c>
    </row>
    <row r="2902" spans="2:33">
      <c r="B2902" s="14">
        <f>10000000+INDEX(编号表!$B:$B,MATCH(H2902,编号表!$A:$A,0))*100000+INDEX(编号表!$F:$F,MATCH(D2902,编号表!$E:$E,0))*10000+INDEX(编号表!$D:$D,MATCH(AG2902,编号表!$C:$C,0))*1000+F2902</f>
        <v>11946056</v>
      </c>
      <c r="C2902" s="14" t="s">
        <v>5277</v>
      </c>
      <c r="D2902" s="14" t="s">
        <v>104</v>
      </c>
      <c r="E2902" s="14" t="s">
        <v>98</v>
      </c>
      <c r="F2902" s="14">
        <v>56</v>
      </c>
      <c r="G2902" s="14">
        <v>60</v>
      </c>
      <c r="H2902" s="14" t="s">
        <v>1400</v>
      </c>
      <c r="I2902" s="14" t="s">
        <v>75</v>
      </c>
      <c r="J2902" s="14" t="s">
        <v>201</v>
      </c>
      <c r="K2902" s="14">
        <v>1</v>
      </c>
      <c r="L2902" s="14" t="s">
        <v>1400</v>
      </c>
      <c r="N2902" s="14">
        <v>0</v>
      </c>
      <c r="O2902" s="14" t="b">
        <v>1</v>
      </c>
      <c r="Q2902" s="14" t="b">
        <v>0</v>
      </c>
      <c r="R2902" s="14">
        <v>1</v>
      </c>
      <c r="S2902" s="14" t="s">
        <v>77</v>
      </c>
      <c r="T2902" s="14">
        <v>999</v>
      </c>
      <c r="U2902" s="14" t="s">
        <v>1401</v>
      </c>
      <c r="V2902" s="14">
        <v>31946056</v>
      </c>
      <c r="X2902" s="14" t="s">
        <v>5282</v>
      </c>
      <c r="Y2902" s="14" t="s">
        <v>215</v>
      </c>
      <c r="Z2902" s="14">
        <v>21665</v>
      </c>
      <c r="AA2902" s="14" t="s">
        <v>5283</v>
      </c>
      <c r="AB2902" s="14">
        <v>40001</v>
      </c>
      <c r="AE2902" s="14" t="s">
        <v>1400</v>
      </c>
      <c r="AF2902" s="14" t="s">
        <v>1400</v>
      </c>
      <c r="AG2902" s="14" t="s">
        <v>98</v>
      </c>
    </row>
    <row r="2903" spans="2:33">
      <c r="B2903" s="14">
        <f>10000000+INDEX(编号表!$B:$B,MATCH(H2903,编号表!$A:$A,0))*100000+INDEX(编号表!$F:$F,MATCH(D2903,编号表!$E:$E,0))*10000+INDEX(编号表!$D:$D,MATCH(AG2903,编号表!$C:$C,0))*1000+F2903</f>
        <v>11926055</v>
      </c>
      <c r="C2903" s="14" t="s">
        <v>5284</v>
      </c>
      <c r="D2903" s="14" t="s">
        <v>112</v>
      </c>
      <c r="E2903" s="14" t="s">
        <v>98</v>
      </c>
      <c r="F2903" s="14">
        <v>55</v>
      </c>
      <c r="G2903" s="14">
        <v>60</v>
      </c>
      <c r="H2903" s="14" t="s">
        <v>1400</v>
      </c>
      <c r="I2903" s="14" t="s">
        <v>75</v>
      </c>
      <c r="J2903" s="14" t="s">
        <v>201</v>
      </c>
      <c r="K2903" s="14">
        <v>1</v>
      </c>
      <c r="L2903" s="14" t="s">
        <v>1400</v>
      </c>
      <c r="N2903" s="14">
        <v>0</v>
      </c>
      <c r="O2903" s="14" t="b">
        <v>1</v>
      </c>
      <c r="Q2903" s="14" t="b">
        <v>0</v>
      </c>
      <c r="R2903" s="14">
        <v>1</v>
      </c>
      <c r="S2903" s="14" t="s">
        <v>77</v>
      </c>
      <c r="T2903" s="14">
        <v>999</v>
      </c>
      <c r="U2903" s="14" t="s">
        <v>1401</v>
      </c>
      <c r="V2903" s="14">
        <v>31926055</v>
      </c>
      <c r="X2903" s="14" t="s">
        <v>5285</v>
      </c>
      <c r="Y2903" s="14" t="s">
        <v>215</v>
      </c>
      <c r="Z2903" s="14">
        <v>21666</v>
      </c>
      <c r="AA2903" s="14" t="s">
        <v>5286</v>
      </c>
      <c r="AB2903" s="14">
        <v>40001</v>
      </c>
      <c r="AE2903" s="14" t="s">
        <v>1400</v>
      </c>
      <c r="AF2903" s="14" t="s">
        <v>1400</v>
      </c>
      <c r="AG2903" s="14" t="s">
        <v>98</v>
      </c>
    </row>
    <row r="2904" spans="2:33">
      <c r="B2904" s="14">
        <f>10000000+INDEX(编号表!$B:$B,MATCH(H2904,编号表!$A:$A,0))*100000+INDEX(编号表!$F:$F,MATCH(D2904,编号表!$E:$E,0))*10000+INDEX(编号表!$D:$D,MATCH(AG2904,编号表!$C:$C,0))*1000+F2904</f>
        <v>11936056</v>
      </c>
      <c r="C2904" s="14" t="s">
        <v>5284</v>
      </c>
      <c r="D2904" s="14" t="s">
        <v>276</v>
      </c>
      <c r="E2904" s="14" t="s">
        <v>98</v>
      </c>
      <c r="F2904" s="14">
        <v>56</v>
      </c>
      <c r="G2904" s="14">
        <v>60</v>
      </c>
      <c r="H2904" s="14" t="s">
        <v>1400</v>
      </c>
      <c r="I2904" s="14" t="s">
        <v>75</v>
      </c>
      <c r="J2904" s="14" t="s">
        <v>201</v>
      </c>
      <c r="K2904" s="14">
        <v>1</v>
      </c>
      <c r="L2904" s="14" t="s">
        <v>1400</v>
      </c>
      <c r="N2904" s="14">
        <v>0</v>
      </c>
      <c r="O2904" s="14" t="b">
        <v>1</v>
      </c>
      <c r="Q2904" s="14" t="b">
        <v>0</v>
      </c>
      <c r="R2904" s="14">
        <v>1</v>
      </c>
      <c r="S2904" s="14" t="s">
        <v>77</v>
      </c>
      <c r="T2904" s="14">
        <v>999</v>
      </c>
      <c r="U2904" s="14" t="s">
        <v>1401</v>
      </c>
      <c r="V2904" s="14">
        <v>31936056</v>
      </c>
      <c r="X2904" s="14" t="s">
        <v>5287</v>
      </c>
      <c r="Y2904" s="14" t="s">
        <v>215</v>
      </c>
      <c r="Z2904" s="14">
        <v>21667</v>
      </c>
      <c r="AA2904" s="14" t="s">
        <v>5288</v>
      </c>
      <c r="AB2904" s="14">
        <v>40001</v>
      </c>
      <c r="AE2904" s="14" t="s">
        <v>1400</v>
      </c>
      <c r="AF2904" s="14" t="s">
        <v>1400</v>
      </c>
      <c r="AG2904" s="14" t="s">
        <v>98</v>
      </c>
    </row>
    <row r="2905" spans="2:33">
      <c r="B2905" s="14">
        <f>10000000+INDEX(编号表!$B:$B,MATCH(H2905,编号表!$A:$A,0))*100000+INDEX(编号表!$F:$F,MATCH(D2905,编号表!$E:$E,0))*10000+INDEX(编号表!$D:$D,MATCH(AG2905,编号表!$C:$C,0))*1000+F2905</f>
        <v>11946057</v>
      </c>
      <c r="C2905" s="14" t="s">
        <v>5284</v>
      </c>
      <c r="D2905" s="14" t="s">
        <v>104</v>
      </c>
      <c r="E2905" s="14" t="s">
        <v>98</v>
      </c>
      <c r="F2905" s="14">
        <v>57</v>
      </c>
      <c r="G2905" s="14">
        <v>60</v>
      </c>
      <c r="H2905" s="14" t="s">
        <v>1400</v>
      </c>
      <c r="I2905" s="14" t="s">
        <v>75</v>
      </c>
      <c r="J2905" s="14" t="s">
        <v>201</v>
      </c>
      <c r="K2905" s="14">
        <v>1</v>
      </c>
      <c r="L2905" s="14" t="s">
        <v>1400</v>
      </c>
      <c r="N2905" s="14">
        <v>0</v>
      </c>
      <c r="O2905" s="14" t="b">
        <v>1</v>
      </c>
      <c r="Q2905" s="14" t="b">
        <v>0</v>
      </c>
      <c r="R2905" s="14">
        <v>1</v>
      </c>
      <c r="S2905" s="14" t="s">
        <v>77</v>
      </c>
      <c r="T2905" s="14">
        <v>999</v>
      </c>
      <c r="U2905" s="14" t="s">
        <v>1401</v>
      </c>
      <c r="V2905" s="14">
        <v>31946057</v>
      </c>
      <c r="X2905" s="14" t="s">
        <v>5289</v>
      </c>
      <c r="Y2905" s="14" t="s">
        <v>215</v>
      </c>
      <c r="Z2905" s="14">
        <v>21668</v>
      </c>
      <c r="AA2905" s="14" t="s">
        <v>5290</v>
      </c>
      <c r="AB2905" s="14">
        <v>40001</v>
      </c>
      <c r="AE2905" s="14" t="s">
        <v>1400</v>
      </c>
      <c r="AF2905" s="14" t="s">
        <v>1400</v>
      </c>
      <c r="AG2905" s="14" t="s">
        <v>98</v>
      </c>
    </row>
    <row r="2906" spans="2:33">
      <c r="B2906" s="14">
        <f>10000000+INDEX(编号表!$B:$B,MATCH(H2906,编号表!$A:$A,0))*100000+INDEX(编号表!$F:$F,MATCH(D2906,编号表!$E:$E,0))*10000+INDEX(编号表!$D:$D,MATCH(AG2906,编号表!$C:$C,0))*1000+F2906</f>
        <v>11926056</v>
      </c>
      <c r="C2906" s="14" t="s">
        <v>5291</v>
      </c>
      <c r="D2906" s="14" t="s">
        <v>112</v>
      </c>
      <c r="E2906" s="14" t="s">
        <v>98</v>
      </c>
      <c r="F2906" s="14">
        <v>56</v>
      </c>
      <c r="G2906" s="14">
        <v>60</v>
      </c>
      <c r="H2906" s="14" t="s">
        <v>1400</v>
      </c>
      <c r="I2906" s="14" t="s">
        <v>75</v>
      </c>
      <c r="J2906" s="14" t="s">
        <v>201</v>
      </c>
      <c r="K2906" s="14">
        <v>1</v>
      </c>
      <c r="L2906" s="14" t="s">
        <v>1400</v>
      </c>
      <c r="N2906" s="14">
        <v>0</v>
      </c>
      <c r="O2906" s="14" t="b">
        <v>1</v>
      </c>
      <c r="Q2906" s="14" t="b">
        <v>0</v>
      </c>
      <c r="R2906" s="14">
        <v>1</v>
      </c>
      <c r="S2906" s="14" t="s">
        <v>77</v>
      </c>
      <c r="T2906" s="14">
        <v>999</v>
      </c>
      <c r="U2906" s="14" t="s">
        <v>1401</v>
      </c>
      <c r="V2906" s="14">
        <v>31926056</v>
      </c>
      <c r="X2906" s="14" t="s">
        <v>5292</v>
      </c>
      <c r="Y2906" s="14" t="s">
        <v>215</v>
      </c>
      <c r="Z2906" s="14">
        <v>21669</v>
      </c>
      <c r="AA2906" s="14" t="s">
        <v>5293</v>
      </c>
      <c r="AB2906" s="14">
        <v>40001</v>
      </c>
      <c r="AE2906" s="14" t="s">
        <v>1400</v>
      </c>
      <c r="AF2906" s="14" t="s">
        <v>1400</v>
      </c>
      <c r="AG2906" s="14" t="s">
        <v>98</v>
      </c>
    </row>
    <row r="2907" spans="2:33">
      <c r="B2907" s="14">
        <f>10000000+INDEX(编号表!$B:$B,MATCH(H2907,编号表!$A:$A,0))*100000+INDEX(编号表!$F:$F,MATCH(D2907,编号表!$E:$E,0))*10000+INDEX(编号表!$D:$D,MATCH(AG2907,编号表!$C:$C,0))*1000+F2907</f>
        <v>11936057</v>
      </c>
      <c r="C2907" s="14" t="s">
        <v>5291</v>
      </c>
      <c r="D2907" s="14" t="s">
        <v>276</v>
      </c>
      <c r="E2907" s="14" t="s">
        <v>98</v>
      </c>
      <c r="F2907" s="14">
        <v>57</v>
      </c>
      <c r="G2907" s="14">
        <v>60</v>
      </c>
      <c r="H2907" s="14" t="s">
        <v>1400</v>
      </c>
      <c r="I2907" s="14" t="s">
        <v>75</v>
      </c>
      <c r="J2907" s="14" t="s">
        <v>201</v>
      </c>
      <c r="K2907" s="14">
        <v>1</v>
      </c>
      <c r="L2907" s="14" t="s">
        <v>1400</v>
      </c>
      <c r="N2907" s="14">
        <v>0</v>
      </c>
      <c r="O2907" s="14" t="b">
        <v>1</v>
      </c>
      <c r="Q2907" s="14" t="b">
        <v>0</v>
      </c>
      <c r="R2907" s="14">
        <v>1</v>
      </c>
      <c r="S2907" s="14" t="s">
        <v>77</v>
      </c>
      <c r="T2907" s="14">
        <v>999</v>
      </c>
      <c r="U2907" s="14" t="s">
        <v>1401</v>
      </c>
      <c r="V2907" s="14">
        <v>31936057</v>
      </c>
      <c r="X2907" s="14" t="s">
        <v>5294</v>
      </c>
      <c r="Y2907" s="14" t="s">
        <v>215</v>
      </c>
      <c r="Z2907" s="14">
        <v>21670</v>
      </c>
      <c r="AA2907" s="14" t="s">
        <v>5295</v>
      </c>
      <c r="AB2907" s="14">
        <v>40001</v>
      </c>
      <c r="AE2907" s="14" t="s">
        <v>1400</v>
      </c>
      <c r="AF2907" s="14" t="s">
        <v>1400</v>
      </c>
      <c r="AG2907" s="14" t="s">
        <v>98</v>
      </c>
    </row>
    <row r="2908" spans="2:33">
      <c r="B2908" s="14">
        <f>10000000+INDEX(编号表!$B:$B,MATCH(H2908,编号表!$A:$A,0))*100000+INDEX(编号表!$F:$F,MATCH(D2908,编号表!$E:$E,0))*10000+INDEX(编号表!$D:$D,MATCH(AG2908,编号表!$C:$C,0))*1000+F2908</f>
        <v>11946058</v>
      </c>
      <c r="C2908" s="14" t="s">
        <v>5291</v>
      </c>
      <c r="D2908" s="14" t="s">
        <v>104</v>
      </c>
      <c r="E2908" s="14" t="s">
        <v>98</v>
      </c>
      <c r="F2908" s="14">
        <v>58</v>
      </c>
      <c r="G2908" s="14">
        <v>60</v>
      </c>
      <c r="H2908" s="14" t="s">
        <v>1400</v>
      </c>
      <c r="I2908" s="14" t="s">
        <v>75</v>
      </c>
      <c r="J2908" s="14" t="s">
        <v>201</v>
      </c>
      <c r="K2908" s="14">
        <v>1</v>
      </c>
      <c r="L2908" s="14" t="s">
        <v>1400</v>
      </c>
      <c r="N2908" s="14">
        <v>0</v>
      </c>
      <c r="O2908" s="14" t="b">
        <v>1</v>
      </c>
      <c r="Q2908" s="14" t="b">
        <v>0</v>
      </c>
      <c r="R2908" s="14">
        <v>1</v>
      </c>
      <c r="S2908" s="14" t="s">
        <v>77</v>
      </c>
      <c r="T2908" s="14">
        <v>999</v>
      </c>
      <c r="U2908" s="14" t="s">
        <v>1401</v>
      </c>
      <c r="V2908" s="14">
        <v>31946058</v>
      </c>
      <c r="X2908" s="14" t="s">
        <v>5296</v>
      </c>
      <c r="Y2908" s="14" t="s">
        <v>215</v>
      </c>
      <c r="Z2908" s="14">
        <v>21671</v>
      </c>
      <c r="AA2908" s="14" t="s">
        <v>5297</v>
      </c>
      <c r="AB2908" s="14">
        <v>40001</v>
      </c>
      <c r="AE2908" s="14" t="s">
        <v>1400</v>
      </c>
      <c r="AF2908" s="14" t="s">
        <v>1400</v>
      </c>
      <c r="AG2908" s="14" t="s">
        <v>98</v>
      </c>
    </row>
    <row r="2909" spans="2:33">
      <c r="B2909" s="14">
        <f>10000000+INDEX(编号表!$B:$B,MATCH(H2909,编号表!$A:$A,0))*100000+INDEX(编号表!$F:$F,MATCH(D2909,编号表!$E:$E,0))*10000+INDEX(编号表!$D:$D,MATCH(AG2909,编号表!$C:$C,0))*1000+F2909</f>
        <v>11926057</v>
      </c>
      <c r="C2909" s="14" t="s">
        <v>5298</v>
      </c>
      <c r="D2909" s="14" t="s">
        <v>112</v>
      </c>
      <c r="E2909" s="14" t="s">
        <v>98</v>
      </c>
      <c r="F2909" s="14">
        <v>57</v>
      </c>
      <c r="G2909" s="14">
        <v>60</v>
      </c>
      <c r="H2909" s="14" t="s">
        <v>1400</v>
      </c>
      <c r="I2909" s="14" t="s">
        <v>75</v>
      </c>
      <c r="J2909" s="14" t="s">
        <v>201</v>
      </c>
      <c r="K2909" s="14">
        <v>1</v>
      </c>
      <c r="L2909" s="14" t="s">
        <v>1400</v>
      </c>
      <c r="N2909" s="14">
        <v>0</v>
      </c>
      <c r="O2909" s="14" t="b">
        <v>1</v>
      </c>
      <c r="Q2909" s="14" t="b">
        <v>0</v>
      </c>
      <c r="R2909" s="14">
        <v>1</v>
      </c>
      <c r="S2909" s="14" t="s">
        <v>77</v>
      </c>
      <c r="T2909" s="14">
        <v>999</v>
      </c>
      <c r="U2909" s="14" t="s">
        <v>1401</v>
      </c>
      <c r="V2909" s="14">
        <v>31926057</v>
      </c>
      <c r="X2909" s="14" t="s">
        <v>5299</v>
      </c>
      <c r="Y2909" s="14" t="s">
        <v>215</v>
      </c>
      <c r="Z2909" s="14">
        <v>21672</v>
      </c>
      <c r="AA2909" s="14" t="s">
        <v>5300</v>
      </c>
      <c r="AB2909" s="14">
        <v>40001</v>
      </c>
      <c r="AE2909" s="14" t="s">
        <v>1400</v>
      </c>
      <c r="AF2909" s="14" t="s">
        <v>1400</v>
      </c>
      <c r="AG2909" s="14" t="s">
        <v>98</v>
      </c>
    </row>
    <row r="2910" spans="2:33">
      <c r="B2910" s="14">
        <f>10000000+INDEX(编号表!$B:$B,MATCH(H2910,编号表!$A:$A,0))*100000+INDEX(编号表!$F:$F,MATCH(D2910,编号表!$E:$E,0))*10000+INDEX(编号表!$D:$D,MATCH(AG2910,编号表!$C:$C,0))*1000+F2910</f>
        <v>11936058</v>
      </c>
      <c r="C2910" s="14" t="s">
        <v>5298</v>
      </c>
      <c r="D2910" s="14" t="s">
        <v>276</v>
      </c>
      <c r="E2910" s="14" t="s">
        <v>98</v>
      </c>
      <c r="F2910" s="14">
        <v>58</v>
      </c>
      <c r="G2910" s="14">
        <v>60</v>
      </c>
      <c r="H2910" s="14" t="s">
        <v>1400</v>
      </c>
      <c r="I2910" s="14" t="s">
        <v>75</v>
      </c>
      <c r="J2910" s="14" t="s">
        <v>201</v>
      </c>
      <c r="K2910" s="14">
        <v>1</v>
      </c>
      <c r="L2910" s="14" t="s">
        <v>1400</v>
      </c>
      <c r="N2910" s="14">
        <v>0</v>
      </c>
      <c r="O2910" s="14" t="b">
        <v>1</v>
      </c>
      <c r="Q2910" s="14" t="b">
        <v>0</v>
      </c>
      <c r="R2910" s="14">
        <v>1</v>
      </c>
      <c r="S2910" s="14" t="s">
        <v>77</v>
      </c>
      <c r="T2910" s="14">
        <v>999</v>
      </c>
      <c r="U2910" s="14" t="s">
        <v>1401</v>
      </c>
      <c r="V2910" s="14">
        <v>31936058</v>
      </c>
      <c r="X2910" s="14" t="s">
        <v>5301</v>
      </c>
      <c r="Y2910" s="14" t="s">
        <v>215</v>
      </c>
      <c r="Z2910" s="14">
        <v>21673</v>
      </c>
      <c r="AA2910" s="14" t="s">
        <v>5302</v>
      </c>
      <c r="AB2910" s="14">
        <v>40001</v>
      </c>
      <c r="AE2910" s="14" t="s">
        <v>1400</v>
      </c>
      <c r="AF2910" s="14" t="s">
        <v>1400</v>
      </c>
      <c r="AG2910" s="14" t="s">
        <v>98</v>
      </c>
    </row>
    <row r="2911" spans="2:33">
      <c r="B2911" s="14">
        <f>10000000+INDEX(编号表!$B:$B,MATCH(H2911,编号表!$A:$A,0))*100000+INDEX(编号表!$F:$F,MATCH(D2911,编号表!$E:$E,0))*10000+INDEX(编号表!$D:$D,MATCH(AG2911,编号表!$C:$C,0))*1000+F2911</f>
        <v>11946059</v>
      </c>
      <c r="C2911" s="14" t="s">
        <v>5298</v>
      </c>
      <c r="D2911" s="14" t="s">
        <v>104</v>
      </c>
      <c r="E2911" s="14" t="s">
        <v>98</v>
      </c>
      <c r="F2911" s="14">
        <v>59</v>
      </c>
      <c r="G2911" s="14">
        <v>60</v>
      </c>
      <c r="H2911" s="14" t="s">
        <v>1400</v>
      </c>
      <c r="I2911" s="14" t="s">
        <v>75</v>
      </c>
      <c r="J2911" s="14" t="s">
        <v>201</v>
      </c>
      <c r="K2911" s="14">
        <v>1</v>
      </c>
      <c r="L2911" s="14" t="s">
        <v>1400</v>
      </c>
      <c r="N2911" s="14">
        <v>0</v>
      </c>
      <c r="O2911" s="14" t="b">
        <v>1</v>
      </c>
      <c r="Q2911" s="14" t="b">
        <v>0</v>
      </c>
      <c r="R2911" s="14">
        <v>1</v>
      </c>
      <c r="S2911" s="14" t="s">
        <v>77</v>
      </c>
      <c r="T2911" s="14">
        <v>999</v>
      </c>
      <c r="U2911" s="14" t="s">
        <v>1401</v>
      </c>
      <c r="V2911" s="14">
        <v>31946059</v>
      </c>
      <c r="X2911" s="14" t="s">
        <v>5303</v>
      </c>
      <c r="Y2911" s="14" t="s">
        <v>215</v>
      </c>
      <c r="Z2911" s="14">
        <v>21674</v>
      </c>
      <c r="AA2911" s="14" t="s">
        <v>5304</v>
      </c>
      <c r="AB2911" s="14">
        <v>40001</v>
      </c>
      <c r="AE2911" s="14" t="s">
        <v>1400</v>
      </c>
      <c r="AF2911" s="14" t="s">
        <v>1400</v>
      </c>
      <c r="AG2911" s="14" t="s">
        <v>98</v>
      </c>
    </row>
    <row r="2912" spans="2:33">
      <c r="B2912" s="14">
        <f>10000000+INDEX(编号表!$B:$B,MATCH(H2912,编号表!$A:$A,0))*100000+INDEX(编号表!$F:$F,MATCH(D2912,编号表!$E:$E,0))*10000+INDEX(编号表!$D:$D,MATCH(AG2912,编号表!$C:$C,0))*1000+F2912</f>
        <v>11926058</v>
      </c>
      <c r="C2912" s="14" t="s">
        <v>5305</v>
      </c>
      <c r="D2912" s="14" t="s">
        <v>112</v>
      </c>
      <c r="E2912" s="14" t="s">
        <v>98</v>
      </c>
      <c r="F2912" s="14">
        <v>58</v>
      </c>
      <c r="G2912" s="14">
        <v>60</v>
      </c>
      <c r="H2912" s="14" t="s">
        <v>1400</v>
      </c>
      <c r="I2912" s="14" t="s">
        <v>75</v>
      </c>
      <c r="J2912" s="14" t="s">
        <v>201</v>
      </c>
      <c r="K2912" s="14">
        <v>1</v>
      </c>
      <c r="L2912" s="14" t="s">
        <v>1400</v>
      </c>
      <c r="N2912" s="14">
        <v>0</v>
      </c>
      <c r="O2912" s="14" t="b">
        <v>1</v>
      </c>
      <c r="Q2912" s="14" t="b">
        <v>0</v>
      </c>
      <c r="R2912" s="14">
        <v>1</v>
      </c>
      <c r="S2912" s="14" t="s">
        <v>77</v>
      </c>
      <c r="T2912" s="14">
        <v>999</v>
      </c>
      <c r="U2912" s="14" t="s">
        <v>1401</v>
      </c>
      <c r="V2912" s="14">
        <v>31926058</v>
      </c>
      <c r="X2912" s="14" t="s">
        <v>5306</v>
      </c>
      <c r="Y2912" s="14" t="s">
        <v>215</v>
      </c>
      <c r="Z2912" s="14">
        <v>21675</v>
      </c>
      <c r="AA2912" s="14" t="s">
        <v>5307</v>
      </c>
      <c r="AB2912" s="14">
        <v>40001</v>
      </c>
      <c r="AE2912" s="14" t="s">
        <v>1400</v>
      </c>
      <c r="AF2912" s="14" t="s">
        <v>1400</v>
      </c>
      <c r="AG2912" s="14" t="s">
        <v>98</v>
      </c>
    </row>
    <row r="2913" spans="2:33">
      <c r="B2913" s="14">
        <f>10000000+INDEX(编号表!$B:$B,MATCH(H2913,编号表!$A:$A,0))*100000+INDEX(编号表!$F:$F,MATCH(D2913,编号表!$E:$E,0))*10000+INDEX(编号表!$D:$D,MATCH(AG2913,编号表!$C:$C,0))*1000+F2913</f>
        <v>11936059</v>
      </c>
      <c r="C2913" s="14" t="s">
        <v>5305</v>
      </c>
      <c r="D2913" s="14" t="s">
        <v>276</v>
      </c>
      <c r="E2913" s="14" t="s">
        <v>98</v>
      </c>
      <c r="F2913" s="14">
        <v>59</v>
      </c>
      <c r="G2913" s="14">
        <v>60</v>
      </c>
      <c r="H2913" s="14" t="s">
        <v>1400</v>
      </c>
      <c r="I2913" s="14" t="s">
        <v>75</v>
      </c>
      <c r="J2913" s="14" t="s">
        <v>201</v>
      </c>
      <c r="K2913" s="14">
        <v>1</v>
      </c>
      <c r="L2913" s="14" t="s">
        <v>1400</v>
      </c>
      <c r="N2913" s="14">
        <v>0</v>
      </c>
      <c r="O2913" s="14" t="b">
        <v>1</v>
      </c>
      <c r="Q2913" s="14" t="b">
        <v>0</v>
      </c>
      <c r="R2913" s="14">
        <v>1</v>
      </c>
      <c r="S2913" s="14" t="s">
        <v>77</v>
      </c>
      <c r="T2913" s="14">
        <v>999</v>
      </c>
      <c r="U2913" s="14" t="s">
        <v>1401</v>
      </c>
      <c r="V2913" s="14">
        <v>31936059</v>
      </c>
      <c r="X2913" s="14" t="s">
        <v>5308</v>
      </c>
      <c r="Y2913" s="14" t="s">
        <v>215</v>
      </c>
      <c r="Z2913" s="14">
        <v>21676</v>
      </c>
      <c r="AA2913" s="14" t="s">
        <v>5309</v>
      </c>
      <c r="AB2913" s="14">
        <v>40001</v>
      </c>
      <c r="AE2913" s="14" t="s">
        <v>1400</v>
      </c>
      <c r="AF2913" s="14" t="s">
        <v>1400</v>
      </c>
      <c r="AG2913" s="14" t="s">
        <v>98</v>
      </c>
    </row>
    <row r="2914" spans="2:33">
      <c r="B2914" s="14">
        <f>10000000+INDEX(编号表!$B:$B,MATCH(H2914,编号表!$A:$A,0))*100000+INDEX(编号表!$F:$F,MATCH(D2914,编号表!$E:$E,0))*10000+INDEX(编号表!$D:$D,MATCH(AG2914,编号表!$C:$C,0))*1000+F2914</f>
        <v>11946060</v>
      </c>
      <c r="C2914" s="14" t="s">
        <v>5305</v>
      </c>
      <c r="D2914" s="14" t="s">
        <v>104</v>
      </c>
      <c r="E2914" s="14" t="s">
        <v>98</v>
      </c>
      <c r="F2914" s="14">
        <v>60</v>
      </c>
      <c r="G2914" s="14">
        <v>60</v>
      </c>
      <c r="H2914" s="14" t="s">
        <v>1400</v>
      </c>
      <c r="I2914" s="14" t="s">
        <v>75</v>
      </c>
      <c r="J2914" s="14" t="s">
        <v>201</v>
      </c>
      <c r="K2914" s="14">
        <v>1</v>
      </c>
      <c r="L2914" s="14" t="s">
        <v>1400</v>
      </c>
      <c r="N2914" s="14">
        <v>0</v>
      </c>
      <c r="O2914" s="14" t="b">
        <v>1</v>
      </c>
      <c r="Q2914" s="14" t="b">
        <v>0</v>
      </c>
      <c r="R2914" s="14">
        <v>1</v>
      </c>
      <c r="S2914" s="14" t="s">
        <v>77</v>
      </c>
      <c r="T2914" s="14">
        <v>999</v>
      </c>
      <c r="U2914" s="14" t="s">
        <v>1401</v>
      </c>
      <c r="V2914" s="14">
        <v>31946060</v>
      </c>
      <c r="X2914" s="14" t="s">
        <v>5310</v>
      </c>
      <c r="Y2914" s="14" t="s">
        <v>215</v>
      </c>
      <c r="Z2914" s="14">
        <v>21677</v>
      </c>
      <c r="AA2914" s="14" t="s">
        <v>5311</v>
      </c>
      <c r="AB2914" s="14">
        <v>40001</v>
      </c>
      <c r="AE2914" s="14" t="s">
        <v>1400</v>
      </c>
      <c r="AF2914" s="14" t="s">
        <v>1400</v>
      </c>
      <c r="AG2914" s="14" t="s">
        <v>98</v>
      </c>
    </row>
    <row r="2915" spans="2:33">
      <c r="B2915" s="14">
        <f>10000000+INDEX(编号表!$B:$B,MATCH(H2915,编号表!$A:$A,0))*100000+INDEX(编号表!$F:$F,MATCH(D2915,编号表!$E:$E,0))*10000+INDEX(编号表!$D:$D,MATCH(AG2915,编号表!$C:$C,0))*1000+F2915</f>
        <v>11926059</v>
      </c>
      <c r="C2915" s="14" t="s">
        <v>5312</v>
      </c>
      <c r="D2915" s="14" t="s">
        <v>112</v>
      </c>
      <c r="E2915" s="14" t="s">
        <v>98</v>
      </c>
      <c r="F2915" s="14">
        <v>59</v>
      </c>
      <c r="G2915" s="14">
        <v>60</v>
      </c>
      <c r="H2915" s="14" t="s">
        <v>1400</v>
      </c>
      <c r="I2915" s="14" t="s">
        <v>75</v>
      </c>
      <c r="J2915" s="14" t="s">
        <v>201</v>
      </c>
      <c r="K2915" s="14">
        <v>1</v>
      </c>
      <c r="L2915" s="14" t="s">
        <v>1400</v>
      </c>
      <c r="N2915" s="14">
        <v>0</v>
      </c>
      <c r="O2915" s="14" t="b">
        <v>1</v>
      </c>
      <c r="Q2915" s="14" t="b">
        <v>0</v>
      </c>
      <c r="R2915" s="14">
        <v>1</v>
      </c>
      <c r="S2915" s="14" t="s">
        <v>77</v>
      </c>
      <c r="T2915" s="14">
        <v>999</v>
      </c>
      <c r="U2915" s="14" t="s">
        <v>1401</v>
      </c>
      <c r="V2915" s="14">
        <v>31926059</v>
      </c>
      <c r="X2915" s="14" t="s">
        <v>5313</v>
      </c>
      <c r="Y2915" s="14" t="s">
        <v>215</v>
      </c>
      <c r="Z2915" s="14">
        <v>21678</v>
      </c>
      <c r="AA2915" s="14" t="s">
        <v>5314</v>
      </c>
      <c r="AB2915" s="14">
        <v>40001</v>
      </c>
      <c r="AE2915" s="14" t="s">
        <v>1400</v>
      </c>
      <c r="AF2915" s="14" t="s">
        <v>1400</v>
      </c>
      <c r="AG2915" s="14" t="s">
        <v>98</v>
      </c>
    </row>
    <row r="2916" spans="2:33">
      <c r="B2916" s="14">
        <f>10000000+INDEX(编号表!$B:$B,MATCH(H2916,编号表!$A:$A,0))*100000+INDEX(编号表!$F:$F,MATCH(D2916,编号表!$E:$E,0))*10000+INDEX(编号表!$D:$D,MATCH(AG2916,编号表!$C:$C,0))*1000+F2916</f>
        <v>11936060</v>
      </c>
      <c r="C2916" s="14" t="s">
        <v>5312</v>
      </c>
      <c r="D2916" s="14" t="s">
        <v>276</v>
      </c>
      <c r="E2916" s="14" t="s">
        <v>98</v>
      </c>
      <c r="F2916" s="14">
        <v>60</v>
      </c>
      <c r="G2916" s="14">
        <v>60</v>
      </c>
      <c r="H2916" s="14" t="s">
        <v>1400</v>
      </c>
      <c r="I2916" s="14" t="s">
        <v>75</v>
      </c>
      <c r="J2916" s="14" t="s">
        <v>201</v>
      </c>
      <c r="K2916" s="14">
        <v>1</v>
      </c>
      <c r="L2916" s="14" t="s">
        <v>1400</v>
      </c>
      <c r="N2916" s="14">
        <v>0</v>
      </c>
      <c r="O2916" s="14" t="b">
        <v>1</v>
      </c>
      <c r="Q2916" s="14" t="b">
        <v>0</v>
      </c>
      <c r="R2916" s="14">
        <v>1</v>
      </c>
      <c r="S2916" s="14" t="s">
        <v>77</v>
      </c>
      <c r="T2916" s="14">
        <v>999</v>
      </c>
      <c r="U2916" s="14" t="s">
        <v>1401</v>
      </c>
      <c r="V2916" s="14">
        <v>31936060</v>
      </c>
      <c r="X2916" s="14" t="s">
        <v>5315</v>
      </c>
      <c r="Y2916" s="14" t="s">
        <v>215</v>
      </c>
      <c r="Z2916" s="14">
        <v>21679</v>
      </c>
      <c r="AA2916" s="14" t="s">
        <v>5316</v>
      </c>
      <c r="AB2916" s="14">
        <v>40001</v>
      </c>
      <c r="AE2916" s="14" t="s">
        <v>1400</v>
      </c>
      <c r="AF2916" s="14" t="s">
        <v>1400</v>
      </c>
      <c r="AG2916" s="14" t="s">
        <v>98</v>
      </c>
    </row>
    <row r="2917" spans="2:33">
      <c r="B2917" s="14">
        <f>10000000+INDEX(编号表!$B:$B,MATCH(H2917,编号表!$A:$A,0))*100000+INDEX(编号表!$F:$F,MATCH(D2917,编号表!$E:$E,0))*10000+INDEX(编号表!$D:$D,MATCH(AG2917,编号表!$C:$C,0))*1000+F2917</f>
        <v>11946061</v>
      </c>
      <c r="C2917" s="14" t="s">
        <v>5312</v>
      </c>
      <c r="D2917" s="14" t="s">
        <v>104</v>
      </c>
      <c r="E2917" s="14" t="s">
        <v>98</v>
      </c>
      <c r="F2917" s="14">
        <v>61</v>
      </c>
      <c r="G2917" s="14">
        <v>60</v>
      </c>
      <c r="H2917" s="14" t="s">
        <v>1400</v>
      </c>
      <c r="I2917" s="14" t="s">
        <v>75</v>
      </c>
      <c r="J2917" s="14" t="s">
        <v>201</v>
      </c>
      <c r="K2917" s="14">
        <v>1</v>
      </c>
      <c r="L2917" s="14" t="s">
        <v>1400</v>
      </c>
      <c r="N2917" s="14">
        <v>0</v>
      </c>
      <c r="O2917" s="14" t="b">
        <v>1</v>
      </c>
      <c r="Q2917" s="14" t="b">
        <v>0</v>
      </c>
      <c r="R2917" s="14">
        <v>1</v>
      </c>
      <c r="S2917" s="14" t="s">
        <v>77</v>
      </c>
      <c r="T2917" s="14">
        <v>999</v>
      </c>
      <c r="U2917" s="14" t="s">
        <v>1401</v>
      </c>
      <c r="V2917" s="14">
        <v>31946061</v>
      </c>
      <c r="X2917" s="14" t="s">
        <v>5317</v>
      </c>
      <c r="Y2917" s="14" t="s">
        <v>215</v>
      </c>
      <c r="Z2917" s="14">
        <v>21680</v>
      </c>
      <c r="AA2917" s="14" t="s">
        <v>5318</v>
      </c>
      <c r="AB2917" s="14">
        <v>40001</v>
      </c>
      <c r="AE2917" s="14" t="s">
        <v>1400</v>
      </c>
      <c r="AF2917" s="14" t="s">
        <v>1400</v>
      </c>
      <c r="AG2917" s="14" t="s">
        <v>98</v>
      </c>
    </row>
    <row r="2918" spans="2:33">
      <c r="B2918" s="14">
        <f>10000000+INDEX(编号表!$B:$B,MATCH(H2918,编号表!$A:$A,0))*100000+INDEX(编号表!$F:$F,MATCH(D2918,编号表!$E:$E,0))*10000+INDEX(编号表!$D:$D,MATCH(AG2918,编号表!$C:$C,0))*1000+F2918</f>
        <v>11926060</v>
      </c>
      <c r="C2918" s="14" t="s">
        <v>5319</v>
      </c>
      <c r="D2918" s="14" t="s">
        <v>112</v>
      </c>
      <c r="E2918" s="14" t="s">
        <v>98</v>
      </c>
      <c r="F2918" s="14">
        <v>60</v>
      </c>
      <c r="G2918" s="14">
        <v>60</v>
      </c>
      <c r="H2918" s="14" t="s">
        <v>1400</v>
      </c>
      <c r="I2918" s="14" t="s">
        <v>75</v>
      </c>
      <c r="J2918" s="14" t="s">
        <v>201</v>
      </c>
      <c r="K2918" s="14">
        <v>1</v>
      </c>
      <c r="L2918" s="14" t="s">
        <v>1400</v>
      </c>
      <c r="N2918" s="14">
        <v>0</v>
      </c>
      <c r="O2918" s="14" t="b">
        <v>1</v>
      </c>
      <c r="Q2918" s="14" t="b">
        <v>0</v>
      </c>
      <c r="R2918" s="14">
        <v>1</v>
      </c>
      <c r="S2918" s="14" t="s">
        <v>77</v>
      </c>
      <c r="T2918" s="14">
        <v>999</v>
      </c>
      <c r="U2918" s="14" t="s">
        <v>1401</v>
      </c>
      <c r="V2918" s="14">
        <v>31926060</v>
      </c>
      <c r="X2918" s="14" t="s">
        <v>5320</v>
      </c>
      <c r="Y2918" s="14" t="s">
        <v>215</v>
      </c>
      <c r="Z2918" s="14">
        <v>21681</v>
      </c>
      <c r="AA2918" s="14" t="s">
        <v>5321</v>
      </c>
      <c r="AB2918" s="14">
        <v>40001</v>
      </c>
      <c r="AE2918" s="14" t="s">
        <v>1400</v>
      </c>
      <c r="AF2918" s="14" t="s">
        <v>1400</v>
      </c>
      <c r="AG2918" s="14" t="s">
        <v>98</v>
      </c>
    </row>
    <row r="2919" spans="2:33">
      <c r="B2919" s="14">
        <f>10000000+INDEX(编号表!$B:$B,MATCH(H2919,编号表!$A:$A,0))*100000+INDEX(编号表!$F:$F,MATCH(D2919,编号表!$E:$E,0))*10000+INDEX(编号表!$D:$D,MATCH(AG2919,编号表!$C:$C,0))*1000+F2919</f>
        <v>11936061</v>
      </c>
      <c r="C2919" s="14" t="s">
        <v>5319</v>
      </c>
      <c r="D2919" s="14" t="s">
        <v>276</v>
      </c>
      <c r="E2919" s="14" t="s">
        <v>98</v>
      </c>
      <c r="F2919" s="14">
        <v>61</v>
      </c>
      <c r="G2919" s="14">
        <v>60</v>
      </c>
      <c r="H2919" s="14" t="s">
        <v>1400</v>
      </c>
      <c r="I2919" s="14" t="s">
        <v>75</v>
      </c>
      <c r="J2919" s="14" t="s">
        <v>201</v>
      </c>
      <c r="K2919" s="14">
        <v>1</v>
      </c>
      <c r="L2919" s="14" t="s">
        <v>1400</v>
      </c>
      <c r="N2919" s="14">
        <v>0</v>
      </c>
      <c r="O2919" s="14" t="b">
        <v>1</v>
      </c>
      <c r="Q2919" s="14" t="b">
        <v>0</v>
      </c>
      <c r="R2919" s="14">
        <v>1</v>
      </c>
      <c r="S2919" s="14" t="s">
        <v>77</v>
      </c>
      <c r="T2919" s="14">
        <v>999</v>
      </c>
      <c r="U2919" s="14" t="s">
        <v>1401</v>
      </c>
      <c r="V2919" s="14">
        <v>31936061</v>
      </c>
      <c r="X2919" s="14" t="s">
        <v>5322</v>
      </c>
      <c r="Y2919" s="14" t="s">
        <v>215</v>
      </c>
      <c r="Z2919" s="14">
        <v>21682</v>
      </c>
      <c r="AA2919" s="14" t="s">
        <v>5323</v>
      </c>
      <c r="AB2919" s="14">
        <v>40001</v>
      </c>
      <c r="AE2919" s="14" t="s">
        <v>1400</v>
      </c>
      <c r="AF2919" s="14" t="s">
        <v>1400</v>
      </c>
      <c r="AG2919" s="14" t="s">
        <v>98</v>
      </c>
    </row>
    <row r="2920" spans="2:33">
      <c r="B2920" s="14">
        <f>10000000+INDEX(编号表!$B:$B,MATCH(H2920,编号表!$A:$A,0))*100000+INDEX(编号表!$F:$F,MATCH(D2920,编号表!$E:$E,0))*10000+INDEX(编号表!$D:$D,MATCH(AG2920,编号表!$C:$C,0))*1000+F2920</f>
        <v>11946062</v>
      </c>
      <c r="C2920" s="14" t="s">
        <v>5319</v>
      </c>
      <c r="D2920" s="14" t="s">
        <v>104</v>
      </c>
      <c r="E2920" s="14" t="s">
        <v>98</v>
      </c>
      <c r="F2920" s="14">
        <v>62</v>
      </c>
      <c r="G2920" s="14">
        <v>60</v>
      </c>
      <c r="H2920" s="14" t="s">
        <v>1400</v>
      </c>
      <c r="I2920" s="14" t="s">
        <v>75</v>
      </c>
      <c r="J2920" s="14" t="s">
        <v>201</v>
      </c>
      <c r="K2920" s="14">
        <v>1</v>
      </c>
      <c r="L2920" s="14" t="s">
        <v>1400</v>
      </c>
      <c r="N2920" s="14">
        <v>0</v>
      </c>
      <c r="O2920" s="14" t="b">
        <v>1</v>
      </c>
      <c r="Q2920" s="14" t="b">
        <v>0</v>
      </c>
      <c r="R2920" s="14">
        <v>1</v>
      </c>
      <c r="S2920" s="14" t="s">
        <v>77</v>
      </c>
      <c r="T2920" s="14">
        <v>999</v>
      </c>
      <c r="U2920" s="14" t="s">
        <v>1401</v>
      </c>
      <c r="V2920" s="14">
        <v>31946062</v>
      </c>
      <c r="X2920" s="14" t="s">
        <v>5324</v>
      </c>
      <c r="Y2920" s="14" t="s">
        <v>215</v>
      </c>
      <c r="Z2920" s="14">
        <v>21683</v>
      </c>
      <c r="AA2920" s="14" t="s">
        <v>5325</v>
      </c>
      <c r="AB2920" s="14">
        <v>40001</v>
      </c>
      <c r="AE2920" s="14" t="s">
        <v>1400</v>
      </c>
      <c r="AF2920" s="14" t="s">
        <v>1400</v>
      </c>
      <c r="AG2920" s="14" t="s">
        <v>98</v>
      </c>
    </row>
    <row r="2921" spans="2:33">
      <c r="B2921" s="14">
        <f>10000000+INDEX(编号表!$B:$B,MATCH(H2921,编号表!$A:$A,0))*100000+INDEX(编号表!$F:$F,MATCH(D2921,编号表!$E:$E,0))*10000+INDEX(编号表!$D:$D,MATCH(AG2921,编号表!$C:$C,0))*1000+F2921</f>
        <v>11926061</v>
      </c>
      <c r="C2921" s="14" t="s">
        <v>5326</v>
      </c>
      <c r="D2921" s="14" t="s">
        <v>112</v>
      </c>
      <c r="E2921" s="14" t="s">
        <v>98</v>
      </c>
      <c r="F2921" s="14">
        <v>61</v>
      </c>
      <c r="G2921" s="14">
        <v>60</v>
      </c>
      <c r="H2921" s="14" t="s">
        <v>1400</v>
      </c>
      <c r="I2921" s="14" t="s">
        <v>75</v>
      </c>
      <c r="J2921" s="14" t="s">
        <v>201</v>
      </c>
      <c r="K2921" s="14">
        <v>1</v>
      </c>
      <c r="L2921" s="14" t="s">
        <v>1400</v>
      </c>
      <c r="N2921" s="14">
        <v>0</v>
      </c>
      <c r="O2921" s="14" t="b">
        <v>1</v>
      </c>
      <c r="Q2921" s="14" t="b">
        <v>0</v>
      </c>
      <c r="R2921" s="14">
        <v>1</v>
      </c>
      <c r="S2921" s="14" t="s">
        <v>77</v>
      </c>
      <c r="T2921" s="14">
        <v>999</v>
      </c>
      <c r="U2921" s="14" t="s">
        <v>1401</v>
      </c>
      <c r="V2921" s="14">
        <v>31926061</v>
      </c>
      <c r="X2921" s="14" t="s">
        <v>5327</v>
      </c>
      <c r="Y2921" s="14" t="s">
        <v>215</v>
      </c>
      <c r="Z2921" s="14">
        <v>21684</v>
      </c>
      <c r="AA2921" s="14" t="s">
        <v>5328</v>
      </c>
      <c r="AB2921" s="14">
        <v>40001</v>
      </c>
      <c r="AE2921" s="14" t="s">
        <v>1400</v>
      </c>
      <c r="AF2921" s="14" t="s">
        <v>1400</v>
      </c>
      <c r="AG2921" s="14" t="s">
        <v>98</v>
      </c>
    </row>
    <row r="2922" spans="2:33">
      <c r="B2922" s="14">
        <f>10000000+INDEX(编号表!$B:$B,MATCH(H2922,编号表!$A:$A,0))*100000+INDEX(编号表!$F:$F,MATCH(D2922,编号表!$E:$E,0))*10000+INDEX(编号表!$D:$D,MATCH(AG2922,编号表!$C:$C,0))*1000+F2922</f>
        <v>11936062</v>
      </c>
      <c r="C2922" s="14" t="s">
        <v>5326</v>
      </c>
      <c r="D2922" s="14" t="s">
        <v>276</v>
      </c>
      <c r="E2922" s="14" t="s">
        <v>98</v>
      </c>
      <c r="F2922" s="14">
        <v>62</v>
      </c>
      <c r="G2922" s="14">
        <v>60</v>
      </c>
      <c r="H2922" s="14" t="s">
        <v>1400</v>
      </c>
      <c r="I2922" s="14" t="s">
        <v>75</v>
      </c>
      <c r="J2922" s="14" t="s">
        <v>201</v>
      </c>
      <c r="K2922" s="14">
        <v>1</v>
      </c>
      <c r="L2922" s="14" t="s">
        <v>1400</v>
      </c>
      <c r="N2922" s="14">
        <v>0</v>
      </c>
      <c r="O2922" s="14" t="b">
        <v>1</v>
      </c>
      <c r="Q2922" s="14" t="b">
        <v>0</v>
      </c>
      <c r="R2922" s="14">
        <v>1</v>
      </c>
      <c r="S2922" s="14" t="s">
        <v>77</v>
      </c>
      <c r="T2922" s="14">
        <v>999</v>
      </c>
      <c r="U2922" s="14" t="s">
        <v>1401</v>
      </c>
      <c r="V2922" s="14">
        <v>31936062</v>
      </c>
      <c r="X2922" s="14" t="s">
        <v>5329</v>
      </c>
      <c r="Y2922" s="14" t="s">
        <v>215</v>
      </c>
      <c r="Z2922" s="14">
        <v>21685</v>
      </c>
      <c r="AA2922" s="14" t="s">
        <v>5330</v>
      </c>
      <c r="AB2922" s="14">
        <v>40001</v>
      </c>
      <c r="AE2922" s="14" t="s">
        <v>1400</v>
      </c>
      <c r="AF2922" s="14" t="s">
        <v>1400</v>
      </c>
      <c r="AG2922" s="14" t="s">
        <v>98</v>
      </c>
    </row>
    <row r="2923" spans="2:33">
      <c r="B2923" s="14">
        <f>10000000+INDEX(编号表!$B:$B,MATCH(H2923,编号表!$A:$A,0))*100000+INDEX(编号表!$F:$F,MATCH(D2923,编号表!$E:$E,0))*10000+INDEX(编号表!$D:$D,MATCH(AG2923,编号表!$C:$C,0))*1000+F2923</f>
        <v>11946063</v>
      </c>
      <c r="C2923" s="14" t="s">
        <v>5326</v>
      </c>
      <c r="D2923" s="14" t="s">
        <v>104</v>
      </c>
      <c r="E2923" s="14" t="s">
        <v>98</v>
      </c>
      <c r="F2923" s="14">
        <v>63</v>
      </c>
      <c r="G2923" s="14">
        <v>60</v>
      </c>
      <c r="H2923" s="14" t="s">
        <v>1400</v>
      </c>
      <c r="I2923" s="14" t="s">
        <v>75</v>
      </c>
      <c r="J2923" s="14" t="s">
        <v>201</v>
      </c>
      <c r="K2923" s="14">
        <v>1</v>
      </c>
      <c r="L2923" s="14" t="s">
        <v>1400</v>
      </c>
      <c r="N2923" s="14">
        <v>0</v>
      </c>
      <c r="O2923" s="14" t="b">
        <v>1</v>
      </c>
      <c r="Q2923" s="14" t="b">
        <v>0</v>
      </c>
      <c r="R2923" s="14">
        <v>1</v>
      </c>
      <c r="S2923" s="14" t="s">
        <v>77</v>
      </c>
      <c r="T2923" s="14">
        <v>999</v>
      </c>
      <c r="U2923" s="14" t="s">
        <v>1401</v>
      </c>
      <c r="V2923" s="14">
        <v>31946063</v>
      </c>
      <c r="X2923" s="14" t="s">
        <v>5331</v>
      </c>
      <c r="Y2923" s="14" t="s">
        <v>215</v>
      </c>
      <c r="Z2923" s="14">
        <v>21686</v>
      </c>
      <c r="AA2923" s="14" t="s">
        <v>5332</v>
      </c>
      <c r="AB2923" s="14">
        <v>40001</v>
      </c>
      <c r="AE2923" s="14" t="s">
        <v>1400</v>
      </c>
      <c r="AF2923" s="14" t="s">
        <v>1400</v>
      </c>
      <c r="AG2923" s="14" t="s">
        <v>98</v>
      </c>
    </row>
    <row r="2924" spans="2:33">
      <c r="B2924" s="14">
        <f>10000000+INDEX(编号表!$B:$B,MATCH(H2924,编号表!$A:$A,0))*100000+INDEX(编号表!$F:$F,MATCH(D2924,编号表!$E:$E,0))*10000+INDEX(编号表!$D:$D,MATCH(AG2924,编号表!$C:$C,0))*1000+F2924</f>
        <v>11926062</v>
      </c>
      <c r="C2924" s="14" t="s">
        <v>5333</v>
      </c>
      <c r="D2924" s="14" t="s">
        <v>112</v>
      </c>
      <c r="E2924" s="14" t="s">
        <v>98</v>
      </c>
      <c r="F2924" s="14">
        <v>62</v>
      </c>
      <c r="G2924" s="14">
        <v>60</v>
      </c>
      <c r="H2924" s="14" t="s">
        <v>1400</v>
      </c>
      <c r="I2924" s="14" t="s">
        <v>75</v>
      </c>
      <c r="J2924" s="14" t="s">
        <v>201</v>
      </c>
      <c r="K2924" s="14">
        <v>1</v>
      </c>
      <c r="L2924" s="14" t="s">
        <v>1400</v>
      </c>
      <c r="N2924" s="14">
        <v>0</v>
      </c>
      <c r="O2924" s="14" t="b">
        <v>1</v>
      </c>
      <c r="Q2924" s="14" t="b">
        <v>0</v>
      </c>
      <c r="R2924" s="14">
        <v>1</v>
      </c>
      <c r="S2924" s="14" t="s">
        <v>77</v>
      </c>
      <c r="T2924" s="14">
        <v>999</v>
      </c>
      <c r="U2924" s="14" t="s">
        <v>1401</v>
      </c>
      <c r="V2924" s="14">
        <v>31926062</v>
      </c>
      <c r="X2924" s="14" t="s">
        <v>5334</v>
      </c>
      <c r="Y2924" s="14" t="s">
        <v>215</v>
      </c>
      <c r="Z2924" s="14">
        <v>21687</v>
      </c>
      <c r="AA2924" s="14" t="s">
        <v>5335</v>
      </c>
      <c r="AB2924" s="14">
        <v>40001</v>
      </c>
      <c r="AE2924" s="14" t="s">
        <v>1400</v>
      </c>
      <c r="AF2924" s="14" t="s">
        <v>1400</v>
      </c>
      <c r="AG2924" s="14" t="s">
        <v>98</v>
      </c>
    </row>
    <row r="2925" spans="2:33">
      <c r="B2925" s="14">
        <f>10000000+INDEX(编号表!$B:$B,MATCH(H2925,编号表!$A:$A,0))*100000+INDEX(编号表!$F:$F,MATCH(D2925,编号表!$E:$E,0))*10000+INDEX(编号表!$D:$D,MATCH(AG2925,编号表!$C:$C,0))*1000+F2925</f>
        <v>11936063</v>
      </c>
      <c r="C2925" s="14" t="s">
        <v>5333</v>
      </c>
      <c r="D2925" s="14" t="s">
        <v>276</v>
      </c>
      <c r="E2925" s="14" t="s">
        <v>98</v>
      </c>
      <c r="F2925" s="14">
        <v>63</v>
      </c>
      <c r="G2925" s="14">
        <v>60</v>
      </c>
      <c r="H2925" s="14" t="s">
        <v>1400</v>
      </c>
      <c r="I2925" s="14" t="s">
        <v>75</v>
      </c>
      <c r="J2925" s="14" t="s">
        <v>201</v>
      </c>
      <c r="K2925" s="14">
        <v>1</v>
      </c>
      <c r="L2925" s="14" t="s">
        <v>1400</v>
      </c>
      <c r="N2925" s="14">
        <v>0</v>
      </c>
      <c r="O2925" s="14" t="b">
        <v>1</v>
      </c>
      <c r="Q2925" s="14" t="b">
        <v>0</v>
      </c>
      <c r="R2925" s="14">
        <v>1</v>
      </c>
      <c r="S2925" s="14" t="s">
        <v>77</v>
      </c>
      <c r="T2925" s="14">
        <v>999</v>
      </c>
      <c r="U2925" s="14" t="s">
        <v>1401</v>
      </c>
      <c r="V2925" s="14">
        <v>31936063</v>
      </c>
      <c r="X2925" s="14" t="s">
        <v>5336</v>
      </c>
      <c r="Y2925" s="14" t="s">
        <v>215</v>
      </c>
      <c r="Z2925" s="14">
        <v>21688</v>
      </c>
      <c r="AA2925" s="14" t="s">
        <v>5337</v>
      </c>
      <c r="AB2925" s="14">
        <v>40001</v>
      </c>
      <c r="AE2925" s="14" t="s">
        <v>1400</v>
      </c>
      <c r="AF2925" s="14" t="s">
        <v>1400</v>
      </c>
      <c r="AG2925" s="14" t="s">
        <v>98</v>
      </c>
    </row>
    <row r="2926" spans="2:33">
      <c r="B2926" s="14">
        <f>10000000+INDEX(编号表!$B:$B,MATCH(H2926,编号表!$A:$A,0))*100000+INDEX(编号表!$F:$F,MATCH(D2926,编号表!$E:$E,0))*10000+INDEX(编号表!$D:$D,MATCH(AG2926,编号表!$C:$C,0))*1000+F2926</f>
        <v>11946064</v>
      </c>
      <c r="C2926" s="14" t="s">
        <v>5333</v>
      </c>
      <c r="D2926" s="14" t="s">
        <v>104</v>
      </c>
      <c r="E2926" s="14" t="s">
        <v>98</v>
      </c>
      <c r="F2926" s="14">
        <v>64</v>
      </c>
      <c r="G2926" s="14">
        <v>60</v>
      </c>
      <c r="H2926" s="14" t="s">
        <v>1400</v>
      </c>
      <c r="I2926" s="14" t="s">
        <v>75</v>
      </c>
      <c r="J2926" s="14" t="s">
        <v>201</v>
      </c>
      <c r="K2926" s="14">
        <v>1</v>
      </c>
      <c r="L2926" s="14" t="s">
        <v>1400</v>
      </c>
      <c r="N2926" s="14">
        <v>0</v>
      </c>
      <c r="O2926" s="14" t="b">
        <v>1</v>
      </c>
      <c r="Q2926" s="14" t="b">
        <v>0</v>
      </c>
      <c r="R2926" s="14">
        <v>1</v>
      </c>
      <c r="S2926" s="14" t="s">
        <v>77</v>
      </c>
      <c r="T2926" s="14">
        <v>999</v>
      </c>
      <c r="U2926" s="14" t="s">
        <v>1401</v>
      </c>
      <c r="V2926" s="14">
        <v>31946064</v>
      </c>
      <c r="X2926" s="14" t="s">
        <v>5338</v>
      </c>
      <c r="Y2926" s="14" t="s">
        <v>215</v>
      </c>
      <c r="Z2926" s="14">
        <v>21689</v>
      </c>
      <c r="AA2926" s="14" t="s">
        <v>5339</v>
      </c>
      <c r="AB2926" s="14">
        <v>40001</v>
      </c>
      <c r="AE2926" s="14" t="s">
        <v>1400</v>
      </c>
      <c r="AF2926" s="14" t="s">
        <v>1400</v>
      </c>
      <c r="AG2926" s="14" t="s">
        <v>98</v>
      </c>
    </row>
    <row r="2927" spans="2:33">
      <c r="B2927" s="14">
        <f>10000000+INDEX(编号表!$B:$B,MATCH(H2927,编号表!$A:$A,0))*100000+INDEX(编号表!$F:$F,MATCH(D2927,编号表!$E:$E,0))*10000+INDEX(编号表!$D:$D,MATCH(AG2927,编号表!$C:$C,0))*1000+F2927</f>
        <v>11926063</v>
      </c>
      <c r="C2927" s="14" t="s">
        <v>5340</v>
      </c>
      <c r="D2927" s="14" t="s">
        <v>112</v>
      </c>
      <c r="E2927" s="14" t="s">
        <v>98</v>
      </c>
      <c r="F2927" s="14">
        <v>63</v>
      </c>
      <c r="G2927" s="14">
        <v>60</v>
      </c>
      <c r="H2927" s="14" t="s">
        <v>1400</v>
      </c>
      <c r="I2927" s="14" t="s">
        <v>75</v>
      </c>
      <c r="J2927" s="14" t="s">
        <v>201</v>
      </c>
      <c r="K2927" s="14">
        <v>1</v>
      </c>
      <c r="L2927" s="14" t="s">
        <v>1400</v>
      </c>
      <c r="N2927" s="14">
        <v>0</v>
      </c>
      <c r="O2927" s="14" t="b">
        <v>1</v>
      </c>
      <c r="Q2927" s="14" t="b">
        <v>0</v>
      </c>
      <c r="R2927" s="14">
        <v>1</v>
      </c>
      <c r="S2927" s="14" t="s">
        <v>77</v>
      </c>
      <c r="T2927" s="14">
        <v>999</v>
      </c>
      <c r="U2927" s="14" t="s">
        <v>1401</v>
      </c>
      <c r="V2927" s="14">
        <v>31926063</v>
      </c>
      <c r="X2927" s="14" t="s">
        <v>5341</v>
      </c>
      <c r="Y2927" s="14" t="s">
        <v>215</v>
      </c>
      <c r="Z2927" s="14">
        <v>21690</v>
      </c>
      <c r="AA2927" s="14" t="s">
        <v>5342</v>
      </c>
      <c r="AB2927" s="14">
        <v>40001</v>
      </c>
      <c r="AE2927" s="14" t="s">
        <v>1400</v>
      </c>
      <c r="AF2927" s="14" t="s">
        <v>1400</v>
      </c>
      <c r="AG2927" s="14" t="s">
        <v>98</v>
      </c>
    </row>
    <row r="2928" spans="2:33">
      <c r="B2928" s="14">
        <f>10000000+INDEX(编号表!$B:$B,MATCH(H2928,编号表!$A:$A,0))*100000+INDEX(编号表!$F:$F,MATCH(D2928,编号表!$E:$E,0))*10000+INDEX(编号表!$D:$D,MATCH(AG2928,编号表!$C:$C,0))*1000+F2928</f>
        <v>11936064</v>
      </c>
      <c r="C2928" s="14" t="s">
        <v>5340</v>
      </c>
      <c r="D2928" s="14" t="s">
        <v>276</v>
      </c>
      <c r="E2928" s="14" t="s">
        <v>98</v>
      </c>
      <c r="F2928" s="14">
        <v>64</v>
      </c>
      <c r="G2928" s="14">
        <v>60</v>
      </c>
      <c r="H2928" s="14" t="s">
        <v>1400</v>
      </c>
      <c r="I2928" s="14" t="s">
        <v>75</v>
      </c>
      <c r="J2928" s="14" t="s">
        <v>201</v>
      </c>
      <c r="K2928" s="14">
        <v>1</v>
      </c>
      <c r="L2928" s="14" t="s">
        <v>1400</v>
      </c>
      <c r="N2928" s="14">
        <v>0</v>
      </c>
      <c r="O2928" s="14" t="b">
        <v>1</v>
      </c>
      <c r="Q2928" s="14" t="b">
        <v>0</v>
      </c>
      <c r="R2928" s="14">
        <v>1</v>
      </c>
      <c r="S2928" s="14" t="s">
        <v>77</v>
      </c>
      <c r="T2928" s="14">
        <v>999</v>
      </c>
      <c r="U2928" s="14" t="s">
        <v>1401</v>
      </c>
      <c r="V2928" s="14">
        <v>31936064</v>
      </c>
      <c r="X2928" s="14" t="s">
        <v>5343</v>
      </c>
      <c r="Y2928" s="14" t="s">
        <v>215</v>
      </c>
      <c r="Z2928" s="14">
        <v>21691</v>
      </c>
      <c r="AA2928" s="14" t="s">
        <v>5344</v>
      </c>
      <c r="AB2928" s="14">
        <v>40001</v>
      </c>
      <c r="AE2928" s="14" t="s">
        <v>1400</v>
      </c>
      <c r="AF2928" s="14" t="s">
        <v>1400</v>
      </c>
      <c r="AG2928" s="14" t="s">
        <v>98</v>
      </c>
    </row>
    <row r="2929" spans="2:33">
      <c r="B2929" s="14">
        <f>10000000+INDEX(编号表!$B:$B,MATCH(H2929,编号表!$A:$A,0))*100000+INDEX(编号表!$F:$F,MATCH(D2929,编号表!$E:$E,0))*10000+INDEX(编号表!$D:$D,MATCH(AG2929,编号表!$C:$C,0))*1000+F2929</f>
        <v>11946065</v>
      </c>
      <c r="C2929" s="14" t="s">
        <v>5340</v>
      </c>
      <c r="D2929" s="14" t="s">
        <v>104</v>
      </c>
      <c r="E2929" s="14" t="s">
        <v>98</v>
      </c>
      <c r="F2929" s="14">
        <v>65</v>
      </c>
      <c r="G2929" s="14">
        <v>60</v>
      </c>
      <c r="H2929" s="14" t="s">
        <v>1400</v>
      </c>
      <c r="I2929" s="14" t="s">
        <v>75</v>
      </c>
      <c r="J2929" s="14" t="s">
        <v>201</v>
      </c>
      <c r="K2929" s="14">
        <v>1</v>
      </c>
      <c r="L2929" s="14" t="s">
        <v>1400</v>
      </c>
      <c r="N2929" s="14">
        <v>0</v>
      </c>
      <c r="O2929" s="14" t="b">
        <v>1</v>
      </c>
      <c r="Q2929" s="14" t="b">
        <v>0</v>
      </c>
      <c r="R2929" s="14">
        <v>1</v>
      </c>
      <c r="S2929" s="14" t="s">
        <v>77</v>
      </c>
      <c r="T2929" s="14">
        <v>999</v>
      </c>
      <c r="U2929" s="14" t="s">
        <v>1401</v>
      </c>
      <c r="V2929" s="14">
        <v>31946065</v>
      </c>
      <c r="X2929" s="14" t="s">
        <v>5345</v>
      </c>
      <c r="Y2929" s="14" t="s">
        <v>215</v>
      </c>
      <c r="Z2929" s="14">
        <v>21692</v>
      </c>
      <c r="AA2929" s="14" t="s">
        <v>5346</v>
      </c>
      <c r="AB2929" s="14">
        <v>40001</v>
      </c>
      <c r="AE2929" s="14" t="s">
        <v>1400</v>
      </c>
      <c r="AF2929" s="14" t="s">
        <v>1400</v>
      </c>
      <c r="AG2929" s="14" t="s">
        <v>98</v>
      </c>
    </row>
    <row r="2930" spans="2:33">
      <c r="B2930" s="14">
        <f>10000000+INDEX(编号表!$B:$B,MATCH(H2930,编号表!$A:$A,0))*100000+INDEX(编号表!$F:$F,MATCH(D2930,编号表!$E:$E,0))*10000+INDEX(编号表!$D:$D,MATCH(AG2930,编号表!$C:$C,0))*1000+F2930</f>
        <v>11926064</v>
      </c>
      <c r="C2930" s="14" t="s">
        <v>5347</v>
      </c>
      <c r="D2930" s="14" t="s">
        <v>112</v>
      </c>
      <c r="E2930" s="14" t="s">
        <v>98</v>
      </c>
      <c r="F2930" s="14">
        <v>64</v>
      </c>
      <c r="G2930" s="14">
        <v>60</v>
      </c>
      <c r="H2930" s="14" t="s">
        <v>1400</v>
      </c>
      <c r="I2930" s="14" t="s">
        <v>75</v>
      </c>
      <c r="J2930" s="14" t="s">
        <v>201</v>
      </c>
      <c r="K2930" s="14">
        <v>1</v>
      </c>
      <c r="L2930" s="14" t="s">
        <v>1400</v>
      </c>
      <c r="N2930" s="14">
        <v>0</v>
      </c>
      <c r="O2930" s="14" t="b">
        <v>1</v>
      </c>
      <c r="Q2930" s="14" t="b">
        <v>0</v>
      </c>
      <c r="R2930" s="14">
        <v>1</v>
      </c>
      <c r="S2930" s="14" t="s">
        <v>77</v>
      </c>
      <c r="T2930" s="14">
        <v>999</v>
      </c>
      <c r="U2930" s="14" t="s">
        <v>1401</v>
      </c>
      <c r="V2930" s="14">
        <v>31926064</v>
      </c>
      <c r="X2930" s="14" t="s">
        <v>5348</v>
      </c>
      <c r="Y2930" s="14" t="s">
        <v>215</v>
      </c>
      <c r="Z2930" s="14">
        <v>21693</v>
      </c>
      <c r="AA2930" s="14" t="s">
        <v>5349</v>
      </c>
      <c r="AB2930" s="14">
        <v>40001</v>
      </c>
      <c r="AE2930" s="14" t="s">
        <v>1400</v>
      </c>
      <c r="AF2930" s="14" t="s">
        <v>1400</v>
      </c>
      <c r="AG2930" s="14" t="s">
        <v>98</v>
      </c>
    </row>
    <row r="2931" spans="2:33">
      <c r="B2931" s="14">
        <f>10000000+INDEX(编号表!$B:$B,MATCH(H2931,编号表!$A:$A,0))*100000+INDEX(编号表!$F:$F,MATCH(D2931,编号表!$E:$E,0))*10000+INDEX(编号表!$D:$D,MATCH(AG2931,编号表!$C:$C,0))*1000+F2931</f>
        <v>11936065</v>
      </c>
      <c r="C2931" s="14" t="s">
        <v>5347</v>
      </c>
      <c r="D2931" s="14" t="s">
        <v>276</v>
      </c>
      <c r="E2931" s="14" t="s">
        <v>98</v>
      </c>
      <c r="F2931" s="14">
        <v>65</v>
      </c>
      <c r="G2931" s="14">
        <v>60</v>
      </c>
      <c r="H2931" s="14" t="s">
        <v>1400</v>
      </c>
      <c r="I2931" s="14" t="s">
        <v>75</v>
      </c>
      <c r="J2931" s="14" t="s">
        <v>201</v>
      </c>
      <c r="K2931" s="14">
        <v>1</v>
      </c>
      <c r="L2931" s="14" t="s">
        <v>1400</v>
      </c>
      <c r="N2931" s="14">
        <v>0</v>
      </c>
      <c r="O2931" s="14" t="b">
        <v>1</v>
      </c>
      <c r="Q2931" s="14" t="b">
        <v>0</v>
      </c>
      <c r="R2931" s="14">
        <v>1</v>
      </c>
      <c r="S2931" s="14" t="s">
        <v>77</v>
      </c>
      <c r="T2931" s="14">
        <v>999</v>
      </c>
      <c r="U2931" s="14" t="s">
        <v>1401</v>
      </c>
      <c r="V2931" s="14">
        <v>31936065</v>
      </c>
      <c r="X2931" s="14" t="s">
        <v>5350</v>
      </c>
      <c r="Y2931" s="14" t="s">
        <v>215</v>
      </c>
      <c r="Z2931" s="14">
        <v>21694</v>
      </c>
      <c r="AA2931" s="14" t="s">
        <v>5351</v>
      </c>
      <c r="AB2931" s="14">
        <v>40001</v>
      </c>
      <c r="AE2931" s="14" t="s">
        <v>1400</v>
      </c>
      <c r="AF2931" s="14" t="s">
        <v>1400</v>
      </c>
      <c r="AG2931" s="14" t="s">
        <v>98</v>
      </c>
    </row>
    <row r="2932" spans="2:33">
      <c r="B2932" s="14">
        <f>10000000+INDEX(编号表!$B:$B,MATCH(H2932,编号表!$A:$A,0))*100000+INDEX(编号表!$F:$F,MATCH(D2932,编号表!$E:$E,0))*10000+INDEX(编号表!$D:$D,MATCH(AG2932,编号表!$C:$C,0))*1000+F2932</f>
        <v>11946066</v>
      </c>
      <c r="C2932" s="14" t="s">
        <v>5347</v>
      </c>
      <c r="D2932" s="14" t="s">
        <v>104</v>
      </c>
      <c r="E2932" s="14" t="s">
        <v>98</v>
      </c>
      <c r="F2932" s="14">
        <v>66</v>
      </c>
      <c r="G2932" s="14">
        <v>60</v>
      </c>
      <c r="H2932" s="14" t="s">
        <v>1400</v>
      </c>
      <c r="I2932" s="14" t="s">
        <v>75</v>
      </c>
      <c r="J2932" s="14" t="s">
        <v>201</v>
      </c>
      <c r="K2932" s="14">
        <v>1</v>
      </c>
      <c r="L2932" s="14" t="s">
        <v>1400</v>
      </c>
      <c r="N2932" s="14">
        <v>0</v>
      </c>
      <c r="O2932" s="14" t="b">
        <v>1</v>
      </c>
      <c r="Q2932" s="14" t="b">
        <v>0</v>
      </c>
      <c r="R2932" s="14">
        <v>1</v>
      </c>
      <c r="S2932" s="14" t="s">
        <v>77</v>
      </c>
      <c r="T2932" s="14">
        <v>999</v>
      </c>
      <c r="U2932" s="14" t="s">
        <v>1401</v>
      </c>
      <c r="V2932" s="14">
        <v>31946066</v>
      </c>
      <c r="X2932" s="14" t="s">
        <v>5352</v>
      </c>
      <c r="Y2932" s="14" t="s">
        <v>215</v>
      </c>
      <c r="Z2932" s="14">
        <v>21695</v>
      </c>
      <c r="AA2932" s="14" t="s">
        <v>5353</v>
      </c>
      <c r="AB2932" s="14">
        <v>40001</v>
      </c>
      <c r="AE2932" s="14" t="s">
        <v>1400</v>
      </c>
      <c r="AF2932" s="14" t="s">
        <v>1400</v>
      </c>
      <c r="AG2932" s="14" t="s">
        <v>98</v>
      </c>
    </row>
    <row r="2933" spans="2:33">
      <c r="B2933" s="14">
        <f>10000000+INDEX(编号表!$B:$B,MATCH(H2933,编号表!$A:$A,0))*100000+INDEX(编号表!$F:$F,MATCH(D2933,编号表!$E:$E,0))*10000+INDEX(编号表!$D:$D,MATCH(AG2933,编号表!$C:$C,0))*1000+F2933</f>
        <v>11926065</v>
      </c>
      <c r="C2933" s="14" t="s">
        <v>5354</v>
      </c>
      <c r="D2933" s="14" t="s">
        <v>112</v>
      </c>
      <c r="E2933" s="14" t="s">
        <v>98</v>
      </c>
      <c r="F2933" s="14">
        <v>65</v>
      </c>
      <c r="G2933" s="14">
        <v>60</v>
      </c>
      <c r="H2933" s="14" t="s">
        <v>1400</v>
      </c>
      <c r="I2933" s="14" t="s">
        <v>75</v>
      </c>
      <c r="J2933" s="14" t="s">
        <v>201</v>
      </c>
      <c r="K2933" s="14">
        <v>1</v>
      </c>
      <c r="L2933" s="14" t="s">
        <v>1400</v>
      </c>
      <c r="N2933" s="14">
        <v>0</v>
      </c>
      <c r="O2933" s="14" t="b">
        <v>1</v>
      </c>
      <c r="Q2933" s="14" t="b">
        <v>0</v>
      </c>
      <c r="R2933" s="14">
        <v>1</v>
      </c>
      <c r="S2933" s="14" t="s">
        <v>77</v>
      </c>
      <c r="T2933" s="14">
        <v>999</v>
      </c>
      <c r="U2933" s="14" t="s">
        <v>1401</v>
      </c>
      <c r="V2933" s="14">
        <v>31926065</v>
      </c>
      <c r="X2933" s="14" t="s">
        <v>5355</v>
      </c>
      <c r="Y2933" s="14" t="s">
        <v>215</v>
      </c>
      <c r="Z2933" s="14">
        <v>21696</v>
      </c>
      <c r="AA2933" s="14" t="s">
        <v>5356</v>
      </c>
      <c r="AB2933" s="14">
        <v>40001</v>
      </c>
      <c r="AE2933" s="14" t="s">
        <v>1400</v>
      </c>
      <c r="AF2933" s="14" t="s">
        <v>1400</v>
      </c>
      <c r="AG2933" s="14" t="s">
        <v>98</v>
      </c>
    </row>
    <row r="2934" spans="2:33">
      <c r="B2934" s="14">
        <f>10000000+INDEX(编号表!$B:$B,MATCH(H2934,编号表!$A:$A,0))*100000+INDEX(编号表!$F:$F,MATCH(D2934,编号表!$E:$E,0))*10000+INDEX(编号表!$D:$D,MATCH(AG2934,编号表!$C:$C,0))*1000+F2934</f>
        <v>11936066</v>
      </c>
      <c r="C2934" s="14" t="s">
        <v>5354</v>
      </c>
      <c r="D2934" s="14" t="s">
        <v>276</v>
      </c>
      <c r="E2934" s="14" t="s">
        <v>98</v>
      </c>
      <c r="F2934" s="14">
        <v>66</v>
      </c>
      <c r="G2934" s="14">
        <v>60</v>
      </c>
      <c r="H2934" s="14" t="s">
        <v>1400</v>
      </c>
      <c r="I2934" s="14" t="s">
        <v>75</v>
      </c>
      <c r="J2934" s="14" t="s">
        <v>201</v>
      </c>
      <c r="K2934" s="14">
        <v>1</v>
      </c>
      <c r="L2934" s="14" t="s">
        <v>1400</v>
      </c>
      <c r="N2934" s="14">
        <v>0</v>
      </c>
      <c r="O2934" s="14" t="b">
        <v>1</v>
      </c>
      <c r="Q2934" s="14" t="b">
        <v>0</v>
      </c>
      <c r="R2934" s="14">
        <v>1</v>
      </c>
      <c r="S2934" s="14" t="s">
        <v>77</v>
      </c>
      <c r="T2934" s="14">
        <v>999</v>
      </c>
      <c r="U2934" s="14" t="s">
        <v>1401</v>
      </c>
      <c r="V2934" s="14">
        <v>31936066</v>
      </c>
      <c r="X2934" s="14" t="s">
        <v>5357</v>
      </c>
      <c r="Y2934" s="14" t="s">
        <v>215</v>
      </c>
      <c r="Z2934" s="14">
        <v>21697</v>
      </c>
      <c r="AA2934" s="14" t="s">
        <v>5358</v>
      </c>
      <c r="AB2934" s="14">
        <v>40001</v>
      </c>
      <c r="AE2934" s="14" t="s">
        <v>1400</v>
      </c>
      <c r="AF2934" s="14" t="s">
        <v>1400</v>
      </c>
      <c r="AG2934" s="14" t="s">
        <v>98</v>
      </c>
    </row>
    <row r="2935" spans="2:33">
      <c r="B2935" s="14">
        <f>10000000+INDEX(编号表!$B:$B,MATCH(H2935,编号表!$A:$A,0))*100000+INDEX(编号表!$F:$F,MATCH(D2935,编号表!$E:$E,0))*10000+INDEX(编号表!$D:$D,MATCH(AG2935,编号表!$C:$C,0))*1000+F2935</f>
        <v>11946067</v>
      </c>
      <c r="C2935" s="14" t="s">
        <v>5354</v>
      </c>
      <c r="D2935" s="14" t="s">
        <v>104</v>
      </c>
      <c r="E2935" s="14" t="s">
        <v>98</v>
      </c>
      <c r="F2935" s="14">
        <v>67</v>
      </c>
      <c r="G2935" s="14">
        <v>60</v>
      </c>
      <c r="H2935" s="14" t="s">
        <v>1400</v>
      </c>
      <c r="I2935" s="14" t="s">
        <v>75</v>
      </c>
      <c r="J2935" s="14" t="s">
        <v>201</v>
      </c>
      <c r="K2935" s="14">
        <v>1</v>
      </c>
      <c r="L2935" s="14" t="s">
        <v>1400</v>
      </c>
      <c r="N2935" s="14">
        <v>0</v>
      </c>
      <c r="O2935" s="14" t="b">
        <v>1</v>
      </c>
      <c r="Q2935" s="14" t="b">
        <v>0</v>
      </c>
      <c r="R2935" s="14">
        <v>1</v>
      </c>
      <c r="S2935" s="14" t="s">
        <v>77</v>
      </c>
      <c r="T2935" s="14">
        <v>999</v>
      </c>
      <c r="U2935" s="14" t="s">
        <v>1401</v>
      </c>
      <c r="V2935" s="14">
        <v>31946067</v>
      </c>
      <c r="X2935" s="14" t="s">
        <v>5359</v>
      </c>
      <c r="Y2935" s="14" t="s">
        <v>215</v>
      </c>
      <c r="Z2935" s="14">
        <v>21698</v>
      </c>
      <c r="AA2935" s="14" t="s">
        <v>5360</v>
      </c>
      <c r="AB2935" s="14">
        <v>40001</v>
      </c>
      <c r="AE2935" s="14" t="s">
        <v>1400</v>
      </c>
      <c r="AF2935" s="14" t="s">
        <v>1400</v>
      </c>
      <c r="AG2935" s="14" t="s">
        <v>98</v>
      </c>
    </row>
    <row r="2936" spans="2:33">
      <c r="B2936" s="14">
        <f>10000000+INDEX(编号表!$B:$B,MATCH(H2936,编号表!$A:$A,0))*100000+INDEX(编号表!$F:$F,MATCH(D2936,编号表!$E:$E,0))*10000+INDEX(编号表!$D:$D,MATCH(AG2936,编号表!$C:$C,0))*1000+F2936</f>
        <v>11926066</v>
      </c>
      <c r="C2936" s="14" t="s">
        <v>5361</v>
      </c>
      <c r="D2936" s="14" t="s">
        <v>112</v>
      </c>
      <c r="E2936" s="14" t="s">
        <v>98</v>
      </c>
      <c r="F2936" s="14">
        <v>66</v>
      </c>
      <c r="G2936" s="14">
        <v>60</v>
      </c>
      <c r="H2936" s="14" t="s">
        <v>1400</v>
      </c>
      <c r="I2936" s="14" t="s">
        <v>75</v>
      </c>
      <c r="J2936" s="14" t="s">
        <v>201</v>
      </c>
      <c r="K2936" s="14">
        <v>1</v>
      </c>
      <c r="L2936" s="14" t="s">
        <v>1400</v>
      </c>
      <c r="N2936" s="14">
        <v>0</v>
      </c>
      <c r="O2936" s="14" t="b">
        <v>1</v>
      </c>
      <c r="Q2936" s="14" t="b">
        <v>0</v>
      </c>
      <c r="R2936" s="14">
        <v>1</v>
      </c>
      <c r="S2936" s="14" t="s">
        <v>77</v>
      </c>
      <c r="T2936" s="14">
        <v>999</v>
      </c>
      <c r="U2936" s="14" t="s">
        <v>1401</v>
      </c>
      <c r="V2936" s="14">
        <v>31926066</v>
      </c>
      <c r="X2936" s="14" t="s">
        <v>5362</v>
      </c>
      <c r="Y2936" s="14" t="s">
        <v>215</v>
      </c>
      <c r="Z2936" s="14">
        <v>21699</v>
      </c>
      <c r="AA2936" s="14" t="s">
        <v>5363</v>
      </c>
      <c r="AB2936" s="14">
        <v>40001</v>
      </c>
      <c r="AE2936" s="14" t="s">
        <v>1400</v>
      </c>
      <c r="AF2936" s="14" t="s">
        <v>1400</v>
      </c>
      <c r="AG2936" s="14" t="s">
        <v>98</v>
      </c>
    </row>
    <row r="2937" spans="2:33">
      <c r="B2937" s="14">
        <f>10000000+INDEX(编号表!$B:$B,MATCH(H2937,编号表!$A:$A,0))*100000+INDEX(编号表!$F:$F,MATCH(D2937,编号表!$E:$E,0))*10000+INDEX(编号表!$D:$D,MATCH(AG2937,编号表!$C:$C,0))*1000+F2937</f>
        <v>11936067</v>
      </c>
      <c r="C2937" s="14" t="s">
        <v>5361</v>
      </c>
      <c r="D2937" s="14" t="s">
        <v>276</v>
      </c>
      <c r="E2937" s="14" t="s">
        <v>98</v>
      </c>
      <c r="F2937" s="14">
        <v>67</v>
      </c>
      <c r="G2937" s="14">
        <v>60</v>
      </c>
      <c r="H2937" s="14" t="s">
        <v>1400</v>
      </c>
      <c r="I2937" s="14" t="s">
        <v>75</v>
      </c>
      <c r="J2937" s="14" t="s">
        <v>201</v>
      </c>
      <c r="K2937" s="14">
        <v>1</v>
      </c>
      <c r="L2937" s="14" t="s">
        <v>1400</v>
      </c>
      <c r="N2937" s="14">
        <v>0</v>
      </c>
      <c r="O2937" s="14" t="b">
        <v>1</v>
      </c>
      <c r="Q2937" s="14" t="b">
        <v>0</v>
      </c>
      <c r="R2937" s="14">
        <v>1</v>
      </c>
      <c r="S2937" s="14" t="s">
        <v>77</v>
      </c>
      <c r="T2937" s="14">
        <v>999</v>
      </c>
      <c r="U2937" s="14" t="s">
        <v>1401</v>
      </c>
      <c r="V2937" s="14">
        <v>31936067</v>
      </c>
      <c r="X2937" s="14" t="s">
        <v>5364</v>
      </c>
      <c r="Y2937" s="14" t="s">
        <v>215</v>
      </c>
      <c r="Z2937" s="14">
        <v>21700</v>
      </c>
      <c r="AA2937" s="14" t="s">
        <v>5365</v>
      </c>
      <c r="AB2937" s="14">
        <v>40001</v>
      </c>
      <c r="AE2937" s="14" t="s">
        <v>1400</v>
      </c>
      <c r="AF2937" s="14" t="s">
        <v>1400</v>
      </c>
      <c r="AG2937" s="14" t="s">
        <v>98</v>
      </c>
    </row>
    <row r="2938" spans="2:33">
      <c r="B2938" s="14">
        <f>10000000+INDEX(编号表!$B:$B,MATCH(H2938,编号表!$A:$A,0))*100000+INDEX(编号表!$F:$F,MATCH(D2938,编号表!$E:$E,0))*10000+INDEX(编号表!$D:$D,MATCH(AG2938,编号表!$C:$C,0))*1000+F2938</f>
        <v>11946068</v>
      </c>
      <c r="C2938" s="14" t="s">
        <v>5361</v>
      </c>
      <c r="D2938" s="14" t="s">
        <v>104</v>
      </c>
      <c r="E2938" s="14" t="s">
        <v>98</v>
      </c>
      <c r="F2938" s="14">
        <v>68</v>
      </c>
      <c r="G2938" s="14">
        <v>60</v>
      </c>
      <c r="H2938" s="14" t="s">
        <v>1400</v>
      </c>
      <c r="I2938" s="14" t="s">
        <v>75</v>
      </c>
      <c r="J2938" s="14" t="s">
        <v>201</v>
      </c>
      <c r="K2938" s="14">
        <v>1</v>
      </c>
      <c r="L2938" s="14" t="s">
        <v>1400</v>
      </c>
      <c r="N2938" s="14">
        <v>0</v>
      </c>
      <c r="O2938" s="14" t="b">
        <v>1</v>
      </c>
      <c r="Q2938" s="14" t="b">
        <v>0</v>
      </c>
      <c r="R2938" s="14">
        <v>1</v>
      </c>
      <c r="S2938" s="14" t="s">
        <v>77</v>
      </c>
      <c r="T2938" s="14">
        <v>999</v>
      </c>
      <c r="U2938" s="14" t="s">
        <v>1401</v>
      </c>
      <c r="V2938" s="14">
        <v>31946068</v>
      </c>
      <c r="X2938" s="14" t="s">
        <v>5366</v>
      </c>
      <c r="Y2938" s="14" t="s">
        <v>215</v>
      </c>
      <c r="Z2938" s="14">
        <v>21701</v>
      </c>
      <c r="AA2938" s="14" t="s">
        <v>5367</v>
      </c>
      <c r="AB2938" s="14">
        <v>40001</v>
      </c>
      <c r="AE2938" s="14" t="s">
        <v>1400</v>
      </c>
      <c r="AF2938" s="14" t="s">
        <v>1400</v>
      </c>
      <c r="AG2938" s="14" t="s">
        <v>98</v>
      </c>
    </row>
    <row r="2939" spans="2:33">
      <c r="B2939" s="14">
        <f>10000000+INDEX(编号表!$B:$B,MATCH(H2939,编号表!$A:$A,0))*100000+INDEX(编号表!$F:$F,MATCH(D2939,编号表!$E:$E,0))*10000+INDEX(编号表!$D:$D,MATCH(AG2939,编号表!$C:$C,0))*1000+F2939</f>
        <v>11926067</v>
      </c>
      <c r="C2939" s="14" t="s">
        <v>5368</v>
      </c>
      <c r="D2939" s="14" t="s">
        <v>112</v>
      </c>
      <c r="E2939" s="14" t="s">
        <v>98</v>
      </c>
      <c r="F2939" s="14">
        <v>67</v>
      </c>
      <c r="G2939" s="14">
        <v>60</v>
      </c>
      <c r="H2939" s="14" t="s">
        <v>1400</v>
      </c>
      <c r="I2939" s="14" t="s">
        <v>75</v>
      </c>
      <c r="J2939" s="14" t="s">
        <v>201</v>
      </c>
      <c r="K2939" s="14">
        <v>1</v>
      </c>
      <c r="L2939" s="14" t="s">
        <v>1400</v>
      </c>
      <c r="N2939" s="14">
        <v>0</v>
      </c>
      <c r="O2939" s="14" t="b">
        <v>1</v>
      </c>
      <c r="Q2939" s="14" t="b">
        <v>0</v>
      </c>
      <c r="R2939" s="14">
        <v>1</v>
      </c>
      <c r="S2939" s="14" t="s">
        <v>77</v>
      </c>
      <c r="T2939" s="14">
        <v>999</v>
      </c>
      <c r="U2939" s="14" t="s">
        <v>1401</v>
      </c>
      <c r="V2939" s="14">
        <v>31926067</v>
      </c>
      <c r="X2939" s="14" t="s">
        <v>5369</v>
      </c>
      <c r="Y2939" s="14" t="s">
        <v>215</v>
      </c>
      <c r="Z2939" s="14">
        <v>21702</v>
      </c>
      <c r="AA2939" s="14" t="s">
        <v>5370</v>
      </c>
      <c r="AB2939" s="14">
        <v>40001</v>
      </c>
      <c r="AE2939" s="14" t="s">
        <v>1400</v>
      </c>
      <c r="AF2939" s="14" t="s">
        <v>1400</v>
      </c>
      <c r="AG2939" s="14" t="s">
        <v>98</v>
      </c>
    </row>
    <row r="2940" spans="2:33">
      <c r="B2940" s="14">
        <f>10000000+INDEX(编号表!$B:$B,MATCH(H2940,编号表!$A:$A,0))*100000+INDEX(编号表!$F:$F,MATCH(D2940,编号表!$E:$E,0))*10000+INDEX(编号表!$D:$D,MATCH(AG2940,编号表!$C:$C,0))*1000+F2940</f>
        <v>11936068</v>
      </c>
      <c r="C2940" s="14" t="s">
        <v>5368</v>
      </c>
      <c r="D2940" s="14" t="s">
        <v>276</v>
      </c>
      <c r="E2940" s="14" t="s">
        <v>98</v>
      </c>
      <c r="F2940" s="14">
        <v>68</v>
      </c>
      <c r="G2940" s="14">
        <v>60</v>
      </c>
      <c r="H2940" s="14" t="s">
        <v>1400</v>
      </c>
      <c r="I2940" s="14" t="s">
        <v>75</v>
      </c>
      <c r="J2940" s="14" t="s">
        <v>201</v>
      </c>
      <c r="K2940" s="14">
        <v>1</v>
      </c>
      <c r="L2940" s="14" t="s">
        <v>1400</v>
      </c>
      <c r="N2940" s="14">
        <v>0</v>
      </c>
      <c r="O2940" s="14" t="b">
        <v>1</v>
      </c>
      <c r="Q2940" s="14" t="b">
        <v>0</v>
      </c>
      <c r="R2940" s="14">
        <v>1</v>
      </c>
      <c r="S2940" s="14" t="s">
        <v>77</v>
      </c>
      <c r="T2940" s="14">
        <v>999</v>
      </c>
      <c r="U2940" s="14" t="s">
        <v>1401</v>
      </c>
      <c r="V2940" s="14">
        <v>31936068</v>
      </c>
      <c r="X2940" s="14" t="s">
        <v>5371</v>
      </c>
      <c r="Y2940" s="14" t="s">
        <v>215</v>
      </c>
      <c r="Z2940" s="14">
        <v>21703</v>
      </c>
      <c r="AA2940" s="14" t="s">
        <v>5372</v>
      </c>
      <c r="AB2940" s="14">
        <v>40001</v>
      </c>
      <c r="AE2940" s="14" t="s">
        <v>1400</v>
      </c>
      <c r="AF2940" s="14" t="s">
        <v>1400</v>
      </c>
      <c r="AG2940" s="14" t="s">
        <v>98</v>
      </c>
    </row>
    <row r="2941" spans="2:33">
      <c r="B2941" s="14">
        <f>10000000+INDEX(编号表!$B:$B,MATCH(H2941,编号表!$A:$A,0))*100000+INDEX(编号表!$F:$F,MATCH(D2941,编号表!$E:$E,0))*10000+INDEX(编号表!$D:$D,MATCH(AG2941,编号表!$C:$C,0))*1000+F2941</f>
        <v>11946069</v>
      </c>
      <c r="C2941" s="14" t="s">
        <v>5368</v>
      </c>
      <c r="D2941" s="14" t="s">
        <v>104</v>
      </c>
      <c r="E2941" s="14" t="s">
        <v>98</v>
      </c>
      <c r="F2941" s="14">
        <v>69</v>
      </c>
      <c r="G2941" s="14">
        <v>60</v>
      </c>
      <c r="H2941" s="14" t="s">
        <v>1400</v>
      </c>
      <c r="I2941" s="14" t="s">
        <v>75</v>
      </c>
      <c r="J2941" s="14" t="s">
        <v>201</v>
      </c>
      <c r="K2941" s="14">
        <v>1</v>
      </c>
      <c r="L2941" s="14" t="s">
        <v>1400</v>
      </c>
      <c r="N2941" s="14">
        <v>0</v>
      </c>
      <c r="O2941" s="14" t="b">
        <v>1</v>
      </c>
      <c r="Q2941" s="14" t="b">
        <v>0</v>
      </c>
      <c r="R2941" s="14">
        <v>1</v>
      </c>
      <c r="S2941" s="14" t="s">
        <v>77</v>
      </c>
      <c r="T2941" s="14">
        <v>999</v>
      </c>
      <c r="U2941" s="14" t="s">
        <v>1401</v>
      </c>
      <c r="V2941" s="14">
        <v>31946069</v>
      </c>
      <c r="X2941" s="14" t="s">
        <v>5373</v>
      </c>
      <c r="Y2941" s="14" t="s">
        <v>215</v>
      </c>
      <c r="Z2941" s="14">
        <v>21704</v>
      </c>
      <c r="AA2941" s="14" t="s">
        <v>5374</v>
      </c>
      <c r="AB2941" s="14">
        <v>40001</v>
      </c>
      <c r="AE2941" s="14" t="s">
        <v>1400</v>
      </c>
      <c r="AF2941" s="14" t="s">
        <v>1400</v>
      </c>
      <c r="AG2941" s="14" t="s">
        <v>98</v>
      </c>
    </row>
    <row r="2942" spans="2:33">
      <c r="B2942" s="14">
        <f>10000000+INDEX(编号表!$B:$B,MATCH(H2942,编号表!$A:$A,0))*100000+INDEX(编号表!$F:$F,MATCH(D2942,编号表!$E:$E,0))*10000+INDEX(编号表!$D:$D,MATCH(AG2942,编号表!$C:$C,0))*1000+F2942</f>
        <v>11926068</v>
      </c>
      <c r="C2942" s="14" t="s">
        <v>5375</v>
      </c>
      <c r="D2942" s="14" t="s">
        <v>112</v>
      </c>
      <c r="E2942" s="14" t="s">
        <v>98</v>
      </c>
      <c r="F2942" s="14">
        <v>68</v>
      </c>
      <c r="G2942" s="14">
        <v>60</v>
      </c>
      <c r="H2942" s="14" t="s">
        <v>1400</v>
      </c>
      <c r="I2942" s="14" t="s">
        <v>75</v>
      </c>
      <c r="J2942" s="14" t="s">
        <v>201</v>
      </c>
      <c r="K2942" s="14">
        <v>1</v>
      </c>
      <c r="L2942" s="14" t="s">
        <v>1400</v>
      </c>
      <c r="N2942" s="14">
        <v>0</v>
      </c>
      <c r="O2942" s="14" t="b">
        <v>1</v>
      </c>
      <c r="Q2942" s="14" t="b">
        <v>0</v>
      </c>
      <c r="R2942" s="14">
        <v>1</v>
      </c>
      <c r="S2942" s="14" t="s">
        <v>77</v>
      </c>
      <c r="T2942" s="14">
        <v>999</v>
      </c>
      <c r="U2942" s="14" t="s">
        <v>1401</v>
      </c>
      <c r="V2942" s="14">
        <v>31926068</v>
      </c>
      <c r="X2942" s="14" t="s">
        <v>5376</v>
      </c>
      <c r="Y2942" s="14" t="s">
        <v>215</v>
      </c>
      <c r="Z2942" s="14">
        <v>21705</v>
      </c>
      <c r="AA2942" s="14" t="s">
        <v>5377</v>
      </c>
      <c r="AB2942" s="14">
        <v>40001</v>
      </c>
      <c r="AE2942" s="14" t="s">
        <v>1400</v>
      </c>
      <c r="AF2942" s="14" t="s">
        <v>1400</v>
      </c>
      <c r="AG2942" s="14" t="s">
        <v>98</v>
      </c>
    </row>
    <row r="2943" spans="2:33">
      <c r="B2943" s="14">
        <f>10000000+INDEX(编号表!$B:$B,MATCH(H2943,编号表!$A:$A,0))*100000+INDEX(编号表!$F:$F,MATCH(D2943,编号表!$E:$E,0))*10000+INDEX(编号表!$D:$D,MATCH(AG2943,编号表!$C:$C,0))*1000+F2943</f>
        <v>11936069</v>
      </c>
      <c r="C2943" s="14" t="s">
        <v>5375</v>
      </c>
      <c r="D2943" s="14" t="s">
        <v>276</v>
      </c>
      <c r="E2943" s="14" t="s">
        <v>98</v>
      </c>
      <c r="F2943" s="14">
        <v>69</v>
      </c>
      <c r="G2943" s="14">
        <v>60</v>
      </c>
      <c r="H2943" s="14" t="s">
        <v>1400</v>
      </c>
      <c r="I2943" s="14" t="s">
        <v>75</v>
      </c>
      <c r="J2943" s="14" t="s">
        <v>201</v>
      </c>
      <c r="K2943" s="14">
        <v>1</v>
      </c>
      <c r="L2943" s="14" t="s">
        <v>1400</v>
      </c>
      <c r="N2943" s="14">
        <v>0</v>
      </c>
      <c r="O2943" s="14" t="b">
        <v>1</v>
      </c>
      <c r="Q2943" s="14" t="b">
        <v>0</v>
      </c>
      <c r="R2943" s="14">
        <v>1</v>
      </c>
      <c r="S2943" s="14" t="s">
        <v>77</v>
      </c>
      <c r="T2943" s="14">
        <v>999</v>
      </c>
      <c r="U2943" s="14" t="s">
        <v>1401</v>
      </c>
      <c r="V2943" s="14">
        <v>31936069</v>
      </c>
      <c r="X2943" s="14" t="s">
        <v>5378</v>
      </c>
      <c r="Y2943" s="14" t="s">
        <v>215</v>
      </c>
      <c r="Z2943" s="14">
        <v>21706</v>
      </c>
      <c r="AA2943" s="14" t="s">
        <v>5379</v>
      </c>
      <c r="AB2943" s="14">
        <v>40001</v>
      </c>
      <c r="AE2943" s="14" t="s">
        <v>1400</v>
      </c>
      <c r="AF2943" s="14" t="s">
        <v>1400</v>
      </c>
      <c r="AG2943" s="14" t="s">
        <v>98</v>
      </c>
    </row>
    <row r="2944" spans="2:33">
      <c r="B2944" s="14">
        <f>10000000+INDEX(编号表!$B:$B,MATCH(H2944,编号表!$A:$A,0))*100000+INDEX(编号表!$F:$F,MATCH(D2944,编号表!$E:$E,0))*10000+INDEX(编号表!$D:$D,MATCH(AG2944,编号表!$C:$C,0))*1000+F2944</f>
        <v>11946070</v>
      </c>
      <c r="C2944" s="14" t="s">
        <v>5375</v>
      </c>
      <c r="D2944" s="14" t="s">
        <v>104</v>
      </c>
      <c r="E2944" s="14" t="s">
        <v>98</v>
      </c>
      <c r="F2944" s="14">
        <v>70</v>
      </c>
      <c r="G2944" s="14">
        <v>60</v>
      </c>
      <c r="H2944" s="14" t="s">
        <v>1400</v>
      </c>
      <c r="I2944" s="14" t="s">
        <v>75</v>
      </c>
      <c r="J2944" s="14" t="s">
        <v>201</v>
      </c>
      <c r="K2944" s="14">
        <v>1</v>
      </c>
      <c r="L2944" s="14" t="s">
        <v>1400</v>
      </c>
      <c r="N2944" s="14">
        <v>0</v>
      </c>
      <c r="O2944" s="14" t="b">
        <v>1</v>
      </c>
      <c r="Q2944" s="14" t="b">
        <v>0</v>
      </c>
      <c r="R2944" s="14">
        <v>1</v>
      </c>
      <c r="S2944" s="14" t="s">
        <v>77</v>
      </c>
      <c r="T2944" s="14">
        <v>999</v>
      </c>
      <c r="U2944" s="14" t="s">
        <v>1401</v>
      </c>
      <c r="V2944" s="14">
        <v>31946070</v>
      </c>
      <c r="X2944" s="14" t="s">
        <v>5380</v>
      </c>
      <c r="Y2944" s="14" t="s">
        <v>215</v>
      </c>
      <c r="Z2944" s="14">
        <v>21707</v>
      </c>
      <c r="AA2944" s="14" t="s">
        <v>5381</v>
      </c>
      <c r="AB2944" s="14">
        <v>40001</v>
      </c>
      <c r="AE2944" s="14" t="s">
        <v>1400</v>
      </c>
      <c r="AF2944" s="14" t="s">
        <v>1400</v>
      </c>
      <c r="AG2944" s="14" t="s">
        <v>98</v>
      </c>
    </row>
    <row r="2945" spans="2:33">
      <c r="B2945" s="14">
        <f>10000000+INDEX(编号表!$B:$B,MATCH(H2945,编号表!$A:$A,0))*100000+INDEX(编号表!$F:$F,MATCH(D2945,编号表!$E:$E,0))*10000+INDEX(编号表!$D:$D,MATCH(AG2945,编号表!$C:$C,0))*1000+F2945</f>
        <v>11926069</v>
      </c>
      <c r="C2945" s="14" t="s">
        <v>5382</v>
      </c>
      <c r="D2945" s="14" t="s">
        <v>112</v>
      </c>
      <c r="E2945" s="14" t="s">
        <v>98</v>
      </c>
      <c r="F2945" s="14">
        <v>69</v>
      </c>
      <c r="G2945" s="14">
        <v>60</v>
      </c>
      <c r="H2945" s="14" t="s">
        <v>1400</v>
      </c>
      <c r="I2945" s="14" t="s">
        <v>75</v>
      </c>
      <c r="J2945" s="14" t="s">
        <v>201</v>
      </c>
      <c r="K2945" s="14">
        <v>1</v>
      </c>
      <c r="L2945" s="14" t="s">
        <v>1400</v>
      </c>
      <c r="N2945" s="14">
        <v>0</v>
      </c>
      <c r="O2945" s="14" t="b">
        <v>1</v>
      </c>
      <c r="Q2945" s="14" t="b">
        <v>0</v>
      </c>
      <c r="R2945" s="14">
        <v>1</v>
      </c>
      <c r="S2945" s="14" t="s">
        <v>77</v>
      </c>
      <c r="T2945" s="14">
        <v>999</v>
      </c>
      <c r="U2945" s="14" t="s">
        <v>1401</v>
      </c>
      <c r="V2945" s="14">
        <v>31926069</v>
      </c>
      <c r="X2945" s="14" t="s">
        <v>5383</v>
      </c>
      <c r="Y2945" s="14" t="s">
        <v>215</v>
      </c>
      <c r="Z2945" s="14">
        <v>21708</v>
      </c>
      <c r="AA2945" s="14" t="s">
        <v>5384</v>
      </c>
      <c r="AB2945" s="14">
        <v>40001</v>
      </c>
      <c r="AE2945" s="14" t="s">
        <v>1400</v>
      </c>
      <c r="AF2945" s="14" t="s">
        <v>1400</v>
      </c>
      <c r="AG2945" s="14" t="s">
        <v>98</v>
      </c>
    </row>
    <row r="2946" spans="2:33">
      <c r="B2946" s="14">
        <f>10000000+INDEX(编号表!$B:$B,MATCH(H2946,编号表!$A:$A,0))*100000+INDEX(编号表!$F:$F,MATCH(D2946,编号表!$E:$E,0))*10000+INDEX(编号表!$D:$D,MATCH(AG2946,编号表!$C:$C,0))*1000+F2946</f>
        <v>11936070</v>
      </c>
      <c r="C2946" s="14" t="s">
        <v>5382</v>
      </c>
      <c r="D2946" s="14" t="s">
        <v>276</v>
      </c>
      <c r="E2946" s="14" t="s">
        <v>98</v>
      </c>
      <c r="F2946" s="14">
        <v>70</v>
      </c>
      <c r="G2946" s="14">
        <v>60</v>
      </c>
      <c r="H2946" s="14" t="s">
        <v>1400</v>
      </c>
      <c r="I2946" s="14" t="s">
        <v>75</v>
      </c>
      <c r="J2946" s="14" t="s">
        <v>201</v>
      </c>
      <c r="K2946" s="14">
        <v>1</v>
      </c>
      <c r="L2946" s="14" t="s">
        <v>1400</v>
      </c>
      <c r="N2946" s="14">
        <v>0</v>
      </c>
      <c r="O2946" s="14" t="b">
        <v>1</v>
      </c>
      <c r="Q2946" s="14" t="b">
        <v>0</v>
      </c>
      <c r="R2946" s="14">
        <v>1</v>
      </c>
      <c r="S2946" s="14" t="s">
        <v>77</v>
      </c>
      <c r="T2946" s="14">
        <v>999</v>
      </c>
      <c r="U2946" s="14" t="s">
        <v>1401</v>
      </c>
      <c r="V2946" s="14">
        <v>31936070</v>
      </c>
      <c r="X2946" s="14" t="s">
        <v>5385</v>
      </c>
      <c r="Y2946" s="14" t="s">
        <v>215</v>
      </c>
      <c r="Z2946" s="14">
        <v>21709</v>
      </c>
      <c r="AA2946" s="14" t="s">
        <v>5386</v>
      </c>
      <c r="AB2946" s="14">
        <v>40001</v>
      </c>
      <c r="AE2946" s="14" t="s">
        <v>1400</v>
      </c>
      <c r="AF2946" s="14" t="s">
        <v>1400</v>
      </c>
      <c r="AG2946" s="14" t="s">
        <v>98</v>
      </c>
    </row>
    <row r="2947" spans="2:33">
      <c r="B2947" s="14">
        <f>10000000+INDEX(编号表!$B:$B,MATCH(H2947,编号表!$A:$A,0))*100000+INDEX(编号表!$F:$F,MATCH(D2947,编号表!$E:$E,0))*10000+INDEX(编号表!$D:$D,MATCH(AG2947,编号表!$C:$C,0))*1000+F2947</f>
        <v>11946071</v>
      </c>
      <c r="C2947" s="14" t="s">
        <v>5382</v>
      </c>
      <c r="D2947" s="14" t="s">
        <v>104</v>
      </c>
      <c r="E2947" s="14" t="s">
        <v>98</v>
      </c>
      <c r="F2947" s="14">
        <v>71</v>
      </c>
      <c r="G2947" s="14">
        <v>60</v>
      </c>
      <c r="H2947" s="14" t="s">
        <v>1400</v>
      </c>
      <c r="I2947" s="14" t="s">
        <v>75</v>
      </c>
      <c r="J2947" s="14" t="s">
        <v>201</v>
      </c>
      <c r="K2947" s="14">
        <v>1</v>
      </c>
      <c r="L2947" s="14" t="s">
        <v>1400</v>
      </c>
      <c r="N2947" s="14">
        <v>0</v>
      </c>
      <c r="O2947" s="14" t="b">
        <v>1</v>
      </c>
      <c r="Q2947" s="14" t="b">
        <v>0</v>
      </c>
      <c r="R2947" s="14">
        <v>1</v>
      </c>
      <c r="S2947" s="14" t="s">
        <v>77</v>
      </c>
      <c r="T2947" s="14">
        <v>999</v>
      </c>
      <c r="U2947" s="14" t="s">
        <v>1401</v>
      </c>
      <c r="V2947" s="14">
        <v>31946071</v>
      </c>
      <c r="X2947" s="14" t="s">
        <v>5387</v>
      </c>
      <c r="Y2947" s="14" t="s">
        <v>215</v>
      </c>
      <c r="Z2947" s="14">
        <v>21710</v>
      </c>
      <c r="AA2947" s="14" t="s">
        <v>5388</v>
      </c>
      <c r="AB2947" s="14">
        <v>40001</v>
      </c>
      <c r="AE2947" s="14" t="s">
        <v>1400</v>
      </c>
      <c r="AF2947" s="14" t="s">
        <v>1400</v>
      </c>
      <c r="AG2947" s="14" t="s">
        <v>98</v>
      </c>
    </row>
    <row r="2948" spans="2:33">
      <c r="B2948" s="14">
        <f>10000000+INDEX(编号表!$B:$B,MATCH(H2948,编号表!$A:$A,0))*100000+INDEX(编号表!$F:$F,MATCH(D2948,编号表!$E:$E,0))*10000+INDEX(编号表!$D:$D,MATCH(AG2948,编号表!$C:$C,0))*1000+F2948</f>
        <v>11926070</v>
      </c>
      <c r="C2948" s="14" t="s">
        <v>5389</v>
      </c>
      <c r="D2948" s="14" t="s">
        <v>112</v>
      </c>
      <c r="E2948" s="14" t="s">
        <v>98</v>
      </c>
      <c r="F2948" s="14">
        <v>70</v>
      </c>
      <c r="G2948" s="14">
        <v>60</v>
      </c>
      <c r="H2948" s="14" t="s">
        <v>1400</v>
      </c>
      <c r="I2948" s="14" t="s">
        <v>75</v>
      </c>
      <c r="J2948" s="14" t="s">
        <v>201</v>
      </c>
      <c r="K2948" s="14">
        <v>1</v>
      </c>
      <c r="L2948" s="14" t="s">
        <v>1400</v>
      </c>
      <c r="N2948" s="14">
        <v>0</v>
      </c>
      <c r="O2948" s="14" t="b">
        <v>1</v>
      </c>
      <c r="Q2948" s="14" t="b">
        <v>0</v>
      </c>
      <c r="R2948" s="14">
        <v>1</v>
      </c>
      <c r="S2948" s="14" t="s">
        <v>77</v>
      </c>
      <c r="T2948" s="14">
        <v>999</v>
      </c>
      <c r="U2948" s="14" t="s">
        <v>1401</v>
      </c>
      <c r="V2948" s="14">
        <v>31926070</v>
      </c>
      <c r="X2948" s="14" t="s">
        <v>5390</v>
      </c>
      <c r="Y2948" s="14" t="s">
        <v>215</v>
      </c>
      <c r="Z2948" s="14">
        <v>21711</v>
      </c>
      <c r="AA2948" s="14" t="s">
        <v>5391</v>
      </c>
      <c r="AB2948" s="14">
        <v>40001</v>
      </c>
      <c r="AE2948" s="14" t="s">
        <v>1400</v>
      </c>
      <c r="AF2948" s="14" t="s">
        <v>1400</v>
      </c>
      <c r="AG2948" s="14" t="s">
        <v>98</v>
      </c>
    </row>
    <row r="2949" spans="2:33">
      <c r="B2949" s="14">
        <f>10000000+INDEX(编号表!$B:$B,MATCH(H2949,编号表!$A:$A,0))*100000+INDEX(编号表!$F:$F,MATCH(D2949,编号表!$E:$E,0))*10000+INDEX(编号表!$D:$D,MATCH(AG2949,编号表!$C:$C,0))*1000+F2949</f>
        <v>11936071</v>
      </c>
      <c r="C2949" s="14" t="s">
        <v>5389</v>
      </c>
      <c r="D2949" s="14" t="s">
        <v>276</v>
      </c>
      <c r="E2949" s="14" t="s">
        <v>98</v>
      </c>
      <c r="F2949" s="14">
        <v>71</v>
      </c>
      <c r="G2949" s="14">
        <v>60</v>
      </c>
      <c r="H2949" s="14" t="s">
        <v>1400</v>
      </c>
      <c r="I2949" s="14" t="s">
        <v>75</v>
      </c>
      <c r="J2949" s="14" t="s">
        <v>201</v>
      </c>
      <c r="K2949" s="14">
        <v>1</v>
      </c>
      <c r="L2949" s="14" t="s">
        <v>1400</v>
      </c>
      <c r="N2949" s="14">
        <v>0</v>
      </c>
      <c r="O2949" s="14" t="b">
        <v>1</v>
      </c>
      <c r="Q2949" s="14" t="b">
        <v>0</v>
      </c>
      <c r="R2949" s="14">
        <v>1</v>
      </c>
      <c r="S2949" s="14" t="s">
        <v>77</v>
      </c>
      <c r="T2949" s="14">
        <v>999</v>
      </c>
      <c r="U2949" s="14" t="s">
        <v>1401</v>
      </c>
      <c r="V2949" s="14">
        <v>31936071</v>
      </c>
      <c r="X2949" s="14" t="s">
        <v>5392</v>
      </c>
      <c r="Y2949" s="14" t="s">
        <v>215</v>
      </c>
      <c r="Z2949" s="14">
        <v>21712</v>
      </c>
      <c r="AA2949" s="14" t="s">
        <v>5393</v>
      </c>
      <c r="AB2949" s="14">
        <v>40001</v>
      </c>
      <c r="AE2949" s="14" t="s">
        <v>1400</v>
      </c>
      <c r="AF2949" s="14" t="s">
        <v>1400</v>
      </c>
      <c r="AG2949" s="14" t="s">
        <v>98</v>
      </c>
    </row>
    <row r="2950" spans="2:33">
      <c r="B2950" s="14">
        <f>10000000+INDEX(编号表!$B:$B,MATCH(H2950,编号表!$A:$A,0))*100000+INDEX(编号表!$F:$F,MATCH(D2950,编号表!$E:$E,0))*10000+INDEX(编号表!$D:$D,MATCH(AG2950,编号表!$C:$C,0))*1000+F2950</f>
        <v>11946072</v>
      </c>
      <c r="C2950" s="14" t="s">
        <v>5389</v>
      </c>
      <c r="D2950" s="14" t="s">
        <v>104</v>
      </c>
      <c r="E2950" s="14" t="s">
        <v>98</v>
      </c>
      <c r="F2950" s="14">
        <v>72</v>
      </c>
      <c r="G2950" s="14">
        <v>60</v>
      </c>
      <c r="H2950" s="14" t="s">
        <v>1400</v>
      </c>
      <c r="I2950" s="14" t="s">
        <v>75</v>
      </c>
      <c r="J2950" s="14" t="s">
        <v>201</v>
      </c>
      <c r="K2950" s="14">
        <v>1</v>
      </c>
      <c r="L2950" s="14" t="s">
        <v>1400</v>
      </c>
      <c r="N2950" s="14">
        <v>0</v>
      </c>
      <c r="O2950" s="14" t="b">
        <v>1</v>
      </c>
      <c r="Q2950" s="14" t="b">
        <v>0</v>
      </c>
      <c r="R2950" s="14">
        <v>1</v>
      </c>
      <c r="S2950" s="14" t="s">
        <v>77</v>
      </c>
      <c r="T2950" s="14">
        <v>999</v>
      </c>
      <c r="U2950" s="14" t="s">
        <v>1401</v>
      </c>
      <c r="V2950" s="14">
        <v>31946072</v>
      </c>
      <c r="X2950" s="14" t="s">
        <v>5394</v>
      </c>
      <c r="Y2950" s="14" t="s">
        <v>215</v>
      </c>
      <c r="Z2950" s="14">
        <v>21713</v>
      </c>
      <c r="AA2950" s="14" t="s">
        <v>5395</v>
      </c>
      <c r="AB2950" s="14">
        <v>40001</v>
      </c>
      <c r="AE2950" s="14" t="s">
        <v>1400</v>
      </c>
      <c r="AF2950" s="14" t="s">
        <v>1400</v>
      </c>
      <c r="AG2950" s="14" t="s">
        <v>98</v>
      </c>
    </row>
    <row r="2951" spans="2:33">
      <c r="B2951" s="14">
        <f>10000000+INDEX(编号表!$B:$B,MATCH(H2951,编号表!$A:$A,0))*100000+INDEX(编号表!$F:$F,MATCH(D2951,编号表!$E:$E,0))*10000+INDEX(编号表!$D:$D,MATCH(AG2951,编号表!$C:$C,0))*1000+F2951</f>
        <v>11926071</v>
      </c>
      <c r="C2951" s="14" t="s">
        <v>5396</v>
      </c>
      <c r="D2951" s="14" t="s">
        <v>112</v>
      </c>
      <c r="E2951" s="14" t="s">
        <v>98</v>
      </c>
      <c r="F2951" s="14">
        <v>71</v>
      </c>
      <c r="G2951" s="14">
        <v>60</v>
      </c>
      <c r="H2951" s="14" t="s">
        <v>1400</v>
      </c>
      <c r="I2951" s="14" t="s">
        <v>75</v>
      </c>
      <c r="J2951" s="14" t="s">
        <v>201</v>
      </c>
      <c r="K2951" s="14">
        <v>1</v>
      </c>
      <c r="L2951" s="14" t="s">
        <v>1400</v>
      </c>
      <c r="N2951" s="14">
        <v>0</v>
      </c>
      <c r="O2951" s="14" t="b">
        <v>1</v>
      </c>
      <c r="Q2951" s="14" t="b">
        <v>0</v>
      </c>
      <c r="R2951" s="14">
        <v>1</v>
      </c>
      <c r="S2951" s="14" t="s">
        <v>77</v>
      </c>
      <c r="T2951" s="14">
        <v>999</v>
      </c>
      <c r="U2951" s="14" t="s">
        <v>1401</v>
      </c>
      <c r="V2951" s="14">
        <v>31926071</v>
      </c>
      <c r="X2951" s="14" t="s">
        <v>5397</v>
      </c>
      <c r="Y2951" s="14" t="s">
        <v>215</v>
      </c>
      <c r="Z2951" s="14">
        <v>21714</v>
      </c>
      <c r="AA2951" s="14" t="s">
        <v>5398</v>
      </c>
      <c r="AB2951" s="14">
        <v>40001</v>
      </c>
      <c r="AE2951" s="14" t="s">
        <v>1400</v>
      </c>
      <c r="AF2951" s="14" t="s">
        <v>1400</v>
      </c>
      <c r="AG2951" s="14" t="s">
        <v>98</v>
      </c>
    </row>
    <row r="2952" spans="2:33">
      <c r="B2952" s="14">
        <f>10000000+INDEX(编号表!$B:$B,MATCH(H2952,编号表!$A:$A,0))*100000+INDEX(编号表!$F:$F,MATCH(D2952,编号表!$E:$E,0))*10000+INDEX(编号表!$D:$D,MATCH(AG2952,编号表!$C:$C,0))*1000+F2952</f>
        <v>11936072</v>
      </c>
      <c r="C2952" s="14" t="s">
        <v>5396</v>
      </c>
      <c r="D2952" s="14" t="s">
        <v>276</v>
      </c>
      <c r="E2952" s="14" t="s">
        <v>98</v>
      </c>
      <c r="F2952" s="14">
        <v>72</v>
      </c>
      <c r="G2952" s="14">
        <v>60</v>
      </c>
      <c r="H2952" s="14" t="s">
        <v>1400</v>
      </c>
      <c r="I2952" s="14" t="s">
        <v>75</v>
      </c>
      <c r="J2952" s="14" t="s">
        <v>201</v>
      </c>
      <c r="K2952" s="14">
        <v>1</v>
      </c>
      <c r="L2952" s="14" t="s">
        <v>1400</v>
      </c>
      <c r="N2952" s="14">
        <v>0</v>
      </c>
      <c r="O2952" s="14" t="b">
        <v>1</v>
      </c>
      <c r="Q2952" s="14" t="b">
        <v>0</v>
      </c>
      <c r="R2952" s="14">
        <v>1</v>
      </c>
      <c r="S2952" s="14" t="s">
        <v>77</v>
      </c>
      <c r="T2952" s="14">
        <v>999</v>
      </c>
      <c r="U2952" s="14" t="s">
        <v>1401</v>
      </c>
      <c r="V2952" s="14">
        <v>31936072</v>
      </c>
      <c r="X2952" s="14" t="s">
        <v>5399</v>
      </c>
      <c r="Y2952" s="14" t="s">
        <v>215</v>
      </c>
      <c r="Z2952" s="14">
        <v>21715</v>
      </c>
      <c r="AA2952" s="14" t="s">
        <v>5400</v>
      </c>
      <c r="AB2952" s="14">
        <v>40001</v>
      </c>
      <c r="AE2952" s="14" t="s">
        <v>1400</v>
      </c>
      <c r="AF2952" s="14" t="s">
        <v>1400</v>
      </c>
      <c r="AG2952" s="14" t="s">
        <v>98</v>
      </c>
    </row>
    <row r="2953" spans="2:33">
      <c r="B2953" s="14">
        <f>10000000+INDEX(编号表!$B:$B,MATCH(H2953,编号表!$A:$A,0))*100000+INDEX(编号表!$F:$F,MATCH(D2953,编号表!$E:$E,0))*10000+INDEX(编号表!$D:$D,MATCH(AG2953,编号表!$C:$C,0))*1000+F2953</f>
        <v>11946073</v>
      </c>
      <c r="C2953" s="14" t="s">
        <v>5396</v>
      </c>
      <c r="D2953" s="14" t="s">
        <v>104</v>
      </c>
      <c r="E2953" s="14" t="s">
        <v>98</v>
      </c>
      <c r="F2953" s="14">
        <v>73</v>
      </c>
      <c r="G2953" s="14">
        <v>60</v>
      </c>
      <c r="H2953" s="14" t="s">
        <v>1400</v>
      </c>
      <c r="I2953" s="14" t="s">
        <v>75</v>
      </c>
      <c r="J2953" s="14" t="s">
        <v>201</v>
      </c>
      <c r="K2953" s="14">
        <v>1</v>
      </c>
      <c r="L2953" s="14" t="s">
        <v>1400</v>
      </c>
      <c r="N2953" s="14">
        <v>0</v>
      </c>
      <c r="O2953" s="14" t="b">
        <v>1</v>
      </c>
      <c r="Q2953" s="14" t="b">
        <v>0</v>
      </c>
      <c r="R2953" s="14">
        <v>1</v>
      </c>
      <c r="S2953" s="14" t="s">
        <v>77</v>
      </c>
      <c r="T2953" s="14">
        <v>999</v>
      </c>
      <c r="U2953" s="14" t="s">
        <v>1401</v>
      </c>
      <c r="V2953" s="14">
        <v>31946073</v>
      </c>
      <c r="X2953" s="14" t="s">
        <v>5401</v>
      </c>
      <c r="Y2953" s="14" t="s">
        <v>215</v>
      </c>
      <c r="Z2953" s="14">
        <v>21716</v>
      </c>
      <c r="AA2953" s="14" t="s">
        <v>5402</v>
      </c>
      <c r="AB2953" s="14">
        <v>40001</v>
      </c>
      <c r="AE2953" s="14" t="s">
        <v>1400</v>
      </c>
      <c r="AF2953" s="14" t="s">
        <v>1400</v>
      </c>
      <c r="AG2953" s="14" t="s">
        <v>98</v>
      </c>
    </row>
    <row r="2954" spans="2:33">
      <c r="B2954" s="14">
        <f>10000000+INDEX(编号表!$B:$B,MATCH(H2954,编号表!$A:$A,0))*100000+INDEX(编号表!$F:$F,MATCH(D2954,编号表!$E:$E,0))*10000+INDEX(编号表!$D:$D,MATCH(AG2954,编号表!$C:$C,0))*1000+F2954</f>
        <v>11926072</v>
      </c>
      <c r="C2954" s="14" t="s">
        <v>5403</v>
      </c>
      <c r="D2954" s="14" t="s">
        <v>112</v>
      </c>
      <c r="E2954" s="14" t="s">
        <v>98</v>
      </c>
      <c r="F2954" s="14">
        <v>72</v>
      </c>
      <c r="G2954" s="14">
        <v>60</v>
      </c>
      <c r="H2954" s="14" t="s">
        <v>1400</v>
      </c>
      <c r="I2954" s="14" t="s">
        <v>75</v>
      </c>
      <c r="J2954" s="14" t="s">
        <v>201</v>
      </c>
      <c r="K2954" s="14">
        <v>1</v>
      </c>
      <c r="L2954" s="14" t="s">
        <v>1400</v>
      </c>
      <c r="N2954" s="14">
        <v>0</v>
      </c>
      <c r="O2954" s="14" t="b">
        <v>1</v>
      </c>
      <c r="Q2954" s="14" t="b">
        <v>0</v>
      </c>
      <c r="R2954" s="14">
        <v>1</v>
      </c>
      <c r="S2954" s="14" t="s">
        <v>77</v>
      </c>
      <c r="T2954" s="14">
        <v>999</v>
      </c>
      <c r="U2954" s="14" t="s">
        <v>1401</v>
      </c>
      <c r="V2954" s="14">
        <v>31926072</v>
      </c>
      <c r="X2954" s="14" t="s">
        <v>5404</v>
      </c>
      <c r="Y2954" s="14" t="s">
        <v>215</v>
      </c>
      <c r="Z2954" s="14">
        <v>21717</v>
      </c>
      <c r="AA2954" s="14" t="s">
        <v>5405</v>
      </c>
      <c r="AB2954" s="14">
        <v>40001</v>
      </c>
      <c r="AE2954" s="14" t="s">
        <v>1400</v>
      </c>
      <c r="AF2954" s="14" t="s">
        <v>1400</v>
      </c>
      <c r="AG2954" s="14" t="s">
        <v>98</v>
      </c>
    </row>
    <row r="2955" spans="2:33">
      <c r="B2955" s="14">
        <f>10000000+INDEX(编号表!$B:$B,MATCH(H2955,编号表!$A:$A,0))*100000+INDEX(编号表!$F:$F,MATCH(D2955,编号表!$E:$E,0))*10000+INDEX(编号表!$D:$D,MATCH(AG2955,编号表!$C:$C,0))*1000+F2955</f>
        <v>11936073</v>
      </c>
      <c r="C2955" s="14" t="s">
        <v>5403</v>
      </c>
      <c r="D2955" s="14" t="s">
        <v>276</v>
      </c>
      <c r="E2955" s="14" t="s">
        <v>98</v>
      </c>
      <c r="F2955" s="14">
        <v>73</v>
      </c>
      <c r="G2955" s="14">
        <v>60</v>
      </c>
      <c r="H2955" s="14" t="s">
        <v>1400</v>
      </c>
      <c r="I2955" s="14" t="s">
        <v>75</v>
      </c>
      <c r="J2955" s="14" t="s">
        <v>201</v>
      </c>
      <c r="K2955" s="14">
        <v>1</v>
      </c>
      <c r="L2955" s="14" t="s">
        <v>1400</v>
      </c>
      <c r="N2955" s="14">
        <v>0</v>
      </c>
      <c r="O2955" s="14" t="b">
        <v>1</v>
      </c>
      <c r="Q2955" s="14" t="b">
        <v>0</v>
      </c>
      <c r="R2955" s="14">
        <v>1</v>
      </c>
      <c r="S2955" s="14" t="s">
        <v>77</v>
      </c>
      <c r="T2955" s="14">
        <v>999</v>
      </c>
      <c r="U2955" s="14" t="s">
        <v>1401</v>
      </c>
      <c r="V2955" s="14">
        <v>31936073</v>
      </c>
      <c r="X2955" s="14" t="s">
        <v>5406</v>
      </c>
      <c r="Y2955" s="14" t="s">
        <v>215</v>
      </c>
      <c r="Z2955" s="14">
        <v>21718</v>
      </c>
      <c r="AA2955" s="14" t="s">
        <v>5407</v>
      </c>
      <c r="AB2955" s="14">
        <v>40001</v>
      </c>
      <c r="AE2955" s="14" t="s">
        <v>1400</v>
      </c>
      <c r="AF2955" s="14" t="s">
        <v>1400</v>
      </c>
      <c r="AG2955" s="14" t="s">
        <v>98</v>
      </c>
    </row>
    <row r="2956" spans="2:33">
      <c r="B2956" s="14">
        <f>10000000+INDEX(编号表!$B:$B,MATCH(H2956,编号表!$A:$A,0))*100000+INDEX(编号表!$F:$F,MATCH(D2956,编号表!$E:$E,0))*10000+INDEX(编号表!$D:$D,MATCH(AG2956,编号表!$C:$C,0))*1000+F2956</f>
        <v>11946074</v>
      </c>
      <c r="C2956" s="14" t="s">
        <v>5403</v>
      </c>
      <c r="D2956" s="14" t="s">
        <v>104</v>
      </c>
      <c r="E2956" s="14" t="s">
        <v>98</v>
      </c>
      <c r="F2956" s="14">
        <v>74</v>
      </c>
      <c r="G2956" s="14">
        <v>60</v>
      </c>
      <c r="H2956" s="14" t="s">
        <v>1400</v>
      </c>
      <c r="I2956" s="14" t="s">
        <v>75</v>
      </c>
      <c r="J2956" s="14" t="s">
        <v>201</v>
      </c>
      <c r="K2956" s="14">
        <v>1</v>
      </c>
      <c r="L2956" s="14" t="s">
        <v>1400</v>
      </c>
      <c r="N2956" s="14">
        <v>0</v>
      </c>
      <c r="O2956" s="14" t="b">
        <v>1</v>
      </c>
      <c r="Q2956" s="14" t="b">
        <v>0</v>
      </c>
      <c r="R2956" s="14">
        <v>1</v>
      </c>
      <c r="S2956" s="14" t="s">
        <v>77</v>
      </c>
      <c r="T2956" s="14">
        <v>999</v>
      </c>
      <c r="U2956" s="14" t="s">
        <v>1401</v>
      </c>
      <c r="V2956" s="14">
        <v>31946074</v>
      </c>
      <c r="X2956" s="14" t="s">
        <v>5408</v>
      </c>
      <c r="Y2956" s="14" t="s">
        <v>215</v>
      </c>
      <c r="Z2956" s="14">
        <v>21719</v>
      </c>
      <c r="AA2956" s="14" t="s">
        <v>5409</v>
      </c>
      <c r="AB2956" s="14">
        <v>40001</v>
      </c>
      <c r="AE2956" s="14" t="s">
        <v>1400</v>
      </c>
      <c r="AF2956" s="14" t="s">
        <v>1400</v>
      </c>
      <c r="AG2956" s="14" t="s">
        <v>98</v>
      </c>
    </row>
    <row r="2957" spans="2:33">
      <c r="B2957" s="14">
        <f>10000000+INDEX(编号表!$B:$B,MATCH(H2957,编号表!$A:$A,0))*100000+INDEX(编号表!$F:$F,MATCH(D2957,编号表!$E:$E,0))*10000+INDEX(编号表!$D:$D,MATCH(AG2957,编号表!$C:$C,0))*1000+F2957</f>
        <v>11926073</v>
      </c>
      <c r="C2957" s="14" t="s">
        <v>5410</v>
      </c>
      <c r="D2957" s="14" t="s">
        <v>112</v>
      </c>
      <c r="E2957" s="14" t="s">
        <v>98</v>
      </c>
      <c r="F2957" s="14">
        <v>73</v>
      </c>
      <c r="G2957" s="14">
        <v>60</v>
      </c>
      <c r="H2957" s="14" t="s">
        <v>1400</v>
      </c>
      <c r="I2957" s="14" t="s">
        <v>75</v>
      </c>
      <c r="J2957" s="14" t="s">
        <v>201</v>
      </c>
      <c r="K2957" s="14">
        <v>1</v>
      </c>
      <c r="L2957" s="14" t="s">
        <v>1400</v>
      </c>
      <c r="N2957" s="14">
        <v>0</v>
      </c>
      <c r="O2957" s="14" t="b">
        <v>1</v>
      </c>
      <c r="Q2957" s="14" t="b">
        <v>0</v>
      </c>
      <c r="R2957" s="14">
        <v>1</v>
      </c>
      <c r="S2957" s="14" t="s">
        <v>77</v>
      </c>
      <c r="T2957" s="14">
        <v>999</v>
      </c>
      <c r="U2957" s="14" t="s">
        <v>1401</v>
      </c>
      <c r="V2957" s="14">
        <v>31926073</v>
      </c>
      <c r="X2957" s="14" t="s">
        <v>5411</v>
      </c>
      <c r="Y2957" s="14" t="s">
        <v>215</v>
      </c>
      <c r="Z2957" s="14">
        <v>21720</v>
      </c>
      <c r="AA2957" s="14" t="s">
        <v>5412</v>
      </c>
      <c r="AB2957" s="14">
        <v>40001</v>
      </c>
      <c r="AE2957" s="14" t="s">
        <v>1400</v>
      </c>
      <c r="AF2957" s="14" t="s">
        <v>1400</v>
      </c>
      <c r="AG2957" s="14" t="s">
        <v>98</v>
      </c>
    </row>
    <row r="2958" spans="2:33">
      <c r="B2958" s="14">
        <f>10000000+INDEX(编号表!$B:$B,MATCH(H2958,编号表!$A:$A,0))*100000+INDEX(编号表!$F:$F,MATCH(D2958,编号表!$E:$E,0))*10000+INDEX(编号表!$D:$D,MATCH(AG2958,编号表!$C:$C,0))*1000+F2958</f>
        <v>11936074</v>
      </c>
      <c r="C2958" s="14" t="s">
        <v>5410</v>
      </c>
      <c r="D2958" s="14" t="s">
        <v>276</v>
      </c>
      <c r="E2958" s="14" t="s">
        <v>98</v>
      </c>
      <c r="F2958" s="14">
        <v>74</v>
      </c>
      <c r="G2958" s="14">
        <v>60</v>
      </c>
      <c r="H2958" s="14" t="s">
        <v>1400</v>
      </c>
      <c r="I2958" s="14" t="s">
        <v>75</v>
      </c>
      <c r="J2958" s="14" t="s">
        <v>201</v>
      </c>
      <c r="K2958" s="14">
        <v>1</v>
      </c>
      <c r="L2958" s="14" t="s">
        <v>1400</v>
      </c>
      <c r="N2958" s="14">
        <v>0</v>
      </c>
      <c r="O2958" s="14" t="b">
        <v>1</v>
      </c>
      <c r="Q2958" s="14" t="b">
        <v>0</v>
      </c>
      <c r="R2958" s="14">
        <v>1</v>
      </c>
      <c r="S2958" s="14" t="s">
        <v>77</v>
      </c>
      <c r="T2958" s="14">
        <v>999</v>
      </c>
      <c r="U2958" s="14" t="s">
        <v>1401</v>
      </c>
      <c r="V2958" s="14">
        <v>31936074</v>
      </c>
      <c r="X2958" s="14" t="s">
        <v>5413</v>
      </c>
      <c r="Y2958" s="14" t="s">
        <v>215</v>
      </c>
      <c r="Z2958" s="14">
        <v>21721</v>
      </c>
      <c r="AA2958" s="14" t="s">
        <v>5414</v>
      </c>
      <c r="AB2958" s="14">
        <v>40001</v>
      </c>
      <c r="AE2958" s="14" t="s">
        <v>1400</v>
      </c>
      <c r="AF2958" s="14" t="s">
        <v>1400</v>
      </c>
      <c r="AG2958" s="14" t="s">
        <v>98</v>
      </c>
    </row>
    <row r="2959" spans="2:33">
      <c r="B2959" s="14">
        <f>10000000+INDEX(编号表!$B:$B,MATCH(H2959,编号表!$A:$A,0))*100000+INDEX(编号表!$F:$F,MATCH(D2959,编号表!$E:$E,0))*10000+INDEX(编号表!$D:$D,MATCH(AG2959,编号表!$C:$C,0))*1000+F2959</f>
        <v>11946075</v>
      </c>
      <c r="C2959" s="14" t="s">
        <v>5410</v>
      </c>
      <c r="D2959" s="14" t="s">
        <v>104</v>
      </c>
      <c r="E2959" s="14" t="s">
        <v>98</v>
      </c>
      <c r="F2959" s="14">
        <v>75</v>
      </c>
      <c r="G2959" s="14">
        <v>60</v>
      </c>
      <c r="H2959" s="14" t="s">
        <v>1400</v>
      </c>
      <c r="I2959" s="14" t="s">
        <v>75</v>
      </c>
      <c r="J2959" s="14" t="s">
        <v>201</v>
      </c>
      <c r="K2959" s="14">
        <v>1</v>
      </c>
      <c r="L2959" s="14" t="s">
        <v>1400</v>
      </c>
      <c r="N2959" s="14">
        <v>0</v>
      </c>
      <c r="O2959" s="14" t="b">
        <v>1</v>
      </c>
      <c r="Q2959" s="14" t="b">
        <v>0</v>
      </c>
      <c r="R2959" s="14">
        <v>1</v>
      </c>
      <c r="S2959" s="14" t="s">
        <v>77</v>
      </c>
      <c r="T2959" s="14">
        <v>999</v>
      </c>
      <c r="U2959" s="14" t="s">
        <v>1401</v>
      </c>
      <c r="V2959" s="14">
        <v>31946075</v>
      </c>
      <c r="X2959" s="14" t="s">
        <v>5415</v>
      </c>
      <c r="Y2959" s="14" t="s">
        <v>215</v>
      </c>
      <c r="Z2959" s="14">
        <v>21722</v>
      </c>
      <c r="AA2959" s="14" t="s">
        <v>5416</v>
      </c>
      <c r="AB2959" s="14">
        <v>40001</v>
      </c>
      <c r="AE2959" s="14" t="s">
        <v>1400</v>
      </c>
      <c r="AF2959" s="14" t="s">
        <v>1400</v>
      </c>
      <c r="AG2959" s="14" t="s">
        <v>98</v>
      </c>
    </row>
    <row r="2960" spans="2:33">
      <c r="B2960" s="14">
        <f>10000000+INDEX(编号表!$B:$B,MATCH(H2960,编号表!$A:$A,0))*100000+INDEX(编号表!$F:$F,MATCH(D2960,编号表!$E:$E,0))*10000+INDEX(编号表!$D:$D,MATCH(AG2960,编号表!$C:$C,0))*1000+F2960</f>
        <v>11926074</v>
      </c>
      <c r="C2960" s="14" t="s">
        <v>5417</v>
      </c>
      <c r="D2960" s="14" t="s">
        <v>112</v>
      </c>
      <c r="E2960" s="14" t="s">
        <v>98</v>
      </c>
      <c r="F2960" s="14">
        <v>74</v>
      </c>
      <c r="G2960" s="14">
        <v>60</v>
      </c>
      <c r="H2960" s="14" t="s">
        <v>1400</v>
      </c>
      <c r="I2960" s="14" t="s">
        <v>75</v>
      </c>
      <c r="J2960" s="14" t="s">
        <v>201</v>
      </c>
      <c r="K2960" s="14">
        <v>1</v>
      </c>
      <c r="L2960" s="14" t="s">
        <v>1400</v>
      </c>
      <c r="N2960" s="14">
        <v>0</v>
      </c>
      <c r="O2960" s="14" t="b">
        <v>1</v>
      </c>
      <c r="Q2960" s="14" t="b">
        <v>0</v>
      </c>
      <c r="R2960" s="14">
        <v>1</v>
      </c>
      <c r="S2960" s="14" t="s">
        <v>77</v>
      </c>
      <c r="T2960" s="14">
        <v>999</v>
      </c>
      <c r="U2960" s="14" t="s">
        <v>1401</v>
      </c>
      <c r="V2960" s="14">
        <v>31926074</v>
      </c>
      <c r="X2960" s="14" t="s">
        <v>5418</v>
      </c>
      <c r="Y2960" s="14" t="s">
        <v>215</v>
      </c>
      <c r="Z2960" s="14">
        <v>21723</v>
      </c>
      <c r="AA2960" s="14" t="s">
        <v>5419</v>
      </c>
      <c r="AB2960" s="14">
        <v>40001</v>
      </c>
      <c r="AE2960" s="14" t="s">
        <v>1400</v>
      </c>
      <c r="AF2960" s="14" t="s">
        <v>1400</v>
      </c>
      <c r="AG2960" s="14" t="s">
        <v>98</v>
      </c>
    </row>
    <row r="2961" spans="2:33">
      <c r="B2961" s="14">
        <f>10000000+INDEX(编号表!$B:$B,MATCH(H2961,编号表!$A:$A,0))*100000+INDEX(编号表!$F:$F,MATCH(D2961,编号表!$E:$E,0))*10000+INDEX(编号表!$D:$D,MATCH(AG2961,编号表!$C:$C,0))*1000+F2961</f>
        <v>11936075</v>
      </c>
      <c r="C2961" s="14" t="s">
        <v>5417</v>
      </c>
      <c r="D2961" s="14" t="s">
        <v>276</v>
      </c>
      <c r="E2961" s="14" t="s">
        <v>98</v>
      </c>
      <c r="F2961" s="14">
        <v>75</v>
      </c>
      <c r="G2961" s="14">
        <v>60</v>
      </c>
      <c r="H2961" s="14" t="s">
        <v>1400</v>
      </c>
      <c r="I2961" s="14" t="s">
        <v>75</v>
      </c>
      <c r="J2961" s="14" t="s">
        <v>201</v>
      </c>
      <c r="K2961" s="14">
        <v>1</v>
      </c>
      <c r="L2961" s="14" t="s">
        <v>1400</v>
      </c>
      <c r="N2961" s="14">
        <v>0</v>
      </c>
      <c r="O2961" s="14" t="b">
        <v>1</v>
      </c>
      <c r="Q2961" s="14" t="b">
        <v>0</v>
      </c>
      <c r="R2961" s="14">
        <v>1</v>
      </c>
      <c r="S2961" s="14" t="s">
        <v>77</v>
      </c>
      <c r="T2961" s="14">
        <v>999</v>
      </c>
      <c r="U2961" s="14" t="s">
        <v>1401</v>
      </c>
      <c r="V2961" s="14">
        <v>31936075</v>
      </c>
      <c r="X2961" s="14" t="s">
        <v>5420</v>
      </c>
      <c r="Y2961" s="14" t="s">
        <v>215</v>
      </c>
      <c r="Z2961" s="14">
        <v>21724</v>
      </c>
      <c r="AA2961" s="14" t="s">
        <v>5421</v>
      </c>
      <c r="AB2961" s="14">
        <v>40001</v>
      </c>
      <c r="AE2961" s="14" t="s">
        <v>1400</v>
      </c>
      <c r="AF2961" s="14" t="s">
        <v>1400</v>
      </c>
      <c r="AG2961" s="14" t="s">
        <v>98</v>
      </c>
    </row>
    <row r="2962" spans="2:33">
      <c r="B2962" s="14">
        <f>10000000+INDEX(编号表!$B:$B,MATCH(H2962,编号表!$A:$A,0))*100000+INDEX(编号表!$F:$F,MATCH(D2962,编号表!$E:$E,0))*10000+INDEX(编号表!$D:$D,MATCH(AG2962,编号表!$C:$C,0))*1000+F2962</f>
        <v>11946076</v>
      </c>
      <c r="C2962" s="14" t="s">
        <v>5417</v>
      </c>
      <c r="D2962" s="14" t="s">
        <v>104</v>
      </c>
      <c r="E2962" s="14" t="s">
        <v>98</v>
      </c>
      <c r="F2962" s="14">
        <v>76</v>
      </c>
      <c r="G2962" s="14">
        <v>60</v>
      </c>
      <c r="H2962" s="14" t="s">
        <v>1400</v>
      </c>
      <c r="I2962" s="14" t="s">
        <v>75</v>
      </c>
      <c r="J2962" s="14" t="s">
        <v>201</v>
      </c>
      <c r="K2962" s="14">
        <v>1</v>
      </c>
      <c r="L2962" s="14" t="s">
        <v>1400</v>
      </c>
      <c r="N2962" s="14">
        <v>0</v>
      </c>
      <c r="O2962" s="14" t="b">
        <v>1</v>
      </c>
      <c r="Q2962" s="14" t="b">
        <v>0</v>
      </c>
      <c r="R2962" s="14">
        <v>1</v>
      </c>
      <c r="S2962" s="14" t="s">
        <v>77</v>
      </c>
      <c r="T2962" s="14">
        <v>999</v>
      </c>
      <c r="U2962" s="14" t="s">
        <v>1401</v>
      </c>
      <c r="V2962" s="14">
        <v>31946076</v>
      </c>
      <c r="X2962" s="14" t="s">
        <v>5422</v>
      </c>
      <c r="Y2962" s="14" t="s">
        <v>215</v>
      </c>
      <c r="Z2962" s="14">
        <v>21725</v>
      </c>
      <c r="AA2962" s="14" t="s">
        <v>5423</v>
      </c>
      <c r="AB2962" s="14">
        <v>40001</v>
      </c>
      <c r="AE2962" s="14" t="s">
        <v>1400</v>
      </c>
      <c r="AF2962" s="14" t="s">
        <v>1400</v>
      </c>
      <c r="AG2962" s="14" t="s">
        <v>98</v>
      </c>
    </row>
    <row r="2963" spans="2:33">
      <c r="B2963" s="14">
        <f>10000000+INDEX(编号表!$B:$B,MATCH(H2963,编号表!$A:$A,0))*100000+INDEX(编号表!$F:$F,MATCH(D2963,编号表!$E:$E,0))*10000+INDEX(编号表!$D:$D,MATCH(AG2963,编号表!$C:$C,0))*1000+F2963</f>
        <v>11926075</v>
      </c>
      <c r="C2963" s="14" t="s">
        <v>5424</v>
      </c>
      <c r="D2963" s="14" t="s">
        <v>112</v>
      </c>
      <c r="E2963" s="14" t="s">
        <v>98</v>
      </c>
      <c r="F2963" s="14">
        <v>75</v>
      </c>
      <c r="G2963" s="14">
        <v>60</v>
      </c>
      <c r="H2963" s="14" t="s">
        <v>1400</v>
      </c>
      <c r="I2963" s="14" t="s">
        <v>75</v>
      </c>
      <c r="J2963" s="14" t="s">
        <v>201</v>
      </c>
      <c r="K2963" s="14">
        <v>1</v>
      </c>
      <c r="L2963" s="14" t="s">
        <v>1400</v>
      </c>
      <c r="N2963" s="14">
        <v>0</v>
      </c>
      <c r="O2963" s="14" t="b">
        <v>1</v>
      </c>
      <c r="Q2963" s="14" t="b">
        <v>0</v>
      </c>
      <c r="R2963" s="14">
        <v>1</v>
      </c>
      <c r="S2963" s="14" t="s">
        <v>77</v>
      </c>
      <c r="T2963" s="14">
        <v>999</v>
      </c>
      <c r="U2963" s="14" t="s">
        <v>1401</v>
      </c>
      <c r="V2963" s="14">
        <v>31926075</v>
      </c>
      <c r="X2963" s="14" t="s">
        <v>5425</v>
      </c>
      <c r="Y2963" s="14" t="s">
        <v>215</v>
      </c>
      <c r="Z2963" s="14">
        <v>21726</v>
      </c>
      <c r="AA2963" s="14" t="s">
        <v>5426</v>
      </c>
      <c r="AB2963" s="14">
        <v>40001</v>
      </c>
      <c r="AE2963" s="14" t="s">
        <v>1400</v>
      </c>
      <c r="AF2963" s="14" t="s">
        <v>1400</v>
      </c>
      <c r="AG2963" s="14" t="s">
        <v>98</v>
      </c>
    </row>
    <row r="2964" spans="2:33">
      <c r="B2964" s="14">
        <f>10000000+INDEX(编号表!$B:$B,MATCH(H2964,编号表!$A:$A,0))*100000+INDEX(编号表!$F:$F,MATCH(D2964,编号表!$E:$E,0))*10000+INDEX(编号表!$D:$D,MATCH(AG2964,编号表!$C:$C,0))*1000+F2964</f>
        <v>11936076</v>
      </c>
      <c r="C2964" s="14" t="s">
        <v>5424</v>
      </c>
      <c r="D2964" s="14" t="s">
        <v>276</v>
      </c>
      <c r="E2964" s="14" t="s">
        <v>98</v>
      </c>
      <c r="F2964" s="14">
        <v>76</v>
      </c>
      <c r="G2964" s="14">
        <v>60</v>
      </c>
      <c r="H2964" s="14" t="s">
        <v>1400</v>
      </c>
      <c r="I2964" s="14" t="s">
        <v>75</v>
      </c>
      <c r="J2964" s="14" t="s">
        <v>201</v>
      </c>
      <c r="K2964" s="14">
        <v>1</v>
      </c>
      <c r="L2964" s="14" t="s">
        <v>1400</v>
      </c>
      <c r="N2964" s="14">
        <v>0</v>
      </c>
      <c r="O2964" s="14" t="b">
        <v>1</v>
      </c>
      <c r="Q2964" s="14" t="b">
        <v>0</v>
      </c>
      <c r="R2964" s="14">
        <v>1</v>
      </c>
      <c r="S2964" s="14" t="s">
        <v>77</v>
      </c>
      <c r="T2964" s="14">
        <v>999</v>
      </c>
      <c r="U2964" s="14" t="s">
        <v>1401</v>
      </c>
      <c r="V2964" s="14">
        <v>31936076</v>
      </c>
      <c r="X2964" s="14" t="s">
        <v>5427</v>
      </c>
      <c r="Y2964" s="14" t="s">
        <v>215</v>
      </c>
      <c r="Z2964" s="14">
        <v>21727</v>
      </c>
      <c r="AA2964" s="14" t="s">
        <v>5428</v>
      </c>
      <c r="AB2964" s="14">
        <v>40001</v>
      </c>
      <c r="AE2964" s="14" t="s">
        <v>1400</v>
      </c>
      <c r="AF2964" s="14" t="s">
        <v>1400</v>
      </c>
      <c r="AG2964" s="14" t="s">
        <v>98</v>
      </c>
    </row>
    <row r="2965" spans="2:33">
      <c r="B2965" s="14">
        <f>10000000+INDEX(编号表!$B:$B,MATCH(H2965,编号表!$A:$A,0))*100000+INDEX(编号表!$F:$F,MATCH(D2965,编号表!$E:$E,0))*10000+INDEX(编号表!$D:$D,MATCH(AG2965,编号表!$C:$C,0))*1000+F2965</f>
        <v>11946077</v>
      </c>
      <c r="C2965" s="14" t="s">
        <v>5424</v>
      </c>
      <c r="D2965" s="14" t="s">
        <v>104</v>
      </c>
      <c r="E2965" s="14" t="s">
        <v>98</v>
      </c>
      <c r="F2965" s="14">
        <v>77</v>
      </c>
      <c r="G2965" s="14">
        <v>60</v>
      </c>
      <c r="H2965" s="14" t="s">
        <v>1400</v>
      </c>
      <c r="I2965" s="14" t="s">
        <v>75</v>
      </c>
      <c r="J2965" s="14" t="s">
        <v>201</v>
      </c>
      <c r="K2965" s="14">
        <v>1</v>
      </c>
      <c r="L2965" s="14" t="s">
        <v>1400</v>
      </c>
      <c r="N2965" s="14">
        <v>0</v>
      </c>
      <c r="O2965" s="14" t="b">
        <v>1</v>
      </c>
      <c r="Q2965" s="14" t="b">
        <v>0</v>
      </c>
      <c r="R2965" s="14">
        <v>1</v>
      </c>
      <c r="S2965" s="14" t="s">
        <v>77</v>
      </c>
      <c r="T2965" s="14">
        <v>999</v>
      </c>
      <c r="U2965" s="14" t="s">
        <v>1401</v>
      </c>
      <c r="V2965" s="14">
        <v>31946077</v>
      </c>
      <c r="X2965" s="14" t="s">
        <v>5429</v>
      </c>
      <c r="Y2965" s="14" t="s">
        <v>215</v>
      </c>
      <c r="Z2965" s="14">
        <v>21728</v>
      </c>
      <c r="AA2965" s="14" t="s">
        <v>5430</v>
      </c>
      <c r="AB2965" s="14">
        <v>40001</v>
      </c>
      <c r="AE2965" s="14" t="s">
        <v>1400</v>
      </c>
      <c r="AF2965" s="14" t="s">
        <v>1400</v>
      </c>
      <c r="AG2965" s="14" t="s">
        <v>98</v>
      </c>
    </row>
    <row r="2966" spans="2:33">
      <c r="B2966" s="14">
        <f>10000000+INDEX(编号表!$B:$B,MATCH(H2966,编号表!$A:$A,0))*100000+INDEX(编号表!$F:$F,MATCH(D2966,编号表!$E:$E,0))*10000+INDEX(编号表!$D:$D,MATCH(AG2966,编号表!$C:$C,0))*1000+F2966</f>
        <v>11926076</v>
      </c>
      <c r="C2966" s="14" t="s">
        <v>5431</v>
      </c>
      <c r="D2966" s="14" t="s">
        <v>112</v>
      </c>
      <c r="E2966" s="14" t="s">
        <v>98</v>
      </c>
      <c r="F2966" s="14">
        <v>76</v>
      </c>
      <c r="G2966" s="14">
        <v>60</v>
      </c>
      <c r="H2966" s="14" t="s">
        <v>1400</v>
      </c>
      <c r="I2966" s="14" t="s">
        <v>75</v>
      </c>
      <c r="J2966" s="14" t="s">
        <v>201</v>
      </c>
      <c r="K2966" s="14">
        <v>1</v>
      </c>
      <c r="L2966" s="14" t="s">
        <v>1400</v>
      </c>
      <c r="N2966" s="14">
        <v>0</v>
      </c>
      <c r="O2966" s="14" t="b">
        <v>1</v>
      </c>
      <c r="Q2966" s="14" t="b">
        <v>0</v>
      </c>
      <c r="R2966" s="14">
        <v>1</v>
      </c>
      <c r="S2966" s="14" t="s">
        <v>77</v>
      </c>
      <c r="T2966" s="14">
        <v>999</v>
      </c>
      <c r="U2966" s="14" t="s">
        <v>1401</v>
      </c>
      <c r="V2966" s="14">
        <v>31926076</v>
      </c>
      <c r="X2966" s="14" t="s">
        <v>5432</v>
      </c>
      <c r="Y2966" s="14" t="s">
        <v>215</v>
      </c>
      <c r="Z2966" s="14">
        <v>21729</v>
      </c>
      <c r="AA2966" s="14" t="s">
        <v>5433</v>
      </c>
      <c r="AB2966" s="14">
        <v>40001</v>
      </c>
      <c r="AE2966" s="14" t="s">
        <v>1400</v>
      </c>
      <c r="AF2966" s="14" t="s">
        <v>1400</v>
      </c>
      <c r="AG2966" s="14" t="s">
        <v>98</v>
      </c>
    </row>
    <row r="2967" spans="2:33">
      <c r="B2967" s="14">
        <f>10000000+INDEX(编号表!$B:$B,MATCH(H2967,编号表!$A:$A,0))*100000+INDEX(编号表!$F:$F,MATCH(D2967,编号表!$E:$E,0))*10000+INDEX(编号表!$D:$D,MATCH(AG2967,编号表!$C:$C,0))*1000+F2967</f>
        <v>11936077</v>
      </c>
      <c r="C2967" s="14" t="s">
        <v>5431</v>
      </c>
      <c r="D2967" s="14" t="s">
        <v>276</v>
      </c>
      <c r="E2967" s="14" t="s">
        <v>98</v>
      </c>
      <c r="F2967" s="14">
        <v>77</v>
      </c>
      <c r="G2967" s="14">
        <v>60</v>
      </c>
      <c r="H2967" s="14" t="s">
        <v>1400</v>
      </c>
      <c r="I2967" s="14" t="s">
        <v>75</v>
      </c>
      <c r="J2967" s="14" t="s">
        <v>201</v>
      </c>
      <c r="K2967" s="14">
        <v>1</v>
      </c>
      <c r="L2967" s="14" t="s">
        <v>1400</v>
      </c>
      <c r="N2967" s="14">
        <v>0</v>
      </c>
      <c r="O2967" s="14" t="b">
        <v>1</v>
      </c>
      <c r="Q2967" s="14" t="b">
        <v>0</v>
      </c>
      <c r="R2967" s="14">
        <v>1</v>
      </c>
      <c r="S2967" s="14" t="s">
        <v>77</v>
      </c>
      <c r="T2967" s="14">
        <v>999</v>
      </c>
      <c r="U2967" s="14" t="s">
        <v>1401</v>
      </c>
      <c r="V2967" s="14">
        <v>31936077</v>
      </c>
      <c r="X2967" s="14" t="s">
        <v>5434</v>
      </c>
      <c r="Y2967" s="14" t="s">
        <v>215</v>
      </c>
      <c r="Z2967" s="14">
        <v>21730</v>
      </c>
      <c r="AA2967" s="14" t="s">
        <v>5435</v>
      </c>
      <c r="AB2967" s="14">
        <v>40001</v>
      </c>
      <c r="AE2967" s="14" t="s">
        <v>1400</v>
      </c>
      <c r="AF2967" s="14" t="s">
        <v>1400</v>
      </c>
      <c r="AG2967" s="14" t="s">
        <v>98</v>
      </c>
    </row>
    <row r="2968" spans="2:33">
      <c r="B2968" s="14">
        <f>10000000+INDEX(编号表!$B:$B,MATCH(H2968,编号表!$A:$A,0))*100000+INDEX(编号表!$F:$F,MATCH(D2968,编号表!$E:$E,0))*10000+INDEX(编号表!$D:$D,MATCH(AG2968,编号表!$C:$C,0))*1000+F2968</f>
        <v>11946078</v>
      </c>
      <c r="C2968" s="14" t="s">
        <v>5431</v>
      </c>
      <c r="D2968" s="14" t="s">
        <v>104</v>
      </c>
      <c r="E2968" s="14" t="s">
        <v>98</v>
      </c>
      <c r="F2968" s="14">
        <v>78</v>
      </c>
      <c r="G2968" s="14">
        <v>60</v>
      </c>
      <c r="H2968" s="14" t="s">
        <v>1400</v>
      </c>
      <c r="I2968" s="14" t="s">
        <v>75</v>
      </c>
      <c r="J2968" s="14" t="s">
        <v>201</v>
      </c>
      <c r="K2968" s="14">
        <v>1</v>
      </c>
      <c r="L2968" s="14" t="s">
        <v>1400</v>
      </c>
      <c r="N2968" s="14">
        <v>0</v>
      </c>
      <c r="O2968" s="14" t="b">
        <v>1</v>
      </c>
      <c r="Q2968" s="14" t="b">
        <v>0</v>
      </c>
      <c r="R2968" s="14">
        <v>1</v>
      </c>
      <c r="S2968" s="14" t="s">
        <v>77</v>
      </c>
      <c r="T2968" s="14">
        <v>999</v>
      </c>
      <c r="U2968" s="14" t="s">
        <v>1401</v>
      </c>
      <c r="V2968" s="14">
        <v>31946078</v>
      </c>
      <c r="X2968" s="14" t="s">
        <v>5436</v>
      </c>
      <c r="Y2968" s="14" t="s">
        <v>215</v>
      </c>
      <c r="Z2968" s="14">
        <v>21731</v>
      </c>
      <c r="AA2968" s="14" t="s">
        <v>5437</v>
      </c>
      <c r="AB2968" s="14">
        <v>40001</v>
      </c>
      <c r="AE2968" s="14" t="s">
        <v>1400</v>
      </c>
      <c r="AF2968" s="14" t="s">
        <v>1400</v>
      </c>
      <c r="AG2968" s="14" t="s">
        <v>98</v>
      </c>
    </row>
    <row r="2969" spans="2:33">
      <c r="B2969" s="14">
        <f>10000000+INDEX(编号表!$B:$B,MATCH(H2969,编号表!$A:$A,0))*100000+INDEX(编号表!$F:$F,MATCH(D2969,编号表!$E:$E,0))*10000+INDEX(编号表!$D:$D,MATCH(AG2969,编号表!$C:$C,0))*1000+F2969</f>
        <v>11926077</v>
      </c>
      <c r="C2969" s="14" t="s">
        <v>5438</v>
      </c>
      <c r="D2969" s="14" t="s">
        <v>112</v>
      </c>
      <c r="E2969" s="14" t="s">
        <v>98</v>
      </c>
      <c r="F2969" s="14">
        <v>77</v>
      </c>
      <c r="G2969" s="14">
        <v>60</v>
      </c>
      <c r="H2969" s="14" t="s">
        <v>1400</v>
      </c>
      <c r="I2969" s="14" t="s">
        <v>75</v>
      </c>
      <c r="J2969" s="14" t="s">
        <v>201</v>
      </c>
      <c r="K2969" s="14">
        <v>1</v>
      </c>
      <c r="L2969" s="14" t="s">
        <v>1400</v>
      </c>
      <c r="N2969" s="14">
        <v>0</v>
      </c>
      <c r="O2969" s="14" t="b">
        <v>1</v>
      </c>
      <c r="Q2969" s="14" t="b">
        <v>0</v>
      </c>
      <c r="R2969" s="14">
        <v>1</v>
      </c>
      <c r="S2969" s="14" t="s">
        <v>77</v>
      </c>
      <c r="T2969" s="14">
        <v>999</v>
      </c>
      <c r="U2969" s="14" t="s">
        <v>1401</v>
      </c>
      <c r="V2969" s="14">
        <v>31926077</v>
      </c>
      <c r="X2969" s="14" t="s">
        <v>5439</v>
      </c>
      <c r="Y2969" s="14" t="s">
        <v>215</v>
      </c>
      <c r="Z2969" s="14">
        <v>21732</v>
      </c>
      <c r="AA2969" s="14" t="s">
        <v>5440</v>
      </c>
      <c r="AB2969" s="14">
        <v>40001</v>
      </c>
      <c r="AE2969" s="14" t="s">
        <v>1400</v>
      </c>
      <c r="AF2969" s="14" t="s">
        <v>1400</v>
      </c>
      <c r="AG2969" s="14" t="s">
        <v>98</v>
      </c>
    </row>
    <row r="2970" spans="2:33">
      <c r="B2970" s="14">
        <f>10000000+INDEX(编号表!$B:$B,MATCH(H2970,编号表!$A:$A,0))*100000+INDEX(编号表!$F:$F,MATCH(D2970,编号表!$E:$E,0))*10000+INDEX(编号表!$D:$D,MATCH(AG2970,编号表!$C:$C,0))*1000+F2970</f>
        <v>11936078</v>
      </c>
      <c r="C2970" s="14" t="s">
        <v>5438</v>
      </c>
      <c r="D2970" s="14" t="s">
        <v>276</v>
      </c>
      <c r="E2970" s="14" t="s">
        <v>98</v>
      </c>
      <c r="F2970" s="14">
        <v>78</v>
      </c>
      <c r="G2970" s="14">
        <v>60</v>
      </c>
      <c r="H2970" s="14" t="s">
        <v>1400</v>
      </c>
      <c r="I2970" s="14" t="s">
        <v>75</v>
      </c>
      <c r="J2970" s="14" t="s">
        <v>201</v>
      </c>
      <c r="K2970" s="14">
        <v>1</v>
      </c>
      <c r="L2970" s="14" t="s">
        <v>1400</v>
      </c>
      <c r="N2970" s="14">
        <v>0</v>
      </c>
      <c r="O2970" s="14" t="b">
        <v>1</v>
      </c>
      <c r="Q2970" s="14" t="b">
        <v>0</v>
      </c>
      <c r="R2970" s="14">
        <v>1</v>
      </c>
      <c r="S2970" s="14" t="s">
        <v>77</v>
      </c>
      <c r="T2970" s="14">
        <v>999</v>
      </c>
      <c r="U2970" s="14" t="s">
        <v>1401</v>
      </c>
      <c r="V2970" s="14">
        <v>31936078</v>
      </c>
      <c r="X2970" s="14" t="s">
        <v>5441</v>
      </c>
      <c r="Y2970" s="14" t="s">
        <v>215</v>
      </c>
      <c r="Z2970" s="14">
        <v>21733</v>
      </c>
      <c r="AA2970" s="14" t="s">
        <v>5442</v>
      </c>
      <c r="AB2970" s="14">
        <v>40001</v>
      </c>
      <c r="AE2970" s="14" t="s">
        <v>1400</v>
      </c>
      <c r="AF2970" s="14" t="s">
        <v>1400</v>
      </c>
      <c r="AG2970" s="14" t="s">
        <v>98</v>
      </c>
    </row>
    <row r="2971" spans="2:33">
      <c r="B2971" s="14">
        <f>10000000+INDEX(编号表!$B:$B,MATCH(H2971,编号表!$A:$A,0))*100000+INDEX(编号表!$F:$F,MATCH(D2971,编号表!$E:$E,0))*10000+INDEX(编号表!$D:$D,MATCH(AG2971,编号表!$C:$C,0))*1000+F2971</f>
        <v>11946079</v>
      </c>
      <c r="C2971" s="14" t="s">
        <v>5438</v>
      </c>
      <c r="D2971" s="14" t="s">
        <v>104</v>
      </c>
      <c r="E2971" s="14" t="s">
        <v>98</v>
      </c>
      <c r="F2971" s="14">
        <v>79</v>
      </c>
      <c r="G2971" s="14">
        <v>60</v>
      </c>
      <c r="H2971" s="14" t="s">
        <v>1400</v>
      </c>
      <c r="I2971" s="14" t="s">
        <v>75</v>
      </c>
      <c r="J2971" s="14" t="s">
        <v>201</v>
      </c>
      <c r="K2971" s="14">
        <v>1</v>
      </c>
      <c r="L2971" s="14" t="s">
        <v>1400</v>
      </c>
      <c r="N2971" s="14">
        <v>0</v>
      </c>
      <c r="O2971" s="14" t="b">
        <v>1</v>
      </c>
      <c r="Q2971" s="14" t="b">
        <v>0</v>
      </c>
      <c r="R2971" s="14">
        <v>1</v>
      </c>
      <c r="S2971" s="14" t="s">
        <v>77</v>
      </c>
      <c r="T2971" s="14">
        <v>999</v>
      </c>
      <c r="U2971" s="14" t="s">
        <v>1401</v>
      </c>
      <c r="V2971" s="14">
        <v>31946079</v>
      </c>
      <c r="X2971" s="14" t="s">
        <v>5443</v>
      </c>
      <c r="Y2971" s="14" t="s">
        <v>215</v>
      </c>
      <c r="Z2971" s="14">
        <v>21734</v>
      </c>
      <c r="AA2971" s="14" t="s">
        <v>5444</v>
      </c>
      <c r="AB2971" s="14">
        <v>40001</v>
      </c>
      <c r="AE2971" s="14" t="s">
        <v>1400</v>
      </c>
      <c r="AF2971" s="14" t="s">
        <v>1400</v>
      </c>
      <c r="AG2971" s="14" t="s">
        <v>98</v>
      </c>
    </row>
    <row r="2972" spans="2:33">
      <c r="B2972" s="14">
        <f>10000000+INDEX(编号表!$B:$B,MATCH(H2972,编号表!$A:$A,0))*100000+INDEX(编号表!$F:$F,MATCH(D2972,编号表!$E:$E,0))*10000+INDEX(编号表!$D:$D,MATCH(AG2972,编号表!$C:$C,0))*1000+F2972</f>
        <v>11926078</v>
      </c>
      <c r="C2972" s="14" t="s">
        <v>5445</v>
      </c>
      <c r="D2972" s="14" t="s">
        <v>112</v>
      </c>
      <c r="E2972" s="14" t="s">
        <v>98</v>
      </c>
      <c r="F2972" s="14">
        <v>78</v>
      </c>
      <c r="G2972" s="14">
        <v>60</v>
      </c>
      <c r="H2972" s="14" t="s">
        <v>1400</v>
      </c>
      <c r="I2972" s="14" t="s">
        <v>75</v>
      </c>
      <c r="J2972" s="14" t="s">
        <v>201</v>
      </c>
      <c r="K2972" s="14">
        <v>1</v>
      </c>
      <c r="L2972" s="14" t="s">
        <v>1400</v>
      </c>
      <c r="N2972" s="14">
        <v>0</v>
      </c>
      <c r="O2972" s="14" t="b">
        <v>1</v>
      </c>
      <c r="Q2972" s="14" t="b">
        <v>0</v>
      </c>
      <c r="R2972" s="14">
        <v>1</v>
      </c>
      <c r="S2972" s="14" t="s">
        <v>77</v>
      </c>
      <c r="T2972" s="14">
        <v>999</v>
      </c>
      <c r="U2972" s="14" t="s">
        <v>1401</v>
      </c>
      <c r="V2972" s="14">
        <v>31926078</v>
      </c>
      <c r="X2972" s="14" t="s">
        <v>5446</v>
      </c>
      <c r="Y2972" s="14" t="s">
        <v>215</v>
      </c>
      <c r="Z2972" s="14">
        <v>21735</v>
      </c>
      <c r="AA2972" s="14" t="s">
        <v>5447</v>
      </c>
      <c r="AB2972" s="14">
        <v>40001</v>
      </c>
      <c r="AE2972" s="14" t="s">
        <v>1400</v>
      </c>
      <c r="AF2972" s="14" t="s">
        <v>1400</v>
      </c>
      <c r="AG2972" s="14" t="s">
        <v>98</v>
      </c>
    </row>
    <row r="2973" spans="2:33">
      <c r="B2973" s="14">
        <f>10000000+INDEX(编号表!$B:$B,MATCH(H2973,编号表!$A:$A,0))*100000+INDEX(编号表!$F:$F,MATCH(D2973,编号表!$E:$E,0))*10000+INDEX(编号表!$D:$D,MATCH(AG2973,编号表!$C:$C,0))*1000+F2973</f>
        <v>11936079</v>
      </c>
      <c r="C2973" s="14" t="s">
        <v>5445</v>
      </c>
      <c r="D2973" s="14" t="s">
        <v>276</v>
      </c>
      <c r="E2973" s="14" t="s">
        <v>98</v>
      </c>
      <c r="F2973" s="14">
        <v>79</v>
      </c>
      <c r="G2973" s="14">
        <v>60</v>
      </c>
      <c r="H2973" s="14" t="s">
        <v>1400</v>
      </c>
      <c r="I2973" s="14" t="s">
        <v>75</v>
      </c>
      <c r="J2973" s="14" t="s">
        <v>201</v>
      </c>
      <c r="K2973" s="14">
        <v>1</v>
      </c>
      <c r="L2973" s="14" t="s">
        <v>1400</v>
      </c>
      <c r="N2973" s="14">
        <v>0</v>
      </c>
      <c r="O2973" s="14" t="b">
        <v>1</v>
      </c>
      <c r="Q2973" s="14" t="b">
        <v>0</v>
      </c>
      <c r="R2973" s="14">
        <v>1</v>
      </c>
      <c r="S2973" s="14" t="s">
        <v>77</v>
      </c>
      <c r="T2973" s="14">
        <v>999</v>
      </c>
      <c r="U2973" s="14" t="s">
        <v>1401</v>
      </c>
      <c r="V2973" s="14">
        <v>31936079</v>
      </c>
      <c r="X2973" s="14" t="s">
        <v>5448</v>
      </c>
      <c r="Y2973" s="14" t="s">
        <v>215</v>
      </c>
      <c r="Z2973" s="14">
        <v>21736</v>
      </c>
      <c r="AA2973" s="14" t="s">
        <v>5449</v>
      </c>
      <c r="AB2973" s="14">
        <v>40001</v>
      </c>
      <c r="AE2973" s="14" t="s">
        <v>1400</v>
      </c>
      <c r="AF2973" s="14" t="s">
        <v>1400</v>
      </c>
      <c r="AG2973" s="14" t="s">
        <v>98</v>
      </c>
    </row>
    <row r="2974" spans="2:33">
      <c r="B2974" s="14">
        <f>10000000+INDEX(编号表!$B:$B,MATCH(H2974,编号表!$A:$A,0))*100000+INDEX(编号表!$F:$F,MATCH(D2974,编号表!$E:$E,0))*10000+INDEX(编号表!$D:$D,MATCH(AG2974,编号表!$C:$C,0))*1000+F2974</f>
        <v>11946080</v>
      </c>
      <c r="C2974" s="14" t="s">
        <v>5445</v>
      </c>
      <c r="D2974" s="14" t="s">
        <v>104</v>
      </c>
      <c r="E2974" s="14" t="s">
        <v>98</v>
      </c>
      <c r="F2974" s="14">
        <v>80</v>
      </c>
      <c r="G2974" s="14">
        <v>60</v>
      </c>
      <c r="H2974" s="14" t="s">
        <v>1400</v>
      </c>
      <c r="I2974" s="14" t="s">
        <v>75</v>
      </c>
      <c r="J2974" s="14" t="s">
        <v>201</v>
      </c>
      <c r="K2974" s="14">
        <v>1</v>
      </c>
      <c r="L2974" s="14" t="s">
        <v>1400</v>
      </c>
      <c r="N2974" s="14">
        <v>0</v>
      </c>
      <c r="O2974" s="14" t="b">
        <v>1</v>
      </c>
      <c r="Q2974" s="14" t="b">
        <v>0</v>
      </c>
      <c r="R2974" s="14">
        <v>1</v>
      </c>
      <c r="S2974" s="14" t="s">
        <v>77</v>
      </c>
      <c r="T2974" s="14">
        <v>999</v>
      </c>
      <c r="U2974" s="14" t="s">
        <v>1401</v>
      </c>
      <c r="V2974" s="14">
        <v>31946080</v>
      </c>
      <c r="X2974" s="14" t="s">
        <v>5450</v>
      </c>
      <c r="Y2974" s="14" t="s">
        <v>215</v>
      </c>
      <c r="Z2974" s="14">
        <v>21737</v>
      </c>
      <c r="AA2974" s="14" t="s">
        <v>5451</v>
      </c>
      <c r="AB2974" s="14">
        <v>40001</v>
      </c>
      <c r="AE2974" s="14" t="s">
        <v>1400</v>
      </c>
      <c r="AF2974" s="14" t="s">
        <v>1400</v>
      </c>
      <c r="AG2974" s="14" t="s">
        <v>98</v>
      </c>
    </row>
    <row r="2975" spans="2:33">
      <c r="B2975" s="14">
        <f>10000000+INDEX(编号表!$B:$B,MATCH(H2975,编号表!$A:$A,0))*100000+INDEX(编号表!$F:$F,MATCH(D2975,编号表!$E:$E,0))*10000+INDEX(编号表!$D:$D,MATCH(AG2975,编号表!$C:$C,0))*1000+F2975</f>
        <v>11926079</v>
      </c>
      <c r="C2975" s="14" t="s">
        <v>5452</v>
      </c>
      <c r="D2975" s="14" t="s">
        <v>112</v>
      </c>
      <c r="E2975" s="14" t="s">
        <v>98</v>
      </c>
      <c r="F2975" s="14">
        <v>79</v>
      </c>
      <c r="G2975" s="14">
        <v>60</v>
      </c>
      <c r="H2975" s="14" t="s">
        <v>1400</v>
      </c>
      <c r="I2975" s="14" t="s">
        <v>75</v>
      </c>
      <c r="J2975" s="14" t="s">
        <v>201</v>
      </c>
      <c r="K2975" s="14">
        <v>1</v>
      </c>
      <c r="L2975" s="14" t="s">
        <v>1400</v>
      </c>
      <c r="N2975" s="14">
        <v>0</v>
      </c>
      <c r="O2975" s="14" t="b">
        <v>1</v>
      </c>
      <c r="Q2975" s="14" t="b">
        <v>0</v>
      </c>
      <c r="R2975" s="14">
        <v>1</v>
      </c>
      <c r="S2975" s="14" t="s">
        <v>77</v>
      </c>
      <c r="T2975" s="14">
        <v>999</v>
      </c>
      <c r="U2975" s="14" t="s">
        <v>1401</v>
      </c>
      <c r="V2975" s="14">
        <v>31926079</v>
      </c>
      <c r="X2975" s="14" t="s">
        <v>5453</v>
      </c>
      <c r="Y2975" s="14" t="s">
        <v>215</v>
      </c>
      <c r="Z2975" s="14">
        <v>21738</v>
      </c>
      <c r="AA2975" s="14" t="s">
        <v>5454</v>
      </c>
      <c r="AB2975" s="14">
        <v>40001</v>
      </c>
      <c r="AE2975" s="14" t="s">
        <v>1400</v>
      </c>
      <c r="AF2975" s="14" t="s">
        <v>1400</v>
      </c>
      <c r="AG2975" s="14" t="s">
        <v>98</v>
      </c>
    </row>
    <row r="2976" spans="2:33">
      <c r="B2976" s="14">
        <f>10000000+INDEX(编号表!$B:$B,MATCH(H2976,编号表!$A:$A,0))*100000+INDEX(编号表!$F:$F,MATCH(D2976,编号表!$E:$E,0))*10000+INDEX(编号表!$D:$D,MATCH(AG2976,编号表!$C:$C,0))*1000+F2976</f>
        <v>11936080</v>
      </c>
      <c r="C2976" s="14" t="s">
        <v>5452</v>
      </c>
      <c r="D2976" s="14" t="s">
        <v>276</v>
      </c>
      <c r="E2976" s="14" t="s">
        <v>98</v>
      </c>
      <c r="F2976" s="14">
        <v>80</v>
      </c>
      <c r="G2976" s="14">
        <v>60</v>
      </c>
      <c r="H2976" s="14" t="s">
        <v>1400</v>
      </c>
      <c r="I2976" s="14" t="s">
        <v>75</v>
      </c>
      <c r="J2976" s="14" t="s">
        <v>201</v>
      </c>
      <c r="K2976" s="14">
        <v>1</v>
      </c>
      <c r="L2976" s="14" t="s">
        <v>1400</v>
      </c>
      <c r="N2976" s="14">
        <v>0</v>
      </c>
      <c r="O2976" s="14" t="b">
        <v>1</v>
      </c>
      <c r="Q2976" s="14" t="b">
        <v>0</v>
      </c>
      <c r="R2976" s="14">
        <v>1</v>
      </c>
      <c r="S2976" s="14" t="s">
        <v>77</v>
      </c>
      <c r="T2976" s="14">
        <v>999</v>
      </c>
      <c r="U2976" s="14" t="s">
        <v>1401</v>
      </c>
      <c r="V2976" s="14">
        <v>31936080</v>
      </c>
      <c r="X2976" s="14" t="s">
        <v>5455</v>
      </c>
      <c r="Y2976" s="14" t="s">
        <v>215</v>
      </c>
      <c r="Z2976" s="14">
        <v>21739</v>
      </c>
      <c r="AA2976" s="14" t="s">
        <v>5456</v>
      </c>
      <c r="AB2976" s="14">
        <v>40001</v>
      </c>
      <c r="AE2976" s="14" t="s">
        <v>1400</v>
      </c>
      <c r="AF2976" s="14" t="s">
        <v>1400</v>
      </c>
      <c r="AG2976" s="14" t="s">
        <v>98</v>
      </c>
    </row>
    <row r="2977" spans="2:33">
      <c r="B2977" s="14">
        <f>10000000+INDEX(编号表!$B:$B,MATCH(H2977,编号表!$A:$A,0))*100000+INDEX(编号表!$F:$F,MATCH(D2977,编号表!$E:$E,0))*10000+INDEX(编号表!$D:$D,MATCH(AG2977,编号表!$C:$C,0))*1000+F2977</f>
        <v>11946081</v>
      </c>
      <c r="C2977" s="14" t="s">
        <v>5452</v>
      </c>
      <c r="D2977" s="14" t="s">
        <v>104</v>
      </c>
      <c r="E2977" s="14" t="s">
        <v>98</v>
      </c>
      <c r="F2977" s="14">
        <v>81</v>
      </c>
      <c r="G2977" s="14">
        <v>60</v>
      </c>
      <c r="H2977" s="14" t="s">
        <v>1400</v>
      </c>
      <c r="I2977" s="14" t="s">
        <v>75</v>
      </c>
      <c r="J2977" s="14" t="s">
        <v>201</v>
      </c>
      <c r="K2977" s="14">
        <v>1</v>
      </c>
      <c r="L2977" s="14" t="s">
        <v>1400</v>
      </c>
      <c r="N2977" s="14">
        <v>0</v>
      </c>
      <c r="O2977" s="14" t="b">
        <v>1</v>
      </c>
      <c r="Q2977" s="14" t="b">
        <v>0</v>
      </c>
      <c r="R2977" s="14">
        <v>1</v>
      </c>
      <c r="S2977" s="14" t="s">
        <v>77</v>
      </c>
      <c r="T2977" s="14">
        <v>999</v>
      </c>
      <c r="U2977" s="14" t="s">
        <v>1401</v>
      </c>
      <c r="V2977" s="14">
        <v>31946081</v>
      </c>
      <c r="X2977" s="14" t="s">
        <v>5457</v>
      </c>
      <c r="Y2977" s="14" t="s">
        <v>215</v>
      </c>
      <c r="Z2977" s="14">
        <v>21740</v>
      </c>
      <c r="AA2977" s="14" t="s">
        <v>5458</v>
      </c>
      <c r="AB2977" s="14">
        <v>40001</v>
      </c>
      <c r="AE2977" s="14" t="s">
        <v>1400</v>
      </c>
      <c r="AF2977" s="14" t="s">
        <v>1400</v>
      </c>
      <c r="AG2977" s="14" t="s">
        <v>98</v>
      </c>
    </row>
    <row r="2978" spans="2:33">
      <c r="B2978" s="14">
        <f>10000000+INDEX(编号表!$B:$B,MATCH(H2978,编号表!$A:$A,0))*100000+INDEX(编号表!$F:$F,MATCH(D2978,编号表!$E:$E,0))*10000+INDEX(编号表!$D:$D,MATCH(AG2978,编号表!$C:$C,0))*1000+F2978</f>
        <v>11926080</v>
      </c>
      <c r="C2978" s="14" t="s">
        <v>5459</v>
      </c>
      <c r="D2978" s="14" t="s">
        <v>112</v>
      </c>
      <c r="E2978" s="14" t="s">
        <v>98</v>
      </c>
      <c r="F2978" s="14">
        <v>80</v>
      </c>
      <c r="G2978" s="14">
        <v>60</v>
      </c>
      <c r="H2978" s="14" t="s">
        <v>1400</v>
      </c>
      <c r="I2978" s="14" t="s">
        <v>75</v>
      </c>
      <c r="J2978" s="14" t="s">
        <v>201</v>
      </c>
      <c r="K2978" s="14">
        <v>1</v>
      </c>
      <c r="L2978" s="14" t="s">
        <v>1400</v>
      </c>
      <c r="N2978" s="14">
        <v>0</v>
      </c>
      <c r="O2978" s="14" t="b">
        <v>1</v>
      </c>
      <c r="Q2978" s="14" t="b">
        <v>0</v>
      </c>
      <c r="R2978" s="14">
        <v>1</v>
      </c>
      <c r="S2978" s="14" t="s">
        <v>77</v>
      </c>
      <c r="T2978" s="14">
        <v>999</v>
      </c>
      <c r="U2978" s="14" t="s">
        <v>1401</v>
      </c>
      <c r="V2978" s="14">
        <v>31926080</v>
      </c>
      <c r="X2978" s="14" t="s">
        <v>5460</v>
      </c>
      <c r="Y2978" s="14" t="s">
        <v>215</v>
      </c>
      <c r="Z2978" s="14">
        <v>21741</v>
      </c>
      <c r="AA2978" s="14" t="s">
        <v>5461</v>
      </c>
      <c r="AB2978" s="14">
        <v>40001</v>
      </c>
      <c r="AE2978" s="14" t="s">
        <v>1400</v>
      </c>
      <c r="AF2978" s="14" t="s">
        <v>1400</v>
      </c>
      <c r="AG2978" s="14" t="s">
        <v>98</v>
      </c>
    </row>
    <row r="2979" spans="2:33">
      <c r="B2979" s="14">
        <f>10000000+INDEX(编号表!$B:$B,MATCH(H2979,编号表!$A:$A,0))*100000+INDEX(编号表!$F:$F,MATCH(D2979,编号表!$E:$E,0))*10000+INDEX(编号表!$D:$D,MATCH(AG2979,编号表!$C:$C,0))*1000+F2979</f>
        <v>11936081</v>
      </c>
      <c r="C2979" s="14" t="s">
        <v>5459</v>
      </c>
      <c r="D2979" s="14" t="s">
        <v>276</v>
      </c>
      <c r="E2979" s="14" t="s">
        <v>98</v>
      </c>
      <c r="F2979" s="14">
        <v>81</v>
      </c>
      <c r="G2979" s="14">
        <v>60</v>
      </c>
      <c r="H2979" s="14" t="s">
        <v>1400</v>
      </c>
      <c r="I2979" s="14" t="s">
        <v>75</v>
      </c>
      <c r="J2979" s="14" t="s">
        <v>201</v>
      </c>
      <c r="K2979" s="14">
        <v>1</v>
      </c>
      <c r="L2979" s="14" t="s">
        <v>1400</v>
      </c>
      <c r="N2979" s="14">
        <v>0</v>
      </c>
      <c r="O2979" s="14" t="b">
        <v>1</v>
      </c>
      <c r="Q2979" s="14" t="b">
        <v>0</v>
      </c>
      <c r="R2979" s="14">
        <v>1</v>
      </c>
      <c r="S2979" s="14" t="s">
        <v>77</v>
      </c>
      <c r="T2979" s="14">
        <v>999</v>
      </c>
      <c r="U2979" s="14" t="s">
        <v>1401</v>
      </c>
      <c r="V2979" s="14">
        <v>31936081</v>
      </c>
      <c r="X2979" s="14" t="s">
        <v>5462</v>
      </c>
      <c r="Y2979" s="14" t="s">
        <v>215</v>
      </c>
      <c r="Z2979" s="14">
        <v>21742</v>
      </c>
      <c r="AA2979" s="14" t="s">
        <v>5463</v>
      </c>
      <c r="AB2979" s="14">
        <v>40001</v>
      </c>
      <c r="AE2979" s="14" t="s">
        <v>1400</v>
      </c>
      <c r="AF2979" s="14" t="s">
        <v>1400</v>
      </c>
      <c r="AG2979" s="14" t="s">
        <v>98</v>
      </c>
    </row>
    <row r="2980" spans="2:33">
      <c r="B2980" s="14">
        <f>10000000+INDEX(编号表!$B:$B,MATCH(H2980,编号表!$A:$A,0))*100000+INDEX(编号表!$F:$F,MATCH(D2980,编号表!$E:$E,0))*10000+INDEX(编号表!$D:$D,MATCH(AG2980,编号表!$C:$C,0))*1000+F2980</f>
        <v>11946082</v>
      </c>
      <c r="C2980" s="14" t="s">
        <v>5459</v>
      </c>
      <c r="D2980" s="14" t="s">
        <v>104</v>
      </c>
      <c r="E2980" s="14" t="s">
        <v>98</v>
      </c>
      <c r="F2980" s="14">
        <v>82</v>
      </c>
      <c r="G2980" s="14">
        <v>60</v>
      </c>
      <c r="H2980" s="14" t="s">
        <v>1400</v>
      </c>
      <c r="I2980" s="14" t="s">
        <v>75</v>
      </c>
      <c r="J2980" s="14" t="s">
        <v>201</v>
      </c>
      <c r="K2980" s="14">
        <v>1</v>
      </c>
      <c r="L2980" s="14" t="s">
        <v>1400</v>
      </c>
      <c r="N2980" s="14">
        <v>0</v>
      </c>
      <c r="O2980" s="14" t="b">
        <v>1</v>
      </c>
      <c r="Q2980" s="14" t="b">
        <v>0</v>
      </c>
      <c r="R2980" s="14">
        <v>1</v>
      </c>
      <c r="S2980" s="14" t="s">
        <v>77</v>
      </c>
      <c r="T2980" s="14">
        <v>999</v>
      </c>
      <c r="U2980" s="14" t="s">
        <v>1401</v>
      </c>
      <c r="V2980" s="14">
        <v>31946082</v>
      </c>
      <c r="X2980" s="14" t="s">
        <v>5464</v>
      </c>
      <c r="Y2980" s="14" t="s">
        <v>215</v>
      </c>
      <c r="Z2980" s="14">
        <v>21743</v>
      </c>
      <c r="AA2980" s="14" t="s">
        <v>5465</v>
      </c>
      <c r="AB2980" s="14">
        <v>40001</v>
      </c>
      <c r="AE2980" s="14" t="s">
        <v>1400</v>
      </c>
      <c r="AF2980" s="14" t="s">
        <v>1400</v>
      </c>
      <c r="AG2980" s="14" t="s">
        <v>98</v>
      </c>
    </row>
    <row r="2981" spans="2:33">
      <c r="B2981" s="14">
        <f>10000000+INDEX(编号表!$B:$B,MATCH(H2981,编号表!$A:$A,0))*100000+INDEX(编号表!$F:$F,MATCH(D2981,编号表!$E:$E,0))*10000+INDEX(编号表!$D:$D,MATCH(AG2981,编号表!$C:$C,0))*1000+F2981</f>
        <v>11926081</v>
      </c>
      <c r="C2981" s="14" t="s">
        <v>5466</v>
      </c>
      <c r="D2981" s="14" t="s">
        <v>112</v>
      </c>
      <c r="E2981" s="14" t="s">
        <v>98</v>
      </c>
      <c r="F2981" s="14">
        <v>81</v>
      </c>
      <c r="G2981" s="14">
        <v>60</v>
      </c>
      <c r="H2981" s="14" t="s">
        <v>1400</v>
      </c>
      <c r="I2981" s="14" t="s">
        <v>75</v>
      </c>
      <c r="J2981" s="14" t="s">
        <v>201</v>
      </c>
      <c r="K2981" s="14">
        <v>1</v>
      </c>
      <c r="L2981" s="14" t="s">
        <v>1400</v>
      </c>
      <c r="N2981" s="14">
        <v>0</v>
      </c>
      <c r="O2981" s="14" t="b">
        <v>1</v>
      </c>
      <c r="Q2981" s="14" t="b">
        <v>0</v>
      </c>
      <c r="R2981" s="14">
        <v>1</v>
      </c>
      <c r="S2981" s="14" t="s">
        <v>77</v>
      </c>
      <c r="T2981" s="14">
        <v>999</v>
      </c>
      <c r="U2981" s="14" t="s">
        <v>1401</v>
      </c>
      <c r="V2981" s="14">
        <v>31926081</v>
      </c>
      <c r="X2981" s="14" t="s">
        <v>5467</v>
      </c>
      <c r="Y2981" s="14" t="s">
        <v>215</v>
      </c>
      <c r="Z2981" s="14">
        <v>21744</v>
      </c>
      <c r="AA2981" s="14" t="s">
        <v>5468</v>
      </c>
      <c r="AB2981" s="14">
        <v>40001</v>
      </c>
      <c r="AE2981" s="14" t="s">
        <v>1400</v>
      </c>
      <c r="AF2981" s="14" t="s">
        <v>1400</v>
      </c>
      <c r="AG2981" s="14" t="s">
        <v>98</v>
      </c>
    </row>
    <row r="2982" spans="2:33">
      <c r="B2982" s="14">
        <f>10000000+INDEX(编号表!$B:$B,MATCH(H2982,编号表!$A:$A,0))*100000+INDEX(编号表!$F:$F,MATCH(D2982,编号表!$E:$E,0))*10000+INDEX(编号表!$D:$D,MATCH(AG2982,编号表!$C:$C,0))*1000+F2982</f>
        <v>11936082</v>
      </c>
      <c r="C2982" s="14" t="s">
        <v>5466</v>
      </c>
      <c r="D2982" s="14" t="s">
        <v>276</v>
      </c>
      <c r="E2982" s="14" t="s">
        <v>98</v>
      </c>
      <c r="F2982" s="14">
        <v>82</v>
      </c>
      <c r="G2982" s="14">
        <v>60</v>
      </c>
      <c r="H2982" s="14" t="s">
        <v>1400</v>
      </c>
      <c r="I2982" s="14" t="s">
        <v>75</v>
      </c>
      <c r="J2982" s="14" t="s">
        <v>201</v>
      </c>
      <c r="K2982" s="14">
        <v>1</v>
      </c>
      <c r="L2982" s="14" t="s">
        <v>1400</v>
      </c>
      <c r="N2982" s="14">
        <v>0</v>
      </c>
      <c r="O2982" s="14" t="b">
        <v>1</v>
      </c>
      <c r="Q2982" s="14" t="b">
        <v>0</v>
      </c>
      <c r="R2982" s="14">
        <v>1</v>
      </c>
      <c r="S2982" s="14" t="s">
        <v>77</v>
      </c>
      <c r="T2982" s="14">
        <v>999</v>
      </c>
      <c r="U2982" s="14" t="s">
        <v>1401</v>
      </c>
      <c r="V2982" s="14">
        <v>31936082</v>
      </c>
      <c r="X2982" s="14" t="s">
        <v>5469</v>
      </c>
      <c r="Y2982" s="14" t="s">
        <v>215</v>
      </c>
      <c r="Z2982" s="14">
        <v>21745</v>
      </c>
      <c r="AA2982" s="14" t="s">
        <v>5470</v>
      </c>
      <c r="AB2982" s="14">
        <v>40001</v>
      </c>
      <c r="AE2982" s="14" t="s">
        <v>1400</v>
      </c>
      <c r="AF2982" s="14" t="s">
        <v>1400</v>
      </c>
      <c r="AG2982" s="14" t="s">
        <v>98</v>
      </c>
    </row>
    <row r="2983" spans="2:33">
      <c r="B2983" s="14">
        <f>10000000+INDEX(编号表!$B:$B,MATCH(H2983,编号表!$A:$A,0))*100000+INDEX(编号表!$F:$F,MATCH(D2983,编号表!$E:$E,0))*10000+INDEX(编号表!$D:$D,MATCH(AG2983,编号表!$C:$C,0))*1000+F2983</f>
        <v>11946083</v>
      </c>
      <c r="C2983" s="14" t="s">
        <v>5466</v>
      </c>
      <c r="D2983" s="14" t="s">
        <v>104</v>
      </c>
      <c r="E2983" s="14" t="s">
        <v>98</v>
      </c>
      <c r="F2983" s="14">
        <v>83</v>
      </c>
      <c r="G2983" s="14">
        <v>60</v>
      </c>
      <c r="H2983" s="14" t="s">
        <v>1400</v>
      </c>
      <c r="I2983" s="14" t="s">
        <v>75</v>
      </c>
      <c r="J2983" s="14" t="s">
        <v>201</v>
      </c>
      <c r="K2983" s="14">
        <v>1</v>
      </c>
      <c r="L2983" s="14" t="s">
        <v>1400</v>
      </c>
      <c r="N2983" s="14">
        <v>0</v>
      </c>
      <c r="O2983" s="14" t="b">
        <v>1</v>
      </c>
      <c r="Q2983" s="14" t="b">
        <v>0</v>
      </c>
      <c r="R2983" s="14">
        <v>1</v>
      </c>
      <c r="S2983" s="14" t="s">
        <v>77</v>
      </c>
      <c r="T2983" s="14">
        <v>999</v>
      </c>
      <c r="U2983" s="14" t="s">
        <v>1401</v>
      </c>
      <c r="V2983" s="14">
        <v>31946083</v>
      </c>
      <c r="X2983" s="14" t="s">
        <v>5471</v>
      </c>
      <c r="Y2983" s="14" t="s">
        <v>215</v>
      </c>
      <c r="Z2983" s="14">
        <v>21746</v>
      </c>
      <c r="AA2983" s="14" t="s">
        <v>5472</v>
      </c>
      <c r="AB2983" s="14">
        <v>40001</v>
      </c>
      <c r="AE2983" s="14" t="s">
        <v>1400</v>
      </c>
      <c r="AF2983" s="14" t="s">
        <v>1400</v>
      </c>
      <c r="AG2983" s="14" t="s">
        <v>98</v>
      </c>
    </row>
    <row r="2984" spans="2:33">
      <c r="B2984" s="14">
        <f>10000000+INDEX(编号表!$B:$B,MATCH(H2984,编号表!$A:$A,0))*100000+INDEX(编号表!$F:$F,MATCH(D2984,编号表!$E:$E,0))*10000+INDEX(编号表!$D:$D,MATCH(AG2984,编号表!$C:$C,0))*1000+F2984</f>
        <v>11926082</v>
      </c>
      <c r="C2984" s="14" t="s">
        <v>5473</v>
      </c>
      <c r="D2984" s="14" t="s">
        <v>112</v>
      </c>
      <c r="E2984" s="14" t="s">
        <v>98</v>
      </c>
      <c r="F2984" s="14">
        <v>82</v>
      </c>
      <c r="G2984" s="14">
        <v>60</v>
      </c>
      <c r="H2984" s="14" t="s">
        <v>1400</v>
      </c>
      <c r="I2984" s="14" t="s">
        <v>75</v>
      </c>
      <c r="J2984" s="14" t="s">
        <v>201</v>
      </c>
      <c r="K2984" s="14">
        <v>1</v>
      </c>
      <c r="L2984" s="14" t="s">
        <v>1400</v>
      </c>
      <c r="N2984" s="14">
        <v>0</v>
      </c>
      <c r="O2984" s="14" t="b">
        <v>1</v>
      </c>
      <c r="Q2984" s="14" t="b">
        <v>0</v>
      </c>
      <c r="R2984" s="14">
        <v>1</v>
      </c>
      <c r="S2984" s="14" t="s">
        <v>77</v>
      </c>
      <c r="T2984" s="14">
        <v>999</v>
      </c>
      <c r="U2984" s="14" t="s">
        <v>1401</v>
      </c>
      <c r="V2984" s="14">
        <v>31926082</v>
      </c>
      <c r="X2984" s="14" t="s">
        <v>5474</v>
      </c>
      <c r="Y2984" s="14" t="s">
        <v>215</v>
      </c>
      <c r="Z2984" s="14">
        <v>21747</v>
      </c>
      <c r="AA2984" s="14" t="s">
        <v>5475</v>
      </c>
      <c r="AB2984" s="14">
        <v>40001</v>
      </c>
      <c r="AE2984" s="14" t="s">
        <v>1400</v>
      </c>
      <c r="AF2984" s="14" t="s">
        <v>1400</v>
      </c>
      <c r="AG2984" s="14" t="s">
        <v>98</v>
      </c>
    </row>
    <row r="2985" spans="2:33">
      <c r="B2985" s="14">
        <f>10000000+INDEX(编号表!$B:$B,MATCH(H2985,编号表!$A:$A,0))*100000+INDEX(编号表!$F:$F,MATCH(D2985,编号表!$E:$E,0))*10000+INDEX(编号表!$D:$D,MATCH(AG2985,编号表!$C:$C,0))*1000+F2985</f>
        <v>11936083</v>
      </c>
      <c r="C2985" s="14" t="s">
        <v>5473</v>
      </c>
      <c r="D2985" s="14" t="s">
        <v>276</v>
      </c>
      <c r="E2985" s="14" t="s">
        <v>98</v>
      </c>
      <c r="F2985" s="14">
        <v>83</v>
      </c>
      <c r="G2985" s="14">
        <v>60</v>
      </c>
      <c r="H2985" s="14" t="s">
        <v>1400</v>
      </c>
      <c r="I2985" s="14" t="s">
        <v>75</v>
      </c>
      <c r="J2985" s="14" t="s">
        <v>201</v>
      </c>
      <c r="K2985" s="14">
        <v>1</v>
      </c>
      <c r="L2985" s="14" t="s">
        <v>1400</v>
      </c>
      <c r="N2985" s="14">
        <v>0</v>
      </c>
      <c r="O2985" s="14" t="b">
        <v>1</v>
      </c>
      <c r="Q2985" s="14" t="b">
        <v>0</v>
      </c>
      <c r="R2985" s="14">
        <v>1</v>
      </c>
      <c r="S2985" s="14" t="s">
        <v>77</v>
      </c>
      <c r="T2985" s="14">
        <v>999</v>
      </c>
      <c r="U2985" s="14" t="s">
        <v>1401</v>
      </c>
      <c r="V2985" s="14">
        <v>31936083</v>
      </c>
      <c r="X2985" s="14" t="s">
        <v>5476</v>
      </c>
      <c r="Y2985" s="14" t="s">
        <v>215</v>
      </c>
      <c r="Z2985" s="14">
        <v>21748</v>
      </c>
      <c r="AA2985" s="14" t="s">
        <v>5477</v>
      </c>
      <c r="AB2985" s="14">
        <v>40001</v>
      </c>
      <c r="AE2985" s="14" t="s">
        <v>1400</v>
      </c>
      <c r="AF2985" s="14" t="s">
        <v>1400</v>
      </c>
      <c r="AG2985" s="14" t="s">
        <v>98</v>
      </c>
    </row>
    <row r="2986" spans="2:33">
      <c r="B2986" s="14">
        <f>10000000+INDEX(编号表!$B:$B,MATCH(H2986,编号表!$A:$A,0))*100000+INDEX(编号表!$F:$F,MATCH(D2986,编号表!$E:$E,0))*10000+INDEX(编号表!$D:$D,MATCH(AG2986,编号表!$C:$C,0))*1000+F2986</f>
        <v>11946084</v>
      </c>
      <c r="C2986" s="14" t="s">
        <v>5473</v>
      </c>
      <c r="D2986" s="14" t="s">
        <v>104</v>
      </c>
      <c r="E2986" s="14" t="s">
        <v>98</v>
      </c>
      <c r="F2986" s="14">
        <v>84</v>
      </c>
      <c r="G2986" s="14">
        <v>60</v>
      </c>
      <c r="H2986" s="14" t="s">
        <v>1400</v>
      </c>
      <c r="I2986" s="14" t="s">
        <v>75</v>
      </c>
      <c r="J2986" s="14" t="s">
        <v>201</v>
      </c>
      <c r="K2986" s="14">
        <v>1</v>
      </c>
      <c r="L2986" s="14" t="s">
        <v>1400</v>
      </c>
      <c r="N2986" s="14">
        <v>0</v>
      </c>
      <c r="O2986" s="14" t="b">
        <v>1</v>
      </c>
      <c r="Q2986" s="14" t="b">
        <v>0</v>
      </c>
      <c r="R2986" s="14">
        <v>1</v>
      </c>
      <c r="S2986" s="14" t="s">
        <v>77</v>
      </c>
      <c r="T2986" s="14">
        <v>999</v>
      </c>
      <c r="U2986" s="14" t="s">
        <v>1401</v>
      </c>
      <c r="V2986" s="14">
        <v>31946084</v>
      </c>
      <c r="X2986" s="14" t="s">
        <v>5478</v>
      </c>
      <c r="Y2986" s="14" t="s">
        <v>215</v>
      </c>
      <c r="Z2986" s="14">
        <v>21749</v>
      </c>
      <c r="AA2986" s="14" t="s">
        <v>5479</v>
      </c>
      <c r="AB2986" s="14">
        <v>40001</v>
      </c>
      <c r="AE2986" s="14" t="s">
        <v>1400</v>
      </c>
      <c r="AF2986" s="14" t="s">
        <v>1400</v>
      </c>
      <c r="AG2986" s="14" t="s">
        <v>98</v>
      </c>
    </row>
    <row r="2987" spans="2:33">
      <c r="B2987" s="14">
        <f>10000000+INDEX(编号表!$B:$B,MATCH(H2987,编号表!$A:$A,0))*100000+INDEX(编号表!$F:$F,MATCH(D2987,编号表!$E:$E,0))*10000+INDEX(编号表!$D:$D,MATCH(AG2987,编号表!$C:$C,0))*1000+F2987</f>
        <v>11926083</v>
      </c>
      <c r="C2987" s="14" t="s">
        <v>5480</v>
      </c>
      <c r="D2987" s="14" t="s">
        <v>112</v>
      </c>
      <c r="E2987" s="14" t="s">
        <v>98</v>
      </c>
      <c r="F2987" s="14">
        <v>83</v>
      </c>
      <c r="G2987" s="14">
        <v>60</v>
      </c>
      <c r="H2987" s="14" t="s">
        <v>1400</v>
      </c>
      <c r="I2987" s="14" t="s">
        <v>75</v>
      </c>
      <c r="J2987" s="14" t="s">
        <v>201</v>
      </c>
      <c r="K2987" s="14">
        <v>1</v>
      </c>
      <c r="L2987" s="14" t="s">
        <v>1400</v>
      </c>
      <c r="N2987" s="14">
        <v>0</v>
      </c>
      <c r="O2987" s="14" t="b">
        <v>1</v>
      </c>
      <c r="Q2987" s="14" t="b">
        <v>0</v>
      </c>
      <c r="R2987" s="14">
        <v>1</v>
      </c>
      <c r="S2987" s="14" t="s">
        <v>77</v>
      </c>
      <c r="T2987" s="14">
        <v>999</v>
      </c>
      <c r="U2987" s="14" t="s">
        <v>1401</v>
      </c>
      <c r="V2987" s="14">
        <v>31926083</v>
      </c>
      <c r="X2987" s="14" t="s">
        <v>5481</v>
      </c>
      <c r="Y2987" s="14" t="s">
        <v>215</v>
      </c>
      <c r="Z2987" s="14">
        <v>21750</v>
      </c>
      <c r="AA2987" s="14" t="s">
        <v>5482</v>
      </c>
      <c r="AB2987" s="14">
        <v>40001</v>
      </c>
      <c r="AE2987" s="14" t="s">
        <v>1400</v>
      </c>
      <c r="AF2987" s="14" t="s">
        <v>1400</v>
      </c>
      <c r="AG2987" s="14" t="s">
        <v>98</v>
      </c>
    </row>
    <row r="2988" spans="2:33">
      <c r="B2988" s="14">
        <f>10000000+INDEX(编号表!$B:$B,MATCH(H2988,编号表!$A:$A,0))*100000+INDEX(编号表!$F:$F,MATCH(D2988,编号表!$E:$E,0))*10000+INDEX(编号表!$D:$D,MATCH(AG2988,编号表!$C:$C,0))*1000+F2988</f>
        <v>11936084</v>
      </c>
      <c r="C2988" s="14" t="s">
        <v>5480</v>
      </c>
      <c r="D2988" s="14" t="s">
        <v>276</v>
      </c>
      <c r="E2988" s="14" t="s">
        <v>98</v>
      </c>
      <c r="F2988" s="14">
        <v>84</v>
      </c>
      <c r="G2988" s="14">
        <v>60</v>
      </c>
      <c r="H2988" s="14" t="s">
        <v>1400</v>
      </c>
      <c r="I2988" s="14" t="s">
        <v>75</v>
      </c>
      <c r="J2988" s="14" t="s">
        <v>201</v>
      </c>
      <c r="K2988" s="14">
        <v>1</v>
      </c>
      <c r="L2988" s="14" t="s">
        <v>1400</v>
      </c>
      <c r="N2988" s="14">
        <v>0</v>
      </c>
      <c r="O2988" s="14" t="b">
        <v>1</v>
      </c>
      <c r="Q2988" s="14" t="b">
        <v>0</v>
      </c>
      <c r="R2988" s="14">
        <v>1</v>
      </c>
      <c r="S2988" s="14" t="s">
        <v>77</v>
      </c>
      <c r="T2988" s="14">
        <v>999</v>
      </c>
      <c r="U2988" s="14" t="s">
        <v>1401</v>
      </c>
      <c r="V2988" s="14">
        <v>31936084</v>
      </c>
      <c r="X2988" s="14" t="s">
        <v>5483</v>
      </c>
      <c r="Y2988" s="14" t="s">
        <v>215</v>
      </c>
      <c r="Z2988" s="14">
        <v>21751</v>
      </c>
      <c r="AA2988" s="14" t="s">
        <v>5484</v>
      </c>
      <c r="AB2988" s="14">
        <v>40001</v>
      </c>
      <c r="AE2988" s="14" t="s">
        <v>1400</v>
      </c>
      <c r="AF2988" s="14" t="s">
        <v>1400</v>
      </c>
      <c r="AG2988" s="14" t="s">
        <v>98</v>
      </c>
    </row>
    <row r="2989" spans="2:33">
      <c r="B2989" s="14">
        <f>10000000+INDEX(编号表!$B:$B,MATCH(H2989,编号表!$A:$A,0))*100000+INDEX(编号表!$F:$F,MATCH(D2989,编号表!$E:$E,0))*10000+INDEX(编号表!$D:$D,MATCH(AG2989,编号表!$C:$C,0))*1000+F2989</f>
        <v>11946085</v>
      </c>
      <c r="C2989" s="14" t="s">
        <v>5480</v>
      </c>
      <c r="D2989" s="14" t="s">
        <v>104</v>
      </c>
      <c r="E2989" s="14" t="s">
        <v>98</v>
      </c>
      <c r="F2989" s="14">
        <v>85</v>
      </c>
      <c r="G2989" s="14">
        <v>60</v>
      </c>
      <c r="H2989" s="14" t="s">
        <v>1400</v>
      </c>
      <c r="I2989" s="14" t="s">
        <v>75</v>
      </c>
      <c r="J2989" s="14" t="s">
        <v>201</v>
      </c>
      <c r="K2989" s="14">
        <v>1</v>
      </c>
      <c r="L2989" s="14" t="s">
        <v>1400</v>
      </c>
      <c r="N2989" s="14">
        <v>0</v>
      </c>
      <c r="O2989" s="14" t="b">
        <v>1</v>
      </c>
      <c r="Q2989" s="14" t="b">
        <v>0</v>
      </c>
      <c r="R2989" s="14">
        <v>1</v>
      </c>
      <c r="S2989" s="14" t="s">
        <v>77</v>
      </c>
      <c r="T2989" s="14">
        <v>999</v>
      </c>
      <c r="U2989" s="14" t="s">
        <v>1401</v>
      </c>
      <c r="V2989" s="14">
        <v>31946085</v>
      </c>
      <c r="X2989" s="14" t="s">
        <v>5485</v>
      </c>
      <c r="Y2989" s="14" t="s">
        <v>215</v>
      </c>
      <c r="Z2989" s="14">
        <v>21752</v>
      </c>
      <c r="AA2989" s="14" t="s">
        <v>5486</v>
      </c>
      <c r="AB2989" s="14">
        <v>40001</v>
      </c>
      <c r="AE2989" s="14" t="s">
        <v>1400</v>
      </c>
      <c r="AF2989" s="14" t="s">
        <v>1400</v>
      </c>
      <c r="AG2989" s="14" t="s">
        <v>98</v>
      </c>
    </row>
    <row r="2990" spans="2:33">
      <c r="B2990" s="14">
        <f>10000000+INDEX(编号表!$B:$B,MATCH(H2990,编号表!$A:$A,0))*100000+INDEX(编号表!$F:$F,MATCH(D2990,编号表!$E:$E,0))*10000+INDEX(编号表!$D:$D,MATCH(AG2990,编号表!$C:$C,0))*1000+F2990</f>
        <v>11926084</v>
      </c>
      <c r="C2990" s="14" t="s">
        <v>5487</v>
      </c>
      <c r="D2990" s="14" t="s">
        <v>112</v>
      </c>
      <c r="E2990" s="14" t="s">
        <v>98</v>
      </c>
      <c r="F2990" s="14">
        <v>84</v>
      </c>
      <c r="G2990" s="14">
        <v>60</v>
      </c>
      <c r="H2990" s="14" t="s">
        <v>1400</v>
      </c>
      <c r="I2990" s="14" t="s">
        <v>75</v>
      </c>
      <c r="J2990" s="14" t="s">
        <v>201</v>
      </c>
      <c r="K2990" s="14">
        <v>1</v>
      </c>
      <c r="L2990" s="14" t="s">
        <v>1400</v>
      </c>
      <c r="N2990" s="14">
        <v>0</v>
      </c>
      <c r="O2990" s="14" t="b">
        <v>1</v>
      </c>
      <c r="Q2990" s="14" t="b">
        <v>0</v>
      </c>
      <c r="R2990" s="14">
        <v>1</v>
      </c>
      <c r="S2990" s="14" t="s">
        <v>77</v>
      </c>
      <c r="T2990" s="14">
        <v>999</v>
      </c>
      <c r="U2990" s="14" t="s">
        <v>1401</v>
      </c>
      <c r="V2990" s="14">
        <v>31926084</v>
      </c>
      <c r="X2990" s="14" t="s">
        <v>5488</v>
      </c>
      <c r="Y2990" s="14" t="s">
        <v>215</v>
      </c>
      <c r="Z2990" s="14">
        <v>21753</v>
      </c>
      <c r="AA2990" s="14" t="s">
        <v>5489</v>
      </c>
      <c r="AB2990" s="14">
        <v>40001</v>
      </c>
      <c r="AE2990" s="14" t="s">
        <v>1400</v>
      </c>
      <c r="AF2990" s="14" t="s">
        <v>1400</v>
      </c>
      <c r="AG2990" s="14" t="s">
        <v>98</v>
      </c>
    </row>
    <row r="2991" spans="2:33">
      <c r="B2991" s="14">
        <f>10000000+INDEX(编号表!$B:$B,MATCH(H2991,编号表!$A:$A,0))*100000+INDEX(编号表!$F:$F,MATCH(D2991,编号表!$E:$E,0))*10000+INDEX(编号表!$D:$D,MATCH(AG2991,编号表!$C:$C,0))*1000+F2991</f>
        <v>11936085</v>
      </c>
      <c r="C2991" s="14" t="s">
        <v>5487</v>
      </c>
      <c r="D2991" s="14" t="s">
        <v>276</v>
      </c>
      <c r="E2991" s="14" t="s">
        <v>98</v>
      </c>
      <c r="F2991" s="14">
        <v>85</v>
      </c>
      <c r="G2991" s="14">
        <v>60</v>
      </c>
      <c r="H2991" s="14" t="s">
        <v>1400</v>
      </c>
      <c r="I2991" s="14" t="s">
        <v>75</v>
      </c>
      <c r="J2991" s="14" t="s">
        <v>201</v>
      </c>
      <c r="K2991" s="14">
        <v>1</v>
      </c>
      <c r="L2991" s="14" t="s">
        <v>1400</v>
      </c>
      <c r="N2991" s="14">
        <v>0</v>
      </c>
      <c r="O2991" s="14" t="b">
        <v>1</v>
      </c>
      <c r="Q2991" s="14" t="b">
        <v>0</v>
      </c>
      <c r="R2991" s="14">
        <v>1</v>
      </c>
      <c r="S2991" s="14" t="s">
        <v>77</v>
      </c>
      <c r="T2991" s="14">
        <v>999</v>
      </c>
      <c r="U2991" s="14" t="s">
        <v>1401</v>
      </c>
      <c r="V2991" s="14">
        <v>31936085</v>
      </c>
      <c r="X2991" s="14" t="s">
        <v>5490</v>
      </c>
      <c r="Y2991" s="14" t="s">
        <v>215</v>
      </c>
      <c r="Z2991" s="14">
        <v>21754</v>
      </c>
      <c r="AA2991" s="14" t="s">
        <v>5491</v>
      </c>
      <c r="AB2991" s="14">
        <v>40001</v>
      </c>
      <c r="AE2991" s="14" t="s">
        <v>1400</v>
      </c>
      <c r="AF2991" s="14" t="s">
        <v>1400</v>
      </c>
      <c r="AG2991" s="14" t="s">
        <v>98</v>
      </c>
    </row>
    <row r="2992" spans="2:33">
      <c r="B2992" s="14">
        <f>10000000+INDEX(编号表!$B:$B,MATCH(H2992,编号表!$A:$A,0))*100000+INDEX(编号表!$F:$F,MATCH(D2992,编号表!$E:$E,0))*10000+INDEX(编号表!$D:$D,MATCH(AG2992,编号表!$C:$C,0))*1000+F2992</f>
        <v>11946086</v>
      </c>
      <c r="C2992" s="14" t="s">
        <v>5487</v>
      </c>
      <c r="D2992" s="14" t="s">
        <v>104</v>
      </c>
      <c r="E2992" s="14" t="s">
        <v>98</v>
      </c>
      <c r="F2992" s="14">
        <v>86</v>
      </c>
      <c r="G2992" s="14">
        <v>60</v>
      </c>
      <c r="H2992" s="14" t="s">
        <v>1400</v>
      </c>
      <c r="I2992" s="14" t="s">
        <v>75</v>
      </c>
      <c r="J2992" s="14" t="s">
        <v>201</v>
      </c>
      <c r="K2992" s="14">
        <v>1</v>
      </c>
      <c r="L2992" s="14" t="s">
        <v>1400</v>
      </c>
      <c r="N2992" s="14">
        <v>0</v>
      </c>
      <c r="O2992" s="14" t="b">
        <v>1</v>
      </c>
      <c r="Q2992" s="14" t="b">
        <v>0</v>
      </c>
      <c r="R2992" s="14">
        <v>1</v>
      </c>
      <c r="S2992" s="14" t="s">
        <v>77</v>
      </c>
      <c r="T2992" s="14">
        <v>999</v>
      </c>
      <c r="U2992" s="14" t="s">
        <v>1401</v>
      </c>
      <c r="V2992" s="14">
        <v>31946086</v>
      </c>
      <c r="X2992" s="14" t="s">
        <v>5492</v>
      </c>
      <c r="Y2992" s="14" t="s">
        <v>215</v>
      </c>
      <c r="Z2992" s="14">
        <v>21755</v>
      </c>
      <c r="AA2992" s="14" t="s">
        <v>5493</v>
      </c>
      <c r="AB2992" s="14">
        <v>40001</v>
      </c>
      <c r="AE2992" s="14" t="s">
        <v>1400</v>
      </c>
      <c r="AF2992" s="14" t="s">
        <v>1400</v>
      </c>
      <c r="AG2992" s="14" t="s">
        <v>98</v>
      </c>
    </row>
    <row r="2993" spans="2:33">
      <c r="B2993" s="14">
        <f>10000000+INDEX(编号表!$B:$B,MATCH(H2993,编号表!$A:$A,0))*100000+INDEX(编号表!$F:$F,MATCH(D2993,编号表!$E:$E,0))*10000+INDEX(编号表!$D:$D,MATCH(AG2993,编号表!$C:$C,0))*1000+F2993</f>
        <v>11926085</v>
      </c>
      <c r="C2993" s="14" t="s">
        <v>5494</v>
      </c>
      <c r="D2993" s="14" t="s">
        <v>112</v>
      </c>
      <c r="E2993" s="14" t="s">
        <v>98</v>
      </c>
      <c r="F2993" s="14">
        <v>85</v>
      </c>
      <c r="G2993" s="14">
        <v>60</v>
      </c>
      <c r="H2993" s="14" t="s">
        <v>1400</v>
      </c>
      <c r="I2993" s="14" t="s">
        <v>75</v>
      </c>
      <c r="J2993" s="14" t="s">
        <v>201</v>
      </c>
      <c r="K2993" s="14">
        <v>1</v>
      </c>
      <c r="L2993" s="14" t="s">
        <v>1400</v>
      </c>
      <c r="N2993" s="14">
        <v>0</v>
      </c>
      <c r="O2993" s="14" t="b">
        <v>1</v>
      </c>
      <c r="Q2993" s="14" t="b">
        <v>0</v>
      </c>
      <c r="R2993" s="14">
        <v>1</v>
      </c>
      <c r="S2993" s="14" t="s">
        <v>77</v>
      </c>
      <c r="T2993" s="14">
        <v>999</v>
      </c>
      <c r="U2993" s="14" t="s">
        <v>1401</v>
      </c>
      <c r="V2993" s="14">
        <v>31926085</v>
      </c>
      <c r="X2993" s="14" t="s">
        <v>5495</v>
      </c>
      <c r="Y2993" s="14" t="s">
        <v>215</v>
      </c>
      <c r="Z2993" s="14">
        <v>21756</v>
      </c>
      <c r="AA2993" s="14" t="s">
        <v>5496</v>
      </c>
      <c r="AB2993" s="14">
        <v>40001</v>
      </c>
      <c r="AE2993" s="14" t="s">
        <v>1400</v>
      </c>
      <c r="AF2993" s="14" t="s">
        <v>1400</v>
      </c>
      <c r="AG2993" s="14" t="s">
        <v>98</v>
      </c>
    </row>
    <row r="2994" spans="2:33">
      <c r="B2994" s="14">
        <f>10000000+INDEX(编号表!$B:$B,MATCH(H2994,编号表!$A:$A,0))*100000+INDEX(编号表!$F:$F,MATCH(D2994,编号表!$E:$E,0))*10000+INDEX(编号表!$D:$D,MATCH(AG2994,编号表!$C:$C,0))*1000+F2994</f>
        <v>11936086</v>
      </c>
      <c r="C2994" s="14" t="s">
        <v>5494</v>
      </c>
      <c r="D2994" s="14" t="s">
        <v>276</v>
      </c>
      <c r="E2994" s="14" t="s">
        <v>98</v>
      </c>
      <c r="F2994" s="14">
        <v>86</v>
      </c>
      <c r="G2994" s="14">
        <v>60</v>
      </c>
      <c r="H2994" s="14" t="s">
        <v>1400</v>
      </c>
      <c r="I2994" s="14" t="s">
        <v>75</v>
      </c>
      <c r="J2994" s="14" t="s">
        <v>201</v>
      </c>
      <c r="K2994" s="14">
        <v>1</v>
      </c>
      <c r="L2994" s="14" t="s">
        <v>1400</v>
      </c>
      <c r="N2994" s="14">
        <v>0</v>
      </c>
      <c r="O2994" s="14" t="b">
        <v>1</v>
      </c>
      <c r="Q2994" s="14" t="b">
        <v>0</v>
      </c>
      <c r="R2994" s="14">
        <v>1</v>
      </c>
      <c r="S2994" s="14" t="s">
        <v>77</v>
      </c>
      <c r="T2994" s="14">
        <v>999</v>
      </c>
      <c r="U2994" s="14" t="s">
        <v>1401</v>
      </c>
      <c r="V2994" s="14">
        <v>31936086</v>
      </c>
      <c r="X2994" s="14" t="s">
        <v>5497</v>
      </c>
      <c r="Y2994" s="14" t="s">
        <v>215</v>
      </c>
      <c r="Z2994" s="14">
        <v>21757</v>
      </c>
      <c r="AA2994" s="14" t="s">
        <v>5498</v>
      </c>
      <c r="AB2994" s="14">
        <v>40001</v>
      </c>
      <c r="AE2994" s="14" t="s">
        <v>1400</v>
      </c>
      <c r="AF2994" s="14" t="s">
        <v>1400</v>
      </c>
      <c r="AG2994" s="14" t="s">
        <v>98</v>
      </c>
    </row>
    <row r="2995" spans="2:33">
      <c r="B2995" s="14">
        <f>10000000+INDEX(编号表!$B:$B,MATCH(H2995,编号表!$A:$A,0))*100000+INDEX(编号表!$F:$F,MATCH(D2995,编号表!$E:$E,0))*10000+INDEX(编号表!$D:$D,MATCH(AG2995,编号表!$C:$C,0))*1000+F2995</f>
        <v>11946087</v>
      </c>
      <c r="C2995" s="14" t="s">
        <v>5494</v>
      </c>
      <c r="D2995" s="14" t="s">
        <v>104</v>
      </c>
      <c r="E2995" s="14" t="s">
        <v>98</v>
      </c>
      <c r="F2995" s="14">
        <v>87</v>
      </c>
      <c r="G2995" s="14">
        <v>60</v>
      </c>
      <c r="H2995" s="14" t="s">
        <v>1400</v>
      </c>
      <c r="I2995" s="14" t="s">
        <v>75</v>
      </c>
      <c r="J2995" s="14" t="s">
        <v>201</v>
      </c>
      <c r="K2995" s="14">
        <v>1</v>
      </c>
      <c r="L2995" s="14" t="s">
        <v>1400</v>
      </c>
      <c r="N2995" s="14">
        <v>0</v>
      </c>
      <c r="O2995" s="14" t="b">
        <v>1</v>
      </c>
      <c r="Q2995" s="14" t="b">
        <v>0</v>
      </c>
      <c r="R2995" s="14">
        <v>1</v>
      </c>
      <c r="S2995" s="14" t="s">
        <v>77</v>
      </c>
      <c r="T2995" s="14">
        <v>999</v>
      </c>
      <c r="U2995" s="14" t="s">
        <v>1401</v>
      </c>
      <c r="V2995" s="14">
        <v>31946087</v>
      </c>
      <c r="X2995" s="14" t="s">
        <v>5499</v>
      </c>
      <c r="Y2995" s="14" t="s">
        <v>215</v>
      </c>
      <c r="Z2995" s="14">
        <v>21758</v>
      </c>
      <c r="AA2995" s="14" t="s">
        <v>5500</v>
      </c>
      <c r="AB2995" s="14">
        <v>40001</v>
      </c>
      <c r="AE2995" s="14" t="s">
        <v>1400</v>
      </c>
      <c r="AF2995" s="14" t="s">
        <v>1400</v>
      </c>
      <c r="AG2995" s="14" t="s">
        <v>98</v>
      </c>
    </row>
    <row r="2996" spans="2:33">
      <c r="B2996" s="14">
        <f>10000000+INDEX(编号表!$B:$B,MATCH(H2996,编号表!$A:$A,0))*100000+INDEX(编号表!$F:$F,MATCH(D2996,编号表!$E:$E,0))*10000+INDEX(编号表!$D:$D,MATCH(AG2996,编号表!$C:$C,0))*1000+F2996</f>
        <v>11926086</v>
      </c>
      <c r="C2996" s="14" t="s">
        <v>5501</v>
      </c>
      <c r="D2996" s="14" t="s">
        <v>112</v>
      </c>
      <c r="E2996" s="14" t="s">
        <v>98</v>
      </c>
      <c r="F2996" s="14">
        <v>86</v>
      </c>
      <c r="G2996" s="14">
        <v>60</v>
      </c>
      <c r="H2996" s="14" t="s">
        <v>1400</v>
      </c>
      <c r="I2996" s="14" t="s">
        <v>75</v>
      </c>
      <c r="J2996" s="14" t="s">
        <v>201</v>
      </c>
      <c r="K2996" s="14">
        <v>1</v>
      </c>
      <c r="L2996" s="14" t="s">
        <v>1400</v>
      </c>
      <c r="N2996" s="14">
        <v>0</v>
      </c>
      <c r="O2996" s="14" t="b">
        <v>1</v>
      </c>
      <c r="Q2996" s="14" t="b">
        <v>0</v>
      </c>
      <c r="R2996" s="14">
        <v>1</v>
      </c>
      <c r="S2996" s="14" t="s">
        <v>77</v>
      </c>
      <c r="T2996" s="14">
        <v>999</v>
      </c>
      <c r="U2996" s="14" t="s">
        <v>1401</v>
      </c>
      <c r="V2996" s="14">
        <v>31926086</v>
      </c>
      <c r="X2996" s="14" t="s">
        <v>5502</v>
      </c>
      <c r="Y2996" s="14" t="s">
        <v>215</v>
      </c>
      <c r="Z2996" s="14">
        <v>21759</v>
      </c>
      <c r="AA2996" s="14" t="s">
        <v>5503</v>
      </c>
      <c r="AB2996" s="14">
        <v>40001</v>
      </c>
      <c r="AE2996" s="14" t="s">
        <v>1400</v>
      </c>
      <c r="AF2996" s="14" t="s">
        <v>1400</v>
      </c>
      <c r="AG2996" s="14" t="s">
        <v>98</v>
      </c>
    </row>
    <row r="2997" spans="2:33">
      <c r="B2997" s="14">
        <f>10000000+INDEX(编号表!$B:$B,MATCH(H2997,编号表!$A:$A,0))*100000+INDEX(编号表!$F:$F,MATCH(D2997,编号表!$E:$E,0))*10000+INDEX(编号表!$D:$D,MATCH(AG2997,编号表!$C:$C,0))*1000+F2997</f>
        <v>11936087</v>
      </c>
      <c r="C2997" s="14" t="s">
        <v>5501</v>
      </c>
      <c r="D2997" s="14" t="s">
        <v>276</v>
      </c>
      <c r="E2997" s="14" t="s">
        <v>98</v>
      </c>
      <c r="F2997" s="14">
        <v>87</v>
      </c>
      <c r="G2997" s="14">
        <v>60</v>
      </c>
      <c r="H2997" s="14" t="s">
        <v>1400</v>
      </c>
      <c r="I2997" s="14" t="s">
        <v>75</v>
      </c>
      <c r="J2997" s="14" t="s">
        <v>201</v>
      </c>
      <c r="K2997" s="14">
        <v>1</v>
      </c>
      <c r="L2997" s="14" t="s">
        <v>1400</v>
      </c>
      <c r="N2997" s="14">
        <v>0</v>
      </c>
      <c r="O2997" s="14" t="b">
        <v>1</v>
      </c>
      <c r="Q2997" s="14" t="b">
        <v>0</v>
      </c>
      <c r="R2997" s="14">
        <v>1</v>
      </c>
      <c r="S2997" s="14" t="s">
        <v>77</v>
      </c>
      <c r="T2997" s="14">
        <v>999</v>
      </c>
      <c r="U2997" s="14" t="s">
        <v>1401</v>
      </c>
      <c r="V2997" s="14">
        <v>31936087</v>
      </c>
      <c r="X2997" s="14" t="s">
        <v>5504</v>
      </c>
      <c r="Y2997" s="14" t="s">
        <v>215</v>
      </c>
      <c r="Z2997" s="14">
        <v>21760</v>
      </c>
      <c r="AA2997" s="14" t="s">
        <v>5505</v>
      </c>
      <c r="AB2997" s="14">
        <v>40001</v>
      </c>
      <c r="AE2997" s="14" t="s">
        <v>1400</v>
      </c>
      <c r="AF2997" s="14" t="s">
        <v>1400</v>
      </c>
      <c r="AG2997" s="14" t="s">
        <v>98</v>
      </c>
    </row>
    <row r="2998" spans="2:33">
      <c r="B2998" s="14">
        <f>10000000+INDEX(编号表!$B:$B,MATCH(H2998,编号表!$A:$A,0))*100000+INDEX(编号表!$F:$F,MATCH(D2998,编号表!$E:$E,0))*10000+INDEX(编号表!$D:$D,MATCH(AG2998,编号表!$C:$C,0))*1000+F2998</f>
        <v>11946088</v>
      </c>
      <c r="C2998" s="14" t="s">
        <v>5501</v>
      </c>
      <c r="D2998" s="14" t="s">
        <v>104</v>
      </c>
      <c r="E2998" s="14" t="s">
        <v>98</v>
      </c>
      <c r="F2998" s="14">
        <v>88</v>
      </c>
      <c r="G2998" s="14">
        <v>60</v>
      </c>
      <c r="H2998" s="14" t="s">
        <v>1400</v>
      </c>
      <c r="I2998" s="14" t="s">
        <v>75</v>
      </c>
      <c r="J2998" s="14" t="s">
        <v>201</v>
      </c>
      <c r="K2998" s="14">
        <v>1</v>
      </c>
      <c r="L2998" s="14" t="s">
        <v>1400</v>
      </c>
      <c r="N2998" s="14">
        <v>0</v>
      </c>
      <c r="O2998" s="14" t="b">
        <v>1</v>
      </c>
      <c r="Q2998" s="14" t="b">
        <v>0</v>
      </c>
      <c r="R2998" s="14">
        <v>1</v>
      </c>
      <c r="S2998" s="14" t="s">
        <v>77</v>
      </c>
      <c r="T2998" s="14">
        <v>999</v>
      </c>
      <c r="U2998" s="14" t="s">
        <v>1401</v>
      </c>
      <c r="V2998" s="14">
        <v>31946088</v>
      </c>
      <c r="X2998" s="14" t="s">
        <v>5506</v>
      </c>
      <c r="Y2998" s="14" t="s">
        <v>215</v>
      </c>
      <c r="Z2998" s="14">
        <v>21761</v>
      </c>
      <c r="AA2998" s="14" t="s">
        <v>5507</v>
      </c>
      <c r="AB2998" s="14">
        <v>40001</v>
      </c>
      <c r="AE2998" s="14" t="s">
        <v>1400</v>
      </c>
      <c r="AF2998" s="14" t="s">
        <v>1400</v>
      </c>
      <c r="AG2998" s="14" t="s">
        <v>98</v>
      </c>
    </row>
    <row r="2999" spans="2:33">
      <c r="B2999" s="14">
        <f>10000000+INDEX(编号表!$B:$B,MATCH(H2999,编号表!$A:$A,0))*100000+INDEX(编号表!$F:$F,MATCH(D2999,编号表!$E:$E,0))*10000+INDEX(编号表!$D:$D,MATCH(AG2999,编号表!$C:$C,0))*1000+F2999</f>
        <v>11926087</v>
      </c>
      <c r="C2999" s="14" t="s">
        <v>5508</v>
      </c>
      <c r="D2999" s="14" t="s">
        <v>112</v>
      </c>
      <c r="E2999" s="14" t="s">
        <v>98</v>
      </c>
      <c r="F2999" s="14">
        <v>87</v>
      </c>
      <c r="G2999" s="14">
        <v>60</v>
      </c>
      <c r="H2999" s="14" t="s">
        <v>1400</v>
      </c>
      <c r="I2999" s="14" t="s">
        <v>75</v>
      </c>
      <c r="J2999" s="14" t="s">
        <v>201</v>
      </c>
      <c r="K2999" s="14">
        <v>1</v>
      </c>
      <c r="L2999" s="14" t="s">
        <v>1400</v>
      </c>
      <c r="N2999" s="14">
        <v>0</v>
      </c>
      <c r="O2999" s="14" t="b">
        <v>1</v>
      </c>
      <c r="Q2999" s="14" t="b">
        <v>0</v>
      </c>
      <c r="R2999" s="14">
        <v>1</v>
      </c>
      <c r="S2999" s="14" t="s">
        <v>77</v>
      </c>
      <c r="T2999" s="14">
        <v>999</v>
      </c>
      <c r="U2999" s="14" t="s">
        <v>1401</v>
      </c>
      <c r="V2999" s="14">
        <v>31926087</v>
      </c>
      <c r="X2999" s="14" t="s">
        <v>5509</v>
      </c>
      <c r="Y2999" s="14" t="s">
        <v>215</v>
      </c>
      <c r="Z2999" s="14">
        <v>21762</v>
      </c>
      <c r="AA2999" s="14" t="s">
        <v>5510</v>
      </c>
      <c r="AB2999" s="14">
        <v>40001</v>
      </c>
      <c r="AE2999" s="14" t="s">
        <v>1400</v>
      </c>
      <c r="AF2999" s="14" t="s">
        <v>1400</v>
      </c>
      <c r="AG2999" s="14" t="s">
        <v>98</v>
      </c>
    </row>
    <row r="3000" spans="2:33">
      <c r="B3000" s="14">
        <f>10000000+INDEX(编号表!$B:$B,MATCH(H3000,编号表!$A:$A,0))*100000+INDEX(编号表!$F:$F,MATCH(D3000,编号表!$E:$E,0))*10000+INDEX(编号表!$D:$D,MATCH(AG3000,编号表!$C:$C,0))*1000+F3000</f>
        <v>11936088</v>
      </c>
      <c r="C3000" s="14" t="s">
        <v>5508</v>
      </c>
      <c r="D3000" s="14" t="s">
        <v>276</v>
      </c>
      <c r="E3000" s="14" t="s">
        <v>98</v>
      </c>
      <c r="F3000" s="14">
        <v>88</v>
      </c>
      <c r="G3000" s="14">
        <v>60</v>
      </c>
      <c r="H3000" s="14" t="s">
        <v>1400</v>
      </c>
      <c r="I3000" s="14" t="s">
        <v>75</v>
      </c>
      <c r="J3000" s="14" t="s">
        <v>201</v>
      </c>
      <c r="K3000" s="14">
        <v>1</v>
      </c>
      <c r="L3000" s="14" t="s">
        <v>1400</v>
      </c>
      <c r="N3000" s="14">
        <v>0</v>
      </c>
      <c r="O3000" s="14" t="b">
        <v>1</v>
      </c>
      <c r="Q3000" s="14" t="b">
        <v>0</v>
      </c>
      <c r="R3000" s="14">
        <v>1</v>
      </c>
      <c r="S3000" s="14" t="s">
        <v>77</v>
      </c>
      <c r="T3000" s="14">
        <v>999</v>
      </c>
      <c r="U3000" s="14" t="s">
        <v>1401</v>
      </c>
      <c r="V3000" s="14">
        <v>31936088</v>
      </c>
      <c r="X3000" s="14" t="s">
        <v>5511</v>
      </c>
      <c r="Y3000" s="14" t="s">
        <v>215</v>
      </c>
      <c r="Z3000" s="14">
        <v>21763</v>
      </c>
      <c r="AA3000" s="14" t="s">
        <v>5512</v>
      </c>
      <c r="AB3000" s="14">
        <v>40001</v>
      </c>
      <c r="AE3000" s="14" t="s">
        <v>1400</v>
      </c>
      <c r="AF3000" s="14" t="s">
        <v>1400</v>
      </c>
      <c r="AG3000" s="14" t="s">
        <v>98</v>
      </c>
    </row>
    <row r="3001" spans="2:33">
      <c r="B3001" s="14">
        <f>10000000+INDEX(编号表!$B:$B,MATCH(H3001,编号表!$A:$A,0))*100000+INDEX(编号表!$F:$F,MATCH(D3001,编号表!$E:$E,0))*10000+INDEX(编号表!$D:$D,MATCH(AG3001,编号表!$C:$C,0))*1000+F3001</f>
        <v>11946089</v>
      </c>
      <c r="C3001" s="14" t="s">
        <v>5508</v>
      </c>
      <c r="D3001" s="14" t="s">
        <v>104</v>
      </c>
      <c r="E3001" s="14" t="s">
        <v>98</v>
      </c>
      <c r="F3001" s="14">
        <v>89</v>
      </c>
      <c r="G3001" s="14">
        <v>60</v>
      </c>
      <c r="H3001" s="14" t="s">
        <v>1400</v>
      </c>
      <c r="I3001" s="14" t="s">
        <v>75</v>
      </c>
      <c r="J3001" s="14" t="s">
        <v>201</v>
      </c>
      <c r="K3001" s="14">
        <v>1</v>
      </c>
      <c r="L3001" s="14" t="s">
        <v>1400</v>
      </c>
      <c r="N3001" s="14">
        <v>0</v>
      </c>
      <c r="O3001" s="14" t="b">
        <v>1</v>
      </c>
      <c r="Q3001" s="14" t="b">
        <v>0</v>
      </c>
      <c r="R3001" s="14">
        <v>1</v>
      </c>
      <c r="S3001" s="14" t="s">
        <v>77</v>
      </c>
      <c r="T3001" s="14">
        <v>999</v>
      </c>
      <c r="U3001" s="14" t="s">
        <v>1401</v>
      </c>
      <c r="V3001" s="14">
        <v>31946089</v>
      </c>
      <c r="X3001" s="14" t="s">
        <v>5513</v>
      </c>
      <c r="Y3001" s="14" t="s">
        <v>215</v>
      </c>
      <c r="Z3001" s="14">
        <v>21764</v>
      </c>
      <c r="AA3001" s="14" t="s">
        <v>5514</v>
      </c>
      <c r="AB3001" s="14">
        <v>40001</v>
      </c>
      <c r="AE3001" s="14" t="s">
        <v>1400</v>
      </c>
      <c r="AF3001" s="14" t="s">
        <v>1400</v>
      </c>
      <c r="AG3001" s="14" t="s">
        <v>98</v>
      </c>
    </row>
    <row r="3002" spans="2:33">
      <c r="B3002" s="14">
        <f>10000000+INDEX(编号表!$B:$B,MATCH(H3002,编号表!$A:$A,0))*100000+INDEX(编号表!$F:$F,MATCH(D3002,编号表!$E:$E,0))*10000+INDEX(编号表!$D:$D,MATCH(AG3002,编号表!$C:$C,0))*1000+F3002</f>
        <v>11926088</v>
      </c>
      <c r="C3002" s="14" t="s">
        <v>5515</v>
      </c>
      <c r="D3002" s="14" t="s">
        <v>112</v>
      </c>
      <c r="E3002" s="14" t="s">
        <v>98</v>
      </c>
      <c r="F3002" s="14">
        <v>88</v>
      </c>
      <c r="G3002" s="14">
        <v>60</v>
      </c>
      <c r="H3002" s="14" t="s">
        <v>1400</v>
      </c>
      <c r="I3002" s="14" t="s">
        <v>75</v>
      </c>
      <c r="J3002" s="14" t="s">
        <v>201</v>
      </c>
      <c r="K3002" s="14">
        <v>1</v>
      </c>
      <c r="L3002" s="14" t="s">
        <v>1400</v>
      </c>
      <c r="N3002" s="14">
        <v>0</v>
      </c>
      <c r="O3002" s="14" t="b">
        <v>1</v>
      </c>
      <c r="Q3002" s="14" t="b">
        <v>0</v>
      </c>
      <c r="R3002" s="14">
        <v>1</v>
      </c>
      <c r="S3002" s="14" t="s">
        <v>77</v>
      </c>
      <c r="T3002" s="14">
        <v>999</v>
      </c>
      <c r="U3002" s="14" t="s">
        <v>1401</v>
      </c>
      <c r="V3002" s="14">
        <v>31926088</v>
      </c>
      <c r="X3002" s="14" t="s">
        <v>5516</v>
      </c>
      <c r="Y3002" s="14" t="s">
        <v>215</v>
      </c>
      <c r="Z3002" s="14">
        <v>21765</v>
      </c>
      <c r="AA3002" s="14" t="s">
        <v>5517</v>
      </c>
      <c r="AB3002" s="14">
        <v>40001</v>
      </c>
      <c r="AE3002" s="14" t="s">
        <v>1400</v>
      </c>
      <c r="AF3002" s="14" t="s">
        <v>1400</v>
      </c>
      <c r="AG3002" s="14" t="s">
        <v>98</v>
      </c>
    </row>
    <row r="3003" spans="2:33">
      <c r="B3003" s="14">
        <f>10000000+INDEX(编号表!$B:$B,MATCH(H3003,编号表!$A:$A,0))*100000+INDEX(编号表!$F:$F,MATCH(D3003,编号表!$E:$E,0))*10000+INDEX(编号表!$D:$D,MATCH(AG3003,编号表!$C:$C,0))*1000+F3003</f>
        <v>11936089</v>
      </c>
      <c r="C3003" s="14" t="s">
        <v>5515</v>
      </c>
      <c r="D3003" s="14" t="s">
        <v>276</v>
      </c>
      <c r="E3003" s="14" t="s">
        <v>98</v>
      </c>
      <c r="F3003" s="14">
        <v>89</v>
      </c>
      <c r="G3003" s="14">
        <v>60</v>
      </c>
      <c r="H3003" s="14" t="s">
        <v>1400</v>
      </c>
      <c r="I3003" s="14" t="s">
        <v>75</v>
      </c>
      <c r="J3003" s="14" t="s">
        <v>201</v>
      </c>
      <c r="K3003" s="14">
        <v>1</v>
      </c>
      <c r="L3003" s="14" t="s">
        <v>1400</v>
      </c>
      <c r="N3003" s="14">
        <v>0</v>
      </c>
      <c r="O3003" s="14" t="b">
        <v>1</v>
      </c>
      <c r="Q3003" s="14" t="b">
        <v>0</v>
      </c>
      <c r="R3003" s="14">
        <v>1</v>
      </c>
      <c r="S3003" s="14" t="s">
        <v>77</v>
      </c>
      <c r="T3003" s="14">
        <v>999</v>
      </c>
      <c r="U3003" s="14" t="s">
        <v>1401</v>
      </c>
      <c r="V3003" s="14">
        <v>31936089</v>
      </c>
      <c r="X3003" s="14" t="s">
        <v>5518</v>
      </c>
      <c r="Y3003" s="14" t="s">
        <v>215</v>
      </c>
      <c r="Z3003" s="14">
        <v>21766</v>
      </c>
      <c r="AA3003" s="14" t="s">
        <v>5519</v>
      </c>
      <c r="AB3003" s="14">
        <v>40001</v>
      </c>
      <c r="AE3003" s="14" t="s">
        <v>1400</v>
      </c>
      <c r="AF3003" s="14" t="s">
        <v>1400</v>
      </c>
      <c r="AG3003" s="14" t="s">
        <v>98</v>
      </c>
    </row>
    <row r="3004" spans="2:33">
      <c r="B3004" s="14">
        <f>10000000+INDEX(编号表!$B:$B,MATCH(H3004,编号表!$A:$A,0))*100000+INDEX(编号表!$F:$F,MATCH(D3004,编号表!$E:$E,0))*10000+INDEX(编号表!$D:$D,MATCH(AG3004,编号表!$C:$C,0))*1000+F3004</f>
        <v>11946090</v>
      </c>
      <c r="C3004" s="14" t="s">
        <v>5515</v>
      </c>
      <c r="D3004" s="14" t="s">
        <v>104</v>
      </c>
      <c r="E3004" s="14" t="s">
        <v>98</v>
      </c>
      <c r="F3004" s="14">
        <v>90</v>
      </c>
      <c r="G3004" s="14">
        <v>60</v>
      </c>
      <c r="H3004" s="14" t="s">
        <v>1400</v>
      </c>
      <c r="I3004" s="14" t="s">
        <v>75</v>
      </c>
      <c r="J3004" s="14" t="s">
        <v>201</v>
      </c>
      <c r="K3004" s="14">
        <v>1</v>
      </c>
      <c r="L3004" s="14" t="s">
        <v>1400</v>
      </c>
      <c r="N3004" s="14">
        <v>0</v>
      </c>
      <c r="O3004" s="14" t="b">
        <v>1</v>
      </c>
      <c r="Q3004" s="14" t="b">
        <v>0</v>
      </c>
      <c r="R3004" s="14">
        <v>1</v>
      </c>
      <c r="S3004" s="14" t="s">
        <v>77</v>
      </c>
      <c r="T3004" s="14">
        <v>999</v>
      </c>
      <c r="U3004" s="14" t="s">
        <v>1401</v>
      </c>
      <c r="V3004" s="14">
        <v>31946090</v>
      </c>
      <c r="X3004" s="14" t="s">
        <v>5520</v>
      </c>
      <c r="Y3004" s="14" t="s">
        <v>215</v>
      </c>
      <c r="Z3004" s="14">
        <v>21767</v>
      </c>
      <c r="AA3004" s="14" t="s">
        <v>5521</v>
      </c>
      <c r="AB3004" s="14">
        <v>40001</v>
      </c>
      <c r="AE3004" s="14" t="s">
        <v>1400</v>
      </c>
      <c r="AF3004" s="14" t="s">
        <v>1400</v>
      </c>
      <c r="AG3004" s="14" t="s">
        <v>98</v>
      </c>
    </row>
    <row r="3005" spans="2:33">
      <c r="B3005" s="14">
        <f>10000000+INDEX(编号表!$B:$B,MATCH(H3005,编号表!$A:$A,0))*100000+INDEX(编号表!$F:$F,MATCH(D3005,编号表!$E:$E,0))*10000+INDEX(编号表!$D:$D,MATCH(AG3005,编号表!$C:$C,0))*1000+F3005</f>
        <v>11926089</v>
      </c>
      <c r="C3005" s="14" t="s">
        <v>5522</v>
      </c>
      <c r="D3005" s="14" t="s">
        <v>112</v>
      </c>
      <c r="E3005" s="14" t="s">
        <v>98</v>
      </c>
      <c r="F3005" s="14">
        <v>89</v>
      </c>
      <c r="G3005" s="14">
        <v>60</v>
      </c>
      <c r="H3005" s="14" t="s">
        <v>1400</v>
      </c>
      <c r="I3005" s="14" t="s">
        <v>75</v>
      </c>
      <c r="J3005" s="14" t="s">
        <v>201</v>
      </c>
      <c r="K3005" s="14">
        <v>1</v>
      </c>
      <c r="L3005" s="14" t="s">
        <v>1400</v>
      </c>
      <c r="N3005" s="14">
        <v>0</v>
      </c>
      <c r="O3005" s="14" t="b">
        <v>1</v>
      </c>
      <c r="Q3005" s="14" t="b">
        <v>0</v>
      </c>
      <c r="R3005" s="14">
        <v>1</v>
      </c>
      <c r="S3005" s="14" t="s">
        <v>77</v>
      </c>
      <c r="T3005" s="14">
        <v>999</v>
      </c>
      <c r="U3005" s="14" t="s">
        <v>1401</v>
      </c>
      <c r="V3005" s="14">
        <v>31926089</v>
      </c>
      <c r="X3005" s="14" t="s">
        <v>5523</v>
      </c>
      <c r="Y3005" s="14" t="s">
        <v>215</v>
      </c>
      <c r="Z3005" s="14">
        <v>21768</v>
      </c>
      <c r="AA3005" s="14" t="s">
        <v>5524</v>
      </c>
      <c r="AB3005" s="14">
        <v>40001</v>
      </c>
      <c r="AE3005" s="14" t="s">
        <v>1400</v>
      </c>
      <c r="AF3005" s="14" t="s">
        <v>1400</v>
      </c>
      <c r="AG3005" s="14" t="s">
        <v>98</v>
      </c>
    </row>
    <row r="3006" spans="2:33">
      <c r="B3006" s="14">
        <f>10000000+INDEX(编号表!$B:$B,MATCH(H3006,编号表!$A:$A,0))*100000+INDEX(编号表!$F:$F,MATCH(D3006,编号表!$E:$E,0))*10000+INDEX(编号表!$D:$D,MATCH(AG3006,编号表!$C:$C,0))*1000+F3006</f>
        <v>11936090</v>
      </c>
      <c r="C3006" s="14" t="s">
        <v>5522</v>
      </c>
      <c r="D3006" s="14" t="s">
        <v>276</v>
      </c>
      <c r="E3006" s="14" t="s">
        <v>98</v>
      </c>
      <c r="F3006" s="14">
        <v>90</v>
      </c>
      <c r="G3006" s="14">
        <v>60</v>
      </c>
      <c r="H3006" s="14" t="s">
        <v>1400</v>
      </c>
      <c r="I3006" s="14" t="s">
        <v>75</v>
      </c>
      <c r="J3006" s="14" t="s">
        <v>201</v>
      </c>
      <c r="K3006" s="14">
        <v>1</v>
      </c>
      <c r="L3006" s="14" t="s">
        <v>1400</v>
      </c>
      <c r="N3006" s="14">
        <v>0</v>
      </c>
      <c r="O3006" s="14" t="b">
        <v>1</v>
      </c>
      <c r="Q3006" s="14" t="b">
        <v>0</v>
      </c>
      <c r="R3006" s="14">
        <v>1</v>
      </c>
      <c r="S3006" s="14" t="s">
        <v>77</v>
      </c>
      <c r="T3006" s="14">
        <v>999</v>
      </c>
      <c r="U3006" s="14" t="s">
        <v>1401</v>
      </c>
      <c r="V3006" s="14">
        <v>31936090</v>
      </c>
      <c r="X3006" s="14" t="s">
        <v>5525</v>
      </c>
      <c r="Y3006" s="14" t="s">
        <v>215</v>
      </c>
      <c r="Z3006" s="14">
        <v>21769</v>
      </c>
      <c r="AA3006" s="14" t="s">
        <v>5526</v>
      </c>
      <c r="AB3006" s="14">
        <v>40001</v>
      </c>
      <c r="AE3006" s="14" t="s">
        <v>1400</v>
      </c>
      <c r="AF3006" s="14" t="s">
        <v>1400</v>
      </c>
      <c r="AG3006" s="14" t="s">
        <v>98</v>
      </c>
    </row>
    <row r="3007" spans="2:33">
      <c r="B3007" s="14">
        <f>10000000+INDEX(编号表!$B:$B,MATCH(H3007,编号表!$A:$A,0))*100000+INDEX(编号表!$F:$F,MATCH(D3007,编号表!$E:$E,0))*10000+INDEX(编号表!$D:$D,MATCH(AG3007,编号表!$C:$C,0))*1000+F3007</f>
        <v>11946091</v>
      </c>
      <c r="C3007" s="14" t="s">
        <v>5522</v>
      </c>
      <c r="D3007" s="14" t="s">
        <v>104</v>
      </c>
      <c r="E3007" s="14" t="s">
        <v>98</v>
      </c>
      <c r="F3007" s="14">
        <v>91</v>
      </c>
      <c r="G3007" s="14">
        <v>60</v>
      </c>
      <c r="H3007" s="14" t="s">
        <v>1400</v>
      </c>
      <c r="I3007" s="14" t="s">
        <v>75</v>
      </c>
      <c r="J3007" s="14" t="s">
        <v>201</v>
      </c>
      <c r="K3007" s="14">
        <v>1</v>
      </c>
      <c r="L3007" s="14" t="s">
        <v>1400</v>
      </c>
      <c r="N3007" s="14">
        <v>0</v>
      </c>
      <c r="O3007" s="14" t="b">
        <v>1</v>
      </c>
      <c r="Q3007" s="14" t="b">
        <v>0</v>
      </c>
      <c r="R3007" s="14">
        <v>1</v>
      </c>
      <c r="S3007" s="14" t="s">
        <v>77</v>
      </c>
      <c r="T3007" s="14">
        <v>999</v>
      </c>
      <c r="U3007" s="14" t="s">
        <v>1401</v>
      </c>
      <c r="V3007" s="14">
        <v>31946091</v>
      </c>
      <c r="X3007" s="14" t="s">
        <v>5527</v>
      </c>
      <c r="Y3007" s="14" t="s">
        <v>215</v>
      </c>
      <c r="Z3007" s="14">
        <v>21770</v>
      </c>
      <c r="AA3007" s="14" t="s">
        <v>5528</v>
      </c>
      <c r="AB3007" s="14">
        <v>40001</v>
      </c>
      <c r="AE3007" s="14" t="s">
        <v>1400</v>
      </c>
      <c r="AF3007" s="14" t="s">
        <v>1400</v>
      </c>
      <c r="AG3007" s="14" t="s">
        <v>98</v>
      </c>
    </row>
    <row r="3008" spans="2:33">
      <c r="B3008" s="14">
        <f>10000000+INDEX(编号表!$B:$B,MATCH(H3008,编号表!$A:$A,0))*100000+INDEX(编号表!$F:$F,MATCH(D3008,编号表!$E:$E,0))*10000+INDEX(编号表!$D:$D,MATCH(AG3008,编号表!$C:$C,0))*1000+F3008</f>
        <v>11926090</v>
      </c>
      <c r="C3008" s="14" t="s">
        <v>5529</v>
      </c>
      <c r="D3008" s="14" t="s">
        <v>112</v>
      </c>
      <c r="E3008" s="14" t="s">
        <v>98</v>
      </c>
      <c r="F3008" s="14">
        <v>90</v>
      </c>
      <c r="G3008" s="14">
        <v>60</v>
      </c>
      <c r="H3008" s="14" t="s">
        <v>1400</v>
      </c>
      <c r="I3008" s="14" t="s">
        <v>75</v>
      </c>
      <c r="J3008" s="14" t="s">
        <v>201</v>
      </c>
      <c r="K3008" s="14">
        <v>1</v>
      </c>
      <c r="L3008" s="14" t="s">
        <v>1400</v>
      </c>
      <c r="N3008" s="14">
        <v>0</v>
      </c>
      <c r="O3008" s="14" t="b">
        <v>1</v>
      </c>
      <c r="Q3008" s="14" t="b">
        <v>0</v>
      </c>
      <c r="R3008" s="14">
        <v>1</v>
      </c>
      <c r="S3008" s="14" t="s">
        <v>77</v>
      </c>
      <c r="T3008" s="14">
        <v>999</v>
      </c>
      <c r="U3008" s="14" t="s">
        <v>1401</v>
      </c>
      <c r="V3008" s="14">
        <v>31926090</v>
      </c>
      <c r="X3008" s="14" t="s">
        <v>5530</v>
      </c>
      <c r="Y3008" s="14" t="s">
        <v>215</v>
      </c>
      <c r="Z3008" s="14">
        <v>21771</v>
      </c>
      <c r="AA3008" s="14" t="s">
        <v>5531</v>
      </c>
      <c r="AB3008" s="14">
        <v>40001</v>
      </c>
      <c r="AE3008" s="14" t="s">
        <v>1400</v>
      </c>
      <c r="AF3008" s="14" t="s">
        <v>1400</v>
      </c>
      <c r="AG3008" s="14" t="s">
        <v>98</v>
      </c>
    </row>
    <row r="3009" spans="2:33">
      <c r="B3009" s="14">
        <f>10000000+INDEX(编号表!$B:$B,MATCH(H3009,编号表!$A:$A,0))*100000+INDEX(编号表!$F:$F,MATCH(D3009,编号表!$E:$E,0))*10000+INDEX(编号表!$D:$D,MATCH(AG3009,编号表!$C:$C,0))*1000+F3009</f>
        <v>11936091</v>
      </c>
      <c r="C3009" s="14" t="s">
        <v>5529</v>
      </c>
      <c r="D3009" s="14" t="s">
        <v>276</v>
      </c>
      <c r="E3009" s="14" t="s">
        <v>98</v>
      </c>
      <c r="F3009" s="14">
        <v>91</v>
      </c>
      <c r="G3009" s="14">
        <v>60</v>
      </c>
      <c r="H3009" s="14" t="s">
        <v>1400</v>
      </c>
      <c r="I3009" s="14" t="s">
        <v>75</v>
      </c>
      <c r="J3009" s="14" t="s">
        <v>201</v>
      </c>
      <c r="K3009" s="14">
        <v>1</v>
      </c>
      <c r="L3009" s="14" t="s">
        <v>1400</v>
      </c>
      <c r="N3009" s="14">
        <v>0</v>
      </c>
      <c r="O3009" s="14" t="b">
        <v>1</v>
      </c>
      <c r="Q3009" s="14" t="b">
        <v>0</v>
      </c>
      <c r="R3009" s="14">
        <v>1</v>
      </c>
      <c r="S3009" s="14" t="s">
        <v>77</v>
      </c>
      <c r="T3009" s="14">
        <v>999</v>
      </c>
      <c r="U3009" s="14" t="s">
        <v>1401</v>
      </c>
      <c r="V3009" s="14">
        <v>31936091</v>
      </c>
      <c r="X3009" s="14" t="s">
        <v>5532</v>
      </c>
      <c r="Y3009" s="14" t="s">
        <v>215</v>
      </c>
      <c r="Z3009" s="14">
        <v>21772</v>
      </c>
      <c r="AA3009" s="14" t="s">
        <v>5533</v>
      </c>
      <c r="AB3009" s="14">
        <v>40001</v>
      </c>
      <c r="AE3009" s="14" t="s">
        <v>1400</v>
      </c>
      <c r="AF3009" s="14" t="s">
        <v>1400</v>
      </c>
      <c r="AG3009" s="14" t="s">
        <v>98</v>
      </c>
    </row>
    <row r="3010" spans="2:33">
      <c r="B3010" s="14">
        <f>10000000+INDEX(编号表!$B:$B,MATCH(H3010,编号表!$A:$A,0))*100000+INDEX(编号表!$F:$F,MATCH(D3010,编号表!$E:$E,0))*10000+INDEX(编号表!$D:$D,MATCH(AG3010,编号表!$C:$C,0))*1000+F3010</f>
        <v>11946092</v>
      </c>
      <c r="C3010" s="14" t="s">
        <v>5529</v>
      </c>
      <c r="D3010" s="14" t="s">
        <v>104</v>
      </c>
      <c r="E3010" s="14" t="s">
        <v>98</v>
      </c>
      <c r="F3010" s="14">
        <v>92</v>
      </c>
      <c r="G3010" s="14">
        <v>60</v>
      </c>
      <c r="H3010" s="14" t="s">
        <v>1400</v>
      </c>
      <c r="I3010" s="14" t="s">
        <v>75</v>
      </c>
      <c r="J3010" s="14" t="s">
        <v>201</v>
      </c>
      <c r="K3010" s="14">
        <v>1</v>
      </c>
      <c r="L3010" s="14" t="s">
        <v>1400</v>
      </c>
      <c r="N3010" s="14">
        <v>0</v>
      </c>
      <c r="O3010" s="14" t="b">
        <v>1</v>
      </c>
      <c r="Q3010" s="14" t="b">
        <v>0</v>
      </c>
      <c r="R3010" s="14">
        <v>1</v>
      </c>
      <c r="S3010" s="14" t="s">
        <v>77</v>
      </c>
      <c r="T3010" s="14">
        <v>999</v>
      </c>
      <c r="U3010" s="14" t="s">
        <v>1401</v>
      </c>
      <c r="V3010" s="14">
        <v>31946092</v>
      </c>
      <c r="X3010" s="14" t="s">
        <v>5534</v>
      </c>
      <c r="Y3010" s="14" t="s">
        <v>215</v>
      </c>
      <c r="Z3010" s="14">
        <v>21773</v>
      </c>
      <c r="AA3010" s="14" t="s">
        <v>5535</v>
      </c>
      <c r="AB3010" s="14">
        <v>40001</v>
      </c>
      <c r="AE3010" s="14" t="s">
        <v>1400</v>
      </c>
      <c r="AF3010" s="14" t="s">
        <v>1400</v>
      </c>
      <c r="AG3010" s="14" t="s">
        <v>98</v>
      </c>
    </row>
    <row r="3011" spans="2:33">
      <c r="B3011" s="14">
        <f>10000000+INDEX(编号表!$B:$B,MATCH(H3011,编号表!$A:$A,0))*100000+INDEX(编号表!$F:$F,MATCH(D3011,编号表!$E:$E,0))*10000+INDEX(编号表!$D:$D,MATCH(AG3011,编号表!$C:$C,0))*1000+F3011</f>
        <v>11926091</v>
      </c>
      <c r="C3011" s="14" t="s">
        <v>5536</v>
      </c>
      <c r="D3011" s="14" t="s">
        <v>112</v>
      </c>
      <c r="E3011" s="14" t="s">
        <v>98</v>
      </c>
      <c r="F3011" s="14">
        <v>91</v>
      </c>
      <c r="G3011" s="14">
        <v>60</v>
      </c>
      <c r="H3011" s="14" t="s">
        <v>1400</v>
      </c>
      <c r="I3011" s="14" t="s">
        <v>75</v>
      </c>
      <c r="J3011" s="14" t="s">
        <v>201</v>
      </c>
      <c r="K3011" s="14">
        <v>1</v>
      </c>
      <c r="L3011" s="14" t="s">
        <v>1400</v>
      </c>
      <c r="N3011" s="14">
        <v>0</v>
      </c>
      <c r="O3011" s="14" t="b">
        <v>1</v>
      </c>
      <c r="Q3011" s="14" t="b">
        <v>0</v>
      </c>
      <c r="R3011" s="14">
        <v>1</v>
      </c>
      <c r="S3011" s="14" t="s">
        <v>77</v>
      </c>
      <c r="T3011" s="14">
        <v>999</v>
      </c>
      <c r="U3011" s="14" t="s">
        <v>1401</v>
      </c>
      <c r="V3011" s="14">
        <v>31926091</v>
      </c>
      <c r="X3011" s="14" t="s">
        <v>5537</v>
      </c>
      <c r="Y3011" s="14" t="s">
        <v>215</v>
      </c>
      <c r="Z3011" s="14">
        <v>21774</v>
      </c>
      <c r="AA3011" s="14" t="s">
        <v>5538</v>
      </c>
      <c r="AB3011" s="14">
        <v>40001</v>
      </c>
      <c r="AE3011" s="14" t="s">
        <v>1400</v>
      </c>
      <c r="AF3011" s="14" t="s">
        <v>1400</v>
      </c>
      <c r="AG3011" s="14" t="s">
        <v>98</v>
      </c>
    </row>
    <row r="3012" spans="2:33">
      <c r="B3012" s="14">
        <f>10000000+INDEX(编号表!$B:$B,MATCH(H3012,编号表!$A:$A,0))*100000+INDEX(编号表!$F:$F,MATCH(D3012,编号表!$E:$E,0))*10000+INDEX(编号表!$D:$D,MATCH(AG3012,编号表!$C:$C,0))*1000+F3012</f>
        <v>11936092</v>
      </c>
      <c r="C3012" s="14" t="s">
        <v>5536</v>
      </c>
      <c r="D3012" s="14" t="s">
        <v>276</v>
      </c>
      <c r="E3012" s="14" t="s">
        <v>98</v>
      </c>
      <c r="F3012" s="14">
        <v>92</v>
      </c>
      <c r="G3012" s="14">
        <v>60</v>
      </c>
      <c r="H3012" s="14" t="s">
        <v>1400</v>
      </c>
      <c r="I3012" s="14" t="s">
        <v>75</v>
      </c>
      <c r="J3012" s="14" t="s">
        <v>201</v>
      </c>
      <c r="K3012" s="14">
        <v>1</v>
      </c>
      <c r="L3012" s="14" t="s">
        <v>1400</v>
      </c>
      <c r="N3012" s="14">
        <v>0</v>
      </c>
      <c r="O3012" s="14" t="b">
        <v>1</v>
      </c>
      <c r="Q3012" s="14" t="b">
        <v>0</v>
      </c>
      <c r="R3012" s="14">
        <v>1</v>
      </c>
      <c r="S3012" s="14" t="s">
        <v>77</v>
      </c>
      <c r="T3012" s="14">
        <v>999</v>
      </c>
      <c r="U3012" s="14" t="s">
        <v>1401</v>
      </c>
      <c r="V3012" s="14">
        <v>31936092</v>
      </c>
      <c r="X3012" s="14" t="s">
        <v>5539</v>
      </c>
      <c r="Y3012" s="14" t="s">
        <v>215</v>
      </c>
      <c r="Z3012" s="14">
        <v>21775</v>
      </c>
      <c r="AA3012" s="14" t="s">
        <v>5540</v>
      </c>
      <c r="AB3012" s="14">
        <v>40001</v>
      </c>
      <c r="AE3012" s="14" t="s">
        <v>1400</v>
      </c>
      <c r="AF3012" s="14" t="s">
        <v>1400</v>
      </c>
      <c r="AG3012" s="14" t="s">
        <v>98</v>
      </c>
    </row>
    <row r="3013" spans="2:33">
      <c r="B3013" s="14">
        <f>10000000+INDEX(编号表!$B:$B,MATCH(H3013,编号表!$A:$A,0))*100000+INDEX(编号表!$F:$F,MATCH(D3013,编号表!$E:$E,0))*10000+INDEX(编号表!$D:$D,MATCH(AG3013,编号表!$C:$C,0))*1000+F3013</f>
        <v>11946093</v>
      </c>
      <c r="C3013" s="14" t="s">
        <v>5536</v>
      </c>
      <c r="D3013" s="14" t="s">
        <v>104</v>
      </c>
      <c r="E3013" s="14" t="s">
        <v>98</v>
      </c>
      <c r="F3013" s="14">
        <v>93</v>
      </c>
      <c r="G3013" s="14">
        <v>60</v>
      </c>
      <c r="H3013" s="14" t="s">
        <v>1400</v>
      </c>
      <c r="I3013" s="14" t="s">
        <v>75</v>
      </c>
      <c r="J3013" s="14" t="s">
        <v>201</v>
      </c>
      <c r="K3013" s="14">
        <v>1</v>
      </c>
      <c r="L3013" s="14" t="s">
        <v>1400</v>
      </c>
      <c r="N3013" s="14">
        <v>0</v>
      </c>
      <c r="O3013" s="14" t="b">
        <v>1</v>
      </c>
      <c r="Q3013" s="14" t="b">
        <v>0</v>
      </c>
      <c r="R3013" s="14">
        <v>1</v>
      </c>
      <c r="S3013" s="14" t="s">
        <v>77</v>
      </c>
      <c r="T3013" s="14">
        <v>999</v>
      </c>
      <c r="U3013" s="14" t="s">
        <v>1401</v>
      </c>
      <c r="V3013" s="14">
        <v>31946093</v>
      </c>
      <c r="X3013" s="14" t="s">
        <v>5541</v>
      </c>
      <c r="Y3013" s="14" t="s">
        <v>215</v>
      </c>
      <c r="Z3013" s="14">
        <v>21776</v>
      </c>
      <c r="AA3013" s="14" t="s">
        <v>5542</v>
      </c>
      <c r="AB3013" s="14">
        <v>40001</v>
      </c>
      <c r="AE3013" s="14" t="s">
        <v>1400</v>
      </c>
      <c r="AF3013" s="14" t="s">
        <v>1400</v>
      </c>
      <c r="AG3013" s="14" t="s">
        <v>98</v>
      </c>
    </row>
    <row r="3014" spans="2:33">
      <c r="B3014" s="14">
        <f>10000000+INDEX(编号表!$B:$B,MATCH(H3014,编号表!$A:$A,0))*100000+INDEX(编号表!$F:$F,MATCH(D3014,编号表!$E:$E,0))*10000+INDEX(编号表!$D:$D,MATCH(AG3014,编号表!$C:$C,0))*1000+F3014</f>
        <v>11926092</v>
      </c>
      <c r="C3014" s="14" t="s">
        <v>5543</v>
      </c>
      <c r="D3014" s="14" t="s">
        <v>112</v>
      </c>
      <c r="E3014" s="14" t="s">
        <v>98</v>
      </c>
      <c r="F3014" s="14">
        <v>92</v>
      </c>
      <c r="G3014" s="14">
        <v>60</v>
      </c>
      <c r="H3014" s="14" t="s">
        <v>1400</v>
      </c>
      <c r="I3014" s="14" t="s">
        <v>75</v>
      </c>
      <c r="J3014" s="14" t="s">
        <v>201</v>
      </c>
      <c r="K3014" s="14">
        <v>1</v>
      </c>
      <c r="L3014" s="14" t="s">
        <v>1400</v>
      </c>
      <c r="N3014" s="14">
        <v>0</v>
      </c>
      <c r="O3014" s="14" t="b">
        <v>1</v>
      </c>
      <c r="Q3014" s="14" t="b">
        <v>0</v>
      </c>
      <c r="R3014" s="14">
        <v>1</v>
      </c>
      <c r="S3014" s="14" t="s">
        <v>77</v>
      </c>
      <c r="T3014" s="14">
        <v>999</v>
      </c>
      <c r="U3014" s="14" t="s">
        <v>1401</v>
      </c>
      <c r="V3014" s="14">
        <v>31926092</v>
      </c>
      <c r="X3014" s="14" t="s">
        <v>5544</v>
      </c>
      <c r="Y3014" s="14" t="s">
        <v>215</v>
      </c>
      <c r="Z3014" s="14">
        <v>21777</v>
      </c>
      <c r="AA3014" s="14" t="s">
        <v>5545</v>
      </c>
      <c r="AB3014" s="14">
        <v>40001</v>
      </c>
      <c r="AE3014" s="14" t="s">
        <v>1400</v>
      </c>
      <c r="AF3014" s="14" t="s">
        <v>1400</v>
      </c>
      <c r="AG3014" s="14" t="s">
        <v>98</v>
      </c>
    </row>
    <row r="3015" spans="2:33">
      <c r="B3015" s="14">
        <f>10000000+INDEX(编号表!$B:$B,MATCH(H3015,编号表!$A:$A,0))*100000+INDEX(编号表!$F:$F,MATCH(D3015,编号表!$E:$E,0))*10000+INDEX(编号表!$D:$D,MATCH(AG3015,编号表!$C:$C,0))*1000+F3015</f>
        <v>11936093</v>
      </c>
      <c r="C3015" s="14" t="s">
        <v>5543</v>
      </c>
      <c r="D3015" s="14" t="s">
        <v>276</v>
      </c>
      <c r="E3015" s="14" t="s">
        <v>98</v>
      </c>
      <c r="F3015" s="14">
        <v>93</v>
      </c>
      <c r="G3015" s="14">
        <v>60</v>
      </c>
      <c r="H3015" s="14" t="s">
        <v>1400</v>
      </c>
      <c r="I3015" s="14" t="s">
        <v>75</v>
      </c>
      <c r="J3015" s="14" t="s">
        <v>201</v>
      </c>
      <c r="K3015" s="14">
        <v>1</v>
      </c>
      <c r="L3015" s="14" t="s">
        <v>1400</v>
      </c>
      <c r="N3015" s="14">
        <v>0</v>
      </c>
      <c r="O3015" s="14" t="b">
        <v>1</v>
      </c>
      <c r="Q3015" s="14" t="b">
        <v>0</v>
      </c>
      <c r="R3015" s="14">
        <v>1</v>
      </c>
      <c r="S3015" s="14" t="s">
        <v>77</v>
      </c>
      <c r="T3015" s="14">
        <v>999</v>
      </c>
      <c r="U3015" s="14" t="s">
        <v>1401</v>
      </c>
      <c r="V3015" s="14">
        <v>31936093</v>
      </c>
      <c r="X3015" s="14" t="s">
        <v>5546</v>
      </c>
      <c r="Y3015" s="14" t="s">
        <v>215</v>
      </c>
      <c r="Z3015" s="14">
        <v>21778</v>
      </c>
      <c r="AA3015" s="14" t="s">
        <v>5547</v>
      </c>
      <c r="AB3015" s="14">
        <v>40001</v>
      </c>
      <c r="AE3015" s="14" t="s">
        <v>1400</v>
      </c>
      <c r="AF3015" s="14" t="s">
        <v>1400</v>
      </c>
      <c r="AG3015" s="14" t="s">
        <v>98</v>
      </c>
    </row>
    <row r="3016" spans="2:33">
      <c r="B3016" s="14">
        <f>10000000+INDEX(编号表!$B:$B,MATCH(H3016,编号表!$A:$A,0))*100000+INDEX(编号表!$F:$F,MATCH(D3016,编号表!$E:$E,0))*10000+INDEX(编号表!$D:$D,MATCH(AG3016,编号表!$C:$C,0))*1000+F3016</f>
        <v>11946094</v>
      </c>
      <c r="C3016" s="14" t="s">
        <v>5543</v>
      </c>
      <c r="D3016" s="14" t="s">
        <v>104</v>
      </c>
      <c r="E3016" s="14" t="s">
        <v>98</v>
      </c>
      <c r="F3016" s="14">
        <v>94</v>
      </c>
      <c r="G3016" s="14">
        <v>60</v>
      </c>
      <c r="H3016" s="14" t="s">
        <v>1400</v>
      </c>
      <c r="I3016" s="14" t="s">
        <v>75</v>
      </c>
      <c r="J3016" s="14" t="s">
        <v>201</v>
      </c>
      <c r="K3016" s="14">
        <v>1</v>
      </c>
      <c r="L3016" s="14" t="s">
        <v>1400</v>
      </c>
      <c r="N3016" s="14">
        <v>0</v>
      </c>
      <c r="O3016" s="14" t="b">
        <v>1</v>
      </c>
      <c r="Q3016" s="14" t="b">
        <v>0</v>
      </c>
      <c r="R3016" s="14">
        <v>1</v>
      </c>
      <c r="S3016" s="14" t="s">
        <v>77</v>
      </c>
      <c r="T3016" s="14">
        <v>999</v>
      </c>
      <c r="U3016" s="14" t="s">
        <v>1401</v>
      </c>
      <c r="V3016" s="14">
        <v>31946094</v>
      </c>
      <c r="X3016" s="14" t="s">
        <v>5548</v>
      </c>
      <c r="Y3016" s="14" t="s">
        <v>215</v>
      </c>
      <c r="Z3016" s="14">
        <v>21779</v>
      </c>
      <c r="AA3016" s="14" t="s">
        <v>5549</v>
      </c>
      <c r="AB3016" s="14">
        <v>40001</v>
      </c>
      <c r="AE3016" s="14" t="s">
        <v>1400</v>
      </c>
      <c r="AF3016" s="14" t="s">
        <v>1400</v>
      </c>
      <c r="AG3016" s="14" t="s">
        <v>98</v>
      </c>
    </row>
    <row r="3017" spans="2:33">
      <c r="B3017" s="14">
        <f>10000000+INDEX(编号表!$B:$B,MATCH(H3017,编号表!$A:$A,0))*100000+INDEX(编号表!$F:$F,MATCH(D3017,编号表!$E:$E,0))*10000+INDEX(编号表!$D:$D,MATCH(AG3017,编号表!$C:$C,0))*1000+F3017</f>
        <v>11926093</v>
      </c>
      <c r="C3017" s="14" t="s">
        <v>5550</v>
      </c>
      <c r="D3017" s="14" t="s">
        <v>112</v>
      </c>
      <c r="E3017" s="14" t="s">
        <v>98</v>
      </c>
      <c r="F3017" s="14">
        <v>93</v>
      </c>
      <c r="G3017" s="14">
        <v>60</v>
      </c>
      <c r="H3017" s="14" t="s">
        <v>1400</v>
      </c>
      <c r="I3017" s="14" t="s">
        <v>75</v>
      </c>
      <c r="J3017" s="14" t="s">
        <v>201</v>
      </c>
      <c r="K3017" s="14">
        <v>1</v>
      </c>
      <c r="L3017" s="14" t="s">
        <v>1400</v>
      </c>
      <c r="N3017" s="14">
        <v>0</v>
      </c>
      <c r="O3017" s="14" t="b">
        <v>1</v>
      </c>
      <c r="Q3017" s="14" t="b">
        <v>0</v>
      </c>
      <c r="R3017" s="14">
        <v>1</v>
      </c>
      <c r="S3017" s="14" t="s">
        <v>77</v>
      </c>
      <c r="T3017" s="14">
        <v>999</v>
      </c>
      <c r="U3017" s="14" t="s">
        <v>1401</v>
      </c>
      <c r="V3017" s="14">
        <v>31926093</v>
      </c>
      <c r="X3017" s="14" t="s">
        <v>5551</v>
      </c>
      <c r="Y3017" s="14" t="s">
        <v>215</v>
      </c>
      <c r="Z3017" s="14">
        <v>21780</v>
      </c>
      <c r="AA3017" s="14" t="s">
        <v>5552</v>
      </c>
      <c r="AB3017" s="14">
        <v>40001</v>
      </c>
      <c r="AE3017" s="14" t="s">
        <v>1400</v>
      </c>
      <c r="AF3017" s="14" t="s">
        <v>1400</v>
      </c>
      <c r="AG3017" s="14" t="s">
        <v>98</v>
      </c>
    </row>
    <row r="3018" spans="2:33">
      <c r="B3018" s="14">
        <f>10000000+INDEX(编号表!$B:$B,MATCH(H3018,编号表!$A:$A,0))*100000+INDEX(编号表!$F:$F,MATCH(D3018,编号表!$E:$E,0))*10000+INDEX(编号表!$D:$D,MATCH(AG3018,编号表!$C:$C,0))*1000+F3018</f>
        <v>11936094</v>
      </c>
      <c r="C3018" s="14" t="s">
        <v>5550</v>
      </c>
      <c r="D3018" s="14" t="s">
        <v>276</v>
      </c>
      <c r="E3018" s="14" t="s">
        <v>98</v>
      </c>
      <c r="F3018" s="14">
        <v>94</v>
      </c>
      <c r="G3018" s="14">
        <v>60</v>
      </c>
      <c r="H3018" s="14" t="s">
        <v>1400</v>
      </c>
      <c r="I3018" s="14" t="s">
        <v>75</v>
      </c>
      <c r="J3018" s="14" t="s">
        <v>201</v>
      </c>
      <c r="K3018" s="14">
        <v>1</v>
      </c>
      <c r="L3018" s="14" t="s">
        <v>1400</v>
      </c>
      <c r="N3018" s="14">
        <v>0</v>
      </c>
      <c r="O3018" s="14" t="b">
        <v>1</v>
      </c>
      <c r="Q3018" s="14" t="b">
        <v>0</v>
      </c>
      <c r="R3018" s="14">
        <v>1</v>
      </c>
      <c r="S3018" s="14" t="s">
        <v>77</v>
      </c>
      <c r="T3018" s="14">
        <v>999</v>
      </c>
      <c r="U3018" s="14" t="s">
        <v>1401</v>
      </c>
      <c r="V3018" s="14">
        <v>31936094</v>
      </c>
      <c r="X3018" s="14" t="s">
        <v>5553</v>
      </c>
      <c r="Y3018" s="14" t="s">
        <v>215</v>
      </c>
      <c r="Z3018" s="14">
        <v>21781</v>
      </c>
      <c r="AA3018" s="14" t="s">
        <v>5554</v>
      </c>
      <c r="AB3018" s="14">
        <v>40001</v>
      </c>
      <c r="AE3018" s="14" t="s">
        <v>1400</v>
      </c>
      <c r="AF3018" s="14" t="s">
        <v>1400</v>
      </c>
      <c r="AG3018" s="14" t="s">
        <v>98</v>
      </c>
    </row>
    <row r="3019" spans="2:33">
      <c r="B3019" s="14">
        <f>10000000+INDEX(编号表!$B:$B,MATCH(H3019,编号表!$A:$A,0))*100000+INDEX(编号表!$F:$F,MATCH(D3019,编号表!$E:$E,0))*10000+INDEX(编号表!$D:$D,MATCH(AG3019,编号表!$C:$C,0))*1000+F3019</f>
        <v>11946095</v>
      </c>
      <c r="C3019" s="14" t="s">
        <v>5550</v>
      </c>
      <c r="D3019" s="14" t="s">
        <v>104</v>
      </c>
      <c r="E3019" s="14" t="s">
        <v>98</v>
      </c>
      <c r="F3019" s="14">
        <v>95</v>
      </c>
      <c r="G3019" s="14">
        <v>60</v>
      </c>
      <c r="H3019" s="14" t="s">
        <v>1400</v>
      </c>
      <c r="I3019" s="14" t="s">
        <v>75</v>
      </c>
      <c r="J3019" s="14" t="s">
        <v>201</v>
      </c>
      <c r="K3019" s="14">
        <v>1</v>
      </c>
      <c r="L3019" s="14" t="s">
        <v>1400</v>
      </c>
      <c r="N3019" s="14">
        <v>0</v>
      </c>
      <c r="O3019" s="14" t="b">
        <v>1</v>
      </c>
      <c r="Q3019" s="14" t="b">
        <v>0</v>
      </c>
      <c r="R3019" s="14">
        <v>1</v>
      </c>
      <c r="S3019" s="14" t="s">
        <v>77</v>
      </c>
      <c r="T3019" s="14">
        <v>999</v>
      </c>
      <c r="U3019" s="14" t="s">
        <v>1401</v>
      </c>
      <c r="V3019" s="14">
        <v>31946095</v>
      </c>
      <c r="X3019" s="14" t="s">
        <v>5555</v>
      </c>
      <c r="Y3019" s="14" t="s">
        <v>215</v>
      </c>
      <c r="Z3019" s="14">
        <v>21782</v>
      </c>
      <c r="AA3019" s="14" t="s">
        <v>5556</v>
      </c>
      <c r="AB3019" s="14">
        <v>40001</v>
      </c>
      <c r="AE3019" s="14" t="s">
        <v>1400</v>
      </c>
      <c r="AF3019" s="14" t="s">
        <v>1400</v>
      </c>
      <c r="AG3019" s="14" t="s">
        <v>98</v>
      </c>
    </row>
    <row r="3020" spans="2:33">
      <c r="B3020" s="14">
        <f>10000000+INDEX(编号表!$B:$B,MATCH(H3020,编号表!$A:$A,0))*100000+INDEX(编号表!$F:$F,MATCH(D3020,编号表!$E:$E,0))*10000+INDEX(编号表!$D:$D,MATCH(AG3020,编号表!$C:$C,0))*1000+F3020</f>
        <v>11926094</v>
      </c>
      <c r="C3020" s="14" t="s">
        <v>5557</v>
      </c>
      <c r="D3020" s="14" t="s">
        <v>112</v>
      </c>
      <c r="E3020" s="14" t="s">
        <v>98</v>
      </c>
      <c r="F3020" s="14">
        <v>94</v>
      </c>
      <c r="G3020" s="14">
        <v>60</v>
      </c>
      <c r="H3020" s="14" t="s">
        <v>1400</v>
      </c>
      <c r="I3020" s="14" t="s">
        <v>75</v>
      </c>
      <c r="J3020" s="14" t="s">
        <v>201</v>
      </c>
      <c r="K3020" s="14">
        <v>1</v>
      </c>
      <c r="L3020" s="14" t="s">
        <v>1400</v>
      </c>
      <c r="N3020" s="14">
        <v>0</v>
      </c>
      <c r="O3020" s="14" t="b">
        <v>1</v>
      </c>
      <c r="Q3020" s="14" t="b">
        <v>0</v>
      </c>
      <c r="R3020" s="14">
        <v>1</v>
      </c>
      <c r="S3020" s="14" t="s">
        <v>77</v>
      </c>
      <c r="T3020" s="14">
        <v>999</v>
      </c>
      <c r="U3020" s="14" t="s">
        <v>1401</v>
      </c>
      <c r="V3020" s="14">
        <v>31926094</v>
      </c>
      <c r="X3020" s="14" t="s">
        <v>5558</v>
      </c>
      <c r="Y3020" s="14" t="s">
        <v>215</v>
      </c>
      <c r="Z3020" s="14">
        <v>21783</v>
      </c>
      <c r="AA3020" s="14" t="s">
        <v>5559</v>
      </c>
      <c r="AB3020" s="14">
        <v>40001</v>
      </c>
      <c r="AE3020" s="14" t="s">
        <v>1400</v>
      </c>
      <c r="AF3020" s="14" t="s">
        <v>1400</v>
      </c>
      <c r="AG3020" s="14" t="s">
        <v>98</v>
      </c>
    </row>
    <row r="3021" spans="2:33">
      <c r="B3021" s="14">
        <f>10000000+INDEX(编号表!$B:$B,MATCH(H3021,编号表!$A:$A,0))*100000+INDEX(编号表!$F:$F,MATCH(D3021,编号表!$E:$E,0))*10000+INDEX(编号表!$D:$D,MATCH(AG3021,编号表!$C:$C,0))*1000+F3021</f>
        <v>11936095</v>
      </c>
      <c r="C3021" s="14" t="s">
        <v>5557</v>
      </c>
      <c r="D3021" s="14" t="s">
        <v>276</v>
      </c>
      <c r="E3021" s="14" t="s">
        <v>98</v>
      </c>
      <c r="F3021" s="14">
        <v>95</v>
      </c>
      <c r="G3021" s="14">
        <v>60</v>
      </c>
      <c r="H3021" s="14" t="s">
        <v>1400</v>
      </c>
      <c r="I3021" s="14" t="s">
        <v>75</v>
      </c>
      <c r="J3021" s="14" t="s">
        <v>201</v>
      </c>
      <c r="K3021" s="14">
        <v>1</v>
      </c>
      <c r="L3021" s="14" t="s">
        <v>1400</v>
      </c>
      <c r="N3021" s="14">
        <v>0</v>
      </c>
      <c r="O3021" s="14" t="b">
        <v>1</v>
      </c>
      <c r="Q3021" s="14" t="b">
        <v>0</v>
      </c>
      <c r="R3021" s="14">
        <v>1</v>
      </c>
      <c r="S3021" s="14" t="s">
        <v>77</v>
      </c>
      <c r="T3021" s="14">
        <v>999</v>
      </c>
      <c r="U3021" s="14" t="s">
        <v>1401</v>
      </c>
      <c r="V3021" s="14">
        <v>31936095</v>
      </c>
      <c r="X3021" s="14" t="s">
        <v>5560</v>
      </c>
      <c r="Y3021" s="14" t="s">
        <v>215</v>
      </c>
      <c r="Z3021" s="14">
        <v>21784</v>
      </c>
      <c r="AA3021" s="14" t="s">
        <v>5561</v>
      </c>
      <c r="AB3021" s="14">
        <v>40001</v>
      </c>
      <c r="AE3021" s="14" t="s">
        <v>1400</v>
      </c>
      <c r="AF3021" s="14" t="s">
        <v>1400</v>
      </c>
      <c r="AG3021" s="14" t="s">
        <v>98</v>
      </c>
    </row>
    <row r="3022" spans="2:33">
      <c r="B3022" s="14">
        <f>10000000+INDEX(编号表!$B:$B,MATCH(H3022,编号表!$A:$A,0))*100000+INDEX(编号表!$F:$F,MATCH(D3022,编号表!$E:$E,0))*10000+INDEX(编号表!$D:$D,MATCH(AG3022,编号表!$C:$C,0))*1000+F3022</f>
        <v>11946096</v>
      </c>
      <c r="C3022" s="14" t="s">
        <v>5557</v>
      </c>
      <c r="D3022" s="14" t="s">
        <v>104</v>
      </c>
      <c r="E3022" s="14" t="s">
        <v>98</v>
      </c>
      <c r="F3022" s="14">
        <v>96</v>
      </c>
      <c r="G3022" s="14">
        <v>60</v>
      </c>
      <c r="H3022" s="14" t="s">
        <v>1400</v>
      </c>
      <c r="I3022" s="14" t="s">
        <v>75</v>
      </c>
      <c r="J3022" s="14" t="s">
        <v>201</v>
      </c>
      <c r="K3022" s="14">
        <v>1</v>
      </c>
      <c r="L3022" s="14" t="s">
        <v>1400</v>
      </c>
      <c r="N3022" s="14">
        <v>0</v>
      </c>
      <c r="O3022" s="14" t="b">
        <v>1</v>
      </c>
      <c r="Q3022" s="14" t="b">
        <v>0</v>
      </c>
      <c r="R3022" s="14">
        <v>1</v>
      </c>
      <c r="S3022" s="14" t="s">
        <v>77</v>
      </c>
      <c r="T3022" s="14">
        <v>999</v>
      </c>
      <c r="U3022" s="14" t="s">
        <v>1401</v>
      </c>
      <c r="V3022" s="14">
        <v>31946096</v>
      </c>
      <c r="X3022" s="14" t="s">
        <v>5562</v>
      </c>
      <c r="Y3022" s="14" t="s">
        <v>215</v>
      </c>
      <c r="Z3022" s="14">
        <v>21785</v>
      </c>
      <c r="AA3022" s="14" t="s">
        <v>5563</v>
      </c>
      <c r="AB3022" s="14">
        <v>40001</v>
      </c>
      <c r="AE3022" s="14" t="s">
        <v>1400</v>
      </c>
      <c r="AF3022" s="14" t="s">
        <v>1400</v>
      </c>
      <c r="AG3022" s="14" t="s">
        <v>98</v>
      </c>
    </row>
    <row r="3023" spans="2:33">
      <c r="B3023" s="14">
        <f>10000000+INDEX(编号表!$B:$B,MATCH(H3023,编号表!$A:$A,0))*100000+INDEX(编号表!$F:$F,MATCH(D3023,编号表!$E:$E,0))*10000+INDEX(编号表!$D:$D,MATCH(AG3023,编号表!$C:$C,0))*1000+F3023</f>
        <v>11926095</v>
      </c>
      <c r="C3023" s="14" t="s">
        <v>5564</v>
      </c>
      <c r="D3023" s="14" t="s">
        <v>112</v>
      </c>
      <c r="E3023" s="14" t="s">
        <v>98</v>
      </c>
      <c r="F3023" s="14">
        <v>95</v>
      </c>
      <c r="G3023" s="14">
        <v>60</v>
      </c>
      <c r="H3023" s="14" t="s">
        <v>1400</v>
      </c>
      <c r="I3023" s="14" t="s">
        <v>75</v>
      </c>
      <c r="J3023" s="14" t="s">
        <v>201</v>
      </c>
      <c r="K3023" s="14">
        <v>1</v>
      </c>
      <c r="L3023" s="14" t="s">
        <v>1400</v>
      </c>
      <c r="N3023" s="14">
        <v>0</v>
      </c>
      <c r="O3023" s="14" t="b">
        <v>1</v>
      </c>
      <c r="Q3023" s="14" t="b">
        <v>0</v>
      </c>
      <c r="R3023" s="14">
        <v>1</v>
      </c>
      <c r="S3023" s="14" t="s">
        <v>77</v>
      </c>
      <c r="T3023" s="14">
        <v>999</v>
      </c>
      <c r="U3023" s="14" t="s">
        <v>1401</v>
      </c>
      <c r="V3023" s="14">
        <v>31926095</v>
      </c>
      <c r="X3023" s="14" t="s">
        <v>5565</v>
      </c>
      <c r="Y3023" s="14" t="s">
        <v>215</v>
      </c>
      <c r="Z3023" s="14">
        <v>21786</v>
      </c>
      <c r="AA3023" s="14" t="s">
        <v>5566</v>
      </c>
      <c r="AB3023" s="14">
        <v>40001</v>
      </c>
      <c r="AE3023" s="14" t="s">
        <v>1400</v>
      </c>
      <c r="AF3023" s="14" t="s">
        <v>1400</v>
      </c>
      <c r="AG3023" s="14" t="s">
        <v>98</v>
      </c>
    </row>
    <row r="3024" spans="2:33">
      <c r="B3024" s="14">
        <f>10000000+INDEX(编号表!$B:$B,MATCH(H3024,编号表!$A:$A,0))*100000+INDEX(编号表!$F:$F,MATCH(D3024,编号表!$E:$E,0))*10000+INDEX(编号表!$D:$D,MATCH(AG3024,编号表!$C:$C,0))*1000+F3024</f>
        <v>11936096</v>
      </c>
      <c r="C3024" s="14" t="s">
        <v>5564</v>
      </c>
      <c r="D3024" s="14" t="s">
        <v>276</v>
      </c>
      <c r="E3024" s="14" t="s">
        <v>98</v>
      </c>
      <c r="F3024" s="14">
        <v>96</v>
      </c>
      <c r="G3024" s="14">
        <v>60</v>
      </c>
      <c r="H3024" s="14" t="s">
        <v>1400</v>
      </c>
      <c r="I3024" s="14" t="s">
        <v>75</v>
      </c>
      <c r="J3024" s="14" t="s">
        <v>201</v>
      </c>
      <c r="K3024" s="14">
        <v>1</v>
      </c>
      <c r="L3024" s="14" t="s">
        <v>1400</v>
      </c>
      <c r="N3024" s="14">
        <v>0</v>
      </c>
      <c r="O3024" s="14" t="b">
        <v>1</v>
      </c>
      <c r="Q3024" s="14" t="b">
        <v>0</v>
      </c>
      <c r="R3024" s="14">
        <v>1</v>
      </c>
      <c r="S3024" s="14" t="s">
        <v>77</v>
      </c>
      <c r="T3024" s="14">
        <v>999</v>
      </c>
      <c r="U3024" s="14" t="s">
        <v>1401</v>
      </c>
      <c r="V3024" s="14">
        <v>31936096</v>
      </c>
      <c r="X3024" s="14" t="s">
        <v>5567</v>
      </c>
      <c r="Y3024" s="14" t="s">
        <v>215</v>
      </c>
      <c r="Z3024" s="14">
        <v>21787</v>
      </c>
      <c r="AA3024" s="14" t="s">
        <v>5568</v>
      </c>
      <c r="AB3024" s="14">
        <v>40001</v>
      </c>
      <c r="AE3024" s="14" t="s">
        <v>1400</v>
      </c>
      <c r="AF3024" s="14" t="s">
        <v>1400</v>
      </c>
      <c r="AG3024" s="14" t="s">
        <v>98</v>
      </c>
    </row>
    <row r="3025" spans="2:33">
      <c r="B3025" s="14">
        <f>10000000+INDEX(编号表!$B:$B,MATCH(H3025,编号表!$A:$A,0))*100000+INDEX(编号表!$F:$F,MATCH(D3025,编号表!$E:$E,0))*10000+INDEX(编号表!$D:$D,MATCH(AG3025,编号表!$C:$C,0))*1000+F3025</f>
        <v>11946097</v>
      </c>
      <c r="C3025" s="14" t="s">
        <v>5564</v>
      </c>
      <c r="D3025" s="14" t="s">
        <v>104</v>
      </c>
      <c r="E3025" s="14" t="s">
        <v>98</v>
      </c>
      <c r="F3025" s="14">
        <v>97</v>
      </c>
      <c r="G3025" s="14">
        <v>60</v>
      </c>
      <c r="H3025" s="14" t="s">
        <v>1400</v>
      </c>
      <c r="I3025" s="14" t="s">
        <v>75</v>
      </c>
      <c r="J3025" s="14" t="s">
        <v>201</v>
      </c>
      <c r="K3025" s="14">
        <v>1</v>
      </c>
      <c r="L3025" s="14" t="s">
        <v>1400</v>
      </c>
      <c r="N3025" s="14">
        <v>0</v>
      </c>
      <c r="O3025" s="14" t="b">
        <v>1</v>
      </c>
      <c r="Q3025" s="14" t="b">
        <v>0</v>
      </c>
      <c r="R3025" s="14">
        <v>1</v>
      </c>
      <c r="S3025" s="14" t="s">
        <v>77</v>
      </c>
      <c r="T3025" s="14">
        <v>999</v>
      </c>
      <c r="U3025" s="14" t="s">
        <v>1401</v>
      </c>
      <c r="V3025" s="14">
        <v>31946097</v>
      </c>
      <c r="X3025" s="14" t="s">
        <v>5569</v>
      </c>
      <c r="Y3025" s="14" t="s">
        <v>215</v>
      </c>
      <c r="Z3025" s="14">
        <v>21788</v>
      </c>
      <c r="AA3025" s="14" t="s">
        <v>5570</v>
      </c>
      <c r="AB3025" s="14">
        <v>40001</v>
      </c>
      <c r="AE3025" s="14" t="s">
        <v>1400</v>
      </c>
      <c r="AF3025" s="14" t="s">
        <v>1400</v>
      </c>
      <c r="AG3025" s="14" t="s">
        <v>98</v>
      </c>
    </row>
    <row r="3026" spans="2:33">
      <c r="B3026" s="14">
        <f>10000000+INDEX(编号表!$B:$B,MATCH(H3026,编号表!$A:$A,0))*100000+INDEX(编号表!$F:$F,MATCH(D3026,编号表!$E:$E,0))*10000+INDEX(编号表!$D:$D,MATCH(AG3026,编号表!$C:$C,0))*1000+F3026</f>
        <v>11926096</v>
      </c>
      <c r="C3026" s="14" t="s">
        <v>5571</v>
      </c>
      <c r="D3026" s="14" t="s">
        <v>112</v>
      </c>
      <c r="E3026" s="14" t="s">
        <v>98</v>
      </c>
      <c r="F3026" s="14">
        <v>96</v>
      </c>
      <c r="G3026" s="14">
        <v>60</v>
      </c>
      <c r="H3026" s="14" t="s">
        <v>1400</v>
      </c>
      <c r="I3026" s="14" t="s">
        <v>75</v>
      </c>
      <c r="J3026" s="14" t="s">
        <v>201</v>
      </c>
      <c r="K3026" s="14">
        <v>1</v>
      </c>
      <c r="L3026" s="14" t="s">
        <v>1400</v>
      </c>
      <c r="N3026" s="14">
        <v>0</v>
      </c>
      <c r="O3026" s="14" t="b">
        <v>1</v>
      </c>
      <c r="Q3026" s="14" t="b">
        <v>0</v>
      </c>
      <c r="R3026" s="14">
        <v>1</v>
      </c>
      <c r="S3026" s="14" t="s">
        <v>77</v>
      </c>
      <c r="T3026" s="14">
        <v>999</v>
      </c>
      <c r="U3026" s="14" t="s">
        <v>1401</v>
      </c>
      <c r="V3026" s="14">
        <v>31926096</v>
      </c>
      <c r="X3026" s="14" t="s">
        <v>5572</v>
      </c>
      <c r="Y3026" s="14" t="s">
        <v>215</v>
      </c>
      <c r="Z3026" s="14">
        <v>21789</v>
      </c>
      <c r="AA3026" s="14" t="s">
        <v>5573</v>
      </c>
      <c r="AB3026" s="14">
        <v>40001</v>
      </c>
      <c r="AE3026" s="14" t="s">
        <v>1400</v>
      </c>
      <c r="AF3026" s="14" t="s">
        <v>1400</v>
      </c>
      <c r="AG3026" s="14" t="s">
        <v>98</v>
      </c>
    </row>
    <row r="3027" spans="2:33">
      <c r="B3027" s="14">
        <f>10000000+INDEX(编号表!$B:$B,MATCH(H3027,编号表!$A:$A,0))*100000+INDEX(编号表!$F:$F,MATCH(D3027,编号表!$E:$E,0))*10000+INDEX(编号表!$D:$D,MATCH(AG3027,编号表!$C:$C,0))*1000+F3027</f>
        <v>11936097</v>
      </c>
      <c r="C3027" s="14" t="s">
        <v>5571</v>
      </c>
      <c r="D3027" s="14" t="s">
        <v>276</v>
      </c>
      <c r="E3027" s="14" t="s">
        <v>98</v>
      </c>
      <c r="F3027" s="14">
        <v>97</v>
      </c>
      <c r="G3027" s="14">
        <v>60</v>
      </c>
      <c r="H3027" s="14" t="s">
        <v>1400</v>
      </c>
      <c r="I3027" s="14" t="s">
        <v>75</v>
      </c>
      <c r="J3027" s="14" t="s">
        <v>201</v>
      </c>
      <c r="K3027" s="14">
        <v>1</v>
      </c>
      <c r="L3027" s="14" t="s">
        <v>1400</v>
      </c>
      <c r="N3027" s="14">
        <v>0</v>
      </c>
      <c r="O3027" s="14" t="b">
        <v>1</v>
      </c>
      <c r="Q3027" s="14" t="b">
        <v>0</v>
      </c>
      <c r="R3027" s="14">
        <v>1</v>
      </c>
      <c r="S3027" s="14" t="s">
        <v>77</v>
      </c>
      <c r="T3027" s="14">
        <v>999</v>
      </c>
      <c r="U3027" s="14" t="s">
        <v>1401</v>
      </c>
      <c r="V3027" s="14">
        <v>31936097</v>
      </c>
      <c r="X3027" s="14" t="s">
        <v>5574</v>
      </c>
      <c r="Y3027" s="14" t="s">
        <v>215</v>
      </c>
      <c r="Z3027" s="14">
        <v>21790</v>
      </c>
      <c r="AA3027" s="14" t="s">
        <v>5575</v>
      </c>
      <c r="AB3027" s="14">
        <v>40001</v>
      </c>
      <c r="AE3027" s="14" t="s">
        <v>1400</v>
      </c>
      <c r="AF3027" s="14" t="s">
        <v>1400</v>
      </c>
      <c r="AG3027" s="14" t="s">
        <v>98</v>
      </c>
    </row>
    <row r="3028" spans="2:33">
      <c r="B3028" s="14">
        <f>10000000+INDEX(编号表!$B:$B,MATCH(H3028,编号表!$A:$A,0))*100000+INDEX(编号表!$F:$F,MATCH(D3028,编号表!$E:$E,0))*10000+INDEX(编号表!$D:$D,MATCH(AG3028,编号表!$C:$C,0))*1000+F3028</f>
        <v>11946098</v>
      </c>
      <c r="C3028" s="14" t="s">
        <v>5571</v>
      </c>
      <c r="D3028" s="14" t="s">
        <v>104</v>
      </c>
      <c r="E3028" s="14" t="s">
        <v>98</v>
      </c>
      <c r="F3028" s="14">
        <v>98</v>
      </c>
      <c r="G3028" s="14">
        <v>60</v>
      </c>
      <c r="H3028" s="14" t="s">
        <v>1400</v>
      </c>
      <c r="I3028" s="14" t="s">
        <v>75</v>
      </c>
      <c r="J3028" s="14" t="s">
        <v>201</v>
      </c>
      <c r="K3028" s="14">
        <v>1</v>
      </c>
      <c r="L3028" s="14" t="s">
        <v>1400</v>
      </c>
      <c r="N3028" s="14">
        <v>0</v>
      </c>
      <c r="O3028" s="14" t="b">
        <v>1</v>
      </c>
      <c r="Q3028" s="14" t="b">
        <v>0</v>
      </c>
      <c r="R3028" s="14">
        <v>1</v>
      </c>
      <c r="S3028" s="14" t="s">
        <v>77</v>
      </c>
      <c r="T3028" s="14">
        <v>999</v>
      </c>
      <c r="U3028" s="14" t="s">
        <v>1401</v>
      </c>
      <c r="V3028" s="14">
        <v>31946098</v>
      </c>
      <c r="X3028" s="14" t="s">
        <v>5576</v>
      </c>
      <c r="Y3028" s="14" t="s">
        <v>215</v>
      </c>
      <c r="Z3028" s="14">
        <v>21791</v>
      </c>
      <c r="AA3028" s="14" t="s">
        <v>5577</v>
      </c>
      <c r="AB3028" s="14">
        <v>40001</v>
      </c>
      <c r="AE3028" s="14" t="s">
        <v>1400</v>
      </c>
      <c r="AF3028" s="14" t="s">
        <v>1400</v>
      </c>
      <c r="AG3028" s="14" t="s">
        <v>98</v>
      </c>
    </row>
    <row r="3029" spans="2:33">
      <c r="B3029" s="14">
        <f>10000000+INDEX(编号表!$B:$B,MATCH(H3029,编号表!$A:$A,0))*100000+INDEX(编号表!$F:$F,MATCH(D3029,编号表!$E:$E,0))*10000+INDEX(编号表!$D:$D,MATCH(AG3029,编号表!$C:$C,0))*1000+F3029</f>
        <v>11926097</v>
      </c>
      <c r="C3029" s="14" t="s">
        <v>5578</v>
      </c>
      <c r="D3029" s="14" t="s">
        <v>112</v>
      </c>
      <c r="E3029" s="14" t="s">
        <v>98</v>
      </c>
      <c r="F3029" s="14">
        <v>97</v>
      </c>
      <c r="G3029" s="14">
        <v>60</v>
      </c>
      <c r="H3029" s="14" t="s">
        <v>1400</v>
      </c>
      <c r="I3029" s="14" t="s">
        <v>75</v>
      </c>
      <c r="J3029" s="14" t="s">
        <v>201</v>
      </c>
      <c r="K3029" s="14">
        <v>1</v>
      </c>
      <c r="L3029" s="14" t="s">
        <v>1400</v>
      </c>
      <c r="N3029" s="14">
        <v>0</v>
      </c>
      <c r="O3029" s="14" t="b">
        <v>1</v>
      </c>
      <c r="Q3029" s="14" t="b">
        <v>0</v>
      </c>
      <c r="R3029" s="14">
        <v>1</v>
      </c>
      <c r="S3029" s="14" t="s">
        <v>77</v>
      </c>
      <c r="T3029" s="14">
        <v>999</v>
      </c>
      <c r="U3029" s="14" t="s">
        <v>1401</v>
      </c>
      <c r="V3029" s="14">
        <v>31926097</v>
      </c>
      <c r="X3029" s="14" t="s">
        <v>5579</v>
      </c>
      <c r="Y3029" s="14" t="s">
        <v>215</v>
      </c>
      <c r="Z3029" s="14">
        <v>21792</v>
      </c>
      <c r="AA3029" s="14" t="s">
        <v>5580</v>
      </c>
      <c r="AB3029" s="14">
        <v>40001</v>
      </c>
      <c r="AE3029" s="14" t="s">
        <v>1400</v>
      </c>
      <c r="AF3029" s="14" t="s">
        <v>1400</v>
      </c>
      <c r="AG3029" s="14" t="s">
        <v>98</v>
      </c>
    </row>
    <row r="3030" spans="2:33">
      <c r="B3030" s="14">
        <f>10000000+INDEX(编号表!$B:$B,MATCH(H3030,编号表!$A:$A,0))*100000+INDEX(编号表!$F:$F,MATCH(D3030,编号表!$E:$E,0))*10000+INDEX(编号表!$D:$D,MATCH(AG3030,编号表!$C:$C,0))*1000+F3030</f>
        <v>11936098</v>
      </c>
      <c r="C3030" s="14" t="s">
        <v>5578</v>
      </c>
      <c r="D3030" s="14" t="s">
        <v>276</v>
      </c>
      <c r="E3030" s="14" t="s">
        <v>98</v>
      </c>
      <c r="F3030" s="14">
        <v>98</v>
      </c>
      <c r="G3030" s="14">
        <v>60</v>
      </c>
      <c r="H3030" s="14" t="s">
        <v>1400</v>
      </c>
      <c r="I3030" s="14" t="s">
        <v>75</v>
      </c>
      <c r="J3030" s="14" t="s">
        <v>201</v>
      </c>
      <c r="K3030" s="14">
        <v>1</v>
      </c>
      <c r="L3030" s="14" t="s">
        <v>1400</v>
      </c>
      <c r="N3030" s="14">
        <v>0</v>
      </c>
      <c r="O3030" s="14" t="b">
        <v>1</v>
      </c>
      <c r="Q3030" s="14" t="b">
        <v>0</v>
      </c>
      <c r="R3030" s="14">
        <v>1</v>
      </c>
      <c r="S3030" s="14" t="s">
        <v>77</v>
      </c>
      <c r="T3030" s="14">
        <v>999</v>
      </c>
      <c r="U3030" s="14" t="s">
        <v>1401</v>
      </c>
      <c r="V3030" s="14">
        <v>31936098</v>
      </c>
      <c r="X3030" s="14" t="s">
        <v>5581</v>
      </c>
      <c r="Y3030" s="14" t="s">
        <v>215</v>
      </c>
      <c r="Z3030" s="14">
        <v>21793</v>
      </c>
      <c r="AA3030" s="14" t="s">
        <v>5582</v>
      </c>
      <c r="AB3030" s="14">
        <v>40001</v>
      </c>
      <c r="AE3030" s="14" t="s">
        <v>1400</v>
      </c>
      <c r="AF3030" s="14" t="s">
        <v>1400</v>
      </c>
      <c r="AG3030" s="14" t="s">
        <v>98</v>
      </c>
    </row>
    <row r="3031" spans="2:33">
      <c r="B3031" s="14">
        <f>10000000+INDEX(编号表!$B:$B,MATCH(H3031,编号表!$A:$A,0))*100000+INDEX(编号表!$F:$F,MATCH(D3031,编号表!$E:$E,0))*10000+INDEX(编号表!$D:$D,MATCH(AG3031,编号表!$C:$C,0))*1000+F3031</f>
        <v>11946099</v>
      </c>
      <c r="C3031" s="14" t="s">
        <v>5578</v>
      </c>
      <c r="D3031" s="14" t="s">
        <v>104</v>
      </c>
      <c r="E3031" s="14" t="s">
        <v>98</v>
      </c>
      <c r="F3031" s="14">
        <v>99</v>
      </c>
      <c r="G3031" s="14">
        <v>60</v>
      </c>
      <c r="H3031" s="14" t="s">
        <v>1400</v>
      </c>
      <c r="I3031" s="14" t="s">
        <v>75</v>
      </c>
      <c r="J3031" s="14" t="s">
        <v>201</v>
      </c>
      <c r="K3031" s="14">
        <v>1</v>
      </c>
      <c r="L3031" s="14" t="s">
        <v>1400</v>
      </c>
      <c r="N3031" s="14">
        <v>0</v>
      </c>
      <c r="O3031" s="14" t="b">
        <v>1</v>
      </c>
      <c r="Q3031" s="14" t="b">
        <v>0</v>
      </c>
      <c r="R3031" s="14">
        <v>1</v>
      </c>
      <c r="S3031" s="14" t="s">
        <v>77</v>
      </c>
      <c r="T3031" s="14">
        <v>999</v>
      </c>
      <c r="U3031" s="14" t="s">
        <v>1401</v>
      </c>
      <c r="V3031" s="14">
        <v>31946099</v>
      </c>
      <c r="X3031" s="14" t="s">
        <v>5583</v>
      </c>
      <c r="Y3031" s="14" t="s">
        <v>215</v>
      </c>
      <c r="Z3031" s="14">
        <v>21794</v>
      </c>
      <c r="AA3031" s="14" t="s">
        <v>5584</v>
      </c>
      <c r="AB3031" s="14">
        <v>40001</v>
      </c>
      <c r="AE3031" s="14" t="s">
        <v>1400</v>
      </c>
      <c r="AF3031" s="14" t="s">
        <v>1400</v>
      </c>
      <c r="AG3031" s="14" t="s">
        <v>98</v>
      </c>
    </row>
    <row r="3032" spans="2:33">
      <c r="B3032" s="14">
        <f>10000000+INDEX(编号表!$B:$B,MATCH(H3032,编号表!$A:$A,0))*100000+INDEX(编号表!$F:$F,MATCH(D3032,编号表!$E:$E,0))*10000+INDEX(编号表!$D:$D,MATCH(AG3032,编号表!$C:$C,0))*1000+F3032</f>
        <v>11926098</v>
      </c>
      <c r="C3032" s="14" t="s">
        <v>5585</v>
      </c>
      <c r="D3032" s="14" t="s">
        <v>112</v>
      </c>
      <c r="E3032" s="14" t="s">
        <v>98</v>
      </c>
      <c r="F3032" s="14">
        <v>98</v>
      </c>
      <c r="G3032" s="14">
        <v>60</v>
      </c>
      <c r="H3032" s="14" t="s">
        <v>1400</v>
      </c>
      <c r="I3032" s="14" t="s">
        <v>75</v>
      </c>
      <c r="J3032" s="14" t="s">
        <v>201</v>
      </c>
      <c r="K3032" s="14">
        <v>1</v>
      </c>
      <c r="L3032" s="14" t="s">
        <v>1400</v>
      </c>
      <c r="N3032" s="14">
        <v>0</v>
      </c>
      <c r="O3032" s="14" t="b">
        <v>1</v>
      </c>
      <c r="Q3032" s="14" t="b">
        <v>0</v>
      </c>
      <c r="R3032" s="14">
        <v>1</v>
      </c>
      <c r="S3032" s="14" t="s">
        <v>77</v>
      </c>
      <c r="T3032" s="14">
        <v>999</v>
      </c>
      <c r="U3032" s="14" t="s">
        <v>1401</v>
      </c>
      <c r="V3032" s="14">
        <v>31926098</v>
      </c>
      <c r="X3032" s="14" t="s">
        <v>5586</v>
      </c>
      <c r="Y3032" s="14" t="s">
        <v>215</v>
      </c>
      <c r="Z3032" s="14">
        <v>21795</v>
      </c>
      <c r="AA3032" s="14" t="s">
        <v>5587</v>
      </c>
      <c r="AB3032" s="14">
        <v>40001</v>
      </c>
      <c r="AE3032" s="14" t="s">
        <v>1400</v>
      </c>
      <c r="AF3032" s="14" t="s">
        <v>1400</v>
      </c>
      <c r="AG3032" s="14" t="s">
        <v>98</v>
      </c>
    </row>
    <row r="3033" spans="2:33">
      <c r="B3033" s="14">
        <f>10000000+INDEX(编号表!$B:$B,MATCH(H3033,编号表!$A:$A,0))*100000+INDEX(编号表!$F:$F,MATCH(D3033,编号表!$E:$E,0))*10000+INDEX(编号表!$D:$D,MATCH(AG3033,编号表!$C:$C,0))*1000+F3033</f>
        <v>11936099</v>
      </c>
      <c r="C3033" s="14" t="s">
        <v>5585</v>
      </c>
      <c r="D3033" s="14" t="s">
        <v>276</v>
      </c>
      <c r="E3033" s="14" t="s">
        <v>98</v>
      </c>
      <c r="F3033" s="14">
        <v>99</v>
      </c>
      <c r="G3033" s="14">
        <v>60</v>
      </c>
      <c r="H3033" s="14" t="s">
        <v>1400</v>
      </c>
      <c r="I3033" s="14" t="s">
        <v>75</v>
      </c>
      <c r="J3033" s="14" t="s">
        <v>201</v>
      </c>
      <c r="K3033" s="14">
        <v>1</v>
      </c>
      <c r="L3033" s="14" t="s">
        <v>1400</v>
      </c>
      <c r="N3033" s="14">
        <v>0</v>
      </c>
      <c r="O3033" s="14" t="b">
        <v>1</v>
      </c>
      <c r="Q3033" s="14" t="b">
        <v>0</v>
      </c>
      <c r="R3033" s="14">
        <v>1</v>
      </c>
      <c r="S3033" s="14" t="s">
        <v>77</v>
      </c>
      <c r="T3033" s="14">
        <v>999</v>
      </c>
      <c r="U3033" s="14" t="s">
        <v>1401</v>
      </c>
      <c r="V3033" s="14">
        <v>31936099</v>
      </c>
      <c r="X3033" s="14" t="s">
        <v>5588</v>
      </c>
      <c r="Y3033" s="14" t="s">
        <v>215</v>
      </c>
      <c r="Z3033" s="14">
        <v>21796</v>
      </c>
      <c r="AA3033" s="14" t="s">
        <v>5589</v>
      </c>
      <c r="AB3033" s="14">
        <v>40001</v>
      </c>
      <c r="AE3033" s="14" t="s">
        <v>1400</v>
      </c>
      <c r="AF3033" s="14" t="s">
        <v>1400</v>
      </c>
      <c r="AG3033" s="14" t="s">
        <v>98</v>
      </c>
    </row>
    <row r="3034" spans="2:33">
      <c r="B3034" s="14">
        <f>10000000+INDEX(编号表!$B:$B,MATCH(H3034,编号表!$A:$A,0))*100000+INDEX(编号表!$F:$F,MATCH(D3034,编号表!$E:$E,0))*10000+INDEX(编号表!$D:$D,MATCH(AG3034,编号表!$C:$C,0))*1000+F3034</f>
        <v>11946100</v>
      </c>
      <c r="C3034" s="14" t="s">
        <v>5585</v>
      </c>
      <c r="D3034" s="14" t="s">
        <v>104</v>
      </c>
      <c r="E3034" s="14" t="s">
        <v>98</v>
      </c>
      <c r="F3034" s="14">
        <v>100</v>
      </c>
      <c r="G3034" s="14">
        <v>60</v>
      </c>
      <c r="H3034" s="14" t="s">
        <v>1400</v>
      </c>
      <c r="I3034" s="14" t="s">
        <v>75</v>
      </c>
      <c r="J3034" s="14" t="s">
        <v>201</v>
      </c>
      <c r="K3034" s="14">
        <v>1</v>
      </c>
      <c r="L3034" s="14" t="s">
        <v>1400</v>
      </c>
      <c r="N3034" s="14">
        <v>0</v>
      </c>
      <c r="O3034" s="14" t="b">
        <v>1</v>
      </c>
      <c r="Q3034" s="14" t="b">
        <v>0</v>
      </c>
      <c r="R3034" s="14">
        <v>1</v>
      </c>
      <c r="S3034" s="14" t="s">
        <v>77</v>
      </c>
      <c r="T3034" s="14">
        <v>999</v>
      </c>
      <c r="U3034" s="14" t="s">
        <v>1401</v>
      </c>
      <c r="V3034" s="14">
        <v>31946100</v>
      </c>
      <c r="X3034" s="14" t="s">
        <v>5590</v>
      </c>
      <c r="Y3034" s="14" t="s">
        <v>215</v>
      </c>
      <c r="Z3034" s="14">
        <v>21797</v>
      </c>
      <c r="AA3034" s="14" t="s">
        <v>5591</v>
      </c>
      <c r="AB3034" s="14">
        <v>40001</v>
      </c>
      <c r="AE3034" s="14" t="s">
        <v>1400</v>
      </c>
      <c r="AF3034" s="14" t="s">
        <v>1400</v>
      </c>
      <c r="AG3034" s="14" t="s">
        <v>98</v>
      </c>
    </row>
    <row r="3035" spans="2:33">
      <c r="B3035" s="14">
        <f>10000000+INDEX(编号表!$B:$B,MATCH(H3035,编号表!$A:$A,0))*100000+INDEX(编号表!$F:$F,MATCH(D3035,编号表!$E:$E,0))*10000+INDEX(编号表!$D:$D,MATCH(AG3035,编号表!$C:$C,0))*1000+F3035</f>
        <v>11926099</v>
      </c>
      <c r="C3035" s="14" t="s">
        <v>5592</v>
      </c>
      <c r="D3035" s="14" t="s">
        <v>112</v>
      </c>
      <c r="E3035" s="14" t="s">
        <v>98</v>
      </c>
      <c r="F3035" s="14">
        <v>99</v>
      </c>
      <c r="G3035" s="14">
        <v>60</v>
      </c>
      <c r="H3035" s="14" t="s">
        <v>1400</v>
      </c>
      <c r="I3035" s="14" t="s">
        <v>75</v>
      </c>
      <c r="J3035" s="14" t="s">
        <v>201</v>
      </c>
      <c r="K3035" s="14">
        <v>1</v>
      </c>
      <c r="L3035" s="14" t="s">
        <v>1400</v>
      </c>
      <c r="N3035" s="14">
        <v>0</v>
      </c>
      <c r="O3035" s="14" t="b">
        <v>1</v>
      </c>
      <c r="Q3035" s="14" t="b">
        <v>0</v>
      </c>
      <c r="R3035" s="14">
        <v>1</v>
      </c>
      <c r="S3035" s="14" t="s">
        <v>77</v>
      </c>
      <c r="T3035" s="14">
        <v>999</v>
      </c>
      <c r="U3035" s="14" t="s">
        <v>1401</v>
      </c>
      <c r="V3035" s="14">
        <v>31926099</v>
      </c>
      <c r="X3035" s="14" t="s">
        <v>5593</v>
      </c>
      <c r="Y3035" s="14" t="s">
        <v>215</v>
      </c>
      <c r="Z3035" s="14">
        <v>21798</v>
      </c>
      <c r="AA3035" s="14" t="s">
        <v>5594</v>
      </c>
      <c r="AB3035" s="14">
        <v>40001</v>
      </c>
      <c r="AE3035" s="14" t="s">
        <v>1400</v>
      </c>
      <c r="AF3035" s="14" t="s">
        <v>1400</v>
      </c>
      <c r="AG3035" s="14" t="s">
        <v>98</v>
      </c>
    </row>
    <row r="3036" spans="2:33">
      <c r="B3036" s="14">
        <f>10000000+INDEX(编号表!$B:$B,MATCH(H3036,编号表!$A:$A,0))*100000+INDEX(编号表!$F:$F,MATCH(D3036,编号表!$E:$E,0))*10000+INDEX(编号表!$D:$D,MATCH(AG3036,编号表!$C:$C,0))*1000+F3036</f>
        <v>11936100</v>
      </c>
      <c r="C3036" s="14" t="s">
        <v>5592</v>
      </c>
      <c r="D3036" s="14" t="s">
        <v>276</v>
      </c>
      <c r="E3036" s="14" t="s">
        <v>98</v>
      </c>
      <c r="F3036" s="14">
        <v>100</v>
      </c>
      <c r="G3036" s="14">
        <v>60</v>
      </c>
      <c r="H3036" s="14" t="s">
        <v>1400</v>
      </c>
      <c r="I3036" s="14" t="s">
        <v>75</v>
      </c>
      <c r="J3036" s="14" t="s">
        <v>201</v>
      </c>
      <c r="K3036" s="14">
        <v>1</v>
      </c>
      <c r="L3036" s="14" t="s">
        <v>1400</v>
      </c>
      <c r="N3036" s="14">
        <v>0</v>
      </c>
      <c r="O3036" s="14" t="b">
        <v>1</v>
      </c>
      <c r="Q3036" s="14" t="b">
        <v>0</v>
      </c>
      <c r="R3036" s="14">
        <v>1</v>
      </c>
      <c r="S3036" s="14" t="s">
        <v>77</v>
      </c>
      <c r="T3036" s="14">
        <v>999</v>
      </c>
      <c r="U3036" s="14" t="s">
        <v>1401</v>
      </c>
      <c r="V3036" s="14">
        <v>31936100</v>
      </c>
      <c r="X3036" s="14" t="s">
        <v>5595</v>
      </c>
      <c r="Y3036" s="14" t="s">
        <v>215</v>
      </c>
      <c r="Z3036" s="14">
        <v>21799</v>
      </c>
      <c r="AA3036" s="14" t="s">
        <v>5596</v>
      </c>
      <c r="AB3036" s="14">
        <v>40001</v>
      </c>
      <c r="AE3036" s="14" t="s">
        <v>1400</v>
      </c>
      <c r="AF3036" s="14" t="s">
        <v>1400</v>
      </c>
      <c r="AG3036" s="14" t="s">
        <v>98</v>
      </c>
    </row>
    <row r="3037" spans="2:33">
      <c r="B3037" s="14">
        <f>10000000+INDEX(编号表!$B:$B,MATCH(H3037,编号表!$A:$A,0))*100000+INDEX(编号表!$F:$F,MATCH(D3037,编号表!$E:$E,0))*10000+INDEX(编号表!$D:$D,MATCH(AG3037,编号表!$C:$C,0))*1000+F3037</f>
        <v>11946101</v>
      </c>
      <c r="C3037" s="14" t="s">
        <v>5592</v>
      </c>
      <c r="D3037" s="14" t="s">
        <v>104</v>
      </c>
      <c r="E3037" s="14" t="s">
        <v>98</v>
      </c>
      <c r="F3037" s="14">
        <v>101</v>
      </c>
      <c r="G3037" s="14">
        <v>60</v>
      </c>
      <c r="H3037" s="14" t="s">
        <v>1400</v>
      </c>
      <c r="I3037" s="14" t="s">
        <v>75</v>
      </c>
      <c r="J3037" s="14" t="s">
        <v>201</v>
      </c>
      <c r="K3037" s="14">
        <v>1</v>
      </c>
      <c r="L3037" s="14" t="s">
        <v>1400</v>
      </c>
      <c r="N3037" s="14">
        <v>0</v>
      </c>
      <c r="O3037" s="14" t="b">
        <v>1</v>
      </c>
      <c r="Q3037" s="14" t="b">
        <v>0</v>
      </c>
      <c r="R3037" s="14">
        <v>1</v>
      </c>
      <c r="S3037" s="14" t="s">
        <v>77</v>
      </c>
      <c r="T3037" s="14">
        <v>999</v>
      </c>
      <c r="U3037" s="14" t="s">
        <v>1401</v>
      </c>
      <c r="V3037" s="14">
        <v>31946101</v>
      </c>
      <c r="X3037" s="14" t="s">
        <v>5597</v>
      </c>
      <c r="Y3037" s="14" t="s">
        <v>215</v>
      </c>
      <c r="Z3037" s="14">
        <v>21800</v>
      </c>
      <c r="AA3037" s="14" t="s">
        <v>5598</v>
      </c>
      <c r="AB3037" s="14">
        <v>40001</v>
      </c>
      <c r="AE3037" s="14" t="s">
        <v>1400</v>
      </c>
      <c r="AF3037" s="14" t="s">
        <v>1400</v>
      </c>
      <c r="AG3037" s="14" t="s">
        <v>98</v>
      </c>
    </row>
    <row r="3038" spans="2:33">
      <c r="B3038" s="14">
        <f>10000000+INDEX(编号表!$B:$B,MATCH(H3038,编号表!$A:$A,0))*100000+INDEX(编号表!$F:$F,MATCH(D3038,编号表!$E:$E,0))*10000+INDEX(编号表!$D:$D,MATCH(AG3038,编号表!$C:$C,0))*1000+F3038</f>
        <v>11926100</v>
      </c>
      <c r="C3038" s="14" t="s">
        <v>5599</v>
      </c>
      <c r="D3038" s="14" t="s">
        <v>112</v>
      </c>
      <c r="E3038" s="14" t="s">
        <v>98</v>
      </c>
      <c r="F3038" s="14">
        <v>100</v>
      </c>
      <c r="G3038" s="14">
        <v>60</v>
      </c>
      <c r="H3038" s="14" t="s">
        <v>1400</v>
      </c>
      <c r="I3038" s="14" t="s">
        <v>75</v>
      </c>
      <c r="J3038" s="14" t="s">
        <v>201</v>
      </c>
      <c r="K3038" s="14">
        <v>1</v>
      </c>
      <c r="L3038" s="14" t="s">
        <v>1400</v>
      </c>
      <c r="N3038" s="14">
        <v>0</v>
      </c>
      <c r="O3038" s="14" t="b">
        <v>1</v>
      </c>
      <c r="Q3038" s="14" t="b">
        <v>0</v>
      </c>
      <c r="R3038" s="14">
        <v>1</v>
      </c>
      <c r="S3038" s="14" t="s">
        <v>77</v>
      </c>
      <c r="T3038" s="14">
        <v>999</v>
      </c>
      <c r="U3038" s="14" t="s">
        <v>1401</v>
      </c>
      <c r="V3038" s="14">
        <v>31926100</v>
      </c>
      <c r="X3038" s="14" t="s">
        <v>5600</v>
      </c>
      <c r="Y3038" s="14" t="s">
        <v>215</v>
      </c>
      <c r="Z3038" s="14">
        <v>21801</v>
      </c>
      <c r="AA3038" s="14" t="s">
        <v>5601</v>
      </c>
      <c r="AB3038" s="14">
        <v>40001</v>
      </c>
      <c r="AE3038" s="14" t="s">
        <v>1400</v>
      </c>
      <c r="AF3038" s="14" t="s">
        <v>1400</v>
      </c>
      <c r="AG3038" s="14" t="s">
        <v>98</v>
      </c>
    </row>
    <row r="3039" spans="2:33">
      <c r="B3039" s="14">
        <f>10000000+INDEX(编号表!$B:$B,MATCH(H3039,编号表!$A:$A,0))*100000+INDEX(编号表!$F:$F,MATCH(D3039,编号表!$E:$E,0))*10000+INDEX(编号表!$D:$D,MATCH(AG3039,编号表!$C:$C,0))*1000+F3039</f>
        <v>11936101</v>
      </c>
      <c r="C3039" s="14" t="s">
        <v>5599</v>
      </c>
      <c r="D3039" s="14" t="s">
        <v>276</v>
      </c>
      <c r="E3039" s="14" t="s">
        <v>98</v>
      </c>
      <c r="F3039" s="14">
        <v>101</v>
      </c>
      <c r="G3039" s="14">
        <v>60</v>
      </c>
      <c r="H3039" s="14" t="s">
        <v>1400</v>
      </c>
      <c r="I3039" s="14" t="s">
        <v>75</v>
      </c>
      <c r="J3039" s="14" t="s">
        <v>201</v>
      </c>
      <c r="K3039" s="14">
        <v>1</v>
      </c>
      <c r="L3039" s="14" t="s">
        <v>1400</v>
      </c>
      <c r="N3039" s="14">
        <v>0</v>
      </c>
      <c r="O3039" s="14" t="b">
        <v>1</v>
      </c>
      <c r="Q3039" s="14" t="b">
        <v>0</v>
      </c>
      <c r="R3039" s="14">
        <v>1</v>
      </c>
      <c r="S3039" s="14" t="s">
        <v>77</v>
      </c>
      <c r="T3039" s="14">
        <v>999</v>
      </c>
      <c r="U3039" s="14" t="s">
        <v>1401</v>
      </c>
      <c r="V3039" s="14">
        <v>31936101</v>
      </c>
      <c r="X3039" s="14" t="s">
        <v>5602</v>
      </c>
      <c r="Y3039" s="14" t="s">
        <v>215</v>
      </c>
      <c r="Z3039" s="14">
        <v>21802</v>
      </c>
      <c r="AA3039" s="14" t="s">
        <v>5603</v>
      </c>
      <c r="AB3039" s="14">
        <v>40001</v>
      </c>
      <c r="AE3039" s="14" t="s">
        <v>1400</v>
      </c>
      <c r="AF3039" s="14" t="s">
        <v>1400</v>
      </c>
      <c r="AG3039" s="14" t="s">
        <v>98</v>
      </c>
    </row>
    <row r="3040" spans="2:33">
      <c r="B3040" s="14">
        <f>10000000+INDEX(编号表!$B:$B,MATCH(H3040,编号表!$A:$A,0))*100000+INDEX(编号表!$F:$F,MATCH(D3040,编号表!$E:$E,0))*10000+INDEX(编号表!$D:$D,MATCH(AG3040,编号表!$C:$C,0))*1000+F3040</f>
        <v>11946102</v>
      </c>
      <c r="C3040" s="14" t="s">
        <v>5599</v>
      </c>
      <c r="D3040" s="14" t="s">
        <v>104</v>
      </c>
      <c r="E3040" s="14" t="s">
        <v>98</v>
      </c>
      <c r="F3040" s="14">
        <v>102</v>
      </c>
      <c r="G3040" s="14">
        <v>60</v>
      </c>
      <c r="H3040" s="14" t="s">
        <v>1400</v>
      </c>
      <c r="I3040" s="14" t="s">
        <v>75</v>
      </c>
      <c r="J3040" s="14" t="s">
        <v>201</v>
      </c>
      <c r="K3040" s="14">
        <v>1</v>
      </c>
      <c r="L3040" s="14" t="s">
        <v>1400</v>
      </c>
      <c r="N3040" s="14">
        <v>0</v>
      </c>
      <c r="O3040" s="14" t="b">
        <v>1</v>
      </c>
      <c r="Q3040" s="14" t="b">
        <v>0</v>
      </c>
      <c r="R3040" s="14">
        <v>1</v>
      </c>
      <c r="S3040" s="14" t="s">
        <v>77</v>
      </c>
      <c r="T3040" s="14">
        <v>999</v>
      </c>
      <c r="U3040" s="14" t="s">
        <v>1401</v>
      </c>
      <c r="V3040" s="14">
        <v>31946102</v>
      </c>
      <c r="X3040" s="14" t="s">
        <v>5604</v>
      </c>
      <c r="Y3040" s="14" t="s">
        <v>215</v>
      </c>
      <c r="Z3040" s="14">
        <v>21803</v>
      </c>
      <c r="AA3040" s="14" t="s">
        <v>5605</v>
      </c>
      <c r="AB3040" s="14">
        <v>40001</v>
      </c>
      <c r="AE3040" s="14" t="s">
        <v>1400</v>
      </c>
      <c r="AF3040" s="14" t="s">
        <v>1400</v>
      </c>
      <c r="AG3040" s="14" t="s">
        <v>98</v>
      </c>
    </row>
    <row r="3041" spans="2:33">
      <c r="B3041" s="14">
        <f>10000000+INDEX(编号表!$B:$B,MATCH(H3041,编号表!$A:$A,0))*100000+INDEX(编号表!$F:$F,MATCH(D3041,编号表!$E:$E,0))*10000+INDEX(编号表!$D:$D,MATCH(AG3041,编号表!$C:$C,0))*1000+F3041</f>
        <v>11926101</v>
      </c>
      <c r="C3041" s="14" t="s">
        <v>5606</v>
      </c>
      <c r="D3041" s="14" t="s">
        <v>112</v>
      </c>
      <c r="E3041" s="14" t="s">
        <v>98</v>
      </c>
      <c r="F3041" s="14">
        <v>101</v>
      </c>
      <c r="G3041" s="14">
        <v>60</v>
      </c>
      <c r="H3041" s="14" t="s">
        <v>1400</v>
      </c>
      <c r="I3041" s="14" t="s">
        <v>75</v>
      </c>
      <c r="J3041" s="14" t="s">
        <v>201</v>
      </c>
      <c r="K3041" s="14">
        <v>1</v>
      </c>
      <c r="L3041" s="14" t="s">
        <v>1400</v>
      </c>
      <c r="N3041" s="14">
        <v>0</v>
      </c>
      <c r="O3041" s="14" t="b">
        <v>1</v>
      </c>
      <c r="Q3041" s="14" t="b">
        <v>0</v>
      </c>
      <c r="R3041" s="14">
        <v>1</v>
      </c>
      <c r="S3041" s="14" t="s">
        <v>77</v>
      </c>
      <c r="T3041" s="14">
        <v>999</v>
      </c>
      <c r="U3041" s="14" t="s">
        <v>1401</v>
      </c>
      <c r="V3041" s="14">
        <v>31926101</v>
      </c>
      <c r="X3041" s="14" t="s">
        <v>5607</v>
      </c>
      <c r="Y3041" s="14" t="s">
        <v>215</v>
      </c>
      <c r="Z3041" s="14">
        <v>21804</v>
      </c>
      <c r="AA3041" s="14" t="s">
        <v>5608</v>
      </c>
      <c r="AB3041" s="14">
        <v>40001</v>
      </c>
      <c r="AE3041" s="14" t="s">
        <v>1400</v>
      </c>
      <c r="AF3041" s="14" t="s">
        <v>1400</v>
      </c>
      <c r="AG3041" s="14" t="s">
        <v>98</v>
      </c>
    </row>
    <row r="3042" spans="2:33">
      <c r="B3042" s="14">
        <f>10000000+INDEX(编号表!$B:$B,MATCH(H3042,编号表!$A:$A,0))*100000+INDEX(编号表!$F:$F,MATCH(D3042,编号表!$E:$E,0))*10000+INDEX(编号表!$D:$D,MATCH(AG3042,编号表!$C:$C,0))*1000+F3042</f>
        <v>11936102</v>
      </c>
      <c r="C3042" s="14" t="s">
        <v>5606</v>
      </c>
      <c r="D3042" s="14" t="s">
        <v>276</v>
      </c>
      <c r="E3042" s="14" t="s">
        <v>98</v>
      </c>
      <c r="F3042" s="14">
        <v>102</v>
      </c>
      <c r="G3042" s="14">
        <v>60</v>
      </c>
      <c r="H3042" s="14" t="s">
        <v>1400</v>
      </c>
      <c r="I3042" s="14" t="s">
        <v>75</v>
      </c>
      <c r="J3042" s="14" t="s">
        <v>201</v>
      </c>
      <c r="K3042" s="14">
        <v>1</v>
      </c>
      <c r="L3042" s="14" t="s">
        <v>1400</v>
      </c>
      <c r="N3042" s="14">
        <v>0</v>
      </c>
      <c r="O3042" s="14" t="b">
        <v>1</v>
      </c>
      <c r="Q3042" s="14" t="b">
        <v>0</v>
      </c>
      <c r="R3042" s="14">
        <v>1</v>
      </c>
      <c r="S3042" s="14" t="s">
        <v>77</v>
      </c>
      <c r="T3042" s="14">
        <v>999</v>
      </c>
      <c r="U3042" s="14" t="s">
        <v>1401</v>
      </c>
      <c r="V3042" s="14">
        <v>31936102</v>
      </c>
      <c r="X3042" s="14" t="s">
        <v>5609</v>
      </c>
      <c r="Y3042" s="14" t="s">
        <v>215</v>
      </c>
      <c r="Z3042" s="14">
        <v>21805</v>
      </c>
      <c r="AA3042" s="14" t="s">
        <v>5610</v>
      </c>
      <c r="AB3042" s="14">
        <v>40001</v>
      </c>
      <c r="AE3042" s="14" t="s">
        <v>1400</v>
      </c>
      <c r="AF3042" s="14" t="s">
        <v>1400</v>
      </c>
      <c r="AG3042" s="14" t="s">
        <v>98</v>
      </c>
    </row>
    <row r="3043" spans="2:33">
      <c r="B3043" s="14">
        <f>10000000+INDEX(编号表!$B:$B,MATCH(H3043,编号表!$A:$A,0))*100000+INDEX(编号表!$F:$F,MATCH(D3043,编号表!$E:$E,0))*10000+INDEX(编号表!$D:$D,MATCH(AG3043,编号表!$C:$C,0))*1000+F3043</f>
        <v>11946103</v>
      </c>
      <c r="C3043" s="14" t="s">
        <v>5606</v>
      </c>
      <c r="D3043" s="14" t="s">
        <v>104</v>
      </c>
      <c r="E3043" s="14" t="s">
        <v>98</v>
      </c>
      <c r="F3043" s="14">
        <v>103</v>
      </c>
      <c r="G3043" s="14">
        <v>60</v>
      </c>
      <c r="H3043" s="14" t="s">
        <v>1400</v>
      </c>
      <c r="I3043" s="14" t="s">
        <v>75</v>
      </c>
      <c r="J3043" s="14" t="s">
        <v>201</v>
      </c>
      <c r="K3043" s="14">
        <v>1</v>
      </c>
      <c r="L3043" s="14" t="s">
        <v>1400</v>
      </c>
      <c r="N3043" s="14">
        <v>0</v>
      </c>
      <c r="O3043" s="14" t="b">
        <v>1</v>
      </c>
      <c r="Q3043" s="14" t="b">
        <v>0</v>
      </c>
      <c r="R3043" s="14">
        <v>1</v>
      </c>
      <c r="S3043" s="14" t="s">
        <v>77</v>
      </c>
      <c r="T3043" s="14">
        <v>999</v>
      </c>
      <c r="U3043" s="14" t="s">
        <v>1401</v>
      </c>
      <c r="V3043" s="14">
        <v>31946103</v>
      </c>
      <c r="X3043" s="14" t="s">
        <v>5611</v>
      </c>
      <c r="Y3043" s="14" t="s">
        <v>215</v>
      </c>
      <c r="Z3043" s="14">
        <v>21806</v>
      </c>
      <c r="AA3043" s="14" t="s">
        <v>5612</v>
      </c>
      <c r="AB3043" s="14">
        <v>40001</v>
      </c>
      <c r="AE3043" s="14" t="s">
        <v>1400</v>
      </c>
      <c r="AF3043" s="14" t="s">
        <v>1400</v>
      </c>
      <c r="AG3043" s="14" t="s">
        <v>98</v>
      </c>
    </row>
    <row r="3044" spans="2:33">
      <c r="B3044" s="14">
        <f>10000000+INDEX(编号表!$B:$B,MATCH(H3044,编号表!$A:$A,0))*100000+INDEX(编号表!$F:$F,MATCH(D3044,编号表!$E:$E,0))*10000+INDEX(编号表!$D:$D,MATCH(AG3044,编号表!$C:$C,0))*1000+F3044</f>
        <v>11926102</v>
      </c>
      <c r="C3044" s="14" t="s">
        <v>5613</v>
      </c>
      <c r="D3044" s="14" t="s">
        <v>112</v>
      </c>
      <c r="E3044" s="14" t="s">
        <v>98</v>
      </c>
      <c r="F3044" s="14">
        <v>102</v>
      </c>
      <c r="G3044" s="14">
        <v>60</v>
      </c>
      <c r="H3044" s="14" t="s">
        <v>1400</v>
      </c>
      <c r="I3044" s="14" t="s">
        <v>75</v>
      </c>
      <c r="J3044" s="14" t="s">
        <v>201</v>
      </c>
      <c r="K3044" s="14">
        <v>1</v>
      </c>
      <c r="L3044" s="14" t="s">
        <v>1400</v>
      </c>
      <c r="N3044" s="14">
        <v>0</v>
      </c>
      <c r="O3044" s="14" t="b">
        <v>1</v>
      </c>
      <c r="Q3044" s="14" t="b">
        <v>0</v>
      </c>
      <c r="R3044" s="14">
        <v>1</v>
      </c>
      <c r="S3044" s="14" t="s">
        <v>77</v>
      </c>
      <c r="T3044" s="14">
        <v>999</v>
      </c>
      <c r="U3044" s="14" t="s">
        <v>1401</v>
      </c>
      <c r="V3044" s="14">
        <v>31926102</v>
      </c>
      <c r="X3044" s="14" t="s">
        <v>5614</v>
      </c>
      <c r="Y3044" s="14" t="s">
        <v>215</v>
      </c>
      <c r="Z3044" s="14">
        <v>21807</v>
      </c>
      <c r="AA3044" s="14" t="s">
        <v>5615</v>
      </c>
      <c r="AB3044" s="14">
        <v>40001</v>
      </c>
      <c r="AE3044" s="14" t="s">
        <v>1400</v>
      </c>
      <c r="AF3044" s="14" t="s">
        <v>1400</v>
      </c>
      <c r="AG3044" s="14" t="s">
        <v>98</v>
      </c>
    </row>
    <row r="3045" spans="2:33">
      <c r="B3045" s="14">
        <f>10000000+INDEX(编号表!$B:$B,MATCH(H3045,编号表!$A:$A,0))*100000+INDEX(编号表!$F:$F,MATCH(D3045,编号表!$E:$E,0))*10000+INDEX(编号表!$D:$D,MATCH(AG3045,编号表!$C:$C,0))*1000+F3045</f>
        <v>11936103</v>
      </c>
      <c r="C3045" s="14" t="s">
        <v>5613</v>
      </c>
      <c r="D3045" s="14" t="s">
        <v>276</v>
      </c>
      <c r="E3045" s="14" t="s">
        <v>98</v>
      </c>
      <c r="F3045" s="14">
        <v>103</v>
      </c>
      <c r="G3045" s="14">
        <v>60</v>
      </c>
      <c r="H3045" s="14" t="s">
        <v>1400</v>
      </c>
      <c r="I3045" s="14" t="s">
        <v>75</v>
      </c>
      <c r="J3045" s="14" t="s">
        <v>201</v>
      </c>
      <c r="K3045" s="14">
        <v>1</v>
      </c>
      <c r="L3045" s="14" t="s">
        <v>1400</v>
      </c>
      <c r="N3045" s="14">
        <v>0</v>
      </c>
      <c r="O3045" s="14" t="b">
        <v>1</v>
      </c>
      <c r="Q3045" s="14" t="b">
        <v>0</v>
      </c>
      <c r="R3045" s="14">
        <v>1</v>
      </c>
      <c r="S3045" s="14" t="s">
        <v>77</v>
      </c>
      <c r="T3045" s="14">
        <v>999</v>
      </c>
      <c r="U3045" s="14" t="s">
        <v>1401</v>
      </c>
      <c r="V3045" s="14">
        <v>31936103</v>
      </c>
      <c r="X3045" s="14" t="s">
        <v>5616</v>
      </c>
      <c r="Y3045" s="14" t="s">
        <v>215</v>
      </c>
      <c r="Z3045" s="14">
        <v>21808</v>
      </c>
      <c r="AA3045" s="14" t="s">
        <v>5617</v>
      </c>
      <c r="AB3045" s="14">
        <v>40001</v>
      </c>
      <c r="AE3045" s="14" t="s">
        <v>1400</v>
      </c>
      <c r="AF3045" s="14" t="s">
        <v>1400</v>
      </c>
      <c r="AG3045" s="14" t="s">
        <v>98</v>
      </c>
    </row>
    <row r="3046" spans="2:33">
      <c r="B3046" s="14">
        <f>10000000+INDEX(编号表!$B:$B,MATCH(H3046,编号表!$A:$A,0))*100000+INDEX(编号表!$F:$F,MATCH(D3046,编号表!$E:$E,0))*10000+INDEX(编号表!$D:$D,MATCH(AG3046,编号表!$C:$C,0))*1000+F3046</f>
        <v>11946104</v>
      </c>
      <c r="C3046" s="14" t="s">
        <v>5613</v>
      </c>
      <c r="D3046" s="14" t="s">
        <v>104</v>
      </c>
      <c r="E3046" s="14" t="s">
        <v>98</v>
      </c>
      <c r="F3046" s="14">
        <v>104</v>
      </c>
      <c r="G3046" s="14">
        <v>60</v>
      </c>
      <c r="H3046" s="14" t="s">
        <v>1400</v>
      </c>
      <c r="I3046" s="14" t="s">
        <v>75</v>
      </c>
      <c r="J3046" s="14" t="s">
        <v>201</v>
      </c>
      <c r="K3046" s="14">
        <v>1</v>
      </c>
      <c r="L3046" s="14" t="s">
        <v>1400</v>
      </c>
      <c r="N3046" s="14">
        <v>0</v>
      </c>
      <c r="O3046" s="14" t="b">
        <v>1</v>
      </c>
      <c r="Q3046" s="14" t="b">
        <v>0</v>
      </c>
      <c r="R3046" s="14">
        <v>1</v>
      </c>
      <c r="S3046" s="14" t="s">
        <v>77</v>
      </c>
      <c r="T3046" s="14">
        <v>999</v>
      </c>
      <c r="U3046" s="14" t="s">
        <v>1401</v>
      </c>
      <c r="V3046" s="14">
        <v>31946104</v>
      </c>
      <c r="X3046" s="14" t="s">
        <v>5618</v>
      </c>
      <c r="Y3046" s="14" t="s">
        <v>215</v>
      </c>
      <c r="Z3046" s="14">
        <v>21809</v>
      </c>
      <c r="AA3046" s="14" t="s">
        <v>5619</v>
      </c>
      <c r="AB3046" s="14">
        <v>40001</v>
      </c>
      <c r="AE3046" s="14" t="s">
        <v>1400</v>
      </c>
      <c r="AF3046" s="14" t="s">
        <v>1400</v>
      </c>
      <c r="AG3046" s="14" t="s">
        <v>98</v>
      </c>
    </row>
    <row r="3047" spans="2:33">
      <c r="B3047" s="14">
        <f>10000000+INDEX(编号表!$B:$B,MATCH(H3047,编号表!$A:$A,0))*100000+INDEX(编号表!$F:$F,MATCH(D3047,编号表!$E:$E,0))*10000+INDEX(编号表!$D:$D,MATCH(AG3047,编号表!$C:$C,0))*1000+F3047</f>
        <v>11926103</v>
      </c>
      <c r="C3047" s="14" t="s">
        <v>5620</v>
      </c>
      <c r="D3047" s="14" t="s">
        <v>112</v>
      </c>
      <c r="E3047" s="14" t="s">
        <v>98</v>
      </c>
      <c r="F3047" s="14">
        <v>103</v>
      </c>
      <c r="G3047" s="14">
        <v>60</v>
      </c>
      <c r="H3047" s="14" t="s">
        <v>1400</v>
      </c>
      <c r="I3047" s="14" t="s">
        <v>75</v>
      </c>
      <c r="J3047" s="14" t="s">
        <v>201</v>
      </c>
      <c r="K3047" s="14">
        <v>1</v>
      </c>
      <c r="L3047" s="14" t="s">
        <v>1400</v>
      </c>
      <c r="N3047" s="14">
        <v>0</v>
      </c>
      <c r="O3047" s="14" t="b">
        <v>1</v>
      </c>
      <c r="Q3047" s="14" t="b">
        <v>0</v>
      </c>
      <c r="R3047" s="14">
        <v>1</v>
      </c>
      <c r="S3047" s="14" t="s">
        <v>77</v>
      </c>
      <c r="T3047" s="14">
        <v>999</v>
      </c>
      <c r="U3047" s="14" t="s">
        <v>1401</v>
      </c>
      <c r="V3047" s="14">
        <v>31926103</v>
      </c>
      <c r="X3047" s="14" t="s">
        <v>5621</v>
      </c>
      <c r="Y3047" s="14" t="s">
        <v>215</v>
      </c>
      <c r="Z3047" s="14">
        <v>21810</v>
      </c>
      <c r="AA3047" s="14" t="s">
        <v>5622</v>
      </c>
      <c r="AB3047" s="14">
        <v>40001</v>
      </c>
      <c r="AE3047" s="14" t="s">
        <v>1400</v>
      </c>
      <c r="AF3047" s="14" t="s">
        <v>1400</v>
      </c>
      <c r="AG3047" s="14" t="s">
        <v>98</v>
      </c>
    </row>
    <row r="3048" spans="2:33">
      <c r="B3048" s="14">
        <f>10000000+INDEX(编号表!$B:$B,MATCH(H3048,编号表!$A:$A,0))*100000+INDEX(编号表!$F:$F,MATCH(D3048,编号表!$E:$E,0))*10000+INDEX(编号表!$D:$D,MATCH(AG3048,编号表!$C:$C,0))*1000+F3048</f>
        <v>11936104</v>
      </c>
      <c r="C3048" s="14" t="s">
        <v>5620</v>
      </c>
      <c r="D3048" s="14" t="s">
        <v>276</v>
      </c>
      <c r="E3048" s="14" t="s">
        <v>98</v>
      </c>
      <c r="F3048" s="14">
        <v>104</v>
      </c>
      <c r="G3048" s="14">
        <v>60</v>
      </c>
      <c r="H3048" s="14" t="s">
        <v>1400</v>
      </c>
      <c r="I3048" s="14" t="s">
        <v>75</v>
      </c>
      <c r="J3048" s="14" t="s">
        <v>201</v>
      </c>
      <c r="K3048" s="14">
        <v>1</v>
      </c>
      <c r="L3048" s="14" t="s">
        <v>1400</v>
      </c>
      <c r="N3048" s="14">
        <v>0</v>
      </c>
      <c r="O3048" s="14" t="b">
        <v>1</v>
      </c>
      <c r="Q3048" s="14" t="b">
        <v>0</v>
      </c>
      <c r="R3048" s="14">
        <v>1</v>
      </c>
      <c r="S3048" s="14" t="s">
        <v>77</v>
      </c>
      <c r="T3048" s="14">
        <v>999</v>
      </c>
      <c r="U3048" s="14" t="s">
        <v>1401</v>
      </c>
      <c r="V3048" s="14">
        <v>31936104</v>
      </c>
      <c r="X3048" s="14" t="s">
        <v>5623</v>
      </c>
      <c r="Y3048" s="14" t="s">
        <v>215</v>
      </c>
      <c r="Z3048" s="14">
        <v>21811</v>
      </c>
      <c r="AA3048" s="14" t="s">
        <v>5624</v>
      </c>
      <c r="AB3048" s="14">
        <v>40001</v>
      </c>
      <c r="AE3048" s="14" t="s">
        <v>1400</v>
      </c>
      <c r="AF3048" s="14" t="s">
        <v>1400</v>
      </c>
      <c r="AG3048" s="14" t="s">
        <v>98</v>
      </c>
    </row>
    <row r="3049" spans="2:33">
      <c r="B3049" s="14">
        <f>10000000+INDEX(编号表!$B:$B,MATCH(H3049,编号表!$A:$A,0))*100000+INDEX(编号表!$F:$F,MATCH(D3049,编号表!$E:$E,0))*10000+INDEX(编号表!$D:$D,MATCH(AG3049,编号表!$C:$C,0))*1000+F3049</f>
        <v>11946105</v>
      </c>
      <c r="C3049" s="14" t="s">
        <v>5620</v>
      </c>
      <c r="D3049" s="14" t="s">
        <v>104</v>
      </c>
      <c r="E3049" s="14" t="s">
        <v>98</v>
      </c>
      <c r="F3049" s="14">
        <v>105</v>
      </c>
      <c r="G3049" s="14">
        <v>60</v>
      </c>
      <c r="H3049" s="14" t="s">
        <v>1400</v>
      </c>
      <c r="I3049" s="14" t="s">
        <v>75</v>
      </c>
      <c r="J3049" s="14" t="s">
        <v>201</v>
      </c>
      <c r="K3049" s="14">
        <v>1</v>
      </c>
      <c r="L3049" s="14" t="s">
        <v>1400</v>
      </c>
      <c r="N3049" s="14">
        <v>0</v>
      </c>
      <c r="O3049" s="14" t="b">
        <v>1</v>
      </c>
      <c r="Q3049" s="14" t="b">
        <v>0</v>
      </c>
      <c r="R3049" s="14">
        <v>1</v>
      </c>
      <c r="S3049" s="14" t="s">
        <v>77</v>
      </c>
      <c r="T3049" s="14">
        <v>999</v>
      </c>
      <c r="U3049" s="14" t="s">
        <v>1401</v>
      </c>
      <c r="V3049" s="14">
        <v>31946105</v>
      </c>
      <c r="X3049" s="14" t="s">
        <v>5625</v>
      </c>
      <c r="Y3049" s="14" t="s">
        <v>215</v>
      </c>
      <c r="Z3049" s="14">
        <v>21812</v>
      </c>
      <c r="AA3049" s="14" t="s">
        <v>5626</v>
      </c>
      <c r="AB3049" s="14">
        <v>40001</v>
      </c>
      <c r="AE3049" s="14" t="s">
        <v>1400</v>
      </c>
      <c r="AF3049" s="14" t="s">
        <v>1400</v>
      </c>
      <c r="AG3049" s="14" t="s">
        <v>98</v>
      </c>
    </row>
    <row r="3050" spans="2:33">
      <c r="B3050" s="14">
        <f>10000000+INDEX(编号表!$B:$B,MATCH(H3050,编号表!$A:$A,0))*100000+INDEX(编号表!$F:$F,MATCH(D3050,编号表!$E:$E,0))*10000+INDEX(编号表!$D:$D,MATCH(AG3050,编号表!$C:$C,0))*1000+F3050</f>
        <v>11926104</v>
      </c>
      <c r="C3050" s="14" t="s">
        <v>5627</v>
      </c>
      <c r="D3050" s="14" t="s">
        <v>112</v>
      </c>
      <c r="E3050" s="14" t="s">
        <v>98</v>
      </c>
      <c r="F3050" s="14">
        <v>104</v>
      </c>
      <c r="G3050" s="14">
        <v>60</v>
      </c>
      <c r="H3050" s="14" t="s">
        <v>1400</v>
      </c>
      <c r="I3050" s="14" t="s">
        <v>75</v>
      </c>
      <c r="J3050" s="14" t="s">
        <v>201</v>
      </c>
      <c r="K3050" s="14">
        <v>1</v>
      </c>
      <c r="L3050" s="14" t="s">
        <v>1400</v>
      </c>
      <c r="N3050" s="14">
        <v>0</v>
      </c>
      <c r="O3050" s="14" t="b">
        <v>1</v>
      </c>
      <c r="Q3050" s="14" t="b">
        <v>0</v>
      </c>
      <c r="R3050" s="14">
        <v>1</v>
      </c>
      <c r="S3050" s="14" t="s">
        <v>77</v>
      </c>
      <c r="T3050" s="14">
        <v>999</v>
      </c>
      <c r="U3050" s="14" t="s">
        <v>1401</v>
      </c>
      <c r="V3050" s="14">
        <v>31926104</v>
      </c>
      <c r="X3050" s="14" t="s">
        <v>5628</v>
      </c>
      <c r="Y3050" s="14" t="s">
        <v>215</v>
      </c>
      <c r="Z3050" s="14">
        <v>21813</v>
      </c>
      <c r="AA3050" s="14" t="s">
        <v>5629</v>
      </c>
      <c r="AB3050" s="14">
        <v>40001</v>
      </c>
      <c r="AE3050" s="14" t="s">
        <v>1400</v>
      </c>
      <c r="AF3050" s="14" t="s">
        <v>1400</v>
      </c>
      <c r="AG3050" s="14" t="s">
        <v>98</v>
      </c>
    </row>
    <row r="3051" spans="2:33">
      <c r="B3051" s="14">
        <f>10000000+INDEX(编号表!$B:$B,MATCH(H3051,编号表!$A:$A,0))*100000+INDEX(编号表!$F:$F,MATCH(D3051,编号表!$E:$E,0))*10000+INDEX(编号表!$D:$D,MATCH(AG3051,编号表!$C:$C,0))*1000+F3051</f>
        <v>11936105</v>
      </c>
      <c r="C3051" s="14" t="s">
        <v>5627</v>
      </c>
      <c r="D3051" s="14" t="s">
        <v>276</v>
      </c>
      <c r="E3051" s="14" t="s">
        <v>98</v>
      </c>
      <c r="F3051" s="14">
        <v>105</v>
      </c>
      <c r="G3051" s="14">
        <v>60</v>
      </c>
      <c r="H3051" s="14" t="s">
        <v>1400</v>
      </c>
      <c r="I3051" s="14" t="s">
        <v>75</v>
      </c>
      <c r="J3051" s="14" t="s">
        <v>201</v>
      </c>
      <c r="K3051" s="14">
        <v>1</v>
      </c>
      <c r="L3051" s="14" t="s">
        <v>1400</v>
      </c>
      <c r="N3051" s="14">
        <v>0</v>
      </c>
      <c r="O3051" s="14" t="b">
        <v>1</v>
      </c>
      <c r="Q3051" s="14" t="b">
        <v>0</v>
      </c>
      <c r="R3051" s="14">
        <v>1</v>
      </c>
      <c r="S3051" s="14" t="s">
        <v>77</v>
      </c>
      <c r="T3051" s="14">
        <v>999</v>
      </c>
      <c r="U3051" s="14" t="s">
        <v>1401</v>
      </c>
      <c r="V3051" s="14">
        <v>31936105</v>
      </c>
      <c r="X3051" s="14" t="s">
        <v>5630</v>
      </c>
      <c r="Y3051" s="14" t="s">
        <v>215</v>
      </c>
      <c r="Z3051" s="14">
        <v>21814</v>
      </c>
      <c r="AA3051" s="14" t="s">
        <v>5631</v>
      </c>
      <c r="AB3051" s="14">
        <v>40001</v>
      </c>
      <c r="AE3051" s="14" t="s">
        <v>1400</v>
      </c>
      <c r="AF3051" s="14" t="s">
        <v>1400</v>
      </c>
      <c r="AG3051" s="14" t="s">
        <v>98</v>
      </c>
    </row>
    <row r="3052" spans="2:33">
      <c r="B3052" s="14">
        <f>10000000+INDEX(编号表!$B:$B,MATCH(H3052,编号表!$A:$A,0))*100000+INDEX(编号表!$F:$F,MATCH(D3052,编号表!$E:$E,0))*10000+INDEX(编号表!$D:$D,MATCH(AG3052,编号表!$C:$C,0))*1000+F3052</f>
        <v>11946106</v>
      </c>
      <c r="C3052" s="14" t="s">
        <v>5627</v>
      </c>
      <c r="D3052" s="14" t="s">
        <v>104</v>
      </c>
      <c r="E3052" s="14" t="s">
        <v>98</v>
      </c>
      <c r="F3052" s="14">
        <v>106</v>
      </c>
      <c r="G3052" s="14">
        <v>60</v>
      </c>
      <c r="H3052" s="14" t="s">
        <v>1400</v>
      </c>
      <c r="I3052" s="14" t="s">
        <v>75</v>
      </c>
      <c r="J3052" s="14" t="s">
        <v>201</v>
      </c>
      <c r="K3052" s="14">
        <v>1</v>
      </c>
      <c r="L3052" s="14" t="s">
        <v>1400</v>
      </c>
      <c r="N3052" s="14">
        <v>0</v>
      </c>
      <c r="O3052" s="14" t="b">
        <v>1</v>
      </c>
      <c r="Q3052" s="14" t="b">
        <v>0</v>
      </c>
      <c r="R3052" s="14">
        <v>1</v>
      </c>
      <c r="S3052" s="14" t="s">
        <v>77</v>
      </c>
      <c r="T3052" s="14">
        <v>999</v>
      </c>
      <c r="U3052" s="14" t="s">
        <v>1401</v>
      </c>
      <c r="V3052" s="14">
        <v>31946106</v>
      </c>
      <c r="X3052" s="14" t="s">
        <v>5632</v>
      </c>
      <c r="Y3052" s="14" t="s">
        <v>215</v>
      </c>
      <c r="Z3052" s="14">
        <v>21815</v>
      </c>
      <c r="AA3052" s="14" t="s">
        <v>5633</v>
      </c>
      <c r="AB3052" s="14">
        <v>40001</v>
      </c>
      <c r="AE3052" s="14" t="s">
        <v>1400</v>
      </c>
      <c r="AF3052" s="14" t="s">
        <v>1400</v>
      </c>
      <c r="AG3052" s="14" t="s">
        <v>98</v>
      </c>
    </row>
    <row r="3053" spans="2:33">
      <c r="B3053" s="14">
        <f>10000000+INDEX(编号表!$B:$B,MATCH(H3053,编号表!$A:$A,0))*100000+INDEX(编号表!$F:$F,MATCH(D3053,编号表!$E:$E,0))*10000+INDEX(编号表!$D:$D,MATCH(AG3053,编号表!$C:$C,0))*1000+F3053</f>
        <v>11926105</v>
      </c>
      <c r="C3053" s="14" t="s">
        <v>5634</v>
      </c>
      <c r="D3053" s="14" t="s">
        <v>112</v>
      </c>
      <c r="E3053" s="14" t="s">
        <v>98</v>
      </c>
      <c r="F3053" s="14">
        <v>105</v>
      </c>
      <c r="G3053" s="14">
        <v>60</v>
      </c>
      <c r="H3053" s="14" t="s">
        <v>1400</v>
      </c>
      <c r="I3053" s="14" t="s">
        <v>75</v>
      </c>
      <c r="J3053" s="14" t="s">
        <v>201</v>
      </c>
      <c r="K3053" s="14">
        <v>1</v>
      </c>
      <c r="L3053" s="14" t="s">
        <v>1400</v>
      </c>
      <c r="N3053" s="14">
        <v>0</v>
      </c>
      <c r="O3053" s="14" t="b">
        <v>1</v>
      </c>
      <c r="Q3053" s="14" t="b">
        <v>0</v>
      </c>
      <c r="R3053" s="14">
        <v>1</v>
      </c>
      <c r="S3053" s="14" t="s">
        <v>77</v>
      </c>
      <c r="T3053" s="14">
        <v>999</v>
      </c>
      <c r="U3053" s="14" t="s">
        <v>1401</v>
      </c>
      <c r="V3053" s="14">
        <v>31926105</v>
      </c>
      <c r="X3053" s="14" t="s">
        <v>5635</v>
      </c>
      <c r="Y3053" s="14" t="s">
        <v>215</v>
      </c>
      <c r="Z3053" s="14">
        <v>21816</v>
      </c>
      <c r="AA3053" s="14" t="s">
        <v>5636</v>
      </c>
      <c r="AB3053" s="14">
        <v>40001</v>
      </c>
      <c r="AE3053" s="14" t="s">
        <v>1400</v>
      </c>
      <c r="AF3053" s="14" t="s">
        <v>1400</v>
      </c>
      <c r="AG3053" s="14" t="s">
        <v>98</v>
      </c>
    </row>
    <row r="3054" spans="2:33">
      <c r="B3054" s="14">
        <f>10000000+INDEX(编号表!$B:$B,MATCH(H3054,编号表!$A:$A,0))*100000+INDEX(编号表!$F:$F,MATCH(D3054,编号表!$E:$E,0))*10000+INDEX(编号表!$D:$D,MATCH(AG3054,编号表!$C:$C,0))*1000+F3054</f>
        <v>11936106</v>
      </c>
      <c r="C3054" s="14" t="s">
        <v>5634</v>
      </c>
      <c r="D3054" s="14" t="s">
        <v>276</v>
      </c>
      <c r="E3054" s="14" t="s">
        <v>98</v>
      </c>
      <c r="F3054" s="14">
        <v>106</v>
      </c>
      <c r="G3054" s="14">
        <v>60</v>
      </c>
      <c r="H3054" s="14" t="s">
        <v>1400</v>
      </c>
      <c r="I3054" s="14" t="s">
        <v>75</v>
      </c>
      <c r="J3054" s="14" t="s">
        <v>201</v>
      </c>
      <c r="K3054" s="14">
        <v>1</v>
      </c>
      <c r="L3054" s="14" t="s">
        <v>1400</v>
      </c>
      <c r="N3054" s="14">
        <v>0</v>
      </c>
      <c r="O3054" s="14" t="b">
        <v>1</v>
      </c>
      <c r="Q3054" s="14" t="b">
        <v>0</v>
      </c>
      <c r="R3054" s="14">
        <v>1</v>
      </c>
      <c r="S3054" s="14" t="s">
        <v>77</v>
      </c>
      <c r="T3054" s="14">
        <v>999</v>
      </c>
      <c r="U3054" s="14" t="s">
        <v>1401</v>
      </c>
      <c r="V3054" s="14">
        <v>31936106</v>
      </c>
      <c r="X3054" s="14" t="s">
        <v>5637</v>
      </c>
      <c r="Y3054" s="14" t="s">
        <v>215</v>
      </c>
      <c r="Z3054" s="14">
        <v>21817</v>
      </c>
      <c r="AA3054" s="14" t="s">
        <v>5638</v>
      </c>
      <c r="AB3054" s="14">
        <v>40001</v>
      </c>
      <c r="AE3054" s="14" t="s">
        <v>1400</v>
      </c>
      <c r="AF3054" s="14" t="s">
        <v>1400</v>
      </c>
      <c r="AG3054" s="14" t="s">
        <v>98</v>
      </c>
    </row>
    <row r="3055" spans="2:33">
      <c r="B3055" s="14">
        <f>10000000+INDEX(编号表!$B:$B,MATCH(H3055,编号表!$A:$A,0))*100000+INDEX(编号表!$F:$F,MATCH(D3055,编号表!$E:$E,0))*10000+INDEX(编号表!$D:$D,MATCH(AG3055,编号表!$C:$C,0))*1000+F3055</f>
        <v>11946107</v>
      </c>
      <c r="C3055" s="14" t="s">
        <v>5634</v>
      </c>
      <c r="D3055" s="14" t="s">
        <v>104</v>
      </c>
      <c r="E3055" s="14" t="s">
        <v>98</v>
      </c>
      <c r="F3055" s="14">
        <v>107</v>
      </c>
      <c r="G3055" s="14">
        <v>60</v>
      </c>
      <c r="H3055" s="14" t="s">
        <v>1400</v>
      </c>
      <c r="I3055" s="14" t="s">
        <v>75</v>
      </c>
      <c r="J3055" s="14" t="s">
        <v>201</v>
      </c>
      <c r="K3055" s="14">
        <v>1</v>
      </c>
      <c r="L3055" s="14" t="s">
        <v>1400</v>
      </c>
      <c r="N3055" s="14">
        <v>0</v>
      </c>
      <c r="O3055" s="14" t="b">
        <v>1</v>
      </c>
      <c r="Q3055" s="14" t="b">
        <v>0</v>
      </c>
      <c r="R3055" s="14">
        <v>1</v>
      </c>
      <c r="S3055" s="14" t="s">
        <v>77</v>
      </c>
      <c r="T3055" s="14">
        <v>999</v>
      </c>
      <c r="U3055" s="14" t="s">
        <v>1401</v>
      </c>
      <c r="V3055" s="14">
        <v>31946107</v>
      </c>
      <c r="X3055" s="14" t="s">
        <v>5639</v>
      </c>
      <c r="Y3055" s="14" t="s">
        <v>215</v>
      </c>
      <c r="Z3055" s="14">
        <v>21818</v>
      </c>
      <c r="AA3055" s="14" t="s">
        <v>5640</v>
      </c>
      <c r="AB3055" s="14">
        <v>40001</v>
      </c>
      <c r="AE3055" s="14" t="s">
        <v>1400</v>
      </c>
      <c r="AF3055" s="14" t="s">
        <v>1400</v>
      </c>
      <c r="AG3055" s="14" t="s">
        <v>98</v>
      </c>
    </row>
    <row r="3056" spans="2:33">
      <c r="B3056" s="14">
        <f>10000000+INDEX(编号表!$B:$B,MATCH(H3056,编号表!$A:$A,0))*100000+INDEX(编号表!$F:$F,MATCH(D3056,编号表!$E:$E,0))*10000+INDEX(编号表!$D:$D,MATCH(AG3056,编号表!$C:$C,0))*1000+F3056</f>
        <v>11926106</v>
      </c>
      <c r="C3056" s="14" t="s">
        <v>5641</v>
      </c>
      <c r="D3056" s="14" t="s">
        <v>112</v>
      </c>
      <c r="E3056" s="14" t="s">
        <v>98</v>
      </c>
      <c r="F3056" s="14">
        <v>106</v>
      </c>
      <c r="G3056" s="14">
        <v>60</v>
      </c>
      <c r="H3056" s="14" t="s">
        <v>1400</v>
      </c>
      <c r="I3056" s="14" t="s">
        <v>75</v>
      </c>
      <c r="J3056" s="14" t="s">
        <v>201</v>
      </c>
      <c r="K3056" s="14">
        <v>1</v>
      </c>
      <c r="L3056" s="14" t="s">
        <v>1400</v>
      </c>
      <c r="N3056" s="14">
        <v>0</v>
      </c>
      <c r="O3056" s="14" t="b">
        <v>1</v>
      </c>
      <c r="Q3056" s="14" t="b">
        <v>0</v>
      </c>
      <c r="R3056" s="14">
        <v>1</v>
      </c>
      <c r="S3056" s="14" t="s">
        <v>77</v>
      </c>
      <c r="T3056" s="14">
        <v>999</v>
      </c>
      <c r="U3056" s="14" t="s">
        <v>1401</v>
      </c>
      <c r="V3056" s="14">
        <v>31926106</v>
      </c>
      <c r="X3056" s="14" t="s">
        <v>5642</v>
      </c>
      <c r="Y3056" s="14" t="s">
        <v>215</v>
      </c>
      <c r="Z3056" s="14">
        <v>21819</v>
      </c>
      <c r="AA3056" s="14" t="s">
        <v>5643</v>
      </c>
      <c r="AB3056" s="14">
        <v>40001</v>
      </c>
      <c r="AE3056" s="14" t="s">
        <v>1400</v>
      </c>
      <c r="AF3056" s="14" t="s">
        <v>1400</v>
      </c>
      <c r="AG3056" s="14" t="s">
        <v>98</v>
      </c>
    </row>
    <row r="3057" spans="2:33">
      <c r="B3057" s="14">
        <f>10000000+INDEX(编号表!$B:$B,MATCH(H3057,编号表!$A:$A,0))*100000+INDEX(编号表!$F:$F,MATCH(D3057,编号表!$E:$E,0))*10000+INDEX(编号表!$D:$D,MATCH(AG3057,编号表!$C:$C,0))*1000+F3057</f>
        <v>11936107</v>
      </c>
      <c r="C3057" s="14" t="s">
        <v>5641</v>
      </c>
      <c r="D3057" s="14" t="s">
        <v>276</v>
      </c>
      <c r="E3057" s="14" t="s">
        <v>98</v>
      </c>
      <c r="F3057" s="14">
        <v>107</v>
      </c>
      <c r="G3057" s="14">
        <v>60</v>
      </c>
      <c r="H3057" s="14" t="s">
        <v>1400</v>
      </c>
      <c r="I3057" s="14" t="s">
        <v>75</v>
      </c>
      <c r="J3057" s="14" t="s">
        <v>201</v>
      </c>
      <c r="K3057" s="14">
        <v>1</v>
      </c>
      <c r="L3057" s="14" t="s">
        <v>1400</v>
      </c>
      <c r="N3057" s="14">
        <v>0</v>
      </c>
      <c r="O3057" s="14" t="b">
        <v>1</v>
      </c>
      <c r="Q3057" s="14" t="b">
        <v>0</v>
      </c>
      <c r="R3057" s="14">
        <v>1</v>
      </c>
      <c r="S3057" s="14" t="s">
        <v>77</v>
      </c>
      <c r="T3057" s="14">
        <v>999</v>
      </c>
      <c r="U3057" s="14" t="s">
        <v>1401</v>
      </c>
      <c r="V3057" s="14">
        <v>31936107</v>
      </c>
      <c r="X3057" s="14" t="s">
        <v>5644</v>
      </c>
      <c r="Y3057" s="14" t="s">
        <v>215</v>
      </c>
      <c r="Z3057" s="14">
        <v>21820</v>
      </c>
      <c r="AA3057" s="14" t="s">
        <v>5645</v>
      </c>
      <c r="AB3057" s="14">
        <v>40001</v>
      </c>
      <c r="AE3057" s="14" t="s">
        <v>1400</v>
      </c>
      <c r="AF3057" s="14" t="s">
        <v>1400</v>
      </c>
      <c r="AG3057" s="14" t="s">
        <v>98</v>
      </c>
    </row>
    <row r="3058" spans="2:33">
      <c r="B3058" s="14">
        <f>10000000+INDEX(编号表!$B:$B,MATCH(H3058,编号表!$A:$A,0))*100000+INDEX(编号表!$F:$F,MATCH(D3058,编号表!$E:$E,0))*10000+INDEX(编号表!$D:$D,MATCH(AG3058,编号表!$C:$C,0))*1000+F3058</f>
        <v>11946108</v>
      </c>
      <c r="C3058" s="14" t="s">
        <v>5641</v>
      </c>
      <c r="D3058" s="14" t="s">
        <v>104</v>
      </c>
      <c r="E3058" s="14" t="s">
        <v>98</v>
      </c>
      <c r="F3058" s="14">
        <v>108</v>
      </c>
      <c r="G3058" s="14">
        <v>60</v>
      </c>
      <c r="H3058" s="14" t="s">
        <v>1400</v>
      </c>
      <c r="I3058" s="14" t="s">
        <v>75</v>
      </c>
      <c r="J3058" s="14" t="s">
        <v>201</v>
      </c>
      <c r="K3058" s="14">
        <v>1</v>
      </c>
      <c r="L3058" s="14" t="s">
        <v>1400</v>
      </c>
      <c r="N3058" s="14">
        <v>0</v>
      </c>
      <c r="O3058" s="14" t="b">
        <v>1</v>
      </c>
      <c r="Q3058" s="14" t="b">
        <v>0</v>
      </c>
      <c r="R3058" s="14">
        <v>1</v>
      </c>
      <c r="S3058" s="14" t="s">
        <v>77</v>
      </c>
      <c r="T3058" s="14">
        <v>999</v>
      </c>
      <c r="U3058" s="14" t="s">
        <v>1401</v>
      </c>
      <c r="V3058" s="14">
        <v>31946108</v>
      </c>
      <c r="X3058" s="14" t="s">
        <v>5646</v>
      </c>
      <c r="Y3058" s="14" t="s">
        <v>215</v>
      </c>
      <c r="Z3058" s="14">
        <v>21821</v>
      </c>
      <c r="AA3058" s="14" t="s">
        <v>5647</v>
      </c>
      <c r="AB3058" s="14">
        <v>40001</v>
      </c>
      <c r="AE3058" s="14" t="s">
        <v>1400</v>
      </c>
      <c r="AF3058" s="14" t="s">
        <v>1400</v>
      </c>
      <c r="AG3058" s="14" t="s">
        <v>98</v>
      </c>
    </row>
    <row r="3059" spans="2:33">
      <c r="B3059" s="14">
        <f>10000000+INDEX(编号表!$B:$B,MATCH(H3059,编号表!$A:$A,0))*100000+INDEX(编号表!$F:$F,MATCH(D3059,编号表!$E:$E,0))*10000+INDEX(编号表!$D:$D,MATCH(AG3059,编号表!$C:$C,0))*1000+F3059</f>
        <v>11926107</v>
      </c>
      <c r="C3059" s="14" t="s">
        <v>5648</v>
      </c>
      <c r="D3059" s="14" t="s">
        <v>112</v>
      </c>
      <c r="E3059" s="14" t="s">
        <v>98</v>
      </c>
      <c r="F3059" s="14">
        <v>107</v>
      </c>
      <c r="G3059" s="14">
        <v>60</v>
      </c>
      <c r="H3059" s="14" t="s">
        <v>1400</v>
      </c>
      <c r="I3059" s="14" t="s">
        <v>75</v>
      </c>
      <c r="J3059" s="14" t="s">
        <v>201</v>
      </c>
      <c r="K3059" s="14">
        <v>1</v>
      </c>
      <c r="L3059" s="14" t="s">
        <v>1400</v>
      </c>
      <c r="N3059" s="14">
        <v>0</v>
      </c>
      <c r="O3059" s="14" t="b">
        <v>1</v>
      </c>
      <c r="Q3059" s="14" t="b">
        <v>0</v>
      </c>
      <c r="R3059" s="14">
        <v>1</v>
      </c>
      <c r="S3059" s="14" t="s">
        <v>77</v>
      </c>
      <c r="T3059" s="14">
        <v>999</v>
      </c>
      <c r="U3059" s="14" t="s">
        <v>1401</v>
      </c>
      <c r="V3059" s="14">
        <v>31926107</v>
      </c>
      <c r="X3059" s="14" t="s">
        <v>5649</v>
      </c>
      <c r="Y3059" s="14" t="s">
        <v>215</v>
      </c>
      <c r="Z3059" s="14">
        <v>21822</v>
      </c>
      <c r="AA3059" s="14" t="s">
        <v>5650</v>
      </c>
      <c r="AB3059" s="14">
        <v>40001</v>
      </c>
      <c r="AE3059" s="14" t="s">
        <v>1400</v>
      </c>
      <c r="AF3059" s="14" t="s">
        <v>1400</v>
      </c>
      <c r="AG3059" s="14" t="s">
        <v>98</v>
      </c>
    </row>
    <row r="3060" spans="2:33">
      <c r="B3060" s="14">
        <f>10000000+INDEX(编号表!$B:$B,MATCH(H3060,编号表!$A:$A,0))*100000+INDEX(编号表!$F:$F,MATCH(D3060,编号表!$E:$E,0))*10000+INDEX(编号表!$D:$D,MATCH(AG3060,编号表!$C:$C,0))*1000+F3060</f>
        <v>11936108</v>
      </c>
      <c r="C3060" s="14" t="s">
        <v>5648</v>
      </c>
      <c r="D3060" s="14" t="s">
        <v>276</v>
      </c>
      <c r="E3060" s="14" t="s">
        <v>98</v>
      </c>
      <c r="F3060" s="14">
        <v>108</v>
      </c>
      <c r="G3060" s="14">
        <v>60</v>
      </c>
      <c r="H3060" s="14" t="s">
        <v>1400</v>
      </c>
      <c r="I3060" s="14" t="s">
        <v>75</v>
      </c>
      <c r="J3060" s="14" t="s">
        <v>201</v>
      </c>
      <c r="K3060" s="14">
        <v>1</v>
      </c>
      <c r="L3060" s="14" t="s">
        <v>1400</v>
      </c>
      <c r="N3060" s="14">
        <v>0</v>
      </c>
      <c r="O3060" s="14" t="b">
        <v>1</v>
      </c>
      <c r="Q3060" s="14" t="b">
        <v>0</v>
      </c>
      <c r="R3060" s="14">
        <v>1</v>
      </c>
      <c r="S3060" s="14" t="s">
        <v>77</v>
      </c>
      <c r="T3060" s="14">
        <v>999</v>
      </c>
      <c r="U3060" s="14" t="s">
        <v>1401</v>
      </c>
      <c r="V3060" s="14">
        <v>31936108</v>
      </c>
      <c r="X3060" s="14" t="s">
        <v>5651</v>
      </c>
      <c r="Y3060" s="14" t="s">
        <v>215</v>
      </c>
      <c r="Z3060" s="14">
        <v>21823</v>
      </c>
      <c r="AA3060" s="14" t="s">
        <v>5652</v>
      </c>
      <c r="AB3060" s="14">
        <v>40001</v>
      </c>
      <c r="AE3060" s="14" t="s">
        <v>1400</v>
      </c>
      <c r="AF3060" s="14" t="s">
        <v>1400</v>
      </c>
      <c r="AG3060" s="14" t="s">
        <v>98</v>
      </c>
    </row>
    <row r="3061" spans="2:33">
      <c r="B3061" s="14">
        <f>10000000+INDEX(编号表!$B:$B,MATCH(H3061,编号表!$A:$A,0))*100000+INDEX(编号表!$F:$F,MATCH(D3061,编号表!$E:$E,0))*10000+INDEX(编号表!$D:$D,MATCH(AG3061,编号表!$C:$C,0))*1000+F3061</f>
        <v>11946109</v>
      </c>
      <c r="C3061" s="14" t="s">
        <v>5648</v>
      </c>
      <c r="D3061" s="14" t="s">
        <v>104</v>
      </c>
      <c r="E3061" s="14" t="s">
        <v>98</v>
      </c>
      <c r="F3061" s="14">
        <v>109</v>
      </c>
      <c r="G3061" s="14">
        <v>60</v>
      </c>
      <c r="H3061" s="14" t="s">
        <v>1400</v>
      </c>
      <c r="I3061" s="14" t="s">
        <v>75</v>
      </c>
      <c r="J3061" s="14" t="s">
        <v>201</v>
      </c>
      <c r="K3061" s="14">
        <v>1</v>
      </c>
      <c r="L3061" s="14" t="s">
        <v>1400</v>
      </c>
      <c r="N3061" s="14">
        <v>0</v>
      </c>
      <c r="O3061" s="14" t="b">
        <v>1</v>
      </c>
      <c r="Q3061" s="14" t="b">
        <v>0</v>
      </c>
      <c r="R3061" s="14">
        <v>1</v>
      </c>
      <c r="S3061" s="14" t="s">
        <v>77</v>
      </c>
      <c r="T3061" s="14">
        <v>999</v>
      </c>
      <c r="U3061" s="14" t="s">
        <v>1401</v>
      </c>
      <c r="V3061" s="14">
        <v>31946109</v>
      </c>
      <c r="X3061" s="14" t="s">
        <v>5653</v>
      </c>
      <c r="Y3061" s="14" t="s">
        <v>215</v>
      </c>
      <c r="Z3061" s="14">
        <v>21824</v>
      </c>
      <c r="AA3061" s="14" t="s">
        <v>5654</v>
      </c>
      <c r="AB3061" s="14">
        <v>40001</v>
      </c>
      <c r="AE3061" s="14" t="s">
        <v>1400</v>
      </c>
      <c r="AF3061" s="14" t="s">
        <v>1400</v>
      </c>
      <c r="AG3061" s="14" t="s">
        <v>98</v>
      </c>
    </row>
    <row r="3062" spans="2:33">
      <c r="B3062" s="14">
        <f>10000000+INDEX(编号表!$B:$B,MATCH(H3062,编号表!$A:$A,0))*100000+INDEX(编号表!$F:$F,MATCH(D3062,编号表!$E:$E,0))*10000+INDEX(编号表!$D:$D,MATCH(AG3062,编号表!$C:$C,0))*1000+F3062</f>
        <v>11926108</v>
      </c>
      <c r="C3062" s="14" t="s">
        <v>5655</v>
      </c>
      <c r="D3062" s="14" t="s">
        <v>112</v>
      </c>
      <c r="E3062" s="14" t="s">
        <v>98</v>
      </c>
      <c r="F3062" s="14">
        <v>108</v>
      </c>
      <c r="G3062" s="14">
        <v>60</v>
      </c>
      <c r="H3062" s="14" t="s">
        <v>1400</v>
      </c>
      <c r="I3062" s="14" t="s">
        <v>75</v>
      </c>
      <c r="J3062" s="14" t="s">
        <v>201</v>
      </c>
      <c r="K3062" s="14">
        <v>1</v>
      </c>
      <c r="L3062" s="14" t="s">
        <v>1400</v>
      </c>
      <c r="N3062" s="14">
        <v>0</v>
      </c>
      <c r="O3062" s="14" t="b">
        <v>1</v>
      </c>
      <c r="Q3062" s="14" t="b">
        <v>0</v>
      </c>
      <c r="R3062" s="14">
        <v>1</v>
      </c>
      <c r="S3062" s="14" t="s">
        <v>77</v>
      </c>
      <c r="T3062" s="14">
        <v>999</v>
      </c>
      <c r="U3062" s="14" t="s">
        <v>1401</v>
      </c>
      <c r="V3062" s="14">
        <v>31926108</v>
      </c>
      <c r="X3062" s="14" t="s">
        <v>5656</v>
      </c>
      <c r="Y3062" s="14" t="s">
        <v>215</v>
      </c>
      <c r="Z3062" s="14">
        <v>21825</v>
      </c>
      <c r="AA3062" s="14" t="s">
        <v>5657</v>
      </c>
      <c r="AB3062" s="14">
        <v>40001</v>
      </c>
      <c r="AE3062" s="14" t="s">
        <v>1400</v>
      </c>
      <c r="AF3062" s="14" t="s">
        <v>1400</v>
      </c>
      <c r="AG3062" s="14" t="s">
        <v>98</v>
      </c>
    </row>
    <row r="3063" spans="2:33">
      <c r="B3063" s="14">
        <f>10000000+INDEX(编号表!$B:$B,MATCH(H3063,编号表!$A:$A,0))*100000+INDEX(编号表!$F:$F,MATCH(D3063,编号表!$E:$E,0))*10000+INDEX(编号表!$D:$D,MATCH(AG3063,编号表!$C:$C,0))*1000+F3063</f>
        <v>11936109</v>
      </c>
      <c r="C3063" s="14" t="s">
        <v>5655</v>
      </c>
      <c r="D3063" s="14" t="s">
        <v>276</v>
      </c>
      <c r="E3063" s="14" t="s">
        <v>98</v>
      </c>
      <c r="F3063" s="14">
        <v>109</v>
      </c>
      <c r="G3063" s="14">
        <v>60</v>
      </c>
      <c r="H3063" s="14" t="s">
        <v>1400</v>
      </c>
      <c r="I3063" s="14" t="s">
        <v>75</v>
      </c>
      <c r="J3063" s="14" t="s">
        <v>201</v>
      </c>
      <c r="K3063" s="14">
        <v>1</v>
      </c>
      <c r="L3063" s="14" t="s">
        <v>1400</v>
      </c>
      <c r="N3063" s="14">
        <v>0</v>
      </c>
      <c r="O3063" s="14" t="b">
        <v>1</v>
      </c>
      <c r="Q3063" s="14" t="b">
        <v>0</v>
      </c>
      <c r="R3063" s="14">
        <v>1</v>
      </c>
      <c r="S3063" s="14" t="s">
        <v>77</v>
      </c>
      <c r="T3063" s="14">
        <v>999</v>
      </c>
      <c r="U3063" s="14" t="s">
        <v>1401</v>
      </c>
      <c r="V3063" s="14">
        <v>31936109</v>
      </c>
      <c r="X3063" s="14" t="s">
        <v>5658</v>
      </c>
      <c r="Y3063" s="14" t="s">
        <v>215</v>
      </c>
      <c r="Z3063" s="14">
        <v>21826</v>
      </c>
      <c r="AA3063" s="14" t="s">
        <v>5659</v>
      </c>
      <c r="AB3063" s="14">
        <v>40001</v>
      </c>
      <c r="AE3063" s="14" t="s">
        <v>1400</v>
      </c>
      <c r="AF3063" s="14" t="s">
        <v>1400</v>
      </c>
      <c r="AG3063" s="14" t="s">
        <v>98</v>
      </c>
    </row>
    <row r="3064" spans="2:33">
      <c r="B3064" s="14">
        <f>10000000+INDEX(编号表!$B:$B,MATCH(H3064,编号表!$A:$A,0))*100000+INDEX(编号表!$F:$F,MATCH(D3064,编号表!$E:$E,0))*10000+INDEX(编号表!$D:$D,MATCH(AG3064,编号表!$C:$C,0))*1000+F3064</f>
        <v>11946110</v>
      </c>
      <c r="C3064" s="14" t="s">
        <v>5655</v>
      </c>
      <c r="D3064" s="14" t="s">
        <v>104</v>
      </c>
      <c r="E3064" s="14" t="s">
        <v>98</v>
      </c>
      <c r="F3064" s="14">
        <v>110</v>
      </c>
      <c r="G3064" s="14">
        <v>60</v>
      </c>
      <c r="H3064" s="14" t="s">
        <v>1400</v>
      </c>
      <c r="I3064" s="14" t="s">
        <v>75</v>
      </c>
      <c r="J3064" s="14" t="s">
        <v>201</v>
      </c>
      <c r="K3064" s="14">
        <v>1</v>
      </c>
      <c r="L3064" s="14" t="s">
        <v>1400</v>
      </c>
      <c r="N3064" s="14">
        <v>0</v>
      </c>
      <c r="O3064" s="14" t="b">
        <v>1</v>
      </c>
      <c r="Q3064" s="14" t="b">
        <v>0</v>
      </c>
      <c r="R3064" s="14">
        <v>1</v>
      </c>
      <c r="S3064" s="14" t="s">
        <v>77</v>
      </c>
      <c r="T3064" s="14">
        <v>999</v>
      </c>
      <c r="U3064" s="14" t="s">
        <v>1401</v>
      </c>
      <c r="V3064" s="14">
        <v>31946110</v>
      </c>
      <c r="X3064" s="14" t="s">
        <v>5660</v>
      </c>
      <c r="Y3064" s="14" t="s">
        <v>215</v>
      </c>
      <c r="Z3064" s="14">
        <v>21827</v>
      </c>
      <c r="AA3064" s="14" t="s">
        <v>5661</v>
      </c>
      <c r="AB3064" s="14">
        <v>40001</v>
      </c>
      <c r="AE3064" s="14" t="s">
        <v>1400</v>
      </c>
      <c r="AF3064" s="14" t="s">
        <v>1400</v>
      </c>
      <c r="AG3064" s="14" t="s">
        <v>98</v>
      </c>
    </row>
    <row r="3065" spans="2:33">
      <c r="B3065" s="14">
        <f>10000000+INDEX(编号表!$B:$B,MATCH(H3065,编号表!$A:$A,0))*100000+INDEX(编号表!$F:$F,MATCH(D3065,编号表!$E:$E,0))*10000+INDEX(编号表!$D:$D,MATCH(AG3065,编号表!$C:$C,0))*1000+F3065</f>
        <v>11926109</v>
      </c>
      <c r="C3065" s="14" t="s">
        <v>5662</v>
      </c>
      <c r="D3065" s="14" t="s">
        <v>112</v>
      </c>
      <c r="E3065" s="14" t="s">
        <v>98</v>
      </c>
      <c r="F3065" s="14">
        <v>109</v>
      </c>
      <c r="G3065" s="14">
        <v>60</v>
      </c>
      <c r="H3065" s="14" t="s">
        <v>1400</v>
      </c>
      <c r="I3065" s="14" t="s">
        <v>75</v>
      </c>
      <c r="J3065" s="14" t="s">
        <v>201</v>
      </c>
      <c r="K3065" s="14">
        <v>1</v>
      </c>
      <c r="L3065" s="14" t="s">
        <v>1400</v>
      </c>
      <c r="N3065" s="14">
        <v>0</v>
      </c>
      <c r="O3065" s="14" t="b">
        <v>1</v>
      </c>
      <c r="Q3065" s="14" t="b">
        <v>0</v>
      </c>
      <c r="R3065" s="14">
        <v>1</v>
      </c>
      <c r="S3065" s="14" t="s">
        <v>77</v>
      </c>
      <c r="T3065" s="14">
        <v>999</v>
      </c>
      <c r="U3065" s="14" t="s">
        <v>1401</v>
      </c>
      <c r="V3065" s="14">
        <v>31926109</v>
      </c>
      <c r="X3065" s="14" t="s">
        <v>5663</v>
      </c>
      <c r="Y3065" s="14" t="s">
        <v>215</v>
      </c>
      <c r="Z3065" s="14">
        <v>21828</v>
      </c>
      <c r="AA3065" s="14" t="s">
        <v>5664</v>
      </c>
      <c r="AB3065" s="14">
        <v>40001</v>
      </c>
      <c r="AE3065" s="14" t="s">
        <v>1400</v>
      </c>
      <c r="AF3065" s="14" t="s">
        <v>1400</v>
      </c>
      <c r="AG3065" s="14" t="s">
        <v>98</v>
      </c>
    </row>
    <row r="3066" spans="2:33">
      <c r="B3066" s="14">
        <f>10000000+INDEX(编号表!$B:$B,MATCH(H3066,编号表!$A:$A,0))*100000+INDEX(编号表!$F:$F,MATCH(D3066,编号表!$E:$E,0))*10000+INDEX(编号表!$D:$D,MATCH(AG3066,编号表!$C:$C,0))*1000+F3066</f>
        <v>11936110</v>
      </c>
      <c r="C3066" s="14" t="s">
        <v>5662</v>
      </c>
      <c r="D3066" s="14" t="s">
        <v>276</v>
      </c>
      <c r="E3066" s="14" t="s">
        <v>98</v>
      </c>
      <c r="F3066" s="14">
        <v>110</v>
      </c>
      <c r="G3066" s="14">
        <v>60</v>
      </c>
      <c r="H3066" s="14" t="s">
        <v>1400</v>
      </c>
      <c r="I3066" s="14" t="s">
        <v>75</v>
      </c>
      <c r="J3066" s="14" t="s">
        <v>201</v>
      </c>
      <c r="K3066" s="14">
        <v>1</v>
      </c>
      <c r="L3066" s="14" t="s">
        <v>1400</v>
      </c>
      <c r="N3066" s="14">
        <v>0</v>
      </c>
      <c r="O3066" s="14" t="b">
        <v>1</v>
      </c>
      <c r="Q3066" s="14" t="b">
        <v>0</v>
      </c>
      <c r="R3066" s="14">
        <v>1</v>
      </c>
      <c r="S3066" s="14" t="s">
        <v>77</v>
      </c>
      <c r="T3066" s="14">
        <v>999</v>
      </c>
      <c r="U3066" s="14" t="s">
        <v>1401</v>
      </c>
      <c r="V3066" s="14">
        <v>31936110</v>
      </c>
      <c r="X3066" s="14" t="s">
        <v>5665</v>
      </c>
      <c r="Y3066" s="14" t="s">
        <v>215</v>
      </c>
      <c r="Z3066" s="14">
        <v>21829</v>
      </c>
      <c r="AA3066" s="14" t="s">
        <v>5666</v>
      </c>
      <c r="AB3066" s="14">
        <v>40001</v>
      </c>
      <c r="AE3066" s="14" t="s">
        <v>1400</v>
      </c>
      <c r="AF3066" s="14" t="s">
        <v>1400</v>
      </c>
      <c r="AG3066" s="14" t="s">
        <v>98</v>
      </c>
    </row>
    <row r="3067" spans="2:33">
      <c r="B3067" s="14">
        <f>10000000+INDEX(编号表!$B:$B,MATCH(H3067,编号表!$A:$A,0))*100000+INDEX(编号表!$F:$F,MATCH(D3067,编号表!$E:$E,0))*10000+INDEX(编号表!$D:$D,MATCH(AG3067,编号表!$C:$C,0))*1000+F3067</f>
        <v>11946111</v>
      </c>
      <c r="C3067" s="14" t="s">
        <v>5662</v>
      </c>
      <c r="D3067" s="14" t="s">
        <v>104</v>
      </c>
      <c r="E3067" s="14" t="s">
        <v>98</v>
      </c>
      <c r="F3067" s="14">
        <v>111</v>
      </c>
      <c r="G3067" s="14">
        <v>60</v>
      </c>
      <c r="H3067" s="14" t="s">
        <v>1400</v>
      </c>
      <c r="I3067" s="14" t="s">
        <v>75</v>
      </c>
      <c r="J3067" s="14" t="s">
        <v>201</v>
      </c>
      <c r="K3067" s="14">
        <v>1</v>
      </c>
      <c r="L3067" s="14" t="s">
        <v>1400</v>
      </c>
      <c r="N3067" s="14">
        <v>0</v>
      </c>
      <c r="O3067" s="14" t="b">
        <v>1</v>
      </c>
      <c r="Q3067" s="14" t="b">
        <v>0</v>
      </c>
      <c r="R3067" s="14">
        <v>1</v>
      </c>
      <c r="S3067" s="14" t="s">
        <v>77</v>
      </c>
      <c r="T3067" s="14">
        <v>999</v>
      </c>
      <c r="U3067" s="14" t="s">
        <v>1401</v>
      </c>
      <c r="V3067" s="14">
        <v>31946111</v>
      </c>
      <c r="X3067" s="14" t="s">
        <v>5667</v>
      </c>
      <c r="Y3067" s="14" t="s">
        <v>215</v>
      </c>
      <c r="Z3067" s="14">
        <v>21830</v>
      </c>
      <c r="AA3067" s="14" t="s">
        <v>5668</v>
      </c>
      <c r="AB3067" s="14">
        <v>40001</v>
      </c>
      <c r="AE3067" s="14" t="s">
        <v>1400</v>
      </c>
      <c r="AF3067" s="14" t="s">
        <v>1400</v>
      </c>
      <c r="AG3067" s="14" t="s">
        <v>98</v>
      </c>
    </row>
    <row r="3068" spans="2:33">
      <c r="B3068" s="14">
        <f>10000000+INDEX(编号表!$B:$B,MATCH(H3068,编号表!$A:$A,0))*100000+INDEX(编号表!$F:$F,MATCH(D3068,编号表!$E:$E,0))*10000+INDEX(编号表!$D:$D,MATCH(AG3068,编号表!$C:$C,0))*1000+F3068</f>
        <v>11926110</v>
      </c>
      <c r="C3068" s="14" t="s">
        <v>5669</v>
      </c>
      <c r="D3068" s="14" t="s">
        <v>112</v>
      </c>
      <c r="E3068" s="14" t="s">
        <v>98</v>
      </c>
      <c r="F3068" s="14">
        <v>110</v>
      </c>
      <c r="G3068" s="14">
        <v>60</v>
      </c>
      <c r="H3068" s="14" t="s">
        <v>1400</v>
      </c>
      <c r="I3068" s="14" t="s">
        <v>75</v>
      </c>
      <c r="J3068" s="14" t="s">
        <v>201</v>
      </c>
      <c r="K3068" s="14">
        <v>1</v>
      </c>
      <c r="L3068" s="14" t="s">
        <v>1400</v>
      </c>
      <c r="N3068" s="14">
        <v>0</v>
      </c>
      <c r="O3068" s="14" t="b">
        <v>1</v>
      </c>
      <c r="Q3068" s="14" t="b">
        <v>0</v>
      </c>
      <c r="R3068" s="14">
        <v>1</v>
      </c>
      <c r="S3068" s="14" t="s">
        <v>77</v>
      </c>
      <c r="T3068" s="14">
        <v>999</v>
      </c>
      <c r="U3068" s="14" t="s">
        <v>1401</v>
      </c>
      <c r="V3068" s="14">
        <v>31926110</v>
      </c>
      <c r="X3068" s="14" t="s">
        <v>5670</v>
      </c>
      <c r="Y3068" s="14" t="s">
        <v>215</v>
      </c>
      <c r="Z3068" s="14">
        <v>21831</v>
      </c>
      <c r="AA3068" s="14" t="s">
        <v>5671</v>
      </c>
      <c r="AB3068" s="14">
        <v>40001</v>
      </c>
      <c r="AE3068" s="14" t="s">
        <v>1400</v>
      </c>
      <c r="AF3068" s="14" t="s">
        <v>1400</v>
      </c>
      <c r="AG3068" s="14" t="s">
        <v>98</v>
      </c>
    </row>
    <row r="3069" spans="2:33">
      <c r="B3069" s="14">
        <f>10000000+INDEX(编号表!$B:$B,MATCH(H3069,编号表!$A:$A,0))*100000+INDEX(编号表!$F:$F,MATCH(D3069,编号表!$E:$E,0))*10000+INDEX(编号表!$D:$D,MATCH(AG3069,编号表!$C:$C,0))*1000+F3069</f>
        <v>11936111</v>
      </c>
      <c r="C3069" s="14" t="s">
        <v>5669</v>
      </c>
      <c r="D3069" s="14" t="s">
        <v>276</v>
      </c>
      <c r="E3069" s="14" t="s">
        <v>98</v>
      </c>
      <c r="F3069" s="14">
        <v>111</v>
      </c>
      <c r="G3069" s="14">
        <v>60</v>
      </c>
      <c r="H3069" s="14" t="s">
        <v>1400</v>
      </c>
      <c r="I3069" s="14" t="s">
        <v>75</v>
      </c>
      <c r="J3069" s="14" t="s">
        <v>201</v>
      </c>
      <c r="K3069" s="14">
        <v>1</v>
      </c>
      <c r="L3069" s="14" t="s">
        <v>1400</v>
      </c>
      <c r="N3069" s="14">
        <v>0</v>
      </c>
      <c r="O3069" s="14" t="b">
        <v>1</v>
      </c>
      <c r="Q3069" s="14" t="b">
        <v>0</v>
      </c>
      <c r="R3069" s="14">
        <v>1</v>
      </c>
      <c r="S3069" s="14" t="s">
        <v>77</v>
      </c>
      <c r="T3069" s="14">
        <v>999</v>
      </c>
      <c r="U3069" s="14" t="s">
        <v>1401</v>
      </c>
      <c r="V3069" s="14">
        <v>31936111</v>
      </c>
      <c r="X3069" s="14" t="s">
        <v>5672</v>
      </c>
      <c r="Y3069" s="14" t="s">
        <v>215</v>
      </c>
      <c r="Z3069" s="14">
        <v>21832</v>
      </c>
      <c r="AA3069" s="14" t="s">
        <v>5673</v>
      </c>
      <c r="AB3069" s="14">
        <v>40001</v>
      </c>
      <c r="AE3069" s="14" t="s">
        <v>1400</v>
      </c>
      <c r="AF3069" s="14" t="s">
        <v>1400</v>
      </c>
      <c r="AG3069" s="14" t="s">
        <v>98</v>
      </c>
    </row>
    <row r="3070" spans="2:33">
      <c r="B3070" s="14">
        <f>10000000+INDEX(编号表!$B:$B,MATCH(H3070,编号表!$A:$A,0))*100000+INDEX(编号表!$F:$F,MATCH(D3070,编号表!$E:$E,0))*10000+INDEX(编号表!$D:$D,MATCH(AG3070,编号表!$C:$C,0))*1000+F3070</f>
        <v>11946112</v>
      </c>
      <c r="C3070" s="14" t="s">
        <v>5669</v>
      </c>
      <c r="D3070" s="14" t="s">
        <v>104</v>
      </c>
      <c r="E3070" s="14" t="s">
        <v>98</v>
      </c>
      <c r="F3070" s="14">
        <v>112</v>
      </c>
      <c r="G3070" s="14">
        <v>60</v>
      </c>
      <c r="H3070" s="14" t="s">
        <v>1400</v>
      </c>
      <c r="I3070" s="14" t="s">
        <v>75</v>
      </c>
      <c r="J3070" s="14" t="s">
        <v>201</v>
      </c>
      <c r="K3070" s="14">
        <v>1</v>
      </c>
      <c r="L3070" s="14" t="s">
        <v>1400</v>
      </c>
      <c r="N3070" s="14">
        <v>0</v>
      </c>
      <c r="O3070" s="14" t="b">
        <v>1</v>
      </c>
      <c r="Q3070" s="14" t="b">
        <v>0</v>
      </c>
      <c r="R3070" s="14">
        <v>1</v>
      </c>
      <c r="S3070" s="14" t="s">
        <v>77</v>
      </c>
      <c r="T3070" s="14">
        <v>999</v>
      </c>
      <c r="U3070" s="14" t="s">
        <v>1401</v>
      </c>
      <c r="V3070" s="14">
        <v>31946112</v>
      </c>
      <c r="X3070" s="14" t="s">
        <v>5674</v>
      </c>
      <c r="Y3070" s="14" t="s">
        <v>215</v>
      </c>
      <c r="Z3070" s="14">
        <v>21833</v>
      </c>
      <c r="AA3070" s="14" t="s">
        <v>5675</v>
      </c>
      <c r="AB3070" s="14">
        <v>40001</v>
      </c>
      <c r="AE3070" s="14" t="s">
        <v>1400</v>
      </c>
      <c r="AF3070" s="14" t="s">
        <v>1400</v>
      </c>
      <c r="AG3070" s="14" t="s">
        <v>98</v>
      </c>
    </row>
    <row r="3071" spans="2:33">
      <c r="B3071" s="14">
        <f>10000000+INDEX(编号表!$B:$B,MATCH(H3071,编号表!$A:$A,0))*100000+INDEX(编号表!$F:$F,MATCH(D3071,编号表!$E:$E,0))*10000+INDEX(编号表!$D:$D,MATCH(AG3071,编号表!$C:$C,0))*1000+F3071</f>
        <v>11926111</v>
      </c>
      <c r="C3071" s="14" t="s">
        <v>5676</v>
      </c>
      <c r="D3071" s="14" t="s">
        <v>112</v>
      </c>
      <c r="E3071" s="14" t="s">
        <v>98</v>
      </c>
      <c r="F3071" s="14">
        <v>111</v>
      </c>
      <c r="G3071" s="14">
        <v>60</v>
      </c>
      <c r="H3071" s="14" t="s">
        <v>1400</v>
      </c>
      <c r="I3071" s="14" t="s">
        <v>75</v>
      </c>
      <c r="J3071" s="14" t="s">
        <v>201</v>
      </c>
      <c r="K3071" s="14">
        <v>1</v>
      </c>
      <c r="L3071" s="14" t="s">
        <v>1400</v>
      </c>
      <c r="N3071" s="14">
        <v>0</v>
      </c>
      <c r="O3071" s="14" t="b">
        <v>1</v>
      </c>
      <c r="Q3071" s="14" t="b">
        <v>0</v>
      </c>
      <c r="R3071" s="14">
        <v>1</v>
      </c>
      <c r="S3071" s="14" t="s">
        <v>77</v>
      </c>
      <c r="T3071" s="14">
        <v>999</v>
      </c>
      <c r="U3071" s="14" t="s">
        <v>1401</v>
      </c>
      <c r="V3071" s="14">
        <v>31926111</v>
      </c>
      <c r="X3071" s="14" t="s">
        <v>5677</v>
      </c>
      <c r="Y3071" s="14" t="s">
        <v>215</v>
      </c>
      <c r="Z3071" s="14">
        <v>21834</v>
      </c>
      <c r="AA3071" s="14" t="s">
        <v>5678</v>
      </c>
      <c r="AB3071" s="14">
        <v>40001</v>
      </c>
      <c r="AE3071" s="14" t="s">
        <v>1400</v>
      </c>
      <c r="AF3071" s="14" t="s">
        <v>1400</v>
      </c>
      <c r="AG3071" s="14" t="s">
        <v>98</v>
      </c>
    </row>
    <row r="3072" spans="2:33">
      <c r="B3072" s="14">
        <f>10000000+INDEX(编号表!$B:$B,MATCH(H3072,编号表!$A:$A,0))*100000+INDEX(编号表!$F:$F,MATCH(D3072,编号表!$E:$E,0))*10000+INDEX(编号表!$D:$D,MATCH(AG3072,编号表!$C:$C,0))*1000+F3072</f>
        <v>11936112</v>
      </c>
      <c r="C3072" s="14" t="s">
        <v>5676</v>
      </c>
      <c r="D3072" s="14" t="s">
        <v>276</v>
      </c>
      <c r="E3072" s="14" t="s">
        <v>98</v>
      </c>
      <c r="F3072" s="14">
        <v>112</v>
      </c>
      <c r="G3072" s="14">
        <v>60</v>
      </c>
      <c r="H3072" s="14" t="s">
        <v>1400</v>
      </c>
      <c r="I3072" s="14" t="s">
        <v>75</v>
      </c>
      <c r="J3072" s="14" t="s">
        <v>201</v>
      </c>
      <c r="K3072" s="14">
        <v>1</v>
      </c>
      <c r="L3072" s="14" t="s">
        <v>1400</v>
      </c>
      <c r="N3072" s="14">
        <v>0</v>
      </c>
      <c r="O3072" s="14" t="b">
        <v>1</v>
      </c>
      <c r="Q3072" s="14" t="b">
        <v>0</v>
      </c>
      <c r="R3072" s="14">
        <v>1</v>
      </c>
      <c r="S3072" s="14" t="s">
        <v>77</v>
      </c>
      <c r="T3072" s="14">
        <v>999</v>
      </c>
      <c r="U3072" s="14" t="s">
        <v>1401</v>
      </c>
      <c r="V3072" s="14">
        <v>31936112</v>
      </c>
      <c r="X3072" s="14" t="s">
        <v>5679</v>
      </c>
      <c r="Y3072" s="14" t="s">
        <v>215</v>
      </c>
      <c r="Z3072" s="14">
        <v>21835</v>
      </c>
      <c r="AA3072" s="14" t="s">
        <v>5680</v>
      </c>
      <c r="AB3072" s="14">
        <v>40001</v>
      </c>
      <c r="AE3072" s="14" t="s">
        <v>1400</v>
      </c>
      <c r="AF3072" s="14" t="s">
        <v>1400</v>
      </c>
      <c r="AG3072" s="14" t="s">
        <v>98</v>
      </c>
    </row>
    <row r="3073" spans="2:33">
      <c r="B3073" s="14">
        <f>10000000+INDEX(编号表!$B:$B,MATCH(H3073,编号表!$A:$A,0))*100000+INDEX(编号表!$F:$F,MATCH(D3073,编号表!$E:$E,0))*10000+INDEX(编号表!$D:$D,MATCH(AG3073,编号表!$C:$C,0))*1000+F3073</f>
        <v>11946113</v>
      </c>
      <c r="C3073" s="14" t="s">
        <v>5676</v>
      </c>
      <c r="D3073" s="14" t="s">
        <v>104</v>
      </c>
      <c r="E3073" s="14" t="s">
        <v>98</v>
      </c>
      <c r="F3073" s="14">
        <v>113</v>
      </c>
      <c r="G3073" s="14">
        <v>60</v>
      </c>
      <c r="H3073" s="14" t="s">
        <v>1400</v>
      </c>
      <c r="I3073" s="14" t="s">
        <v>75</v>
      </c>
      <c r="J3073" s="14" t="s">
        <v>201</v>
      </c>
      <c r="K3073" s="14">
        <v>1</v>
      </c>
      <c r="L3073" s="14" t="s">
        <v>1400</v>
      </c>
      <c r="N3073" s="14">
        <v>0</v>
      </c>
      <c r="O3073" s="14" t="b">
        <v>1</v>
      </c>
      <c r="Q3073" s="14" t="b">
        <v>0</v>
      </c>
      <c r="R3073" s="14">
        <v>1</v>
      </c>
      <c r="S3073" s="14" t="s">
        <v>77</v>
      </c>
      <c r="T3073" s="14">
        <v>999</v>
      </c>
      <c r="U3073" s="14" t="s">
        <v>1401</v>
      </c>
      <c r="V3073" s="14">
        <v>31946113</v>
      </c>
      <c r="X3073" s="14" t="s">
        <v>5681</v>
      </c>
      <c r="Y3073" s="14" t="s">
        <v>215</v>
      </c>
      <c r="Z3073" s="14">
        <v>21836</v>
      </c>
      <c r="AA3073" s="14" t="s">
        <v>5682</v>
      </c>
      <c r="AB3073" s="14">
        <v>40001</v>
      </c>
      <c r="AE3073" s="14" t="s">
        <v>1400</v>
      </c>
      <c r="AF3073" s="14" t="s">
        <v>1400</v>
      </c>
      <c r="AG3073" s="14" t="s">
        <v>98</v>
      </c>
    </row>
    <row r="3074" spans="2:33">
      <c r="B3074" s="14">
        <f>10000000+INDEX(编号表!$B:$B,MATCH(H3074,编号表!$A:$A,0))*100000+INDEX(编号表!$F:$F,MATCH(D3074,编号表!$E:$E,0))*10000+INDEX(编号表!$D:$D,MATCH(AG3074,编号表!$C:$C,0))*1000+F3074</f>
        <v>11926112</v>
      </c>
      <c r="C3074" s="14" t="s">
        <v>5683</v>
      </c>
      <c r="D3074" s="14" t="s">
        <v>112</v>
      </c>
      <c r="E3074" s="14" t="s">
        <v>98</v>
      </c>
      <c r="F3074" s="14">
        <v>112</v>
      </c>
      <c r="G3074" s="14">
        <v>60</v>
      </c>
      <c r="H3074" s="14" t="s">
        <v>1400</v>
      </c>
      <c r="I3074" s="14" t="s">
        <v>75</v>
      </c>
      <c r="J3074" s="14" t="s">
        <v>201</v>
      </c>
      <c r="K3074" s="14">
        <v>1</v>
      </c>
      <c r="L3074" s="14" t="s">
        <v>1400</v>
      </c>
      <c r="N3074" s="14">
        <v>0</v>
      </c>
      <c r="O3074" s="14" t="b">
        <v>1</v>
      </c>
      <c r="Q3074" s="14" t="b">
        <v>0</v>
      </c>
      <c r="R3074" s="14">
        <v>1</v>
      </c>
      <c r="S3074" s="14" t="s">
        <v>77</v>
      </c>
      <c r="T3074" s="14">
        <v>999</v>
      </c>
      <c r="U3074" s="14" t="s">
        <v>1401</v>
      </c>
      <c r="V3074" s="14">
        <v>31926112</v>
      </c>
      <c r="X3074" s="14" t="s">
        <v>5684</v>
      </c>
      <c r="Y3074" s="14" t="s">
        <v>215</v>
      </c>
      <c r="Z3074" s="14">
        <v>21837</v>
      </c>
      <c r="AA3074" s="14" t="s">
        <v>5685</v>
      </c>
      <c r="AB3074" s="14">
        <v>40001</v>
      </c>
      <c r="AE3074" s="14" t="s">
        <v>1400</v>
      </c>
      <c r="AF3074" s="14" t="s">
        <v>1400</v>
      </c>
      <c r="AG3074" s="14" t="s">
        <v>98</v>
      </c>
    </row>
    <row r="3075" spans="2:33">
      <c r="B3075" s="14">
        <f>10000000+INDEX(编号表!$B:$B,MATCH(H3075,编号表!$A:$A,0))*100000+INDEX(编号表!$F:$F,MATCH(D3075,编号表!$E:$E,0))*10000+INDEX(编号表!$D:$D,MATCH(AG3075,编号表!$C:$C,0))*1000+F3075</f>
        <v>11936113</v>
      </c>
      <c r="C3075" s="14" t="s">
        <v>5683</v>
      </c>
      <c r="D3075" s="14" t="s">
        <v>276</v>
      </c>
      <c r="E3075" s="14" t="s">
        <v>98</v>
      </c>
      <c r="F3075" s="14">
        <v>113</v>
      </c>
      <c r="G3075" s="14">
        <v>60</v>
      </c>
      <c r="H3075" s="14" t="s">
        <v>1400</v>
      </c>
      <c r="I3075" s="14" t="s">
        <v>75</v>
      </c>
      <c r="J3075" s="14" t="s">
        <v>201</v>
      </c>
      <c r="K3075" s="14">
        <v>1</v>
      </c>
      <c r="L3075" s="14" t="s">
        <v>1400</v>
      </c>
      <c r="N3075" s="14">
        <v>0</v>
      </c>
      <c r="O3075" s="14" t="b">
        <v>1</v>
      </c>
      <c r="Q3075" s="14" t="b">
        <v>0</v>
      </c>
      <c r="R3075" s="14">
        <v>1</v>
      </c>
      <c r="S3075" s="14" t="s">
        <v>77</v>
      </c>
      <c r="T3075" s="14">
        <v>999</v>
      </c>
      <c r="U3075" s="14" t="s">
        <v>1401</v>
      </c>
      <c r="V3075" s="14">
        <v>31936113</v>
      </c>
      <c r="X3075" s="14" t="s">
        <v>5686</v>
      </c>
      <c r="Y3075" s="14" t="s">
        <v>215</v>
      </c>
      <c r="Z3075" s="14">
        <v>21838</v>
      </c>
      <c r="AA3075" s="14" t="s">
        <v>5687</v>
      </c>
      <c r="AB3075" s="14">
        <v>40001</v>
      </c>
      <c r="AE3075" s="14" t="s">
        <v>1400</v>
      </c>
      <c r="AF3075" s="14" t="s">
        <v>1400</v>
      </c>
      <c r="AG3075" s="14" t="s">
        <v>98</v>
      </c>
    </row>
    <row r="3076" spans="2:33">
      <c r="B3076" s="14">
        <f>10000000+INDEX(编号表!$B:$B,MATCH(H3076,编号表!$A:$A,0))*100000+INDEX(编号表!$F:$F,MATCH(D3076,编号表!$E:$E,0))*10000+INDEX(编号表!$D:$D,MATCH(AG3076,编号表!$C:$C,0))*1000+F3076</f>
        <v>11946114</v>
      </c>
      <c r="C3076" s="14" t="s">
        <v>5683</v>
      </c>
      <c r="D3076" s="14" t="s">
        <v>104</v>
      </c>
      <c r="E3076" s="14" t="s">
        <v>98</v>
      </c>
      <c r="F3076" s="14">
        <v>114</v>
      </c>
      <c r="G3076" s="14">
        <v>60</v>
      </c>
      <c r="H3076" s="14" t="s">
        <v>1400</v>
      </c>
      <c r="I3076" s="14" t="s">
        <v>75</v>
      </c>
      <c r="J3076" s="14" t="s">
        <v>201</v>
      </c>
      <c r="K3076" s="14">
        <v>1</v>
      </c>
      <c r="L3076" s="14" t="s">
        <v>1400</v>
      </c>
      <c r="N3076" s="14">
        <v>0</v>
      </c>
      <c r="O3076" s="14" t="b">
        <v>1</v>
      </c>
      <c r="Q3076" s="14" t="b">
        <v>0</v>
      </c>
      <c r="R3076" s="14">
        <v>1</v>
      </c>
      <c r="S3076" s="14" t="s">
        <v>77</v>
      </c>
      <c r="T3076" s="14">
        <v>999</v>
      </c>
      <c r="U3076" s="14" t="s">
        <v>1401</v>
      </c>
      <c r="V3076" s="14">
        <v>31946114</v>
      </c>
      <c r="X3076" s="14" t="s">
        <v>5688</v>
      </c>
      <c r="Y3076" s="14" t="s">
        <v>215</v>
      </c>
      <c r="Z3076" s="14">
        <v>21839</v>
      </c>
      <c r="AA3076" s="14" t="s">
        <v>5689</v>
      </c>
      <c r="AB3076" s="14">
        <v>40001</v>
      </c>
      <c r="AE3076" s="14" t="s">
        <v>1400</v>
      </c>
      <c r="AF3076" s="14" t="s">
        <v>1400</v>
      </c>
      <c r="AG3076" s="14" t="s">
        <v>98</v>
      </c>
    </row>
    <row r="3077" spans="2:33">
      <c r="B3077" s="14">
        <f>10000000+INDEX(编号表!$B:$B,MATCH(H3077,编号表!$A:$A,0))*100000+INDEX(编号表!$F:$F,MATCH(D3077,编号表!$E:$E,0))*10000+INDEX(编号表!$D:$D,MATCH(AG3077,编号表!$C:$C,0))*1000+F3077</f>
        <v>11926113</v>
      </c>
      <c r="C3077" s="14" t="s">
        <v>5690</v>
      </c>
      <c r="D3077" s="14" t="s">
        <v>112</v>
      </c>
      <c r="E3077" s="14" t="s">
        <v>98</v>
      </c>
      <c r="F3077" s="14">
        <v>113</v>
      </c>
      <c r="G3077" s="14">
        <v>60</v>
      </c>
      <c r="H3077" s="14" t="s">
        <v>1400</v>
      </c>
      <c r="I3077" s="14" t="s">
        <v>75</v>
      </c>
      <c r="J3077" s="14" t="s">
        <v>201</v>
      </c>
      <c r="K3077" s="14">
        <v>1</v>
      </c>
      <c r="L3077" s="14" t="s">
        <v>1400</v>
      </c>
      <c r="N3077" s="14">
        <v>0</v>
      </c>
      <c r="O3077" s="14" t="b">
        <v>1</v>
      </c>
      <c r="Q3077" s="14" t="b">
        <v>0</v>
      </c>
      <c r="R3077" s="14">
        <v>1</v>
      </c>
      <c r="S3077" s="14" t="s">
        <v>77</v>
      </c>
      <c r="T3077" s="14">
        <v>999</v>
      </c>
      <c r="U3077" s="14" t="s">
        <v>1401</v>
      </c>
      <c r="V3077" s="14">
        <v>31926113</v>
      </c>
      <c r="X3077" s="14" t="s">
        <v>5691</v>
      </c>
      <c r="Y3077" s="14" t="s">
        <v>215</v>
      </c>
      <c r="Z3077" s="14">
        <v>21840</v>
      </c>
      <c r="AA3077" s="14" t="s">
        <v>5692</v>
      </c>
      <c r="AB3077" s="14">
        <v>40001</v>
      </c>
      <c r="AE3077" s="14" t="s">
        <v>1400</v>
      </c>
      <c r="AF3077" s="14" t="s">
        <v>1400</v>
      </c>
      <c r="AG3077" s="14" t="s">
        <v>98</v>
      </c>
    </row>
    <row r="3078" spans="2:33">
      <c r="B3078" s="14">
        <f>10000000+INDEX(编号表!$B:$B,MATCH(H3078,编号表!$A:$A,0))*100000+INDEX(编号表!$F:$F,MATCH(D3078,编号表!$E:$E,0))*10000+INDEX(编号表!$D:$D,MATCH(AG3078,编号表!$C:$C,0))*1000+F3078</f>
        <v>11936114</v>
      </c>
      <c r="C3078" s="14" t="s">
        <v>5690</v>
      </c>
      <c r="D3078" s="14" t="s">
        <v>276</v>
      </c>
      <c r="E3078" s="14" t="s">
        <v>98</v>
      </c>
      <c r="F3078" s="14">
        <v>114</v>
      </c>
      <c r="G3078" s="14">
        <v>60</v>
      </c>
      <c r="H3078" s="14" t="s">
        <v>1400</v>
      </c>
      <c r="I3078" s="14" t="s">
        <v>75</v>
      </c>
      <c r="J3078" s="14" t="s">
        <v>201</v>
      </c>
      <c r="K3078" s="14">
        <v>1</v>
      </c>
      <c r="L3078" s="14" t="s">
        <v>1400</v>
      </c>
      <c r="N3078" s="14">
        <v>0</v>
      </c>
      <c r="O3078" s="14" t="b">
        <v>1</v>
      </c>
      <c r="Q3078" s="14" t="b">
        <v>0</v>
      </c>
      <c r="R3078" s="14">
        <v>1</v>
      </c>
      <c r="S3078" s="14" t="s">
        <v>77</v>
      </c>
      <c r="T3078" s="14">
        <v>999</v>
      </c>
      <c r="U3078" s="14" t="s">
        <v>1401</v>
      </c>
      <c r="V3078" s="14">
        <v>31936114</v>
      </c>
      <c r="X3078" s="14" t="s">
        <v>5693</v>
      </c>
      <c r="Y3078" s="14" t="s">
        <v>215</v>
      </c>
      <c r="Z3078" s="14">
        <v>21841</v>
      </c>
      <c r="AA3078" s="14" t="s">
        <v>5694</v>
      </c>
      <c r="AB3078" s="14">
        <v>40001</v>
      </c>
      <c r="AE3078" s="14" t="s">
        <v>1400</v>
      </c>
      <c r="AF3078" s="14" t="s">
        <v>1400</v>
      </c>
      <c r="AG3078" s="14" t="s">
        <v>98</v>
      </c>
    </row>
    <row r="3079" spans="2:33">
      <c r="B3079" s="14">
        <f>10000000+INDEX(编号表!$B:$B,MATCH(H3079,编号表!$A:$A,0))*100000+INDEX(编号表!$F:$F,MATCH(D3079,编号表!$E:$E,0))*10000+INDEX(编号表!$D:$D,MATCH(AG3079,编号表!$C:$C,0))*1000+F3079</f>
        <v>11946115</v>
      </c>
      <c r="C3079" s="14" t="s">
        <v>5690</v>
      </c>
      <c r="D3079" s="14" t="s">
        <v>104</v>
      </c>
      <c r="E3079" s="14" t="s">
        <v>98</v>
      </c>
      <c r="F3079" s="14">
        <v>115</v>
      </c>
      <c r="G3079" s="14">
        <v>60</v>
      </c>
      <c r="H3079" s="14" t="s">
        <v>1400</v>
      </c>
      <c r="I3079" s="14" t="s">
        <v>75</v>
      </c>
      <c r="J3079" s="14" t="s">
        <v>201</v>
      </c>
      <c r="K3079" s="14">
        <v>1</v>
      </c>
      <c r="L3079" s="14" t="s">
        <v>1400</v>
      </c>
      <c r="N3079" s="14">
        <v>0</v>
      </c>
      <c r="O3079" s="14" t="b">
        <v>1</v>
      </c>
      <c r="Q3079" s="14" t="b">
        <v>0</v>
      </c>
      <c r="R3079" s="14">
        <v>1</v>
      </c>
      <c r="S3079" s="14" t="s">
        <v>77</v>
      </c>
      <c r="T3079" s="14">
        <v>999</v>
      </c>
      <c r="U3079" s="14" t="s">
        <v>1401</v>
      </c>
      <c r="V3079" s="14">
        <v>31946115</v>
      </c>
      <c r="X3079" s="14" t="s">
        <v>5695</v>
      </c>
      <c r="Y3079" s="14" t="s">
        <v>215</v>
      </c>
      <c r="Z3079" s="14">
        <v>21842</v>
      </c>
      <c r="AA3079" s="14" t="s">
        <v>5696</v>
      </c>
      <c r="AB3079" s="14">
        <v>40001</v>
      </c>
      <c r="AE3079" s="14" t="s">
        <v>1400</v>
      </c>
      <c r="AF3079" s="14" t="s">
        <v>1400</v>
      </c>
      <c r="AG3079" s="14" t="s">
        <v>98</v>
      </c>
    </row>
    <row r="3080" spans="2:33">
      <c r="B3080" s="14">
        <f>10000000+INDEX(编号表!$B:$B,MATCH(H3080,编号表!$A:$A,0))*100000+INDEX(编号表!$F:$F,MATCH(D3080,编号表!$E:$E,0))*10000+INDEX(编号表!$D:$D,MATCH(AG3080,编号表!$C:$C,0))*1000+F3080</f>
        <v>11926114</v>
      </c>
      <c r="C3080" s="14" t="s">
        <v>5697</v>
      </c>
      <c r="D3080" s="14" t="s">
        <v>112</v>
      </c>
      <c r="E3080" s="14" t="s">
        <v>98</v>
      </c>
      <c r="F3080" s="14">
        <v>114</v>
      </c>
      <c r="G3080" s="14">
        <v>60</v>
      </c>
      <c r="H3080" s="14" t="s">
        <v>1400</v>
      </c>
      <c r="I3080" s="14" t="s">
        <v>75</v>
      </c>
      <c r="J3080" s="14" t="s">
        <v>201</v>
      </c>
      <c r="K3080" s="14">
        <v>1</v>
      </c>
      <c r="L3080" s="14" t="s">
        <v>1400</v>
      </c>
      <c r="N3080" s="14">
        <v>0</v>
      </c>
      <c r="O3080" s="14" t="b">
        <v>1</v>
      </c>
      <c r="Q3080" s="14" t="b">
        <v>0</v>
      </c>
      <c r="R3080" s="14">
        <v>1</v>
      </c>
      <c r="S3080" s="14" t="s">
        <v>77</v>
      </c>
      <c r="T3080" s="14">
        <v>999</v>
      </c>
      <c r="U3080" s="14" t="s">
        <v>1401</v>
      </c>
      <c r="V3080" s="14">
        <v>31926114</v>
      </c>
      <c r="X3080" s="14" t="s">
        <v>5698</v>
      </c>
      <c r="Y3080" s="14" t="s">
        <v>215</v>
      </c>
      <c r="Z3080" s="14">
        <v>21843</v>
      </c>
      <c r="AA3080" s="14" t="s">
        <v>5699</v>
      </c>
      <c r="AB3080" s="14">
        <v>40001</v>
      </c>
      <c r="AE3080" s="14" t="s">
        <v>1400</v>
      </c>
      <c r="AF3080" s="14" t="s">
        <v>1400</v>
      </c>
      <c r="AG3080" s="14" t="s">
        <v>98</v>
      </c>
    </row>
    <row r="3081" spans="2:33">
      <c r="B3081" s="14">
        <f>10000000+INDEX(编号表!$B:$B,MATCH(H3081,编号表!$A:$A,0))*100000+INDEX(编号表!$F:$F,MATCH(D3081,编号表!$E:$E,0))*10000+INDEX(编号表!$D:$D,MATCH(AG3081,编号表!$C:$C,0))*1000+F3081</f>
        <v>11936115</v>
      </c>
      <c r="C3081" s="14" t="s">
        <v>5697</v>
      </c>
      <c r="D3081" s="14" t="s">
        <v>276</v>
      </c>
      <c r="E3081" s="14" t="s">
        <v>98</v>
      </c>
      <c r="F3081" s="14">
        <v>115</v>
      </c>
      <c r="G3081" s="14">
        <v>60</v>
      </c>
      <c r="H3081" s="14" t="s">
        <v>1400</v>
      </c>
      <c r="I3081" s="14" t="s">
        <v>75</v>
      </c>
      <c r="J3081" s="14" t="s">
        <v>201</v>
      </c>
      <c r="K3081" s="14">
        <v>1</v>
      </c>
      <c r="L3081" s="14" t="s">
        <v>1400</v>
      </c>
      <c r="N3081" s="14">
        <v>0</v>
      </c>
      <c r="O3081" s="14" t="b">
        <v>1</v>
      </c>
      <c r="Q3081" s="14" t="b">
        <v>0</v>
      </c>
      <c r="R3081" s="14">
        <v>1</v>
      </c>
      <c r="S3081" s="14" t="s">
        <v>77</v>
      </c>
      <c r="T3081" s="14">
        <v>999</v>
      </c>
      <c r="U3081" s="14" t="s">
        <v>1401</v>
      </c>
      <c r="V3081" s="14">
        <v>31936115</v>
      </c>
      <c r="X3081" s="14" t="s">
        <v>5700</v>
      </c>
      <c r="Y3081" s="14" t="s">
        <v>215</v>
      </c>
      <c r="Z3081" s="14">
        <v>21844</v>
      </c>
      <c r="AA3081" s="14" t="s">
        <v>5701</v>
      </c>
      <c r="AB3081" s="14">
        <v>40001</v>
      </c>
      <c r="AE3081" s="14" t="s">
        <v>1400</v>
      </c>
      <c r="AF3081" s="14" t="s">
        <v>1400</v>
      </c>
      <c r="AG3081" s="14" t="s">
        <v>98</v>
      </c>
    </row>
    <row r="3082" spans="2:33">
      <c r="B3082" s="14">
        <f>10000000+INDEX(编号表!$B:$B,MATCH(H3082,编号表!$A:$A,0))*100000+INDEX(编号表!$F:$F,MATCH(D3082,编号表!$E:$E,0))*10000+INDEX(编号表!$D:$D,MATCH(AG3082,编号表!$C:$C,0))*1000+F3082</f>
        <v>11946116</v>
      </c>
      <c r="C3082" s="14" t="s">
        <v>5697</v>
      </c>
      <c r="D3082" s="14" t="s">
        <v>104</v>
      </c>
      <c r="E3082" s="14" t="s">
        <v>98</v>
      </c>
      <c r="F3082" s="14">
        <v>116</v>
      </c>
      <c r="G3082" s="14">
        <v>60</v>
      </c>
      <c r="H3082" s="14" t="s">
        <v>1400</v>
      </c>
      <c r="I3082" s="14" t="s">
        <v>75</v>
      </c>
      <c r="J3082" s="14" t="s">
        <v>201</v>
      </c>
      <c r="K3082" s="14">
        <v>1</v>
      </c>
      <c r="L3082" s="14" t="s">
        <v>1400</v>
      </c>
      <c r="N3082" s="14">
        <v>0</v>
      </c>
      <c r="O3082" s="14" t="b">
        <v>1</v>
      </c>
      <c r="Q3082" s="14" t="b">
        <v>0</v>
      </c>
      <c r="R3082" s="14">
        <v>1</v>
      </c>
      <c r="S3082" s="14" t="s">
        <v>77</v>
      </c>
      <c r="T3082" s="14">
        <v>999</v>
      </c>
      <c r="U3082" s="14" t="s">
        <v>1401</v>
      </c>
      <c r="V3082" s="14">
        <v>31946116</v>
      </c>
      <c r="X3082" s="14" t="s">
        <v>5702</v>
      </c>
      <c r="Y3082" s="14" t="s">
        <v>215</v>
      </c>
      <c r="Z3082" s="14">
        <v>21845</v>
      </c>
      <c r="AA3082" s="14" t="s">
        <v>5703</v>
      </c>
      <c r="AB3082" s="14">
        <v>40001</v>
      </c>
      <c r="AE3082" s="14" t="s">
        <v>1400</v>
      </c>
      <c r="AF3082" s="14" t="s">
        <v>1400</v>
      </c>
      <c r="AG3082" s="14" t="s">
        <v>98</v>
      </c>
    </row>
    <row r="3083" spans="2:33">
      <c r="B3083" s="14">
        <f>10000000+INDEX(编号表!$B:$B,MATCH(H3083,编号表!$A:$A,0))*100000+INDEX(编号表!$F:$F,MATCH(D3083,编号表!$E:$E,0))*10000+INDEX(编号表!$D:$D,MATCH(AG3083,编号表!$C:$C,0))*1000+F3083</f>
        <v>11926115</v>
      </c>
      <c r="C3083" s="14" t="s">
        <v>5704</v>
      </c>
      <c r="D3083" s="14" t="s">
        <v>112</v>
      </c>
      <c r="E3083" s="14" t="s">
        <v>98</v>
      </c>
      <c r="F3083" s="14">
        <v>115</v>
      </c>
      <c r="G3083" s="14">
        <v>60</v>
      </c>
      <c r="H3083" s="14" t="s">
        <v>1400</v>
      </c>
      <c r="I3083" s="14" t="s">
        <v>75</v>
      </c>
      <c r="J3083" s="14" t="s">
        <v>201</v>
      </c>
      <c r="K3083" s="14">
        <v>1</v>
      </c>
      <c r="L3083" s="14" t="s">
        <v>1400</v>
      </c>
      <c r="N3083" s="14">
        <v>0</v>
      </c>
      <c r="O3083" s="14" t="b">
        <v>1</v>
      </c>
      <c r="Q3083" s="14" t="b">
        <v>0</v>
      </c>
      <c r="R3083" s="14">
        <v>1</v>
      </c>
      <c r="S3083" s="14" t="s">
        <v>77</v>
      </c>
      <c r="T3083" s="14">
        <v>999</v>
      </c>
      <c r="U3083" s="14" t="s">
        <v>1401</v>
      </c>
      <c r="V3083" s="14">
        <v>31926115</v>
      </c>
      <c r="X3083" s="14" t="s">
        <v>5705</v>
      </c>
      <c r="Y3083" s="14" t="s">
        <v>215</v>
      </c>
      <c r="Z3083" s="14">
        <v>21846</v>
      </c>
      <c r="AA3083" s="14" t="s">
        <v>5706</v>
      </c>
      <c r="AB3083" s="14">
        <v>40001</v>
      </c>
      <c r="AE3083" s="14" t="s">
        <v>1400</v>
      </c>
      <c r="AF3083" s="14" t="s">
        <v>1400</v>
      </c>
      <c r="AG3083" s="14" t="s">
        <v>98</v>
      </c>
    </row>
    <row r="3084" spans="2:33">
      <c r="B3084" s="14">
        <f>10000000+INDEX(编号表!$B:$B,MATCH(H3084,编号表!$A:$A,0))*100000+INDEX(编号表!$F:$F,MATCH(D3084,编号表!$E:$E,0))*10000+INDEX(编号表!$D:$D,MATCH(AG3084,编号表!$C:$C,0))*1000+F3084</f>
        <v>11936116</v>
      </c>
      <c r="C3084" s="14" t="s">
        <v>5704</v>
      </c>
      <c r="D3084" s="14" t="s">
        <v>276</v>
      </c>
      <c r="E3084" s="14" t="s">
        <v>98</v>
      </c>
      <c r="F3084" s="14">
        <v>116</v>
      </c>
      <c r="G3084" s="14">
        <v>60</v>
      </c>
      <c r="H3084" s="14" t="s">
        <v>1400</v>
      </c>
      <c r="I3084" s="14" t="s">
        <v>75</v>
      </c>
      <c r="J3084" s="14" t="s">
        <v>201</v>
      </c>
      <c r="K3084" s="14">
        <v>1</v>
      </c>
      <c r="L3084" s="14" t="s">
        <v>1400</v>
      </c>
      <c r="N3084" s="14">
        <v>0</v>
      </c>
      <c r="O3084" s="14" t="b">
        <v>1</v>
      </c>
      <c r="Q3084" s="14" t="b">
        <v>0</v>
      </c>
      <c r="R3084" s="14">
        <v>1</v>
      </c>
      <c r="S3084" s="14" t="s">
        <v>77</v>
      </c>
      <c r="T3084" s="14">
        <v>999</v>
      </c>
      <c r="U3084" s="14" t="s">
        <v>1401</v>
      </c>
      <c r="V3084" s="14">
        <v>31936116</v>
      </c>
      <c r="X3084" s="14" t="s">
        <v>5707</v>
      </c>
      <c r="Y3084" s="14" t="s">
        <v>215</v>
      </c>
      <c r="Z3084" s="14">
        <v>21847</v>
      </c>
      <c r="AA3084" s="14" t="s">
        <v>5708</v>
      </c>
      <c r="AB3084" s="14">
        <v>40001</v>
      </c>
      <c r="AE3084" s="14" t="s">
        <v>1400</v>
      </c>
      <c r="AF3084" s="14" t="s">
        <v>1400</v>
      </c>
      <c r="AG3084" s="14" t="s">
        <v>98</v>
      </c>
    </row>
    <row r="3085" spans="2:33">
      <c r="B3085" s="14">
        <f>10000000+INDEX(编号表!$B:$B,MATCH(H3085,编号表!$A:$A,0))*100000+INDEX(编号表!$F:$F,MATCH(D3085,编号表!$E:$E,0))*10000+INDEX(编号表!$D:$D,MATCH(AG3085,编号表!$C:$C,0))*1000+F3085</f>
        <v>11946117</v>
      </c>
      <c r="C3085" s="14" t="s">
        <v>5704</v>
      </c>
      <c r="D3085" s="14" t="s">
        <v>104</v>
      </c>
      <c r="E3085" s="14" t="s">
        <v>98</v>
      </c>
      <c r="F3085" s="14">
        <v>117</v>
      </c>
      <c r="G3085" s="14">
        <v>60</v>
      </c>
      <c r="H3085" s="14" t="s">
        <v>1400</v>
      </c>
      <c r="I3085" s="14" t="s">
        <v>75</v>
      </c>
      <c r="J3085" s="14" t="s">
        <v>201</v>
      </c>
      <c r="K3085" s="14">
        <v>1</v>
      </c>
      <c r="L3085" s="14" t="s">
        <v>1400</v>
      </c>
      <c r="N3085" s="14">
        <v>0</v>
      </c>
      <c r="O3085" s="14" t="b">
        <v>1</v>
      </c>
      <c r="Q3085" s="14" t="b">
        <v>0</v>
      </c>
      <c r="R3085" s="14">
        <v>1</v>
      </c>
      <c r="S3085" s="14" t="s">
        <v>77</v>
      </c>
      <c r="T3085" s="14">
        <v>999</v>
      </c>
      <c r="U3085" s="14" t="s">
        <v>1401</v>
      </c>
      <c r="V3085" s="14">
        <v>31946117</v>
      </c>
      <c r="X3085" s="14" t="s">
        <v>5709</v>
      </c>
      <c r="Y3085" s="14" t="s">
        <v>215</v>
      </c>
      <c r="Z3085" s="14">
        <v>21848</v>
      </c>
      <c r="AA3085" s="14" t="s">
        <v>5710</v>
      </c>
      <c r="AB3085" s="14">
        <v>40001</v>
      </c>
      <c r="AE3085" s="14" t="s">
        <v>1400</v>
      </c>
      <c r="AF3085" s="14" t="s">
        <v>1400</v>
      </c>
      <c r="AG3085" s="14" t="s">
        <v>98</v>
      </c>
    </row>
    <row r="3086" spans="2:33">
      <c r="B3086" s="14">
        <f>10000000+INDEX(编号表!$B:$B,MATCH(H3086,编号表!$A:$A,0))*100000+INDEX(编号表!$F:$F,MATCH(D3086,编号表!$E:$E,0))*10000+INDEX(编号表!$D:$D,MATCH(AG3086,编号表!$C:$C,0))*1000+F3086</f>
        <v>11926116</v>
      </c>
      <c r="C3086" s="14" t="s">
        <v>5711</v>
      </c>
      <c r="D3086" s="14" t="s">
        <v>112</v>
      </c>
      <c r="E3086" s="14" t="s">
        <v>98</v>
      </c>
      <c r="F3086" s="14">
        <v>116</v>
      </c>
      <c r="G3086" s="14">
        <v>60</v>
      </c>
      <c r="H3086" s="14" t="s">
        <v>1400</v>
      </c>
      <c r="I3086" s="14" t="s">
        <v>75</v>
      </c>
      <c r="J3086" s="14" t="s">
        <v>201</v>
      </c>
      <c r="K3086" s="14">
        <v>1</v>
      </c>
      <c r="L3086" s="14" t="s">
        <v>1400</v>
      </c>
      <c r="N3086" s="14">
        <v>0</v>
      </c>
      <c r="O3086" s="14" t="b">
        <v>1</v>
      </c>
      <c r="Q3086" s="14" t="b">
        <v>0</v>
      </c>
      <c r="R3086" s="14">
        <v>1</v>
      </c>
      <c r="S3086" s="14" t="s">
        <v>77</v>
      </c>
      <c r="T3086" s="14">
        <v>999</v>
      </c>
      <c r="U3086" s="14" t="s">
        <v>1401</v>
      </c>
      <c r="V3086" s="14">
        <v>31926116</v>
      </c>
      <c r="X3086" s="14" t="s">
        <v>5712</v>
      </c>
      <c r="Y3086" s="14" t="s">
        <v>215</v>
      </c>
      <c r="Z3086" s="14">
        <v>21849</v>
      </c>
      <c r="AA3086" s="14" t="s">
        <v>5713</v>
      </c>
      <c r="AB3086" s="14">
        <v>40001</v>
      </c>
      <c r="AE3086" s="14" t="s">
        <v>1400</v>
      </c>
      <c r="AF3086" s="14" t="s">
        <v>1400</v>
      </c>
      <c r="AG3086" s="14" t="s">
        <v>98</v>
      </c>
    </row>
    <row r="3087" spans="2:33">
      <c r="B3087" s="14">
        <f>10000000+INDEX(编号表!$B:$B,MATCH(H3087,编号表!$A:$A,0))*100000+INDEX(编号表!$F:$F,MATCH(D3087,编号表!$E:$E,0))*10000+INDEX(编号表!$D:$D,MATCH(AG3087,编号表!$C:$C,0))*1000+F3087</f>
        <v>11936117</v>
      </c>
      <c r="C3087" s="14" t="s">
        <v>5711</v>
      </c>
      <c r="D3087" s="14" t="s">
        <v>276</v>
      </c>
      <c r="E3087" s="14" t="s">
        <v>98</v>
      </c>
      <c r="F3087" s="14">
        <v>117</v>
      </c>
      <c r="G3087" s="14">
        <v>60</v>
      </c>
      <c r="H3087" s="14" t="s">
        <v>1400</v>
      </c>
      <c r="I3087" s="14" t="s">
        <v>75</v>
      </c>
      <c r="J3087" s="14" t="s">
        <v>201</v>
      </c>
      <c r="K3087" s="14">
        <v>1</v>
      </c>
      <c r="L3087" s="14" t="s">
        <v>1400</v>
      </c>
      <c r="N3087" s="14">
        <v>0</v>
      </c>
      <c r="O3087" s="14" t="b">
        <v>1</v>
      </c>
      <c r="Q3087" s="14" t="b">
        <v>0</v>
      </c>
      <c r="R3087" s="14">
        <v>1</v>
      </c>
      <c r="S3087" s="14" t="s">
        <v>77</v>
      </c>
      <c r="T3087" s="14">
        <v>999</v>
      </c>
      <c r="U3087" s="14" t="s">
        <v>1401</v>
      </c>
      <c r="V3087" s="14">
        <v>31936117</v>
      </c>
      <c r="X3087" s="14" t="s">
        <v>5714</v>
      </c>
      <c r="Y3087" s="14" t="s">
        <v>215</v>
      </c>
      <c r="Z3087" s="14">
        <v>21850</v>
      </c>
      <c r="AA3087" s="14" t="s">
        <v>5715</v>
      </c>
      <c r="AB3087" s="14">
        <v>40001</v>
      </c>
      <c r="AE3087" s="14" t="s">
        <v>1400</v>
      </c>
      <c r="AF3087" s="14" t="s">
        <v>1400</v>
      </c>
      <c r="AG3087" s="14" t="s">
        <v>98</v>
      </c>
    </row>
    <row r="3088" spans="2:33">
      <c r="B3088" s="14">
        <f>10000000+INDEX(编号表!$B:$B,MATCH(H3088,编号表!$A:$A,0))*100000+INDEX(编号表!$F:$F,MATCH(D3088,编号表!$E:$E,0))*10000+INDEX(编号表!$D:$D,MATCH(AG3088,编号表!$C:$C,0))*1000+F3088</f>
        <v>11946118</v>
      </c>
      <c r="C3088" s="14" t="s">
        <v>5711</v>
      </c>
      <c r="D3088" s="14" t="s">
        <v>104</v>
      </c>
      <c r="E3088" s="14" t="s">
        <v>98</v>
      </c>
      <c r="F3088" s="14">
        <v>118</v>
      </c>
      <c r="G3088" s="14">
        <v>60</v>
      </c>
      <c r="H3088" s="14" t="s">
        <v>1400</v>
      </c>
      <c r="I3088" s="14" t="s">
        <v>75</v>
      </c>
      <c r="J3088" s="14" t="s">
        <v>201</v>
      </c>
      <c r="K3088" s="14">
        <v>1</v>
      </c>
      <c r="L3088" s="14" t="s">
        <v>1400</v>
      </c>
      <c r="N3088" s="14">
        <v>0</v>
      </c>
      <c r="O3088" s="14" t="b">
        <v>1</v>
      </c>
      <c r="Q3088" s="14" t="b">
        <v>0</v>
      </c>
      <c r="R3088" s="14">
        <v>1</v>
      </c>
      <c r="S3088" s="14" t="s">
        <v>77</v>
      </c>
      <c r="T3088" s="14">
        <v>999</v>
      </c>
      <c r="U3088" s="14" t="s">
        <v>1401</v>
      </c>
      <c r="V3088" s="14">
        <v>31946118</v>
      </c>
      <c r="X3088" s="14" t="s">
        <v>5716</v>
      </c>
      <c r="Y3088" s="14" t="s">
        <v>215</v>
      </c>
      <c r="Z3088" s="14">
        <v>21851</v>
      </c>
      <c r="AA3088" s="14" t="s">
        <v>5717</v>
      </c>
      <c r="AB3088" s="14">
        <v>40001</v>
      </c>
      <c r="AE3088" s="14" t="s">
        <v>1400</v>
      </c>
      <c r="AF3088" s="14" t="s">
        <v>1400</v>
      </c>
      <c r="AG3088" s="14" t="s">
        <v>98</v>
      </c>
    </row>
    <row r="3089" spans="2:33">
      <c r="B3089" s="14">
        <f>10000000+INDEX(编号表!$B:$B,MATCH(H3089,编号表!$A:$A,0))*100000+INDEX(编号表!$F:$F,MATCH(D3089,编号表!$E:$E,0))*10000+INDEX(编号表!$D:$D,MATCH(AG3089,编号表!$C:$C,0))*1000+F3089</f>
        <v>11926117</v>
      </c>
      <c r="C3089" s="14" t="s">
        <v>5718</v>
      </c>
      <c r="D3089" s="14" t="s">
        <v>112</v>
      </c>
      <c r="E3089" s="14" t="s">
        <v>98</v>
      </c>
      <c r="F3089" s="14">
        <v>117</v>
      </c>
      <c r="G3089" s="14">
        <v>60</v>
      </c>
      <c r="H3089" s="14" t="s">
        <v>1400</v>
      </c>
      <c r="I3089" s="14" t="s">
        <v>75</v>
      </c>
      <c r="J3089" s="14" t="s">
        <v>201</v>
      </c>
      <c r="K3089" s="14">
        <v>1</v>
      </c>
      <c r="L3089" s="14" t="s">
        <v>1400</v>
      </c>
      <c r="N3089" s="14">
        <v>0</v>
      </c>
      <c r="O3089" s="14" t="b">
        <v>1</v>
      </c>
      <c r="Q3089" s="14" t="b">
        <v>0</v>
      </c>
      <c r="R3089" s="14">
        <v>1</v>
      </c>
      <c r="S3089" s="14" t="s">
        <v>77</v>
      </c>
      <c r="T3089" s="14">
        <v>999</v>
      </c>
      <c r="U3089" s="14" t="s">
        <v>1401</v>
      </c>
      <c r="V3089" s="14">
        <v>31926117</v>
      </c>
      <c r="X3089" s="14" t="s">
        <v>5719</v>
      </c>
      <c r="Y3089" s="14" t="s">
        <v>215</v>
      </c>
      <c r="Z3089" s="14">
        <v>21852</v>
      </c>
      <c r="AA3089" s="14" t="s">
        <v>5720</v>
      </c>
      <c r="AB3089" s="14">
        <v>40001</v>
      </c>
      <c r="AE3089" s="14" t="s">
        <v>1400</v>
      </c>
      <c r="AF3089" s="14" t="s">
        <v>1400</v>
      </c>
      <c r="AG3089" s="14" t="s">
        <v>98</v>
      </c>
    </row>
    <row r="3090" spans="2:33">
      <c r="B3090" s="14">
        <f>10000000+INDEX(编号表!$B:$B,MATCH(H3090,编号表!$A:$A,0))*100000+INDEX(编号表!$F:$F,MATCH(D3090,编号表!$E:$E,0))*10000+INDEX(编号表!$D:$D,MATCH(AG3090,编号表!$C:$C,0))*1000+F3090</f>
        <v>11936118</v>
      </c>
      <c r="C3090" s="14" t="s">
        <v>5718</v>
      </c>
      <c r="D3090" s="14" t="s">
        <v>276</v>
      </c>
      <c r="E3090" s="14" t="s">
        <v>98</v>
      </c>
      <c r="F3090" s="14">
        <v>118</v>
      </c>
      <c r="G3090" s="14">
        <v>60</v>
      </c>
      <c r="H3090" s="14" t="s">
        <v>1400</v>
      </c>
      <c r="I3090" s="14" t="s">
        <v>75</v>
      </c>
      <c r="J3090" s="14" t="s">
        <v>201</v>
      </c>
      <c r="K3090" s="14">
        <v>1</v>
      </c>
      <c r="L3090" s="14" t="s">
        <v>1400</v>
      </c>
      <c r="N3090" s="14">
        <v>0</v>
      </c>
      <c r="O3090" s="14" t="b">
        <v>1</v>
      </c>
      <c r="Q3090" s="14" t="b">
        <v>0</v>
      </c>
      <c r="R3090" s="14">
        <v>1</v>
      </c>
      <c r="S3090" s="14" t="s">
        <v>77</v>
      </c>
      <c r="T3090" s="14">
        <v>999</v>
      </c>
      <c r="U3090" s="14" t="s">
        <v>1401</v>
      </c>
      <c r="V3090" s="14">
        <v>31936118</v>
      </c>
      <c r="X3090" s="14" t="s">
        <v>5721</v>
      </c>
      <c r="Y3090" s="14" t="s">
        <v>215</v>
      </c>
      <c r="Z3090" s="14">
        <v>21853</v>
      </c>
      <c r="AA3090" s="14" t="s">
        <v>5722</v>
      </c>
      <c r="AB3090" s="14">
        <v>40001</v>
      </c>
      <c r="AE3090" s="14" t="s">
        <v>1400</v>
      </c>
      <c r="AF3090" s="14" t="s">
        <v>1400</v>
      </c>
      <c r="AG3090" s="14" t="s">
        <v>98</v>
      </c>
    </row>
    <row r="3091" spans="2:33">
      <c r="B3091" s="14">
        <f>10000000+INDEX(编号表!$B:$B,MATCH(H3091,编号表!$A:$A,0))*100000+INDEX(编号表!$F:$F,MATCH(D3091,编号表!$E:$E,0))*10000+INDEX(编号表!$D:$D,MATCH(AG3091,编号表!$C:$C,0))*1000+F3091</f>
        <v>11946119</v>
      </c>
      <c r="C3091" s="14" t="s">
        <v>5718</v>
      </c>
      <c r="D3091" s="14" t="s">
        <v>104</v>
      </c>
      <c r="E3091" s="14" t="s">
        <v>98</v>
      </c>
      <c r="F3091" s="14">
        <v>119</v>
      </c>
      <c r="G3091" s="14">
        <v>60</v>
      </c>
      <c r="H3091" s="14" t="s">
        <v>1400</v>
      </c>
      <c r="I3091" s="14" t="s">
        <v>75</v>
      </c>
      <c r="J3091" s="14" t="s">
        <v>201</v>
      </c>
      <c r="K3091" s="14">
        <v>1</v>
      </c>
      <c r="L3091" s="14" t="s">
        <v>1400</v>
      </c>
      <c r="N3091" s="14">
        <v>0</v>
      </c>
      <c r="O3091" s="14" t="b">
        <v>1</v>
      </c>
      <c r="Q3091" s="14" t="b">
        <v>0</v>
      </c>
      <c r="R3091" s="14">
        <v>1</v>
      </c>
      <c r="S3091" s="14" t="s">
        <v>77</v>
      </c>
      <c r="T3091" s="14">
        <v>999</v>
      </c>
      <c r="U3091" s="14" t="s">
        <v>1401</v>
      </c>
      <c r="V3091" s="14">
        <v>31946119</v>
      </c>
      <c r="X3091" s="14" t="s">
        <v>5723</v>
      </c>
      <c r="Y3091" s="14" t="s">
        <v>215</v>
      </c>
      <c r="Z3091" s="14">
        <v>21854</v>
      </c>
      <c r="AA3091" s="14" t="s">
        <v>5724</v>
      </c>
      <c r="AB3091" s="14">
        <v>40001</v>
      </c>
      <c r="AE3091" s="14" t="s">
        <v>1400</v>
      </c>
      <c r="AF3091" s="14" t="s">
        <v>1400</v>
      </c>
      <c r="AG3091" s="14" t="s">
        <v>98</v>
      </c>
    </row>
    <row r="3092" spans="2:33">
      <c r="B3092" s="14">
        <f>10000000+INDEX(编号表!$B:$B,MATCH(H3092,编号表!$A:$A,0))*100000+INDEX(编号表!$F:$F,MATCH(D3092,编号表!$E:$E,0))*10000+INDEX(编号表!$D:$D,MATCH(AG3092,编号表!$C:$C,0))*1000+F3092</f>
        <v>11926118</v>
      </c>
      <c r="C3092" s="14" t="s">
        <v>5725</v>
      </c>
      <c r="D3092" s="14" t="s">
        <v>112</v>
      </c>
      <c r="E3092" s="14" t="s">
        <v>98</v>
      </c>
      <c r="F3092" s="14">
        <v>118</v>
      </c>
      <c r="G3092" s="14">
        <v>60</v>
      </c>
      <c r="H3092" s="14" t="s">
        <v>1400</v>
      </c>
      <c r="I3092" s="14" t="s">
        <v>75</v>
      </c>
      <c r="J3092" s="14" t="s">
        <v>201</v>
      </c>
      <c r="K3092" s="14">
        <v>1</v>
      </c>
      <c r="L3092" s="14" t="s">
        <v>1400</v>
      </c>
      <c r="N3092" s="14">
        <v>0</v>
      </c>
      <c r="O3092" s="14" t="b">
        <v>1</v>
      </c>
      <c r="Q3092" s="14" t="b">
        <v>0</v>
      </c>
      <c r="R3092" s="14">
        <v>1</v>
      </c>
      <c r="S3092" s="14" t="s">
        <v>77</v>
      </c>
      <c r="T3092" s="14">
        <v>999</v>
      </c>
      <c r="U3092" s="14" t="s">
        <v>1401</v>
      </c>
      <c r="V3092" s="14">
        <v>31926118</v>
      </c>
      <c r="X3092" s="14" t="s">
        <v>5726</v>
      </c>
      <c r="Y3092" s="14" t="s">
        <v>215</v>
      </c>
      <c r="Z3092" s="14">
        <v>21855</v>
      </c>
      <c r="AA3092" s="14" t="s">
        <v>5727</v>
      </c>
      <c r="AB3092" s="14">
        <v>40001</v>
      </c>
      <c r="AE3092" s="14" t="s">
        <v>1400</v>
      </c>
      <c r="AF3092" s="14" t="s">
        <v>1400</v>
      </c>
      <c r="AG3092" s="14" t="s">
        <v>98</v>
      </c>
    </row>
    <row r="3093" spans="2:33">
      <c r="B3093" s="14">
        <f>10000000+INDEX(编号表!$B:$B,MATCH(H3093,编号表!$A:$A,0))*100000+INDEX(编号表!$F:$F,MATCH(D3093,编号表!$E:$E,0))*10000+INDEX(编号表!$D:$D,MATCH(AG3093,编号表!$C:$C,0))*1000+F3093</f>
        <v>11936119</v>
      </c>
      <c r="C3093" s="14" t="s">
        <v>5725</v>
      </c>
      <c r="D3093" s="14" t="s">
        <v>276</v>
      </c>
      <c r="E3093" s="14" t="s">
        <v>98</v>
      </c>
      <c r="F3093" s="14">
        <v>119</v>
      </c>
      <c r="G3093" s="14">
        <v>60</v>
      </c>
      <c r="H3093" s="14" t="s">
        <v>1400</v>
      </c>
      <c r="I3093" s="14" t="s">
        <v>75</v>
      </c>
      <c r="J3093" s="14" t="s">
        <v>201</v>
      </c>
      <c r="K3093" s="14">
        <v>1</v>
      </c>
      <c r="L3093" s="14" t="s">
        <v>1400</v>
      </c>
      <c r="N3093" s="14">
        <v>0</v>
      </c>
      <c r="O3093" s="14" t="b">
        <v>1</v>
      </c>
      <c r="Q3093" s="14" t="b">
        <v>0</v>
      </c>
      <c r="R3093" s="14">
        <v>1</v>
      </c>
      <c r="S3093" s="14" t="s">
        <v>77</v>
      </c>
      <c r="T3093" s="14">
        <v>999</v>
      </c>
      <c r="U3093" s="14" t="s">
        <v>1401</v>
      </c>
      <c r="V3093" s="14">
        <v>31936119</v>
      </c>
      <c r="X3093" s="14" t="s">
        <v>5728</v>
      </c>
      <c r="Y3093" s="14" t="s">
        <v>215</v>
      </c>
      <c r="Z3093" s="14">
        <v>21856</v>
      </c>
      <c r="AA3093" s="14" t="s">
        <v>5729</v>
      </c>
      <c r="AB3093" s="14">
        <v>40001</v>
      </c>
      <c r="AE3093" s="14" t="s">
        <v>1400</v>
      </c>
      <c r="AF3093" s="14" t="s">
        <v>1400</v>
      </c>
      <c r="AG3093" s="14" t="s">
        <v>98</v>
      </c>
    </row>
    <row r="3094" spans="2:33">
      <c r="B3094" s="14">
        <f>10000000+INDEX(编号表!$B:$B,MATCH(H3094,编号表!$A:$A,0))*100000+INDEX(编号表!$F:$F,MATCH(D3094,编号表!$E:$E,0))*10000+INDEX(编号表!$D:$D,MATCH(AG3094,编号表!$C:$C,0))*1000+F3094</f>
        <v>11946120</v>
      </c>
      <c r="C3094" s="14" t="s">
        <v>5725</v>
      </c>
      <c r="D3094" s="14" t="s">
        <v>104</v>
      </c>
      <c r="E3094" s="14" t="s">
        <v>98</v>
      </c>
      <c r="F3094" s="14">
        <v>120</v>
      </c>
      <c r="G3094" s="14">
        <v>60</v>
      </c>
      <c r="H3094" s="14" t="s">
        <v>1400</v>
      </c>
      <c r="I3094" s="14" t="s">
        <v>75</v>
      </c>
      <c r="J3094" s="14" t="s">
        <v>201</v>
      </c>
      <c r="K3094" s="14">
        <v>1</v>
      </c>
      <c r="L3094" s="14" t="s">
        <v>1400</v>
      </c>
      <c r="N3094" s="14">
        <v>0</v>
      </c>
      <c r="O3094" s="14" t="b">
        <v>1</v>
      </c>
      <c r="Q3094" s="14" t="b">
        <v>0</v>
      </c>
      <c r="R3094" s="14">
        <v>1</v>
      </c>
      <c r="S3094" s="14" t="s">
        <v>77</v>
      </c>
      <c r="T3094" s="14">
        <v>999</v>
      </c>
      <c r="U3094" s="14" t="s">
        <v>1401</v>
      </c>
      <c r="V3094" s="14">
        <v>31946120</v>
      </c>
      <c r="X3094" s="14" t="s">
        <v>5730</v>
      </c>
      <c r="Y3094" s="14" t="s">
        <v>215</v>
      </c>
      <c r="Z3094" s="14">
        <v>21857</v>
      </c>
      <c r="AA3094" s="14" t="s">
        <v>5731</v>
      </c>
      <c r="AB3094" s="14">
        <v>40001</v>
      </c>
      <c r="AE3094" s="14" t="s">
        <v>1400</v>
      </c>
      <c r="AF3094" s="14" t="s">
        <v>1400</v>
      </c>
      <c r="AG3094" s="14" t="s">
        <v>98</v>
      </c>
    </row>
    <row r="3095" spans="2:33">
      <c r="B3095" s="14">
        <f>10000000+INDEX(编号表!$B:$B,MATCH(H3095,编号表!$A:$A,0))*100000+INDEX(编号表!$F:$F,MATCH(D3095,编号表!$E:$E,0))*10000+INDEX(编号表!$D:$D,MATCH(AG3095,编号表!$C:$C,0))*1000+F3095</f>
        <v>11926119</v>
      </c>
      <c r="C3095" s="14" t="s">
        <v>5732</v>
      </c>
      <c r="D3095" s="14" t="s">
        <v>112</v>
      </c>
      <c r="E3095" s="14" t="s">
        <v>98</v>
      </c>
      <c r="F3095" s="14">
        <v>119</v>
      </c>
      <c r="G3095" s="14">
        <v>60</v>
      </c>
      <c r="H3095" s="14" t="s">
        <v>1400</v>
      </c>
      <c r="I3095" s="14" t="s">
        <v>75</v>
      </c>
      <c r="J3095" s="14" t="s">
        <v>201</v>
      </c>
      <c r="K3095" s="14">
        <v>1</v>
      </c>
      <c r="L3095" s="14" t="s">
        <v>1400</v>
      </c>
      <c r="N3095" s="14">
        <v>0</v>
      </c>
      <c r="O3095" s="14" t="b">
        <v>1</v>
      </c>
      <c r="Q3095" s="14" t="b">
        <v>0</v>
      </c>
      <c r="R3095" s="14">
        <v>1</v>
      </c>
      <c r="S3095" s="14" t="s">
        <v>77</v>
      </c>
      <c r="T3095" s="14">
        <v>999</v>
      </c>
      <c r="U3095" s="14" t="s">
        <v>1401</v>
      </c>
      <c r="V3095" s="14">
        <v>31926119</v>
      </c>
      <c r="X3095" s="14" t="s">
        <v>5733</v>
      </c>
      <c r="Y3095" s="14" t="s">
        <v>215</v>
      </c>
      <c r="Z3095" s="14">
        <v>21858</v>
      </c>
      <c r="AA3095" s="14" t="s">
        <v>5734</v>
      </c>
      <c r="AB3095" s="14">
        <v>40001</v>
      </c>
      <c r="AE3095" s="14" t="s">
        <v>1400</v>
      </c>
      <c r="AF3095" s="14" t="s">
        <v>1400</v>
      </c>
      <c r="AG3095" s="14" t="s">
        <v>98</v>
      </c>
    </row>
    <row r="3096" spans="2:33">
      <c r="B3096" s="14">
        <f>10000000+INDEX(编号表!$B:$B,MATCH(H3096,编号表!$A:$A,0))*100000+INDEX(编号表!$F:$F,MATCH(D3096,编号表!$E:$E,0))*10000+INDEX(编号表!$D:$D,MATCH(AG3096,编号表!$C:$C,0))*1000+F3096</f>
        <v>11936120</v>
      </c>
      <c r="C3096" s="14" t="s">
        <v>5732</v>
      </c>
      <c r="D3096" s="14" t="s">
        <v>276</v>
      </c>
      <c r="E3096" s="14" t="s">
        <v>98</v>
      </c>
      <c r="F3096" s="14">
        <v>120</v>
      </c>
      <c r="G3096" s="14">
        <v>60</v>
      </c>
      <c r="H3096" s="14" t="s">
        <v>1400</v>
      </c>
      <c r="I3096" s="14" t="s">
        <v>75</v>
      </c>
      <c r="J3096" s="14" t="s">
        <v>201</v>
      </c>
      <c r="K3096" s="14">
        <v>1</v>
      </c>
      <c r="L3096" s="14" t="s">
        <v>1400</v>
      </c>
      <c r="N3096" s="14">
        <v>0</v>
      </c>
      <c r="O3096" s="14" t="b">
        <v>1</v>
      </c>
      <c r="Q3096" s="14" t="b">
        <v>0</v>
      </c>
      <c r="R3096" s="14">
        <v>1</v>
      </c>
      <c r="S3096" s="14" t="s">
        <v>77</v>
      </c>
      <c r="T3096" s="14">
        <v>999</v>
      </c>
      <c r="U3096" s="14" t="s">
        <v>1401</v>
      </c>
      <c r="V3096" s="14">
        <v>31936120</v>
      </c>
      <c r="X3096" s="14" t="s">
        <v>5735</v>
      </c>
      <c r="Y3096" s="14" t="s">
        <v>215</v>
      </c>
      <c r="Z3096" s="14">
        <v>21859</v>
      </c>
      <c r="AA3096" s="14" t="s">
        <v>5736</v>
      </c>
      <c r="AB3096" s="14">
        <v>40001</v>
      </c>
      <c r="AE3096" s="14" t="s">
        <v>1400</v>
      </c>
      <c r="AF3096" s="14" t="s">
        <v>1400</v>
      </c>
      <c r="AG3096" s="14" t="s">
        <v>98</v>
      </c>
    </row>
    <row r="3097" spans="2:33">
      <c r="B3097" s="14">
        <f>10000000+INDEX(编号表!$B:$B,MATCH(H3097,编号表!$A:$A,0))*100000+INDEX(编号表!$F:$F,MATCH(D3097,编号表!$E:$E,0))*10000+INDEX(编号表!$D:$D,MATCH(AG3097,编号表!$C:$C,0))*1000+F3097</f>
        <v>11946121</v>
      </c>
      <c r="C3097" s="14" t="s">
        <v>5732</v>
      </c>
      <c r="D3097" s="14" t="s">
        <v>104</v>
      </c>
      <c r="E3097" s="14" t="s">
        <v>98</v>
      </c>
      <c r="F3097" s="14">
        <v>121</v>
      </c>
      <c r="G3097" s="14">
        <v>60</v>
      </c>
      <c r="H3097" s="14" t="s">
        <v>1400</v>
      </c>
      <c r="I3097" s="14" t="s">
        <v>75</v>
      </c>
      <c r="J3097" s="14" t="s">
        <v>201</v>
      </c>
      <c r="K3097" s="14">
        <v>1</v>
      </c>
      <c r="L3097" s="14" t="s">
        <v>1400</v>
      </c>
      <c r="N3097" s="14">
        <v>0</v>
      </c>
      <c r="O3097" s="14" t="b">
        <v>1</v>
      </c>
      <c r="Q3097" s="14" t="b">
        <v>0</v>
      </c>
      <c r="R3097" s="14">
        <v>1</v>
      </c>
      <c r="S3097" s="14" t="s">
        <v>77</v>
      </c>
      <c r="T3097" s="14">
        <v>999</v>
      </c>
      <c r="U3097" s="14" t="s">
        <v>1401</v>
      </c>
      <c r="V3097" s="14">
        <v>31946121</v>
      </c>
      <c r="X3097" s="14" t="s">
        <v>5737</v>
      </c>
      <c r="Y3097" s="14" t="s">
        <v>215</v>
      </c>
      <c r="Z3097" s="14">
        <v>21860</v>
      </c>
      <c r="AA3097" s="14" t="s">
        <v>5738</v>
      </c>
      <c r="AB3097" s="14">
        <v>40001</v>
      </c>
      <c r="AE3097" s="14" t="s">
        <v>1400</v>
      </c>
      <c r="AF3097" s="14" t="s">
        <v>1400</v>
      </c>
      <c r="AG3097" s="14" t="s">
        <v>98</v>
      </c>
    </row>
    <row r="3098" spans="2:33">
      <c r="B3098" s="14">
        <f>10000000+INDEX(编号表!$B:$B,MATCH(H3098,编号表!$A:$A,0))*100000+INDEX(编号表!$F:$F,MATCH(D3098,编号表!$E:$E,0))*10000+INDEX(编号表!$D:$D,MATCH(AG3098,编号表!$C:$C,0))*1000+F3098</f>
        <v>11926120</v>
      </c>
      <c r="C3098" s="14" t="s">
        <v>5739</v>
      </c>
      <c r="D3098" s="14" t="s">
        <v>112</v>
      </c>
      <c r="E3098" s="14" t="s">
        <v>98</v>
      </c>
      <c r="F3098" s="14">
        <v>120</v>
      </c>
      <c r="G3098" s="14">
        <v>60</v>
      </c>
      <c r="H3098" s="14" t="s">
        <v>1400</v>
      </c>
      <c r="I3098" s="14" t="s">
        <v>75</v>
      </c>
      <c r="J3098" s="14" t="s">
        <v>201</v>
      </c>
      <c r="K3098" s="14">
        <v>1</v>
      </c>
      <c r="L3098" s="14" t="s">
        <v>1400</v>
      </c>
      <c r="N3098" s="14">
        <v>0</v>
      </c>
      <c r="O3098" s="14" t="b">
        <v>1</v>
      </c>
      <c r="Q3098" s="14" t="b">
        <v>0</v>
      </c>
      <c r="R3098" s="14">
        <v>1</v>
      </c>
      <c r="S3098" s="14" t="s">
        <v>77</v>
      </c>
      <c r="T3098" s="14">
        <v>999</v>
      </c>
      <c r="U3098" s="14" t="s">
        <v>1401</v>
      </c>
      <c r="V3098" s="14">
        <v>31926120</v>
      </c>
      <c r="X3098" s="14" t="s">
        <v>5740</v>
      </c>
      <c r="Y3098" s="14" t="s">
        <v>215</v>
      </c>
      <c r="Z3098" s="14">
        <v>21861</v>
      </c>
      <c r="AA3098" s="14" t="s">
        <v>5741</v>
      </c>
      <c r="AB3098" s="14">
        <v>40001</v>
      </c>
      <c r="AE3098" s="14" t="s">
        <v>1400</v>
      </c>
      <c r="AF3098" s="14" t="s">
        <v>1400</v>
      </c>
      <c r="AG3098" s="14" t="s">
        <v>98</v>
      </c>
    </row>
    <row r="3099" spans="2:33">
      <c r="B3099" s="14">
        <f>10000000+INDEX(编号表!$B:$B,MATCH(H3099,编号表!$A:$A,0))*100000+INDEX(编号表!$F:$F,MATCH(D3099,编号表!$E:$E,0))*10000+INDEX(编号表!$D:$D,MATCH(AG3099,编号表!$C:$C,0))*1000+F3099</f>
        <v>11936121</v>
      </c>
      <c r="C3099" s="14" t="s">
        <v>5739</v>
      </c>
      <c r="D3099" s="14" t="s">
        <v>276</v>
      </c>
      <c r="E3099" s="14" t="s">
        <v>98</v>
      </c>
      <c r="F3099" s="14">
        <v>121</v>
      </c>
      <c r="G3099" s="14">
        <v>60</v>
      </c>
      <c r="H3099" s="14" t="s">
        <v>1400</v>
      </c>
      <c r="I3099" s="14" t="s">
        <v>75</v>
      </c>
      <c r="J3099" s="14" t="s">
        <v>201</v>
      </c>
      <c r="K3099" s="14">
        <v>1</v>
      </c>
      <c r="L3099" s="14" t="s">
        <v>1400</v>
      </c>
      <c r="N3099" s="14">
        <v>0</v>
      </c>
      <c r="O3099" s="14" t="b">
        <v>1</v>
      </c>
      <c r="Q3099" s="14" t="b">
        <v>0</v>
      </c>
      <c r="R3099" s="14">
        <v>1</v>
      </c>
      <c r="S3099" s="14" t="s">
        <v>77</v>
      </c>
      <c r="T3099" s="14">
        <v>999</v>
      </c>
      <c r="U3099" s="14" t="s">
        <v>1401</v>
      </c>
      <c r="V3099" s="14">
        <v>31936121</v>
      </c>
      <c r="X3099" s="14" t="s">
        <v>5742</v>
      </c>
      <c r="Y3099" s="14" t="s">
        <v>215</v>
      </c>
      <c r="Z3099" s="14">
        <v>21862</v>
      </c>
      <c r="AA3099" s="14" t="s">
        <v>5743</v>
      </c>
      <c r="AB3099" s="14">
        <v>40001</v>
      </c>
      <c r="AE3099" s="14" t="s">
        <v>1400</v>
      </c>
      <c r="AF3099" s="14" t="s">
        <v>1400</v>
      </c>
      <c r="AG3099" s="14" t="s">
        <v>98</v>
      </c>
    </row>
    <row r="3100" spans="2:33">
      <c r="B3100" s="14">
        <f>10000000+INDEX(编号表!$B:$B,MATCH(H3100,编号表!$A:$A,0))*100000+INDEX(编号表!$F:$F,MATCH(D3100,编号表!$E:$E,0))*10000+INDEX(编号表!$D:$D,MATCH(AG3100,编号表!$C:$C,0))*1000+F3100</f>
        <v>11946122</v>
      </c>
      <c r="C3100" s="14" t="s">
        <v>5739</v>
      </c>
      <c r="D3100" s="14" t="s">
        <v>104</v>
      </c>
      <c r="E3100" s="14" t="s">
        <v>98</v>
      </c>
      <c r="F3100" s="14">
        <v>122</v>
      </c>
      <c r="G3100" s="14">
        <v>60</v>
      </c>
      <c r="H3100" s="14" t="s">
        <v>1400</v>
      </c>
      <c r="I3100" s="14" t="s">
        <v>75</v>
      </c>
      <c r="J3100" s="14" t="s">
        <v>201</v>
      </c>
      <c r="K3100" s="14">
        <v>1</v>
      </c>
      <c r="L3100" s="14" t="s">
        <v>1400</v>
      </c>
      <c r="N3100" s="14">
        <v>0</v>
      </c>
      <c r="O3100" s="14" t="b">
        <v>1</v>
      </c>
      <c r="Q3100" s="14" t="b">
        <v>0</v>
      </c>
      <c r="R3100" s="14">
        <v>1</v>
      </c>
      <c r="S3100" s="14" t="s">
        <v>77</v>
      </c>
      <c r="T3100" s="14">
        <v>999</v>
      </c>
      <c r="U3100" s="14" t="s">
        <v>1401</v>
      </c>
      <c r="V3100" s="14">
        <v>31946122</v>
      </c>
      <c r="X3100" s="14" t="s">
        <v>5744</v>
      </c>
      <c r="Y3100" s="14" t="s">
        <v>215</v>
      </c>
      <c r="Z3100" s="14">
        <v>21863</v>
      </c>
      <c r="AA3100" s="14" t="s">
        <v>5745</v>
      </c>
      <c r="AB3100" s="14">
        <v>40001</v>
      </c>
      <c r="AE3100" s="14" t="s">
        <v>1400</v>
      </c>
      <c r="AF3100" s="14" t="s">
        <v>1400</v>
      </c>
      <c r="AG3100" s="14" t="s">
        <v>98</v>
      </c>
    </row>
    <row r="3101" spans="2:33">
      <c r="B3101" s="14">
        <f>10000000+INDEX(编号表!$B:$B,MATCH(H3101,编号表!$A:$A,0))*100000+INDEX(编号表!$F:$F,MATCH(D3101,编号表!$E:$E,0))*10000+INDEX(编号表!$D:$D,MATCH(AG3101,编号表!$C:$C,0))*1000+F3101</f>
        <v>11926121</v>
      </c>
      <c r="C3101" s="14" t="s">
        <v>5746</v>
      </c>
      <c r="D3101" s="14" t="s">
        <v>112</v>
      </c>
      <c r="E3101" s="14" t="s">
        <v>98</v>
      </c>
      <c r="F3101" s="14">
        <v>121</v>
      </c>
      <c r="G3101" s="14">
        <v>60</v>
      </c>
      <c r="H3101" s="14" t="s">
        <v>1400</v>
      </c>
      <c r="I3101" s="14" t="s">
        <v>75</v>
      </c>
      <c r="J3101" s="14" t="s">
        <v>201</v>
      </c>
      <c r="K3101" s="14">
        <v>1</v>
      </c>
      <c r="L3101" s="14" t="s">
        <v>1400</v>
      </c>
      <c r="N3101" s="14">
        <v>0</v>
      </c>
      <c r="O3101" s="14" t="b">
        <v>1</v>
      </c>
      <c r="Q3101" s="14" t="b">
        <v>0</v>
      </c>
      <c r="R3101" s="14">
        <v>1</v>
      </c>
      <c r="S3101" s="14" t="s">
        <v>77</v>
      </c>
      <c r="T3101" s="14">
        <v>999</v>
      </c>
      <c r="U3101" s="14" t="s">
        <v>1401</v>
      </c>
      <c r="V3101" s="14">
        <v>31926121</v>
      </c>
      <c r="X3101" s="14" t="s">
        <v>5747</v>
      </c>
      <c r="Y3101" s="14" t="s">
        <v>215</v>
      </c>
      <c r="Z3101" s="14">
        <v>21864</v>
      </c>
      <c r="AA3101" s="14" t="s">
        <v>5748</v>
      </c>
      <c r="AB3101" s="14">
        <v>40001</v>
      </c>
      <c r="AE3101" s="14" t="s">
        <v>1400</v>
      </c>
      <c r="AF3101" s="14" t="s">
        <v>1400</v>
      </c>
      <c r="AG3101" s="14" t="s">
        <v>98</v>
      </c>
    </row>
    <row r="3102" spans="2:33">
      <c r="B3102" s="14">
        <f>10000000+INDEX(编号表!$B:$B,MATCH(H3102,编号表!$A:$A,0))*100000+INDEX(编号表!$F:$F,MATCH(D3102,编号表!$E:$E,0))*10000+INDEX(编号表!$D:$D,MATCH(AG3102,编号表!$C:$C,0))*1000+F3102</f>
        <v>11936122</v>
      </c>
      <c r="C3102" s="14" t="s">
        <v>5746</v>
      </c>
      <c r="D3102" s="14" t="s">
        <v>276</v>
      </c>
      <c r="E3102" s="14" t="s">
        <v>98</v>
      </c>
      <c r="F3102" s="14">
        <v>122</v>
      </c>
      <c r="G3102" s="14">
        <v>60</v>
      </c>
      <c r="H3102" s="14" t="s">
        <v>1400</v>
      </c>
      <c r="I3102" s="14" t="s">
        <v>75</v>
      </c>
      <c r="J3102" s="14" t="s">
        <v>201</v>
      </c>
      <c r="K3102" s="14">
        <v>1</v>
      </c>
      <c r="L3102" s="14" t="s">
        <v>1400</v>
      </c>
      <c r="N3102" s="14">
        <v>0</v>
      </c>
      <c r="O3102" s="14" t="b">
        <v>1</v>
      </c>
      <c r="Q3102" s="14" t="b">
        <v>0</v>
      </c>
      <c r="R3102" s="14">
        <v>1</v>
      </c>
      <c r="S3102" s="14" t="s">
        <v>77</v>
      </c>
      <c r="T3102" s="14">
        <v>999</v>
      </c>
      <c r="U3102" s="14" t="s">
        <v>1401</v>
      </c>
      <c r="V3102" s="14">
        <v>31936122</v>
      </c>
      <c r="X3102" s="14" t="s">
        <v>5749</v>
      </c>
      <c r="Y3102" s="14" t="s">
        <v>215</v>
      </c>
      <c r="Z3102" s="14">
        <v>21865</v>
      </c>
      <c r="AA3102" s="14" t="s">
        <v>5750</v>
      </c>
      <c r="AB3102" s="14">
        <v>40001</v>
      </c>
      <c r="AE3102" s="14" t="s">
        <v>1400</v>
      </c>
      <c r="AF3102" s="14" t="s">
        <v>1400</v>
      </c>
      <c r="AG3102" s="14" t="s">
        <v>98</v>
      </c>
    </row>
    <row r="3103" spans="2:33">
      <c r="B3103" s="14">
        <f>10000000+INDEX(编号表!$B:$B,MATCH(H3103,编号表!$A:$A,0))*100000+INDEX(编号表!$F:$F,MATCH(D3103,编号表!$E:$E,0))*10000+INDEX(编号表!$D:$D,MATCH(AG3103,编号表!$C:$C,0))*1000+F3103</f>
        <v>11946123</v>
      </c>
      <c r="C3103" s="14" t="s">
        <v>5746</v>
      </c>
      <c r="D3103" s="14" t="s">
        <v>104</v>
      </c>
      <c r="E3103" s="14" t="s">
        <v>98</v>
      </c>
      <c r="F3103" s="14">
        <v>123</v>
      </c>
      <c r="G3103" s="14">
        <v>60</v>
      </c>
      <c r="H3103" s="14" t="s">
        <v>1400</v>
      </c>
      <c r="I3103" s="14" t="s">
        <v>75</v>
      </c>
      <c r="J3103" s="14" t="s">
        <v>201</v>
      </c>
      <c r="K3103" s="14">
        <v>1</v>
      </c>
      <c r="L3103" s="14" t="s">
        <v>1400</v>
      </c>
      <c r="N3103" s="14">
        <v>0</v>
      </c>
      <c r="O3103" s="14" t="b">
        <v>1</v>
      </c>
      <c r="Q3103" s="14" t="b">
        <v>0</v>
      </c>
      <c r="R3103" s="14">
        <v>1</v>
      </c>
      <c r="S3103" s="14" t="s">
        <v>77</v>
      </c>
      <c r="T3103" s="14">
        <v>999</v>
      </c>
      <c r="U3103" s="14" t="s">
        <v>1401</v>
      </c>
      <c r="V3103" s="14">
        <v>31946123</v>
      </c>
      <c r="X3103" s="14" t="s">
        <v>5751</v>
      </c>
      <c r="Y3103" s="14" t="s">
        <v>215</v>
      </c>
      <c r="Z3103" s="14">
        <v>21866</v>
      </c>
      <c r="AA3103" s="14" t="s">
        <v>5752</v>
      </c>
      <c r="AB3103" s="14">
        <v>40001</v>
      </c>
      <c r="AE3103" s="14" t="s">
        <v>1400</v>
      </c>
      <c r="AF3103" s="14" t="s">
        <v>1400</v>
      </c>
      <c r="AG3103" s="14" t="s">
        <v>98</v>
      </c>
    </row>
    <row r="3104" spans="2:33">
      <c r="B3104" s="14">
        <f>10000000+INDEX(编号表!$B:$B,MATCH(H3104,编号表!$A:$A,0))*100000+INDEX(编号表!$F:$F,MATCH(D3104,编号表!$E:$E,0))*10000+INDEX(编号表!$D:$D,MATCH(AG3104,编号表!$C:$C,0))*1000+F3104</f>
        <v>11926122</v>
      </c>
      <c r="C3104" s="14" t="s">
        <v>5753</v>
      </c>
      <c r="D3104" s="14" t="s">
        <v>112</v>
      </c>
      <c r="E3104" s="14" t="s">
        <v>98</v>
      </c>
      <c r="F3104" s="14">
        <v>122</v>
      </c>
      <c r="G3104" s="14">
        <v>60</v>
      </c>
      <c r="H3104" s="14" t="s">
        <v>1400</v>
      </c>
      <c r="I3104" s="14" t="s">
        <v>75</v>
      </c>
      <c r="J3104" s="14" t="s">
        <v>201</v>
      </c>
      <c r="K3104" s="14">
        <v>1</v>
      </c>
      <c r="L3104" s="14" t="s">
        <v>1400</v>
      </c>
      <c r="N3104" s="14">
        <v>0</v>
      </c>
      <c r="O3104" s="14" t="b">
        <v>1</v>
      </c>
      <c r="Q3104" s="14" t="b">
        <v>0</v>
      </c>
      <c r="R3104" s="14">
        <v>1</v>
      </c>
      <c r="S3104" s="14" t="s">
        <v>77</v>
      </c>
      <c r="T3104" s="14">
        <v>999</v>
      </c>
      <c r="U3104" s="14" t="s">
        <v>1401</v>
      </c>
      <c r="V3104" s="14">
        <v>31926122</v>
      </c>
      <c r="X3104" s="14" t="s">
        <v>5754</v>
      </c>
      <c r="Y3104" s="14" t="s">
        <v>215</v>
      </c>
      <c r="Z3104" s="14">
        <v>21867</v>
      </c>
      <c r="AA3104" s="14" t="s">
        <v>5755</v>
      </c>
      <c r="AB3104" s="14">
        <v>40001</v>
      </c>
      <c r="AE3104" s="14" t="s">
        <v>1400</v>
      </c>
      <c r="AF3104" s="14" t="s">
        <v>1400</v>
      </c>
      <c r="AG3104" s="14" t="s">
        <v>98</v>
      </c>
    </row>
    <row r="3105" spans="2:33">
      <c r="B3105" s="14">
        <f>10000000+INDEX(编号表!$B:$B,MATCH(H3105,编号表!$A:$A,0))*100000+INDEX(编号表!$F:$F,MATCH(D3105,编号表!$E:$E,0))*10000+INDEX(编号表!$D:$D,MATCH(AG3105,编号表!$C:$C,0))*1000+F3105</f>
        <v>11936123</v>
      </c>
      <c r="C3105" s="14" t="s">
        <v>5753</v>
      </c>
      <c r="D3105" s="14" t="s">
        <v>276</v>
      </c>
      <c r="E3105" s="14" t="s">
        <v>98</v>
      </c>
      <c r="F3105" s="14">
        <v>123</v>
      </c>
      <c r="G3105" s="14">
        <v>60</v>
      </c>
      <c r="H3105" s="14" t="s">
        <v>1400</v>
      </c>
      <c r="I3105" s="14" t="s">
        <v>75</v>
      </c>
      <c r="J3105" s="14" t="s">
        <v>201</v>
      </c>
      <c r="K3105" s="14">
        <v>1</v>
      </c>
      <c r="L3105" s="14" t="s">
        <v>1400</v>
      </c>
      <c r="N3105" s="14">
        <v>0</v>
      </c>
      <c r="O3105" s="14" t="b">
        <v>1</v>
      </c>
      <c r="Q3105" s="14" t="b">
        <v>0</v>
      </c>
      <c r="R3105" s="14">
        <v>1</v>
      </c>
      <c r="S3105" s="14" t="s">
        <v>77</v>
      </c>
      <c r="T3105" s="14">
        <v>999</v>
      </c>
      <c r="U3105" s="14" t="s">
        <v>1401</v>
      </c>
      <c r="V3105" s="14">
        <v>31936123</v>
      </c>
      <c r="X3105" s="14" t="s">
        <v>5756</v>
      </c>
      <c r="Y3105" s="14" t="s">
        <v>215</v>
      </c>
      <c r="Z3105" s="14">
        <v>21868</v>
      </c>
      <c r="AA3105" s="14" t="s">
        <v>5757</v>
      </c>
      <c r="AB3105" s="14">
        <v>40001</v>
      </c>
      <c r="AE3105" s="14" t="s">
        <v>1400</v>
      </c>
      <c r="AF3105" s="14" t="s">
        <v>1400</v>
      </c>
      <c r="AG3105" s="14" t="s">
        <v>98</v>
      </c>
    </row>
    <row r="3106" spans="2:33">
      <c r="B3106" s="14">
        <f>10000000+INDEX(编号表!$B:$B,MATCH(H3106,编号表!$A:$A,0))*100000+INDEX(编号表!$F:$F,MATCH(D3106,编号表!$E:$E,0))*10000+INDEX(编号表!$D:$D,MATCH(AG3106,编号表!$C:$C,0))*1000+F3106</f>
        <v>11946124</v>
      </c>
      <c r="C3106" s="14" t="s">
        <v>5753</v>
      </c>
      <c r="D3106" s="14" t="s">
        <v>104</v>
      </c>
      <c r="E3106" s="14" t="s">
        <v>98</v>
      </c>
      <c r="F3106" s="14">
        <v>124</v>
      </c>
      <c r="G3106" s="14">
        <v>60</v>
      </c>
      <c r="H3106" s="14" t="s">
        <v>1400</v>
      </c>
      <c r="I3106" s="14" t="s">
        <v>75</v>
      </c>
      <c r="J3106" s="14" t="s">
        <v>201</v>
      </c>
      <c r="K3106" s="14">
        <v>1</v>
      </c>
      <c r="L3106" s="14" t="s">
        <v>1400</v>
      </c>
      <c r="N3106" s="14">
        <v>0</v>
      </c>
      <c r="O3106" s="14" t="b">
        <v>1</v>
      </c>
      <c r="Q3106" s="14" t="b">
        <v>0</v>
      </c>
      <c r="R3106" s="14">
        <v>1</v>
      </c>
      <c r="S3106" s="14" t="s">
        <v>77</v>
      </c>
      <c r="T3106" s="14">
        <v>999</v>
      </c>
      <c r="U3106" s="14" t="s">
        <v>1401</v>
      </c>
      <c r="V3106" s="14">
        <v>31946124</v>
      </c>
      <c r="X3106" s="14" t="s">
        <v>5758</v>
      </c>
      <c r="Y3106" s="14" t="s">
        <v>215</v>
      </c>
      <c r="Z3106" s="14">
        <v>21869</v>
      </c>
      <c r="AA3106" s="14" t="s">
        <v>5759</v>
      </c>
      <c r="AB3106" s="14">
        <v>40001</v>
      </c>
      <c r="AE3106" s="14" t="s">
        <v>1400</v>
      </c>
      <c r="AF3106" s="14" t="s">
        <v>1400</v>
      </c>
      <c r="AG3106" s="14" t="s">
        <v>98</v>
      </c>
    </row>
    <row r="3107" spans="2:33">
      <c r="B3107" s="14">
        <f>10000000+INDEX(编号表!$B:$B,MATCH(H3107,编号表!$A:$A,0))*100000+INDEX(编号表!$F:$F,MATCH(D3107,编号表!$E:$E,0))*10000+INDEX(编号表!$D:$D,MATCH(AG3107,编号表!$C:$C,0))*1000+F3107</f>
        <v>11926123</v>
      </c>
      <c r="C3107" s="14" t="s">
        <v>5760</v>
      </c>
      <c r="D3107" s="14" t="s">
        <v>112</v>
      </c>
      <c r="E3107" s="14" t="s">
        <v>98</v>
      </c>
      <c r="F3107" s="14">
        <v>123</v>
      </c>
      <c r="G3107" s="14">
        <v>60</v>
      </c>
      <c r="H3107" s="14" t="s">
        <v>1400</v>
      </c>
      <c r="I3107" s="14" t="s">
        <v>75</v>
      </c>
      <c r="J3107" s="14" t="s">
        <v>201</v>
      </c>
      <c r="K3107" s="14">
        <v>1</v>
      </c>
      <c r="L3107" s="14" t="s">
        <v>1400</v>
      </c>
      <c r="N3107" s="14">
        <v>0</v>
      </c>
      <c r="O3107" s="14" t="b">
        <v>1</v>
      </c>
      <c r="Q3107" s="14" t="b">
        <v>0</v>
      </c>
      <c r="R3107" s="14">
        <v>1</v>
      </c>
      <c r="S3107" s="14" t="s">
        <v>77</v>
      </c>
      <c r="T3107" s="14">
        <v>999</v>
      </c>
      <c r="U3107" s="14" t="s">
        <v>1401</v>
      </c>
      <c r="V3107" s="14">
        <v>31926123</v>
      </c>
      <c r="X3107" s="14" t="s">
        <v>5761</v>
      </c>
      <c r="Y3107" s="14" t="s">
        <v>215</v>
      </c>
      <c r="Z3107" s="14">
        <v>21870</v>
      </c>
      <c r="AA3107" s="14" t="s">
        <v>5762</v>
      </c>
      <c r="AB3107" s="14">
        <v>40001</v>
      </c>
      <c r="AE3107" s="14" t="s">
        <v>1400</v>
      </c>
      <c r="AF3107" s="14" t="s">
        <v>1400</v>
      </c>
      <c r="AG3107" s="14" t="s">
        <v>98</v>
      </c>
    </row>
    <row r="3108" spans="2:33">
      <c r="B3108" s="14">
        <f>10000000+INDEX(编号表!$B:$B,MATCH(H3108,编号表!$A:$A,0))*100000+INDEX(编号表!$F:$F,MATCH(D3108,编号表!$E:$E,0))*10000+INDEX(编号表!$D:$D,MATCH(AG3108,编号表!$C:$C,0))*1000+F3108</f>
        <v>11936124</v>
      </c>
      <c r="C3108" s="14" t="s">
        <v>5760</v>
      </c>
      <c r="D3108" s="14" t="s">
        <v>276</v>
      </c>
      <c r="E3108" s="14" t="s">
        <v>98</v>
      </c>
      <c r="F3108" s="14">
        <v>124</v>
      </c>
      <c r="G3108" s="14">
        <v>60</v>
      </c>
      <c r="H3108" s="14" t="s">
        <v>1400</v>
      </c>
      <c r="I3108" s="14" t="s">
        <v>75</v>
      </c>
      <c r="J3108" s="14" t="s">
        <v>201</v>
      </c>
      <c r="K3108" s="14">
        <v>1</v>
      </c>
      <c r="L3108" s="14" t="s">
        <v>1400</v>
      </c>
      <c r="N3108" s="14">
        <v>0</v>
      </c>
      <c r="O3108" s="14" t="b">
        <v>1</v>
      </c>
      <c r="Q3108" s="14" t="b">
        <v>0</v>
      </c>
      <c r="R3108" s="14">
        <v>1</v>
      </c>
      <c r="S3108" s="14" t="s">
        <v>77</v>
      </c>
      <c r="T3108" s="14">
        <v>999</v>
      </c>
      <c r="U3108" s="14" t="s">
        <v>1401</v>
      </c>
      <c r="V3108" s="14">
        <v>31936124</v>
      </c>
      <c r="X3108" s="14" t="s">
        <v>5763</v>
      </c>
      <c r="Y3108" s="14" t="s">
        <v>215</v>
      </c>
      <c r="Z3108" s="14">
        <v>21871</v>
      </c>
      <c r="AA3108" s="14" t="s">
        <v>5764</v>
      </c>
      <c r="AB3108" s="14">
        <v>40001</v>
      </c>
      <c r="AE3108" s="14" t="s">
        <v>1400</v>
      </c>
      <c r="AF3108" s="14" t="s">
        <v>1400</v>
      </c>
      <c r="AG3108" s="14" t="s">
        <v>98</v>
      </c>
    </row>
    <row r="3109" spans="2:33">
      <c r="B3109" s="14">
        <f>10000000+INDEX(编号表!$B:$B,MATCH(H3109,编号表!$A:$A,0))*100000+INDEX(编号表!$F:$F,MATCH(D3109,编号表!$E:$E,0))*10000+INDEX(编号表!$D:$D,MATCH(AG3109,编号表!$C:$C,0))*1000+F3109</f>
        <v>11946125</v>
      </c>
      <c r="C3109" s="14" t="s">
        <v>5760</v>
      </c>
      <c r="D3109" s="14" t="s">
        <v>104</v>
      </c>
      <c r="E3109" s="14" t="s">
        <v>98</v>
      </c>
      <c r="F3109" s="14">
        <v>125</v>
      </c>
      <c r="G3109" s="14">
        <v>60</v>
      </c>
      <c r="H3109" s="14" t="s">
        <v>1400</v>
      </c>
      <c r="I3109" s="14" t="s">
        <v>75</v>
      </c>
      <c r="J3109" s="14" t="s">
        <v>201</v>
      </c>
      <c r="K3109" s="14">
        <v>1</v>
      </c>
      <c r="L3109" s="14" t="s">
        <v>1400</v>
      </c>
      <c r="N3109" s="14">
        <v>0</v>
      </c>
      <c r="O3109" s="14" t="b">
        <v>1</v>
      </c>
      <c r="Q3109" s="14" t="b">
        <v>0</v>
      </c>
      <c r="R3109" s="14">
        <v>1</v>
      </c>
      <c r="S3109" s="14" t="s">
        <v>77</v>
      </c>
      <c r="T3109" s="14">
        <v>999</v>
      </c>
      <c r="U3109" s="14" t="s">
        <v>1401</v>
      </c>
      <c r="V3109" s="14">
        <v>31946125</v>
      </c>
      <c r="X3109" s="14" t="s">
        <v>5765</v>
      </c>
      <c r="Y3109" s="14" t="s">
        <v>215</v>
      </c>
      <c r="Z3109" s="14">
        <v>21872</v>
      </c>
      <c r="AA3109" s="14" t="s">
        <v>5766</v>
      </c>
      <c r="AB3109" s="14">
        <v>40001</v>
      </c>
      <c r="AE3109" s="14" t="s">
        <v>1400</v>
      </c>
      <c r="AF3109" s="14" t="s">
        <v>1400</v>
      </c>
      <c r="AG3109" s="14" t="s">
        <v>98</v>
      </c>
    </row>
    <row r="3110" spans="2:33">
      <c r="B3110" s="14">
        <f>10000000+INDEX(编号表!$B:$B,MATCH(H3110,编号表!$A:$A,0))*100000+INDEX(编号表!$F:$F,MATCH(D3110,编号表!$E:$E,0))*10000+INDEX(编号表!$D:$D,MATCH(AG3110,编号表!$C:$C,0))*1000+F3110</f>
        <v>11926124</v>
      </c>
      <c r="C3110" s="14" t="s">
        <v>5767</v>
      </c>
      <c r="D3110" s="14" t="s">
        <v>112</v>
      </c>
      <c r="E3110" s="14" t="s">
        <v>98</v>
      </c>
      <c r="F3110" s="14">
        <v>124</v>
      </c>
      <c r="G3110" s="14">
        <v>60</v>
      </c>
      <c r="H3110" s="14" t="s">
        <v>1400</v>
      </c>
      <c r="I3110" s="14" t="s">
        <v>75</v>
      </c>
      <c r="J3110" s="14" t="s">
        <v>201</v>
      </c>
      <c r="K3110" s="14">
        <v>1</v>
      </c>
      <c r="L3110" s="14" t="s">
        <v>1400</v>
      </c>
      <c r="N3110" s="14">
        <v>0</v>
      </c>
      <c r="O3110" s="14" t="b">
        <v>1</v>
      </c>
      <c r="Q3110" s="14" t="b">
        <v>0</v>
      </c>
      <c r="R3110" s="14">
        <v>1</v>
      </c>
      <c r="S3110" s="14" t="s">
        <v>77</v>
      </c>
      <c r="T3110" s="14">
        <v>999</v>
      </c>
      <c r="U3110" s="14" t="s">
        <v>1401</v>
      </c>
      <c r="V3110" s="14">
        <v>31926124</v>
      </c>
      <c r="X3110" s="14" t="s">
        <v>5768</v>
      </c>
      <c r="Y3110" s="14" t="s">
        <v>215</v>
      </c>
      <c r="Z3110" s="14">
        <v>21873</v>
      </c>
      <c r="AA3110" s="14" t="s">
        <v>5769</v>
      </c>
      <c r="AB3110" s="14">
        <v>40001</v>
      </c>
      <c r="AE3110" s="14" t="s">
        <v>1400</v>
      </c>
      <c r="AF3110" s="14" t="s">
        <v>1400</v>
      </c>
      <c r="AG3110" s="14" t="s">
        <v>98</v>
      </c>
    </row>
    <row r="3111" spans="2:33">
      <c r="B3111" s="14">
        <f>10000000+INDEX(编号表!$B:$B,MATCH(H3111,编号表!$A:$A,0))*100000+INDEX(编号表!$F:$F,MATCH(D3111,编号表!$E:$E,0))*10000+INDEX(编号表!$D:$D,MATCH(AG3111,编号表!$C:$C,0))*1000+F3111</f>
        <v>11936125</v>
      </c>
      <c r="C3111" s="14" t="s">
        <v>5767</v>
      </c>
      <c r="D3111" s="14" t="s">
        <v>276</v>
      </c>
      <c r="E3111" s="14" t="s">
        <v>98</v>
      </c>
      <c r="F3111" s="14">
        <v>125</v>
      </c>
      <c r="G3111" s="14">
        <v>60</v>
      </c>
      <c r="H3111" s="14" t="s">
        <v>1400</v>
      </c>
      <c r="I3111" s="14" t="s">
        <v>75</v>
      </c>
      <c r="J3111" s="14" t="s">
        <v>201</v>
      </c>
      <c r="K3111" s="14">
        <v>1</v>
      </c>
      <c r="L3111" s="14" t="s">
        <v>1400</v>
      </c>
      <c r="N3111" s="14">
        <v>0</v>
      </c>
      <c r="O3111" s="14" t="b">
        <v>1</v>
      </c>
      <c r="Q3111" s="14" t="b">
        <v>0</v>
      </c>
      <c r="R3111" s="14">
        <v>1</v>
      </c>
      <c r="S3111" s="14" t="s">
        <v>77</v>
      </c>
      <c r="T3111" s="14">
        <v>999</v>
      </c>
      <c r="U3111" s="14" t="s">
        <v>1401</v>
      </c>
      <c r="V3111" s="14">
        <v>31936125</v>
      </c>
      <c r="X3111" s="14" t="s">
        <v>5770</v>
      </c>
      <c r="Y3111" s="14" t="s">
        <v>215</v>
      </c>
      <c r="Z3111" s="14">
        <v>21874</v>
      </c>
      <c r="AA3111" s="14" t="s">
        <v>5771</v>
      </c>
      <c r="AB3111" s="14">
        <v>40001</v>
      </c>
      <c r="AE3111" s="14" t="s">
        <v>1400</v>
      </c>
      <c r="AF3111" s="14" t="s">
        <v>1400</v>
      </c>
      <c r="AG3111" s="14" t="s">
        <v>98</v>
      </c>
    </row>
    <row r="3112" spans="2:33">
      <c r="B3112" s="14">
        <f>10000000+INDEX(编号表!$B:$B,MATCH(H3112,编号表!$A:$A,0))*100000+INDEX(编号表!$F:$F,MATCH(D3112,编号表!$E:$E,0))*10000+INDEX(编号表!$D:$D,MATCH(AG3112,编号表!$C:$C,0))*1000+F3112</f>
        <v>11946126</v>
      </c>
      <c r="C3112" s="14" t="s">
        <v>5767</v>
      </c>
      <c r="D3112" s="14" t="s">
        <v>104</v>
      </c>
      <c r="E3112" s="14" t="s">
        <v>98</v>
      </c>
      <c r="F3112" s="14">
        <v>126</v>
      </c>
      <c r="G3112" s="14">
        <v>60</v>
      </c>
      <c r="H3112" s="14" t="s">
        <v>1400</v>
      </c>
      <c r="I3112" s="14" t="s">
        <v>75</v>
      </c>
      <c r="J3112" s="14" t="s">
        <v>201</v>
      </c>
      <c r="K3112" s="14">
        <v>1</v>
      </c>
      <c r="L3112" s="14" t="s">
        <v>1400</v>
      </c>
      <c r="N3112" s="14">
        <v>0</v>
      </c>
      <c r="O3112" s="14" t="b">
        <v>1</v>
      </c>
      <c r="Q3112" s="14" t="b">
        <v>0</v>
      </c>
      <c r="R3112" s="14">
        <v>1</v>
      </c>
      <c r="S3112" s="14" t="s">
        <v>77</v>
      </c>
      <c r="T3112" s="14">
        <v>999</v>
      </c>
      <c r="U3112" s="14" t="s">
        <v>1401</v>
      </c>
      <c r="V3112" s="14">
        <v>31946126</v>
      </c>
      <c r="X3112" s="14" t="s">
        <v>5772</v>
      </c>
      <c r="Y3112" s="14" t="s">
        <v>215</v>
      </c>
      <c r="Z3112" s="14">
        <v>21875</v>
      </c>
      <c r="AA3112" s="14" t="s">
        <v>5773</v>
      </c>
      <c r="AB3112" s="14">
        <v>40001</v>
      </c>
      <c r="AE3112" s="14" t="s">
        <v>1400</v>
      </c>
      <c r="AF3112" s="14" t="s">
        <v>1400</v>
      </c>
      <c r="AG3112" s="14" t="s">
        <v>98</v>
      </c>
    </row>
    <row r="3113" spans="2:33">
      <c r="B3113" s="14">
        <f>10000000+INDEX(编号表!$B:$B,MATCH(H3113,编号表!$A:$A,0))*100000+INDEX(编号表!$F:$F,MATCH(D3113,编号表!$E:$E,0))*10000+INDEX(编号表!$D:$D,MATCH(AG3113,编号表!$C:$C,0))*1000+F3113</f>
        <v>11927000</v>
      </c>
      <c r="C3113" s="14" t="s">
        <v>5774</v>
      </c>
      <c r="D3113" s="14" t="s">
        <v>112</v>
      </c>
      <c r="E3113" s="14" t="s">
        <v>101</v>
      </c>
      <c r="F3113" s="14">
        <v>0</v>
      </c>
      <c r="G3113" s="14">
        <v>60</v>
      </c>
      <c r="H3113" s="14" t="s">
        <v>1400</v>
      </c>
      <c r="I3113" s="14" t="s">
        <v>75</v>
      </c>
      <c r="J3113" s="14" t="s">
        <v>201</v>
      </c>
      <c r="K3113" s="14">
        <v>1</v>
      </c>
      <c r="L3113" s="14" t="s">
        <v>1400</v>
      </c>
      <c r="N3113" s="14">
        <v>0</v>
      </c>
      <c r="O3113" s="14" t="b">
        <v>1</v>
      </c>
      <c r="Q3113" s="14" t="b">
        <v>0</v>
      </c>
      <c r="R3113" s="14">
        <v>1</v>
      </c>
      <c r="S3113" s="14" t="s">
        <v>77</v>
      </c>
      <c r="T3113" s="14">
        <v>999</v>
      </c>
      <c r="U3113" s="14" t="s">
        <v>1401</v>
      </c>
      <c r="V3113" s="14">
        <v>31927000</v>
      </c>
      <c r="X3113" s="14" t="s">
        <v>5775</v>
      </c>
      <c r="Y3113" s="14" t="s">
        <v>215</v>
      </c>
      <c r="Z3113" s="14">
        <v>21876</v>
      </c>
      <c r="AA3113" s="14" t="s">
        <v>5776</v>
      </c>
      <c r="AB3113" s="14">
        <v>40001</v>
      </c>
      <c r="AE3113" s="14" t="s">
        <v>1400</v>
      </c>
      <c r="AF3113" s="14" t="s">
        <v>1400</v>
      </c>
      <c r="AG3113" s="14" t="s">
        <v>101</v>
      </c>
    </row>
    <row r="3114" spans="2:33">
      <c r="B3114" s="14">
        <f>10000000+INDEX(编号表!$B:$B,MATCH(H3114,编号表!$A:$A,0))*100000+INDEX(编号表!$F:$F,MATCH(D3114,编号表!$E:$E,0))*10000+INDEX(编号表!$D:$D,MATCH(AG3114,编号表!$C:$C,0))*1000+F3114</f>
        <v>11937001</v>
      </c>
      <c r="C3114" s="14" t="s">
        <v>5774</v>
      </c>
      <c r="D3114" s="14" t="s">
        <v>276</v>
      </c>
      <c r="E3114" s="14" t="s">
        <v>101</v>
      </c>
      <c r="F3114" s="14">
        <v>1</v>
      </c>
      <c r="G3114" s="14">
        <v>60</v>
      </c>
      <c r="H3114" s="14" t="s">
        <v>1400</v>
      </c>
      <c r="I3114" s="14" t="s">
        <v>75</v>
      </c>
      <c r="J3114" s="14" t="s">
        <v>201</v>
      </c>
      <c r="K3114" s="14">
        <v>1</v>
      </c>
      <c r="L3114" s="14" t="s">
        <v>1400</v>
      </c>
      <c r="N3114" s="14">
        <v>0</v>
      </c>
      <c r="O3114" s="14" t="b">
        <v>1</v>
      </c>
      <c r="Q3114" s="14" t="b">
        <v>0</v>
      </c>
      <c r="R3114" s="14">
        <v>1</v>
      </c>
      <c r="S3114" s="14" t="s">
        <v>77</v>
      </c>
      <c r="T3114" s="14">
        <v>999</v>
      </c>
      <c r="U3114" s="14" t="s">
        <v>1401</v>
      </c>
      <c r="V3114" s="14">
        <v>31937001</v>
      </c>
      <c r="X3114" s="14" t="s">
        <v>5777</v>
      </c>
      <c r="Y3114" s="14" t="s">
        <v>215</v>
      </c>
      <c r="Z3114" s="14">
        <v>21877</v>
      </c>
      <c r="AA3114" s="14" t="s">
        <v>5778</v>
      </c>
      <c r="AB3114" s="14">
        <v>40001</v>
      </c>
      <c r="AE3114" s="14" t="s">
        <v>1400</v>
      </c>
      <c r="AF3114" s="14" t="s">
        <v>1400</v>
      </c>
      <c r="AG3114" s="14" t="s">
        <v>101</v>
      </c>
    </row>
    <row r="3115" spans="2:33">
      <c r="B3115" s="14">
        <f>10000000+INDEX(编号表!$B:$B,MATCH(H3115,编号表!$A:$A,0))*100000+INDEX(编号表!$F:$F,MATCH(D3115,编号表!$E:$E,0))*10000+INDEX(编号表!$D:$D,MATCH(AG3115,编号表!$C:$C,0))*1000+F3115</f>
        <v>11947002</v>
      </c>
      <c r="C3115" s="14" t="s">
        <v>5774</v>
      </c>
      <c r="D3115" s="14" t="s">
        <v>104</v>
      </c>
      <c r="E3115" s="14" t="s">
        <v>101</v>
      </c>
      <c r="F3115" s="14">
        <v>2</v>
      </c>
      <c r="G3115" s="14">
        <v>60</v>
      </c>
      <c r="H3115" s="14" t="s">
        <v>1400</v>
      </c>
      <c r="I3115" s="14" t="s">
        <v>75</v>
      </c>
      <c r="J3115" s="14" t="s">
        <v>201</v>
      </c>
      <c r="K3115" s="14">
        <v>1</v>
      </c>
      <c r="L3115" s="14" t="s">
        <v>1400</v>
      </c>
      <c r="N3115" s="14">
        <v>0</v>
      </c>
      <c r="O3115" s="14" t="b">
        <v>1</v>
      </c>
      <c r="Q3115" s="14" t="b">
        <v>0</v>
      </c>
      <c r="R3115" s="14">
        <v>1</v>
      </c>
      <c r="S3115" s="14" t="s">
        <v>77</v>
      </c>
      <c r="T3115" s="14">
        <v>999</v>
      </c>
      <c r="U3115" s="14" t="s">
        <v>1401</v>
      </c>
      <c r="V3115" s="14">
        <v>31947002</v>
      </c>
      <c r="X3115" s="14" t="s">
        <v>5779</v>
      </c>
      <c r="Y3115" s="14" t="s">
        <v>215</v>
      </c>
      <c r="Z3115" s="14">
        <v>21878</v>
      </c>
      <c r="AA3115" s="14" t="s">
        <v>5780</v>
      </c>
      <c r="AB3115" s="14">
        <v>40001</v>
      </c>
      <c r="AE3115" s="14" t="s">
        <v>1400</v>
      </c>
      <c r="AF3115" s="14" t="s">
        <v>1400</v>
      </c>
      <c r="AG3115" s="14" t="s">
        <v>101</v>
      </c>
    </row>
    <row r="3116" spans="2:33">
      <c r="B3116" s="14">
        <f>10000000+INDEX(编号表!$B:$B,MATCH(H3116,编号表!$A:$A,0))*100000+INDEX(编号表!$F:$F,MATCH(D3116,编号表!$E:$E,0))*10000+INDEX(编号表!$D:$D,MATCH(AG3116,编号表!$C:$C,0))*1000+F3116</f>
        <v>11927001</v>
      </c>
      <c r="C3116" s="14" t="s">
        <v>5781</v>
      </c>
      <c r="D3116" s="14" t="s">
        <v>112</v>
      </c>
      <c r="E3116" s="14" t="s">
        <v>101</v>
      </c>
      <c r="F3116" s="14">
        <v>1</v>
      </c>
      <c r="G3116" s="14">
        <v>60</v>
      </c>
      <c r="H3116" s="14" t="s">
        <v>1400</v>
      </c>
      <c r="I3116" s="14" t="s">
        <v>75</v>
      </c>
      <c r="J3116" s="14" t="s">
        <v>201</v>
      </c>
      <c r="K3116" s="14">
        <v>1</v>
      </c>
      <c r="L3116" s="14" t="s">
        <v>1400</v>
      </c>
      <c r="N3116" s="14">
        <v>0</v>
      </c>
      <c r="O3116" s="14" t="b">
        <v>1</v>
      </c>
      <c r="Q3116" s="14" t="b">
        <v>0</v>
      </c>
      <c r="R3116" s="14">
        <v>1</v>
      </c>
      <c r="S3116" s="14" t="s">
        <v>77</v>
      </c>
      <c r="T3116" s="14">
        <v>999</v>
      </c>
      <c r="U3116" s="14" t="s">
        <v>1401</v>
      </c>
      <c r="V3116" s="14">
        <v>31927001</v>
      </c>
      <c r="X3116" s="14" t="s">
        <v>5782</v>
      </c>
      <c r="Y3116" s="14" t="s">
        <v>215</v>
      </c>
      <c r="Z3116" s="14">
        <v>21879</v>
      </c>
      <c r="AA3116" s="14" t="s">
        <v>5783</v>
      </c>
      <c r="AB3116" s="14">
        <v>40001</v>
      </c>
      <c r="AE3116" s="14" t="s">
        <v>1400</v>
      </c>
      <c r="AF3116" s="14" t="s">
        <v>1400</v>
      </c>
      <c r="AG3116" s="14" t="s">
        <v>101</v>
      </c>
    </row>
    <row r="3117" spans="2:33">
      <c r="B3117" s="14">
        <f>10000000+INDEX(编号表!$B:$B,MATCH(H3117,编号表!$A:$A,0))*100000+INDEX(编号表!$F:$F,MATCH(D3117,编号表!$E:$E,0))*10000+INDEX(编号表!$D:$D,MATCH(AG3117,编号表!$C:$C,0))*1000+F3117</f>
        <v>11937002</v>
      </c>
      <c r="C3117" s="14" t="s">
        <v>5781</v>
      </c>
      <c r="D3117" s="14" t="s">
        <v>276</v>
      </c>
      <c r="E3117" s="14" t="s">
        <v>101</v>
      </c>
      <c r="F3117" s="14">
        <v>2</v>
      </c>
      <c r="G3117" s="14">
        <v>60</v>
      </c>
      <c r="H3117" s="14" t="s">
        <v>1400</v>
      </c>
      <c r="I3117" s="14" t="s">
        <v>75</v>
      </c>
      <c r="J3117" s="14" t="s">
        <v>201</v>
      </c>
      <c r="K3117" s="14">
        <v>1</v>
      </c>
      <c r="L3117" s="14" t="s">
        <v>1400</v>
      </c>
      <c r="N3117" s="14">
        <v>0</v>
      </c>
      <c r="O3117" s="14" t="b">
        <v>1</v>
      </c>
      <c r="Q3117" s="14" t="b">
        <v>0</v>
      </c>
      <c r="R3117" s="14">
        <v>1</v>
      </c>
      <c r="S3117" s="14" t="s">
        <v>77</v>
      </c>
      <c r="T3117" s="14">
        <v>999</v>
      </c>
      <c r="U3117" s="14" t="s">
        <v>1401</v>
      </c>
      <c r="V3117" s="14">
        <v>31937002</v>
      </c>
      <c r="X3117" s="14" t="s">
        <v>5784</v>
      </c>
      <c r="Y3117" s="14" t="s">
        <v>215</v>
      </c>
      <c r="Z3117" s="14">
        <v>21880</v>
      </c>
      <c r="AA3117" s="14" t="s">
        <v>5785</v>
      </c>
      <c r="AB3117" s="14">
        <v>40001</v>
      </c>
      <c r="AE3117" s="14" t="s">
        <v>1400</v>
      </c>
      <c r="AF3117" s="14" t="s">
        <v>1400</v>
      </c>
      <c r="AG3117" s="14" t="s">
        <v>101</v>
      </c>
    </row>
    <row r="3118" spans="2:33">
      <c r="B3118" s="14">
        <f>10000000+INDEX(编号表!$B:$B,MATCH(H3118,编号表!$A:$A,0))*100000+INDEX(编号表!$F:$F,MATCH(D3118,编号表!$E:$E,0))*10000+INDEX(编号表!$D:$D,MATCH(AG3118,编号表!$C:$C,0))*1000+F3118</f>
        <v>11947003</v>
      </c>
      <c r="C3118" s="14" t="s">
        <v>5781</v>
      </c>
      <c r="D3118" s="14" t="s">
        <v>104</v>
      </c>
      <c r="E3118" s="14" t="s">
        <v>101</v>
      </c>
      <c r="F3118" s="14">
        <v>3</v>
      </c>
      <c r="G3118" s="14">
        <v>60</v>
      </c>
      <c r="H3118" s="14" t="s">
        <v>1400</v>
      </c>
      <c r="I3118" s="14" t="s">
        <v>75</v>
      </c>
      <c r="J3118" s="14" t="s">
        <v>201</v>
      </c>
      <c r="K3118" s="14">
        <v>1</v>
      </c>
      <c r="L3118" s="14" t="s">
        <v>1400</v>
      </c>
      <c r="N3118" s="14">
        <v>0</v>
      </c>
      <c r="O3118" s="14" t="b">
        <v>1</v>
      </c>
      <c r="Q3118" s="14" t="b">
        <v>0</v>
      </c>
      <c r="R3118" s="14">
        <v>1</v>
      </c>
      <c r="S3118" s="14" t="s">
        <v>77</v>
      </c>
      <c r="T3118" s="14">
        <v>999</v>
      </c>
      <c r="U3118" s="14" t="s">
        <v>1401</v>
      </c>
      <c r="V3118" s="14">
        <v>31947003</v>
      </c>
      <c r="X3118" s="14" t="s">
        <v>5786</v>
      </c>
      <c r="Y3118" s="14" t="s">
        <v>215</v>
      </c>
      <c r="Z3118" s="14">
        <v>21881</v>
      </c>
      <c r="AA3118" s="14" t="s">
        <v>5787</v>
      </c>
      <c r="AB3118" s="14">
        <v>40001</v>
      </c>
      <c r="AE3118" s="14" t="s">
        <v>1400</v>
      </c>
      <c r="AF3118" s="14" t="s">
        <v>1400</v>
      </c>
      <c r="AG3118" s="14" t="s">
        <v>101</v>
      </c>
    </row>
    <row r="3119" spans="2:33">
      <c r="B3119" s="14">
        <f>10000000+INDEX(编号表!$B:$B,MATCH(H3119,编号表!$A:$A,0))*100000+INDEX(编号表!$F:$F,MATCH(D3119,编号表!$E:$E,0))*10000+INDEX(编号表!$D:$D,MATCH(AG3119,编号表!$C:$C,0))*1000+F3119</f>
        <v>11927002</v>
      </c>
      <c r="C3119" s="14" t="s">
        <v>5788</v>
      </c>
      <c r="D3119" s="14" t="s">
        <v>112</v>
      </c>
      <c r="E3119" s="14" t="s">
        <v>101</v>
      </c>
      <c r="F3119" s="14">
        <v>2</v>
      </c>
      <c r="G3119" s="14">
        <v>60</v>
      </c>
      <c r="H3119" s="14" t="s">
        <v>1400</v>
      </c>
      <c r="I3119" s="14" t="s">
        <v>75</v>
      </c>
      <c r="J3119" s="14" t="s">
        <v>201</v>
      </c>
      <c r="K3119" s="14">
        <v>1</v>
      </c>
      <c r="L3119" s="14" t="s">
        <v>1400</v>
      </c>
      <c r="N3119" s="14">
        <v>0</v>
      </c>
      <c r="O3119" s="14" t="b">
        <v>1</v>
      </c>
      <c r="Q3119" s="14" t="b">
        <v>0</v>
      </c>
      <c r="R3119" s="14">
        <v>1</v>
      </c>
      <c r="S3119" s="14" t="s">
        <v>77</v>
      </c>
      <c r="T3119" s="14">
        <v>999</v>
      </c>
      <c r="U3119" s="14" t="s">
        <v>1401</v>
      </c>
      <c r="V3119" s="14">
        <v>31927002</v>
      </c>
      <c r="X3119" s="14" t="s">
        <v>5789</v>
      </c>
      <c r="Y3119" s="14" t="s">
        <v>215</v>
      </c>
      <c r="Z3119" s="14">
        <v>21882</v>
      </c>
      <c r="AA3119" s="14" t="s">
        <v>5790</v>
      </c>
      <c r="AB3119" s="14">
        <v>40001</v>
      </c>
      <c r="AE3119" s="14" t="s">
        <v>1400</v>
      </c>
      <c r="AF3119" s="14" t="s">
        <v>1400</v>
      </c>
      <c r="AG3119" s="14" t="s">
        <v>101</v>
      </c>
    </row>
    <row r="3120" spans="2:33">
      <c r="B3120" s="14">
        <f>10000000+INDEX(编号表!$B:$B,MATCH(H3120,编号表!$A:$A,0))*100000+INDEX(编号表!$F:$F,MATCH(D3120,编号表!$E:$E,0))*10000+INDEX(编号表!$D:$D,MATCH(AG3120,编号表!$C:$C,0))*1000+F3120</f>
        <v>11937003</v>
      </c>
      <c r="C3120" s="14" t="s">
        <v>5788</v>
      </c>
      <c r="D3120" s="14" t="s">
        <v>276</v>
      </c>
      <c r="E3120" s="14" t="s">
        <v>101</v>
      </c>
      <c r="F3120" s="14">
        <v>3</v>
      </c>
      <c r="G3120" s="14">
        <v>60</v>
      </c>
      <c r="H3120" s="14" t="s">
        <v>1400</v>
      </c>
      <c r="I3120" s="14" t="s">
        <v>75</v>
      </c>
      <c r="J3120" s="14" t="s">
        <v>201</v>
      </c>
      <c r="K3120" s="14">
        <v>1</v>
      </c>
      <c r="L3120" s="14" t="s">
        <v>1400</v>
      </c>
      <c r="N3120" s="14">
        <v>0</v>
      </c>
      <c r="O3120" s="14" t="b">
        <v>1</v>
      </c>
      <c r="Q3120" s="14" t="b">
        <v>0</v>
      </c>
      <c r="R3120" s="14">
        <v>1</v>
      </c>
      <c r="S3120" s="14" t="s">
        <v>77</v>
      </c>
      <c r="T3120" s="14">
        <v>999</v>
      </c>
      <c r="U3120" s="14" t="s">
        <v>1401</v>
      </c>
      <c r="V3120" s="14">
        <v>31937003</v>
      </c>
      <c r="X3120" s="14" t="s">
        <v>5791</v>
      </c>
      <c r="Y3120" s="14" t="s">
        <v>215</v>
      </c>
      <c r="Z3120" s="14">
        <v>21883</v>
      </c>
      <c r="AA3120" s="14" t="s">
        <v>5792</v>
      </c>
      <c r="AB3120" s="14">
        <v>40001</v>
      </c>
      <c r="AE3120" s="14" t="s">
        <v>1400</v>
      </c>
      <c r="AF3120" s="14" t="s">
        <v>1400</v>
      </c>
      <c r="AG3120" s="14" t="s">
        <v>101</v>
      </c>
    </row>
    <row r="3121" spans="2:33">
      <c r="B3121" s="14">
        <f>10000000+INDEX(编号表!$B:$B,MATCH(H3121,编号表!$A:$A,0))*100000+INDEX(编号表!$F:$F,MATCH(D3121,编号表!$E:$E,0))*10000+INDEX(编号表!$D:$D,MATCH(AG3121,编号表!$C:$C,0))*1000+F3121</f>
        <v>11947004</v>
      </c>
      <c r="C3121" s="14" t="s">
        <v>5788</v>
      </c>
      <c r="D3121" s="14" t="s">
        <v>104</v>
      </c>
      <c r="E3121" s="14" t="s">
        <v>101</v>
      </c>
      <c r="F3121" s="14">
        <v>4</v>
      </c>
      <c r="G3121" s="14">
        <v>60</v>
      </c>
      <c r="H3121" s="14" t="s">
        <v>1400</v>
      </c>
      <c r="I3121" s="14" t="s">
        <v>75</v>
      </c>
      <c r="J3121" s="14" t="s">
        <v>201</v>
      </c>
      <c r="K3121" s="14">
        <v>1</v>
      </c>
      <c r="L3121" s="14" t="s">
        <v>1400</v>
      </c>
      <c r="N3121" s="14">
        <v>0</v>
      </c>
      <c r="O3121" s="14" t="b">
        <v>1</v>
      </c>
      <c r="Q3121" s="14" t="b">
        <v>0</v>
      </c>
      <c r="R3121" s="14">
        <v>1</v>
      </c>
      <c r="S3121" s="14" t="s">
        <v>77</v>
      </c>
      <c r="T3121" s="14">
        <v>999</v>
      </c>
      <c r="U3121" s="14" t="s">
        <v>1401</v>
      </c>
      <c r="V3121" s="14">
        <v>31947004</v>
      </c>
      <c r="X3121" s="14" t="s">
        <v>5793</v>
      </c>
      <c r="Y3121" s="14" t="s">
        <v>215</v>
      </c>
      <c r="Z3121" s="14">
        <v>21884</v>
      </c>
      <c r="AA3121" s="14" t="s">
        <v>5794</v>
      </c>
      <c r="AB3121" s="14">
        <v>40001</v>
      </c>
      <c r="AE3121" s="14" t="s">
        <v>1400</v>
      </c>
      <c r="AF3121" s="14" t="s">
        <v>1400</v>
      </c>
      <c r="AG3121" s="14" t="s">
        <v>101</v>
      </c>
    </row>
    <row r="3122" spans="2:33">
      <c r="B3122" s="14">
        <f>10000000+INDEX(编号表!$B:$B,MATCH(H3122,编号表!$A:$A,0))*100000+INDEX(编号表!$F:$F,MATCH(D3122,编号表!$E:$E,0))*10000+INDEX(编号表!$D:$D,MATCH(AG3122,编号表!$C:$C,0))*1000+F3122</f>
        <v>11927003</v>
      </c>
      <c r="C3122" s="14" t="s">
        <v>5795</v>
      </c>
      <c r="D3122" s="14" t="s">
        <v>112</v>
      </c>
      <c r="E3122" s="14" t="s">
        <v>101</v>
      </c>
      <c r="F3122" s="14">
        <v>3</v>
      </c>
      <c r="G3122" s="14">
        <v>60</v>
      </c>
      <c r="H3122" s="14" t="s">
        <v>1400</v>
      </c>
      <c r="I3122" s="14" t="s">
        <v>75</v>
      </c>
      <c r="J3122" s="14" t="s">
        <v>201</v>
      </c>
      <c r="K3122" s="14">
        <v>1</v>
      </c>
      <c r="L3122" s="14" t="s">
        <v>1400</v>
      </c>
      <c r="N3122" s="14">
        <v>0</v>
      </c>
      <c r="O3122" s="14" t="b">
        <v>1</v>
      </c>
      <c r="Q3122" s="14" t="b">
        <v>0</v>
      </c>
      <c r="R3122" s="14">
        <v>1</v>
      </c>
      <c r="S3122" s="14" t="s">
        <v>77</v>
      </c>
      <c r="T3122" s="14">
        <v>999</v>
      </c>
      <c r="U3122" s="14" t="s">
        <v>1401</v>
      </c>
      <c r="V3122" s="14">
        <v>31927003</v>
      </c>
      <c r="X3122" s="14" t="s">
        <v>5796</v>
      </c>
      <c r="Y3122" s="14" t="s">
        <v>215</v>
      </c>
      <c r="Z3122" s="14">
        <v>21885</v>
      </c>
      <c r="AA3122" s="14" t="s">
        <v>5797</v>
      </c>
      <c r="AB3122" s="14">
        <v>40001</v>
      </c>
      <c r="AE3122" s="14" t="s">
        <v>1400</v>
      </c>
      <c r="AF3122" s="14" t="s">
        <v>1400</v>
      </c>
      <c r="AG3122" s="14" t="s">
        <v>101</v>
      </c>
    </row>
    <row r="3123" spans="2:33">
      <c r="B3123" s="14">
        <f>10000000+INDEX(编号表!$B:$B,MATCH(H3123,编号表!$A:$A,0))*100000+INDEX(编号表!$F:$F,MATCH(D3123,编号表!$E:$E,0))*10000+INDEX(编号表!$D:$D,MATCH(AG3123,编号表!$C:$C,0))*1000+F3123</f>
        <v>11937004</v>
      </c>
      <c r="C3123" s="14" t="s">
        <v>5795</v>
      </c>
      <c r="D3123" s="14" t="s">
        <v>276</v>
      </c>
      <c r="E3123" s="14" t="s">
        <v>101</v>
      </c>
      <c r="F3123" s="14">
        <v>4</v>
      </c>
      <c r="G3123" s="14">
        <v>60</v>
      </c>
      <c r="H3123" s="14" t="s">
        <v>1400</v>
      </c>
      <c r="I3123" s="14" t="s">
        <v>75</v>
      </c>
      <c r="J3123" s="14" t="s">
        <v>201</v>
      </c>
      <c r="K3123" s="14">
        <v>1</v>
      </c>
      <c r="L3123" s="14" t="s">
        <v>1400</v>
      </c>
      <c r="N3123" s="14">
        <v>0</v>
      </c>
      <c r="O3123" s="14" t="b">
        <v>1</v>
      </c>
      <c r="Q3123" s="14" t="b">
        <v>0</v>
      </c>
      <c r="R3123" s="14">
        <v>1</v>
      </c>
      <c r="S3123" s="14" t="s">
        <v>77</v>
      </c>
      <c r="T3123" s="14">
        <v>999</v>
      </c>
      <c r="U3123" s="14" t="s">
        <v>1401</v>
      </c>
      <c r="V3123" s="14">
        <v>31937004</v>
      </c>
      <c r="X3123" s="14" t="s">
        <v>5798</v>
      </c>
      <c r="Y3123" s="14" t="s">
        <v>215</v>
      </c>
      <c r="Z3123" s="14">
        <v>21886</v>
      </c>
      <c r="AA3123" s="14" t="s">
        <v>5799</v>
      </c>
      <c r="AB3123" s="14">
        <v>40001</v>
      </c>
      <c r="AE3123" s="14" t="s">
        <v>1400</v>
      </c>
      <c r="AF3123" s="14" t="s">
        <v>1400</v>
      </c>
      <c r="AG3123" s="14" t="s">
        <v>101</v>
      </c>
    </row>
    <row r="3124" spans="2:33">
      <c r="B3124" s="14">
        <f>10000000+INDEX(编号表!$B:$B,MATCH(H3124,编号表!$A:$A,0))*100000+INDEX(编号表!$F:$F,MATCH(D3124,编号表!$E:$E,0))*10000+INDEX(编号表!$D:$D,MATCH(AG3124,编号表!$C:$C,0))*1000+F3124</f>
        <v>11947005</v>
      </c>
      <c r="C3124" s="14" t="s">
        <v>5795</v>
      </c>
      <c r="D3124" s="14" t="s">
        <v>104</v>
      </c>
      <c r="E3124" s="14" t="s">
        <v>101</v>
      </c>
      <c r="F3124" s="14">
        <v>5</v>
      </c>
      <c r="G3124" s="14">
        <v>60</v>
      </c>
      <c r="H3124" s="14" t="s">
        <v>1400</v>
      </c>
      <c r="I3124" s="14" t="s">
        <v>75</v>
      </c>
      <c r="J3124" s="14" t="s">
        <v>201</v>
      </c>
      <c r="K3124" s="14">
        <v>1</v>
      </c>
      <c r="L3124" s="14" t="s">
        <v>1400</v>
      </c>
      <c r="N3124" s="14">
        <v>0</v>
      </c>
      <c r="O3124" s="14" t="b">
        <v>1</v>
      </c>
      <c r="Q3124" s="14" t="b">
        <v>0</v>
      </c>
      <c r="R3124" s="14">
        <v>1</v>
      </c>
      <c r="S3124" s="14" t="s">
        <v>77</v>
      </c>
      <c r="T3124" s="14">
        <v>999</v>
      </c>
      <c r="U3124" s="14" t="s">
        <v>1401</v>
      </c>
      <c r="V3124" s="14">
        <v>31947005</v>
      </c>
      <c r="X3124" s="14" t="s">
        <v>5800</v>
      </c>
      <c r="Y3124" s="14" t="s">
        <v>215</v>
      </c>
      <c r="Z3124" s="14">
        <v>21887</v>
      </c>
      <c r="AA3124" s="14" t="s">
        <v>5801</v>
      </c>
      <c r="AB3124" s="14">
        <v>40001</v>
      </c>
      <c r="AE3124" s="14" t="s">
        <v>1400</v>
      </c>
      <c r="AF3124" s="14" t="s">
        <v>1400</v>
      </c>
      <c r="AG3124" s="14" t="s">
        <v>101</v>
      </c>
    </row>
    <row r="3125" spans="2:33">
      <c r="B3125" s="14">
        <f>10000000+INDEX(编号表!$B:$B,MATCH(H3125,编号表!$A:$A,0))*100000+INDEX(编号表!$F:$F,MATCH(D3125,编号表!$E:$E,0))*10000+INDEX(编号表!$D:$D,MATCH(AG3125,编号表!$C:$C,0))*1000+F3125</f>
        <v>11927004</v>
      </c>
      <c r="C3125" s="14" t="s">
        <v>5802</v>
      </c>
      <c r="D3125" s="14" t="s">
        <v>112</v>
      </c>
      <c r="E3125" s="14" t="s">
        <v>101</v>
      </c>
      <c r="F3125" s="14">
        <v>4</v>
      </c>
      <c r="G3125" s="14">
        <v>60</v>
      </c>
      <c r="H3125" s="14" t="s">
        <v>1400</v>
      </c>
      <c r="I3125" s="14" t="s">
        <v>75</v>
      </c>
      <c r="J3125" s="14" t="s">
        <v>201</v>
      </c>
      <c r="K3125" s="14">
        <v>1</v>
      </c>
      <c r="L3125" s="14" t="s">
        <v>1400</v>
      </c>
      <c r="N3125" s="14">
        <v>0</v>
      </c>
      <c r="O3125" s="14" t="b">
        <v>1</v>
      </c>
      <c r="Q3125" s="14" t="b">
        <v>0</v>
      </c>
      <c r="R3125" s="14">
        <v>1</v>
      </c>
      <c r="S3125" s="14" t="s">
        <v>77</v>
      </c>
      <c r="T3125" s="14">
        <v>999</v>
      </c>
      <c r="U3125" s="14" t="s">
        <v>1401</v>
      </c>
      <c r="V3125" s="14">
        <v>31927004</v>
      </c>
      <c r="X3125" s="14" t="s">
        <v>5803</v>
      </c>
      <c r="Y3125" s="14" t="s">
        <v>215</v>
      </c>
      <c r="Z3125" s="14">
        <v>21888</v>
      </c>
      <c r="AA3125" s="14" t="s">
        <v>5804</v>
      </c>
      <c r="AB3125" s="14">
        <v>40001</v>
      </c>
      <c r="AE3125" s="14" t="s">
        <v>1400</v>
      </c>
      <c r="AF3125" s="14" t="s">
        <v>1400</v>
      </c>
      <c r="AG3125" s="14" t="s">
        <v>101</v>
      </c>
    </row>
    <row r="3126" spans="2:33">
      <c r="B3126" s="14">
        <f>10000000+INDEX(编号表!$B:$B,MATCH(H3126,编号表!$A:$A,0))*100000+INDEX(编号表!$F:$F,MATCH(D3126,编号表!$E:$E,0))*10000+INDEX(编号表!$D:$D,MATCH(AG3126,编号表!$C:$C,0))*1000+F3126</f>
        <v>11937005</v>
      </c>
      <c r="C3126" s="14" t="s">
        <v>5802</v>
      </c>
      <c r="D3126" s="14" t="s">
        <v>276</v>
      </c>
      <c r="E3126" s="14" t="s">
        <v>101</v>
      </c>
      <c r="F3126" s="14">
        <v>5</v>
      </c>
      <c r="G3126" s="14">
        <v>60</v>
      </c>
      <c r="H3126" s="14" t="s">
        <v>1400</v>
      </c>
      <c r="I3126" s="14" t="s">
        <v>75</v>
      </c>
      <c r="J3126" s="14" t="s">
        <v>201</v>
      </c>
      <c r="K3126" s="14">
        <v>1</v>
      </c>
      <c r="L3126" s="14" t="s">
        <v>1400</v>
      </c>
      <c r="N3126" s="14">
        <v>0</v>
      </c>
      <c r="O3126" s="14" t="b">
        <v>1</v>
      </c>
      <c r="Q3126" s="14" t="b">
        <v>0</v>
      </c>
      <c r="R3126" s="14">
        <v>1</v>
      </c>
      <c r="S3126" s="14" t="s">
        <v>77</v>
      </c>
      <c r="T3126" s="14">
        <v>999</v>
      </c>
      <c r="U3126" s="14" t="s">
        <v>1401</v>
      </c>
      <c r="V3126" s="14">
        <v>31937005</v>
      </c>
      <c r="X3126" s="14" t="s">
        <v>5805</v>
      </c>
      <c r="Y3126" s="14" t="s">
        <v>215</v>
      </c>
      <c r="Z3126" s="14">
        <v>21889</v>
      </c>
      <c r="AA3126" s="14" t="s">
        <v>5806</v>
      </c>
      <c r="AB3126" s="14">
        <v>40001</v>
      </c>
      <c r="AE3126" s="14" t="s">
        <v>1400</v>
      </c>
      <c r="AF3126" s="14" t="s">
        <v>1400</v>
      </c>
      <c r="AG3126" s="14" t="s">
        <v>101</v>
      </c>
    </row>
    <row r="3127" spans="2:33">
      <c r="B3127" s="14">
        <f>10000000+INDEX(编号表!$B:$B,MATCH(H3127,编号表!$A:$A,0))*100000+INDEX(编号表!$F:$F,MATCH(D3127,编号表!$E:$E,0))*10000+INDEX(编号表!$D:$D,MATCH(AG3127,编号表!$C:$C,0))*1000+F3127</f>
        <v>11947006</v>
      </c>
      <c r="C3127" s="14" t="s">
        <v>5802</v>
      </c>
      <c r="D3127" s="14" t="s">
        <v>104</v>
      </c>
      <c r="E3127" s="14" t="s">
        <v>101</v>
      </c>
      <c r="F3127" s="14">
        <v>6</v>
      </c>
      <c r="G3127" s="14">
        <v>60</v>
      </c>
      <c r="H3127" s="14" t="s">
        <v>1400</v>
      </c>
      <c r="I3127" s="14" t="s">
        <v>75</v>
      </c>
      <c r="J3127" s="14" t="s">
        <v>201</v>
      </c>
      <c r="K3127" s="14">
        <v>1</v>
      </c>
      <c r="L3127" s="14" t="s">
        <v>1400</v>
      </c>
      <c r="N3127" s="14">
        <v>0</v>
      </c>
      <c r="O3127" s="14" t="b">
        <v>1</v>
      </c>
      <c r="Q3127" s="14" t="b">
        <v>0</v>
      </c>
      <c r="R3127" s="14">
        <v>1</v>
      </c>
      <c r="S3127" s="14" t="s">
        <v>77</v>
      </c>
      <c r="T3127" s="14">
        <v>999</v>
      </c>
      <c r="U3127" s="14" t="s">
        <v>1401</v>
      </c>
      <c r="V3127" s="14">
        <v>31947006</v>
      </c>
      <c r="X3127" s="14" t="s">
        <v>5807</v>
      </c>
      <c r="Y3127" s="14" t="s">
        <v>215</v>
      </c>
      <c r="Z3127" s="14">
        <v>21890</v>
      </c>
      <c r="AA3127" s="14" t="s">
        <v>5808</v>
      </c>
      <c r="AB3127" s="14">
        <v>40001</v>
      </c>
      <c r="AE3127" s="14" t="s">
        <v>1400</v>
      </c>
      <c r="AF3127" s="14" t="s">
        <v>1400</v>
      </c>
      <c r="AG3127" s="14" t="s">
        <v>101</v>
      </c>
    </row>
    <row r="3128" spans="2:33">
      <c r="B3128" s="14">
        <f>10000000+INDEX(编号表!$B:$B,MATCH(H3128,编号表!$A:$A,0))*100000+INDEX(编号表!$F:$F,MATCH(D3128,编号表!$E:$E,0))*10000+INDEX(编号表!$D:$D,MATCH(AG3128,编号表!$C:$C,0))*1000+F3128</f>
        <v>11927005</v>
      </c>
      <c r="C3128" s="14" t="s">
        <v>5809</v>
      </c>
      <c r="D3128" s="14" t="s">
        <v>112</v>
      </c>
      <c r="E3128" s="14" t="s">
        <v>101</v>
      </c>
      <c r="F3128" s="14">
        <v>5</v>
      </c>
      <c r="G3128" s="14">
        <v>60</v>
      </c>
      <c r="H3128" s="14" t="s">
        <v>1400</v>
      </c>
      <c r="I3128" s="14" t="s">
        <v>75</v>
      </c>
      <c r="J3128" s="14" t="s">
        <v>201</v>
      </c>
      <c r="K3128" s="14">
        <v>1</v>
      </c>
      <c r="L3128" s="14" t="s">
        <v>1400</v>
      </c>
      <c r="N3128" s="14">
        <v>0</v>
      </c>
      <c r="O3128" s="14" t="b">
        <v>1</v>
      </c>
      <c r="Q3128" s="14" t="b">
        <v>0</v>
      </c>
      <c r="R3128" s="14">
        <v>1</v>
      </c>
      <c r="S3128" s="14" t="s">
        <v>77</v>
      </c>
      <c r="T3128" s="14">
        <v>999</v>
      </c>
      <c r="U3128" s="14" t="s">
        <v>1401</v>
      </c>
      <c r="V3128" s="14">
        <v>31927005</v>
      </c>
      <c r="X3128" s="14" t="s">
        <v>5810</v>
      </c>
      <c r="Y3128" s="14" t="s">
        <v>215</v>
      </c>
      <c r="Z3128" s="14">
        <v>21891</v>
      </c>
      <c r="AA3128" s="14" t="s">
        <v>5811</v>
      </c>
      <c r="AB3128" s="14">
        <v>40001</v>
      </c>
      <c r="AE3128" s="14" t="s">
        <v>1400</v>
      </c>
      <c r="AF3128" s="14" t="s">
        <v>1400</v>
      </c>
      <c r="AG3128" s="14" t="s">
        <v>101</v>
      </c>
    </row>
    <row r="3129" spans="2:33">
      <c r="B3129" s="14">
        <f>10000000+INDEX(编号表!$B:$B,MATCH(H3129,编号表!$A:$A,0))*100000+INDEX(编号表!$F:$F,MATCH(D3129,编号表!$E:$E,0))*10000+INDEX(编号表!$D:$D,MATCH(AG3129,编号表!$C:$C,0))*1000+F3129</f>
        <v>11937006</v>
      </c>
      <c r="C3129" s="14" t="s">
        <v>5809</v>
      </c>
      <c r="D3129" s="14" t="s">
        <v>276</v>
      </c>
      <c r="E3129" s="14" t="s">
        <v>101</v>
      </c>
      <c r="F3129" s="14">
        <v>6</v>
      </c>
      <c r="G3129" s="14">
        <v>60</v>
      </c>
      <c r="H3129" s="14" t="s">
        <v>1400</v>
      </c>
      <c r="I3129" s="14" t="s">
        <v>75</v>
      </c>
      <c r="J3129" s="14" t="s">
        <v>201</v>
      </c>
      <c r="K3129" s="14">
        <v>1</v>
      </c>
      <c r="L3129" s="14" t="s">
        <v>1400</v>
      </c>
      <c r="N3129" s="14">
        <v>0</v>
      </c>
      <c r="O3129" s="14" t="b">
        <v>1</v>
      </c>
      <c r="Q3129" s="14" t="b">
        <v>0</v>
      </c>
      <c r="R3129" s="14">
        <v>1</v>
      </c>
      <c r="S3129" s="14" t="s">
        <v>77</v>
      </c>
      <c r="T3129" s="14">
        <v>999</v>
      </c>
      <c r="U3129" s="14" t="s">
        <v>1401</v>
      </c>
      <c r="V3129" s="14">
        <v>31937006</v>
      </c>
      <c r="X3129" s="14" t="s">
        <v>5812</v>
      </c>
      <c r="Y3129" s="14" t="s">
        <v>215</v>
      </c>
      <c r="Z3129" s="14">
        <v>21892</v>
      </c>
      <c r="AA3129" s="14" t="s">
        <v>5813</v>
      </c>
      <c r="AB3129" s="14">
        <v>40001</v>
      </c>
      <c r="AE3129" s="14" t="s">
        <v>1400</v>
      </c>
      <c r="AF3129" s="14" t="s">
        <v>1400</v>
      </c>
      <c r="AG3129" s="14" t="s">
        <v>101</v>
      </c>
    </row>
    <row r="3130" spans="2:33">
      <c r="B3130" s="14">
        <f>10000000+INDEX(编号表!$B:$B,MATCH(H3130,编号表!$A:$A,0))*100000+INDEX(编号表!$F:$F,MATCH(D3130,编号表!$E:$E,0))*10000+INDEX(编号表!$D:$D,MATCH(AG3130,编号表!$C:$C,0))*1000+F3130</f>
        <v>11947007</v>
      </c>
      <c r="C3130" s="14" t="s">
        <v>5809</v>
      </c>
      <c r="D3130" s="14" t="s">
        <v>104</v>
      </c>
      <c r="E3130" s="14" t="s">
        <v>101</v>
      </c>
      <c r="F3130" s="14">
        <v>7</v>
      </c>
      <c r="G3130" s="14">
        <v>60</v>
      </c>
      <c r="H3130" s="14" t="s">
        <v>1400</v>
      </c>
      <c r="I3130" s="14" t="s">
        <v>75</v>
      </c>
      <c r="J3130" s="14" t="s">
        <v>201</v>
      </c>
      <c r="K3130" s="14">
        <v>1</v>
      </c>
      <c r="L3130" s="14" t="s">
        <v>1400</v>
      </c>
      <c r="N3130" s="14">
        <v>0</v>
      </c>
      <c r="O3130" s="14" t="b">
        <v>1</v>
      </c>
      <c r="Q3130" s="14" t="b">
        <v>0</v>
      </c>
      <c r="R3130" s="14">
        <v>1</v>
      </c>
      <c r="S3130" s="14" t="s">
        <v>77</v>
      </c>
      <c r="T3130" s="14">
        <v>999</v>
      </c>
      <c r="U3130" s="14" t="s">
        <v>1401</v>
      </c>
      <c r="V3130" s="14">
        <v>31947007</v>
      </c>
      <c r="X3130" s="14" t="s">
        <v>5814</v>
      </c>
      <c r="Y3130" s="14" t="s">
        <v>215</v>
      </c>
      <c r="Z3130" s="14">
        <v>21893</v>
      </c>
      <c r="AA3130" s="14" t="s">
        <v>5815</v>
      </c>
      <c r="AB3130" s="14">
        <v>40001</v>
      </c>
      <c r="AE3130" s="14" t="s">
        <v>1400</v>
      </c>
      <c r="AF3130" s="14" t="s">
        <v>1400</v>
      </c>
      <c r="AG3130" s="14" t="s">
        <v>101</v>
      </c>
    </row>
    <row r="3131" spans="2:33">
      <c r="B3131" s="14">
        <f>10000000+INDEX(编号表!$B:$B,MATCH(H3131,编号表!$A:$A,0))*100000+INDEX(编号表!$F:$F,MATCH(D3131,编号表!$E:$E,0))*10000+INDEX(编号表!$D:$D,MATCH(AG3131,编号表!$C:$C,0))*1000+F3131</f>
        <v>11927006</v>
      </c>
      <c r="C3131" s="14" t="s">
        <v>5816</v>
      </c>
      <c r="D3131" s="14" t="s">
        <v>112</v>
      </c>
      <c r="E3131" s="14" t="s">
        <v>101</v>
      </c>
      <c r="F3131" s="14">
        <v>6</v>
      </c>
      <c r="G3131" s="14">
        <v>60</v>
      </c>
      <c r="H3131" s="14" t="s">
        <v>1400</v>
      </c>
      <c r="I3131" s="14" t="s">
        <v>75</v>
      </c>
      <c r="J3131" s="14" t="s">
        <v>201</v>
      </c>
      <c r="K3131" s="14">
        <v>1</v>
      </c>
      <c r="L3131" s="14" t="s">
        <v>1400</v>
      </c>
      <c r="N3131" s="14">
        <v>0</v>
      </c>
      <c r="O3131" s="14" t="b">
        <v>1</v>
      </c>
      <c r="Q3131" s="14" t="b">
        <v>0</v>
      </c>
      <c r="R3131" s="14">
        <v>1</v>
      </c>
      <c r="S3131" s="14" t="s">
        <v>77</v>
      </c>
      <c r="T3131" s="14">
        <v>999</v>
      </c>
      <c r="U3131" s="14" t="s">
        <v>1401</v>
      </c>
      <c r="V3131" s="14">
        <v>31927006</v>
      </c>
      <c r="X3131" s="14" t="s">
        <v>5817</v>
      </c>
      <c r="Y3131" s="14" t="s">
        <v>215</v>
      </c>
      <c r="Z3131" s="14">
        <v>21894</v>
      </c>
      <c r="AA3131" s="14" t="s">
        <v>5818</v>
      </c>
      <c r="AB3131" s="14">
        <v>40001</v>
      </c>
      <c r="AE3131" s="14" t="s">
        <v>1400</v>
      </c>
      <c r="AF3131" s="14" t="s">
        <v>1400</v>
      </c>
      <c r="AG3131" s="14" t="s">
        <v>101</v>
      </c>
    </row>
    <row r="3132" spans="2:33">
      <c r="B3132" s="14">
        <f>10000000+INDEX(编号表!$B:$B,MATCH(H3132,编号表!$A:$A,0))*100000+INDEX(编号表!$F:$F,MATCH(D3132,编号表!$E:$E,0))*10000+INDEX(编号表!$D:$D,MATCH(AG3132,编号表!$C:$C,0))*1000+F3132</f>
        <v>11937007</v>
      </c>
      <c r="C3132" s="14" t="s">
        <v>5816</v>
      </c>
      <c r="D3132" s="14" t="s">
        <v>276</v>
      </c>
      <c r="E3132" s="14" t="s">
        <v>101</v>
      </c>
      <c r="F3132" s="14">
        <v>7</v>
      </c>
      <c r="G3132" s="14">
        <v>60</v>
      </c>
      <c r="H3132" s="14" t="s">
        <v>1400</v>
      </c>
      <c r="I3132" s="14" t="s">
        <v>75</v>
      </c>
      <c r="J3132" s="14" t="s">
        <v>201</v>
      </c>
      <c r="K3132" s="14">
        <v>1</v>
      </c>
      <c r="L3132" s="14" t="s">
        <v>1400</v>
      </c>
      <c r="N3132" s="14">
        <v>0</v>
      </c>
      <c r="O3132" s="14" t="b">
        <v>1</v>
      </c>
      <c r="Q3132" s="14" t="b">
        <v>0</v>
      </c>
      <c r="R3132" s="14">
        <v>1</v>
      </c>
      <c r="S3132" s="14" t="s">
        <v>77</v>
      </c>
      <c r="T3132" s="14">
        <v>999</v>
      </c>
      <c r="U3132" s="14" t="s">
        <v>1401</v>
      </c>
      <c r="V3132" s="14">
        <v>31937007</v>
      </c>
      <c r="X3132" s="14" t="s">
        <v>5819</v>
      </c>
      <c r="Y3132" s="14" t="s">
        <v>215</v>
      </c>
      <c r="Z3132" s="14">
        <v>21895</v>
      </c>
      <c r="AA3132" s="14" t="s">
        <v>5820</v>
      </c>
      <c r="AB3132" s="14">
        <v>40001</v>
      </c>
      <c r="AE3132" s="14" t="s">
        <v>1400</v>
      </c>
      <c r="AF3132" s="14" t="s">
        <v>1400</v>
      </c>
      <c r="AG3132" s="14" t="s">
        <v>101</v>
      </c>
    </row>
    <row r="3133" spans="2:33">
      <c r="B3133" s="14">
        <f>10000000+INDEX(编号表!$B:$B,MATCH(H3133,编号表!$A:$A,0))*100000+INDEX(编号表!$F:$F,MATCH(D3133,编号表!$E:$E,0))*10000+INDEX(编号表!$D:$D,MATCH(AG3133,编号表!$C:$C,0))*1000+F3133</f>
        <v>11947008</v>
      </c>
      <c r="C3133" s="14" t="s">
        <v>5816</v>
      </c>
      <c r="D3133" s="14" t="s">
        <v>104</v>
      </c>
      <c r="E3133" s="14" t="s">
        <v>101</v>
      </c>
      <c r="F3133" s="14">
        <v>8</v>
      </c>
      <c r="G3133" s="14">
        <v>60</v>
      </c>
      <c r="H3133" s="14" t="s">
        <v>1400</v>
      </c>
      <c r="I3133" s="14" t="s">
        <v>75</v>
      </c>
      <c r="J3133" s="14" t="s">
        <v>201</v>
      </c>
      <c r="K3133" s="14">
        <v>1</v>
      </c>
      <c r="L3133" s="14" t="s">
        <v>1400</v>
      </c>
      <c r="N3133" s="14">
        <v>0</v>
      </c>
      <c r="O3133" s="14" t="b">
        <v>1</v>
      </c>
      <c r="Q3133" s="14" t="b">
        <v>0</v>
      </c>
      <c r="R3133" s="14">
        <v>1</v>
      </c>
      <c r="S3133" s="14" t="s">
        <v>77</v>
      </c>
      <c r="T3133" s="14">
        <v>999</v>
      </c>
      <c r="U3133" s="14" t="s">
        <v>1401</v>
      </c>
      <c r="V3133" s="14">
        <v>31947008</v>
      </c>
      <c r="X3133" s="14" t="s">
        <v>5821</v>
      </c>
      <c r="Y3133" s="14" t="s">
        <v>215</v>
      </c>
      <c r="Z3133" s="14">
        <v>21896</v>
      </c>
      <c r="AA3133" s="14" t="s">
        <v>5822</v>
      </c>
      <c r="AB3133" s="14">
        <v>40001</v>
      </c>
      <c r="AE3133" s="14" t="s">
        <v>1400</v>
      </c>
      <c r="AF3133" s="14" t="s">
        <v>1400</v>
      </c>
      <c r="AG3133" s="14" t="s">
        <v>101</v>
      </c>
    </row>
    <row r="3134" spans="2:33">
      <c r="B3134" s="14">
        <f>10000000+INDEX(编号表!$B:$B,MATCH(H3134,编号表!$A:$A,0))*100000+INDEX(编号表!$F:$F,MATCH(D3134,编号表!$E:$E,0))*10000+INDEX(编号表!$D:$D,MATCH(AG3134,编号表!$C:$C,0))*1000+F3134</f>
        <v>11927007</v>
      </c>
      <c r="C3134" s="14" t="s">
        <v>5823</v>
      </c>
      <c r="D3134" s="14" t="s">
        <v>112</v>
      </c>
      <c r="E3134" s="14" t="s">
        <v>101</v>
      </c>
      <c r="F3134" s="14">
        <v>7</v>
      </c>
      <c r="G3134" s="14">
        <v>60</v>
      </c>
      <c r="H3134" s="14" t="s">
        <v>1400</v>
      </c>
      <c r="I3134" s="14" t="s">
        <v>75</v>
      </c>
      <c r="J3134" s="14" t="s">
        <v>201</v>
      </c>
      <c r="K3134" s="14">
        <v>1</v>
      </c>
      <c r="L3134" s="14" t="s">
        <v>1400</v>
      </c>
      <c r="N3134" s="14">
        <v>0</v>
      </c>
      <c r="O3134" s="14" t="b">
        <v>1</v>
      </c>
      <c r="Q3134" s="14" t="b">
        <v>0</v>
      </c>
      <c r="R3134" s="14">
        <v>1</v>
      </c>
      <c r="S3134" s="14" t="s">
        <v>77</v>
      </c>
      <c r="T3134" s="14">
        <v>999</v>
      </c>
      <c r="U3134" s="14" t="s">
        <v>1401</v>
      </c>
      <c r="V3134" s="14">
        <v>31927007</v>
      </c>
      <c r="X3134" s="14" t="s">
        <v>5824</v>
      </c>
      <c r="Y3134" s="14" t="s">
        <v>215</v>
      </c>
      <c r="Z3134" s="14">
        <v>21897</v>
      </c>
      <c r="AA3134" s="14" t="s">
        <v>5825</v>
      </c>
      <c r="AB3134" s="14">
        <v>40001</v>
      </c>
      <c r="AE3134" s="14" t="s">
        <v>1400</v>
      </c>
      <c r="AF3134" s="14" t="s">
        <v>1400</v>
      </c>
      <c r="AG3134" s="14" t="s">
        <v>101</v>
      </c>
    </row>
    <row r="3135" spans="2:33">
      <c r="B3135" s="14">
        <f>10000000+INDEX(编号表!$B:$B,MATCH(H3135,编号表!$A:$A,0))*100000+INDEX(编号表!$F:$F,MATCH(D3135,编号表!$E:$E,0))*10000+INDEX(编号表!$D:$D,MATCH(AG3135,编号表!$C:$C,0))*1000+F3135</f>
        <v>11937008</v>
      </c>
      <c r="C3135" s="14" t="s">
        <v>5823</v>
      </c>
      <c r="D3135" s="14" t="s">
        <v>276</v>
      </c>
      <c r="E3135" s="14" t="s">
        <v>101</v>
      </c>
      <c r="F3135" s="14">
        <v>8</v>
      </c>
      <c r="G3135" s="14">
        <v>60</v>
      </c>
      <c r="H3135" s="14" t="s">
        <v>1400</v>
      </c>
      <c r="I3135" s="14" t="s">
        <v>75</v>
      </c>
      <c r="J3135" s="14" t="s">
        <v>201</v>
      </c>
      <c r="K3135" s="14">
        <v>1</v>
      </c>
      <c r="L3135" s="14" t="s">
        <v>1400</v>
      </c>
      <c r="N3135" s="14">
        <v>0</v>
      </c>
      <c r="O3135" s="14" t="b">
        <v>1</v>
      </c>
      <c r="Q3135" s="14" t="b">
        <v>0</v>
      </c>
      <c r="R3135" s="14">
        <v>1</v>
      </c>
      <c r="S3135" s="14" t="s">
        <v>77</v>
      </c>
      <c r="T3135" s="14">
        <v>999</v>
      </c>
      <c r="U3135" s="14" t="s">
        <v>1401</v>
      </c>
      <c r="V3135" s="14">
        <v>31937008</v>
      </c>
      <c r="X3135" s="14" t="s">
        <v>5826</v>
      </c>
      <c r="Y3135" s="14" t="s">
        <v>215</v>
      </c>
      <c r="Z3135" s="14">
        <v>21898</v>
      </c>
      <c r="AA3135" s="14" t="s">
        <v>5827</v>
      </c>
      <c r="AB3135" s="14">
        <v>40001</v>
      </c>
      <c r="AE3135" s="14" t="s">
        <v>1400</v>
      </c>
      <c r="AF3135" s="14" t="s">
        <v>1400</v>
      </c>
      <c r="AG3135" s="14" t="s">
        <v>101</v>
      </c>
    </row>
    <row r="3136" spans="2:33">
      <c r="B3136" s="14">
        <f>10000000+INDEX(编号表!$B:$B,MATCH(H3136,编号表!$A:$A,0))*100000+INDEX(编号表!$F:$F,MATCH(D3136,编号表!$E:$E,0))*10000+INDEX(编号表!$D:$D,MATCH(AG3136,编号表!$C:$C,0))*1000+F3136</f>
        <v>11947009</v>
      </c>
      <c r="C3136" s="14" t="s">
        <v>5823</v>
      </c>
      <c r="D3136" s="14" t="s">
        <v>104</v>
      </c>
      <c r="E3136" s="14" t="s">
        <v>101</v>
      </c>
      <c r="F3136" s="14">
        <v>9</v>
      </c>
      <c r="G3136" s="14">
        <v>60</v>
      </c>
      <c r="H3136" s="14" t="s">
        <v>1400</v>
      </c>
      <c r="I3136" s="14" t="s">
        <v>75</v>
      </c>
      <c r="J3136" s="14" t="s">
        <v>201</v>
      </c>
      <c r="K3136" s="14">
        <v>1</v>
      </c>
      <c r="L3136" s="14" t="s">
        <v>1400</v>
      </c>
      <c r="N3136" s="14">
        <v>0</v>
      </c>
      <c r="O3136" s="14" t="b">
        <v>1</v>
      </c>
      <c r="Q3136" s="14" t="b">
        <v>0</v>
      </c>
      <c r="R3136" s="14">
        <v>1</v>
      </c>
      <c r="S3136" s="14" t="s">
        <v>77</v>
      </c>
      <c r="T3136" s="14">
        <v>999</v>
      </c>
      <c r="U3136" s="14" t="s">
        <v>1401</v>
      </c>
      <c r="V3136" s="14">
        <v>31947009</v>
      </c>
      <c r="X3136" s="14" t="s">
        <v>5828</v>
      </c>
      <c r="Y3136" s="14" t="s">
        <v>215</v>
      </c>
      <c r="Z3136" s="14">
        <v>21899</v>
      </c>
      <c r="AA3136" s="14" t="s">
        <v>5829</v>
      </c>
      <c r="AB3136" s="14">
        <v>40001</v>
      </c>
      <c r="AE3136" s="14" t="s">
        <v>1400</v>
      </c>
      <c r="AF3136" s="14" t="s">
        <v>1400</v>
      </c>
      <c r="AG3136" s="14" t="s">
        <v>101</v>
      </c>
    </row>
    <row r="3137" spans="2:33">
      <c r="B3137" s="14">
        <f>10000000+INDEX(编号表!$B:$B,MATCH(H3137,编号表!$A:$A,0))*100000+INDEX(编号表!$F:$F,MATCH(D3137,编号表!$E:$E,0))*10000+INDEX(编号表!$D:$D,MATCH(AG3137,编号表!$C:$C,0))*1000+F3137</f>
        <v>11927008</v>
      </c>
      <c r="C3137" s="14" t="s">
        <v>5830</v>
      </c>
      <c r="D3137" s="14" t="s">
        <v>112</v>
      </c>
      <c r="E3137" s="14" t="s">
        <v>101</v>
      </c>
      <c r="F3137" s="14">
        <v>8</v>
      </c>
      <c r="G3137" s="14">
        <v>60</v>
      </c>
      <c r="H3137" s="14" t="s">
        <v>1400</v>
      </c>
      <c r="I3137" s="14" t="s">
        <v>75</v>
      </c>
      <c r="J3137" s="14" t="s">
        <v>201</v>
      </c>
      <c r="K3137" s="14">
        <v>1</v>
      </c>
      <c r="L3137" s="14" t="s">
        <v>1400</v>
      </c>
      <c r="N3137" s="14">
        <v>0</v>
      </c>
      <c r="O3137" s="14" t="b">
        <v>1</v>
      </c>
      <c r="Q3137" s="14" t="b">
        <v>0</v>
      </c>
      <c r="R3137" s="14">
        <v>1</v>
      </c>
      <c r="S3137" s="14" t="s">
        <v>77</v>
      </c>
      <c r="T3137" s="14">
        <v>999</v>
      </c>
      <c r="U3137" s="14" t="s">
        <v>1401</v>
      </c>
      <c r="V3137" s="14">
        <v>31927008</v>
      </c>
      <c r="X3137" s="14" t="s">
        <v>5831</v>
      </c>
      <c r="Y3137" s="14" t="s">
        <v>215</v>
      </c>
      <c r="Z3137" s="14">
        <v>21900</v>
      </c>
      <c r="AA3137" s="14" t="s">
        <v>5832</v>
      </c>
      <c r="AB3137" s="14">
        <v>40001</v>
      </c>
      <c r="AE3137" s="14" t="s">
        <v>1400</v>
      </c>
      <c r="AF3137" s="14" t="s">
        <v>1400</v>
      </c>
      <c r="AG3137" s="14" t="s">
        <v>101</v>
      </c>
    </row>
    <row r="3138" spans="2:33">
      <c r="B3138" s="14">
        <f>10000000+INDEX(编号表!$B:$B,MATCH(H3138,编号表!$A:$A,0))*100000+INDEX(编号表!$F:$F,MATCH(D3138,编号表!$E:$E,0))*10000+INDEX(编号表!$D:$D,MATCH(AG3138,编号表!$C:$C,0))*1000+F3138</f>
        <v>11937009</v>
      </c>
      <c r="C3138" s="14" t="s">
        <v>5830</v>
      </c>
      <c r="D3138" s="14" t="s">
        <v>276</v>
      </c>
      <c r="E3138" s="14" t="s">
        <v>101</v>
      </c>
      <c r="F3138" s="14">
        <v>9</v>
      </c>
      <c r="G3138" s="14">
        <v>60</v>
      </c>
      <c r="H3138" s="14" t="s">
        <v>1400</v>
      </c>
      <c r="I3138" s="14" t="s">
        <v>75</v>
      </c>
      <c r="J3138" s="14" t="s">
        <v>201</v>
      </c>
      <c r="K3138" s="14">
        <v>1</v>
      </c>
      <c r="L3138" s="14" t="s">
        <v>1400</v>
      </c>
      <c r="N3138" s="14">
        <v>0</v>
      </c>
      <c r="O3138" s="14" t="b">
        <v>1</v>
      </c>
      <c r="Q3138" s="14" t="b">
        <v>0</v>
      </c>
      <c r="R3138" s="14">
        <v>1</v>
      </c>
      <c r="S3138" s="14" t="s">
        <v>77</v>
      </c>
      <c r="T3138" s="14">
        <v>999</v>
      </c>
      <c r="U3138" s="14" t="s">
        <v>1401</v>
      </c>
      <c r="V3138" s="14">
        <v>31937009</v>
      </c>
      <c r="X3138" s="14" t="s">
        <v>5833</v>
      </c>
      <c r="Y3138" s="14" t="s">
        <v>215</v>
      </c>
      <c r="Z3138" s="14">
        <v>21901</v>
      </c>
      <c r="AA3138" s="14" t="s">
        <v>5834</v>
      </c>
      <c r="AB3138" s="14">
        <v>40001</v>
      </c>
      <c r="AE3138" s="14" t="s">
        <v>1400</v>
      </c>
      <c r="AF3138" s="14" t="s">
        <v>1400</v>
      </c>
      <c r="AG3138" s="14" t="s">
        <v>101</v>
      </c>
    </row>
    <row r="3139" spans="2:33">
      <c r="B3139" s="14">
        <f>10000000+INDEX(编号表!$B:$B,MATCH(H3139,编号表!$A:$A,0))*100000+INDEX(编号表!$F:$F,MATCH(D3139,编号表!$E:$E,0))*10000+INDEX(编号表!$D:$D,MATCH(AG3139,编号表!$C:$C,0))*1000+F3139</f>
        <v>11947010</v>
      </c>
      <c r="C3139" s="14" t="s">
        <v>5830</v>
      </c>
      <c r="D3139" s="14" t="s">
        <v>104</v>
      </c>
      <c r="E3139" s="14" t="s">
        <v>101</v>
      </c>
      <c r="F3139" s="14">
        <v>10</v>
      </c>
      <c r="G3139" s="14">
        <v>60</v>
      </c>
      <c r="H3139" s="14" t="s">
        <v>1400</v>
      </c>
      <c r="I3139" s="14" t="s">
        <v>75</v>
      </c>
      <c r="J3139" s="14" t="s">
        <v>201</v>
      </c>
      <c r="K3139" s="14">
        <v>1</v>
      </c>
      <c r="L3139" s="14" t="s">
        <v>1400</v>
      </c>
      <c r="N3139" s="14">
        <v>0</v>
      </c>
      <c r="O3139" s="14" t="b">
        <v>1</v>
      </c>
      <c r="Q3139" s="14" t="b">
        <v>0</v>
      </c>
      <c r="R3139" s="14">
        <v>1</v>
      </c>
      <c r="S3139" s="14" t="s">
        <v>77</v>
      </c>
      <c r="T3139" s="14">
        <v>999</v>
      </c>
      <c r="U3139" s="14" t="s">
        <v>1401</v>
      </c>
      <c r="V3139" s="14">
        <v>31947010</v>
      </c>
      <c r="X3139" s="14" t="s">
        <v>5835</v>
      </c>
      <c r="Y3139" s="14" t="s">
        <v>215</v>
      </c>
      <c r="Z3139" s="14">
        <v>21902</v>
      </c>
      <c r="AA3139" s="14" t="s">
        <v>5836</v>
      </c>
      <c r="AB3139" s="14">
        <v>40001</v>
      </c>
      <c r="AE3139" s="14" t="s">
        <v>1400</v>
      </c>
      <c r="AF3139" s="14" t="s">
        <v>1400</v>
      </c>
      <c r="AG3139" s="14" t="s">
        <v>101</v>
      </c>
    </row>
    <row r="3140" spans="2:33">
      <c r="B3140" s="14">
        <f>10000000+INDEX(编号表!$B:$B,MATCH(H3140,编号表!$A:$A,0))*100000+INDEX(编号表!$F:$F,MATCH(D3140,编号表!$E:$E,0))*10000+INDEX(编号表!$D:$D,MATCH(AG3140,编号表!$C:$C,0))*1000+F3140</f>
        <v>11927009</v>
      </c>
      <c r="C3140" s="14" t="s">
        <v>5837</v>
      </c>
      <c r="D3140" s="14" t="s">
        <v>112</v>
      </c>
      <c r="E3140" s="14" t="s">
        <v>101</v>
      </c>
      <c r="F3140" s="14">
        <v>9</v>
      </c>
      <c r="G3140" s="14">
        <v>60</v>
      </c>
      <c r="H3140" s="14" t="s">
        <v>1400</v>
      </c>
      <c r="I3140" s="14" t="s">
        <v>75</v>
      </c>
      <c r="J3140" s="14" t="s">
        <v>201</v>
      </c>
      <c r="K3140" s="14">
        <v>1</v>
      </c>
      <c r="L3140" s="14" t="s">
        <v>1400</v>
      </c>
      <c r="N3140" s="14">
        <v>0</v>
      </c>
      <c r="O3140" s="14" t="b">
        <v>1</v>
      </c>
      <c r="Q3140" s="14" t="b">
        <v>0</v>
      </c>
      <c r="R3140" s="14">
        <v>1</v>
      </c>
      <c r="S3140" s="14" t="s">
        <v>77</v>
      </c>
      <c r="T3140" s="14">
        <v>999</v>
      </c>
      <c r="U3140" s="14" t="s">
        <v>1401</v>
      </c>
      <c r="V3140" s="14">
        <v>31927009</v>
      </c>
      <c r="X3140" s="14" t="s">
        <v>5838</v>
      </c>
      <c r="Y3140" s="14" t="s">
        <v>215</v>
      </c>
      <c r="Z3140" s="14">
        <v>21903</v>
      </c>
      <c r="AA3140" s="14" t="s">
        <v>5839</v>
      </c>
      <c r="AB3140" s="14">
        <v>40001</v>
      </c>
      <c r="AE3140" s="14" t="s">
        <v>1400</v>
      </c>
      <c r="AF3140" s="14" t="s">
        <v>1400</v>
      </c>
      <c r="AG3140" s="14" t="s">
        <v>101</v>
      </c>
    </row>
    <row r="3141" spans="2:33">
      <c r="B3141" s="14">
        <f>10000000+INDEX(编号表!$B:$B,MATCH(H3141,编号表!$A:$A,0))*100000+INDEX(编号表!$F:$F,MATCH(D3141,编号表!$E:$E,0))*10000+INDEX(编号表!$D:$D,MATCH(AG3141,编号表!$C:$C,0))*1000+F3141</f>
        <v>11937010</v>
      </c>
      <c r="C3141" s="14" t="s">
        <v>5837</v>
      </c>
      <c r="D3141" s="14" t="s">
        <v>276</v>
      </c>
      <c r="E3141" s="14" t="s">
        <v>101</v>
      </c>
      <c r="F3141" s="14">
        <v>10</v>
      </c>
      <c r="G3141" s="14">
        <v>60</v>
      </c>
      <c r="H3141" s="14" t="s">
        <v>1400</v>
      </c>
      <c r="I3141" s="14" t="s">
        <v>75</v>
      </c>
      <c r="J3141" s="14" t="s">
        <v>201</v>
      </c>
      <c r="K3141" s="14">
        <v>1</v>
      </c>
      <c r="L3141" s="14" t="s">
        <v>1400</v>
      </c>
      <c r="N3141" s="14">
        <v>0</v>
      </c>
      <c r="O3141" s="14" t="b">
        <v>1</v>
      </c>
      <c r="Q3141" s="14" t="b">
        <v>0</v>
      </c>
      <c r="R3141" s="14">
        <v>1</v>
      </c>
      <c r="S3141" s="14" t="s">
        <v>77</v>
      </c>
      <c r="T3141" s="14">
        <v>999</v>
      </c>
      <c r="U3141" s="14" t="s">
        <v>1401</v>
      </c>
      <c r="V3141" s="14">
        <v>31937010</v>
      </c>
      <c r="X3141" s="14" t="s">
        <v>5840</v>
      </c>
      <c r="Y3141" s="14" t="s">
        <v>215</v>
      </c>
      <c r="Z3141" s="14">
        <v>21904</v>
      </c>
      <c r="AA3141" s="14" t="s">
        <v>5841</v>
      </c>
      <c r="AB3141" s="14">
        <v>40001</v>
      </c>
      <c r="AE3141" s="14" t="s">
        <v>1400</v>
      </c>
      <c r="AF3141" s="14" t="s">
        <v>1400</v>
      </c>
      <c r="AG3141" s="14" t="s">
        <v>101</v>
      </c>
    </row>
    <row r="3142" spans="2:33">
      <c r="B3142" s="14">
        <f>10000000+INDEX(编号表!$B:$B,MATCH(H3142,编号表!$A:$A,0))*100000+INDEX(编号表!$F:$F,MATCH(D3142,编号表!$E:$E,0))*10000+INDEX(编号表!$D:$D,MATCH(AG3142,编号表!$C:$C,0))*1000+F3142</f>
        <v>11947011</v>
      </c>
      <c r="C3142" s="14" t="s">
        <v>5837</v>
      </c>
      <c r="D3142" s="14" t="s">
        <v>104</v>
      </c>
      <c r="E3142" s="14" t="s">
        <v>101</v>
      </c>
      <c r="F3142" s="14">
        <v>11</v>
      </c>
      <c r="G3142" s="14">
        <v>60</v>
      </c>
      <c r="H3142" s="14" t="s">
        <v>1400</v>
      </c>
      <c r="I3142" s="14" t="s">
        <v>75</v>
      </c>
      <c r="J3142" s="14" t="s">
        <v>201</v>
      </c>
      <c r="K3142" s="14">
        <v>1</v>
      </c>
      <c r="L3142" s="14" t="s">
        <v>1400</v>
      </c>
      <c r="N3142" s="14">
        <v>0</v>
      </c>
      <c r="O3142" s="14" t="b">
        <v>1</v>
      </c>
      <c r="Q3142" s="14" t="b">
        <v>0</v>
      </c>
      <c r="R3142" s="14">
        <v>1</v>
      </c>
      <c r="S3142" s="14" t="s">
        <v>77</v>
      </c>
      <c r="T3142" s="14">
        <v>999</v>
      </c>
      <c r="U3142" s="14" t="s">
        <v>1401</v>
      </c>
      <c r="V3142" s="14">
        <v>31947011</v>
      </c>
      <c r="X3142" s="14" t="s">
        <v>5842</v>
      </c>
      <c r="Y3142" s="14" t="s">
        <v>215</v>
      </c>
      <c r="Z3142" s="14">
        <v>21905</v>
      </c>
      <c r="AA3142" s="14" t="s">
        <v>5843</v>
      </c>
      <c r="AB3142" s="14">
        <v>40001</v>
      </c>
      <c r="AE3142" s="14" t="s">
        <v>1400</v>
      </c>
      <c r="AF3142" s="14" t="s">
        <v>1400</v>
      </c>
      <c r="AG3142" s="14" t="s">
        <v>101</v>
      </c>
    </row>
    <row r="3143" spans="2:33">
      <c r="B3143" s="14">
        <f>10000000+INDEX(编号表!$B:$B,MATCH(H3143,编号表!$A:$A,0))*100000+INDEX(编号表!$F:$F,MATCH(D3143,编号表!$E:$E,0))*10000+INDEX(编号表!$D:$D,MATCH(AG3143,编号表!$C:$C,0))*1000+F3143</f>
        <v>11927010</v>
      </c>
      <c r="C3143" s="14" t="s">
        <v>5844</v>
      </c>
      <c r="D3143" s="14" t="s">
        <v>112</v>
      </c>
      <c r="E3143" s="14" t="s">
        <v>101</v>
      </c>
      <c r="F3143" s="14">
        <v>10</v>
      </c>
      <c r="G3143" s="14">
        <v>60</v>
      </c>
      <c r="H3143" s="14" t="s">
        <v>1400</v>
      </c>
      <c r="I3143" s="14" t="s">
        <v>75</v>
      </c>
      <c r="J3143" s="14" t="s">
        <v>201</v>
      </c>
      <c r="K3143" s="14">
        <v>1</v>
      </c>
      <c r="L3143" s="14" t="s">
        <v>1400</v>
      </c>
      <c r="N3143" s="14">
        <v>0</v>
      </c>
      <c r="O3143" s="14" t="b">
        <v>1</v>
      </c>
      <c r="Q3143" s="14" t="b">
        <v>0</v>
      </c>
      <c r="R3143" s="14">
        <v>1</v>
      </c>
      <c r="S3143" s="14" t="s">
        <v>77</v>
      </c>
      <c r="T3143" s="14">
        <v>999</v>
      </c>
      <c r="U3143" s="14" t="s">
        <v>1401</v>
      </c>
      <c r="V3143" s="14">
        <v>31927010</v>
      </c>
      <c r="X3143" s="14" t="s">
        <v>5845</v>
      </c>
      <c r="Y3143" s="14" t="s">
        <v>215</v>
      </c>
      <c r="Z3143" s="14">
        <v>21906</v>
      </c>
      <c r="AA3143" s="14" t="s">
        <v>5846</v>
      </c>
      <c r="AB3143" s="14">
        <v>40001</v>
      </c>
      <c r="AE3143" s="14" t="s">
        <v>1400</v>
      </c>
      <c r="AF3143" s="14" t="s">
        <v>1400</v>
      </c>
      <c r="AG3143" s="14" t="s">
        <v>101</v>
      </c>
    </row>
    <row r="3144" spans="2:33">
      <c r="B3144" s="14">
        <f>10000000+INDEX(编号表!$B:$B,MATCH(H3144,编号表!$A:$A,0))*100000+INDEX(编号表!$F:$F,MATCH(D3144,编号表!$E:$E,0))*10000+INDEX(编号表!$D:$D,MATCH(AG3144,编号表!$C:$C,0))*1000+F3144</f>
        <v>11937011</v>
      </c>
      <c r="C3144" s="14" t="s">
        <v>5844</v>
      </c>
      <c r="D3144" s="14" t="s">
        <v>276</v>
      </c>
      <c r="E3144" s="14" t="s">
        <v>101</v>
      </c>
      <c r="F3144" s="14">
        <v>11</v>
      </c>
      <c r="G3144" s="14">
        <v>60</v>
      </c>
      <c r="H3144" s="14" t="s">
        <v>1400</v>
      </c>
      <c r="I3144" s="14" t="s">
        <v>75</v>
      </c>
      <c r="J3144" s="14" t="s">
        <v>201</v>
      </c>
      <c r="K3144" s="14">
        <v>1</v>
      </c>
      <c r="L3144" s="14" t="s">
        <v>1400</v>
      </c>
      <c r="N3144" s="14">
        <v>0</v>
      </c>
      <c r="O3144" s="14" t="b">
        <v>1</v>
      </c>
      <c r="Q3144" s="14" t="b">
        <v>0</v>
      </c>
      <c r="R3144" s="14">
        <v>1</v>
      </c>
      <c r="S3144" s="14" t="s">
        <v>77</v>
      </c>
      <c r="T3144" s="14">
        <v>999</v>
      </c>
      <c r="U3144" s="14" t="s">
        <v>1401</v>
      </c>
      <c r="V3144" s="14">
        <v>31937011</v>
      </c>
      <c r="X3144" s="14" t="s">
        <v>5847</v>
      </c>
      <c r="Y3144" s="14" t="s">
        <v>215</v>
      </c>
      <c r="Z3144" s="14">
        <v>21907</v>
      </c>
      <c r="AA3144" s="14" t="s">
        <v>5848</v>
      </c>
      <c r="AB3144" s="14">
        <v>40001</v>
      </c>
      <c r="AE3144" s="14" t="s">
        <v>1400</v>
      </c>
      <c r="AF3144" s="14" t="s">
        <v>1400</v>
      </c>
      <c r="AG3144" s="14" t="s">
        <v>101</v>
      </c>
    </row>
    <row r="3145" spans="2:33">
      <c r="B3145" s="14">
        <f>10000000+INDEX(编号表!$B:$B,MATCH(H3145,编号表!$A:$A,0))*100000+INDEX(编号表!$F:$F,MATCH(D3145,编号表!$E:$E,0))*10000+INDEX(编号表!$D:$D,MATCH(AG3145,编号表!$C:$C,0))*1000+F3145</f>
        <v>11947012</v>
      </c>
      <c r="C3145" s="14" t="s">
        <v>5844</v>
      </c>
      <c r="D3145" s="14" t="s">
        <v>104</v>
      </c>
      <c r="E3145" s="14" t="s">
        <v>101</v>
      </c>
      <c r="F3145" s="14">
        <v>12</v>
      </c>
      <c r="G3145" s="14">
        <v>60</v>
      </c>
      <c r="H3145" s="14" t="s">
        <v>1400</v>
      </c>
      <c r="I3145" s="14" t="s">
        <v>75</v>
      </c>
      <c r="J3145" s="14" t="s">
        <v>201</v>
      </c>
      <c r="K3145" s="14">
        <v>1</v>
      </c>
      <c r="L3145" s="14" t="s">
        <v>1400</v>
      </c>
      <c r="N3145" s="14">
        <v>0</v>
      </c>
      <c r="O3145" s="14" t="b">
        <v>1</v>
      </c>
      <c r="Q3145" s="14" t="b">
        <v>0</v>
      </c>
      <c r="R3145" s="14">
        <v>1</v>
      </c>
      <c r="S3145" s="14" t="s">
        <v>77</v>
      </c>
      <c r="T3145" s="14">
        <v>999</v>
      </c>
      <c r="U3145" s="14" t="s">
        <v>1401</v>
      </c>
      <c r="V3145" s="14">
        <v>31947012</v>
      </c>
      <c r="X3145" s="14" t="s">
        <v>5849</v>
      </c>
      <c r="Y3145" s="14" t="s">
        <v>215</v>
      </c>
      <c r="Z3145" s="14">
        <v>21908</v>
      </c>
      <c r="AA3145" s="14" t="s">
        <v>5850</v>
      </c>
      <c r="AB3145" s="14">
        <v>40001</v>
      </c>
      <c r="AE3145" s="14" t="s">
        <v>1400</v>
      </c>
      <c r="AF3145" s="14" t="s">
        <v>1400</v>
      </c>
      <c r="AG3145" s="14" t="s">
        <v>101</v>
      </c>
    </row>
    <row r="3146" spans="2:33">
      <c r="B3146" s="14">
        <f>10000000+INDEX(编号表!$B:$B,MATCH(H3146,编号表!$A:$A,0))*100000+INDEX(编号表!$F:$F,MATCH(D3146,编号表!$E:$E,0))*10000+INDEX(编号表!$D:$D,MATCH(AG3146,编号表!$C:$C,0))*1000+F3146</f>
        <v>11927011</v>
      </c>
      <c r="C3146" s="14" t="s">
        <v>5851</v>
      </c>
      <c r="D3146" s="14" t="s">
        <v>112</v>
      </c>
      <c r="E3146" s="14" t="s">
        <v>101</v>
      </c>
      <c r="F3146" s="14">
        <v>11</v>
      </c>
      <c r="G3146" s="14">
        <v>60</v>
      </c>
      <c r="H3146" s="14" t="s">
        <v>1400</v>
      </c>
      <c r="I3146" s="14" t="s">
        <v>75</v>
      </c>
      <c r="J3146" s="14" t="s">
        <v>201</v>
      </c>
      <c r="K3146" s="14">
        <v>1</v>
      </c>
      <c r="L3146" s="14" t="s">
        <v>1400</v>
      </c>
      <c r="N3146" s="14">
        <v>0</v>
      </c>
      <c r="O3146" s="14" t="b">
        <v>1</v>
      </c>
      <c r="Q3146" s="14" t="b">
        <v>0</v>
      </c>
      <c r="R3146" s="14">
        <v>1</v>
      </c>
      <c r="S3146" s="14" t="s">
        <v>77</v>
      </c>
      <c r="T3146" s="14">
        <v>999</v>
      </c>
      <c r="U3146" s="14" t="s">
        <v>1401</v>
      </c>
      <c r="V3146" s="14">
        <v>31927011</v>
      </c>
      <c r="X3146" s="14" t="s">
        <v>5852</v>
      </c>
      <c r="Y3146" s="14" t="s">
        <v>215</v>
      </c>
      <c r="Z3146" s="14">
        <v>21909</v>
      </c>
      <c r="AA3146" s="14" t="s">
        <v>5853</v>
      </c>
      <c r="AB3146" s="14">
        <v>40001</v>
      </c>
      <c r="AE3146" s="14" t="s">
        <v>1400</v>
      </c>
      <c r="AF3146" s="14" t="s">
        <v>1400</v>
      </c>
      <c r="AG3146" s="14" t="s">
        <v>101</v>
      </c>
    </row>
    <row r="3147" spans="2:33">
      <c r="B3147" s="14">
        <f>10000000+INDEX(编号表!$B:$B,MATCH(H3147,编号表!$A:$A,0))*100000+INDEX(编号表!$F:$F,MATCH(D3147,编号表!$E:$E,0))*10000+INDEX(编号表!$D:$D,MATCH(AG3147,编号表!$C:$C,0))*1000+F3147</f>
        <v>11937012</v>
      </c>
      <c r="C3147" s="14" t="s">
        <v>5851</v>
      </c>
      <c r="D3147" s="14" t="s">
        <v>276</v>
      </c>
      <c r="E3147" s="14" t="s">
        <v>101</v>
      </c>
      <c r="F3147" s="14">
        <v>12</v>
      </c>
      <c r="G3147" s="14">
        <v>60</v>
      </c>
      <c r="H3147" s="14" t="s">
        <v>1400</v>
      </c>
      <c r="I3147" s="14" t="s">
        <v>75</v>
      </c>
      <c r="J3147" s="14" t="s">
        <v>201</v>
      </c>
      <c r="K3147" s="14">
        <v>1</v>
      </c>
      <c r="L3147" s="14" t="s">
        <v>1400</v>
      </c>
      <c r="N3147" s="14">
        <v>0</v>
      </c>
      <c r="O3147" s="14" t="b">
        <v>1</v>
      </c>
      <c r="Q3147" s="14" t="b">
        <v>0</v>
      </c>
      <c r="R3147" s="14">
        <v>1</v>
      </c>
      <c r="S3147" s="14" t="s">
        <v>77</v>
      </c>
      <c r="T3147" s="14">
        <v>999</v>
      </c>
      <c r="U3147" s="14" t="s">
        <v>1401</v>
      </c>
      <c r="V3147" s="14">
        <v>31937012</v>
      </c>
      <c r="X3147" s="14" t="s">
        <v>5854</v>
      </c>
      <c r="Y3147" s="14" t="s">
        <v>215</v>
      </c>
      <c r="Z3147" s="14">
        <v>21910</v>
      </c>
      <c r="AA3147" s="14" t="s">
        <v>5855</v>
      </c>
      <c r="AB3147" s="14">
        <v>40001</v>
      </c>
      <c r="AE3147" s="14" t="s">
        <v>1400</v>
      </c>
      <c r="AF3147" s="14" t="s">
        <v>1400</v>
      </c>
      <c r="AG3147" s="14" t="s">
        <v>101</v>
      </c>
    </row>
    <row r="3148" spans="2:33">
      <c r="B3148" s="14">
        <f>10000000+INDEX(编号表!$B:$B,MATCH(H3148,编号表!$A:$A,0))*100000+INDEX(编号表!$F:$F,MATCH(D3148,编号表!$E:$E,0))*10000+INDEX(编号表!$D:$D,MATCH(AG3148,编号表!$C:$C,0))*1000+F3148</f>
        <v>11947013</v>
      </c>
      <c r="C3148" s="14" t="s">
        <v>5851</v>
      </c>
      <c r="D3148" s="14" t="s">
        <v>104</v>
      </c>
      <c r="E3148" s="14" t="s">
        <v>101</v>
      </c>
      <c r="F3148" s="14">
        <v>13</v>
      </c>
      <c r="G3148" s="14">
        <v>60</v>
      </c>
      <c r="H3148" s="14" t="s">
        <v>1400</v>
      </c>
      <c r="I3148" s="14" t="s">
        <v>75</v>
      </c>
      <c r="J3148" s="14" t="s">
        <v>201</v>
      </c>
      <c r="K3148" s="14">
        <v>1</v>
      </c>
      <c r="L3148" s="14" t="s">
        <v>1400</v>
      </c>
      <c r="N3148" s="14">
        <v>0</v>
      </c>
      <c r="O3148" s="14" t="b">
        <v>1</v>
      </c>
      <c r="Q3148" s="14" t="b">
        <v>0</v>
      </c>
      <c r="R3148" s="14">
        <v>1</v>
      </c>
      <c r="S3148" s="14" t="s">
        <v>77</v>
      </c>
      <c r="T3148" s="14">
        <v>999</v>
      </c>
      <c r="U3148" s="14" t="s">
        <v>1401</v>
      </c>
      <c r="V3148" s="14">
        <v>31947013</v>
      </c>
      <c r="X3148" s="14" t="s">
        <v>5856</v>
      </c>
      <c r="Y3148" s="14" t="s">
        <v>215</v>
      </c>
      <c r="Z3148" s="14">
        <v>21911</v>
      </c>
      <c r="AA3148" s="14" t="s">
        <v>5857</v>
      </c>
      <c r="AB3148" s="14">
        <v>40001</v>
      </c>
      <c r="AE3148" s="14" t="s">
        <v>1400</v>
      </c>
      <c r="AF3148" s="14" t="s">
        <v>1400</v>
      </c>
      <c r="AG3148" s="14" t="s">
        <v>101</v>
      </c>
    </row>
    <row r="3149" spans="2:33">
      <c r="B3149" s="14">
        <f>10000000+INDEX(编号表!$B:$B,MATCH(H3149,编号表!$A:$A,0))*100000+INDEX(编号表!$F:$F,MATCH(D3149,编号表!$E:$E,0))*10000+INDEX(编号表!$D:$D,MATCH(AG3149,编号表!$C:$C,0))*1000+F3149</f>
        <v>11927012</v>
      </c>
      <c r="C3149" s="14" t="s">
        <v>5858</v>
      </c>
      <c r="D3149" s="14" t="s">
        <v>112</v>
      </c>
      <c r="E3149" s="14" t="s">
        <v>101</v>
      </c>
      <c r="F3149" s="14">
        <v>12</v>
      </c>
      <c r="G3149" s="14">
        <v>60</v>
      </c>
      <c r="H3149" s="14" t="s">
        <v>1400</v>
      </c>
      <c r="I3149" s="14" t="s">
        <v>75</v>
      </c>
      <c r="J3149" s="14" t="s">
        <v>201</v>
      </c>
      <c r="K3149" s="14">
        <v>1</v>
      </c>
      <c r="L3149" s="14" t="s">
        <v>1400</v>
      </c>
      <c r="N3149" s="14">
        <v>0</v>
      </c>
      <c r="O3149" s="14" t="b">
        <v>1</v>
      </c>
      <c r="Q3149" s="14" t="b">
        <v>0</v>
      </c>
      <c r="R3149" s="14">
        <v>1</v>
      </c>
      <c r="S3149" s="14" t="s">
        <v>77</v>
      </c>
      <c r="T3149" s="14">
        <v>999</v>
      </c>
      <c r="U3149" s="14" t="s">
        <v>1401</v>
      </c>
      <c r="V3149" s="14">
        <v>31927012</v>
      </c>
      <c r="X3149" s="14" t="s">
        <v>5859</v>
      </c>
      <c r="Y3149" s="14" t="s">
        <v>215</v>
      </c>
      <c r="Z3149" s="14">
        <v>21912</v>
      </c>
      <c r="AA3149" s="14" t="s">
        <v>5860</v>
      </c>
      <c r="AB3149" s="14">
        <v>40001</v>
      </c>
      <c r="AE3149" s="14" t="s">
        <v>1400</v>
      </c>
      <c r="AF3149" s="14" t="s">
        <v>1400</v>
      </c>
      <c r="AG3149" s="14" t="s">
        <v>101</v>
      </c>
    </row>
    <row r="3150" spans="2:33">
      <c r="B3150" s="14">
        <f>10000000+INDEX(编号表!$B:$B,MATCH(H3150,编号表!$A:$A,0))*100000+INDEX(编号表!$F:$F,MATCH(D3150,编号表!$E:$E,0))*10000+INDEX(编号表!$D:$D,MATCH(AG3150,编号表!$C:$C,0))*1000+F3150</f>
        <v>11937013</v>
      </c>
      <c r="C3150" s="14" t="s">
        <v>5858</v>
      </c>
      <c r="D3150" s="14" t="s">
        <v>276</v>
      </c>
      <c r="E3150" s="14" t="s">
        <v>101</v>
      </c>
      <c r="F3150" s="14">
        <v>13</v>
      </c>
      <c r="G3150" s="14">
        <v>60</v>
      </c>
      <c r="H3150" s="14" t="s">
        <v>1400</v>
      </c>
      <c r="I3150" s="14" t="s">
        <v>75</v>
      </c>
      <c r="J3150" s="14" t="s">
        <v>201</v>
      </c>
      <c r="K3150" s="14">
        <v>1</v>
      </c>
      <c r="L3150" s="14" t="s">
        <v>1400</v>
      </c>
      <c r="N3150" s="14">
        <v>0</v>
      </c>
      <c r="O3150" s="14" t="b">
        <v>1</v>
      </c>
      <c r="Q3150" s="14" t="b">
        <v>0</v>
      </c>
      <c r="R3150" s="14">
        <v>1</v>
      </c>
      <c r="S3150" s="14" t="s">
        <v>77</v>
      </c>
      <c r="T3150" s="14">
        <v>999</v>
      </c>
      <c r="U3150" s="14" t="s">
        <v>1401</v>
      </c>
      <c r="V3150" s="14">
        <v>31937013</v>
      </c>
      <c r="X3150" s="14" t="s">
        <v>5861</v>
      </c>
      <c r="Y3150" s="14" t="s">
        <v>215</v>
      </c>
      <c r="Z3150" s="14">
        <v>21913</v>
      </c>
      <c r="AA3150" s="14" t="s">
        <v>5862</v>
      </c>
      <c r="AB3150" s="14">
        <v>40001</v>
      </c>
      <c r="AE3150" s="14" t="s">
        <v>1400</v>
      </c>
      <c r="AF3150" s="14" t="s">
        <v>1400</v>
      </c>
      <c r="AG3150" s="14" t="s">
        <v>101</v>
      </c>
    </row>
    <row r="3151" spans="2:33">
      <c r="B3151" s="14">
        <f>10000000+INDEX(编号表!$B:$B,MATCH(H3151,编号表!$A:$A,0))*100000+INDEX(编号表!$F:$F,MATCH(D3151,编号表!$E:$E,0))*10000+INDEX(编号表!$D:$D,MATCH(AG3151,编号表!$C:$C,0))*1000+F3151</f>
        <v>11947014</v>
      </c>
      <c r="C3151" s="14" t="s">
        <v>5858</v>
      </c>
      <c r="D3151" s="14" t="s">
        <v>104</v>
      </c>
      <c r="E3151" s="14" t="s">
        <v>101</v>
      </c>
      <c r="F3151" s="14">
        <v>14</v>
      </c>
      <c r="G3151" s="14">
        <v>60</v>
      </c>
      <c r="H3151" s="14" t="s">
        <v>1400</v>
      </c>
      <c r="I3151" s="14" t="s">
        <v>75</v>
      </c>
      <c r="J3151" s="14" t="s">
        <v>201</v>
      </c>
      <c r="K3151" s="14">
        <v>1</v>
      </c>
      <c r="L3151" s="14" t="s">
        <v>1400</v>
      </c>
      <c r="N3151" s="14">
        <v>0</v>
      </c>
      <c r="O3151" s="14" t="b">
        <v>1</v>
      </c>
      <c r="Q3151" s="14" t="b">
        <v>0</v>
      </c>
      <c r="R3151" s="14">
        <v>1</v>
      </c>
      <c r="S3151" s="14" t="s">
        <v>77</v>
      </c>
      <c r="T3151" s="14">
        <v>999</v>
      </c>
      <c r="U3151" s="14" t="s">
        <v>1401</v>
      </c>
      <c r="V3151" s="14">
        <v>31947014</v>
      </c>
      <c r="X3151" s="14" t="s">
        <v>5863</v>
      </c>
      <c r="Y3151" s="14" t="s">
        <v>215</v>
      </c>
      <c r="Z3151" s="14">
        <v>21914</v>
      </c>
      <c r="AA3151" s="14" t="s">
        <v>5864</v>
      </c>
      <c r="AB3151" s="14">
        <v>40001</v>
      </c>
      <c r="AE3151" s="14" t="s">
        <v>1400</v>
      </c>
      <c r="AF3151" s="14" t="s">
        <v>1400</v>
      </c>
      <c r="AG3151" s="14" t="s">
        <v>101</v>
      </c>
    </row>
    <row r="3152" spans="2:33">
      <c r="B3152" s="14">
        <f>10000000+INDEX(编号表!$B:$B,MATCH(H3152,编号表!$A:$A,0))*100000+INDEX(编号表!$F:$F,MATCH(D3152,编号表!$E:$E,0))*10000+INDEX(编号表!$D:$D,MATCH(AG3152,编号表!$C:$C,0))*1000+F3152</f>
        <v>11927013</v>
      </c>
      <c r="C3152" s="14" t="s">
        <v>5865</v>
      </c>
      <c r="D3152" s="14" t="s">
        <v>112</v>
      </c>
      <c r="E3152" s="14" t="s">
        <v>101</v>
      </c>
      <c r="F3152" s="14">
        <v>13</v>
      </c>
      <c r="G3152" s="14">
        <v>60</v>
      </c>
      <c r="H3152" s="14" t="s">
        <v>1400</v>
      </c>
      <c r="I3152" s="14" t="s">
        <v>75</v>
      </c>
      <c r="J3152" s="14" t="s">
        <v>201</v>
      </c>
      <c r="K3152" s="14">
        <v>1</v>
      </c>
      <c r="L3152" s="14" t="s">
        <v>1400</v>
      </c>
      <c r="N3152" s="14">
        <v>0</v>
      </c>
      <c r="O3152" s="14" t="b">
        <v>1</v>
      </c>
      <c r="Q3152" s="14" t="b">
        <v>0</v>
      </c>
      <c r="R3152" s="14">
        <v>1</v>
      </c>
      <c r="S3152" s="14" t="s">
        <v>77</v>
      </c>
      <c r="T3152" s="14">
        <v>999</v>
      </c>
      <c r="U3152" s="14" t="s">
        <v>1401</v>
      </c>
      <c r="V3152" s="14">
        <v>31927013</v>
      </c>
      <c r="X3152" s="14" t="s">
        <v>5866</v>
      </c>
      <c r="Y3152" s="14" t="s">
        <v>215</v>
      </c>
      <c r="Z3152" s="14">
        <v>21915</v>
      </c>
      <c r="AA3152" s="14" t="s">
        <v>5867</v>
      </c>
      <c r="AB3152" s="14">
        <v>40001</v>
      </c>
      <c r="AE3152" s="14" t="s">
        <v>1400</v>
      </c>
      <c r="AF3152" s="14" t="s">
        <v>1400</v>
      </c>
      <c r="AG3152" s="14" t="s">
        <v>101</v>
      </c>
    </row>
    <row r="3153" spans="2:33">
      <c r="B3153" s="14">
        <f>10000000+INDEX(编号表!$B:$B,MATCH(H3153,编号表!$A:$A,0))*100000+INDEX(编号表!$F:$F,MATCH(D3153,编号表!$E:$E,0))*10000+INDEX(编号表!$D:$D,MATCH(AG3153,编号表!$C:$C,0))*1000+F3153</f>
        <v>11937014</v>
      </c>
      <c r="C3153" s="14" t="s">
        <v>5865</v>
      </c>
      <c r="D3153" s="14" t="s">
        <v>276</v>
      </c>
      <c r="E3153" s="14" t="s">
        <v>101</v>
      </c>
      <c r="F3153" s="14">
        <v>14</v>
      </c>
      <c r="G3153" s="14">
        <v>60</v>
      </c>
      <c r="H3153" s="14" t="s">
        <v>1400</v>
      </c>
      <c r="I3153" s="14" t="s">
        <v>75</v>
      </c>
      <c r="J3153" s="14" t="s">
        <v>201</v>
      </c>
      <c r="K3153" s="14">
        <v>1</v>
      </c>
      <c r="L3153" s="14" t="s">
        <v>1400</v>
      </c>
      <c r="N3153" s="14">
        <v>0</v>
      </c>
      <c r="O3153" s="14" t="b">
        <v>1</v>
      </c>
      <c r="Q3153" s="14" t="b">
        <v>0</v>
      </c>
      <c r="R3153" s="14">
        <v>1</v>
      </c>
      <c r="S3153" s="14" t="s">
        <v>77</v>
      </c>
      <c r="T3153" s="14">
        <v>999</v>
      </c>
      <c r="U3153" s="14" t="s">
        <v>1401</v>
      </c>
      <c r="V3153" s="14">
        <v>31937014</v>
      </c>
      <c r="X3153" s="14" t="s">
        <v>5868</v>
      </c>
      <c r="Y3153" s="14" t="s">
        <v>215</v>
      </c>
      <c r="Z3153" s="14">
        <v>21916</v>
      </c>
      <c r="AA3153" s="14" t="s">
        <v>5869</v>
      </c>
      <c r="AB3153" s="14">
        <v>40001</v>
      </c>
      <c r="AE3153" s="14" t="s">
        <v>1400</v>
      </c>
      <c r="AF3153" s="14" t="s">
        <v>1400</v>
      </c>
      <c r="AG3153" s="14" t="s">
        <v>101</v>
      </c>
    </row>
    <row r="3154" spans="2:33">
      <c r="B3154" s="14">
        <f>10000000+INDEX(编号表!$B:$B,MATCH(H3154,编号表!$A:$A,0))*100000+INDEX(编号表!$F:$F,MATCH(D3154,编号表!$E:$E,0))*10000+INDEX(编号表!$D:$D,MATCH(AG3154,编号表!$C:$C,0))*1000+F3154</f>
        <v>11947015</v>
      </c>
      <c r="C3154" s="14" t="s">
        <v>5865</v>
      </c>
      <c r="D3154" s="14" t="s">
        <v>104</v>
      </c>
      <c r="E3154" s="14" t="s">
        <v>101</v>
      </c>
      <c r="F3154" s="14">
        <v>15</v>
      </c>
      <c r="G3154" s="14">
        <v>60</v>
      </c>
      <c r="H3154" s="14" t="s">
        <v>1400</v>
      </c>
      <c r="I3154" s="14" t="s">
        <v>75</v>
      </c>
      <c r="J3154" s="14" t="s">
        <v>201</v>
      </c>
      <c r="K3154" s="14">
        <v>1</v>
      </c>
      <c r="L3154" s="14" t="s">
        <v>1400</v>
      </c>
      <c r="N3154" s="14">
        <v>0</v>
      </c>
      <c r="O3154" s="14" t="b">
        <v>1</v>
      </c>
      <c r="Q3154" s="14" t="b">
        <v>0</v>
      </c>
      <c r="R3154" s="14">
        <v>1</v>
      </c>
      <c r="S3154" s="14" t="s">
        <v>77</v>
      </c>
      <c r="T3154" s="14">
        <v>999</v>
      </c>
      <c r="U3154" s="14" t="s">
        <v>1401</v>
      </c>
      <c r="V3154" s="14">
        <v>31947015</v>
      </c>
      <c r="X3154" s="14" t="s">
        <v>5870</v>
      </c>
      <c r="Y3154" s="14" t="s">
        <v>215</v>
      </c>
      <c r="Z3154" s="14">
        <v>21917</v>
      </c>
      <c r="AA3154" s="14" t="s">
        <v>5871</v>
      </c>
      <c r="AB3154" s="14">
        <v>40001</v>
      </c>
      <c r="AE3154" s="14" t="s">
        <v>1400</v>
      </c>
      <c r="AF3154" s="14" t="s">
        <v>1400</v>
      </c>
      <c r="AG3154" s="14" t="s">
        <v>101</v>
      </c>
    </row>
    <row r="3155" spans="2:33">
      <c r="B3155" s="14">
        <f>10000000+INDEX(编号表!$B:$B,MATCH(H3155,编号表!$A:$A,0))*100000+INDEX(编号表!$F:$F,MATCH(D3155,编号表!$E:$E,0))*10000+INDEX(编号表!$D:$D,MATCH(AG3155,编号表!$C:$C,0))*1000+F3155</f>
        <v>11927014</v>
      </c>
      <c r="C3155" s="14" t="s">
        <v>5872</v>
      </c>
      <c r="D3155" s="14" t="s">
        <v>112</v>
      </c>
      <c r="E3155" s="14" t="s">
        <v>101</v>
      </c>
      <c r="F3155" s="14">
        <v>14</v>
      </c>
      <c r="G3155" s="14">
        <v>60</v>
      </c>
      <c r="H3155" s="14" t="s">
        <v>1400</v>
      </c>
      <c r="I3155" s="14" t="s">
        <v>75</v>
      </c>
      <c r="J3155" s="14" t="s">
        <v>201</v>
      </c>
      <c r="K3155" s="14">
        <v>1</v>
      </c>
      <c r="L3155" s="14" t="s">
        <v>1400</v>
      </c>
      <c r="N3155" s="14">
        <v>0</v>
      </c>
      <c r="O3155" s="14" t="b">
        <v>1</v>
      </c>
      <c r="Q3155" s="14" t="b">
        <v>0</v>
      </c>
      <c r="R3155" s="14">
        <v>1</v>
      </c>
      <c r="S3155" s="14" t="s">
        <v>77</v>
      </c>
      <c r="T3155" s="14">
        <v>999</v>
      </c>
      <c r="U3155" s="14" t="s">
        <v>1401</v>
      </c>
      <c r="V3155" s="14">
        <v>31927014</v>
      </c>
      <c r="X3155" s="14" t="s">
        <v>5873</v>
      </c>
      <c r="Y3155" s="14" t="s">
        <v>215</v>
      </c>
      <c r="Z3155" s="14">
        <v>21918</v>
      </c>
      <c r="AA3155" s="14" t="s">
        <v>5874</v>
      </c>
      <c r="AB3155" s="14">
        <v>40001</v>
      </c>
      <c r="AE3155" s="14" t="s">
        <v>1400</v>
      </c>
      <c r="AF3155" s="14" t="s">
        <v>1400</v>
      </c>
      <c r="AG3155" s="14" t="s">
        <v>101</v>
      </c>
    </row>
    <row r="3156" spans="2:33">
      <c r="B3156" s="14">
        <f>10000000+INDEX(编号表!$B:$B,MATCH(H3156,编号表!$A:$A,0))*100000+INDEX(编号表!$F:$F,MATCH(D3156,编号表!$E:$E,0))*10000+INDEX(编号表!$D:$D,MATCH(AG3156,编号表!$C:$C,0))*1000+F3156</f>
        <v>11937015</v>
      </c>
      <c r="C3156" s="14" t="s">
        <v>5872</v>
      </c>
      <c r="D3156" s="14" t="s">
        <v>276</v>
      </c>
      <c r="E3156" s="14" t="s">
        <v>101</v>
      </c>
      <c r="F3156" s="14">
        <v>15</v>
      </c>
      <c r="G3156" s="14">
        <v>60</v>
      </c>
      <c r="H3156" s="14" t="s">
        <v>1400</v>
      </c>
      <c r="I3156" s="14" t="s">
        <v>75</v>
      </c>
      <c r="J3156" s="14" t="s">
        <v>201</v>
      </c>
      <c r="K3156" s="14">
        <v>1</v>
      </c>
      <c r="L3156" s="14" t="s">
        <v>1400</v>
      </c>
      <c r="N3156" s="14">
        <v>0</v>
      </c>
      <c r="O3156" s="14" t="b">
        <v>1</v>
      </c>
      <c r="Q3156" s="14" t="b">
        <v>0</v>
      </c>
      <c r="R3156" s="14">
        <v>1</v>
      </c>
      <c r="S3156" s="14" t="s">
        <v>77</v>
      </c>
      <c r="T3156" s="14">
        <v>999</v>
      </c>
      <c r="U3156" s="14" t="s">
        <v>1401</v>
      </c>
      <c r="V3156" s="14">
        <v>31937015</v>
      </c>
      <c r="X3156" s="14" t="s">
        <v>5875</v>
      </c>
      <c r="Y3156" s="14" t="s">
        <v>215</v>
      </c>
      <c r="Z3156" s="14">
        <v>21919</v>
      </c>
      <c r="AA3156" s="14" t="s">
        <v>5876</v>
      </c>
      <c r="AB3156" s="14">
        <v>40001</v>
      </c>
      <c r="AE3156" s="14" t="s">
        <v>1400</v>
      </c>
      <c r="AF3156" s="14" t="s">
        <v>1400</v>
      </c>
      <c r="AG3156" s="14" t="s">
        <v>101</v>
      </c>
    </row>
    <row r="3157" spans="2:33">
      <c r="B3157" s="14">
        <f>10000000+INDEX(编号表!$B:$B,MATCH(H3157,编号表!$A:$A,0))*100000+INDEX(编号表!$F:$F,MATCH(D3157,编号表!$E:$E,0))*10000+INDEX(编号表!$D:$D,MATCH(AG3157,编号表!$C:$C,0))*1000+F3157</f>
        <v>11947016</v>
      </c>
      <c r="C3157" s="14" t="s">
        <v>5872</v>
      </c>
      <c r="D3157" s="14" t="s">
        <v>104</v>
      </c>
      <c r="E3157" s="14" t="s">
        <v>101</v>
      </c>
      <c r="F3157" s="14">
        <v>16</v>
      </c>
      <c r="G3157" s="14">
        <v>60</v>
      </c>
      <c r="H3157" s="14" t="s">
        <v>1400</v>
      </c>
      <c r="I3157" s="14" t="s">
        <v>75</v>
      </c>
      <c r="J3157" s="14" t="s">
        <v>201</v>
      </c>
      <c r="K3157" s="14">
        <v>1</v>
      </c>
      <c r="L3157" s="14" t="s">
        <v>1400</v>
      </c>
      <c r="N3157" s="14">
        <v>0</v>
      </c>
      <c r="O3157" s="14" t="b">
        <v>1</v>
      </c>
      <c r="Q3157" s="14" t="b">
        <v>0</v>
      </c>
      <c r="R3157" s="14">
        <v>1</v>
      </c>
      <c r="S3157" s="14" t="s">
        <v>77</v>
      </c>
      <c r="T3157" s="14">
        <v>999</v>
      </c>
      <c r="U3157" s="14" t="s">
        <v>1401</v>
      </c>
      <c r="V3157" s="14">
        <v>31947016</v>
      </c>
      <c r="X3157" s="14" t="s">
        <v>5877</v>
      </c>
      <c r="Y3157" s="14" t="s">
        <v>215</v>
      </c>
      <c r="Z3157" s="14">
        <v>21920</v>
      </c>
      <c r="AA3157" s="14" t="s">
        <v>5878</v>
      </c>
      <c r="AB3157" s="14">
        <v>40001</v>
      </c>
      <c r="AE3157" s="14" t="s">
        <v>1400</v>
      </c>
      <c r="AF3157" s="14" t="s">
        <v>1400</v>
      </c>
      <c r="AG3157" s="14" t="s">
        <v>101</v>
      </c>
    </row>
    <row r="3158" spans="2:33">
      <c r="B3158" s="14">
        <f>10000000+INDEX(编号表!$B:$B,MATCH(H3158,编号表!$A:$A,0))*100000+INDEX(编号表!$F:$F,MATCH(D3158,编号表!$E:$E,0))*10000+INDEX(编号表!$D:$D,MATCH(AG3158,编号表!$C:$C,0))*1000+F3158</f>
        <v>11927015</v>
      </c>
      <c r="C3158" s="14" t="s">
        <v>5879</v>
      </c>
      <c r="D3158" s="14" t="s">
        <v>112</v>
      </c>
      <c r="E3158" s="14" t="s">
        <v>101</v>
      </c>
      <c r="F3158" s="14">
        <v>15</v>
      </c>
      <c r="G3158" s="14">
        <v>60</v>
      </c>
      <c r="H3158" s="14" t="s">
        <v>1400</v>
      </c>
      <c r="I3158" s="14" t="s">
        <v>75</v>
      </c>
      <c r="J3158" s="14" t="s">
        <v>201</v>
      </c>
      <c r="K3158" s="14">
        <v>1</v>
      </c>
      <c r="L3158" s="14" t="s">
        <v>1400</v>
      </c>
      <c r="N3158" s="14">
        <v>0</v>
      </c>
      <c r="O3158" s="14" t="b">
        <v>1</v>
      </c>
      <c r="Q3158" s="14" t="b">
        <v>0</v>
      </c>
      <c r="R3158" s="14">
        <v>1</v>
      </c>
      <c r="S3158" s="14" t="s">
        <v>77</v>
      </c>
      <c r="T3158" s="14">
        <v>999</v>
      </c>
      <c r="U3158" s="14" t="s">
        <v>1401</v>
      </c>
      <c r="V3158" s="14">
        <v>31927015</v>
      </c>
      <c r="X3158" s="14" t="s">
        <v>5880</v>
      </c>
      <c r="Y3158" s="14" t="s">
        <v>215</v>
      </c>
      <c r="Z3158" s="14">
        <v>21921</v>
      </c>
      <c r="AA3158" s="14" t="s">
        <v>5881</v>
      </c>
      <c r="AB3158" s="14">
        <v>40001</v>
      </c>
      <c r="AE3158" s="14" t="s">
        <v>1400</v>
      </c>
      <c r="AF3158" s="14" t="s">
        <v>1400</v>
      </c>
      <c r="AG3158" s="14" t="s">
        <v>101</v>
      </c>
    </row>
    <row r="3159" spans="2:33">
      <c r="B3159" s="14">
        <f>10000000+INDEX(编号表!$B:$B,MATCH(H3159,编号表!$A:$A,0))*100000+INDEX(编号表!$F:$F,MATCH(D3159,编号表!$E:$E,0))*10000+INDEX(编号表!$D:$D,MATCH(AG3159,编号表!$C:$C,0))*1000+F3159</f>
        <v>11937016</v>
      </c>
      <c r="C3159" s="14" t="s">
        <v>5879</v>
      </c>
      <c r="D3159" s="14" t="s">
        <v>276</v>
      </c>
      <c r="E3159" s="14" t="s">
        <v>101</v>
      </c>
      <c r="F3159" s="14">
        <v>16</v>
      </c>
      <c r="G3159" s="14">
        <v>60</v>
      </c>
      <c r="H3159" s="14" t="s">
        <v>1400</v>
      </c>
      <c r="I3159" s="14" t="s">
        <v>75</v>
      </c>
      <c r="J3159" s="14" t="s">
        <v>201</v>
      </c>
      <c r="K3159" s="14">
        <v>1</v>
      </c>
      <c r="L3159" s="14" t="s">
        <v>1400</v>
      </c>
      <c r="N3159" s="14">
        <v>0</v>
      </c>
      <c r="O3159" s="14" t="b">
        <v>1</v>
      </c>
      <c r="Q3159" s="14" t="b">
        <v>0</v>
      </c>
      <c r="R3159" s="14">
        <v>1</v>
      </c>
      <c r="S3159" s="14" t="s">
        <v>77</v>
      </c>
      <c r="T3159" s="14">
        <v>999</v>
      </c>
      <c r="U3159" s="14" t="s">
        <v>1401</v>
      </c>
      <c r="V3159" s="14">
        <v>31937016</v>
      </c>
      <c r="X3159" s="14" t="s">
        <v>5882</v>
      </c>
      <c r="Y3159" s="14" t="s">
        <v>215</v>
      </c>
      <c r="Z3159" s="14">
        <v>21922</v>
      </c>
      <c r="AA3159" s="14" t="s">
        <v>5883</v>
      </c>
      <c r="AB3159" s="14">
        <v>40001</v>
      </c>
      <c r="AE3159" s="14" t="s">
        <v>1400</v>
      </c>
      <c r="AF3159" s="14" t="s">
        <v>1400</v>
      </c>
      <c r="AG3159" s="14" t="s">
        <v>101</v>
      </c>
    </row>
    <row r="3160" spans="2:33">
      <c r="B3160" s="14">
        <f>10000000+INDEX(编号表!$B:$B,MATCH(H3160,编号表!$A:$A,0))*100000+INDEX(编号表!$F:$F,MATCH(D3160,编号表!$E:$E,0))*10000+INDEX(编号表!$D:$D,MATCH(AG3160,编号表!$C:$C,0))*1000+F3160</f>
        <v>11947017</v>
      </c>
      <c r="C3160" s="14" t="s">
        <v>5879</v>
      </c>
      <c r="D3160" s="14" t="s">
        <v>104</v>
      </c>
      <c r="E3160" s="14" t="s">
        <v>101</v>
      </c>
      <c r="F3160" s="14">
        <v>17</v>
      </c>
      <c r="G3160" s="14">
        <v>60</v>
      </c>
      <c r="H3160" s="14" t="s">
        <v>1400</v>
      </c>
      <c r="I3160" s="14" t="s">
        <v>75</v>
      </c>
      <c r="J3160" s="14" t="s">
        <v>201</v>
      </c>
      <c r="K3160" s="14">
        <v>1</v>
      </c>
      <c r="L3160" s="14" t="s">
        <v>1400</v>
      </c>
      <c r="N3160" s="14">
        <v>0</v>
      </c>
      <c r="O3160" s="14" t="b">
        <v>1</v>
      </c>
      <c r="Q3160" s="14" t="b">
        <v>0</v>
      </c>
      <c r="R3160" s="14">
        <v>1</v>
      </c>
      <c r="S3160" s="14" t="s">
        <v>77</v>
      </c>
      <c r="T3160" s="14">
        <v>999</v>
      </c>
      <c r="U3160" s="14" t="s">
        <v>1401</v>
      </c>
      <c r="V3160" s="14">
        <v>31947017</v>
      </c>
      <c r="X3160" s="14" t="s">
        <v>5884</v>
      </c>
      <c r="Y3160" s="14" t="s">
        <v>215</v>
      </c>
      <c r="Z3160" s="14">
        <v>21923</v>
      </c>
      <c r="AA3160" s="14" t="s">
        <v>5885</v>
      </c>
      <c r="AB3160" s="14">
        <v>40001</v>
      </c>
      <c r="AE3160" s="14" t="s">
        <v>1400</v>
      </c>
      <c r="AF3160" s="14" t="s">
        <v>1400</v>
      </c>
      <c r="AG3160" s="14" t="s">
        <v>101</v>
      </c>
    </row>
    <row r="3161" spans="2:33">
      <c r="B3161" s="14">
        <f>10000000+INDEX(编号表!$B:$B,MATCH(H3161,编号表!$A:$A,0))*100000+INDEX(编号表!$F:$F,MATCH(D3161,编号表!$E:$E,0))*10000+INDEX(编号表!$D:$D,MATCH(AG3161,编号表!$C:$C,0))*1000+F3161</f>
        <v>11927016</v>
      </c>
      <c r="C3161" s="14" t="s">
        <v>5886</v>
      </c>
      <c r="D3161" s="14" t="s">
        <v>112</v>
      </c>
      <c r="E3161" s="14" t="s">
        <v>101</v>
      </c>
      <c r="F3161" s="14">
        <v>16</v>
      </c>
      <c r="G3161" s="14">
        <v>60</v>
      </c>
      <c r="H3161" s="14" t="s">
        <v>1400</v>
      </c>
      <c r="I3161" s="14" t="s">
        <v>75</v>
      </c>
      <c r="J3161" s="14" t="s">
        <v>201</v>
      </c>
      <c r="K3161" s="14">
        <v>1</v>
      </c>
      <c r="L3161" s="14" t="s">
        <v>1400</v>
      </c>
      <c r="N3161" s="14">
        <v>0</v>
      </c>
      <c r="O3161" s="14" t="b">
        <v>1</v>
      </c>
      <c r="Q3161" s="14" t="b">
        <v>0</v>
      </c>
      <c r="R3161" s="14">
        <v>1</v>
      </c>
      <c r="S3161" s="14" t="s">
        <v>77</v>
      </c>
      <c r="T3161" s="14">
        <v>999</v>
      </c>
      <c r="U3161" s="14" t="s">
        <v>1401</v>
      </c>
      <c r="V3161" s="14">
        <v>31927016</v>
      </c>
      <c r="X3161" s="14" t="s">
        <v>5887</v>
      </c>
      <c r="Y3161" s="14" t="s">
        <v>215</v>
      </c>
      <c r="Z3161" s="14">
        <v>21924</v>
      </c>
      <c r="AA3161" s="14" t="s">
        <v>5888</v>
      </c>
      <c r="AB3161" s="14">
        <v>40001</v>
      </c>
      <c r="AE3161" s="14" t="s">
        <v>1400</v>
      </c>
      <c r="AF3161" s="14" t="s">
        <v>1400</v>
      </c>
      <c r="AG3161" s="14" t="s">
        <v>101</v>
      </c>
    </row>
    <row r="3162" spans="2:33">
      <c r="B3162" s="14">
        <f>10000000+INDEX(编号表!$B:$B,MATCH(H3162,编号表!$A:$A,0))*100000+INDEX(编号表!$F:$F,MATCH(D3162,编号表!$E:$E,0))*10000+INDEX(编号表!$D:$D,MATCH(AG3162,编号表!$C:$C,0))*1000+F3162</f>
        <v>11937017</v>
      </c>
      <c r="C3162" s="14" t="s">
        <v>5886</v>
      </c>
      <c r="D3162" s="14" t="s">
        <v>276</v>
      </c>
      <c r="E3162" s="14" t="s">
        <v>101</v>
      </c>
      <c r="F3162" s="14">
        <v>17</v>
      </c>
      <c r="G3162" s="14">
        <v>60</v>
      </c>
      <c r="H3162" s="14" t="s">
        <v>1400</v>
      </c>
      <c r="I3162" s="14" t="s">
        <v>75</v>
      </c>
      <c r="J3162" s="14" t="s">
        <v>201</v>
      </c>
      <c r="K3162" s="14">
        <v>1</v>
      </c>
      <c r="L3162" s="14" t="s">
        <v>1400</v>
      </c>
      <c r="N3162" s="14">
        <v>0</v>
      </c>
      <c r="O3162" s="14" t="b">
        <v>1</v>
      </c>
      <c r="Q3162" s="14" t="b">
        <v>0</v>
      </c>
      <c r="R3162" s="14">
        <v>1</v>
      </c>
      <c r="S3162" s="14" t="s">
        <v>77</v>
      </c>
      <c r="T3162" s="14">
        <v>999</v>
      </c>
      <c r="U3162" s="14" t="s">
        <v>1401</v>
      </c>
      <c r="V3162" s="14">
        <v>31937017</v>
      </c>
      <c r="X3162" s="14" t="s">
        <v>5889</v>
      </c>
      <c r="Y3162" s="14" t="s">
        <v>215</v>
      </c>
      <c r="Z3162" s="14">
        <v>21925</v>
      </c>
      <c r="AA3162" s="14" t="s">
        <v>5890</v>
      </c>
      <c r="AB3162" s="14">
        <v>40001</v>
      </c>
      <c r="AE3162" s="14" t="s">
        <v>1400</v>
      </c>
      <c r="AF3162" s="14" t="s">
        <v>1400</v>
      </c>
      <c r="AG3162" s="14" t="s">
        <v>101</v>
      </c>
    </row>
    <row r="3163" spans="2:33">
      <c r="B3163" s="14">
        <f>10000000+INDEX(编号表!$B:$B,MATCH(H3163,编号表!$A:$A,0))*100000+INDEX(编号表!$F:$F,MATCH(D3163,编号表!$E:$E,0))*10000+INDEX(编号表!$D:$D,MATCH(AG3163,编号表!$C:$C,0))*1000+F3163</f>
        <v>11947018</v>
      </c>
      <c r="C3163" s="14" t="s">
        <v>5886</v>
      </c>
      <c r="D3163" s="14" t="s">
        <v>104</v>
      </c>
      <c r="E3163" s="14" t="s">
        <v>101</v>
      </c>
      <c r="F3163" s="14">
        <v>18</v>
      </c>
      <c r="G3163" s="14">
        <v>60</v>
      </c>
      <c r="H3163" s="14" t="s">
        <v>1400</v>
      </c>
      <c r="I3163" s="14" t="s">
        <v>75</v>
      </c>
      <c r="J3163" s="14" t="s">
        <v>201</v>
      </c>
      <c r="K3163" s="14">
        <v>1</v>
      </c>
      <c r="L3163" s="14" t="s">
        <v>1400</v>
      </c>
      <c r="N3163" s="14">
        <v>0</v>
      </c>
      <c r="O3163" s="14" t="b">
        <v>1</v>
      </c>
      <c r="Q3163" s="14" t="b">
        <v>0</v>
      </c>
      <c r="R3163" s="14">
        <v>1</v>
      </c>
      <c r="S3163" s="14" t="s">
        <v>77</v>
      </c>
      <c r="T3163" s="14">
        <v>999</v>
      </c>
      <c r="U3163" s="14" t="s">
        <v>1401</v>
      </c>
      <c r="V3163" s="14">
        <v>31947018</v>
      </c>
      <c r="X3163" s="14" t="s">
        <v>5891</v>
      </c>
      <c r="Y3163" s="14" t="s">
        <v>215</v>
      </c>
      <c r="Z3163" s="14">
        <v>21926</v>
      </c>
      <c r="AA3163" s="14" t="s">
        <v>5892</v>
      </c>
      <c r="AB3163" s="14">
        <v>40001</v>
      </c>
      <c r="AE3163" s="14" t="s">
        <v>1400</v>
      </c>
      <c r="AF3163" s="14" t="s">
        <v>1400</v>
      </c>
      <c r="AG3163" s="14" t="s">
        <v>101</v>
      </c>
    </row>
    <row r="3164" spans="2:33">
      <c r="B3164" s="14">
        <f>10000000+INDEX(编号表!$B:$B,MATCH(H3164,编号表!$A:$A,0))*100000+INDEX(编号表!$F:$F,MATCH(D3164,编号表!$E:$E,0))*10000+INDEX(编号表!$D:$D,MATCH(AG3164,编号表!$C:$C,0))*1000+F3164</f>
        <v>11927017</v>
      </c>
      <c r="C3164" s="14" t="s">
        <v>5893</v>
      </c>
      <c r="D3164" s="14" t="s">
        <v>112</v>
      </c>
      <c r="E3164" s="14" t="s">
        <v>101</v>
      </c>
      <c r="F3164" s="14">
        <v>17</v>
      </c>
      <c r="G3164" s="14">
        <v>60</v>
      </c>
      <c r="H3164" s="14" t="s">
        <v>1400</v>
      </c>
      <c r="I3164" s="14" t="s">
        <v>75</v>
      </c>
      <c r="J3164" s="14" t="s">
        <v>201</v>
      </c>
      <c r="K3164" s="14">
        <v>1</v>
      </c>
      <c r="L3164" s="14" t="s">
        <v>1400</v>
      </c>
      <c r="N3164" s="14">
        <v>0</v>
      </c>
      <c r="O3164" s="14" t="b">
        <v>1</v>
      </c>
      <c r="Q3164" s="14" t="b">
        <v>0</v>
      </c>
      <c r="R3164" s="14">
        <v>1</v>
      </c>
      <c r="S3164" s="14" t="s">
        <v>77</v>
      </c>
      <c r="T3164" s="14">
        <v>999</v>
      </c>
      <c r="U3164" s="14" t="s">
        <v>1401</v>
      </c>
      <c r="V3164" s="14">
        <v>31927017</v>
      </c>
      <c r="X3164" s="14" t="s">
        <v>5894</v>
      </c>
      <c r="Y3164" s="14" t="s">
        <v>215</v>
      </c>
      <c r="Z3164" s="14">
        <v>21927</v>
      </c>
      <c r="AA3164" s="14" t="s">
        <v>5895</v>
      </c>
      <c r="AB3164" s="14">
        <v>40001</v>
      </c>
      <c r="AE3164" s="14" t="s">
        <v>1400</v>
      </c>
      <c r="AF3164" s="14" t="s">
        <v>1400</v>
      </c>
      <c r="AG3164" s="14" t="s">
        <v>101</v>
      </c>
    </row>
    <row r="3165" spans="2:33">
      <c r="B3165" s="14">
        <f>10000000+INDEX(编号表!$B:$B,MATCH(H3165,编号表!$A:$A,0))*100000+INDEX(编号表!$F:$F,MATCH(D3165,编号表!$E:$E,0))*10000+INDEX(编号表!$D:$D,MATCH(AG3165,编号表!$C:$C,0))*1000+F3165</f>
        <v>11937018</v>
      </c>
      <c r="C3165" s="14" t="s">
        <v>5893</v>
      </c>
      <c r="D3165" s="14" t="s">
        <v>276</v>
      </c>
      <c r="E3165" s="14" t="s">
        <v>101</v>
      </c>
      <c r="F3165" s="14">
        <v>18</v>
      </c>
      <c r="G3165" s="14">
        <v>60</v>
      </c>
      <c r="H3165" s="14" t="s">
        <v>1400</v>
      </c>
      <c r="I3165" s="14" t="s">
        <v>75</v>
      </c>
      <c r="J3165" s="14" t="s">
        <v>201</v>
      </c>
      <c r="K3165" s="14">
        <v>1</v>
      </c>
      <c r="L3165" s="14" t="s">
        <v>1400</v>
      </c>
      <c r="N3165" s="14">
        <v>0</v>
      </c>
      <c r="O3165" s="14" t="b">
        <v>1</v>
      </c>
      <c r="Q3165" s="14" t="b">
        <v>0</v>
      </c>
      <c r="R3165" s="14">
        <v>1</v>
      </c>
      <c r="S3165" s="14" t="s">
        <v>77</v>
      </c>
      <c r="T3165" s="14">
        <v>999</v>
      </c>
      <c r="U3165" s="14" t="s">
        <v>1401</v>
      </c>
      <c r="V3165" s="14">
        <v>31937018</v>
      </c>
      <c r="X3165" s="14" t="s">
        <v>5896</v>
      </c>
      <c r="Y3165" s="14" t="s">
        <v>215</v>
      </c>
      <c r="Z3165" s="14">
        <v>21928</v>
      </c>
      <c r="AA3165" s="14" t="s">
        <v>5897</v>
      </c>
      <c r="AB3165" s="14">
        <v>40001</v>
      </c>
      <c r="AE3165" s="14" t="s">
        <v>1400</v>
      </c>
      <c r="AF3165" s="14" t="s">
        <v>1400</v>
      </c>
      <c r="AG3165" s="14" t="s">
        <v>101</v>
      </c>
    </row>
    <row r="3166" spans="2:33">
      <c r="B3166" s="14">
        <f>10000000+INDEX(编号表!$B:$B,MATCH(H3166,编号表!$A:$A,0))*100000+INDEX(编号表!$F:$F,MATCH(D3166,编号表!$E:$E,0))*10000+INDEX(编号表!$D:$D,MATCH(AG3166,编号表!$C:$C,0))*1000+F3166</f>
        <v>11947019</v>
      </c>
      <c r="C3166" s="14" t="s">
        <v>5893</v>
      </c>
      <c r="D3166" s="14" t="s">
        <v>104</v>
      </c>
      <c r="E3166" s="14" t="s">
        <v>101</v>
      </c>
      <c r="F3166" s="14">
        <v>19</v>
      </c>
      <c r="G3166" s="14">
        <v>60</v>
      </c>
      <c r="H3166" s="14" t="s">
        <v>1400</v>
      </c>
      <c r="I3166" s="14" t="s">
        <v>75</v>
      </c>
      <c r="J3166" s="14" t="s">
        <v>201</v>
      </c>
      <c r="K3166" s="14">
        <v>1</v>
      </c>
      <c r="L3166" s="14" t="s">
        <v>1400</v>
      </c>
      <c r="N3166" s="14">
        <v>0</v>
      </c>
      <c r="O3166" s="14" t="b">
        <v>1</v>
      </c>
      <c r="Q3166" s="14" t="b">
        <v>0</v>
      </c>
      <c r="R3166" s="14">
        <v>1</v>
      </c>
      <c r="S3166" s="14" t="s">
        <v>77</v>
      </c>
      <c r="T3166" s="14">
        <v>999</v>
      </c>
      <c r="U3166" s="14" t="s">
        <v>1401</v>
      </c>
      <c r="V3166" s="14">
        <v>31947019</v>
      </c>
      <c r="X3166" s="14" t="s">
        <v>5898</v>
      </c>
      <c r="Y3166" s="14" t="s">
        <v>215</v>
      </c>
      <c r="Z3166" s="14">
        <v>21929</v>
      </c>
      <c r="AA3166" s="14" t="s">
        <v>5899</v>
      </c>
      <c r="AB3166" s="14">
        <v>40001</v>
      </c>
      <c r="AE3166" s="14" t="s">
        <v>1400</v>
      </c>
      <c r="AF3166" s="14" t="s">
        <v>1400</v>
      </c>
      <c r="AG3166" s="14" t="s">
        <v>101</v>
      </c>
    </row>
    <row r="3167" spans="2:33">
      <c r="B3167" s="14">
        <f>10000000+INDEX(编号表!$B:$B,MATCH(H3167,编号表!$A:$A,0))*100000+INDEX(编号表!$F:$F,MATCH(D3167,编号表!$E:$E,0))*10000+INDEX(编号表!$D:$D,MATCH(AG3167,编号表!$C:$C,0))*1000+F3167</f>
        <v>11927018</v>
      </c>
      <c r="C3167" s="14" t="s">
        <v>5900</v>
      </c>
      <c r="D3167" s="14" t="s">
        <v>112</v>
      </c>
      <c r="E3167" s="14" t="s">
        <v>101</v>
      </c>
      <c r="F3167" s="14">
        <v>18</v>
      </c>
      <c r="G3167" s="14">
        <v>60</v>
      </c>
      <c r="H3167" s="14" t="s">
        <v>1400</v>
      </c>
      <c r="I3167" s="14" t="s">
        <v>75</v>
      </c>
      <c r="J3167" s="14" t="s">
        <v>201</v>
      </c>
      <c r="K3167" s="14">
        <v>1</v>
      </c>
      <c r="L3167" s="14" t="s">
        <v>1400</v>
      </c>
      <c r="N3167" s="14">
        <v>0</v>
      </c>
      <c r="O3167" s="14" t="b">
        <v>1</v>
      </c>
      <c r="Q3167" s="14" t="b">
        <v>0</v>
      </c>
      <c r="R3167" s="14">
        <v>1</v>
      </c>
      <c r="S3167" s="14" t="s">
        <v>77</v>
      </c>
      <c r="T3167" s="14">
        <v>999</v>
      </c>
      <c r="U3167" s="14" t="s">
        <v>1401</v>
      </c>
      <c r="V3167" s="14">
        <v>31927018</v>
      </c>
      <c r="X3167" s="14" t="s">
        <v>5901</v>
      </c>
      <c r="Y3167" s="14" t="s">
        <v>215</v>
      </c>
      <c r="Z3167" s="14">
        <v>21930</v>
      </c>
      <c r="AA3167" s="14" t="s">
        <v>5902</v>
      </c>
      <c r="AB3167" s="14">
        <v>40001</v>
      </c>
      <c r="AE3167" s="14" t="s">
        <v>1400</v>
      </c>
      <c r="AF3167" s="14" t="s">
        <v>1400</v>
      </c>
      <c r="AG3167" s="14" t="s">
        <v>101</v>
      </c>
    </row>
    <row r="3168" spans="2:33">
      <c r="B3168" s="14">
        <f>10000000+INDEX(编号表!$B:$B,MATCH(H3168,编号表!$A:$A,0))*100000+INDEX(编号表!$F:$F,MATCH(D3168,编号表!$E:$E,0))*10000+INDEX(编号表!$D:$D,MATCH(AG3168,编号表!$C:$C,0))*1000+F3168</f>
        <v>11937019</v>
      </c>
      <c r="C3168" s="14" t="s">
        <v>5900</v>
      </c>
      <c r="D3168" s="14" t="s">
        <v>276</v>
      </c>
      <c r="E3168" s="14" t="s">
        <v>101</v>
      </c>
      <c r="F3168" s="14">
        <v>19</v>
      </c>
      <c r="G3168" s="14">
        <v>60</v>
      </c>
      <c r="H3168" s="14" t="s">
        <v>1400</v>
      </c>
      <c r="I3168" s="14" t="s">
        <v>75</v>
      </c>
      <c r="J3168" s="14" t="s">
        <v>201</v>
      </c>
      <c r="K3168" s="14">
        <v>1</v>
      </c>
      <c r="L3168" s="14" t="s">
        <v>1400</v>
      </c>
      <c r="N3168" s="14">
        <v>0</v>
      </c>
      <c r="O3168" s="14" t="b">
        <v>1</v>
      </c>
      <c r="Q3168" s="14" t="b">
        <v>0</v>
      </c>
      <c r="R3168" s="14">
        <v>1</v>
      </c>
      <c r="S3168" s="14" t="s">
        <v>77</v>
      </c>
      <c r="T3168" s="14">
        <v>999</v>
      </c>
      <c r="U3168" s="14" t="s">
        <v>1401</v>
      </c>
      <c r="V3168" s="14">
        <v>31937019</v>
      </c>
      <c r="X3168" s="14" t="s">
        <v>5903</v>
      </c>
      <c r="Y3168" s="14" t="s">
        <v>215</v>
      </c>
      <c r="Z3168" s="14">
        <v>21931</v>
      </c>
      <c r="AA3168" s="14" t="s">
        <v>5904</v>
      </c>
      <c r="AB3168" s="14">
        <v>40001</v>
      </c>
      <c r="AE3168" s="14" t="s">
        <v>1400</v>
      </c>
      <c r="AF3168" s="14" t="s">
        <v>1400</v>
      </c>
      <c r="AG3168" s="14" t="s">
        <v>101</v>
      </c>
    </row>
    <row r="3169" spans="2:33">
      <c r="B3169" s="14">
        <f>10000000+INDEX(编号表!$B:$B,MATCH(H3169,编号表!$A:$A,0))*100000+INDEX(编号表!$F:$F,MATCH(D3169,编号表!$E:$E,0))*10000+INDEX(编号表!$D:$D,MATCH(AG3169,编号表!$C:$C,0))*1000+F3169</f>
        <v>11947020</v>
      </c>
      <c r="C3169" s="14" t="s">
        <v>5900</v>
      </c>
      <c r="D3169" s="14" t="s">
        <v>104</v>
      </c>
      <c r="E3169" s="14" t="s">
        <v>101</v>
      </c>
      <c r="F3169" s="14">
        <v>20</v>
      </c>
      <c r="G3169" s="14">
        <v>60</v>
      </c>
      <c r="H3169" s="14" t="s">
        <v>1400</v>
      </c>
      <c r="I3169" s="14" t="s">
        <v>75</v>
      </c>
      <c r="J3169" s="14" t="s">
        <v>201</v>
      </c>
      <c r="K3169" s="14">
        <v>1</v>
      </c>
      <c r="L3169" s="14" t="s">
        <v>1400</v>
      </c>
      <c r="N3169" s="14">
        <v>0</v>
      </c>
      <c r="O3169" s="14" t="b">
        <v>1</v>
      </c>
      <c r="Q3169" s="14" t="b">
        <v>0</v>
      </c>
      <c r="R3169" s="14">
        <v>1</v>
      </c>
      <c r="S3169" s="14" t="s">
        <v>77</v>
      </c>
      <c r="T3169" s="14">
        <v>999</v>
      </c>
      <c r="U3169" s="14" t="s">
        <v>1401</v>
      </c>
      <c r="V3169" s="14">
        <v>31947020</v>
      </c>
      <c r="X3169" s="14" t="s">
        <v>5905</v>
      </c>
      <c r="Y3169" s="14" t="s">
        <v>215</v>
      </c>
      <c r="Z3169" s="14">
        <v>21932</v>
      </c>
      <c r="AA3169" s="14" t="s">
        <v>5906</v>
      </c>
      <c r="AB3169" s="14">
        <v>40001</v>
      </c>
      <c r="AE3169" s="14" t="s">
        <v>1400</v>
      </c>
      <c r="AF3169" s="14" t="s">
        <v>1400</v>
      </c>
      <c r="AG3169" s="14" t="s">
        <v>101</v>
      </c>
    </row>
    <row r="3170" spans="2:33">
      <c r="B3170" s="14">
        <f>10000000+INDEX(编号表!$B:$B,MATCH(H3170,编号表!$A:$A,0))*100000+INDEX(编号表!$F:$F,MATCH(D3170,编号表!$E:$E,0))*10000+INDEX(编号表!$D:$D,MATCH(AG3170,编号表!$C:$C,0))*1000+F3170</f>
        <v>11927019</v>
      </c>
      <c r="C3170" s="14" t="s">
        <v>5907</v>
      </c>
      <c r="D3170" s="14" t="s">
        <v>112</v>
      </c>
      <c r="E3170" s="14" t="s">
        <v>101</v>
      </c>
      <c r="F3170" s="14">
        <v>19</v>
      </c>
      <c r="G3170" s="14">
        <v>60</v>
      </c>
      <c r="H3170" s="14" t="s">
        <v>1400</v>
      </c>
      <c r="I3170" s="14" t="s">
        <v>75</v>
      </c>
      <c r="J3170" s="14" t="s">
        <v>201</v>
      </c>
      <c r="K3170" s="14">
        <v>1</v>
      </c>
      <c r="L3170" s="14" t="s">
        <v>1400</v>
      </c>
      <c r="N3170" s="14">
        <v>0</v>
      </c>
      <c r="O3170" s="14" t="b">
        <v>1</v>
      </c>
      <c r="Q3170" s="14" t="b">
        <v>0</v>
      </c>
      <c r="R3170" s="14">
        <v>1</v>
      </c>
      <c r="S3170" s="14" t="s">
        <v>77</v>
      </c>
      <c r="T3170" s="14">
        <v>999</v>
      </c>
      <c r="U3170" s="14" t="s">
        <v>1401</v>
      </c>
      <c r="V3170" s="14">
        <v>31927019</v>
      </c>
      <c r="X3170" s="14" t="s">
        <v>5908</v>
      </c>
      <c r="Y3170" s="14" t="s">
        <v>215</v>
      </c>
      <c r="Z3170" s="14">
        <v>21933</v>
      </c>
      <c r="AA3170" s="14" t="s">
        <v>5909</v>
      </c>
      <c r="AB3170" s="14">
        <v>40001</v>
      </c>
      <c r="AE3170" s="14" t="s">
        <v>1400</v>
      </c>
      <c r="AF3170" s="14" t="s">
        <v>1400</v>
      </c>
      <c r="AG3170" s="14" t="s">
        <v>101</v>
      </c>
    </row>
    <row r="3171" spans="2:33">
      <c r="B3171" s="14">
        <f>10000000+INDEX(编号表!$B:$B,MATCH(H3171,编号表!$A:$A,0))*100000+INDEX(编号表!$F:$F,MATCH(D3171,编号表!$E:$E,0))*10000+INDEX(编号表!$D:$D,MATCH(AG3171,编号表!$C:$C,0))*1000+F3171</f>
        <v>11937020</v>
      </c>
      <c r="C3171" s="14" t="s">
        <v>5907</v>
      </c>
      <c r="D3171" s="14" t="s">
        <v>276</v>
      </c>
      <c r="E3171" s="14" t="s">
        <v>101</v>
      </c>
      <c r="F3171" s="14">
        <v>20</v>
      </c>
      <c r="G3171" s="14">
        <v>60</v>
      </c>
      <c r="H3171" s="14" t="s">
        <v>1400</v>
      </c>
      <c r="I3171" s="14" t="s">
        <v>75</v>
      </c>
      <c r="J3171" s="14" t="s">
        <v>201</v>
      </c>
      <c r="K3171" s="14">
        <v>1</v>
      </c>
      <c r="L3171" s="14" t="s">
        <v>1400</v>
      </c>
      <c r="N3171" s="14">
        <v>0</v>
      </c>
      <c r="O3171" s="14" t="b">
        <v>1</v>
      </c>
      <c r="Q3171" s="14" t="b">
        <v>0</v>
      </c>
      <c r="R3171" s="14">
        <v>1</v>
      </c>
      <c r="S3171" s="14" t="s">
        <v>77</v>
      </c>
      <c r="T3171" s="14">
        <v>999</v>
      </c>
      <c r="U3171" s="14" t="s">
        <v>1401</v>
      </c>
      <c r="V3171" s="14">
        <v>31937020</v>
      </c>
      <c r="X3171" s="14" t="s">
        <v>5910</v>
      </c>
      <c r="Y3171" s="14" t="s">
        <v>215</v>
      </c>
      <c r="Z3171" s="14">
        <v>21934</v>
      </c>
      <c r="AA3171" s="14" t="s">
        <v>5911</v>
      </c>
      <c r="AB3171" s="14">
        <v>40001</v>
      </c>
      <c r="AE3171" s="14" t="s">
        <v>1400</v>
      </c>
      <c r="AF3171" s="14" t="s">
        <v>1400</v>
      </c>
      <c r="AG3171" s="14" t="s">
        <v>101</v>
      </c>
    </row>
    <row r="3172" spans="2:33">
      <c r="B3172" s="14">
        <f>10000000+INDEX(编号表!$B:$B,MATCH(H3172,编号表!$A:$A,0))*100000+INDEX(编号表!$F:$F,MATCH(D3172,编号表!$E:$E,0))*10000+INDEX(编号表!$D:$D,MATCH(AG3172,编号表!$C:$C,0))*1000+F3172</f>
        <v>11947021</v>
      </c>
      <c r="C3172" s="14" t="s">
        <v>5907</v>
      </c>
      <c r="D3172" s="14" t="s">
        <v>104</v>
      </c>
      <c r="E3172" s="14" t="s">
        <v>101</v>
      </c>
      <c r="F3172" s="14">
        <v>21</v>
      </c>
      <c r="G3172" s="14">
        <v>60</v>
      </c>
      <c r="H3172" s="14" t="s">
        <v>1400</v>
      </c>
      <c r="I3172" s="14" t="s">
        <v>75</v>
      </c>
      <c r="J3172" s="14" t="s">
        <v>201</v>
      </c>
      <c r="K3172" s="14">
        <v>1</v>
      </c>
      <c r="L3172" s="14" t="s">
        <v>1400</v>
      </c>
      <c r="N3172" s="14">
        <v>0</v>
      </c>
      <c r="O3172" s="14" t="b">
        <v>1</v>
      </c>
      <c r="Q3172" s="14" t="b">
        <v>0</v>
      </c>
      <c r="R3172" s="14">
        <v>1</v>
      </c>
      <c r="S3172" s="14" t="s">
        <v>77</v>
      </c>
      <c r="T3172" s="14">
        <v>999</v>
      </c>
      <c r="U3172" s="14" t="s">
        <v>1401</v>
      </c>
      <c r="V3172" s="14">
        <v>31947021</v>
      </c>
      <c r="X3172" s="14" t="s">
        <v>5912</v>
      </c>
      <c r="Y3172" s="14" t="s">
        <v>215</v>
      </c>
      <c r="Z3172" s="14">
        <v>21935</v>
      </c>
      <c r="AA3172" s="14" t="s">
        <v>5913</v>
      </c>
      <c r="AB3172" s="14">
        <v>40001</v>
      </c>
      <c r="AE3172" s="14" t="s">
        <v>1400</v>
      </c>
      <c r="AF3172" s="14" t="s">
        <v>1400</v>
      </c>
      <c r="AG3172" s="14" t="s">
        <v>101</v>
      </c>
    </row>
    <row r="3173" spans="2:33">
      <c r="B3173" s="14">
        <f>10000000+INDEX(编号表!$B:$B,MATCH(H3173,编号表!$A:$A,0))*100000+INDEX(编号表!$F:$F,MATCH(D3173,编号表!$E:$E,0))*10000+INDEX(编号表!$D:$D,MATCH(AG3173,编号表!$C:$C,0))*1000+F3173</f>
        <v>11927020</v>
      </c>
      <c r="C3173" s="14" t="s">
        <v>5914</v>
      </c>
      <c r="D3173" s="14" t="s">
        <v>112</v>
      </c>
      <c r="E3173" s="14" t="s">
        <v>101</v>
      </c>
      <c r="F3173" s="14">
        <v>20</v>
      </c>
      <c r="G3173" s="14">
        <v>60</v>
      </c>
      <c r="H3173" s="14" t="s">
        <v>1400</v>
      </c>
      <c r="I3173" s="14" t="s">
        <v>75</v>
      </c>
      <c r="J3173" s="14" t="s">
        <v>201</v>
      </c>
      <c r="K3173" s="14">
        <v>1</v>
      </c>
      <c r="L3173" s="14" t="s">
        <v>1400</v>
      </c>
      <c r="N3173" s="14">
        <v>0</v>
      </c>
      <c r="O3173" s="14" t="b">
        <v>1</v>
      </c>
      <c r="Q3173" s="14" t="b">
        <v>0</v>
      </c>
      <c r="R3173" s="14">
        <v>1</v>
      </c>
      <c r="S3173" s="14" t="s">
        <v>77</v>
      </c>
      <c r="T3173" s="14">
        <v>999</v>
      </c>
      <c r="U3173" s="14" t="s">
        <v>1401</v>
      </c>
      <c r="V3173" s="14">
        <v>31927020</v>
      </c>
      <c r="X3173" s="14" t="s">
        <v>5915</v>
      </c>
      <c r="Y3173" s="14" t="s">
        <v>215</v>
      </c>
      <c r="Z3173" s="14">
        <v>21936</v>
      </c>
      <c r="AA3173" s="14" t="s">
        <v>5916</v>
      </c>
      <c r="AB3173" s="14">
        <v>40001</v>
      </c>
      <c r="AE3173" s="14" t="s">
        <v>1400</v>
      </c>
      <c r="AF3173" s="14" t="s">
        <v>1400</v>
      </c>
      <c r="AG3173" s="14" t="s">
        <v>101</v>
      </c>
    </row>
    <row r="3174" spans="2:33">
      <c r="B3174" s="14">
        <f>10000000+INDEX(编号表!$B:$B,MATCH(H3174,编号表!$A:$A,0))*100000+INDEX(编号表!$F:$F,MATCH(D3174,编号表!$E:$E,0))*10000+INDEX(编号表!$D:$D,MATCH(AG3174,编号表!$C:$C,0))*1000+F3174</f>
        <v>11937021</v>
      </c>
      <c r="C3174" s="14" t="s">
        <v>5914</v>
      </c>
      <c r="D3174" s="14" t="s">
        <v>276</v>
      </c>
      <c r="E3174" s="14" t="s">
        <v>101</v>
      </c>
      <c r="F3174" s="14">
        <v>21</v>
      </c>
      <c r="G3174" s="14">
        <v>60</v>
      </c>
      <c r="H3174" s="14" t="s">
        <v>1400</v>
      </c>
      <c r="I3174" s="14" t="s">
        <v>75</v>
      </c>
      <c r="J3174" s="14" t="s">
        <v>201</v>
      </c>
      <c r="K3174" s="14">
        <v>1</v>
      </c>
      <c r="L3174" s="14" t="s">
        <v>1400</v>
      </c>
      <c r="N3174" s="14">
        <v>0</v>
      </c>
      <c r="O3174" s="14" t="b">
        <v>1</v>
      </c>
      <c r="Q3174" s="14" t="b">
        <v>0</v>
      </c>
      <c r="R3174" s="14">
        <v>1</v>
      </c>
      <c r="S3174" s="14" t="s">
        <v>77</v>
      </c>
      <c r="T3174" s="14">
        <v>999</v>
      </c>
      <c r="U3174" s="14" t="s">
        <v>1401</v>
      </c>
      <c r="V3174" s="14">
        <v>31937021</v>
      </c>
      <c r="X3174" s="14" t="s">
        <v>5917</v>
      </c>
      <c r="Y3174" s="14" t="s">
        <v>215</v>
      </c>
      <c r="Z3174" s="14">
        <v>21937</v>
      </c>
      <c r="AA3174" s="14" t="s">
        <v>5918</v>
      </c>
      <c r="AB3174" s="14">
        <v>40001</v>
      </c>
      <c r="AE3174" s="14" t="s">
        <v>1400</v>
      </c>
      <c r="AF3174" s="14" t="s">
        <v>1400</v>
      </c>
      <c r="AG3174" s="14" t="s">
        <v>101</v>
      </c>
    </row>
    <row r="3175" spans="2:33">
      <c r="B3175" s="14">
        <f>10000000+INDEX(编号表!$B:$B,MATCH(H3175,编号表!$A:$A,0))*100000+INDEX(编号表!$F:$F,MATCH(D3175,编号表!$E:$E,0))*10000+INDEX(编号表!$D:$D,MATCH(AG3175,编号表!$C:$C,0))*1000+F3175</f>
        <v>11947022</v>
      </c>
      <c r="C3175" s="14" t="s">
        <v>5914</v>
      </c>
      <c r="D3175" s="14" t="s">
        <v>104</v>
      </c>
      <c r="E3175" s="14" t="s">
        <v>101</v>
      </c>
      <c r="F3175" s="14">
        <v>22</v>
      </c>
      <c r="G3175" s="14">
        <v>60</v>
      </c>
      <c r="H3175" s="14" t="s">
        <v>1400</v>
      </c>
      <c r="I3175" s="14" t="s">
        <v>75</v>
      </c>
      <c r="J3175" s="14" t="s">
        <v>201</v>
      </c>
      <c r="K3175" s="14">
        <v>1</v>
      </c>
      <c r="L3175" s="14" t="s">
        <v>1400</v>
      </c>
      <c r="N3175" s="14">
        <v>0</v>
      </c>
      <c r="O3175" s="14" t="b">
        <v>1</v>
      </c>
      <c r="Q3175" s="14" t="b">
        <v>0</v>
      </c>
      <c r="R3175" s="14">
        <v>1</v>
      </c>
      <c r="S3175" s="14" t="s">
        <v>77</v>
      </c>
      <c r="T3175" s="14">
        <v>999</v>
      </c>
      <c r="U3175" s="14" t="s">
        <v>1401</v>
      </c>
      <c r="V3175" s="14">
        <v>31947022</v>
      </c>
      <c r="X3175" s="14" t="s">
        <v>5919</v>
      </c>
      <c r="Y3175" s="14" t="s">
        <v>215</v>
      </c>
      <c r="Z3175" s="14">
        <v>21938</v>
      </c>
      <c r="AA3175" s="14" t="s">
        <v>5920</v>
      </c>
      <c r="AB3175" s="14">
        <v>40001</v>
      </c>
      <c r="AE3175" s="14" t="s">
        <v>1400</v>
      </c>
      <c r="AF3175" s="14" t="s">
        <v>1400</v>
      </c>
      <c r="AG3175" s="14" t="s">
        <v>101</v>
      </c>
    </row>
    <row r="3176" spans="2:33">
      <c r="B3176" s="14">
        <f>10000000+INDEX(编号表!$B:$B,MATCH(H3176,编号表!$A:$A,0))*100000+INDEX(编号表!$F:$F,MATCH(D3176,编号表!$E:$E,0))*10000+INDEX(编号表!$D:$D,MATCH(AG3176,编号表!$C:$C,0))*1000+F3176</f>
        <v>11927021</v>
      </c>
      <c r="C3176" s="14" t="s">
        <v>5921</v>
      </c>
      <c r="D3176" s="14" t="s">
        <v>112</v>
      </c>
      <c r="E3176" s="14" t="s">
        <v>101</v>
      </c>
      <c r="F3176" s="14">
        <v>21</v>
      </c>
      <c r="G3176" s="14">
        <v>60</v>
      </c>
      <c r="H3176" s="14" t="s">
        <v>1400</v>
      </c>
      <c r="I3176" s="14" t="s">
        <v>75</v>
      </c>
      <c r="J3176" s="14" t="s">
        <v>201</v>
      </c>
      <c r="K3176" s="14">
        <v>1</v>
      </c>
      <c r="L3176" s="14" t="s">
        <v>1400</v>
      </c>
      <c r="N3176" s="14">
        <v>0</v>
      </c>
      <c r="O3176" s="14" t="b">
        <v>1</v>
      </c>
      <c r="Q3176" s="14" t="b">
        <v>0</v>
      </c>
      <c r="R3176" s="14">
        <v>1</v>
      </c>
      <c r="S3176" s="14" t="s">
        <v>77</v>
      </c>
      <c r="T3176" s="14">
        <v>999</v>
      </c>
      <c r="U3176" s="14" t="s">
        <v>1401</v>
      </c>
      <c r="V3176" s="14">
        <v>31927021</v>
      </c>
      <c r="X3176" s="14" t="s">
        <v>5922</v>
      </c>
      <c r="Y3176" s="14" t="s">
        <v>215</v>
      </c>
      <c r="Z3176" s="14">
        <v>21939</v>
      </c>
      <c r="AA3176" s="14" t="s">
        <v>5923</v>
      </c>
      <c r="AB3176" s="14">
        <v>40001</v>
      </c>
      <c r="AE3176" s="14" t="s">
        <v>1400</v>
      </c>
      <c r="AF3176" s="14" t="s">
        <v>1400</v>
      </c>
      <c r="AG3176" s="14" t="s">
        <v>101</v>
      </c>
    </row>
    <row r="3177" spans="2:33">
      <c r="B3177" s="14">
        <f>10000000+INDEX(编号表!$B:$B,MATCH(H3177,编号表!$A:$A,0))*100000+INDEX(编号表!$F:$F,MATCH(D3177,编号表!$E:$E,0))*10000+INDEX(编号表!$D:$D,MATCH(AG3177,编号表!$C:$C,0))*1000+F3177</f>
        <v>11937022</v>
      </c>
      <c r="C3177" s="14" t="s">
        <v>5921</v>
      </c>
      <c r="D3177" s="14" t="s">
        <v>276</v>
      </c>
      <c r="E3177" s="14" t="s">
        <v>101</v>
      </c>
      <c r="F3177" s="14">
        <v>22</v>
      </c>
      <c r="G3177" s="14">
        <v>60</v>
      </c>
      <c r="H3177" s="14" t="s">
        <v>1400</v>
      </c>
      <c r="I3177" s="14" t="s">
        <v>75</v>
      </c>
      <c r="J3177" s="14" t="s">
        <v>201</v>
      </c>
      <c r="K3177" s="14">
        <v>1</v>
      </c>
      <c r="L3177" s="14" t="s">
        <v>1400</v>
      </c>
      <c r="N3177" s="14">
        <v>0</v>
      </c>
      <c r="O3177" s="14" t="b">
        <v>1</v>
      </c>
      <c r="Q3177" s="14" t="b">
        <v>0</v>
      </c>
      <c r="R3177" s="14">
        <v>1</v>
      </c>
      <c r="S3177" s="14" t="s">
        <v>77</v>
      </c>
      <c r="T3177" s="14">
        <v>999</v>
      </c>
      <c r="U3177" s="14" t="s">
        <v>1401</v>
      </c>
      <c r="V3177" s="14">
        <v>31937022</v>
      </c>
      <c r="X3177" s="14" t="s">
        <v>5924</v>
      </c>
      <c r="Y3177" s="14" t="s">
        <v>215</v>
      </c>
      <c r="Z3177" s="14">
        <v>21940</v>
      </c>
      <c r="AA3177" s="14" t="s">
        <v>5925</v>
      </c>
      <c r="AB3177" s="14">
        <v>40001</v>
      </c>
      <c r="AE3177" s="14" t="s">
        <v>1400</v>
      </c>
      <c r="AF3177" s="14" t="s">
        <v>1400</v>
      </c>
      <c r="AG3177" s="14" t="s">
        <v>101</v>
      </c>
    </row>
    <row r="3178" spans="2:33">
      <c r="B3178" s="14">
        <f>10000000+INDEX(编号表!$B:$B,MATCH(H3178,编号表!$A:$A,0))*100000+INDEX(编号表!$F:$F,MATCH(D3178,编号表!$E:$E,0))*10000+INDEX(编号表!$D:$D,MATCH(AG3178,编号表!$C:$C,0))*1000+F3178</f>
        <v>11947023</v>
      </c>
      <c r="C3178" s="14" t="s">
        <v>5921</v>
      </c>
      <c r="D3178" s="14" t="s">
        <v>104</v>
      </c>
      <c r="E3178" s="14" t="s">
        <v>101</v>
      </c>
      <c r="F3178" s="14">
        <v>23</v>
      </c>
      <c r="G3178" s="14">
        <v>60</v>
      </c>
      <c r="H3178" s="14" t="s">
        <v>1400</v>
      </c>
      <c r="I3178" s="14" t="s">
        <v>75</v>
      </c>
      <c r="J3178" s="14" t="s">
        <v>201</v>
      </c>
      <c r="K3178" s="14">
        <v>1</v>
      </c>
      <c r="L3178" s="14" t="s">
        <v>1400</v>
      </c>
      <c r="N3178" s="14">
        <v>0</v>
      </c>
      <c r="O3178" s="14" t="b">
        <v>1</v>
      </c>
      <c r="Q3178" s="14" t="b">
        <v>0</v>
      </c>
      <c r="R3178" s="14">
        <v>1</v>
      </c>
      <c r="S3178" s="14" t="s">
        <v>77</v>
      </c>
      <c r="T3178" s="14">
        <v>999</v>
      </c>
      <c r="U3178" s="14" t="s">
        <v>1401</v>
      </c>
      <c r="V3178" s="14">
        <v>31947023</v>
      </c>
      <c r="X3178" s="14" t="s">
        <v>5926</v>
      </c>
      <c r="Y3178" s="14" t="s">
        <v>215</v>
      </c>
      <c r="Z3178" s="14">
        <v>21941</v>
      </c>
      <c r="AA3178" s="14" t="s">
        <v>5927</v>
      </c>
      <c r="AB3178" s="14">
        <v>40001</v>
      </c>
      <c r="AE3178" s="14" t="s">
        <v>1400</v>
      </c>
      <c r="AF3178" s="14" t="s">
        <v>1400</v>
      </c>
      <c r="AG3178" s="14" t="s">
        <v>101</v>
      </c>
    </row>
    <row r="3179" spans="2:33">
      <c r="B3179" s="14">
        <f>10000000+INDEX(编号表!$B:$B,MATCH(H3179,编号表!$A:$A,0))*100000+INDEX(编号表!$F:$F,MATCH(D3179,编号表!$E:$E,0))*10000+INDEX(编号表!$D:$D,MATCH(AG3179,编号表!$C:$C,0))*1000+F3179</f>
        <v>11927022</v>
      </c>
      <c r="C3179" s="14" t="s">
        <v>5928</v>
      </c>
      <c r="D3179" s="14" t="s">
        <v>112</v>
      </c>
      <c r="E3179" s="14" t="s">
        <v>101</v>
      </c>
      <c r="F3179" s="14">
        <v>22</v>
      </c>
      <c r="G3179" s="14">
        <v>60</v>
      </c>
      <c r="H3179" s="14" t="s">
        <v>1400</v>
      </c>
      <c r="I3179" s="14" t="s">
        <v>75</v>
      </c>
      <c r="J3179" s="14" t="s">
        <v>201</v>
      </c>
      <c r="K3179" s="14">
        <v>1</v>
      </c>
      <c r="L3179" s="14" t="s">
        <v>1400</v>
      </c>
      <c r="N3179" s="14">
        <v>0</v>
      </c>
      <c r="O3179" s="14" t="b">
        <v>1</v>
      </c>
      <c r="Q3179" s="14" t="b">
        <v>0</v>
      </c>
      <c r="R3179" s="14">
        <v>1</v>
      </c>
      <c r="S3179" s="14" t="s">
        <v>77</v>
      </c>
      <c r="T3179" s="14">
        <v>999</v>
      </c>
      <c r="U3179" s="14" t="s">
        <v>1401</v>
      </c>
      <c r="V3179" s="14">
        <v>31927022</v>
      </c>
      <c r="X3179" s="14" t="s">
        <v>5929</v>
      </c>
      <c r="Y3179" s="14" t="s">
        <v>215</v>
      </c>
      <c r="Z3179" s="14">
        <v>21942</v>
      </c>
      <c r="AA3179" s="14" t="s">
        <v>5930</v>
      </c>
      <c r="AB3179" s="14">
        <v>40001</v>
      </c>
      <c r="AE3179" s="14" t="s">
        <v>1400</v>
      </c>
      <c r="AF3179" s="14" t="s">
        <v>1400</v>
      </c>
      <c r="AG3179" s="14" t="s">
        <v>101</v>
      </c>
    </row>
    <row r="3180" spans="2:33">
      <c r="B3180" s="14">
        <f>10000000+INDEX(编号表!$B:$B,MATCH(H3180,编号表!$A:$A,0))*100000+INDEX(编号表!$F:$F,MATCH(D3180,编号表!$E:$E,0))*10000+INDEX(编号表!$D:$D,MATCH(AG3180,编号表!$C:$C,0))*1000+F3180</f>
        <v>11937023</v>
      </c>
      <c r="C3180" s="14" t="s">
        <v>5928</v>
      </c>
      <c r="D3180" s="14" t="s">
        <v>276</v>
      </c>
      <c r="E3180" s="14" t="s">
        <v>101</v>
      </c>
      <c r="F3180" s="14">
        <v>23</v>
      </c>
      <c r="G3180" s="14">
        <v>60</v>
      </c>
      <c r="H3180" s="14" t="s">
        <v>1400</v>
      </c>
      <c r="I3180" s="14" t="s">
        <v>75</v>
      </c>
      <c r="J3180" s="14" t="s">
        <v>201</v>
      </c>
      <c r="K3180" s="14">
        <v>1</v>
      </c>
      <c r="L3180" s="14" t="s">
        <v>1400</v>
      </c>
      <c r="N3180" s="14">
        <v>0</v>
      </c>
      <c r="O3180" s="14" t="b">
        <v>1</v>
      </c>
      <c r="Q3180" s="14" t="b">
        <v>0</v>
      </c>
      <c r="R3180" s="14">
        <v>1</v>
      </c>
      <c r="S3180" s="14" t="s">
        <v>77</v>
      </c>
      <c r="T3180" s="14">
        <v>999</v>
      </c>
      <c r="U3180" s="14" t="s">
        <v>1401</v>
      </c>
      <c r="V3180" s="14">
        <v>31937023</v>
      </c>
      <c r="X3180" s="14" t="s">
        <v>5931</v>
      </c>
      <c r="Y3180" s="14" t="s">
        <v>215</v>
      </c>
      <c r="Z3180" s="14">
        <v>21943</v>
      </c>
      <c r="AA3180" s="14" t="s">
        <v>5932</v>
      </c>
      <c r="AB3180" s="14">
        <v>40001</v>
      </c>
      <c r="AE3180" s="14" t="s">
        <v>1400</v>
      </c>
      <c r="AF3180" s="14" t="s">
        <v>1400</v>
      </c>
      <c r="AG3180" s="14" t="s">
        <v>101</v>
      </c>
    </row>
    <row r="3181" spans="2:33">
      <c r="B3181" s="14">
        <f>10000000+INDEX(编号表!$B:$B,MATCH(H3181,编号表!$A:$A,0))*100000+INDEX(编号表!$F:$F,MATCH(D3181,编号表!$E:$E,0))*10000+INDEX(编号表!$D:$D,MATCH(AG3181,编号表!$C:$C,0))*1000+F3181</f>
        <v>11947024</v>
      </c>
      <c r="C3181" s="14" t="s">
        <v>5928</v>
      </c>
      <c r="D3181" s="14" t="s">
        <v>104</v>
      </c>
      <c r="E3181" s="14" t="s">
        <v>101</v>
      </c>
      <c r="F3181" s="14">
        <v>24</v>
      </c>
      <c r="G3181" s="14">
        <v>60</v>
      </c>
      <c r="H3181" s="14" t="s">
        <v>1400</v>
      </c>
      <c r="I3181" s="14" t="s">
        <v>75</v>
      </c>
      <c r="J3181" s="14" t="s">
        <v>201</v>
      </c>
      <c r="K3181" s="14">
        <v>1</v>
      </c>
      <c r="L3181" s="14" t="s">
        <v>1400</v>
      </c>
      <c r="N3181" s="14">
        <v>0</v>
      </c>
      <c r="O3181" s="14" t="b">
        <v>1</v>
      </c>
      <c r="Q3181" s="14" t="b">
        <v>0</v>
      </c>
      <c r="R3181" s="14">
        <v>1</v>
      </c>
      <c r="S3181" s="14" t="s">
        <v>77</v>
      </c>
      <c r="T3181" s="14">
        <v>999</v>
      </c>
      <c r="U3181" s="14" t="s">
        <v>1401</v>
      </c>
      <c r="V3181" s="14">
        <v>31947024</v>
      </c>
      <c r="X3181" s="14" t="s">
        <v>5933</v>
      </c>
      <c r="Y3181" s="14" t="s">
        <v>215</v>
      </c>
      <c r="Z3181" s="14">
        <v>21944</v>
      </c>
      <c r="AA3181" s="14" t="s">
        <v>5934</v>
      </c>
      <c r="AB3181" s="14">
        <v>40001</v>
      </c>
      <c r="AE3181" s="14" t="s">
        <v>1400</v>
      </c>
      <c r="AF3181" s="14" t="s">
        <v>1400</v>
      </c>
      <c r="AG3181" s="14" t="s">
        <v>101</v>
      </c>
    </row>
    <row r="3182" spans="2:33">
      <c r="B3182" s="14">
        <f>10000000+INDEX(编号表!$B:$B,MATCH(H3182,编号表!$A:$A,0))*100000+INDEX(编号表!$F:$F,MATCH(D3182,编号表!$E:$E,0))*10000+INDEX(编号表!$D:$D,MATCH(AG3182,编号表!$C:$C,0))*1000+F3182</f>
        <v>11927023</v>
      </c>
      <c r="C3182" s="14" t="s">
        <v>5935</v>
      </c>
      <c r="D3182" s="14" t="s">
        <v>112</v>
      </c>
      <c r="E3182" s="14" t="s">
        <v>101</v>
      </c>
      <c r="F3182" s="14">
        <v>23</v>
      </c>
      <c r="G3182" s="14">
        <v>60</v>
      </c>
      <c r="H3182" s="14" t="s">
        <v>1400</v>
      </c>
      <c r="I3182" s="14" t="s">
        <v>75</v>
      </c>
      <c r="J3182" s="14" t="s">
        <v>201</v>
      </c>
      <c r="K3182" s="14">
        <v>1</v>
      </c>
      <c r="L3182" s="14" t="s">
        <v>1400</v>
      </c>
      <c r="N3182" s="14">
        <v>0</v>
      </c>
      <c r="O3182" s="14" t="b">
        <v>1</v>
      </c>
      <c r="Q3182" s="14" t="b">
        <v>0</v>
      </c>
      <c r="R3182" s="14">
        <v>1</v>
      </c>
      <c r="S3182" s="14" t="s">
        <v>77</v>
      </c>
      <c r="T3182" s="14">
        <v>999</v>
      </c>
      <c r="U3182" s="14" t="s">
        <v>1401</v>
      </c>
      <c r="V3182" s="14">
        <v>31927023</v>
      </c>
      <c r="X3182" s="14" t="s">
        <v>5936</v>
      </c>
      <c r="Y3182" s="14" t="s">
        <v>215</v>
      </c>
      <c r="Z3182" s="14">
        <v>21945</v>
      </c>
      <c r="AA3182" s="14" t="s">
        <v>5937</v>
      </c>
      <c r="AB3182" s="14">
        <v>40001</v>
      </c>
      <c r="AE3182" s="14" t="s">
        <v>1400</v>
      </c>
      <c r="AF3182" s="14" t="s">
        <v>1400</v>
      </c>
      <c r="AG3182" s="14" t="s">
        <v>101</v>
      </c>
    </row>
    <row r="3183" spans="2:33">
      <c r="B3183" s="14">
        <f>10000000+INDEX(编号表!$B:$B,MATCH(H3183,编号表!$A:$A,0))*100000+INDEX(编号表!$F:$F,MATCH(D3183,编号表!$E:$E,0))*10000+INDEX(编号表!$D:$D,MATCH(AG3183,编号表!$C:$C,0))*1000+F3183</f>
        <v>11937024</v>
      </c>
      <c r="C3183" s="14" t="s">
        <v>5935</v>
      </c>
      <c r="D3183" s="14" t="s">
        <v>276</v>
      </c>
      <c r="E3183" s="14" t="s">
        <v>101</v>
      </c>
      <c r="F3183" s="14">
        <v>24</v>
      </c>
      <c r="G3183" s="14">
        <v>60</v>
      </c>
      <c r="H3183" s="14" t="s">
        <v>1400</v>
      </c>
      <c r="I3183" s="14" t="s">
        <v>75</v>
      </c>
      <c r="J3183" s="14" t="s">
        <v>201</v>
      </c>
      <c r="K3183" s="14">
        <v>1</v>
      </c>
      <c r="L3183" s="14" t="s">
        <v>1400</v>
      </c>
      <c r="N3183" s="14">
        <v>0</v>
      </c>
      <c r="O3183" s="14" t="b">
        <v>1</v>
      </c>
      <c r="Q3183" s="14" t="b">
        <v>0</v>
      </c>
      <c r="R3183" s="14">
        <v>1</v>
      </c>
      <c r="S3183" s="14" t="s">
        <v>77</v>
      </c>
      <c r="T3183" s="14">
        <v>999</v>
      </c>
      <c r="U3183" s="14" t="s">
        <v>1401</v>
      </c>
      <c r="V3183" s="14">
        <v>31937024</v>
      </c>
      <c r="X3183" s="14" t="s">
        <v>5938</v>
      </c>
      <c r="Y3183" s="14" t="s">
        <v>215</v>
      </c>
      <c r="Z3183" s="14">
        <v>21946</v>
      </c>
      <c r="AA3183" s="14" t="s">
        <v>5939</v>
      </c>
      <c r="AB3183" s="14">
        <v>40001</v>
      </c>
      <c r="AE3183" s="14" t="s">
        <v>1400</v>
      </c>
      <c r="AF3183" s="14" t="s">
        <v>1400</v>
      </c>
      <c r="AG3183" s="14" t="s">
        <v>101</v>
      </c>
    </row>
    <row r="3184" spans="2:33">
      <c r="B3184" s="14">
        <f>10000000+INDEX(编号表!$B:$B,MATCH(H3184,编号表!$A:$A,0))*100000+INDEX(编号表!$F:$F,MATCH(D3184,编号表!$E:$E,0))*10000+INDEX(编号表!$D:$D,MATCH(AG3184,编号表!$C:$C,0))*1000+F3184</f>
        <v>11947025</v>
      </c>
      <c r="C3184" s="14" t="s">
        <v>5935</v>
      </c>
      <c r="D3184" s="14" t="s">
        <v>104</v>
      </c>
      <c r="E3184" s="14" t="s">
        <v>101</v>
      </c>
      <c r="F3184" s="14">
        <v>25</v>
      </c>
      <c r="G3184" s="14">
        <v>60</v>
      </c>
      <c r="H3184" s="14" t="s">
        <v>1400</v>
      </c>
      <c r="I3184" s="14" t="s">
        <v>75</v>
      </c>
      <c r="J3184" s="14" t="s">
        <v>201</v>
      </c>
      <c r="K3184" s="14">
        <v>1</v>
      </c>
      <c r="L3184" s="14" t="s">
        <v>1400</v>
      </c>
      <c r="N3184" s="14">
        <v>0</v>
      </c>
      <c r="O3184" s="14" t="b">
        <v>1</v>
      </c>
      <c r="Q3184" s="14" t="b">
        <v>0</v>
      </c>
      <c r="R3184" s="14">
        <v>1</v>
      </c>
      <c r="S3184" s="14" t="s">
        <v>77</v>
      </c>
      <c r="T3184" s="14">
        <v>999</v>
      </c>
      <c r="U3184" s="14" t="s">
        <v>1401</v>
      </c>
      <c r="V3184" s="14">
        <v>31947025</v>
      </c>
      <c r="X3184" s="14" t="s">
        <v>5940</v>
      </c>
      <c r="Y3184" s="14" t="s">
        <v>215</v>
      </c>
      <c r="Z3184" s="14">
        <v>21947</v>
      </c>
      <c r="AA3184" s="14" t="s">
        <v>5941</v>
      </c>
      <c r="AB3184" s="14">
        <v>40001</v>
      </c>
      <c r="AE3184" s="14" t="s">
        <v>1400</v>
      </c>
      <c r="AF3184" s="14" t="s">
        <v>1400</v>
      </c>
      <c r="AG3184" s="14" t="s">
        <v>101</v>
      </c>
    </row>
    <row r="3185" spans="2:33">
      <c r="B3185" s="14">
        <f>10000000+INDEX(编号表!$B:$B,MATCH(H3185,编号表!$A:$A,0))*100000+INDEX(编号表!$F:$F,MATCH(D3185,编号表!$E:$E,0))*10000+INDEX(编号表!$D:$D,MATCH(AG3185,编号表!$C:$C,0))*1000+F3185</f>
        <v>11927024</v>
      </c>
      <c r="C3185" s="14" t="s">
        <v>5942</v>
      </c>
      <c r="D3185" s="14" t="s">
        <v>112</v>
      </c>
      <c r="E3185" s="14" t="s">
        <v>101</v>
      </c>
      <c r="F3185" s="14">
        <v>24</v>
      </c>
      <c r="G3185" s="14">
        <v>60</v>
      </c>
      <c r="H3185" s="14" t="s">
        <v>1400</v>
      </c>
      <c r="I3185" s="14" t="s">
        <v>75</v>
      </c>
      <c r="J3185" s="14" t="s">
        <v>201</v>
      </c>
      <c r="K3185" s="14">
        <v>1</v>
      </c>
      <c r="L3185" s="14" t="s">
        <v>1400</v>
      </c>
      <c r="N3185" s="14">
        <v>0</v>
      </c>
      <c r="O3185" s="14" t="b">
        <v>1</v>
      </c>
      <c r="Q3185" s="14" t="b">
        <v>0</v>
      </c>
      <c r="R3185" s="14">
        <v>1</v>
      </c>
      <c r="S3185" s="14" t="s">
        <v>77</v>
      </c>
      <c r="T3185" s="14">
        <v>999</v>
      </c>
      <c r="U3185" s="14" t="s">
        <v>1401</v>
      </c>
      <c r="V3185" s="14">
        <v>31927024</v>
      </c>
      <c r="X3185" s="14" t="s">
        <v>5943</v>
      </c>
      <c r="Y3185" s="14" t="s">
        <v>215</v>
      </c>
      <c r="Z3185" s="14">
        <v>21948</v>
      </c>
      <c r="AA3185" s="14" t="s">
        <v>5944</v>
      </c>
      <c r="AB3185" s="14">
        <v>40001</v>
      </c>
      <c r="AE3185" s="14" t="s">
        <v>1400</v>
      </c>
      <c r="AF3185" s="14" t="s">
        <v>1400</v>
      </c>
      <c r="AG3185" s="14" t="s">
        <v>101</v>
      </c>
    </row>
    <row r="3186" spans="2:33">
      <c r="B3186" s="14">
        <f>10000000+INDEX(编号表!$B:$B,MATCH(H3186,编号表!$A:$A,0))*100000+INDEX(编号表!$F:$F,MATCH(D3186,编号表!$E:$E,0))*10000+INDEX(编号表!$D:$D,MATCH(AG3186,编号表!$C:$C,0))*1000+F3186</f>
        <v>11937025</v>
      </c>
      <c r="C3186" s="14" t="s">
        <v>5942</v>
      </c>
      <c r="D3186" s="14" t="s">
        <v>276</v>
      </c>
      <c r="E3186" s="14" t="s">
        <v>101</v>
      </c>
      <c r="F3186" s="14">
        <v>25</v>
      </c>
      <c r="G3186" s="14">
        <v>60</v>
      </c>
      <c r="H3186" s="14" t="s">
        <v>1400</v>
      </c>
      <c r="I3186" s="14" t="s">
        <v>75</v>
      </c>
      <c r="J3186" s="14" t="s">
        <v>201</v>
      </c>
      <c r="K3186" s="14">
        <v>1</v>
      </c>
      <c r="L3186" s="14" t="s">
        <v>1400</v>
      </c>
      <c r="N3186" s="14">
        <v>0</v>
      </c>
      <c r="O3186" s="14" t="b">
        <v>1</v>
      </c>
      <c r="Q3186" s="14" t="b">
        <v>0</v>
      </c>
      <c r="R3186" s="14">
        <v>1</v>
      </c>
      <c r="S3186" s="14" t="s">
        <v>77</v>
      </c>
      <c r="T3186" s="14">
        <v>999</v>
      </c>
      <c r="U3186" s="14" t="s">
        <v>1401</v>
      </c>
      <c r="V3186" s="14">
        <v>31937025</v>
      </c>
      <c r="X3186" s="14" t="s">
        <v>5945</v>
      </c>
      <c r="Y3186" s="14" t="s">
        <v>215</v>
      </c>
      <c r="Z3186" s="14">
        <v>21949</v>
      </c>
      <c r="AA3186" s="14" t="s">
        <v>5946</v>
      </c>
      <c r="AB3186" s="14">
        <v>40001</v>
      </c>
      <c r="AE3186" s="14" t="s">
        <v>1400</v>
      </c>
      <c r="AF3186" s="14" t="s">
        <v>1400</v>
      </c>
      <c r="AG3186" s="14" t="s">
        <v>101</v>
      </c>
    </row>
    <row r="3187" spans="2:33">
      <c r="B3187" s="14">
        <f>10000000+INDEX(编号表!$B:$B,MATCH(H3187,编号表!$A:$A,0))*100000+INDEX(编号表!$F:$F,MATCH(D3187,编号表!$E:$E,0))*10000+INDEX(编号表!$D:$D,MATCH(AG3187,编号表!$C:$C,0))*1000+F3187</f>
        <v>11947026</v>
      </c>
      <c r="C3187" s="14" t="s">
        <v>5942</v>
      </c>
      <c r="D3187" s="14" t="s">
        <v>104</v>
      </c>
      <c r="E3187" s="14" t="s">
        <v>101</v>
      </c>
      <c r="F3187" s="14">
        <v>26</v>
      </c>
      <c r="G3187" s="14">
        <v>60</v>
      </c>
      <c r="H3187" s="14" t="s">
        <v>1400</v>
      </c>
      <c r="I3187" s="14" t="s">
        <v>75</v>
      </c>
      <c r="J3187" s="14" t="s">
        <v>201</v>
      </c>
      <c r="K3187" s="14">
        <v>1</v>
      </c>
      <c r="L3187" s="14" t="s">
        <v>1400</v>
      </c>
      <c r="N3187" s="14">
        <v>0</v>
      </c>
      <c r="O3187" s="14" t="b">
        <v>1</v>
      </c>
      <c r="Q3187" s="14" t="b">
        <v>0</v>
      </c>
      <c r="R3187" s="14">
        <v>1</v>
      </c>
      <c r="S3187" s="14" t="s">
        <v>77</v>
      </c>
      <c r="T3187" s="14">
        <v>999</v>
      </c>
      <c r="U3187" s="14" t="s">
        <v>1401</v>
      </c>
      <c r="V3187" s="14">
        <v>31947026</v>
      </c>
      <c r="X3187" s="14" t="s">
        <v>5947</v>
      </c>
      <c r="Y3187" s="14" t="s">
        <v>215</v>
      </c>
      <c r="Z3187" s="14">
        <v>21950</v>
      </c>
      <c r="AA3187" s="14" t="s">
        <v>5948</v>
      </c>
      <c r="AB3187" s="14">
        <v>40001</v>
      </c>
      <c r="AE3187" s="14" t="s">
        <v>1400</v>
      </c>
      <c r="AF3187" s="14" t="s">
        <v>1400</v>
      </c>
      <c r="AG3187" s="14" t="s">
        <v>101</v>
      </c>
    </row>
    <row r="3188" spans="2:33">
      <c r="B3188" s="14">
        <f>10000000+INDEX(编号表!$B:$B,MATCH(H3188,编号表!$A:$A,0))*100000+INDEX(编号表!$F:$F,MATCH(D3188,编号表!$E:$E,0))*10000+INDEX(编号表!$D:$D,MATCH(AG3188,编号表!$C:$C,0))*1000+F3188</f>
        <v>11927025</v>
      </c>
      <c r="C3188" s="14" t="s">
        <v>5949</v>
      </c>
      <c r="D3188" s="14" t="s">
        <v>112</v>
      </c>
      <c r="E3188" s="14" t="s">
        <v>101</v>
      </c>
      <c r="F3188" s="14">
        <v>25</v>
      </c>
      <c r="G3188" s="14">
        <v>60</v>
      </c>
      <c r="H3188" s="14" t="s">
        <v>1400</v>
      </c>
      <c r="I3188" s="14" t="s">
        <v>75</v>
      </c>
      <c r="J3188" s="14" t="s">
        <v>201</v>
      </c>
      <c r="K3188" s="14">
        <v>1</v>
      </c>
      <c r="L3188" s="14" t="s">
        <v>1400</v>
      </c>
      <c r="N3188" s="14">
        <v>0</v>
      </c>
      <c r="O3188" s="14" t="b">
        <v>1</v>
      </c>
      <c r="Q3188" s="14" t="b">
        <v>0</v>
      </c>
      <c r="R3188" s="14">
        <v>1</v>
      </c>
      <c r="S3188" s="14" t="s">
        <v>77</v>
      </c>
      <c r="T3188" s="14">
        <v>999</v>
      </c>
      <c r="U3188" s="14" t="s">
        <v>1401</v>
      </c>
      <c r="V3188" s="14">
        <v>31927025</v>
      </c>
      <c r="X3188" s="14" t="s">
        <v>5950</v>
      </c>
      <c r="Y3188" s="14" t="s">
        <v>215</v>
      </c>
      <c r="Z3188" s="14">
        <v>21951</v>
      </c>
      <c r="AA3188" s="14" t="s">
        <v>5951</v>
      </c>
      <c r="AB3188" s="14">
        <v>40001</v>
      </c>
      <c r="AE3188" s="14" t="s">
        <v>1400</v>
      </c>
      <c r="AF3188" s="14" t="s">
        <v>1400</v>
      </c>
      <c r="AG3188" s="14" t="s">
        <v>101</v>
      </c>
    </row>
    <row r="3189" spans="2:33">
      <c r="B3189" s="14">
        <f>10000000+INDEX(编号表!$B:$B,MATCH(H3189,编号表!$A:$A,0))*100000+INDEX(编号表!$F:$F,MATCH(D3189,编号表!$E:$E,0))*10000+INDEX(编号表!$D:$D,MATCH(AG3189,编号表!$C:$C,0))*1000+F3189</f>
        <v>11937026</v>
      </c>
      <c r="C3189" s="14" t="s">
        <v>5949</v>
      </c>
      <c r="D3189" s="14" t="s">
        <v>276</v>
      </c>
      <c r="E3189" s="14" t="s">
        <v>101</v>
      </c>
      <c r="F3189" s="14">
        <v>26</v>
      </c>
      <c r="G3189" s="14">
        <v>60</v>
      </c>
      <c r="H3189" s="14" t="s">
        <v>1400</v>
      </c>
      <c r="I3189" s="14" t="s">
        <v>75</v>
      </c>
      <c r="J3189" s="14" t="s">
        <v>201</v>
      </c>
      <c r="K3189" s="14">
        <v>1</v>
      </c>
      <c r="L3189" s="14" t="s">
        <v>1400</v>
      </c>
      <c r="N3189" s="14">
        <v>0</v>
      </c>
      <c r="O3189" s="14" t="b">
        <v>1</v>
      </c>
      <c r="Q3189" s="14" t="b">
        <v>0</v>
      </c>
      <c r="R3189" s="14">
        <v>1</v>
      </c>
      <c r="S3189" s="14" t="s">
        <v>77</v>
      </c>
      <c r="T3189" s="14">
        <v>999</v>
      </c>
      <c r="U3189" s="14" t="s">
        <v>1401</v>
      </c>
      <c r="V3189" s="14">
        <v>31937026</v>
      </c>
      <c r="X3189" s="14" t="s">
        <v>5952</v>
      </c>
      <c r="Y3189" s="14" t="s">
        <v>215</v>
      </c>
      <c r="Z3189" s="14">
        <v>21952</v>
      </c>
      <c r="AA3189" s="14" t="s">
        <v>5953</v>
      </c>
      <c r="AB3189" s="14">
        <v>40001</v>
      </c>
      <c r="AE3189" s="14" t="s">
        <v>1400</v>
      </c>
      <c r="AF3189" s="14" t="s">
        <v>1400</v>
      </c>
      <c r="AG3189" s="14" t="s">
        <v>101</v>
      </c>
    </row>
    <row r="3190" spans="2:33">
      <c r="B3190" s="14">
        <f>10000000+INDEX(编号表!$B:$B,MATCH(H3190,编号表!$A:$A,0))*100000+INDEX(编号表!$F:$F,MATCH(D3190,编号表!$E:$E,0))*10000+INDEX(编号表!$D:$D,MATCH(AG3190,编号表!$C:$C,0))*1000+F3190</f>
        <v>11947027</v>
      </c>
      <c r="C3190" s="14" t="s">
        <v>5949</v>
      </c>
      <c r="D3190" s="14" t="s">
        <v>104</v>
      </c>
      <c r="E3190" s="14" t="s">
        <v>101</v>
      </c>
      <c r="F3190" s="14">
        <v>27</v>
      </c>
      <c r="G3190" s="14">
        <v>60</v>
      </c>
      <c r="H3190" s="14" t="s">
        <v>1400</v>
      </c>
      <c r="I3190" s="14" t="s">
        <v>75</v>
      </c>
      <c r="J3190" s="14" t="s">
        <v>201</v>
      </c>
      <c r="K3190" s="14">
        <v>1</v>
      </c>
      <c r="L3190" s="14" t="s">
        <v>1400</v>
      </c>
      <c r="N3190" s="14">
        <v>0</v>
      </c>
      <c r="O3190" s="14" t="b">
        <v>1</v>
      </c>
      <c r="Q3190" s="14" t="b">
        <v>0</v>
      </c>
      <c r="R3190" s="14">
        <v>1</v>
      </c>
      <c r="S3190" s="14" t="s">
        <v>77</v>
      </c>
      <c r="T3190" s="14">
        <v>999</v>
      </c>
      <c r="U3190" s="14" t="s">
        <v>1401</v>
      </c>
      <c r="V3190" s="14">
        <v>31947027</v>
      </c>
      <c r="X3190" s="14" t="s">
        <v>5954</v>
      </c>
      <c r="Y3190" s="14" t="s">
        <v>215</v>
      </c>
      <c r="Z3190" s="14">
        <v>21953</v>
      </c>
      <c r="AA3190" s="14" t="s">
        <v>5955</v>
      </c>
      <c r="AB3190" s="14">
        <v>40001</v>
      </c>
      <c r="AE3190" s="14" t="s">
        <v>1400</v>
      </c>
      <c r="AF3190" s="14" t="s">
        <v>1400</v>
      </c>
      <c r="AG3190" s="14" t="s">
        <v>101</v>
      </c>
    </row>
    <row r="3191" spans="2:33">
      <c r="B3191" s="14">
        <f>10000000+INDEX(编号表!$B:$B,MATCH(H3191,编号表!$A:$A,0))*100000+INDEX(编号表!$F:$F,MATCH(D3191,编号表!$E:$E,0))*10000+INDEX(编号表!$D:$D,MATCH(AG3191,编号表!$C:$C,0))*1000+F3191</f>
        <v>11927026</v>
      </c>
      <c r="C3191" s="14" t="s">
        <v>5956</v>
      </c>
      <c r="D3191" s="14" t="s">
        <v>112</v>
      </c>
      <c r="E3191" s="14" t="s">
        <v>101</v>
      </c>
      <c r="F3191" s="14">
        <v>26</v>
      </c>
      <c r="G3191" s="14">
        <v>60</v>
      </c>
      <c r="H3191" s="14" t="s">
        <v>1400</v>
      </c>
      <c r="I3191" s="14" t="s">
        <v>75</v>
      </c>
      <c r="J3191" s="14" t="s">
        <v>201</v>
      </c>
      <c r="K3191" s="14">
        <v>1</v>
      </c>
      <c r="L3191" s="14" t="s">
        <v>1400</v>
      </c>
      <c r="N3191" s="14">
        <v>0</v>
      </c>
      <c r="O3191" s="14" t="b">
        <v>1</v>
      </c>
      <c r="Q3191" s="14" t="b">
        <v>0</v>
      </c>
      <c r="R3191" s="14">
        <v>1</v>
      </c>
      <c r="S3191" s="14" t="s">
        <v>77</v>
      </c>
      <c r="T3191" s="14">
        <v>999</v>
      </c>
      <c r="U3191" s="14" t="s">
        <v>1401</v>
      </c>
      <c r="V3191" s="14">
        <v>31927026</v>
      </c>
      <c r="X3191" s="14" t="s">
        <v>5957</v>
      </c>
      <c r="Y3191" s="14" t="s">
        <v>215</v>
      </c>
      <c r="Z3191" s="14">
        <v>21954</v>
      </c>
      <c r="AA3191" s="14" t="s">
        <v>5958</v>
      </c>
      <c r="AB3191" s="14">
        <v>40001</v>
      </c>
      <c r="AE3191" s="14" t="s">
        <v>1400</v>
      </c>
      <c r="AF3191" s="14" t="s">
        <v>1400</v>
      </c>
      <c r="AG3191" s="14" t="s">
        <v>101</v>
      </c>
    </row>
    <row r="3192" spans="2:33">
      <c r="B3192" s="14">
        <f>10000000+INDEX(编号表!$B:$B,MATCH(H3192,编号表!$A:$A,0))*100000+INDEX(编号表!$F:$F,MATCH(D3192,编号表!$E:$E,0))*10000+INDEX(编号表!$D:$D,MATCH(AG3192,编号表!$C:$C,0))*1000+F3192</f>
        <v>11937027</v>
      </c>
      <c r="C3192" s="14" t="s">
        <v>5956</v>
      </c>
      <c r="D3192" s="14" t="s">
        <v>276</v>
      </c>
      <c r="E3192" s="14" t="s">
        <v>101</v>
      </c>
      <c r="F3192" s="14">
        <v>27</v>
      </c>
      <c r="G3192" s="14">
        <v>60</v>
      </c>
      <c r="H3192" s="14" t="s">
        <v>1400</v>
      </c>
      <c r="I3192" s="14" t="s">
        <v>75</v>
      </c>
      <c r="J3192" s="14" t="s">
        <v>201</v>
      </c>
      <c r="K3192" s="14">
        <v>1</v>
      </c>
      <c r="L3192" s="14" t="s">
        <v>1400</v>
      </c>
      <c r="N3192" s="14">
        <v>0</v>
      </c>
      <c r="O3192" s="14" t="b">
        <v>1</v>
      </c>
      <c r="Q3192" s="14" t="b">
        <v>0</v>
      </c>
      <c r="R3192" s="14">
        <v>1</v>
      </c>
      <c r="S3192" s="14" t="s">
        <v>77</v>
      </c>
      <c r="T3192" s="14">
        <v>999</v>
      </c>
      <c r="U3192" s="14" t="s">
        <v>1401</v>
      </c>
      <c r="V3192" s="14">
        <v>31937027</v>
      </c>
      <c r="X3192" s="14" t="s">
        <v>5959</v>
      </c>
      <c r="Y3192" s="14" t="s">
        <v>215</v>
      </c>
      <c r="Z3192" s="14">
        <v>21955</v>
      </c>
      <c r="AA3192" s="14" t="s">
        <v>5960</v>
      </c>
      <c r="AB3192" s="14">
        <v>40001</v>
      </c>
      <c r="AE3192" s="14" t="s">
        <v>1400</v>
      </c>
      <c r="AF3192" s="14" t="s">
        <v>1400</v>
      </c>
      <c r="AG3192" s="14" t="s">
        <v>101</v>
      </c>
    </row>
    <row r="3193" spans="2:33">
      <c r="B3193" s="14">
        <f>10000000+INDEX(编号表!$B:$B,MATCH(H3193,编号表!$A:$A,0))*100000+INDEX(编号表!$F:$F,MATCH(D3193,编号表!$E:$E,0))*10000+INDEX(编号表!$D:$D,MATCH(AG3193,编号表!$C:$C,0))*1000+F3193</f>
        <v>11947028</v>
      </c>
      <c r="C3193" s="14" t="s">
        <v>5956</v>
      </c>
      <c r="D3193" s="14" t="s">
        <v>104</v>
      </c>
      <c r="E3193" s="14" t="s">
        <v>101</v>
      </c>
      <c r="F3193" s="14">
        <v>28</v>
      </c>
      <c r="G3193" s="14">
        <v>60</v>
      </c>
      <c r="H3193" s="14" t="s">
        <v>1400</v>
      </c>
      <c r="I3193" s="14" t="s">
        <v>75</v>
      </c>
      <c r="J3193" s="14" t="s">
        <v>201</v>
      </c>
      <c r="K3193" s="14">
        <v>1</v>
      </c>
      <c r="L3193" s="14" t="s">
        <v>1400</v>
      </c>
      <c r="N3193" s="14">
        <v>0</v>
      </c>
      <c r="O3193" s="14" t="b">
        <v>1</v>
      </c>
      <c r="Q3193" s="14" t="b">
        <v>0</v>
      </c>
      <c r="R3193" s="14">
        <v>1</v>
      </c>
      <c r="S3193" s="14" t="s">
        <v>77</v>
      </c>
      <c r="T3193" s="14">
        <v>999</v>
      </c>
      <c r="U3193" s="14" t="s">
        <v>1401</v>
      </c>
      <c r="V3193" s="14">
        <v>31947028</v>
      </c>
      <c r="X3193" s="14" t="s">
        <v>5961</v>
      </c>
      <c r="Y3193" s="14" t="s">
        <v>215</v>
      </c>
      <c r="Z3193" s="14">
        <v>21956</v>
      </c>
      <c r="AA3193" s="14" t="s">
        <v>5962</v>
      </c>
      <c r="AB3193" s="14">
        <v>40001</v>
      </c>
      <c r="AE3193" s="14" t="s">
        <v>1400</v>
      </c>
      <c r="AF3193" s="14" t="s">
        <v>1400</v>
      </c>
      <c r="AG3193" s="14" t="s">
        <v>101</v>
      </c>
    </row>
    <row r="3194" spans="2:33">
      <c r="B3194" s="14">
        <f>10000000+INDEX(编号表!$B:$B,MATCH(H3194,编号表!$A:$A,0))*100000+INDEX(编号表!$F:$F,MATCH(D3194,编号表!$E:$E,0))*10000+INDEX(编号表!$D:$D,MATCH(AG3194,编号表!$C:$C,0))*1000+F3194</f>
        <v>11927027</v>
      </c>
      <c r="C3194" s="14" t="s">
        <v>5963</v>
      </c>
      <c r="D3194" s="14" t="s">
        <v>112</v>
      </c>
      <c r="E3194" s="14" t="s">
        <v>101</v>
      </c>
      <c r="F3194" s="14">
        <v>27</v>
      </c>
      <c r="G3194" s="14">
        <v>60</v>
      </c>
      <c r="H3194" s="14" t="s">
        <v>1400</v>
      </c>
      <c r="I3194" s="14" t="s">
        <v>75</v>
      </c>
      <c r="J3194" s="14" t="s">
        <v>201</v>
      </c>
      <c r="K3194" s="14">
        <v>1</v>
      </c>
      <c r="L3194" s="14" t="s">
        <v>1400</v>
      </c>
      <c r="N3194" s="14">
        <v>0</v>
      </c>
      <c r="O3194" s="14" t="b">
        <v>1</v>
      </c>
      <c r="Q3194" s="14" t="b">
        <v>0</v>
      </c>
      <c r="R3194" s="14">
        <v>1</v>
      </c>
      <c r="S3194" s="14" t="s">
        <v>77</v>
      </c>
      <c r="T3194" s="14">
        <v>999</v>
      </c>
      <c r="U3194" s="14" t="s">
        <v>1401</v>
      </c>
      <c r="V3194" s="14">
        <v>31927027</v>
      </c>
      <c r="X3194" s="14" t="s">
        <v>5964</v>
      </c>
      <c r="Y3194" s="14" t="s">
        <v>215</v>
      </c>
      <c r="Z3194" s="14">
        <v>21957</v>
      </c>
      <c r="AA3194" s="14" t="s">
        <v>5965</v>
      </c>
      <c r="AB3194" s="14">
        <v>40001</v>
      </c>
      <c r="AE3194" s="14" t="s">
        <v>1400</v>
      </c>
      <c r="AF3194" s="14" t="s">
        <v>1400</v>
      </c>
      <c r="AG3194" s="14" t="s">
        <v>101</v>
      </c>
    </row>
    <row r="3195" spans="2:33">
      <c r="B3195" s="14">
        <f>10000000+INDEX(编号表!$B:$B,MATCH(H3195,编号表!$A:$A,0))*100000+INDEX(编号表!$F:$F,MATCH(D3195,编号表!$E:$E,0))*10000+INDEX(编号表!$D:$D,MATCH(AG3195,编号表!$C:$C,0))*1000+F3195</f>
        <v>11937028</v>
      </c>
      <c r="C3195" s="14" t="s">
        <v>5963</v>
      </c>
      <c r="D3195" s="14" t="s">
        <v>276</v>
      </c>
      <c r="E3195" s="14" t="s">
        <v>101</v>
      </c>
      <c r="F3195" s="14">
        <v>28</v>
      </c>
      <c r="G3195" s="14">
        <v>60</v>
      </c>
      <c r="H3195" s="14" t="s">
        <v>1400</v>
      </c>
      <c r="I3195" s="14" t="s">
        <v>75</v>
      </c>
      <c r="J3195" s="14" t="s">
        <v>201</v>
      </c>
      <c r="K3195" s="14">
        <v>1</v>
      </c>
      <c r="L3195" s="14" t="s">
        <v>1400</v>
      </c>
      <c r="N3195" s="14">
        <v>0</v>
      </c>
      <c r="O3195" s="14" t="b">
        <v>1</v>
      </c>
      <c r="Q3195" s="14" t="b">
        <v>0</v>
      </c>
      <c r="R3195" s="14">
        <v>1</v>
      </c>
      <c r="S3195" s="14" t="s">
        <v>77</v>
      </c>
      <c r="T3195" s="14">
        <v>999</v>
      </c>
      <c r="U3195" s="14" t="s">
        <v>1401</v>
      </c>
      <c r="V3195" s="14">
        <v>31937028</v>
      </c>
      <c r="X3195" s="14" t="s">
        <v>5966</v>
      </c>
      <c r="Y3195" s="14" t="s">
        <v>215</v>
      </c>
      <c r="Z3195" s="14">
        <v>21958</v>
      </c>
      <c r="AA3195" s="14" t="s">
        <v>5967</v>
      </c>
      <c r="AB3195" s="14">
        <v>40001</v>
      </c>
      <c r="AE3195" s="14" t="s">
        <v>1400</v>
      </c>
      <c r="AF3195" s="14" t="s">
        <v>1400</v>
      </c>
      <c r="AG3195" s="14" t="s">
        <v>101</v>
      </c>
    </row>
    <row r="3196" spans="2:33">
      <c r="B3196" s="14">
        <f>10000000+INDEX(编号表!$B:$B,MATCH(H3196,编号表!$A:$A,0))*100000+INDEX(编号表!$F:$F,MATCH(D3196,编号表!$E:$E,0))*10000+INDEX(编号表!$D:$D,MATCH(AG3196,编号表!$C:$C,0))*1000+F3196</f>
        <v>11947029</v>
      </c>
      <c r="C3196" s="14" t="s">
        <v>5963</v>
      </c>
      <c r="D3196" s="14" t="s">
        <v>104</v>
      </c>
      <c r="E3196" s="14" t="s">
        <v>101</v>
      </c>
      <c r="F3196" s="14">
        <v>29</v>
      </c>
      <c r="G3196" s="14">
        <v>60</v>
      </c>
      <c r="H3196" s="14" t="s">
        <v>1400</v>
      </c>
      <c r="I3196" s="14" t="s">
        <v>75</v>
      </c>
      <c r="J3196" s="14" t="s">
        <v>201</v>
      </c>
      <c r="K3196" s="14">
        <v>1</v>
      </c>
      <c r="L3196" s="14" t="s">
        <v>1400</v>
      </c>
      <c r="N3196" s="14">
        <v>0</v>
      </c>
      <c r="O3196" s="14" t="b">
        <v>1</v>
      </c>
      <c r="Q3196" s="14" t="b">
        <v>0</v>
      </c>
      <c r="R3196" s="14">
        <v>1</v>
      </c>
      <c r="S3196" s="14" t="s">
        <v>77</v>
      </c>
      <c r="T3196" s="14">
        <v>999</v>
      </c>
      <c r="U3196" s="14" t="s">
        <v>1401</v>
      </c>
      <c r="V3196" s="14">
        <v>31947029</v>
      </c>
      <c r="X3196" s="14" t="s">
        <v>5968</v>
      </c>
      <c r="Y3196" s="14" t="s">
        <v>215</v>
      </c>
      <c r="Z3196" s="14">
        <v>21959</v>
      </c>
      <c r="AA3196" s="14" t="s">
        <v>5969</v>
      </c>
      <c r="AB3196" s="14">
        <v>40001</v>
      </c>
      <c r="AE3196" s="14" t="s">
        <v>1400</v>
      </c>
      <c r="AF3196" s="14" t="s">
        <v>1400</v>
      </c>
      <c r="AG3196" s="14" t="s">
        <v>101</v>
      </c>
    </row>
    <row r="3197" spans="2:33">
      <c r="B3197" s="14">
        <f>10000000+INDEX(编号表!$B:$B,MATCH(H3197,编号表!$A:$A,0))*100000+INDEX(编号表!$F:$F,MATCH(D3197,编号表!$E:$E,0))*10000+INDEX(编号表!$D:$D,MATCH(AG3197,编号表!$C:$C,0))*1000+F3197</f>
        <v>11927028</v>
      </c>
      <c r="C3197" s="14" t="s">
        <v>5970</v>
      </c>
      <c r="D3197" s="14" t="s">
        <v>112</v>
      </c>
      <c r="E3197" s="14" t="s">
        <v>101</v>
      </c>
      <c r="F3197" s="14">
        <v>28</v>
      </c>
      <c r="G3197" s="14">
        <v>60</v>
      </c>
      <c r="H3197" s="14" t="s">
        <v>1400</v>
      </c>
      <c r="I3197" s="14" t="s">
        <v>75</v>
      </c>
      <c r="J3197" s="14" t="s">
        <v>201</v>
      </c>
      <c r="K3197" s="14">
        <v>1</v>
      </c>
      <c r="L3197" s="14" t="s">
        <v>1400</v>
      </c>
      <c r="N3197" s="14">
        <v>0</v>
      </c>
      <c r="O3197" s="14" t="b">
        <v>1</v>
      </c>
      <c r="Q3197" s="14" t="b">
        <v>0</v>
      </c>
      <c r="R3197" s="14">
        <v>1</v>
      </c>
      <c r="S3197" s="14" t="s">
        <v>77</v>
      </c>
      <c r="T3197" s="14">
        <v>999</v>
      </c>
      <c r="U3197" s="14" t="s">
        <v>1401</v>
      </c>
      <c r="V3197" s="14">
        <v>31927028</v>
      </c>
      <c r="X3197" s="14" t="s">
        <v>5971</v>
      </c>
      <c r="Y3197" s="14" t="s">
        <v>215</v>
      </c>
      <c r="Z3197" s="14">
        <v>21960</v>
      </c>
      <c r="AA3197" s="14" t="s">
        <v>5972</v>
      </c>
      <c r="AB3197" s="14">
        <v>40001</v>
      </c>
      <c r="AE3197" s="14" t="s">
        <v>1400</v>
      </c>
      <c r="AF3197" s="14" t="s">
        <v>1400</v>
      </c>
      <c r="AG3197" s="14" t="s">
        <v>101</v>
      </c>
    </row>
    <row r="3198" spans="2:33">
      <c r="B3198" s="14">
        <f>10000000+INDEX(编号表!$B:$B,MATCH(H3198,编号表!$A:$A,0))*100000+INDEX(编号表!$F:$F,MATCH(D3198,编号表!$E:$E,0))*10000+INDEX(编号表!$D:$D,MATCH(AG3198,编号表!$C:$C,0))*1000+F3198</f>
        <v>11937029</v>
      </c>
      <c r="C3198" s="14" t="s">
        <v>5970</v>
      </c>
      <c r="D3198" s="14" t="s">
        <v>276</v>
      </c>
      <c r="E3198" s="14" t="s">
        <v>101</v>
      </c>
      <c r="F3198" s="14">
        <v>29</v>
      </c>
      <c r="G3198" s="14">
        <v>60</v>
      </c>
      <c r="H3198" s="14" t="s">
        <v>1400</v>
      </c>
      <c r="I3198" s="14" t="s">
        <v>75</v>
      </c>
      <c r="J3198" s="14" t="s">
        <v>201</v>
      </c>
      <c r="K3198" s="14">
        <v>1</v>
      </c>
      <c r="L3198" s="14" t="s">
        <v>1400</v>
      </c>
      <c r="N3198" s="14">
        <v>0</v>
      </c>
      <c r="O3198" s="14" t="b">
        <v>1</v>
      </c>
      <c r="Q3198" s="14" t="b">
        <v>0</v>
      </c>
      <c r="R3198" s="14">
        <v>1</v>
      </c>
      <c r="S3198" s="14" t="s">
        <v>77</v>
      </c>
      <c r="T3198" s="14">
        <v>999</v>
      </c>
      <c r="U3198" s="14" t="s">
        <v>1401</v>
      </c>
      <c r="V3198" s="14">
        <v>31937029</v>
      </c>
      <c r="X3198" s="14" t="s">
        <v>5973</v>
      </c>
      <c r="Y3198" s="14" t="s">
        <v>215</v>
      </c>
      <c r="Z3198" s="14">
        <v>21961</v>
      </c>
      <c r="AA3198" s="14" t="s">
        <v>5974</v>
      </c>
      <c r="AB3198" s="14">
        <v>40001</v>
      </c>
      <c r="AE3198" s="14" t="s">
        <v>1400</v>
      </c>
      <c r="AF3198" s="14" t="s">
        <v>1400</v>
      </c>
      <c r="AG3198" s="14" t="s">
        <v>101</v>
      </c>
    </row>
    <row r="3199" spans="2:33">
      <c r="B3199" s="14">
        <f>10000000+INDEX(编号表!$B:$B,MATCH(H3199,编号表!$A:$A,0))*100000+INDEX(编号表!$F:$F,MATCH(D3199,编号表!$E:$E,0))*10000+INDEX(编号表!$D:$D,MATCH(AG3199,编号表!$C:$C,0))*1000+F3199</f>
        <v>11947030</v>
      </c>
      <c r="C3199" s="14" t="s">
        <v>5970</v>
      </c>
      <c r="D3199" s="14" t="s">
        <v>104</v>
      </c>
      <c r="E3199" s="14" t="s">
        <v>101</v>
      </c>
      <c r="F3199" s="14">
        <v>30</v>
      </c>
      <c r="G3199" s="14">
        <v>60</v>
      </c>
      <c r="H3199" s="14" t="s">
        <v>1400</v>
      </c>
      <c r="I3199" s="14" t="s">
        <v>75</v>
      </c>
      <c r="J3199" s="14" t="s">
        <v>201</v>
      </c>
      <c r="K3199" s="14">
        <v>1</v>
      </c>
      <c r="L3199" s="14" t="s">
        <v>1400</v>
      </c>
      <c r="N3199" s="14">
        <v>0</v>
      </c>
      <c r="O3199" s="14" t="b">
        <v>1</v>
      </c>
      <c r="Q3199" s="14" t="b">
        <v>0</v>
      </c>
      <c r="R3199" s="14">
        <v>1</v>
      </c>
      <c r="S3199" s="14" t="s">
        <v>77</v>
      </c>
      <c r="T3199" s="14">
        <v>999</v>
      </c>
      <c r="U3199" s="14" t="s">
        <v>1401</v>
      </c>
      <c r="V3199" s="14">
        <v>31947030</v>
      </c>
      <c r="X3199" s="14" t="s">
        <v>5975</v>
      </c>
      <c r="Y3199" s="14" t="s">
        <v>215</v>
      </c>
      <c r="Z3199" s="14">
        <v>21962</v>
      </c>
      <c r="AA3199" s="14" t="s">
        <v>5976</v>
      </c>
      <c r="AB3199" s="14">
        <v>40001</v>
      </c>
      <c r="AE3199" s="14" t="s">
        <v>1400</v>
      </c>
      <c r="AF3199" s="14" t="s">
        <v>1400</v>
      </c>
      <c r="AG3199" s="14" t="s">
        <v>101</v>
      </c>
    </row>
    <row r="3200" spans="2:33">
      <c r="B3200" s="14">
        <f>10000000+INDEX(编号表!$B:$B,MATCH(H3200,编号表!$A:$A,0))*100000+INDEX(编号表!$F:$F,MATCH(D3200,编号表!$E:$E,0))*10000+INDEX(编号表!$D:$D,MATCH(AG3200,编号表!$C:$C,0))*1000+F3200</f>
        <v>11927029</v>
      </c>
      <c r="C3200" s="14" t="s">
        <v>5977</v>
      </c>
      <c r="D3200" s="14" t="s">
        <v>112</v>
      </c>
      <c r="E3200" s="14" t="s">
        <v>101</v>
      </c>
      <c r="F3200" s="14">
        <v>29</v>
      </c>
      <c r="G3200" s="14">
        <v>60</v>
      </c>
      <c r="H3200" s="14" t="s">
        <v>1400</v>
      </c>
      <c r="I3200" s="14" t="s">
        <v>75</v>
      </c>
      <c r="J3200" s="14" t="s">
        <v>201</v>
      </c>
      <c r="K3200" s="14">
        <v>1</v>
      </c>
      <c r="L3200" s="14" t="s">
        <v>1400</v>
      </c>
      <c r="N3200" s="14">
        <v>0</v>
      </c>
      <c r="O3200" s="14" t="b">
        <v>1</v>
      </c>
      <c r="Q3200" s="14" t="b">
        <v>0</v>
      </c>
      <c r="R3200" s="14">
        <v>1</v>
      </c>
      <c r="S3200" s="14" t="s">
        <v>77</v>
      </c>
      <c r="T3200" s="14">
        <v>999</v>
      </c>
      <c r="U3200" s="14" t="s">
        <v>1401</v>
      </c>
      <c r="V3200" s="14">
        <v>31927029</v>
      </c>
      <c r="X3200" s="14" t="s">
        <v>5978</v>
      </c>
      <c r="Y3200" s="14" t="s">
        <v>215</v>
      </c>
      <c r="Z3200" s="14">
        <v>21963</v>
      </c>
      <c r="AA3200" s="14" t="s">
        <v>5979</v>
      </c>
      <c r="AB3200" s="14">
        <v>40001</v>
      </c>
      <c r="AE3200" s="14" t="s">
        <v>1400</v>
      </c>
      <c r="AF3200" s="14" t="s">
        <v>1400</v>
      </c>
      <c r="AG3200" s="14" t="s">
        <v>101</v>
      </c>
    </row>
    <row r="3201" spans="2:33">
      <c r="B3201" s="14">
        <f>10000000+INDEX(编号表!$B:$B,MATCH(H3201,编号表!$A:$A,0))*100000+INDEX(编号表!$F:$F,MATCH(D3201,编号表!$E:$E,0))*10000+INDEX(编号表!$D:$D,MATCH(AG3201,编号表!$C:$C,0))*1000+F3201</f>
        <v>11937030</v>
      </c>
      <c r="C3201" s="14" t="s">
        <v>5977</v>
      </c>
      <c r="D3201" s="14" t="s">
        <v>276</v>
      </c>
      <c r="E3201" s="14" t="s">
        <v>101</v>
      </c>
      <c r="F3201" s="14">
        <v>30</v>
      </c>
      <c r="G3201" s="14">
        <v>60</v>
      </c>
      <c r="H3201" s="14" t="s">
        <v>1400</v>
      </c>
      <c r="I3201" s="14" t="s">
        <v>75</v>
      </c>
      <c r="J3201" s="14" t="s">
        <v>201</v>
      </c>
      <c r="K3201" s="14">
        <v>1</v>
      </c>
      <c r="L3201" s="14" t="s">
        <v>1400</v>
      </c>
      <c r="N3201" s="14">
        <v>0</v>
      </c>
      <c r="O3201" s="14" t="b">
        <v>1</v>
      </c>
      <c r="Q3201" s="14" t="b">
        <v>0</v>
      </c>
      <c r="R3201" s="14">
        <v>1</v>
      </c>
      <c r="S3201" s="14" t="s">
        <v>77</v>
      </c>
      <c r="T3201" s="14">
        <v>999</v>
      </c>
      <c r="U3201" s="14" t="s">
        <v>1401</v>
      </c>
      <c r="V3201" s="14">
        <v>31937030</v>
      </c>
      <c r="X3201" s="14" t="s">
        <v>5980</v>
      </c>
      <c r="Y3201" s="14" t="s">
        <v>215</v>
      </c>
      <c r="Z3201" s="14">
        <v>21964</v>
      </c>
      <c r="AA3201" s="14" t="s">
        <v>5981</v>
      </c>
      <c r="AB3201" s="14">
        <v>40001</v>
      </c>
      <c r="AE3201" s="14" t="s">
        <v>1400</v>
      </c>
      <c r="AF3201" s="14" t="s">
        <v>1400</v>
      </c>
      <c r="AG3201" s="14" t="s">
        <v>101</v>
      </c>
    </row>
    <row r="3202" spans="2:33">
      <c r="B3202" s="14">
        <f>10000000+INDEX(编号表!$B:$B,MATCH(H3202,编号表!$A:$A,0))*100000+INDEX(编号表!$F:$F,MATCH(D3202,编号表!$E:$E,0))*10000+INDEX(编号表!$D:$D,MATCH(AG3202,编号表!$C:$C,0))*1000+F3202</f>
        <v>11947031</v>
      </c>
      <c r="C3202" s="14" t="s">
        <v>5977</v>
      </c>
      <c r="D3202" s="14" t="s">
        <v>104</v>
      </c>
      <c r="E3202" s="14" t="s">
        <v>101</v>
      </c>
      <c r="F3202" s="14">
        <v>31</v>
      </c>
      <c r="G3202" s="14">
        <v>60</v>
      </c>
      <c r="H3202" s="14" t="s">
        <v>1400</v>
      </c>
      <c r="I3202" s="14" t="s">
        <v>75</v>
      </c>
      <c r="J3202" s="14" t="s">
        <v>201</v>
      </c>
      <c r="K3202" s="14">
        <v>1</v>
      </c>
      <c r="L3202" s="14" t="s">
        <v>1400</v>
      </c>
      <c r="N3202" s="14">
        <v>0</v>
      </c>
      <c r="O3202" s="14" t="b">
        <v>1</v>
      </c>
      <c r="Q3202" s="14" t="b">
        <v>0</v>
      </c>
      <c r="R3202" s="14">
        <v>1</v>
      </c>
      <c r="S3202" s="14" t="s">
        <v>77</v>
      </c>
      <c r="T3202" s="14">
        <v>999</v>
      </c>
      <c r="U3202" s="14" t="s">
        <v>1401</v>
      </c>
      <c r="V3202" s="14">
        <v>31947031</v>
      </c>
      <c r="X3202" s="14" t="s">
        <v>5982</v>
      </c>
      <c r="Y3202" s="14" t="s">
        <v>215</v>
      </c>
      <c r="Z3202" s="14">
        <v>21965</v>
      </c>
      <c r="AA3202" s="14" t="s">
        <v>5983</v>
      </c>
      <c r="AB3202" s="14">
        <v>40001</v>
      </c>
      <c r="AE3202" s="14" t="s">
        <v>1400</v>
      </c>
      <c r="AF3202" s="14" t="s">
        <v>1400</v>
      </c>
      <c r="AG3202" s="14" t="s">
        <v>101</v>
      </c>
    </row>
    <row r="3203" spans="2:33">
      <c r="B3203" s="14">
        <f>10000000+INDEX(编号表!$B:$B,MATCH(H3203,编号表!$A:$A,0))*100000+INDEX(编号表!$F:$F,MATCH(D3203,编号表!$E:$E,0))*10000+INDEX(编号表!$D:$D,MATCH(AG3203,编号表!$C:$C,0))*1000+F3203</f>
        <v>11927030</v>
      </c>
      <c r="C3203" s="14" t="s">
        <v>5984</v>
      </c>
      <c r="D3203" s="14" t="s">
        <v>112</v>
      </c>
      <c r="E3203" s="14" t="s">
        <v>101</v>
      </c>
      <c r="F3203" s="14">
        <v>30</v>
      </c>
      <c r="G3203" s="14">
        <v>60</v>
      </c>
      <c r="H3203" s="14" t="s">
        <v>1400</v>
      </c>
      <c r="I3203" s="14" t="s">
        <v>75</v>
      </c>
      <c r="J3203" s="14" t="s">
        <v>201</v>
      </c>
      <c r="K3203" s="14">
        <v>1</v>
      </c>
      <c r="L3203" s="14" t="s">
        <v>1400</v>
      </c>
      <c r="N3203" s="14">
        <v>0</v>
      </c>
      <c r="O3203" s="14" t="b">
        <v>1</v>
      </c>
      <c r="Q3203" s="14" t="b">
        <v>0</v>
      </c>
      <c r="R3203" s="14">
        <v>1</v>
      </c>
      <c r="S3203" s="14" t="s">
        <v>77</v>
      </c>
      <c r="T3203" s="14">
        <v>999</v>
      </c>
      <c r="U3203" s="14" t="s">
        <v>1401</v>
      </c>
      <c r="V3203" s="14">
        <v>31927030</v>
      </c>
      <c r="X3203" s="14" t="s">
        <v>5985</v>
      </c>
      <c r="Y3203" s="14" t="s">
        <v>215</v>
      </c>
      <c r="Z3203" s="14">
        <v>21966</v>
      </c>
      <c r="AA3203" s="14" t="s">
        <v>5986</v>
      </c>
      <c r="AB3203" s="14">
        <v>40001</v>
      </c>
      <c r="AE3203" s="14" t="s">
        <v>1400</v>
      </c>
      <c r="AF3203" s="14" t="s">
        <v>1400</v>
      </c>
      <c r="AG3203" s="14" t="s">
        <v>101</v>
      </c>
    </row>
    <row r="3204" spans="2:33">
      <c r="B3204" s="14">
        <f>10000000+INDEX(编号表!$B:$B,MATCH(H3204,编号表!$A:$A,0))*100000+INDEX(编号表!$F:$F,MATCH(D3204,编号表!$E:$E,0))*10000+INDEX(编号表!$D:$D,MATCH(AG3204,编号表!$C:$C,0))*1000+F3204</f>
        <v>11937031</v>
      </c>
      <c r="C3204" s="14" t="s">
        <v>5984</v>
      </c>
      <c r="D3204" s="14" t="s">
        <v>276</v>
      </c>
      <c r="E3204" s="14" t="s">
        <v>101</v>
      </c>
      <c r="F3204" s="14">
        <v>31</v>
      </c>
      <c r="G3204" s="14">
        <v>60</v>
      </c>
      <c r="H3204" s="14" t="s">
        <v>1400</v>
      </c>
      <c r="I3204" s="14" t="s">
        <v>75</v>
      </c>
      <c r="J3204" s="14" t="s">
        <v>201</v>
      </c>
      <c r="K3204" s="14">
        <v>1</v>
      </c>
      <c r="L3204" s="14" t="s">
        <v>1400</v>
      </c>
      <c r="N3204" s="14">
        <v>0</v>
      </c>
      <c r="O3204" s="14" t="b">
        <v>1</v>
      </c>
      <c r="Q3204" s="14" t="b">
        <v>0</v>
      </c>
      <c r="R3204" s="14">
        <v>1</v>
      </c>
      <c r="S3204" s="14" t="s">
        <v>77</v>
      </c>
      <c r="T3204" s="14">
        <v>999</v>
      </c>
      <c r="U3204" s="14" t="s">
        <v>1401</v>
      </c>
      <c r="V3204" s="14">
        <v>31937031</v>
      </c>
      <c r="X3204" s="14" t="s">
        <v>5987</v>
      </c>
      <c r="Y3204" s="14" t="s">
        <v>215</v>
      </c>
      <c r="Z3204" s="14">
        <v>21967</v>
      </c>
      <c r="AA3204" s="14" t="s">
        <v>5988</v>
      </c>
      <c r="AB3204" s="14">
        <v>40001</v>
      </c>
      <c r="AE3204" s="14" t="s">
        <v>1400</v>
      </c>
      <c r="AF3204" s="14" t="s">
        <v>1400</v>
      </c>
      <c r="AG3204" s="14" t="s">
        <v>101</v>
      </c>
    </row>
    <row r="3205" spans="2:33">
      <c r="B3205" s="14">
        <f>10000000+INDEX(编号表!$B:$B,MATCH(H3205,编号表!$A:$A,0))*100000+INDEX(编号表!$F:$F,MATCH(D3205,编号表!$E:$E,0))*10000+INDEX(编号表!$D:$D,MATCH(AG3205,编号表!$C:$C,0))*1000+F3205</f>
        <v>11947032</v>
      </c>
      <c r="C3205" s="14" t="s">
        <v>5984</v>
      </c>
      <c r="D3205" s="14" t="s">
        <v>104</v>
      </c>
      <c r="E3205" s="14" t="s">
        <v>101</v>
      </c>
      <c r="F3205" s="14">
        <v>32</v>
      </c>
      <c r="G3205" s="14">
        <v>60</v>
      </c>
      <c r="H3205" s="14" t="s">
        <v>1400</v>
      </c>
      <c r="I3205" s="14" t="s">
        <v>75</v>
      </c>
      <c r="J3205" s="14" t="s">
        <v>201</v>
      </c>
      <c r="K3205" s="14">
        <v>1</v>
      </c>
      <c r="L3205" s="14" t="s">
        <v>1400</v>
      </c>
      <c r="N3205" s="14">
        <v>0</v>
      </c>
      <c r="O3205" s="14" t="b">
        <v>1</v>
      </c>
      <c r="Q3205" s="14" t="b">
        <v>0</v>
      </c>
      <c r="R3205" s="14">
        <v>1</v>
      </c>
      <c r="S3205" s="14" t="s">
        <v>77</v>
      </c>
      <c r="T3205" s="14">
        <v>999</v>
      </c>
      <c r="U3205" s="14" t="s">
        <v>1401</v>
      </c>
      <c r="V3205" s="14">
        <v>31947032</v>
      </c>
      <c r="X3205" s="14" t="s">
        <v>5989</v>
      </c>
      <c r="Y3205" s="14" t="s">
        <v>215</v>
      </c>
      <c r="Z3205" s="14">
        <v>21968</v>
      </c>
      <c r="AA3205" s="14" t="s">
        <v>5990</v>
      </c>
      <c r="AB3205" s="14">
        <v>40001</v>
      </c>
      <c r="AE3205" s="14" t="s">
        <v>1400</v>
      </c>
      <c r="AF3205" s="14" t="s">
        <v>1400</v>
      </c>
      <c r="AG3205" s="14" t="s">
        <v>101</v>
      </c>
    </row>
    <row r="3206" spans="2:33">
      <c r="B3206" s="14">
        <f>10000000+INDEX(编号表!$B:$B,MATCH(H3206,编号表!$A:$A,0))*100000+INDEX(编号表!$F:$F,MATCH(D3206,编号表!$E:$E,0))*10000+INDEX(编号表!$D:$D,MATCH(AG3206,编号表!$C:$C,0))*1000+F3206</f>
        <v>11927031</v>
      </c>
      <c r="C3206" s="14" t="s">
        <v>5991</v>
      </c>
      <c r="D3206" s="14" t="s">
        <v>112</v>
      </c>
      <c r="E3206" s="14" t="s">
        <v>101</v>
      </c>
      <c r="F3206" s="14">
        <v>31</v>
      </c>
      <c r="G3206" s="14">
        <v>60</v>
      </c>
      <c r="H3206" s="14" t="s">
        <v>1400</v>
      </c>
      <c r="I3206" s="14" t="s">
        <v>75</v>
      </c>
      <c r="J3206" s="14" t="s">
        <v>201</v>
      </c>
      <c r="K3206" s="14">
        <v>1</v>
      </c>
      <c r="L3206" s="14" t="s">
        <v>1400</v>
      </c>
      <c r="N3206" s="14">
        <v>0</v>
      </c>
      <c r="O3206" s="14" t="b">
        <v>1</v>
      </c>
      <c r="Q3206" s="14" t="b">
        <v>0</v>
      </c>
      <c r="R3206" s="14">
        <v>1</v>
      </c>
      <c r="S3206" s="14" t="s">
        <v>77</v>
      </c>
      <c r="T3206" s="14">
        <v>999</v>
      </c>
      <c r="U3206" s="14" t="s">
        <v>1401</v>
      </c>
      <c r="V3206" s="14">
        <v>31927031</v>
      </c>
      <c r="X3206" s="14" t="s">
        <v>5992</v>
      </c>
      <c r="Y3206" s="14" t="s">
        <v>215</v>
      </c>
      <c r="Z3206" s="14">
        <v>21969</v>
      </c>
      <c r="AA3206" s="14" t="s">
        <v>5993</v>
      </c>
      <c r="AB3206" s="14">
        <v>40001</v>
      </c>
      <c r="AE3206" s="14" t="s">
        <v>1400</v>
      </c>
      <c r="AF3206" s="14" t="s">
        <v>1400</v>
      </c>
      <c r="AG3206" s="14" t="s">
        <v>101</v>
      </c>
    </row>
    <row r="3207" spans="2:33">
      <c r="B3207" s="14">
        <f>10000000+INDEX(编号表!$B:$B,MATCH(H3207,编号表!$A:$A,0))*100000+INDEX(编号表!$F:$F,MATCH(D3207,编号表!$E:$E,0))*10000+INDEX(编号表!$D:$D,MATCH(AG3207,编号表!$C:$C,0))*1000+F3207</f>
        <v>11937032</v>
      </c>
      <c r="C3207" s="14" t="s">
        <v>5991</v>
      </c>
      <c r="D3207" s="14" t="s">
        <v>276</v>
      </c>
      <c r="E3207" s="14" t="s">
        <v>101</v>
      </c>
      <c r="F3207" s="14">
        <v>32</v>
      </c>
      <c r="G3207" s="14">
        <v>60</v>
      </c>
      <c r="H3207" s="14" t="s">
        <v>1400</v>
      </c>
      <c r="I3207" s="14" t="s">
        <v>75</v>
      </c>
      <c r="J3207" s="14" t="s">
        <v>201</v>
      </c>
      <c r="K3207" s="14">
        <v>1</v>
      </c>
      <c r="L3207" s="14" t="s">
        <v>1400</v>
      </c>
      <c r="N3207" s="14">
        <v>0</v>
      </c>
      <c r="O3207" s="14" t="b">
        <v>1</v>
      </c>
      <c r="Q3207" s="14" t="b">
        <v>0</v>
      </c>
      <c r="R3207" s="14">
        <v>1</v>
      </c>
      <c r="S3207" s="14" t="s">
        <v>77</v>
      </c>
      <c r="T3207" s="14">
        <v>999</v>
      </c>
      <c r="U3207" s="14" t="s">
        <v>1401</v>
      </c>
      <c r="V3207" s="14">
        <v>31937032</v>
      </c>
      <c r="X3207" s="14" t="s">
        <v>5994</v>
      </c>
      <c r="Y3207" s="14" t="s">
        <v>215</v>
      </c>
      <c r="Z3207" s="14">
        <v>21970</v>
      </c>
      <c r="AA3207" s="14" t="s">
        <v>5995</v>
      </c>
      <c r="AB3207" s="14">
        <v>40001</v>
      </c>
      <c r="AE3207" s="14" t="s">
        <v>1400</v>
      </c>
      <c r="AF3207" s="14" t="s">
        <v>1400</v>
      </c>
      <c r="AG3207" s="14" t="s">
        <v>101</v>
      </c>
    </row>
    <row r="3208" spans="2:33">
      <c r="B3208" s="14">
        <f>10000000+INDEX(编号表!$B:$B,MATCH(H3208,编号表!$A:$A,0))*100000+INDEX(编号表!$F:$F,MATCH(D3208,编号表!$E:$E,0))*10000+INDEX(编号表!$D:$D,MATCH(AG3208,编号表!$C:$C,0))*1000+F3208</f>
        <v>11947033</v>
      </c>
      <c r="C3208" s="14" t="s">
        <v>5991</v>
      </c>
      <c r="D3208" s="14" t="s">
        <v>104</v>
      </c>
      <c r="E3208" s="14" t="s">
        <v>101</v>
      </c>
      <c r="F3208" s="14">
        <v>33</v>
      </c>
      <c r="G3208" s="14">
        <v>60</v>
      </c>
      <c r="H3208" s="14" t="s">
        <v>1400</v>
      </c>
      <c r="I3208" s="14" t="s">
        <v>75</v>
      </c>
      <c r="J3208" s="14" t="s">
        <v>201</v>
      </c>
      <c r="K3208" s="14">
        <v>1</v>
      </c>
      <c r="L3208" s="14" t="s">
        <v>1400</v>
      </c>
      <c r="N3208" s="14">
        <v>0</v>
      </c>
      <c r="O3208" s="14" t="b">
        <v>1</v>
      </c>
      <c r="Q3208" s="14" t="b">
        <v>0</v>
      </c>
      <c r="R3208" s="14">
        <v>1</v>
      </c>
      <c r="S3208" s="14" t="s">
        <v>77</v>
      </c>
      <c r="T3208" s="14">
        <v>999</v>
      </c>
      <c r="U3208" s="14" t="s">
        <v>1401</v>
      </c>
      <c r="V3208" s="14">
        <v>31947033</v>
      </c>
      <c r="X3208" s="14" t="s">
        <v>5996</v>
      </c>
      <c r="Y3208" s="14" t="s">
        <v>215</v>
      </c>
      <c r="Z3208" s="14">
        <v>21971</v>
      </c>
      <c r="AA3208" s="14" t="s">
        <v>5997</v>
      </c>
      <c r="AB3208" s="14">
        <v>40001</v>
      </c>
      <c r="AE3208" s="14" t="s">
        <v>1400</v>
      </c>
      <c r="AF3208" s="14" t="s">
        <v>1400</v>
      </c>
      <c r="AG3208" s="14" t="s">
        <v>101</v>
      </c>
    </row>
    <row r="3209" spans="2:33">
      <c r="B3209" s="14">
        <f>10000000+INDEX(编号表!$B:$B,MATCH(H3209,编号表!$A:$A,0))*100000+INDEX(编号表!$F:$F,MATCH(D3209,编号表!$E:$E,0))*10000+INDEX(编号表!$D:$D,MATCH(AG3209,编号表!$C:$C,0))*1000+F3209</f>
        <v>11927032</v>
      </c>
      <c r="C3209" s="14" t="s">
        <v>5998</v>
      </c>
      <c r="D3209" s="14" t="s">
        <v>112</v>
      </c>
      <c r="E3209" s="14" t="s">
        <v>101</v>
      </c>
      <c r="F3209" s="14">
        <v>32</v>
      </c>
      <c r="G3209" s="14">
        <v>60</v>
      </c>
      <c r="H3209" s="14" t="s">
        <v>1400</v>
      </c>
      <c r="I3209" s="14" t="s">
        <v>75</v>
      </c>
      <c r="J3209" s="14" t="s">
        <v>201</v>
      </c>
      <c r="K3209" s="14">
        <v>1</v>
      </c>
      <c r="L3209" s="14" t="s">
        <v>1400</v>
      </c>
      <c r="N3209" s="14">
        <v>0</v>
      </c>
      <c r="O3209" s="14" t="b">
        <v>1</v>
      </c>
      <c r="Q3209" s="14" t="b">
        <v>0</v>
      </c>
      <c r="R3209" s="14">
        <v>1</v>
      </c>
      <c r="S3209" s="14" t="s">
        <v>77</v>
      </c>
      <c r="T3209" s="14">
        <v>999</v>
      </c>
      <c r="U3209" s="14" t="s">
        <v>1401</v>
      </c>
      <c r="V3209" s="14">
        <v>31927032</v>
      </c>
      <c r="X3209" s="14" t="s">
        <v>5999</v>
      </c>
      <c r="Y3209" s="14" t="s">
        <v>215</v>
      </c>
      <c r="Z3209" s="14">
        <v>21972</v>
      </c>
      <c r="AA3209" s="14" t="s">
        <v>6000</v>
      </c>
      <c r="AB3209" s="14">
        <v>40001</v>
      </c>
      <c r="AE3209" s="14" t="s">
        <v>1400</v>
      </c>
      <c r="AF3209" s="14" t="s">
        <v>1400</v>
      </c>
      <c r="AG3209" s="14" t="s">
        <v>101</v>
      </c>
    </row>
    <row r="3210" spans="2:33">
      <c r="B3210" s="14">
        <f>10000000+INDEX(编号表!$B:$B,MATCH(H3210,编号表!$A:$A,0))*100000+INDEX(编号表!$F:$F,MATCH(D3210,编号表!$E:$E,0))*10000+INDEX(编号表!$D:$D,MATCH(AG3210,编号表!$C:$C,0))*1000+F3210</f>
        <v>11937033</v>
      </c>
      <c r="C3210" s="14" t="s">
        <v>5998</v>
      </c>
      <c r="D3210" s="14" t="s">
        <v>276</v>
      </c>
      <c r="E3210" s="14" t="s">
        <v>101</v>
      </c>
      <c r="F3210" s="14">
        <v>33</v>
      </c>
      <c r="G3210" s="14">
        <v>60</v>
      </c>
      <c r="H3210" s="14" t="s">
        <v>1400</v>
      </c>
      <c r="I3210" s="14" t="s">
        <v>75</v>
      </c>
      <c r="J3210" s="14" t="s">
        <v>201</v>
      </c>
      <c r="K3210" s="14">
        <v>1</v>
      </c>
      <c r="L3210" s="14" t="s">
        <v>1400</v>
      </c>
      <c r="N3210" s="14">
        <v>0</v>
      </c>
      <c r="O3210" s="14" t="b">
        <v>1</v>
      </c>
      <c r="Q3210" s="14" t="b">
        <v>0</v>
      </c>
      <c r="R3210" s="14">
        <v>1</v>
      </c>
      <c r="S3210" s="14" t="s">
        <v>77</v>
      </c>
      <c r="T3210" s="14">
        <v>999</v>
      </c>
      <c r="U3210" s="14" t="s">
        <v>1401</v>
      </c>
      <c r="V3210" s="14">
        <v>31937033</v>
      </c>
      <c r="X3210" s="14" t="s">
        <v>6001</v>
      </c>
      <c r="Y3210" s="14" t="s">
        <v>215</v>
      </c>
      <c r="Z3210" s="14">
        <v>21973</v>
      </c>
      <c r="AA3210" s="14" t="s">
        <v>6002</v>
      </c>
      <c r="AB3210" s="14">
        <v>40001</v>
      </c>
      <c r="AE3210" s="14" t="s">
        <v>1400</v>
      </c>
      <c r="AF3210" s="14" t="s">
        <v>1400</v>
      </c>
      <c r="AG3210" s="14" t="s">
        <v>101</v>
      </c>
    </row>
    <row r="3211" spans="2:33">
      <c r="B3211" s="14">
        <f>10000000+INDEX(编号表!$B:$B,MATCH(H3211,编号表!$A:$A,0))*100000+INDEX(编号表!$F:$F,MATCH(D3211,编号表!$E:$E,0))*10000+INDEX(编号表!$D:$D,MATCH(AG3211,编号表!$C:$C,0))*1000+F3211</f>
        <v>11947034</v>
      </c>
      <c r="C3211" s="14" t="s">
        <v>5998</v>
      </c>
      <c r="D3211" s="14" t="s">
        <v>104</v>
      </c>
      <c r="E3211" s="14" t="s">
        <v>101</v>
      </c>
      <c r="F3211" s="14">
        <v>34</v>
      </c>
      <c r="G3211" s="14">
        <v>60</v>
      </c>
      <c r="H3211" s="14" t="s">
        <v>1400</v>
      </c>
      <c r="I3211" s="14" t="s">
        <v>75</v>
      </c>
      <c r="J3211" s="14" t="s">
        <v>201</v>
      </c>
      <c r="K3211" s="14">
        <v>1</v>
      </c>
      <c r="L3211" s="14" t="s">
        <v>1400</v>
      </c>
      <c r="N3211" s="14">
        <v>0</v>
      </c>
      <c r="O3211" s="14" t="b">
        <v>1</v>
      </c>
      <c r="Q3211" s="14" t="b">
        <v>0</v>
      </c>
      <c r="R3211" s="14">
        <v>1</v>
      </c>
      <c r="S3211" s="14" t="s">
        <v>77</v>
      </c>
      <c r="T3211" s="14">
        <v>999</v>
      </c>
      <c r="U3211" s="14" t="s">
        <v>1401</v>
      </c>
      <c r="V3211" s="14">
        <v>31947034</v>
      </c>
      <c r="X3211" s="14" t="s">
        <v>6003</v>
      </c>
      <c r="Y3211" s="14" t="s">
        <v>215</v>
      </c>
      <c r="Z3211" s="14">
        <v>21974</v>
      </c>
      <c r="AA3211" s="14" t="s">
        <v>6004</v>
      </c>
      <c r="AB3211" s="14">
        <v>40001</v>
      </c>
      <c r="AE3211" s="14" t="s">
        <v>1400</v>
      </c>
      <c r="AF3211" s="14" t="s">
        <v>1400</v>
      </c>
      <c r="AG3211" s="14" t="s">
        <v>101</v>
      </c>
    </row>
    <row r="3212" spans="2:33">
      <c r="B3212" s="14">
        <f>10000000+INDEX(编号表!$B:$B,MATCH(H3212,编号表!$A:$A,0))*100000+INDEX(编号表!$F:$F,MATCH(D3212,编号表!$E:$E,0))*10000+INDEX(编号表!$D:$D,MATCH(AG3212,编号表!$C:$C,0))*1000+F3212</f>
        <v>11927033</v>
      </c>
      <c r="C3212" s="14" t="s">
        <v>6005</v>
      </c>
      <c r="D3212" s="14" t="s">
        <v>112</v>
      </c>
      <c r="E3212" s="14" t="s">
        <v>101</v>
      </c>
      <c r="F3212" s="14">
        <v>33</v>
      </c>
      <c r="G3212" s="14">
        <v>60</v>
      </c>
      <c r="H3212" s="14" t="s">
        <v>1400</v>
      </c>
      <c r="I3212" s="14" t="s">
        <v>75</v>
      </c>
      <c r="J3212" s="14" t="s">
        <v>201</v>
      </c>
      <c r="K3212" s="14">
        <v>1</v>
      </c>
      <c r="L3212" s="14" t="s">
        <v>1400</v>
      </c>
      <c r="N3212" s="14">
        <v>0</v>
      </c>
      <c r="O3212" s="14" t="b">
        <v>1</v>
      </c>
      <c r="Q3212" s="14" t="b">
        <v>0</v>
      </c>
      <c r="R3212" s="14">
        <v>1</v>
      </c>
      <c r="S3212" s="14" t="s">
        <v>77</v>
      </c>
      <c r="T3212" s="14">
        <v>999</v>
      </c>
      <c r="U3212" s="14" t="s">
        <v>1401</v>
      </c>
      <c r="V3212" s="14">
        <v>31927033</v>
      </c>
      <c r="X3212" s="14" t="s">
        <v>6006</v>
      </c>
      <c r="Y3212" s="14" t="s">
        <v>215</v>
      </c>
      <c r="Z3212" s="14">
        <v>21975</v>
      </c>
      <c r="AA3212" s="14" t="s">
        <v>6007</v>
      </c>
      <c r="AB3212" s="14">
        <v>40001</v>
      </c>
      <c r="AE3212" s="14" t="s">
        <v>1400</v>
      </c>
      <c r="AF3212" s="14" t="s">
        <v>1400</v>
      </c>
      <c r="AG3212" s="14" t="s">
        <v>101</v>
      </c>
    </row>
    <row r="3213" spans="2:33">
      <c r="B3213" s="14">
        <f>10000000+INDEX(编号表!$B:$B,MATCH(H3213,编号表!$A:$A,0))*100000+INDEX(编号表!$F:$F,MATCH(D3213,编号表!$E:$E,0))*10000+INDEX(编号表!$D:$D,MATCH(AG3213,编号表!$C:$C,0))*1000+F3213</f>
        <v>11937034</v>
      </c>
      <c r="C3213" s="14" t="s">
        <v>6005</v>
      </c>
      <c r="D3213" s="14" t="s">
        <v>276</v>
      </c>
      <c r="E3213" s="14" t="s">
        <v>101</v>
      </c>
      <c r="F3213" s="14">
        <v>34</v>
      </c>
      <c r="G3213" s="14">
        <v>60</v>
      </c>
      <c r="H3213" s="14" t="s">
        <v>1400</v>
      </c>
      <c r="I3213" s="14" t="s">
        <v>75</v>
      </c>
      <c r="J3213" s="14" t="s">
        <v>201</v>
      </c>
      <c r="K3213" s="14">
        <v>1</v>
      </c>
      <c r="L3213" s="14" t="s">
        <v>1400</v>
      </c>
      <c r="N3213" s="14">
        <v>0</v>
      </c>
      <c r="O3213" s="14" t="b">
        <v>1</v>
      </c>
      <c r="Q3213" s="14" t="b">
        <v>0</v>
      </c>
      <c r="R3213" s="14">
        <v>1</v>
      </c>
      <c r="S3213" s="14" t="s">
        <v>77</v>
      </c>
      <c r="T3213" s="14">
        <v>999</v>
      </c>
      <c r="U3213" s="14" t="s">
        <v>1401</v>
      </c>
      <c r="V3213" s="14">
        <v>31937034</v>
      </c>
      <c r="X3213" s="14" t="s">
        <v>6008</v>
      </c>
      <c r="Y3213" s="14" t="s">
        <v>215</v>
      </c>
      <c r="Z3213" s="14">
        <v>21976</v>
      </c>
      <c r="AA3213" s="14" t="s">
        <v>6009</v>
      </c>
      <c r="AB3213" s="14">
        <v>40001</v>
      </c>
      <c r="AE3213" s="14" t="s">
        <v>1400</v>
      </c>
      <c r="AF3213" s="14" t="s">
        <v>1400</v>
      </c>
      <c r="AG3213" s="14" t="s">
        <v>101</v>
      </c>
    </row>
    <row r="3214" spans="2:33">
      <c r="B3214" s="14">
        <f>10000000+INDEX(编号表!$B:$B,MATCH(H3214,编号表!$A:$A,0))*100000+INDEX(编号表!$F:$F,MATCH(D3214,编号表!$E:$E,0))*10000+INDEX(编号表!$D:$D,MATCH(AG3214,编号表!$C:$C,0))*1000+F3214</f>
        <v>11947035</v>
      </c>
      <c r="C3214" s="14" t="s">
        <v>6005</v>
      </c>
      <c r="D3214" s="14" t="s">
        <v>104</v>
      </c>
      <c r="E3214" s="14" t="s">
        <v>101</v>
      </c>
      <c r="F3214" s="14">
        <v>35</v>
      </c>
      <c r="G3214" s="14">
        <v>60</v>
      </c>
      <c r="H3214" s="14" t="s">
        <v>1400</v>
      </c>
      <c r="I3214" s="14" t="s">
        <v>75</v>
      </c>
      <c r="J3214" s="14" t="s">
        <v>201</v>
      </c>
      <c r="K3214" s="14">
        <v>1</v>
      </c>
      <c r="L3214" s="14" t="s">
        <v>1400</v>
      </c>
      <c r="N3214" s="14">
        <v>0</v>
      </c>
      <c r="O3214" s="14" t="b">
        <v>1</v>
      </c>
      <c r="Q3214" s="14" t="b">
        <v>0</v>
      </c>
      <c r="R3214" s="14">
        <v>1</v>
      </c>
      <c r="S3214" s="14" t="s">
        <v>77</v>
      </c>
      <c r="T3214" s="14">
        <v>999</v>
      </c>
      <c r="U3214" s="14" t="s">
        <v>1401</v>
      </c>
      <c r="V3214" s="14">
        <v>31947035</v>
      </c>
      <c r="X3214" s="14" t="s">
        <v>6010</v>
      </c>
      <c r="Y3214" s="14" t="s">
        <v>215</v>
      </c>
      <c r="Z3214" s="14">
        <v>21977</v>
      </c>
      <c r="AA3214" s="14" t="s">
        <v>6011</v>
      </c>
      <c r="AB3214" s="14">
        <v>40001</v>
      </c>
      <c r="AE3214" s="14" t="s">
        <v>1400</v>
      </c>
      <c r="AF3214" s="14" t="s">
        <v>1400</v>
      </c>
      <c r="AG3214" s="14" t="s">
        <v>101</v>
      </c>
    </row>
    <row r="3215" spans="2:33">
      <c r="B3215" s="14">
        <f>10000000+INDEX(编号表!$B:$B,MATCH(H3215,编号表!$A:$A,0))*100000+INDEX(编号表!$F:$F,MATCH(D3215,编号表!$E:$E,0))*10000+INDEX(编号表!$D:$D,MATCH(AG3215,编号表!$C:$C,0))*1000+F3215</f>
        <v>11927034</v>
      </c>
      <c r="C3215" s="14" t="s">
        <v>6012</v>
      </c>
      <c r="D3215" s="14" t="s">
        <v>112</v>
      </c>
      <c r="E3215" s="14" t="s">
        <v>101</v>
      </c>
      <c r="F3215" s="14">
        <v>34</v>
      </c>
      <c r="G3215" s="14">
        <v>60</v>
      </c>
      <c r="H3215" s="14" t="s">
        <v>1400</v>
      </c>
      <c r="I3215" s="14" t="s">
        <v>75</v>
      </c>
      <c r="J3215" s="14" t="s">
        <v>201</v>
      </c>
      <c r="K3215" s="14">
        <v>1</v>
      </c>
      <c r="L3215" s="14" t="s">
        <v>1400</v>
      </c>
      <c r="N3215" s="14">
        <v>0</v>
      </c>
      <c r="O3215" s="14" t="b">
        <v>1</v>
      </c>
      <c r="Q3215" s="14" t="b">
        <v>0</v>
      </c>
      <c r="R3215" s="14">
        <v>1</v>
      </c>
      <c r="S3215" s="14" t="s">
        <v>77</v>
      </c>
      <c r="T3215" s="14">
        <v>999</v>
      </c>
      <c r="U3215" s="14" t="s">
        <v>1401</v>
      </c>
      <c r="V3215" s="14">
        <v>31927034</v>
      </c>
      <c r="X3215" s="14" t="s">
        <v>6013</v>
      </c>
      <c r="Y3215" s="14" t="s">
        <v>215</v>
      </c>
      <c r="Z3215" s="14">
        <v>21978</v>
      </c>
      <c r="AA3215" s="14" t="s">
        <v>6014</v>
      </c>
      <c r="AB3215" s="14">
        <v>40001</v>
      </c>
      <c r="AE3215" s="14" t="s">
        <v>1400</v>
      </c>
      <c r="AF3215" s="14" t="s">
        <v>1400</v>
      </c>
      <c r="AG3215" s="14" t="s">
        <v>101</v>
      </c>
    </row>
    <row r="3216" spans="2:33">
      <c r="B3216" s="14">
        <f>10000000+INDEX(编号表!$B:$B,MATCH(H3216,编号表!$A:$A,0))*100000+INDEX(编号表!$F:$F,MATCH(D3216,编号表!$E:$E,0))*10000+INDEX(编号表!$D:$D,MATCH(AG3216,编号表!$C:$C,0))*1000+F3216</f>
        <v>11937035</v>
      </c>
      <c r="C3216" s="14" t="s">
        <v>6012</v>
      </c>
      <c r="D3216" s="14" t="s">
        <v>276</v>
      </c>
      <c r="E3216" s="14" t="s">
        <v>101</v>
      </c>
      <c r="F3216" s="14">
        <v>35</v>
      </c>
      <c r="G3216" s="14">
        <v>60</v>
      </c>
      <c r="H3216" s="14" t="s">
        <v>1400</v>
      </c>
      <c r="I3216" s="14" t="s">
        <v>75</v>
      </c>
      <c r="J3216" s="14" t="s">
        <v>201</v>
      </c>
      <c r="K3216" s="14">
        <v>1</v>
      </c>
      <c r="L3216" s="14" t="s">
        <v>1400</v>
      </c>
      <c r="N3216" s="14">
        <v>0</v>
      </c>
      <c r="O3216" s="14" t="b">
        <v>1</v>
      </c>
      <c r="Q3216" s="14" t="b">
        <v>0</v>
      </c>
      <c r="R3216" s="14">
        <v>1</v>
      </c>
      <c r="S3216" s="14" t="s">
        <v>77</v>
      </c>
      <c r="T3216" s="14">
        <v>999</v>
      </c>
      <c r="U3216" s="14" t="s">
        <v>1401</v>
      </c>
      <c r="V3216" s="14">
        <v>31937035</v>
      </c>
      <c r="X3216" s="14" t="s">
        <v>6015</v>
      </c>
      <c r="Y3216" s="14" t="s">
        <v>215</v>
      </c>
      <c r="Z3216" s="14">
        <v>21979</v>
      </c>
      <c r="AA3216" s="14" t="s">
        <v>6016</v>
      </c>
      <c r="AB3216" s="14">
        <v>40001</v>
      </c>
      <c r="AE3216" s="14" t="s">
        <v>1400</v>
      </c>
      <c r="AF3216" s="14" t="s">
        <v>1400</v>
      </c>
      <c r="AG3216" s="14" t="s">
        <v>101</v>
      </c>
    </row>
    <row r="3217" spans="2:33">
      <c r="B3217" s="14">
        <f>10000000+INDEX(编号表!$B:$B,MATCH(H3217,编号表!$A:$A,0))*100000+INDEX(编号表!$F:$F,MATCH(D3217,编号表!$E:$E,0))*10000+INDEX(编号表!$D:$D,MATCH(AG3217,编号表!$C:$C,0))*1000+F3217</f>
        <v>11947036</v>
      </c>
      <c r="C3217" s="14" t="s">
        <v>6012</v>
      </c>
      <c r="D3217" s="14" t="s">
        <v>104</v>
      </c>
      <c r="E3217" s="14" t="s">
        <v>101</v>
      </c>
      <c r="F3217" s="14">
        <v>36</v>
      </c>
      <c r="G3217" s="14">
        <v>60</v>
      </c>
      <c r="H3217" s="14" t="s">
        <v>1400</v>
      </c>
      <c r="I3217" s="14" t="s">
        <v>75</v>
      </c>
      <c r="J3217" s="14" t="s">
        <v>201</v>
      </c>
      <c r="K3217" s="14">
        <v>1</v>
      </c>
      <c r="L3217" s="14" t="s">
        <v>1400</v>
      </c>
      <c r="N3217" s="14">
        <v>0</v>
      </c>
      <c r="O3217" s="14" t="b">
        <v>1</v>
      </c>
      <c r="Q3217" s="14" t="b">
        <v>0</v>
      </c>
      <c r="R3217" s="14">
        <v>1</v>
      </c>
      <c r="S3217" s="14" t="s">
        <v>77</v>
      </c>
      <c r="T3217" s="14">
        <v>999</v>
      </c>
      <c r="U3217" s="14" t="s">
        <v>1401</v>
      </c>
      <c r="V3217" s="14">
        <v>31947036</v>
      </c>
      <c r="X3217" s="14" t="s">
        <v>6017</v>
      </c>
      <c r="Y3217" s="14" t="s">
        <v>215</v>
      </c>
      <c r="Z3217" s="14">
        <v>21980</v>
      </c>
      <c r="AA3217" s="14" t="s">
        <v>6018</v>
      </c>
      <c r="AB3217" s="14">
        <v>40001</v>
      </c>
      <c r="AE3217" s="14" t="s">
        <v>1400</v>
      </c>
      <c r="AF3217" s="14" t="s">
        <v>1400</v>
      </c>
      <c r="AG3217" s="14" t="s">
        <v>101</v>
      </c>
    </row>
    <row r="3218" spans="2:33">
      <c r="B3218" s="14">
        <f>10000000+INDEX(编号表!$B:$B,MATCH(H3218,编号表!$A:$A,0))*100000+INDEX(编号表!$F:$F,MATCH(D3218,编号表!$E:$E,0))*10000+INDEX(编号表!$D:$D,MATCH(AG3218,编号表!$C:$C,0))*1000+F3218</f>
        <v>11927035</v>
      </c>
      <c r="C3218" s="14" t="s">
        <v>6019</v>
      </c>
      <c r="D3218" s="14" t="s">
        <v>112</v>
      </c>
      <c r="E3218" s="14" t="s">
        <v>101</v>
      </c>
      <c r="F3218" s="14">
        <v>35</v>
      </c>
      <c r="G3218" s="14">
        <v>60</v>
      </c>
      <c r="H3218" s="14" t="s">
        <v>1400</v>
      </c>
      <c r="I3218" s="14" t="s">
        <v>75</v>
      </c>
      <c r="J3218" s="14" t="s">
        <v>201</v>
      </c>
      <c r="K3218" s="14">
        <v>1</v>
      </c>
      <c r="L3218" s="14" t="s">
        <v>1400</v>
      </c>
      <c r="N3218" s="14">
        <v>0</v>
      </c>
      <c r="O3218" s="14" t="b">
        <v>1</v>
      </c>
      <c r="Q3218" s="14" t="b">
        <v>0</v>
      </c>
      <c r="R3218" s="14">
        <v>1</v>
      </c>
      <c r="S3218" s="14" t="s">
        <v>77</v>
      </c>
      <c r="T3218" s="14">
        <v>999</v>
      </c>
      <c r="U3218" s="14" t="s">
        <v>1401</v>
      </c>
      <c r="V3218" s="14">
        <v>31927035</v>
      </c>
      <c r="X3218" s="14" t="s">
        <v>6020</v>
      </c>
      <c r="Y3218" s="14" t="s">
        <v>215</v>
      </c>
      <c r="Z3218" s="14">
        <v>21981</v>
      </c>
      <c r="AA3218" s="14" t="s">
        <v>6021</v>
      </c>
      <c r="AB3218" s="14">
        <v>40001</v>
      </c>
      <c r="AE3218" s="14" t="s">
        <v>1400</v>
      </c>
      <c r="AF3218" s="14" t="s">
        <v>1400</v>
      </c>
      <c r="AG3218" s="14" t="s">
        <v>101</v>
      </c>
    </row>
    <row r="3219" spans="2:33">
      <c r="B3219" s="14">
        <f>10000000+INDEX(编号表!$B:$B,MATCH(H3219,编号表!$A:$A,0))*100000+INDEX(编号表!$F:$F,MATCH(D3219,编号表!$E:$E,0))*10000+INDEX(编号表!$D:$D,MATCH(AG3219,编号表!$C:$C,0))*1000+F3219</f>
        <v>11937036</v>
      </c>
      <c r="C3219" s="14" t="s">
        <v>6019</v>
      </c>
      <c r="D3219" s="14" t="s">
        <v>276</v>
      </c>
      <c r="E3219" s="14" t="s">
        <v>101</v>
      </c>
      <c r="F3219" s="14">
        <v>36</v>
      </c>
      <c r="G3219" s="14">
        <v>60</v>
      </c>
      <c r="H3219" s="14" t="s">
        <v>1400</v>
      </c>
      <c r="I3219" s="14" t="s">
        <v>75</v>
      </c>
      <c r="J3219" s="14" t="s">
        <v>201</v>
      </c>
      <c r="K3219" s="14">
        <v>1</v>
      </c>
      <c r="L3219" s="14" t="s">
        <v>1400</v>
      </c>
      <c r="N3219" s="14">
        <v>0</v>
      </c>
      <c r="O3219" s="14" t="b">
        <v>1</v>
      </c>
      <c r="Q3219" s="14" t="b">
        <v>0</v>
      </c>
      <c r="R3219" s="14">
        <v>1</v>
      </c>
      <c r="S3219" s="14" t="s">
        <v>77</v>
      </c>
      <c r="T3219" s="14">
        <v>999</v>
      </c>
      <c r="U3219" s="14" t="s">
        <v>1401</v>
      </c>
      <c r="V3219" s="14">
        <v>31937036</v>
      </c>
      <c r="X3219" s="14" t="s">
        <v>6022</v>
      </c>
      <c r="Y3219" s="14" t="s">
        <v>215</v>
      </c>
      <c r="Z3219" s="14">
        <v>21982</v>
      </c>
      <c r="AA3219" s="14" t="s">
        <v>6023</v>
      </c>
      <c r="AB3219" s="14">
        <v>40001</v>
      </c>
      <c r="AE3219" s="14" t="s">
        <v>1400</v>
      </c>
      <c r="AF3219" s="14" t="s">
        <v>1400</v>
      </c>
      <c r="AG3219" s="14" t="s">
        <v>101</v>
      </c>
    </row>
    <row r="3220" spans="2:33">
      <c r="B3220" s="14">
        <f>10000000+INDEX(编号表!$B:$B,MATCH(H3220,编号表!$A:$A,0))*100000+INDEX(编号表!$F:$F,MATCH(D3220,编号表!$E:$E,0))*10000+INDEX(编号表!$D:$D,MATCH(AG3220,编号表!$C:$C,0))*1000+F3220</f>
        <v>11947037</v>
      </c>
      <c r="C3220" s="14" t="s">
        <v>6019</v>
      </c>
      <c r="D3220" s="14" t="s">
        <v>104</v>
      </c>
      <c r="E3220" s="14" t="s">
        <v>101</v>
      </c>
      <c r="F3220" s="14">
        <v>37</v>
      </c>
      <c r="G3220" s="14">
        <v>60</v>
      </c>
      <c r="H3220" s="14" t="s">
        <v>1400</v>
      </c>
      <c r="I3220" s="14" t="s">
        <v>75</v>
      </c>
      <c r="J3220" s="14" t="s">
        <v>201</v>
      </c>
      <c r="K3220" s="14">
        <v>1</v>
      </c>
      <c r="L3220" s="14" t="s">
        <v>1400</v>
      </c>
      <c r="N3220" s="14">
        <v>0</v>
      </c>
      <c r="O3220" s="14" t="b">
        <v>1</v>
      </c>
      <c r="Q3220" s="14" t="b">
        <v>0</v>
      </c>
      <c r="R3220" s="14">
        <v>1</v>
      </c>
      <c r="S3220" s="14" t="s">
        <v>77</v>
      </c>
      <c r="T3220" s="14">
        <v>999</v>
      </c>
      <c r="U3220" s="14" t="s">
        <v>1401</v>
      </c>
      <c r="V3220" s="14">
        <v>31947037</v>
      </c>
      <c r="X3220" s="14" t="s">
        <v>6024</v>
      </c>
      <c r="Y3220" s="14" t="s">
        <v>215</v>
      </c>
      <c r="Z3220" s="14">
        <v>21983</v>
      </c>
      <c r="AA3220" s="14" t="s">
        <v>6025</v>
      </c>
      <c r="AB3220" s="14">
        <v>40001</v>
      </c>
      <c r="AE3220" s="14" t="s">
        <v>1400</v>
      </c>
      <c r="AF3220" s="14" t="s">
        <v>1400</v>
      </c>
      <c r="AG3220" s="14" t="s">
        <v>101</v>
      </c>
    </row>
    <row r="3221" spans="2:33">
      <c r="B3221" s="14">
        <f>10000000+INDEX(编号表!$B:$B,MATCH(H3221,编号表!$A:$A,0))*100000+INDEX(编号表!$F:$F,MATCH(D3221,编号表!$E:$E,0))*10000+INDEX(编号表!$D:$D,MATCH(AG3221,编号表!$C:$C,0))*1000+F3221</f>
        <v>11927036</v>
      </c>
      <c r="C3221" s="14" t="s">
        <v>6026</v>
      </c>
      <c r="D3221" s="14" t="s">
        <v>112</v>
      </c>
      <c r="E3221" s="14" t="s">
        <v>101</v>
      </c>
      <c r="F3221" s="14">
        <v>36</v>
      </c>
      <c r="G3221" s="14">
        <v>60</v>
      </c>
      <c r="H3221" s="14" t="s">
        <v>1400</v>
      </c>
      <c r="I3221" s="14" t="s">
        <v>75</v>
      </c>
      <c r="J3221" s="14" t="s">
        <v>201</v>
      </c>
      <c r="K3221" s="14">
        <v>1</v>
      </c>
      <c r="L3221" s="14" t="s">
        <v>1400</v>
      </c>
      <c r="N3221" s="14">
        <v>0</v>
      </c>
      <c r="O3221" s="14" t="b">
        <v>1</v>
      </c>
      <c r="Q3221" s="14" t="b">
        <v>0</v>
      </c>
      <c r="R3221" s="14">
        <v>1</v>
      </c>
      <c r="S3221" s="14" t="s">
        <v>77</v>
      </c>
      <c r="T3221" s="14">
        <v>999</v>
      </c>
      <c r="U3221" s="14" t="s">
        <v>1401</v>
      </c>
      <c r="V3221" s="14">
        <v>31927036</v>
      </c>
      <c r="X3221" s="14" t="s">
        <v>6027</v>
      </c>
      <c r="Y3221" s="14" t="s">
        <v>215</v>
      </c>
      <c r="Z3221" s="14">
        <v>21984</v>
      </c>
      <c r="AA3221" s="14" t="s">
        <v>6028</v>
      </c>
      <c r="AB3221" s="14">
        <v>40001</v>
      </c>
      <c r="AE3221" s="14" t="s">
        <v>1400</v>
      </c>
      <c r="AF3221" s="14" t="s">
        <v>1400</v>
      </c>
      <c r="AG3221" s="14" t="s">
        <v>101</v>
      </c>
    </row>
    <row r="3222" spans="2:33">
      <c r="B3222" s="14">
        <f>10000000+INDEX(编号表!$B:$B,MATCH(H3222,编号表!$A:$A,0))*100000+INDEX(编号表!$F:$F,MATCH(D3222,编号表!$E:$E,0))*10000+INDEX(编号表!$D:$D,MATCH(AG3222,编号表!$C:$C,0))*1000+F3222</f>
        <v>11937037</v>
      </c>
      <c r="C3222" s="14" t="s">
        <v>6026</v>
      </c>
      <c r="D3222" s="14" t="s">
        <v>276</v>
      </c>
      <c r="E3222" s="14" t="s">
        <v>101</v>
      </c>
      <c r="F3222" s="14">
        <v>37</v>
      </c>
      <c r="G3222" s="14">
        <v>60</v>
      </c>
      <c r="H3222" s="14" t="s">
        <v>1400</v>
      </c>
      <c r="I3222" s="14" t="s">
        <v>75</v>
      </c>
      <c r="J3222" s="14" t="s">
        <v>201</v>
      </c>
      <c r="K3222" s="14">
        <v>1</v>
      </c>
      <c r="L3222" s="14" t="s">
        <v>1400</v>
      </c>
      <c r="N3222" s="14">
        <v>0</v>
      </c>
      <c r="O3222" s="14" t="b">
        <v>1</v>
      </c>
      <c r="Q3222" s="14" t="b">
        <v>0</v>
      </c>
      <c r="R3222" s="14">
        <v>1</v>
      </c>
      <c r="S3222" s="14" t="s">
        <v>77</v>
      </c>
      <c r="T3222" s="14">
        <v>999</v>
      </c>
      <c r="U3222" s="14" t="s">
        <v>1401</v>
      </c>
      <c r="V3222" s="14">
        <v>31937037</v>
      </c>
      <c r="X3222" s="14" t="s">
        <v>6029</v>
      </c>
      <c r="Y3222" s="14" t="s">
        <v>215</v>
      </c>
      <c r="Z3222" s="14">
        <v>21985</v>
      </c>
      <c r="AA3222" s="14" t="s">
        <v>6030</v>
      </c>
      <c r="AB3222" s="14">
        <v>40001</v>
      </c>
      <c r="AE3222" s="14" t="s">
        <v>1400</v>
      </c>
      <c r="AF3222" s="14" t="s">
        <v>1400</v>
      </c>
      <c r="AG3222" s="14" t="s">
        <v>101</v>
      </c>
    </row>
    <row r="3223" spans="2:33">
      <c r="B3223" s="14">
        <f>10000000+INDEX(编号表!$B:$B,MATCH(H3223,编号表!$A:$A,0))*100000+INDEX(编号表!$F:$F,MATCH(D3223,编号表!$E:$E,0))*10000+INDEX(编号表!$D:$D,MATCH(AG3223,编号表!$C:$C,0))*1000+F3223</f>
        <v>11947038</v>
      </c>
      <c r="C3223" s="14" t="s">
        <v>6026</v>
      </c>
      <c r="D3223" s="14" t="s">
        <v>104</v>
      </c>
      <c r="E3223" s="14" t="s">
        <v>101</v>
      </c>
      <c r="F3223" s="14">
        <v>38</v>
      </c>
      <c r="G3223" s="14">
        <v>60</v>
      </c>
      <c r="H3223" s="14" t="s">
        <v>1400</v>
      </c>
      <c r="I3223" s="14" t="s">
        <v>75</v>
      </c>
      <c r="J3223" s="14" t="s">
        <v>201</v>
      </c>
      <c r="K3223" s="14">
        <v>1</v>
      </c>
      <c r="L3223" s="14" t="s">
        <v>1400</v>
      </c>
      <c r="N3223" s="14">
        <v>0</v>
      </c>
      <c r="O3223" s="14" t="b">
        <v>1</v>
      </c>
      <c r="Q3223" s="14" t="b">
        <v>0</v>
      </c>
      <c r="R3223" s="14">
        <v>1</v>
      </c>
      <c r="S3223" s="14" t="s">
        <v>77</v>
      </c>
      <c r="T3223" s="14">
        <v>999</v>
      </c>
      <c r="U3223" s="14" t="s">
        <v>1401</v>
      </c>
      <c r="V3223" s="14">
        <v>31947038</v>
      </c>
      <c r="X3223" s="14" t="s">
        <v>6031</v>
      </c>
      <c r="Y3223" s="14" t="s">
        <v>215</v>
      </c>
      <c r="Z3223" s="14">
        <v>21986</v>
      </c>
      <c r="AA3223" s="14" t="s">
        <v>6032</v>
      </c>
      <c r="AB3223" s="14">
        <v>40001</v>
      </c>
      <c r="AE3223" s="14" t="s">
        <v>1400</v>
      </c>
      <c r="AF3223" s="14" t="s">
        <v>1400</v>
      </c>
      <c r="AG3223" s="14" t="s">
        <v>101</v>
      </c>
    </row>
    <row r="3224" spans="2:33">
      <c r="B3224" s="14">
        <f>10000000+INDEX(编号表!$B:$B,MATCH(H3224,编号表!$A:$A,0))*100000+INDEX(编号表!$F:$F,MATCH(D3224,编号表!$E:$E,0))*10000+INDEX(编号表!$D:$D,MATCH(AG3224,编号表!$C:$C,0))*1000+F3224</f>
        <v>11927037</v>
      </c>
      <c r="C3224" s="14" t="s">
        <v>6033</v>
      </c>
      <c r="D3224" s="14" t="s">
        <v>112</v>
      </c>
      <c r="E3224" s="14" t="s">
        <v>101</v>
      </c>
      <c r="F3224" s="14">
        <v>37</v>
      </c>
      <c r="G3224" s="14">
        <v>60</v>
      </c>
      <c r="H3224" s="14" t="s">
        <v>1400</v>
      </c>
      <c r="I3224" s="14" t="s">
        <v>75</v>
      </c>
      <c r="J3224" s="14" t="s">
        <v>201</v>
      </c>
      <c r="K3224" s="14">
        <v>1</v>
      </c>
      <c r="L3224" s="14" t="s">
        <v>1400</v>
      </c>
      <c r="N3224" s="14">
        <v>0</v>
      </c>
      <c r="O3224" s="14" t="b">
        <v>1</v>
      </c>
      <c r="Q3224" s="14" t="b">
        <v>0</v>
      </c>
      <c r="R3224" s="14">
        <v>1</v>
      </c>
      <c r="S3224" s="14" t="s">
        <v>77</v>
      </c>
      <c r="T3224" s="14">
        <v>999</v>
      </c>
      <c r="U3224" s="14" t="s">
        <v>1401</v>
      </c>
      <c r="V3224" s="14">
        <v>31927037</v>
      </c>
      <c r="X3224" s="14" t="s">
        <v>6034</v>
      </c>
      <c r="Y3224" s="14" t="s">
        <v>215</v>
      </c>
      <c r="Z3224" s="14">
        <v>21987</v>
      </c>
      <c r="AA3224" s="14" t="s">
        <v>6035</v>
      </c>
      <c r="AB3224" s="14">
        <v>40001</v>
      </c>
      <c r="AE3224" s="14" t="s">
        <v>1400</v>
      </c>
      <c r="AF3224" s="14" t="s">
        <v>1400</v>
      </c>
      <c r="AG3224" s="14" t="s">
        <v>101</v>
      </c>
    </row>
    <row r="3225" spans="2:33">
      <c r="B3225" s="14">
        <f>10000000+INDEX(编号表!$B:$B,MATCH(H3225,编号表!$A:$A,0))*100000+INDEX(编号表!$F:$F,MATCH(D3225,编号表!$E:$E,0))*10000+INDEX(编号表!$D:$D,MATCH(AG3225,编号表!$C:$C,0))*1000+F3225</f>
        <v>11937038</v>
      </c>
      <c r="C3225" s="14" t="s">
        <v>6033</v>
      </c>
      <c r="D3225" s="14" t="s">
        <v>276</v>
      </c>
      <c r="E3225" s="14" t="s">
        <v>101</v>
      </c>
      <c r="F3225" s="14">
        <v>38</v>
      </c>
      <c r="G3225" s="14">
        <v>60</v>
      </c>
      <c r="H3225" s="14" t="s">
        <v>1400</v>
      </c>
      <c r="I3225" s="14" t="s">
        <v>75</v>
      </c>
      <c r="J3225" s="14" t="s">
        <v>201</v>
      </c>
      <c r="K3225" s="14">
        <v>1</v>
      </c>
      <c r="L3225" s="14" t="s">
        <v>1400</v>
      </c>
      <c r="N3225" s="14">
        <v>0</v>
      </c>
      <c r="O3225" s="14" t="b">
        <v>1</v>
      </c>
      <c r="Q3225" s="14" t="b">
        <v>0</v>
      </c>
      <c r="R3225" s="14">
        <v>1</v>
      </c>
      <c r="S3225" s="14" t="s">
        <v>77</v>
      </c>
      <c r="T3225" s="14">
        <v>999</v>
      </c>
      <c r="U3225" s="14" t="s">
        <v>1401</v>
      </c>
      <c r="V3225" s="14">
        <v>31937038</v>
      </c>
      <c r="X3225" s="14" t="s">
        <v>6036</v>
      </c>
      <c r="Y3225" s="14" t="s">
        <v>215</v>
      </c>
      <c r="Z3225" s="14">
        <v>21988</v>
      </c>
      <c r="AA3225" s="14" t="s">
        <v>6037</v>
      </c>
      <c r="AB3225" s="14">
        <v>40001</v>
      </c>
      <c r="AE3225" s="14" t="s">
        <v>1400</v>
      </c>
      <c r="AF3225" s="14" t="s">
        <v>1400</v>
      </c>
      <c r="AG3225" s="14" t="s">
        <v>101</v>
      </c>
    </row>
    <row r="3226" spans="2:33">
      <c r="B3226" s="14">
        <f>10000000+INDEX(编号表!$B:$B,MATCH(H3226,编号表!$A:$A,0))*100000+INDEX(编号表!$F:$F,MATCH(D3226,编号表!$E:$E,0))*10000+INDEX(编号表!$D:$D,MATCH(AG3226,编号表!$C:$C,0))*1000+F3226</f>
        <v>11947039</v>
      </c>
      <c r="C3226" s="14" t="s">
        <v>6033</v>
      </c>
      <c r="D3226" s="14" t="s">
        <v>104</v>
      </c>
      <c r="E3226" s="14" t="s">
        <v>101</v>
      </c>
      <c r="F3226" s="14">
        <v>39</v>
      </c>
      <c r="G3226" s="14">
        <v>60</v>
      </c>
      <c r="H3226" s="14" t="s">
        <v>1400</v>
      </c>
      <c r="I3226" s="14" t="s">
        <v>75</v>
      </c>
      <c r="J3226" s="14" t="s">
        <v>201</v>
      </c>
      <c r="K3226" s="14">
        <v>1</v>
      </c>
      <c r="L3226" s="14" t="s">
        <v>1400</v>
      </c>
      <c r="N3226" s="14">
        <v>0</v>
      </c>
      <c r="O3226" s="14" t="b">
        <v>1</v>
      </c>
      <c r="Q3226" s="14" t="b">
        <v>0</v>
      </c>
      <c r="R3226" s="14">
        <v>1</v>
      </c>
      <c r="S3226" s="14" t="s">
        <v>77</v>
      </c>
      <c r="T3226" s="14">
        <v>999</v>
      </c>
      <c r="U3226" s="14" t="s">
        <v>1401</v>
      </c>
      <c r="V3226" s="14">
        <v>31947039</v>
      </c>
      <c r="X3226" s="14" t="s">
        <v>6038</v>
      </c>
      <c r="Y3226" s="14" t="s">
        <v>215</v>
      </c>
      <c r="Z3226" s="14">
        <v>21989</v>
      </c>
      <c r="AA3226" s="14" t="s">
        <v>6039</v>
      </c>
      <c r="AB3226" s="14">
        <v>40001</v>
      </c>
      <c r="AE3226" s="14" t="s">
        <v>1400</v>
      </c>
      <c r="AF3226" s="14" t="s">
        <v>1400</v>
      </c>
      <c r="AG3226" s="14" t="s">
        <v>101</v>
      </c>
    </row>
    <row r="3227" spans="2:33">
      <c r="B3227" s="14">
        <f>10000000+INDEX(编号表!$B:$B,MATCH(H3227,编号表!$A:$A,0))*100000+INDEX(编号表!$F:$F,MATCH(D3227,编号表!$E:$E,0))*10000+INDEX(编号表!$D:$D,MATCH(AG3227,编号表!$C:$C,0))*1000+F3227</f>
        <v>11927038</v>
      </c>
      <c r="C3227" s="14" t="s">
        <v>6040</v>
      </c>
      <c r="D3227" s="14" t="s">
        <v>112</v>
      </c>
      <c r="E3227" s="14" t="s">
        <v>101</v>
      </c>
      <c r="F3227" s="14">
        <v>38</v>
      </c>
      <c r="G3227" s="14">
        <v>60</v>
      </c>
      <c r="H3227" s="14" t="s">
        <v>1400</v>
      </c>
      <c r="I3227" s="14" t="s">
        <v>75</v>
      </c>
      <c r="J3227" s="14" t="s">
        <v>201</v>
      </c>
      <c r="K3227" s="14">
        <v>1</v>
      </c>
      <c r="L3227" s="14" t="s">
        <v>1400</v>
      </c>
      <c r="N3227" s="14">
        <v>0</v>
      </c>
      <c r="O3227" s="14" t="b">
        <v>1</v>
      </c>
      <c r="Q3227" s="14" t="b">
        <v>0</v>
      </c>
      <c r="R3227" s="14">
        <v>1</v>
      </c>
      <c r="S3227" s="14" t="s">
        <v>77</v>
      </c>
      <c r="T3227" s="14">
        <v>999</v>
      </c>
      <c r="U3227" s="14" t="s">
        <v>1401</v>
      </c>
      <c r="V3227" s="14">
        <v>31927038</v>
      </c>
      <c r="X3227" s="14" t="s">
        <v>6041</v>
      </c>
      <c r="Y3227" s="14" t="s">
        <v>215</v>
      </c>
      <c r="Z3227" s="14">
        <v>21990</v>
      </c>
      <c r="AA3227" s="14" t="s">
        <v>6042</v>
      </c>
      <c r="AB3227" s="14">
        <v>40001</v>
      </c>
      <c r="AE3227" s="14" t="s">
        <v>1400</v>
      </c>
      <c r="AF3227" s="14" t="s">
        <v>1400</v>
      </c>
      <c r="AG3227" s="14" t="s">
        <v>101</v>
      </c>
    </row>
    <row r="3228" spans="2:33">
      <c r="B3228" s="14">
        <f>10000000+INDEX(编号表!$B:$B,MATCH(H3228,编号表!$A:$A,0))*100000+INDEX(编号表!$F:$F,MATCH(D3228,编号表!$E:$E,0))*10000+INDEX(编号表!$D:$D,MATCH(AG3228,编号表!$C:$C,0))*1000+F3228</f>
        <v>11937039</v>
      </c>
      <c r="C3228" s="14" t="s">
        <v>6040</v>
      </c>
      <c r="D3228" s="14" t="s">
        <v>276</v>
      </c>
      <c r="E3228" s="14" t="s">
        <v>101</v>
      </c>
      <c r="F3228" s="14">
        <v>39</v>
      </c>
      <c r="G3228" s="14">
        <v>60</v>
      </c>
      <c r="H3228" s="14" t="s">
        <v>1400</v>
      </c>
      <c r="I3228" s="14" t="s">
        <v>75</v>
      </c>
      <c r="J3228" s="14" t="s">
        <v>201</v>
      </c>
      <c r="K3228" s="14">
        <v>1</v>
      </c>
      <c r="L3228" s="14" t="s">
        <v>1400</v>
      </c>
      <c r="N3228" s="14">
        <v>0</v>
      </c>
      <c r="O3228" s="14" t="b">
        <v>1</v>
      </c>
      <c r="Q3228" s="14" t="b">
        <v>0</v>
      </c>
      <c r="R3228" s="14">
        <v>1</v>
      </c>
      <c r="S3228" s="14" t="s">
        <v>77</v>
      </c>
      <c r="T3228" s="14">
        <v>999</v>
      </c>
      <c r="U3228" s="14" t="s">
        <v>1401</v>
      </c>
      <c r="V3228" s="14">
        <v>31937039</v>
      </c>
      <c r="X3228" s="14" t="s">
        <v>6043</v>
      </c>
      <c r="Y3228" s="14" t="s">
        <v>215</v>
      </c>
      <c r="Z3228" s="14">
        <v>21991</v>
      </c>
      <c r="AA3228" s="14" t="s">
        <v>6044</v>
      </c>
      <c r="AB3228" s="14">
        <v>40001</v>
      </c>
      <c r="AE3228" s="14" t="s">
        <v>1400</v>
      </c>
      <c r="AF3228" s="14" t="s">
        <v>1400</v>
      </c>
      <c r="AG3228" s="14" t="s">
        <v>101</v>
      </c>
    </row>
    <row r="3229" spans="2:33">
      <c r="B3229" s="14">
        <f>10000000+INDEX(编号表!$B:$B,MATCH(H3229,编号表!$A:$A,0))*100000+INDEX(编号表!$F:$F,MATCH(D3229,编号表!$E:$E,0))*10000+INDEX(编号表!$D:$D,MATCH(AG3229,编号表!$C:$C,0))*1000+F3229</f>
        <v>11947040</v>
      </c>
      <c r="C3229" s="14" t="s">
        <v>6040</v>
      </c>
      <c r="D3229" s="14" t="s">
        <v>104</v>
      </c>
      <c r="E3229" s="14" t="s">
        <v>101</v>
      </c>
      <c r="F3229" s="14">
        <v>40</v>
      </c>
      <c r="G3229" s="14">
        <v>60</v>
      </c>
      <c r="H3229" s="14" t="s">
        <v>1400</v>
      </c>
      <c r="I3229" s="14" t="s">
        <v>75</v>
      </c>
      <c r="J3229" s="14" t="s">
        <v>201</v>
      </c>
      <c r="K3229" s="14">
        <v>1</v>
      </c>
      <c r="L3229" s="14" t="s">
        <v>1400</v>
      </c>
      <c r="N3229" s="14">
        <v>0</v>
      </c>
      <c r="O3229" s="14" t="b">
        <v>1</v>
      </c>
      <c r="Q3229" s="14" t="b">
        <v>0</v>
      </c>
      <c r="R3229" s="14">
        <v>1</v>
      </c>
      <c r="S3229" s="14" t="s">
        <v>77</v>
      </c>
      <c r="T3229" s="14">
        <v>999</v>
      </c>
      <c r="U3229" s="14" t="s">
        <v>1401</v>
      </c>
      <c r="V3229" s="14">
        <v>31947040</v>
      </c>
      <c r="X3229" s="14" t="s">
        <v>6045</v>
      </c>
      <c r="Y3229" s="14" t="s">
        <v>215</v>
      </c>
      <c r="Z3229" s="14">
        <v>21992</v>
      </c>
      <c r="AA3229" s="14" t="s">
        <v>6046</v>
      </c>
      <c r="AB3229" s="14">
        <v>40001</v>
      </c>
      <c r="AE3229" s="14" t="s">
        <v>1400</v>
      </c>
      <c r="AF3229" s="14" t="s">
        <v>1400</v>
      </c>
      <c r="AG3229" s="14" t="s">
        <v>101</v>
      </c>
    </row>
    <row r="3230" spans="2:33">
      <c r="B3230" s="14">
        <f>10000000+INDEX(编号表!$B:$B,MATCH(H3230,编号表!$A:$A,0))*100000+INDEX(编号表!$F:$F,MATCH(D3230,编号表!$E:$E,0))*10000+INDEX(编号表!$D:$D,MATCH(AG3230,编号表!$C:$C,0))*1000+F3230</f>
        <v>11927039</v>
      </c>
      <c r="C3230" s="14" t="s">
        <v>6047</v>
      </c>
      <c r="D3230" s="14" t="s">
        <v>112</v>
      </c>
      <c r="E3230" s="14" t="s">
        <v>101</v>
      </c>
      <c r="F3230" s="14">
        <v>39</v>
      </c>
      <c r="G3230" s="14">
        <v>60</v>
      </c>
      <c r="H3230" s="14" t="s">
        <v>1400</v>
      </c>
      <c r="I3230" s="14" t="s">
        <v>75</v>
      </c>
      <c r="J3230" s="14" t="s">
        <v>201</v>
      </c>
      <c r="K3230" s="14">
        <v>1</v>
      </c>
      <c r="L3230" s="14" t="s">
        <v>1400</v>
      </c>
      <c r="N3230" s="14">
        <v>0</v>
      </c>
      <c r="O3230" s="14" t="b">
        <v>1</v>
      </c>
      <c r="Q3230" s="14" t="b">
        <v>0</v>
      </c>
      <c r="R3230" s="14">
        <v>1</v>
      </c>
      <c r="S3230" s="14" t="s">
        <v>77</v>
      </c>
      <c r="T3230" s="14">
        <v>999</v>
      </c>
      <c r="U3230" s="14" t="s">
        <v>1401</v>
      </c>
      <c r="V3230" s="14">
        <v>31927039</v>
      </c>
      <c r="X3230" s="14" t="s">
        <v>6048</v>
      </c>
      <c r="Y3230" s="14" t="s">
        <v>215</v>
      </c>
      <c r="Z3230" s="14">
        <v>21993</v>
      </c>
      <c r="AA3230" s="14" t="s">
        <v>6049</v>
      </c>
      <c r="AB3230" s="14">
        <v>40001</v>
      </c>
      <c r="AE3230" s="14" t="s">
        <v>1400</v>
      </c>
      <c r="AF3230" s="14" t="s">
        <v>1400</v>
      </c>
      <c r="AG3230" s="14" t="s">
        <v>101</v>
      </c>
    </row>
    <row r="3231" spans="2:33">
      <c r="B3231" s="14">
        <f>10000000+INDEX(编号表!$B:$B,MATCH(H3231,编号表!$A:$A,0))*100000+INDEX(编号表!$F:$F,MATCH(D3231,编号表!$E:$E,0))*10000+INDEX(编号表!$D:$D,MATCH(AG3231,编号表!$C:$C,0))*1000+F3231</f>
        <v>11937040</v>
      </c>
      <c r="C3231" s="14" t="s">
        <v>6047</v>
      </c>
      <c r="D3231" s="14" t="s">
        <v>276</v>
      </c>
      <c r="E3231" s="14" t="s">
        <v>101</v>
      </c>
      <c r="F3231" s="14">
        <v>40</v>
      </c>
      <c r="G3231" s="14">
        <v>60</v>
      </c>
      <c r="H3231" s="14" t="s">
        <v>1400</v>
      </c>
      <c r="I3231" s="14" t="s">
        <v>75</v>
      </c>
      <c r="J3231" s="14" t="s">
        <v>201</v>
      </c>
      <c r="K3231" s="14">
        <v>1</v>
      </c>
      <c r="L3231" s="14" t="s">
        <v>1400</v>
      </c>
      <c r="N3231" s="14">
        <v>0</v>
      </c>
      <c r="O3231" s="14" t="b">
        <v>1</v>
      </c>
      <c r="Q3231" s="14" t="b">
        <v>0</v>
      </c>
      <c r="R3231" s="14">
        <v>1</v>
      </c>
      <c r="S3231" s="14" t="s">
        <v>77</v>
      </c>
      <c r="T3231" s="14">
        <v>999</v>
      </c>
      <c r="U3231" s="14" t="s">
        <v>1401</v>
      </c>
      <c r="V3231" s="14">
        <v>31937040</v>
      </c>
      <c r="X3231" s="14" t="s">
        <v>6050</v>
      </c>
      <c r="Y3231" s="14" t="s">
        <v>215</v>
      </c>
      <c r="Z3231" s="14">
        <v>21994</v>
      </c>
      <c r="AA3231" s="14" t="s">
        <v>6051</v>
      </c>
      <c r="AB3231" s="14">
        <v>40001</v>
      </c>
      <c r="AE3231" s="14" t="s">
        <v>1400</v>
      </c>
      <c r="AF3231" s="14" t="s">
        <v>1400</v>
      </c>
      <c r="AG3231" s="14" t="s">
        <v>101</v>
      </c>
    </row>
    <row r="3232" spans="2:33">
      <c r="B3232" s="14">
        <f>10000000+INDEX(编号表!$B:$B,MATCH(H3232,编号表!$A:$A,0))*100000+INDEX(编号表!$F:$F,MATCH(D3232,编号表!$E:$E,0))*10000+INDEX(编号表!$D:$D,MATCH(AG3232,编号表!$C:$C,0))*1000+F3232</f>
        <v>11947041</v>
      </c>
      <c r="C3232" s="14" t="s">
        <v>6047</v>
      </c>
      <c r="D3232" s="14" t="s">
        <v>104</v>
      </c>
      <c r="E3232" s="14" t="s">
        <v>101</v>
      </c>
      <c r="F3232" s="14">
        <v>41</v>
      </c>
      <c r="G3232" s="14">
        <v>60</v>
      </c>
      <c r="H3232" s="14" t="s">
        <v>1400</v>
      </c>
      <c r="I3232" s="14" t="s">
        <v>75</v>
      </c>
      <c r="J3232" s="14" t="s">
        <v>201</v>
      </c>
      <c r="K3232" s="14">
        <v>1</v>
      </c>
      <c r="L3232" s="14" t="s">
        <v>1400</v>
      </c>
      <c r="N3232" s="14">
        <v>0</v>
      </c>
      <c r="O3232" s="14" t="b">
        <v>1</v>
      </c>
      <c r="Q3232" s="14" t="b">
        <v>0</v>
      </c>
      <c r="R3232" s="14">
        <v>1</v>
      </c>
      <c r="S3232" s="14" t="s">
        <v>77</v>
      </c>
      <c r="T3232" s="14">
        <v>999</v>
      </c>
      <c r="U3232" s="14" t="s">
        <v>1401</v>
      </c>
      <c r="V3232" s="14">
        <v>31947041</v>
      </c>
      <c r="X3232" s="14" t="s">
        <v>6052</v>
      </c>
      <c r="Y3232" s="14" t="s">
        <v>215</v>
      </c>
      <c r="Z3232" s="14">
        <v>21995</v>
      </c>
      <c r="AA3232" s="14" t="s">
        <v>6053</v>
      </c>
      <c r="AB3232" s="14">
        <v>40001</v>
      </c>
      <c r="AE3232" s="14" t="s">
        <v>1400</v>
      </c>
      <c r="AF3232" s="14" t="s">
        <v>1400</v>
      </c>
      <c r="AG3232" s="14" t="s">
        <v>101</v>
      </c>
    </row>
    <row r="3233" spans="2:33">
      <c r="B3233" s="14">
        <f>10000000+INDEX(编号表!$B:$B,MATCH(H3233,编号表!$A:$A,0))*100000+INDEX(编号表!$F:$F,MATCH(D3233,编号表!$E:$E,0))*10000+INDEX(编号表!$D:$D,MATCH(AG3233,编号表!$C:$C,0))*1000+F3233</f>
        <v>11927040</v>
      </c>
      <c r="C3233" s="14" t="s">
        <v>6054</v>
      </c>
      <c r="D3233" s="14" t="s">
        <v>112</v>
      </c>
      <c r="E3233" s="14" t="s">
        <v>101</v>
      </c>
      <c r="F3233" s="14">
        <v>40</v>
      </c>
      <c r="G3233" s="14">
        <v>60</v>
      </c>
      <c r="H3233" s="14" t="s">
        <v>1400</v>
      </c>
      <c r="I3233" s="14" t="s">
        <v>75</v>
      </c>
      <c r="J3233" s="14" t="s">
        <v>201</v>
      </c>
      <c r="K3233" s="14">
        <v>1</v>
      </c>
      <c r="L3233" s="14" t="s">
        <v>1400</v>
      </c>
      <c r="N3233" s="14">
        <v>0</v>
      </c>
      <c r="O3233" s="14" t="b">
        <v>1</v>
      </c>
      <c r="Q3233" s="14" t="b">
        <v>0</v>
      </c>
      <c r="R3233" s="14">
        <v>1</v>
      </c>
      <c r="S3233" s="14" t="s">
        <v>77</v>
      </c>
      <c r="T3233" s="14">
        <v>999</v>
      </c>
      <c r="U3233" s="14" t="s">
        <v>1401</v>
      </c>
      <c r="V3233" s="14">
        <v>31927040</v>
      </c>
      <c r="X3233" s="14" t="s">
        <v>6055</v>
      </c>
      <c r="Y3233" s="14" t="s">
        <v>215</v>
      </c>
      <c r="Z3233" s="14">
        <v>21996</v>
      </c>
      <c r="AA3233" s="14" t="s">
        <v>6056</v>
      </c>
      <c r="AB3233" s="14">
        <v>40001</v>
      </c>
      <c r="AE3233" s="14" t="s">
        <v>1400</v>
      </c>
      <c r="AF3233" s="14" t="s">
        <v>1400</v>
      </c>
      <c r="AG3233" s="14" t="s">
        <v>101</v>
      </c>
    </row>
    <row r="3234" spans="2:33">
      <c r="B3234" s="14">
        <f>10000000+INDEX(编号表!$B:$B,MATCH(H3234,编号表!$A:$A,0))*100000+INDEX(编号表!$F:$F,MATCH(D3234,编号表!$E:$E,0))*10000+INDEX(编号表!$D:$D,MATCH(AG3234,编号表!$C:$C,0))*1000+F3234</f>
        <v>11937041</v>
      </c>
      <c r="C3234" s="14" t="s">
        <v>6054</v>
      </c>
      <c r="D3234" s="14" t="s">
        <v>276</v>
      </c>
      <c r="E3234" s="14" t="s">
        <v>101</v>
      </c>
      <c r="F3234" s="14">
        <v>41</v>
      </c>
      <c r="G3234" s="14">
        <v>60</v>
      </c>
      <c r="H3234" s="14" t="s">
        <v>1400</v>
      </c>
      <c r="I3234" s="14" t="s">
        <v>75</v>
      </c>
      <c r="J3234" s="14" t="s">
        <v>201</v>
      </c>
      <c r="K3234" s="14">
        <v>1</v>
      </c>
      <c r="L3234" s="14" t="s">
        <v>1400</v>
      </c>
      <c r="N3234" s="14">
        <v>0</v>
      </c>
      <c r="O3234" s="14" t="b">
        <v>1</v>
      </c>
      <c r="Q3234" s="14" t="b">
        <v>0</v>
      </c>
      <c r="R3234" s="14">
        <v>1</v>
      </c>
      <c r="S3234" s="14" t="s">
        <v>77</v>
      </c>
      <c r="T3234" s="14">
        <v>999</v>
      </c>
      <c r="U3234" s="14" t="s">
        <v>1401</v>
      </c>
      <c r="V3234" s="14">
        <v>31937041</v>
      </c>
      <c r="X3234" s="14" t="s">
        <v>6057</v>
      </c>
      <c r="Y3234" s="14" t="s">
        <v>215</v>
      </c>
      <c r="Z3234" s="14">
        <v>21997</v>
      </c>
      <c r="AA3234" s="14" t="s">
        <v>6058</v>
      </c>
      <c r="AB3234" s="14">
        <v>40001</v>
      </c>
      <c r="AE3234" s="14" t="s">
        <v>1400</v>
      </c>
      <c r="AF3234" s="14" t="s">
        <v>1400</v>
      </c>
      <c r="AG3234" s="14" t="s">
        <v>101</v>
      </c>
    </row>
    <row r="3235" spans="2:33">
      <c r="B3235" s="14">
        <f>10000000+INDEX(编号表!$B:$B,MATCH(H3235,编号表!$A:$A,0))*100000+INDEX(编号表!$F:$F,MATCH(D3235,编号表!$E:$E,0))*10000+INDEX(编号表!$D:$D,MATCH(AG3235,编号表!$C:$C,0))*1000+F3235</f>
        <v>11947042</v>
      </c>
      <c r="C3235" s="14" t="s">
        <v>6054</v>
      </c>
      <c r="D3235" s="14" t="s">
        <v>104</v>
      </c>
      <c r="E3235" s="14" t="s">
        <v>101</v>
      </c>
      <c r="F3235" s="14">
        <v>42</v>
      </c>
      <c r="G3235" s="14">
        <v>60</v>
      </c>
      <c r="H3235" s="14" t="s">
        <v>1400</v>
      </c>
      <c r="I3235" s="14" t="s">
        <v>75</v>
      </c>
      <c r="J3235" s="14" t="s">
        <v>201</v>
      </c>
      <c r="K3235" s="14">
        <v>1</v>
      </c>
      <c r="L3235" s="14" t="s">
        <v>1400</v>
      </c>
      <c r="N3235" s="14">
        <v>0</v>
      </c>
      <c r="O3235" s="14" t="b">
        <v>1</v>
      </c>
      <c r="Q3235" s="14" t="b">
        <v>0</v>
      </c>
      <c r="R3235" s="14">
        <v>1</v>
      </c>
      <c r="S3235" s="14" t="s">
        <v>77</v>
      </c>
      <c r="T3235" s="14">
        <v>999</v>
      </c>
      <c r="U3235" s="14" t="s">
        <v>1401</v>
      </c>
      <c r="V3235" s="14">
        <v>31947042</v>
      </c>
      <c r="X3235" s="14" t="s">
        <v>6059</v>
      </c>
      <c r="Y3235" s="14" t="s">
        <v>215</v>
      </c>
      <c r="Z3235" s="14">
        <v>21998</v>
      </c>
      <c r="AA3235" s="14" t="s">
        <v>6060</v>
      </c>
      <c r="AB3235" s="14">
        <v>40001</v>
      </c>
      <c r="AE3235" s="14" t="s">
        <v>1400</v>
      </c>
      <c r="AF3235" s="14" t="s">
        <v>1400</v>
      </c>
      <c r="AG3235" s="14" t="s">
        <v>101</v>
      </c>
    </row>
    <row r="3236" spans="2:33">
      <c r="B3236" s="14">
        <f>10000000+INDEX(编号表!$B:$B,MATCH(H3236,编号表!$A:$A,0))*100000+INDEX(编号表!$F:$F,MATCH(D3236,编号表!$E:$E,0))*10000+INDEX(编号表!$D:$D,MATCH(AG3236,编号表!$C:$C,0))*1000+F3236</f>
        <v>11927041</v>
      </c>
      <c r="C3236" s="14" t="s">
        <v>6061</v>
      </c>
      <c r="D3236" s="14" t="s">
        <v>112</v>
      </c>
      <c r="E3236" s="14" t="s">
        <v>101</v>
      </c>
      <c r="F3236" s="14">
        <v>41</v>
      </c>
      <c r="G3236" s="14">
        <v>60</v>
      </c>
      <c r="H3236" s="14" t="s">
        <v>1400</v>
      </c>
      <c r="I3236" s="14" t="s">
        <v>75</v>
      </c>
      <c r="J3236" s="14" t="s">
        <v>201</v>
      </c>
      <c r="K3236" s="14">
        <v>1</v>
      </c>
      <c r="L3236" s="14" t="s">
        <v>1400</v>
      </c>
      <c r="N3236" s="14">
        <v>0</v>
      </c>
      <c r="O3236" s="14" t="b">
        <v>1</v>
      </c>
      <c r="Q3236" s="14" t="b">
        <v>0</v>
      </c>
      <c r="R3236" s="14">
        <v>1</v>
      </c>
      <c r="S3236" s="14" t="s">
        <v>77</v>
      </c>
      <c r="T3236" s="14">
        <v>999</v>
      </c>
      <c r="U3236" s="14" t="s">
        <v>1401</v>
      </c>
      <c r="V3236" s="14">
        <v>31927041</v>
      </c>
      <c r="X3236" s="14" t="s">
        <v>6062</v>
      </c>
      <c r="Y3236" s="14" t="s">
        <v>215</v>
      </c>
      <c r="Z3236" s="14">
        <v>21999</v>
      </c>
      <c r="AA3236" s="14" t="s">
        <v>6063</v>
      </c>
      <c r="AB3236" s="14">
        <v>40001</v>
      </c>
      <c r="AE3236" s="14" t="s">
        <v>1400</v>
      </c>
      <c r="AF3236" s="14" t="s">
        <v>1400</v>
      </c>
      <c r="AG3236" s="14" t="s">
        <v>101</v>
      </c>
    </row>
    <row r="3237" spans="2:33">
      <c r="B3237" s="14">
        <f>10000000+INDEX(编号表!$B:$B,MATCH(H3237,编号表!$A:$A,0))*100000+INDEX(编号表!$F:$F,MATCH(D3237,编号表!$E:$E,0))*10000+INDEX(编号表!$D:$D,MATCH(AG3237,编号表!$C:$C,0))*1000+F3237</f>
        <v>11937042</v>
      </c>
      <c r="C3237" s="14" t="s">
        <v>6061</v>
      </c>
      <c r="D3237" s="14" t="s">
        <v>276</v>
      </c>
      <c r="E3237" s="14" t="s">
        <v>101</v>
      </c>
      <c r="F3237" s="14">
        <v>42</v>
      </c>
      <c r="G3237" s="14">
        <v>60</v>
      </c>
      <c r="H3237" s="14" t="s">
        <v>1400</v>
      </c>
      <c r="I3237" s="14" t="s">
        <v>75</v>
      </c>
      <c r="J3237" s="14" t="s">
        <v>201</v>
      </c>
      <c r="K3237" s="14">
        <v>1</v>
      </c>
      <c r="L3237" s="14" t="s">
        <v>1400</v>
      </c>
      <c r="N3237" s="14">
        <v>0</v>
      </c>
      <c r="O3237" s="14" t="b">
        <v>1</v>
      </c>
      <c r="Q3237" s="14" t="b">
        <v>0</v>
      </c>
      <c r="R3237" s="14">
        <v>1</v>
      </c>
      <c r="S3237" s="14" t="s">
        <v>77</v>
      </c>
      <c r="T3237" s="14">
        <v>999</v>
      </c>
      <c r="U3237" s="14" t="s">
        <v>1401</v>
      </c>
      <c r="V3237" s="14">
        <v>31937042</v>
      </c>
      <c r="X3237" s="14" t="s">
        <v>6064</v>
      </c>
      <c r="Y3237" s="14" t="s">
        <v>215</v>
      </c>
      <c r="Z3237" s="14">
        <v>22000</v>
      </c>
      <c r="AA3237" s="14" t="s">
        <v>6065</v>
      </c>
      <c r="AB3237" s="14">
        <v>40001</v>
      </c>
      <c r="AE3237" s="14" t="s">
        <v>1400</v>
      </c>
      <c r="AF3237" s="14" t="s">
        <v>1400</v>
      </c>
      <c r="AG3237" s="14" t="s">
        <v>101</v>
      </c>
    </row>
    <row r="3238" spans="2:33">
      <c r="B3238" s="14">
        <f>10000000+INDEX(编号表!$B:$B,MATCH(H3238,编号表!$A:$A,0))*100000+INDEX(编号表!$F:$F,MATCH(D3238,编号表!$E:$E,0))*10000+INDEX(编号表!$D:$D,MATCH(AG3238,编号表!$C:$C,0))*1000+F3238</f>
        <v>11947043</v>
      </c>
      <c r="C3238" s="14" t="s">
        <v>6061</v>
      </c>
      <c r="D3238" s="14" t="s">
        <v>104</v>
      </c>
      <c r="E3238" s="14" t="s">
        <v>101</v>
      </c>
      <c r="F3238" s="14">
        <v>43</v>
      </c>
      <c r="G3238" s="14">
        <v>60</v>
      </c>
      <c r="H3238" s="14" t="s">
        <v>1400</v>
      </c>
      <c r="I3238" s="14" t="s">
        <v>75</v>
      </c>
      <c r="J3238" s="14" t="s">
        <v>201</v>
      </c>
      <c r="K3238" s="14">
        <v>1</v>
      </c>
      <c r="L3238" s="14" t="s">
        <v>1400</v>
      </c>
      <c r="N3238" s="14">
        <v>0</v>
      </c>
      <c r="O3238" s="14" t="b">
        <v>1</v>
      </c>
      <c r="Q3238" s="14" t="b">
        <v>0</v>
      </c>
      <c r="R3238" s="14">
        <v>1</v>
      </c>
      <c r="S3238" s="14" t="s">
        <v>77</v>
      </c>
      <c r="T3238" s="14">
        <v>999</v>
      </c>
      <c r="U3238" s="14" t="s">
        <v>1401</v>
      </c>
      <c r="V3238" s="14">
        <v>31947043</v>
      </c>
      <c r="X3238" s="14" t="s">
        <v>6066</v>
      </c>
      <c r="Y3238" s="14" t="s">
        <v>215</v>
      </c>
      <c r="Z3238" s="14">
        <v>22001</v>
      </c>
      <c r="AA3238" s="14" t="s">
        <v>6067</v>
      </c>
      <c r="AB3238" s="14">
        <v>40001</v>
      </c>
      <c r="AE3238" s="14" t="s">
        <v>1400</v>
      </c>
      <c r="AF3238" s="14" t="s">
        <v>1400</v>
      </c>
      <c r="AG3238" s="14" t="s">
        <v>101</v>
      </c>
    </row>
    <row r="3239" spans="2:33">
      <c r="B3239" s="14">
        <f>10000000+INDEX(编号表!$B:$B,MATCH(H3239,编号表!$A:$A,0))*100000+INDEX(编号表!$F:$F,MATCH(D3239,编号表!$E:$E,0))*10000+INDEX(编号表!$D:$D,MATCH(AG3239,编号表!$C:$C,0))*1000+F3239</f>
        <v>11927042</v>
      </c>
      <c r="C3239" s="14" t="s">
        <v>6068</v>
      </c>
      <c r="D3239" s="14" t="s">
        <v>112</v>
      </c>
      <c r="E3239" s="14" t="s">
        <v>101</v>
      </c>
      <c r="F3239" s="14">
        <v>42</v>
      </c>
      <c r="G3239" s="14">
        <v>60</v>
      </c>
      <c r="H3239" s="14" t="s">
        <v>1400</v>
      </c>
      <c r="I3239" s="14" t="s">
        <v>75</v>
      </c>
      <c r="J3239" s="14" t="s">
        <v>201</v>
      </c>
      <c r="K3239" s="14">
        <v>1</v>
      </c>
      <c r="L3239" s="14" t="s">
        <v>1400</v>
      </c>
      <c r="N3239" s="14">
        <v>0</v>
      </c>
      <c r="O3239" s="14" t="b">
        <v>1</v>
      </c>
      <c r="Q3239" s="14" t="b">
        <v>0</v>
      </c>
      <c r="R3239" s="14">
        <v>1</v>
      </c>
      <c r="S3239" s="14" t="s">
        <v>77</v>
      </c>
      <c r="T3239" s="14">
        <v>999</v>
      </c>
      <c r="U3239" s="14" t="s">
        <v>1401</v>
      </c>
      <c r="V3239" s="14">
        <v>31927042</v>
      </c>
      <c r="X3239" s="14" t="s">
        <v>6069</v>
      </c>
      <c r="Y3239" s="14" t="s">
        <v>215</v>
      </c>
      <c r="Z3239" s="14">
        <v>22002</v>
      </c>
      <c r="AA3239" s="14" t="s">
        <v>6070</v>
      </c>
      <c r="AB3239" s="14">
        <v>40001</v>
      </c>
      <c r="AE3239" s="14" t="s">
        <v>1400</v>
      </c>
      <c r="AF3239" s="14" t="s">
        <v>1400</v>
      </c>
      <c r="AG3239" s="14" t="s">
        <v>101</v>
      </c>
    </row>
    <row r="3240" spans="2:33">
      <c r="B3240" s="14">
        <f>10000000+INDEX(编号表!$B:$B,MATCH(H3240,编号表!$A:$A,0))*100000+INDEX(编号表!$F:$F,MATCH(D3240,编号表!$E:$E,0))*10000+INDEX(编号表!$D:$D,MATCH(AG3240,编号表!$C:$C,0))*1000+F3240</f>
        <v>11937043</v>
      </c>
      <c r="C3240" s="14" t="s">
        <v>6068</v>
      </c>
      <c r="D3240" s="14" t="s">
        <v>276</v>
      </c>
      <c r="E3240" s="14" t="s">
        <v>101</v>
      </c>
      <c r="F3240" s="14">
        <v>43</v>
      </c>
      <c r="G3240" s="14">
        <v>60</v>
      </c>
      <c r="H3240" s="14" t="s">
        <v>1400</v>
      </c>
      <c r="I3240" s="14" t="s">
        <v>75</v>
      </c>
      <c r="J3240" s="14" t="s">
        <v>201</v>
      </c>
      <c r="K3240" s="14">
        <v>1</v>
      </c>
      <c r="L3240" s="14" t="s">
        <v>1400</v>
      </c>
      <c r="N3240" s="14">
        <v>0</v>
      </c>
      <c r="O3240" s="14" t="b">
        <v>1</v>
      </c>
      <c r="Q3240" s="14" t="b">
        <v>0</v>
      </c>
      <c r="R3240" s="14">
        <v>1</v>
      </c>
      <c r="S3240" s="14" t="s">
        <v>77</v>
      </c>
      <c r="T3240" s="14">
        <v>999</v>
      </c>
      <c r="U3240" s="14" t="s">
        <v>1401</v>
      </c>
      <c r="V3240" s="14">
        <v>31937043</v>
      </c>
      <c r="X3240" s="14" t="s">
        <v>6071</v>
      </c>
      <c r="Y3240" s="14" t="s">
        <v>215</v>
      </c>
      <c r="Z3240" s="14">
        <v>22003</v>
      </c>
      <c r="AA3240" s="14" t="s">
        <v>6072</v>
      </c>
      <c r="AB3240" s="14">
        <v>40001</v>
      </c>
      <c r="AE3240" s="14" t="s">
        <v>1400</v>
      </c>
      <c r="AF3240" s="14" t="s">
        <v>1400</v>
      </c>
      <c r="AG3240" s="14" t="s">
        <v>101</v>
      </c>
    </row>
    <row r="3241" spans="2:33">
      <c r="B3241" s="14">
        <f>10000000+INDEX(编号表!$B:$B,MATCH(H3241,编号表!$A:$A,0))*100000+INDEX(编号表!$F:$F,MATCH(D3241,编号表!$E:$E,0))*10000+INDEX(编号表!$D:$D,MATCH(AG3241,编号表!$C:$C,0))*1000+F3241</f>
        <v>11947044</v>
      </c>
      <c r="C3241" s="14" t="s">
        <v>6068</v>
      </c>
      <c r="D3241" s="14" t="s">
        <v>104</v>
      </c>
      <c r="E3241" s="14" t="s">
        <v>101</v>
      </c>
      <c r="F3241" s="14">
        <v>44</v>
      </c>
      <c r="G3241" s="14">
        <v>60</v>
      </c>
      <c r="H3241" s="14" t="s">
        <v>1400</v>
      </c>
      <c r="I3241" s="14" t="s">
        <v>75</v>
      </c>
      <c r="J3241" s="14" t="s">
        <v>201</v>
      </c>
      <c r="K3241" s="14">
        <v>1</v>
      </c>
      <c r="L3241" s="14" t="s">
        <v>1400</v>
      </c>
      <c r="N3241" s="14">
        <v>0</v>
      </c>
      <c r="O3241" s="14" t="b">
        <v>1</v>
      </c>
      <c r="Q3241" s="14" t="b">
        <v>0</v>
      </c>
      <c r="R3241" s="14">
        <v>1</v>
      </c>
      <c r="S3241" s="14" t="s">
        <v>77</v>
      </c>
      <c r="T3241" s="14">
        <v>999</v>
      </c>
      <c r="U3241" s="14" t="s">
        <v>1401</v>
      </c>
      <c r="V3241" s="14">
        <v>31947044</v>
      </c>
      <c r="X3241" s="14" t="s">
        <v>6073</v>
      </c>
      <c r="Y3241" s="14" t="s">
        <v>215</v>
      </c>
      <c r="Z3241" s="14">
        <v>22004</v>
      </c>
      <c r="AA3241" s="14" t="s">
        <v>6074</v>
      </c>
      <c r="AB3241" s="14">
        <v>40001</v>
      </c>
      <c r="AE3241" s="14" t="s">
        <v>1400</v>
      </c>
      <c r="AF3241" s="14" t="s">
        <v>1400</v>
      </c>
      <c r="AG3241" s="14" t="s">
        <v>101</v>
      </c>
    </row>
    <row r="3242" spans="2:33">
      <c r="B3242" s="14">
        <f>10000000+INDEX(编号表!$B:$B,MATCH(H3242,编号表!$A:$A,0))*100000+INDEX(编号表!$F:$F,MATCH(D3242,编号表!$E:$E,0))*10000+INDEX(编号表!$D:$D,MATCH(AG3242,编号表!$C:$C,0))*1000+F3242</f>
        <v>11927043</v>
      </c>
      <c r="C3242" s="14" t="s">
        <v>6075</v>
      </c>
      <c r="D3242" s="14" t="s">
        <v>112</v>
      </c>
      <c r="E3242" s="14" t="s">
        <v>101</v>
      </c>
      <c r="F3242" s="14">
        <v>43</v>
      </c>
      <c r="G3242" s="14">
        <v>60</v>
      </c>
      <c r="H3242" s="14" t="s">
        <v>1400</v>
      </c>
      <c r="I3242" s="14" t="s">
        <v>75</v>
      </c>
      <c r="J3242" s="14" t="s">
        <v>201</v>
      </c>
      <c r="K3242" s="14">
        <v>1</v>
      </c>
      <c r="L3242" s="14" t="s">
        <v>1400</v>
      </c>
      <c r="N3242" s="14">
        <v>0</v>
      </c>
      <c r="O3242" s="14" t="b">
        <v>1</v>
      </c>
      <c r="Q3242" s="14" t="b">
        <v>0</v>
      </c>
      <c r="R3242" s="14">
        <v>1</v>
      </c>
      <c r="S3242" s="14" t="s">
        <v>77</v>
      </c>
      <c r="T3242" s="14">
        <v>999</v>
      </c>
      <c r="U3242" s="14" t="s">
        <v>1401</v>
      </c>
      <c r="V3242" s="14">
        <v>31927043</v>
      </c>
      <c r="X3242" s="14" t="s">
        <v>6076</v>
      </c>
      <c r="Y3242" s="14" t="s">
        <v>215</v>
      </c>
      <c r="Z3242" s="14">
        <v>22005</v>
      </c>
      <c r="AA3242" s="14" t="s">
        <v>6077</v>
      </c>
      <c r="AB3242" s="14">
        <v>40001</v>
      </c>
      <c r="AE3242" s="14" t="s">
        <v>1400</v>
      </c>
      <c r="AF3242" s="14" t="s">
        <v>1400</v>
      </c>
      <c r="AG3242" s="14" t="s">
        <v>101</v>
      </c>
    </row>
    <row r="3243" spans="2:33">
      <c r="B3243" s="14">
        <f>10000000+INDEX(编号表!$B:$B,MATCH(H3243,编号表!$A:$A,0))*100000+INDEX(编号表!$F:$F,MATCH(D3243,编号表!$E:$E,0))*10000+INDEX(编号表!$D:$D,MATCH(AG3243,编号表!$C:$C,0))*1000+F3243</f>
        <v>11937044</v>
      </c>
      <c r="C3243" s="14" t="s">
        <v>6075</v>
      </c>
      <c r="D3243" s="14" t="s">
        <v>276</v>
      </c>
      <c r="E3243" s="14" t="s">
        <v>101</v>
      </c>
      <c r="F3243" s="14">
        <v>44</v>
      </c>
      <c r="G3243" s="14">
        <v>60</v>
      </c>
      <c r="H3243" s="14" t="s">
        <v>1400</v>
      </c>
      <c r="I3243" s="14" t="s">
        <v>75</v>
      </c>
      <c r="J3243" s="14" t="s">
        <v>201</v>
      </c>
      <c r="K3243" s="14">
        <v>1</v>
      </c>
      <c r="L3243" s="14" t="s">
        <v>1400</v>
      </c>
      <c r="N3243" s="14">
        <v>0</v>
      </c>
      <c r="O3243" s="14" t="b">
        <v>1</v>
      </c>
      <c r="Q3243" s="14" t="b">
        <v>0</v>
      </c>
      <c r="R3243" s="14">
        <v>1</v>
      </c>
      <c r="S3243" s="14" t="s">
        <v>77</v>
      </c>
      <c r="T3243" s="14">
        <v>999</v>
      </c>
      <c r="U3243" s="14" t="s">
        <v>1401</v>
      </c>
      <c r="V3243" s="14">
        <v>31937044</v>
      </c>
      <c r="X3243" s="14" t="s">
        <v>6078</v>
      </c>
      <c r="Y3243" s="14" t="s">
        <v>215</v>
      </c>
      <c r="Z3243" s="14">
        <v>22006</v>
      </c>
      <c r="AA3243" s="14" t="s">
        <v>6079</v>
      </c>
      <c r="AB3243" s="14">
        <v>40001</v>
      </c>
      <c r="AE3243" s="14" t="s">
        <v>1400</v>
      </c>
      <c r="AF3243" s="14" t="s">
        <v>1400</v>
      </c>
      <c r="AG3243" s="14" t="s">
        <v>101</v>
      </c>
    </row>
    <row r="3244" spans="2:33">
      <c r="B3244" s="14">
        <f>10000000+INDEX(编号表!$B:$B,MATCH(H3244,编号表!$A:$A,0))*100000+INDEX(编号表!$F:$F,MATCH(D3244,编号表!$E:$E,0))*10000+INDEX(编号表!$D:$D,MATCH(AG3244,编号表!$C:$C,0))*1000+F3244</f>
        <v>11947045</v>
      </c>
      <c r="C3244" s="14" t="s">
        <v>6075</v>
      </c>
      <c r="D3244" s="14" t="s">
        <v>104</v>
      </c>
      <c r="E3244" s="14" t="s">
        <v>101</v>
      </c>
      <c r="F3244" s="14">
        <v>45</v>
      </c>
      <c r="G3244" s="14">
        <v>60</v>
      </c>
      <c r="H3244" s="14" t="s">
        <v>1400</v>
      </c>
      <c r="I3244" s="14" t="s">
        <v>75</v>
      </c>
      <c r="J3244" s="14" t="s">
        <v>201</v>
      </c>
      <c r="K3244" s="14">
        <v>1</v>
      </c>
      <c r="L3244" s="14" t="s">
        <v>1400</v>
      </c>
      <c r="N3244" s="14">
        <v>0</v>
      </c>
      <c r="O3244" s="14" t="b">
        <v>1</v>
      </c>
      <c r="Q3244" s="14" t="b">
        <v>0</v>
      </c>
      <c r="R3244" s="14">
        <v>1</v>
      </c>
      <c r="S3244" s="14" t="s">
        <v>77</v>
      </c>
      <c r="T3244" s="14">
        <v>999</v>
      </c>
      <c r="U3244" s="14" t="s">
        <v>1401</v>
      </c>
      <c r="V3244" s="14">
        <v>31947045</v>
      </c>
      <c r="X3244" s="14" t="s">
        <v>6080</v>
      </c>
      <c r="Y3244" s="14" t="s">
        <v>215</v>
      </c>
      <c r="Z3244" s="14">
        <v>22007</v>
      </c>
      <c r="AA3244" s="14" t="s">
        <v>6081</v>
      </c>
      <c r="AB3244" s="14">
        <v>40001</v>
      </c>
      <c r="AE3244" s="14" t="s">
        <v>1400</v>
      </c>
      <c r="AF3244" s="14" t="s">
        <v>1400</v>
      </c>
      <c r="AG3244" s="14" t="s">
        <v>101</v>
      </c>
    </row>
    <row r="3245" spans="2:33">
      <c r="B3245" s="14">
        <f>10000000+INDEX(编号表!$B:$B,MATCH(H3245,编号表!$A:$A,0))*100000+INDEX(编号表!$F:$F,MATCH(D3245,编号表!$E:$E,0))*10000+INDEX(编号表!$D:$D,MATCH(AG3245,编号表!$C:$C,0))*1000+F3245</f>
        <v>11927044</v>
      </c>
      <c r="C3245" s="14" t="s">
        <v>6082</v>
      </c>
      <c r="D3245" s="14" t="s">
        <v>112</v>
      </c>
      <c r="E3245" s="14" t="s">
        <v>101</v>
      </c>
      <c r="F3245" s="14">
        <v>44</v>
      </c>
      <c r="G3245" s="14">
        <v>60</v>
      </c>
      <c r="H3245" s="14" t="s">
        <v>1400</v>
      </c>
      <c r="I3245" s="14" t="s">
        <v>75</v>
      </c>
      <c r="J3245" s="14" t="s">
        <v>201</v>
      </c>
      <c r="K3245" s="14">
        <v>1</v>
      </c>
      <c r="L3245" s="14" t="s">
        <v>1400</v>
      </c>
      <c r="N3245" s="14">
        <v>0</v>
      </c>
      <c r="O3245" s="14" t="b">
        <v>1</v>
      </c>
      <c r="Q3245" s="14" t="b">
        <v>0</v>
      </c>
      <c r="R3245" s="14">
        <v>1</v>
      </c>
      <c r="S3245" s="14" t="s">
        <v>77</v>
      </c>
      <c r="T3245" s="14">
        <v>999</v>
      </c>
      <c r="U3245" s="14" t="s">
        <v>1401</v>
      </c>
      <c r="V3245" s="14">
        <v>31927044</v>
      </c>
      <c r="X3245" s="14" t="s">
        <v>6083</v>
      </c>
      <c r="Y3245" s="14" t="s">
        <v>215</v>
      </c>
      <c r="Z3245" s="14">
        <v>22008</v>
      </c>
      <c r="AA3245" s="14" t="s">
        <v>6084</v>
      </c>
      <c r="AB3245" s="14">
        <v>40001</v>
      </c>
      <c r="AE3245" s="14" t="s">
        <v>1400</v>
      </c>
      <c r="AF3245" s="14" t="s">
        <v>1400</v>
      </c>
      <c r="AG3245" s="14" t="s">
        <v>101</v>
      </c>
    </row>
    <row r="3246" spans="2:33">
      <c r="B3246" s="14">
        <f>10000000+INDEX(编号表!$B:$B,MATCH(H3246,编号表!$A:$A,0))*100000+INDEX(编号表!$F:$F,MATCH(D3246,编号表!$E:$E,0))*10000+INDEX(编号表!$D:$D,MATCH(AG3246,编号表!$C:$C,0))*1000+F3246</f>
        <v>11937045</v>
      </c>
      <c r="C3246" s="14" t="s">
        <v>6082</v>
      </c>
      <c r="D3246" s="14" t="s">
        <v>276</v>
      </c>
      <c r="E3246" s="14" t="s">
        <v>101</v>
      </c>
      <c r="F3246" s="14">
        <v>45</v>
      </c>
      <c r="G3246" s="14">
        <v>60</v>
      </c>
      <c r="H3246" s="14" t="s">
        <v>1400</v>
      </c>
      <c r="I3246" s="14" t="s">
        <v>75</v>
      </c>
      <c r="J3246" s="14" t="s">
        <v>201</v>
      </c>
      <c r="K3246" s="14">
        <v>1</v>
      </c>
      <c r="L3246" s="14" t="s">
        <v>1400</v>
      </c>
      <c r="N3246" s="14">
        <v>0</v>
      </c>
      <c r="O3246" s="14" t="b">
        <v>1</v>
      </c>
      <c r="Q3246" s="14" t="b">
        <v>0</v>
      </c>
      <c r="R3246" s="14">
        <v>1</v>
      </c>
      <c r="S3246" s="14" t="s">
        <v>77</v>
      </c>
      <c r="T3246" s="14">
        <v>999</v>
      </c>
      <c r="U3246" s="14" t="s">
        <v>1401</v>
      </c>
      <c r="V3246" s="14">
        <v>31937045</v>
      </c>
      <c r="X3246" s="14" t="s">
        <v>6085</v>
      </c>
      <c r="Y3246" s="14" t="s">
        <v>215</v>
      </c>
      <c r="Z3246" s="14">
        <v>22009</v>
      </c>
      <c r="AA3246" s="14" t="s">
        <v>6086</v>
      </c>
      <c r="AB3246" s="14">
        <v>40001</v>
      </c>
      <c r="AE3246" s="14" t="s">
        <v>1400</v>
      </c>
      <c r="AF3246" s="14" t="s">
        <v>1400</v>
      </c>
      <c r="AG3246" s="14" t="s">
        <v>101</v>
      </c>
    </row>
    <row r="3247" spans="2:33">
      <c r="B3247" s="14">
        <f>10000000+INDEX(编号表!$B:$B,MATCH(H3247,编号表!$A:$A,0))*100000+INDEX(编号表!$F:$F,MATCH(D3247,编号表!$E:$E,0))*10000+INDEX(编号表!$D:$D,MATCH(AG3247,编号表!$C:$C,0))*1000+F3247</f>
        <v>11947046</v>
      </c>
      <c r="C3247" s="14" t="s">
        <v>6082</v>
      </c>
      <c r="D3247" s="14" t="s">
        <v>104</v>
      </c>
      <c r="E3247" s="14" t="s">
        <v>101</v>
      </c>
      <c r="F3247" s="14">
        <v>46</v>
      </c>
      <c r="G3247" s="14">
        <v>60</v>
      </c>
      <c r="H3247" s="14" t="s">
        <v>1400</v>
      </c>
      <c r="I3247" s="14" t="s">
        <v>75</v>
      </c>
      <c r="J3247" s="14" t="s">
        <v>201</v>
      </c>
      <c r="K3247" s="14">
        <v>1</v>
      </c>
      <c r="L3247" s="14" t="s">
        <v>1400</v>
      </c>
      <c r="N3247" s="14">
        <v>0</v>
      </c>
      <c r="O3247" s="14" t="b">
        <v>1</v>
      </c>
      <c r="Q3247" s="14" t="b">
        <v>0</v>
      </c>
      <c r="R3247" s="14">
        <v>1</v>
      </c>
      <c r="S3247" s="14" t="s">
        <v>77</v>
      </c>
      <c r="T3247" s="14">
        <v>999</v>
      </c>
      <c r="U3247" s="14" t="s">
        <v>1401</v>
      </c>
      <c r="V3247" s="14">
        <v>31947046</v>
      </c>
      <c r="X3247" s="14" t="s">
        <v>6087</v>
      </c>
      <c r="Y3247" s="14" t="s">
        <v>215</v>
      </c>
      <c r="Z3247" s="14">
        <v>22010</v>
      </c>
      <c r="AA3247" s="14" t="s">
        <v>6088</v>
      </c>
      <c r="AB3247" s="14">
        <v>40001</v>
      </c>
      <c r="AE3247" s="14" t="s">
        <v>1400</v>
      </c>
      <c r="AF3247" s="14" t="s">
        <v>1400</v>
      </c>
      <c r="AG3247" s="14" t="s">
        <v>101</v>
      </c>
    </row>
    <row r="3248" spans="2:33">
      <c r="B3248" s="14">
        <f>10000000+INDEX(编号表!$B:$B,MATCH(H3248,编号表!$A:$A,0))*100000+INDEX(编号表!$F:$F,MATCH(D3248,编号表!$E:$E,0))*10000+INDEX(编号表!$D:$D,MATCH(AG3248,编号表!$C:$C,0))*1000+F3248</f>
        <v>11927045</v>
      </c>
      <c r="C3248" s="14" t="s">
        <v>6089</v>
      </c>
      <c r="D3248" s="14" t="s">
        <v>112</v>
      </c>
      <c r="E3248" s="14" t="s">
        <v>101</v>
      </c>
      <c r="F3248" s="14">
        <v>45</v>
      </c>
      <c r="G3248" s="14">
        <v>60</v>
      </c>
      <c r="H3248" s="14" t="s">
        <v>1400</v>
      </c>
      <c r="I3248" s="14" t="s">
        <v>75</v>
      </c>
      <c r="J3248" s="14" t="s">
        <v>201</v>
      </c>
      <c r="K3248" s="14">
        <v>1</v>
      </c>
      <c r="L3248" s="14" t="s">
        <v>1400</v>
      </c>
      <c r="N3248" s="14">
        <v>0</v>
      </c>
      <c r="O3248" s="14" t="b">
        <v>1</v>
      </c>
      <c r="Q3248" s="14" t="b">
        <v>0</v>
      </c>
      <c r="R3248" s="14">
        <v>1</v>
      </c>
      <c r="S3248" s="14" t="s">
        <v>77</v>
      </c>
      <c r="T3248" s="14">
        <v>999</v>
      </c>
      <c r="U3248" s="14" t="s">
        <v>1401</v>
      </c>
      <c r="V3248" s="14">
        <v>31927045</v>
      </c>
      <c r="X3248" s="14" t="s">
        <v>6090</v>
      </c>
      <c r="Y3248" s="14" t="s">
        <v>215</v>
      </c>
      <c r="Z3248" s="14">
        <v>22011</v>
      </c>
      <c r="AA3248" s="14" t="s">
        <v>6091</v>
      </c>
      <c r="AB3248" s="14">
        <v>40001</v>
      </c>
      <c r="AE3248" s="14" t="s">
        <v>1400</v>
      </c>
      <c r="AF3248" s="14" t="s">
        <v>1400</v>
      </c>
      <c r="AG3248" s="14" t="s">
        <v>101</v>
      </c>
    </row>
    <row r="3249" spans="2:33">
      <c r="B3249" s="14">
        <f>10000000+INDEX(编号表!$B:$B,MATCH(H3249,编号表!$A:$A,0))*100000+INDEX(编号表!$F:$F,MATCH(D3249,编号表!$E:$E,0))*10000+INDEX(编号表!$D:$D,MATCH(AG3249,编号表!$C:$C,0))*1000+F3249</f>
        <v>11937046</v>
      </c>
      <c r="C3249" s="14" t="s">
        <v>6089</v>
      </c>
      <c r="D3249" s="14" t="s">
        <v>276</v>
      </c>
      <c r="E3249" s="14" t="s">
        <v>101</v>
      </c>
      <c r="F3249" s="14">
        <v>46</v>
      </c>
      <c r="G3249" s="14">
        <v>60</v>
      </c>
      <c r="H3249" s="14" t="s">
        <v>1400</v>
      </c>
      <c r="I3249" s="14" t="s">
        <v>75</v>
      </c>
      <c r="J3249" s="14" t="s">
        <v>201</v>
      </c>
      <c r="K3249" s="14">
        <v>1</v>
      </c>
      <c r="L3249" s="14" t="s">
        <v>1400</v>
      </c>
      <c r="N3249" s="14">
        <v>0</v>
      </c>
      <c r="O3249" s="14" t="b">
        <v>1</v>
      </c>
      <c r="Q3249" s="14" t="b">
        <v>0</v>
      </c>
      <c r="R3249" s="14">
        <v>1</v>
      </c>
      <c r="S3249" s="14" t="s">
        <v>77</v>
      </c>
      <c r="T3249" s="14">
        <v>999</v>
      </c>
      <c r="U3249" s="14" t="s">
        <v>1401</v>
      </c>
      <c r="V3249" s="14">
        <v>31937046</v>
      </c>
      <c r="X3249" s="14" t="s">
        <v>6092</v>
      </c>
      <c r="Y3249" s="14" t="s">
        <v>215</v>
      </c>
      <c r="Z3249" s="14">
        <v>22012</v>
      </c>
      <c r="AA3249" s="14" t="s">
        <v>6093</v>
      </c>
      <c r="AB3249" s="14">
        <v>40001</v>
      </c>
      <c r="AE3249" s="14" t="s">
        <v>1400</v>
      </c>
      <c r="AF3249" s="14" t="s">
        <v>1400</v>
      </c>
      <c r="AG3249" s="14" t="s">
        <v>101</v>
      </c>
    </row>
    <row r="3250" spans="2:33">
      <c r="B3250" s="14">
        <f>10000000+INDEX(编号表!$B:$B,MATCH(H3250,编号表!$A:$A,0))*100000+INDEX(编号表!$F:$F,MATCH(D3250,编号表!$E:$E,0))*10000+INDEX(编号表!$D:$D,MATCH(AG3250,编号表!$C:$C,0))*1000+F3250</f>
        <v>11947047</v>
      </c>
      <c r="C3250" s="14" t="s">
        <v>6089</v>
      </c>
      <c r="D3250" s="14" t="s">
        <v>104</v>
      </c>
      <c r="E3250" s="14" t="s">
        <v>101</v>
      </c>
      <c r="F3250" s="14">
        <v>47</v>
      </c>
      <c r="G3250" s="14">
        <v>60</v>
      </c>
      <c r="H3250" s="14" t="s">
        <v>1400</v>
      </c>
      <c r="I3250" s="14" t="s">
        <v>75</v>
      </c>
      <c r="J3250" s="14" t="s">
        <v>201</v>
      </c>
      <c r="K3250" s="14">
        <v>1</v>
      </c>
      <c r="L3250" s="14" t="s">
        <v>1400</v>
      </c>
      <c r="N3250" s="14">
        <v>0</v>
      </c>
      <c r="O3250" s="14" t="b">
        <v>1</v>
      </c>
      <c r="Q3250" s="14" t="b">
        <v>0</v>
      </c>
      <c r="R3250" s="14">
        <v>1</v>
      </c>
      <c r="S3250" s="14" t="s">
        <v>77</v>
      </c>
      <c r="T3250" s="14">
        <v>999</v>
      </c>
      <c r="U3250" s="14" t="s">
        <v>1401</v>
      </c>
      <c r="V3250" s="14">
        <v>31947047</v>
      </c>
      <c r="X3250" s="14" t="s">
        <v>6094</v>
      </c>
      <c r="Y3250" s="14" t="s">
        <v>215</v>
      </c>
      <c r="Z3250" s="14">
        <v>22013</v>
      </c>
      <c r="AA3250" s="14" t="s">
        <v>6095</v>
      </c>
      <c r="AB3250" s="14">
        <v>40001</v>
      </c>
      <c r="AE3250" s="14" t="s">
        <v>1400</v>
      </c>
      <c r="AF3250" s="14" t="s">
        <v>1400</v>
      </c>
      <c r="AG3250" s="14" t="s">
        <v>101</v>
      </c>
    </row>
    <row r="3251" spans="2:33">
      <c r="B3251" s="14">
        <f>10000000+INDEX(编号表!$B:$B,MATCH(H3251,编号表!$A:$A,0))*100000+INDEX(编号表!$F:$F,MATCH(D3251,编号表!$E:$E,0))*10000+INDEX(编号表!$D:$D,MATCH(AG3251,编号表!$C:$C,0))*1000+F3251</f>
        <v>11927046</v>
      </c>
      <c r="C3251" s="14" t="s">
        <v>6096</v>
      </c>
      <c r="D3251" s="14" t="s">
        <v>112</v>
      </c>
      <c r="E3251" s="14" t="s">
        <v>101</v>
      </c>
      <c r="F3251" s="14">
        <v>46</v>
      </c>
      <c r="G3251" s="14">
        <v>60</v>
      </c>
      <c r="H3251" s="14" t="s">
        <v>1400</v>
      </c>
      <c r="I3251" s="14" t="s">
        <v>75</v>
      </c>
      <c r="J3251" s="14" t="s">
        <v>201</v>
      </c>
      <c r="K3251" s="14">
        <v>1</v>
      </c>
      <c r="L3251" s="14" t="s">
        <v>1400</v>
      </c>
      <c r="N3251" s="14">
        <v>0</v>
      </c>
      <c r="O3251" s="14" t="b">
        <v>1</v>
      </c>
      <c r="Q3251" s="14" t="b">
        <v>0</v>
      </c>
      <c r="R3251" s="14">
        <v>1</v>
      </c>
      <c r="S3251" s="14" t="s">
        <v>77</v>
      </c>
      <c r="T3251" s="14">
        <v>999</v>
      </c>
      <c r="U3251" s="14" t="s">
        <v>1401</v>
      </c>
      <c r="V3251" s="14">
        <v>31927046</v>
      </c>
      <c r="X3251" s="14" t="s">
        <v>6097</v>
      </c>
      <c r="Y3251" s="14" t="s">
        <v>215</v>
      </c>
      <c r="Z3251" s="14">
        <v>22014</v>
      </c>
      <c r="AA3251" s="14" t="s">
        <v>6098</v>
      </c>
      <c r="AB3251" s="14">
        <v>40001</v>
      </c>
      <c r="AE3251" s="14" t="s">
        <v>1400</v>
      </c>
      <c r="AF3251" s="14" t="s">
        <v>1400</v>
      </c>
      <c r="AG3251" s="14" t="s">
        <v>101</v>
      </c>
    </row>
    <row r="3252" spans="2:33">
      <c r="B3252" s="14">
        <f>10000000+INDEX(编号表!$B:$B,MATCH(H3252,编号表!$A:$A,0))*100000+INDEX(编号表!$F:$F,MATCH(D3252,编号表!$E:$E,0))*10000+INDEX(编号表!$D:$D,MATCH(AG3252,编号表!$C:$C,0))*1000+F3252</f>
        <v>11937047</v>
      </c>
      <c r="C3252" s="14" t="s">
        <v>6096</v>
      </c>
      <c r="D3252" s="14" t="s">
        <v>276</v>
      </c>
      <c r="E3252" s="14" t="s">
        <v>101</v>
      </c>
      <c r="F3252" s="14">
        <v>47</v>
      </c>
      <c r="G3252" s="14">
        <v>60</v>
      </c>
      <c r="H3252" s="14" t="s">
        <v>1400</v>
      </c>
      <c r="I3252" s="14" t="s">
        <v>75</v>
      </c>
      <c r="J3252" s="14" t="s">
        <v>201</v>
      </c>
      <c r="K3252" s="14">
        <v>1</v>
      </c>
      <c r="L3252" s="14" t="s">
        <v>1400</v>
      </c>
      <c r="N3252" s="14">
        <v>0</v>
      </c>
      <c r="O3252" s="14" t="b">
        <v>1</v>
      </c>
      <c r="Q3252" s="14" t="b">
        <v>0</v>
      </c>
      <c r="R3252" s="14">
        <v>1</v>
      </c>
      <c r="S3252" s="14" t="s">
        <v>77</v>
      </c>
      <c r="T3252" s="14">
        <v>999</v>
      </c>
      <c r="U3252" s="14" t="s">
        <v>1401</v>
      </c>
      <c r="V3252" s="14">
        <v>31937047</v>
      </c>
      <c r="X3252" s="14" t="s">
        <v>6099</v>
      </c>
      <c r="Y3252" s="14" t="s">
        <v>215</v>
      </c>
      <c r="Z3252" s="14">
        <v>22015</v>
      </c>
      <c r="AA3252" s="14" t="s">
        <v>6100</v>
      </c>
      <c r="AB3252" s="14">
        <v>40001</v>
      </c>
      <c r="AE3252" s="14" t="s">
        <v>1400</v>
      </c>
      <c r="AF3252" s="14" t="s">
        <v>1400</v>
      </c>
      <c r="AG3252" s="14" t="s">
        <v>101</v>
      </c>
    </row>
    <row r="3253" spans="2:33">
      <c r="B3253" s="14">
        <f>10000000+INDEX(编号表!$B:$B,MATCH(H3253,编号表!$A:$A,0))*100000+INDEX(编号表!$F:$F,MATCH(D3253,编号表!$E:$E,0))*10000+INDEX(编号表!$D:$D,MATCH(AG3253,编号表!$C:$C,0))*1000+F3253</f>
        <v>11947048</v>
      </c>
      <c r="C3253" s="14" t="s">
        <v>6096</v>
      </c>
      <c r="D3253" s="14" t="s">
        <v>104</v>
      </c>
      <c r="E3253" s="14" t="s">
        <v>101</v>
      </c>
      <c r="F3253" s="14">
        <v>48</v>
      </c>
      <c r="G3253" s="14">
        <v>60</v>
      </c>
      <c r="H3253" s="14" t="s">
        <v>1400</v>
      </c>
      <c r="I3253" s="14" t="s">
        <v>75</v>
      </c>
      <c r="J3253" s="14" t="s">
        <v>201</v>
      </c>
      <c r="K3253" s="14">
        <v>1</v>
      </c>
      <c r="L3253" s="14" t="s">
        <v>1400</v>
      </c>
      <c r="N3253" s="14">
        <v>0</v>
      </c>
      <c r="O3253" s="14" t="b">
        <v>1</v>
      </c>
      <c r="Q3253" s="14" t="b">
        <v>0</v>
      </c>
      <c r="R3253" s="14">
        <v>1</v>
      </c>
      <c r="S3253" s="14" t="s">
        <v>77</v>
      </c>
      <c r="T3253" s="14">
        <v>999</v>
      </c>
      <c r="U3253" s="14" t="s">
        <v>1401</v>
      </c>
      <c r="V3253" s="14">
        <v>31947048</v>
      </c>
      <c r="X3253" s="14" t="s">
        <v>6101</v>
      </c>
      <c r="Y3253" s="14" t="s">
        <v>215</v>
      </c>
      <c r="Z3253" s="14">
        <v>22016</v>
      </c>
      <c r="AA3253" s="14" t="s">
        <v>6102</v>
      </c>
      <c r="AB3253" s="14">
        <v>40001</v>
      </c>
      <c r="AE3253" s="14" t="s">
        <v>1400</v>
      </c>
      <c r="AF3253" s="14" t="s">
        <v>1400</v>
      </c>
      <c r="AG3253" s="14" t="s">
        <v>101</v>
      </c>
    </row>
    <row r="3254" spans="2:33">
      <c r="B3254" s="14">
        <f>10000000+INDEX(编号表!$B:$B,MATCH(H3254,编号表!$A:$A,0))*100000+INDEX(编号表!$F:$F,MATCH(D3254,编号表!$E:$E,0))*10000+INDEX(编号表!$D:$D,MATCH(AG3254,编号表!$C:$C,0))*1000+F3254</f>
        <v>11927047</v>
      </c>
      <c r="C3254" s="14" t="s">
        <v>6103</v>
      </c>
      <c r="D3254" s="14" t="s">
        <v>112</v>
      </c>
      <c r="E3254" s="14" t="s">
        <v>101</v>
      </c>
      <c r="F3254" s="14">
        <v>47</v>
      </c>
      <c r="G3254" s="14">
        <v>60</v>
      </c>
      <c r="H3254" s="14" t="s">
        <v>1400</v>
      </c>
      <c r="I3254" s="14" t="s">
        <v>75</v>
      </c>
      <c r="J3254" s="14" t="s">
        <v>201</v>
      </c>
      <c r="K3254" s="14">
        <v>1</v>
      </c>
      <c r="L3254" s="14" t="s">
        <v>1400</v>
      </c>
      <c r="N3254" s="14">
        <v>0</v>
      </c>
      <c r="O3254" s="14" t="b">
        <v>1</v>
      </c>
      <c r="Q3254" s="14" t="b">
        <v>0</v>
      </c>
      <c r="R3254" s="14">
        <v>1</v>
      </c>
      <c r="S3254" s="14" t="s">
        <v>77</v>
      </c>
      <c r="T3254" s="14">
        <v>999</v>
      </c>
      <c r="U3254" s="14" t="s">
        <v>1401</v>
      </c>
      <c r="V3254" s="14">
        <v>31927047</v>
      </c>
      <c r="X3254" s="14" t="s">
        <v>6104</v>
      </c>
      <c r="Y3254" s="14" t="s">
        <v>215</v>
      </c>
      <c r="Z3254" s="14">
        <v>22017</v>
      </c>
      <c r="AA3254" s="14" t="s">
        <v>6105</v>
      </c>
      <c r="AB3254" s="14">
        <v>40001</v>
      </c>
      <c r="AE3254" s="14" t="s">
        <v>1400</v>
      </c>
      <c r="AF3254" s="14" t="s">
        <v>1400</v>
      </c>
      <c r="AG3254" s="14" t="s">
        <v>101</v>
      </c>
    </row>
    <row r="3255" spans="2:33">
      <c r="B3255" s="14">
        <f>10000000+INDEX(编号表!$B:$B,MATCH(H3255,编号表!$A:$A,0))*100000+INDEX(编号表!$F:$F,MATCH(D3255,编号表!$E:$E,0))*10000+INDEX(编号表!$D:$D,MATCH(AG3255,编号表!$C:$C,0))*1000+F3255</f>
        <v>11937048</v>
      </c>
      <c r="C3255" s="14" t="s">
        <v>6103</v>
      </c>
      <c r="D3255" s="14" t="s">
        <v>276</v>
      </c>
      <c r="E3255" s="14" t="s">
        <v>101</v>
      </c>
      <c r="F3255" s="14">
        <v>48</v>
      </c>
      <c r="G3255" s="14">
        <v>60</v>
      </c>
      <c r="H3255" s="14" t="s">
        <v>1400</v>
      </c>
      <c r="I3255" s="14" t="s">
        <v>75</v>
      </c>
      <c r="J3255" s="14" t="s">
        <v>201</v>
      </c>
      <c r="K3255" s="14">
        <v>1</v>
      </c>
      <c r="L3255" s="14" t="s">
        <v>1400</v>
      </c>
      <c r="N3255" s="14">
        <v>0</v>
      </c>
      <c r="O3255" s="14" t="b">
        <v>1</v>
      </c>
      <c r="Q3255" s="14" t="b">
        <v>0</v>
      </c>
      <c r="R3255" s="14">
        <v>1</v>
      </c>
      <c r="S3255" s="14" t="s">
        <v>77</v>
      </c>
      <c r="T3255" s="14">
        <v>999</v>
      </c>
      <c r="U3255" s="14" t="s">
        <v>1401</v>
      </c>
      <c r="V3255" s="14">
        <v>31937048</v>
      </c>
      <c r="X3255" s="14" t="s">
        <v>6106</v>
      </c>
      <c r="Y3255" s="14" t="s">
        <v>215</v>
      </c>
      <c r="Z3255" s="14">
        <v>22018</v>
      </c>
      <c r="AA3255" s="14" t="s">
        <v>6107</v>
      </c>
      <c r="AB3255" s="14">
        <v>40001</v>
      </c>
      <c r="AE3255" s="14" t="s">
        <v>1400</v>
      </c>
      <c r="AF3255" s="14" t="s">
        <v>1400</v>
      </c>
      <c r="AG3255" s="14" t="s">
        <v>101</v>
      </c>
    </row>
    <row r="3256" spans="2:33">
      <c r="B3256" s="14">
        <f>10000000+INDEX(编号表!$B:$B,MATCH(H3256,编号表!$A:$A,0))*100000+INDEX(编号表!$F:$F,MATCH(D3256,编号表!$E:$E,0))*10000+INDEX(编号表!$D:$D,MATCH(AG3256,编号表!$C:$C,0))*1000+F3256</f>
        <v>11947049</v>
      </c>
      <c r="C3256" s="14" t="s">
        <v>6103</v>
      </c>
      <c r="D3256" s="14" t="s">
        <v>104</v>
      </c>
      <c r="E3256" s="14" t="s">
        <v>101</v>
      </c>
      <c r="F3256" s="14">
        <v>49</v>
      </c>
      <c r="G3256" s="14">
        <v>60</v>
      </c>
      <c r="H3256" s="14" t="s">
        <v>1400</v>
      </c>
      <c r="I3256" s="14" t="s">
        <v>75</v>
      </c>
      <c r="J3256" s="14" t="s">
        <v>201</v>
      </c>
      <c r="K3256" s="14">
        <v>1</v>
      </c>
      <c r="L3256" s="14" t="s">
        <v>1400</v>
      </c>
      <c r="N3256" s="14">
        <v>0</v>
      </c>
      <c r="O3256" s="14" t="b">
        <v>1</v>
      </c>
      <c r="Q3256" s="14" t="b">
        <v>0</v>
      </c>
      <c r="R3256" s="14">
        <v>1</v>
      </c>
      <c r="S3256" s="14" t="s">
        <v>77</v>
      </c>
      <c r="T3256" s="14">
        <v>999</v>
      </c>
      <c r="U3256" s="14" t="s">
        <v>1401</v>
      </c>
      <c r="V3256" s="14">
        <v>31947049</v>
      </c>
      <c r="X3256" s="14" t="s">
        <v>6108</v>
      </c>
      <c r="Y3256" s="14" t="s">
        <v>215</v>
      </c>
      <c r="Z3256" s="14">
        <v>22019</v>
      </c>
      <c r="AA3256" s="14" t="s">
        <v>6109</v>
      </c>
      <c r="AB3256" s="14">
        <v>40001</v>
      </c>
      <c r="AE3256" s="14" t="s">
        <v>1400</v>
      </c>
      <c r="AF3256" s="14" t="s">
        <v>1400</v>
      </c>
      <c r="AG3256" s="14" t="s">
        <v>101</v>
      </c>
    </row>
    <row r="3257" spans="2:33">
      <c r="B3257" s="14">
        <f>10000000+INDEX(编号表!$B:$B,MATCH(H3257,编号表!$A:$A,0))*100000+INDEX(编号表!$F:$F,MATCH(D3257,编号表!$E:$E,0))*10000+INDEX(编号表!$D:$D,MATCH(AG3257,编号表!$C:$C,0))*1000+F3257</f>
        <v>11927048</v>
      </c>
      <c r="C3257" s="14" t="s">
        <v>6110</v>
      </c>
      <c r="D3257" s="14" t="s">
        <v>112</v>
      </c>
      <c r="E3257" s="14" t="s">
        <v>101</v>
      </c>
      <c r="F3257" s="14">
        <v>48</v>
      </c>
      <c r="G3257" s="14">
        <v>60</v>
      </c>
      <c r="H3257" s="14" t="s">
        <v>1400</v>
      </c>
      <c r="I3257" s="14" t="s">
        <v>75</v>
      </c>
      <c r="J3257" s="14" t="s">
        <v>201</v>
      </c>
      <c r="K3257" s="14">
        <v>1</v>
      </c>
      <c r="L3257" s="14" t="s">
        <v>1400</v>
      </c>
      <c r="N3257" s="14">
        <v>0</v>
      </c>
      <c r="O3257" s="14" t="b">
        <v>1</v>
      </c>
      <c r="Q3257" s="14" t="b">
        <v>0</v>
      </c>
      <c r="R3257" s="14">
        <v>1</v>
      </c>
      <c r="S3257" s="14" t="s">
        <v>77</v>
      </c>
      <c r="T3257" s="14">
        <v>999</v>
      </c>
      <c r="U3257" s="14" t="s">
        <v>1401</v>
      </c>
      <c r="V3257" s="14">
        <v>31927048</v>
      </c>
      <c r="X3257" s="14" t="s">
        <v>6111</v>
      </c>
      <c r="Y3257" s="14" t="s">
        <v>215</v>
      </c>
      <c r="Z3257" s="14">
        <v>22020</v>
      </c>
      <c r="AA3257" s="14" t="s">
        <v>6112</v>
      </c>
      <c r="AB3257" s="14">
        <v>40001</v>
      </c>
      <c r="AE3257" s="14" t="s">
        <v>1400</v>
      </c>
      <c r="AF3257" s="14" t="s">
        <v>1400</v>
      </c>
      <c r="AG3257" s="14" t="s">
        <v>101</v>
      </c>
    </row>
    <row r="3258" spans="2:33">
      <c r="B3258" s="14">
        <f>10000000+INDEX(编号表!$B:$B,MATCH(H3258,编号表!$A:$A,0))*100000+INDEX(编号表!$F:$F,MATCH(D3258,编号表!$E:$E,0))*10000+INDEX(编号表!$D:$D,MATCH(AG3258,编号表!$C:$C,0))*1000+F3258</f>
        <v>11937049</v>
      </c>
      <c r="C3258" s="14" t="s">
        <v>6110</v>
      </c>
      <c r="D3258" s="14" t="s">
        <v>276</v>
      </c>
      <c r="E3258" s="14" t="s">
        <v>101</v>
      </c>
      <c r="F3258" s="14">
        <v>49</v>
      </c>
      <c r="G3258" s="14">
        <v>60</v>
      </c>
      <c r="H3258" s="14" t="s">
        <v>1400</v>
      </c>
      <c r="I3258" s="14" t="s">
        <v>75</v>
      </c>
      <c r="J3258" s="14" t="s">
        <v>201</v>
      </c>
      <c r="K3258" s="14">
        <v>1</v>
      </c>
      <c r="L3258" s="14" t="s">
        <v>1400</v>
      </c>
      <c r="N3258" s="14">
        <v>0</v>
      </c>
      <c r="O3258" s="14" t="b">
        <v>1</v>
      </c>
      <c r="Q3258" s="14" t="b">
        <v>0</v>
      </c>
      <c r="R3258" s="14">
        <v>1</v>
      </c>
      <c r="S3258" s="14" t="s">
        <v>77</v>
      </c>
      <c r="T3258" s="14">
        <v>999</v>
      </c>
      <c r="U3258" s="14" t="s">
        <v>1401</v>
      </c>
      <c r="V3258" s="14">
        <v>31937049</v>
      </c>
      <c r="X3258" s="14" t="s">
        <v>6113</v>
      </c>
      <c r="Y3258" s="14" t="s">
        <v>215</v>
      </c>
      <c r="Z3258" s="14">
        <v>22021</v>
      </c>
      <c r="AA3258" s="14" t="s">
        <v>6114</v>
      </c>
      <c r="AB3258" s="14">
        <v>40001</v>
      </c>
      <c r="AE3258" s="14" t="s">
        <v>1400</v>
      </c>
      <c r="AF3258" s="14" t="s">
        <v>1400</v>
      </c>
      <c r="AG3258" s="14" t="s">
        <v>101</v>
      </c>
    </row>
    <row r="3259" spans="2:33">
      <c r="B3259" s="14">
        <f>10000000+INDEX(编号表!$B:$B,MATCH(H3259,编号表!$A:$A,0))*100000+INDEX(编号表!$F:$F,MATCH(D3259,编号表!$E:$E,0))*10000+INDEX(编号表!$D:$D,MATCH(AG3259,编号表!$C:$C,0))*1000+F3259</f>
        <v>11947050</v>
      </c>
      <c r="C3259" s="14" t="s">
        <v>6110</v>
      </c>
      <c r="D3259" s="14" t="s">
        <v>104</v>
      </c>
      <c r="E3259" s="14" t="s">
        <v>101</v>
      </c>
      <c r="F3259" s="14">
        <v>50</v>
      </c>
      <c r="G3259" s="14">
        <v>60</v>
      </c>
      <c r="H3259" s="14" t="s">
        <v>1400</v>
      </c>
      <c r="I3259" s="14" t="s">
        <v>75</v>
      </c>
      <c r="J3259" s="14" t="s">
        <v>201</v>
      </c>
      <c r="K3259" s="14">
        <v>1</v>
      </c>
      <c r="L3259" s="14" t="s">
        <v>1400</v>
      </c>
      <c r="N3259" s="14">
        <v>0</v>
      </c>
      <c r="O3259" s="14" t="b">
        <v>1</v>
      </c>
      <c r="Q3259" s="14" t="b">
        <v>0</v>
      </c>
      <c r="R3259" s="14">
        <v>1</v>
      </c>
      <c r="S3259" s="14" t="s">
        <v>77</v>
      </c>
      <c r="T3259" s="14">
        <v>999</v>
      </c>
      <c r="U3259" s="14" t="s">
        <v>1401</v>
      </c>
      <c r="V3259" s="14">
        <v>31947050</v>
      </c>
      <c r="X3259" s="14" t="s">
        <v>6115</v>
      </c>
      <c r="Y3259" s="14" t="s">
        <v>215</v>
      </c>
      <c r="Z3259" s="14">
        <v>22022</v>
      </c>
      <c r="AA3259" s="14" t="s">
        <v>6116</v>
      </c>
      <c r="AB3259" s="14">
        <v>40001</v>
      </c>
      <c r="AE3259" s="14" t="s">
        <v>1400</v>
      </c>
      <c r="AF3259" s="14" t="s">
        <v>1400</v>
      </c>
      <c r="AG3259" s="14" t="s">
        <v>101</v>
      </c>
    </row>
    <row r="3260" spans="2:33">
      <c r="B3260" s="14">
        <f>10000000+INDEX(编号表!$B:$B,MATCH(H3260,编号表!$A:$A,0))*100000+INDEX(编号表!$F:$F,MATCH(D3260,编号表!$E:$E,0))*10000+INDEX(编号表!$D:$D,MATCH(AG3260,编号表!$C:$C,0))*1000+F3260</f>
        <v>11927049</v>
      </c>
      <c r="C3260" s="14" t="s">
        <v>6117</v>
      </c>
      <c r="D3260" s="14" t="s">
        <v>112</v>
      </c>
      <c r="E3260" s="14" t="s">
        <v>101</v>
      </c>
      <c r="F3260" s="14">
        <v>49</v>
      </c>
      <c r="G3260" s="14">
        <v>60</v>
      </c>
      <c r="H3260" s="14" t="s">
        <v>1400</v>
      </c>
      <c r="I3260" s="14" t="s">
        <v>75</v>
      </c>
      <c r="J3260" s="14" t="s">
        <v>201</v>
      </c>
      <c r="K3260" s="14">
        <v>1</v>
      </c>
      <c r="L3260" s="14" t="s">
        <v>1400</v>
      </c>
      <c r="N3260" s="14">
        <v>0</v>
      </c>
      <c r="O3260" s="14" t="b">
        <v>1</v>
      </c>
      <c r="Q3260" s="14" t="b">
        <v>0</v>
      </c>
      <c r="R3260" s="14">
        <v>1</v>
      </c>
      <c r="S3260" s="14" t="s">
        <v>77</v>
      </c>
      <c r="T3260" s="14">
        <v>999</v>
      </c>
      <c r="U3260" s="14" t="s">
        <v>1401</v>
      </c>
      <c r="V3260" s="14">
        <v>31927049</v>
      </c>
      <c r="X3260" s="14" t="s">
        <v>6118</v>
      </c>
      <c r="Y3260" s="14" t="s">
        <v>215</v>
      </c>
      <c r="Z3260" s="14">
        <v>22023</v>
      </c>
      <c r="AA3260" s="14" t="s">
        <v>6119</v>
      </c>
      <c r="AB3260" s="14">
        <v>40001</v>
      </c>
      <c r="AE3260" s="14" t="s">
        <v>1400</v>
      </c>
      <c r="AF3260" s="14" t="s">
        <v>1400</v>
      </c>
      <c r="AG3260" s="14" t="s">
        <v>101</v>
      </c>
    </row>
    <row r="3261" spans="2:33">
      <c r="B3261" s="14">
        <f>10000000+INDEX(编号表!$B:$B,MATCH(H3261,编号表!$A:$A,0))*100000+INDEX(编号表!$F:$F,MATCH(D3261,编号表!$E:$E,0))*10000+INDEX(编号表!$D:$D,MATCH(AG3261,编号表!$C:$C,0))*1000+F3261</f>
        <v>11937050</v>
      </c>
      <c r="C3261" s="14" t="s">
        <v>6117</v>
      </c>
      <c r="D3261" s="14" t="s">
        <v>276</v>
      </c>
      <c r="E3261" s="14" t="s">
        <v>101</v>
      </c>
      <c r="F3261" s="14">
        <v>50</v>
      </c>
      <c r="G3261" s="14">
        <v>60</v>
      </c>
      <c r="H3261" s="14" t="s">
        <v>1400</v>
      </c>
      <c r="I3261" s="14" t="s">
        <v>75</v>
      </c>
      <c r="J3261" s="14" t="s">
        <v>201</v>
      </c>
      <c r="K3261" s="14">
        <v>1</v>
      </c>
      <c r="L3261" s="14" t="s">
        <v>1400</v>
      </c>
      <c r="N3261" s="14">
        <v>0</v>
      </c>
      <c r="O3261" s="14" t="b">
        <v>1</v>
      </c>
      <c r="Q3261" s="14" t="b">
        <v>0</v>
      </c>
      <c r="R3261" s="14">
        <v>1</v>
      </c>
      <c r="S3261" s="14" t="s">
        <v>77</v>
      </c>
      <c r="T3261" s="14">
        <v>999</v>
      </c>
      <c r="U3261" s="14" t="s">
        <v>1401</v>
      </c>
      <c r="V3261" s="14">
        <v>31937050</v>
      </c>
      <c r="X3261" s="14" t="s">
        <v>6120</v>
      </c>
      <c r="Y3261" s="14" t="s">
        <v>215</v>
      </c>
      <c r="Z3261" s="14">
        <v>22024</v>
      </c>
      <c r="AA3261" s="14" t="s">
        <v>6121</v>
      </c>
      <c r="AB3261" s="14">
        <v>40001</v>
      </c>
      <c r="AE3261" s="14" t="s">
        <v>1400</v>
      </c>
      <c r="AF3261" s="14" t="s">
        <v>1400</v>
      </c>
      <c r="AG3261" s="14" t="s">
        <v>101</v>
      </c>
    </row>
    <row r="3262" spans="2:33">
      <c r="B3262" s="14">
        <f>10000000+INDEX(编号表!$B:$B,MATCH(H3262,编号表!$A:$A,0))*100000+INDEX(编号表!$F:$F,MATCH(D3262,编号表!$E:$E,0))*10000+INDEX(编号表!$D:$D,MATCH(AG3262,编号表!$C:$C,0))*1000+F3262</f>
        <v>11947051</v>
      </c>
      <c r="C3262" s="14" t="s">
        <v>6117</v>
      </c>
      <c r="D3262" s="14" t="s">
        <v>104</v>
      </c>
      <c r="E3262" s="14" t="s">
        <v>101</v>
      </c>
      <c r="F3262" s="14">
        <v>51</v>
      </c>
      <c r="G3262" s="14">
        <v>60</v>
      </c>
      <c r="H3262" s="14" t="s">
        <v>1400</v>
      </c>
      <c r="I3262" s="14" t="s">
        <v>75</v>
      </c>
      <c r="J3262" s="14" t="s">
        <v>201</v>
      </c>
      <c r="K3262" s="14">
        <v>1</v>
      </c>
      <c r="L3262" s="14" t="s">
        <v>1400</v>
      </c>
      <c r="N3262" s="14">
        <v>0</v>
      </c>
      <c r="O3262" s="14" t="b">
        <v>1</v>
      </c>
      <c r="Q3262" s="14" t="b">
        <v>0</v>
      </c>
      <c r="R3262" s="14">
        <v>1</v>
      </c>
      <c r="S3262" s="14" t="s">
        <v>77</v>
      </c>
      <c r="T3262" s="14">
        <v>999</v>
      </c>
      <c r="U3262" s="14" t="s">
        <v>1401</v>
      </c>
      <c r="V3262" s="14">
        <v>31947051</v>
      </c>
      <c r="X3262" s="14" t="s">
        <v>6122</v>
      </c>
      <c r="Y3262" s="14" t="s">
        <v>215</v>
      </c>
      <c r="Z3262" s="14">
        <v>22025</v>
      </c>
      <c r="AA3262" s="14" t="s">
        <v>6123</v>
      </c>
      <c r="AB3262" s="14">
        <v>40001</v>
      </c>
      <c r="AE3262" s="14" t="s">
        <v>1400</v>
      </c>
      <c r="AF3262" s="14" t="s">
        <v>1400</v>
      </c>
      <c r="AG3262" s="14" t="s">
        <v>101</v>
      </c>
    </row>
    <row r="3263" spans="2:33">
      <c r="B3263" s="14">
        <f>10000000+INDEX(编号表!$B:$B,MATCH(H3263,编号表!$A:$A,0))*100000+INDEX(编号表!$F:$F,MATCH(D3263,编号表!$E:$E,0))*10000+INDEX(编号表!$D:$D,MATCH(AG3263,编号表!$C:$C,0))*1000+F3263</f>
        <v>11927050</v>
      </c>
      <c r="C3263" s="14" t="s">
        <v>6124</v>
      </c>
      <c r="D3263" s="14" t="s">
        <v>112</v>
      </c>
      <c r="E3263" s="14" t="s">
        <v>101</v>
      </c>
      <c r="F3263" s="14">
        <v>50</v>
      </c>
      <c r="G3263" s="14">
        <v>60</v>
      </c>
      <c r="H3263" s="14" t="s">
        <v>1400</v>
      </c>
      <c r="I3263" s="14" t="s">
        <v>75</v>
      </c>
      <c r="J3263" s="14" t="s">
        <v>201</v>
      </c>
      <c r="K3263" s="14">
        <v>1</v>
      </c>
      <c r="L3263" s="14" t="s">
        <v>1400</v>
      </c>
      <c r="N3263" s="14">
        <v>0</v>
      </c>
      <c r="O3263" s="14" t="b">
        <v>1</v>
      </c>
      <c r="Q3263" s="14" t="b">
        <v>0</v>
      </c>
      <c r="R3263" s="14">
        <v>1</v>
      </c>
      <c r="S3263" s="14" t="s">
        <v>77</v>
      </c>
      <c r="T3263" s="14">
        <v>999</v>
      </c>
      <c r="U3263" s="14" t="s">
        <v>1401</v>
      </c>
      <c r="V3263" s="14">
        <v>31927050</v>
      </c>
      <c r="X3263" s="14" t="s">
        <v>6125</v>
      </c>
      <c r="Y3263" s="14" t="s">
        <v>215</v>
      </c>
      <c r="Z3263" s="14">
        <v>22026</v>
      </c>
      <c r="AA3263" s="14" t="s">
        <v>6126</v>
      </c>
      <c r="AB3263" s="14">
        <v>40001</v>
      </c>
      <c r="AE3263" s="14" t="s">
        <v>1400</v>
      </c>
      <c r="AF3263" s="14" t="s">
        <v>1400</v>
      </c>
      <c r="AG3263" s="14" t="s">
        <v>101</v>
      </c>
    </row>
    <row r="3264" spans="2:33">
      <c r="B3264" s="14">
        <f>10000000+INDEX(编号表!$B:$B,MATCH(H3264,编号表!$A:$A,0))*100000+INDEX(编号表!$F:$F,MATCH(D3264,编号表!$E:$E,0))*10000+INDEX(编号表!$D:$D,MATCH(AG3264,编号表!$C:$C,0))*1000+F3264</f>
        <v>11937051</v>
      </c>
      <c r="C3264" s="14" t="s">
        <v>6124</v>
      </c>
      <c r="D3264" s="14" t="s">
        <v>276</v>
      </c>
      <c r="E3264" s="14" t="s">
        <v>101</v>
      </c>
      <c r="F3264" s="14">
        <v>51</v>
      </c>
      <c r="G3264" s="14">
        <v>60</v>
      </c>
      <c r="H3264" s="14" t="s">
        <v>1400</v>
      </c>
      <c r="I3264" s="14" t="s">
        <v>75</v>
      </c>
      <c r="J3264" s="14" t="s">
        <v>201</v>
      </c>
      <c r="K3264" s="14">
        <v>1</v>
      </c>
      <c r="L3264" s="14" t="s">
        <v>1400</v>
      </c>
      <c r="N3264" s="14">
        <v>0</v>
      </c>
      <c r="O3264" s="14" t="b">
        <v>1</v>
      </c>
      <c r="Q3264" s="14" t="b">
        <v>0</v>
      </c>
      <c r="R3264" s="14">
        <v>1</v>
      </c>
      <c r="S3264" s="14" t="s">
        <v>77</v>
      </c>
      <c r="T3264" s="14">
        <v>999</v>
      </c>
      <c r="U3264" s="14" t="s">
        <v>1401</v>
      </c>
      <c r="V3264" s="14">
        <v>31937051</v>
      </c>
      <c r="X3264" s="14" t="s">
        <v>6127</v>
      </c>
      <c r="Y3264" s="14" t="s">
        <v>215</v>
      </c>
      <c r="Z3264" s="14">
        <v>22027</v>
      </c>
      <c r="AA3264" s="14" t="s">
        <v>6128</v>
      </c>
      <c r="AB3264" s="14">
        <v>40001</v>
      </c>
      <c r="AE3264" s="14" t="s">
        <v>1400</v>
      </c>
      <c r="AF3264" s="14" t="s">
        <v>1400</v>
      </c>
      <c r="AG3264" s="14" t="s">
        <v>101</v>
      </c>
    </row>
    <row r="3265" spans="2:33">
      <c r="B3265" s="14">
        <f>10000000+INDEX(编号表!$B:$B,MATCH(H3265,编号表!$A:$A,0))*100000+INDEX(编号表!$F:$F,MATCH(D3265,编号表!$E:$E,0))*10000+INDEX(编号表!$D:$D,MATCH(AG3265,编号表!$C:$C,0))*1000+F3265</f>
        <v>11947052</v>
      </c>
      <c r="C3265" s="14" t="s">
        <v>6124</v>
      </c>
      <c r="D3265" s="14" t="s">
        <v>104</v>
      </c>
      <c r="E3265" s="14" t="s">
        <v>101</v>
      </c>
      <c r="F3265" s="14">
        <v>52</v>
      </c>
      <c r="G3265" s="14">
        <v>60</v>
      </c>
      <c r="H3265" s="14" t="s">
        <v>1400</v>
      </c>
      <c r="I3265" s="14" t="s">
        <v>75</v>
      </c>
      <c r="J3265" s="14" t="s">
        <v>201</v>
      </c>
      <c r="K3265" s="14">
        <v>1</v>
      </c>
      <c r="L3265" s="14" t="s">
        <v>1400</v>
      </c>
      <c r="N3265" s="14">
        <v>0</v>
      </c>
      <c r="O3265" s="14" t="b">
        <v>1</v>
      </c>
      <c r="Q3265" s="14" t="b">
        <v>0</v>
      </c>
      <c r="R3265" s="14">
        <v>1</v>
      </c>
      <c r="S3265" s="14" t="s">
        <v>77</v>
      </c>
      <c r="T3265" s="14">
        <v>999</v>
      </c>
      <c r="U3265" s="14" t="s">
        <v>1401</v>
      </c>
      <c r="V3265" s="14">
        <v>31947052</v>
      </c>
      <c r="X3265" s="14" t="s">
        <v>6129</v>
      </c>
      <c r="Y3265" s="14" t="s">
        <v>215</v>
      </c>
      <c r="Z3265" s="14">
        <v>22028</v>
      </c>
      <c r="AA3265" s="14" t="s">
        <v>6130</v>
      </c>
      <c r="AB3265" s="14">
        <v>40001</v>
      </c>
      <c r="AE3265" s="14" t="s">
        <v>1400</v>
      </c>
      <c r="AF3265" s="14" t="s">
        <v>1400</v>
      </c>
      <c r="AG3265" s="14" t="s">
        <v>101</v>
      </c>
    </row>
    <row r="3266" spans="2:33">
      <c r="B3266" s="14">
        <f>10000000+INDEX(编号表!$B:$B,MATCH(H3266,编号表!$A:$A,0))*100000+INDEX(编号表!$F:$F,MATCH(D3266,编号表!$E:$E,0))*10000+INDEX(编号表!$D:$D,MATCH(AG3266,编号表!$C:$C,0))*1000+F3266</f>
        <v>11927051</v>
      </c>
      <c r="C3266" s="14" t="s">
        <v>6131</v>
      </c>
      <c r="D3266" s="14" t="s">
        <v>112</v>
      </c>
      <c r="E3266" s="14" t="s">
        <v>101</v>
      </c>
      <c r="F3266" s="14">
        <v>51</v>
      </c>
      <c r="G3266" s="14">
        <v>60</v>
      </c>
      <c r="H3266" s="14" t="s">
        <v>1400</v>
      </c>
      <c r="I3266" s="14" t="s">
        <v>75</v>
      </c>
      <c r="J3266" s="14" t="s">
        <v>201</v>
      </c>
      <c r="K3266" s="14">
        <v>1</v>
      </c>
      <c r="L3266" s="14" t="s">
        <v>1400</v>
      </c>
      <c r="N3266" s="14">
        <v>0</v>
      </c>
      <c r="O3266" s="14" t="b">
        <v>1</v>
      </c>
      <c r="Q3266" s="14" t="b">
        <v>0</v>
      </c>
      <c r="R3266" s="14">
        <v>1</v>
      </c>
      <c r="S3266" s="14" t="s">
        <v>77</v>
      </c>
      <c r="T3266" s="14">
        <v>999</v>
      </c>
      <c r="U3266" s="14" t="s">
        <v>1401</v>
      </c>
      <c r="V3266" s="14">
        <v>31927051</v>
      </c>
      <c r="X3266" s="14" t="s">
        <v>6132</v>
      </c>
      <c r="Y3266" s="14" t="s">
        <v>215</v>
      </c>
      <c r="Z3266" s="14">
        <v>22029</v>
      </c>
      <c r="AA3266" s="14" t="s">
        <v>6133</v>
      </c>
      <c r="AB3266" s="14">
        <v>40001</v>
      </c>
      <c r="AE3266" s="14" t="s">
        <v>1400</v>
      </c>
      <c r="AF3266" s="14" t="s">
        <v>1400</v>
      </c>
      <c r="AG3266" s="14" t="s">
        <v>101</v>
      </c>
    </row>
    <row r="3267" spans="2:33">
      <c r="B3267" s="14">
        <f>10000000+INDEX(编号表!$B:$B,MATCH(H3267,编号表!$A:$A,0))*100000+INDEX(编号表!$F:$F,MATCH(D3267,编号表!$E:$E,0))*10000+INDEX(编号表!$D:$D,MATCH(AG3267,编号表!$C:$C,0))*1000+F3267</f>
        <v>11937052</v>
      </c>
      <c r="C3267" s="14" t="s">
        <v>6131</v>
      </c>
      <c r="D3267" s="14" t="s">
        <v>276</v>
      </c>
      <c r="E3267" s="14" t="s">
        <v>101</v>
      </c>
      <c r="F3267" s="14">
        <v>52</v>
      </c>
      <c r="G3267" s="14">
        <v>60</v>
      </c>
      <c r="H3267" s="14" t="s">
        <v>1400</v>
      </c>
      <c r="I3267" s="14" t="s">
        <v>75</v>
      </c>
      <c r="J3267" s="14" t="s">
        <v>201</v>
      </c>
      <c r="K3267" s="14">
        <v>1</v>
      </c>
      <c r="L3267" s="14" t="s">
        <v>1400</v>
      </c>
      <c r="N3267" s="14">
        <v>0</v>
      </c>
      <c r="O3267" s="14" t="b">
        <v>1</v>
      </c>
      <c r="Q3267" s="14" t="b">
        <v>0</v>
      </c>
      <c r="R3267" s="14">
        <v>1</v>
      </c>
      <c r="S3267" s="14" t="s">
        <v>77</v>
      </c>
      <c r="T3267" s="14">
        <v>999</v>
      </c>
      <c r="U3267" s="14" t="s">
        <v>1401</v>
      </c>
      <c r="V3267" s="14">
        <v>31937052</v>
      </c>
      <c r="X3267" s="14" t="s">
        <v>6134</v>
      </c>
      <c r="Y3267" s="14" t="s">
        <v>215</v>
      </c>
      <c r="Z3267" s="14">
        <v>22030</v>
      </c>
      <c r="AA3267" s="14" t="s">
        <v>6135</v>
      </c>
      <c r="AB3267" s="14">
        <v>40001</v>
      </c>
      <c r="AE3267" s="14" t="s">
        <v>1400</v>
      </c>
      <c r="AF3267" s="14" t="s">
        <v>1400</v>
      </c>
      <c r="AG3267" s="14" t="s">
        <v>101</v>
      </c>
    </row>
    <row r="3268" spans="2:33">
      <c r="B3268" s="14">
        <f>10000000+INDEX(编号表!$B:$B,MATCH(H3268,编号表!$A:$A,0))*100000+INDEX(编号表!$F:$F,MATCH(D3268,编号表!$E:$E,0))*10000+INDEX(编号表!$D:$D,MATCH(AG3268,编号表!$C:$C,0))*1000+F3268</f>
        <v>11947053</v>
      </c>
      <c r="C3268" s="14" t="s">
        <v>6131</v>
      </c>
      <c r="D3268" s="14" t="s">
        <v>104</v>
      </c>
      <c r="E3268" s="14" t="s">
        <v>101</v>
      </c>
      <c r="F3268" s="14">
        <v>53</v>
      </c>
      <c r="G3268" s="14">
        <v>60</v>
      </c>
      <c r="H3268" s="14" t="s">
        <v>1400</v>
      </c>
      <c r="I3268" s="14" t="s">
        <v>75</v>
      </c>
      <c r="J3268" s="14" t="s">
        <v>201</v>
      </c>
      <c r="K3268" s="14">
        <v>1</v>
      </c>
      <c r="L3268" s="14" t="s">
        <v>1400</v>
      </c>
      <c r="N3268" s="14">
        <v>0</v>
      </c>
      <c r="O3268" s="14" t="b">
        <v>1</v>
      </c>
      <c r="Q3268" s="14" t="b">
        <v>0</v>
      </c>
      <c r="R3268" s="14">
        <v>1</v>
      </c>
      <c r="S3268" s="14" t="s">
        <v>77</v>
      </c>
      <c r="T3268" s="14">
        <v>999</v>
      </c>
      <c r="U3268" s="14" t="s">
        <v>1401</v>
      </c>
      <c r="V3268" s="14">
        <v>31947053</v>
      </c>
      <c r="X3268" s="14" t="s">
        <v>6136</v>
      </c>
      <c r="Y3268" s="14" t="s">
        <v>215</v>
      </c>
      <c r="Z3268" s="14">
        <v>22031</v>
      </c>
      <c r="AA3268" s="14" t="s">
        <v>6137</v>
      </c>
      <c r="AB3268" s="14">
        <v>40001</v>
      </c>
      <c r="AE3268" s="14" t="s">
        <v>1400</v>
      </c>
      <c r="AF3268" s="14" t="s">
        <v>1400</v>
      </c>
      <c r="AG3268" s="14" t="s">
        <v>101</v>
      </c>
    </row>
    <row r="3269" spans="2:33">
      <c r="B3269" s="14">
        <f>10000000+INDEX(编号表!$B:$B,MATCH(H3269,编号表!$A:$A,0))*100000+INDEX(编号表!$F:$F,MATCH(D3269,编号表!$E:$E,0))*10000+INDEX(编号表!$D:$D,MATCH(AG3269,编号表!$C:$C,0))*1000+F3269</f>
        <v>11927052</v>
      </c>
      <c r="C3269" s="14" t="s">
        <v>6138</v>
      </c>
      <c r="D3269" s="14" t="s">
        <v>112</v>
      </c>
      <c r="E3269" s="14" t="s">
        <v>101</v>
      </c>
      <c r="F3269" s="14">
        <v>52</v>
      </c>
      <c r="G3269" s="14">
        <v>60</v>
      </c>
      <c r="H3269" s="14" t="s">
        <v>1400</v>
      </c>
      <c r="I3269" s="14" t="s">
        <v>75</v>
      </c>
      <c r="J3269" s="14" t="s">
        <v>201</v>
      </c>
      <c r="K3269" s="14">
        <v>1</v>
      </c>
      <c r="L3269" s="14" t="s">
        <v>1400</v>
      </c>
      <c r="N3269" s="14">
        <v>0</v>
      </c>
      <c r="O3269" s="14" t="b">
        <v>1</v>
      </c>
      <c r="Q3269" s="14" t="b">
        <v>0</v>
      </c>
      <c r="R3269" s="14">
        <v>1</v>
      </c>
      <c r="S3269" s="14" t="s">
        <v>77</v>
      </c>
      <c r="T3269" s="14">
        <v>999</v>
      </c>
      <c r="U3269" s="14" t="s">
        <v>1401</v>
      </c>
      <c r="V3269" s="14">
        <v>31927052</v>
      </c>
      <c r="X3269" s="14" t="s">
        <v>6139</v>
      </c>
      <c r="Y3269" s="14" t="s">
        <v>215</v>
      </c>
      <c r="Z3269" s="14">
        <v>22032</v>
      </c>
      <c r="AA3269" s="14" t="s">
        <v>6140</v>
      </c>
      <c r="AB3269" s="14">
        <v>40001</v>
      </c>
      <c r="AE3269" s="14" t="s">
        <v>1400</v>
      </c>
      <c r="AF3269" s="14" t="s">
        <v>1400</v>
      </c>
      <c r="AG3269" s="14" t="s">
        <v>101</v>
      </c>
    </row>
    <row r="3270" spans="2:33">
      <c r="B3270" s="14">
        <f>10000000+INDEX(编号表!$B:$B,MATCH(H3270,编号表!$A:$A,0))*100000+INDEX(编号表!$F:$F,MATCH(D3270,编号表!$E:$E,0))*10000+INDEX(编号表!$D:$D,MATCH(AG3270,编号表!$C:$C,0))*1000+F3270</f>
        <v>11937053</v>
      </c>
      <c r="C3270" s="14" t="s">
        <v>6138</v>
      </c>
      <c r="D3270" s="14" t="s">
        <v>276</v>
      </c>
      <c r="E3270" s="14" t="s">
        <v>101</v>
      </c>
      <c r="F3270" s="14">
        <v>53</v>
      </c>
      <c r="G3270" s="14">
        <v>60</v>
      </c>
      <c r="H3270" s="14" t="s">
        <v>1400</v>
      </c>
      <c r="I3270" s="14" t="s">
        <v>75</v>
      </c>
      <c r="J3270" s="14" t="s">
        <v>201</v>
      </c>
      <c r="K3270" s="14">
        <v>1</v>
      </c>
      <c r="L3270" s="14" t="s">
        <v>1400</v>
      </c>
      <c r="N3270" s="14">
        <v>0</v>
      </c>
      <c r="O3270" s="14" t="b">
        <v>1</v>
      </c>
      <c r="Q3270" s="14" t="b">
        <v>0</v>
      </c>
      <c r="R3270" s="14">
        <v>1</v>
      </c>
      <c r="S3270" s="14" t="s">
        <v>77</v>
      </c>
      <c r="T3270" s="14">
        <v>999</v>
      </c>
      <c r="U3270" s="14" t="s">
        <v>1401</v>
      </c>
      <c r="V3270" s="14">
        <v>31937053</v>
      </c>
      <c r="X3270" s="14" t="s">
        <v>6141</v>
      </c>
      <c r="Y3270" s="14" t="s">
        <v>215</v>
      </c>
      <c r="Z3270" s="14">
        <v>22033</v>
      </c>
      <c r="AA3270" s="14" t="s">
        <v>6142</v>
      </c>
      <c r="AB3270" s="14">
        <v>40001</v>
      </c>
      <c r="AE3270" s="14" t="s">
        <v>1400</v>
      </c>
      <c r="AF3270" s="14" t="s">
        <v>1400</v>
      </c>
      <c r="AG3270" s="14" t="s">
        <v>101</v>
      </c>
    </row>
    <row r="3271" spans="2:33">
      <c r="B3271" s="14">
        <f>10000000+INDEX(编号表!$B:$B,MATCH(H3271,编号表!$A:$A,0))*100000+INDEX(编号表!$F:$F,MATCH(D3271,编号表!$E:$E,0))*10000+INDEX(编号表!$D:$D,MATCH(AG3271,编号表!$C:$C,0))*1000+F3271</f>
        <v>11947054</v>
      </c>
      <c r="C3271" s="14" t="s">
        <v>6138</v>
      </c>
      <c r="D3271" s="14" t="s">
        <v>104</v>
      </c>
      <c r="E3271" s="14" t="s">
        <v>101</v>
      </c>
      <c r="F3271" s="14">
        <v>54</v>
      </c>
      <c r="G3271" s="14">
        <v>60</v>
      </c>
      <c r="H3271" s="14" t="s">
        <v>1400</v>
      </c>
      <c r="I3271" s="14" t="s">
        <v>75</v>
      </c>
      <c r="J3271" s="14" t="s">
        <v>201</v>
      </c>
      <c r="K3271" s="14">
        <v>1</v>
      </c>
      <c r="L3271" s="14" t="s">
        <v>1400</v>
      </c>
      <c r="N3271" s="14">
        <v>0</v>
      </c>
      <c r="O3271" s="14" t="b">
        <v>1</v>
      </c>
      <c r="Q3271" s="14" t="b">
        <v>0</v>
      </c>
      <c r="R3271" s="14">
        <v>1</v>
      </c>
      <c r="S3271" s="14" t="s">
        <v>77</v>
      </c>
      <c r="T3271" s="14">
        <v>999</v>
      </c>
      <c r="U3271" s="14" t="s">
        <v>1401</v>
      </c>
      <c r="V3271" s="14">
        <v>31947054</v>
      </c>
      <c r="X3271" s="14" t="s">
        <v>6143</v>
      </c>
      <c r="Y3271" s="14" t="s">
        <v>215</v>
      </c>
      <c r="Z3271" s="14">
        <v>22034</v>
      </c>
      <c r="AA3271" s="14" t="s">
        <v>6144</v>
      </c>
      <c r="AB3271" s="14">
        <v>40001</v>
      </c>
      <c r="AE3271" s="14" t="s">
        <v>1400</v>
      </c>
      <c r="AF3271" s="14" t="s">
        <v>1400</v>
      </c>
      <c r="AG3271" s="14" t="s">
        <v>101</v>
      </c>
    </row>
    <row r="3272" spans="2:33">
      <c r="B3272" s="14">
        <f>10000000+INDEX(编号表!$B:$B,MATCH(H3272,编号表!$A:$A,0))*100000+INDEX(编号表!$F:$F,MATCH(D3272,编号表!$E:$E,0))*10000+INDEX(编号表!$D:$D,MATCH(AG3272,编号表!$C:$C,0))*1000+F3272</f>
        <v>11927053</v>
      </c>
      <c r="C3272" s="14" t="s">
        <v>6145</v>
      </c>
      <c r="D3272" s="14" t="s">
        <v>112</v>
      </c>
      <c r="E3272" s="14" t="s">
        <v>101</v>
      </c>
      <c r="F3272" s="14">
        <v>53</v>
      </c>
      <c r="G3272" s="14">
        <v>60</v>
      </c>
      <c r="H3272" s="14" t="s">
        <v>1400</v>
      </c>
      <c r="I3272" s="14" t="s">
        <v>75</v>
      </c>
      <c r="J3272" s="14" t="s">
        <v>201</v>
      </c>
      <c r="K3272" s="14">
        <v>1</v>
      </c>
      <c r="L3272" s="14" t="s">
        <v>1400</v>
      </c>
      <c r="N3272" s="14">
        <v>0</v>
      </c>
      <c r="O3272" s="14" t="b">
        <v>1</v>
      </c>
      <c r="Q3272" s="14" t="b">
        <v>0</v>
      </c>
      <c r="R3272" s="14">
        <v>1</v>
      </c>
      <c r="S3272" s="14" t="s">
        <v>77</v>
      </c>
      <c r="T3272" s="14">
        <v>999</v>
      </c>
      <c r="U3272" s="14" t="s">
        <v>1401</v>
      </c>
      <c r="V3272" s="14">
        <v>31927053</v>
      </c>
      <c r="X3272" s="14" t="s">
        <v>6146</v>
      </c>
      <c r="Y3272" s="14" t="s">
        <v>215</v>
      </c>
      <c r="Z3272" s="14">
        <v>22035</v>
      </c>
      <c r="AA3272" s="14" t="s">
        <v>6147</v>
      </c>
      <c r="AB3272" s="14">
        <v>40001</v>
      </c>
      <c r="AE3272" s="14" t="s">
        <v>1400</v>
      </c>
      <c r="AF3272" s="14" t="s">
        <v>1400</v>
      </c>
      <c r="AG3272" s="14" t="s">
        <v>101</v>
      </c>
    </row>
    <row r="3273" spans="2:33">
      <c r="B3273" s="14">
        <f>10000000+INDEX(编号表!$B:$B,MATCH(H3273,编号表!$A:$A,0))*100000+INDEX(编号表!$F:$F,MATCH(D3273,编号表!$E:$E,0))*10000+INDEX(编号表!$D:$D,MATCH(AG3273,编号表!$C:$C,0))*1000+F3273</f>
        <v>11937054</v>
      </c>
      <c r="C3273" s="14" t="s">
        <v>6145</v>
      </c>
      <c r="D3273" s="14" t="s">
        <v>276</v>
      </c>
      <c r="E3273" s="14" t="s">
        <v>101</v>
      </c>
      <c r="F3273" s="14">
        <v>54</v>
      </c>
      <c r="G3273" s="14">
        <v>60</v>
      </c>
      <c r="H3273" s="14" t="s">
        <v>1400</v>
      </c>
      <c r="I3273" s="14" t="s">
        <v>75</v>
      </c>
      <c r="J3273" s="14" t="s">
        <v>201</v>
      </c>
      <c r="K3273" s="14">
        <v>1</v>
      </c>
      <c r="L3273" s="14" t="s">
        <v>1400</v>
      </c>
      <c r="N3273" s="14">
        <v>0</v>
      </c>
      <c r="O3273" s="14" t="b">
        <v>1</v>
      </c>
      <c r="Q3273" s="14" t="b">
        <v>0</v>
      </c>
      <c r="R3273" s="14">
        <v>1</v>
      </c>
      <c r="S3273" s="14" t="s">
        <v>77</v>
      </c>
      <c r="T3273" s="14">
        <v>999</v>
      </c>
      <c r="U3273" s="14" t="s">
        <v>1401</v>
      </c>
      <c r="V3273" s="14">
        <v>31937054</v>
      </c>
      <c r="X3273" s="14" t="s">
        <v>6148</v>
      </c>
      <c r="Y3273" s="14" t="s">
        <v>215</v>
      </c>
      <c r="Z3273" s="14">
        <v>22036</v>
      </c>
      <c r="AA3273" s="14" t="s">
        <v>6149</v>
      </c>
      <c r="AB3273" s="14">
        <v>40001</v>
      </c>
      <c r="AE3273" s="14" t="s">
        <v>1400</v>
      </c>
      <c r="AF3273" s="14" t="s">
        <v>1400</v>
      </c>
      <c r="AG3273" s="14" t="s">
        <v>101</v>
      </c>
    </row>
    <row r="3274" spans="2:33">
      <c r="B3274" s="14">
        <f>10000000+INDEX(编号表!$B:$B,MATCH(H3274,编号表!$A:$A,0))*100000+INDEX(编号表!$F:$F,MATCH(D3274,编号表!$E:$E,0))*10000+INDEX(编号表!$D:$D,MATCH(AG3274,编号表!$C:$C,0))*1000+F3274</f>
        <v>11947055</v>
      </c>
      <c r="C3274" s="14" t="s">
        <v>6145</v>
      </c>
      <c r="D3274" s="14" t="s">
        <v>104</v>
      </c>
      <c r="E3274" s="14" t="s">
        <v>101</v>
      </c>
      <c r="F3274" s="14">
        <v>55</v>
      </c>
      <c r="G3274" s="14">
        <v>60</v>
      </c>
      <c r="H3274" s="14" t="s">
        <v>1400</v>
      </c>
      <c r="I3274" s="14" t="s">
        <v>75</v>
      </c>
      <c r="J3274" s="14" t="s">
        <v>201</v>
      </c>
      <c r="K3274" s="14">
        <v>1</v>
      </c>
      <c r="L3274" s="14" t="s">
        <v>1400</v>
      </c>
      <c r="N3274" s="14">
        <v>0</v>
      </c>
      <c r="O3274" s="14" t="b">
        <v>1</v>
      </c>
      <c r="Q3274" s="14" t="b">
        <v>0</v>
      </c>
      <c r="R3274" s="14">
        <v>1</v>
      </c>
      <c r="S3274" s="14" t="s">
        <v>77</v>
      </c>
      <c r="T3274" s="14">
        <v>999</v>
      </c>
      <c r="U3274" s="14" t="s">
        <v>1401</v>
      </c>
      <c r="V3274" s="14">
        <v>31947055</v>
      </c>
      <c r="X3274" s="14" t="s">
        <v>6150</v>
      </c>
      <c r="Y3274" s="14" t="s">
        <v>215</v>
      </c>
      <c r="Z3274" s="14">
        <v>22037</v>
      </c>
      <c r="AA3274" s="14" t="s">
        <v>6151</v>
      </c>
      <c r="AB3274" s="14">
        <v>40001</v>
      </c>
      <c r="AE3274" s="14" t="s">
        <v>1400</v>
      </c>
      <c r="AF3274" s="14" t="s">
        <v>1400</v>
      </c>
      <c r="AG3274" s="14" t="s">
        <v>101</v>
      </c>
    </row>
    <row r="3275" spans="2:33">
      <c r="B3275" s="14">
        <f>10000000+INDEX(编号表!$B:$B,MATCH(H3275,编号表!$A:$A,0))*100000+INDEX(编号表!$F:$F,MATCH(D3275,编号表!$E:$E,0))*10000+INDEX(编号表!$D:$D,MATCH(AG3275,编号表!$C:$C,0))*1000+F3275</f>
        <v>11927054</v>
      </c>
      <c r="C3275" s="14" t="s">
        <v>6152</v>
      </c>
      <c r="D3275" s="14" t="s">
        <v>112</v>
      </c>
      <c r="E3275" s="14" t="s">
        <v>101</v>
      </c>
      <c r="F3275" s="14">
        <v>54</v>
      </c>
      <c r="G3275" s="14">
        <v>60</v>
      </c>
      <c r="H3275" s="14" t="s">
        <v>1400</v>
      </c>
      <c r="I3275" s="14" t="s">
        <v>75</v>
      </c>
      <c r="J3275" s="14" t="s">
        <v>201</v>
      </c>
      <c r="K3275" s="14">
        <v>1</v>
      </c>
      <c r="L3275" s="14" t="s">
        <v>1400</v>
      </c>
      <c r="N3275" s="14">
        <v>0</v>
      </c>
      <c r="O3275" s="14" t="b">
        <v>1</v>
      </c>
      <c r="Q3275" s="14" t="b">
        <v>0</v>
      </c>
      <c r="R3275" s="14">
        <v>1</v>
      </c>
      <c r="S3275" s="14" t="s">
        <v>77</v>
      </c>
      <c r="T3275" s="14">
        <v>999</v>
      </c>
      <c r="U3275" s="14" t="s">
        <v>1401</v>
      </c>
      <c r="V3275" s="14">
        <v>31927054</v>
      </c>
      <c r="X3275" s="14" t="s">
        <v>6153</v>
      </c>
      <c r="Y3275" s="14" t="s">
        <v>215</v>
      </c>
      <c r="Z3275" s="14">
        <v>22038</v>
      </c>
      <c r="AA3275" s="14" t="s">
        <v>6154</v>
      </c>
      <c r="AB3275" s="14">
        <v>40001</v>
      </c>
      <c r="AE3275" s="14" t="s">
        <v>1400</v>
      </c>
      <c r="AF3275" s="14" t="s">
        <v>1400</v>
      </c>
      <c r="AG3275" s="14" t="s">
        <v>101</v>
      </c>
    </row>
    <row r="3276" spans="2:33">
      <c r="B3276" s="14">
        <f>10000000+INDEX(编号表!$B:$B,MATCH(H3276,编号表!$A:$A,0))*100000+INDEX(编号表!$F:$F,MATCH(D3276,编号表!$E:$E,0))*10000+INDEX(编号表!$D:$D,MATCH(AG3276,编号表!$C:$C,0))*1000+F3276</f>
        <v>11937055</v>
      </c>
      <c r="C3276" s="14" t="s">
        <v>6152</v>
      </c>
      <c r="D3276" s="14" t="s">
        <v>276</v>
      </c>
      <c r="E3276" s="14" t="s">
        <v>101</v>
      </c>
      <c r="F3276" s="14">
        <v>55</v>
      </c>
      <c r="G3276" s="14">
        <v>60</v>
      </c>
      <c r="H3276" s="14" t="s">
        <v>1400</v>
      </c>
      <c r="I3276" s="14" t="s">
        <v>75</v>
      </c>
      <c r="J3276" s="14" t="s">
        <v>201</v>
      </c>
      <c r="K3276" s="14">
        <v>1</v>
      </c>
      <c r="L3276" s="14" t="s">
        <v>1400</v>
      </c>
      <c r="N3276" s="14">
        <v>0</v>
      </c>
      <c r="O3276" s="14" t="b">
        <v>1</v>
      </c>
      <c r="Q3276" s="14" t="b">
        <v>0</v>
      </c>
      <c r="R3276" s="14">
        <v>1</v>
      </c>
      <c r="S3276" s="14" t="s">
        <v>77</v>
      </c>
      <c r="T3276" s="14">
        <v>999</v>
      </c>
      <c r="U3276" s="14" t="s">
        <v>1401</v>
      </c>
      <c r="V3276" s="14">
        <v>31937055</v>
      </c>
      <c r="X3276" s="14" t="s">
        <v>6155</v>
      </c>
      <c r="Y3276" s="14" t="s">
        <v>215</v>
      </c>
      <c r="Z3276" s="14">
        <v>22039</v>
      </c>
      <c r="AA3276" s="14" t="s">
        <v>6156</v>
      </c>
      <c r="AB3276" s="14">
        <v>40001</v>
      </c>
      <c r="AE3276" s="14" t="s">
        <v>1400</v>
      </c>
      <c r="AF3276" s="14" t="s">
        <v>1400</v>
      </c>
      <c r="AG3276" s="14" t="s">
        <v>101</v>
      </c>
    </row>
    <row r="3277" spans="2:33">
      <c r="B3277" s="14">
        <f>10000000+INDEX(编号表!$B:$B,MATCH(H3277,编号表!$A:$A,0))*100000+INDEX(编号表!$F:$F,MATCH(D3277,编号表!$E:$E,0))*10000+INDEX(编号表!$D:$D,MATCH(AG3277,编号表!$C:$C,0))*1000+F3277</f>
        <v>11947056</v>
      </c>
      <c r="C3277" s="14" t="s">
        <v>6152</v>
      </c>
      <c r="D3277" s="14" t="s">
        <v>104</v>
      </c>
      <c r="E3277" s="14" t="s">
        <v>101</v>
      </c>
      <c r="F3277" s="14">
        <v>56</v>
      </c>
      <c r="G3277" s="14">
        <v>60</v>
      </c>
      <c r="H3277" s="14" t="s">
        <v>1400</v>
      </c>
      <c r="I3277" s="14" t="s">
        <v>75</v>
      </c>
      <c r="J3277" s="14" t="s">
        <v>201</v>
      </c>
      <c r="K3277" s="14">
        <v>1</v>
      </c>
      <c r="L3277" s="14" t="s">
        <v>1400</v>
      </c>
      <c r="N3277" s="14">
        <v>0</v>
      </c>
      <c r="O3277" s="14" t="b">
        <v>1</v>
      </c>
      <c r="Q3277" s="14" t="b">
        <v>0</v>
      </c>
      <c r="R3277" s="14">
        <v>1</v>
      </c>
      <c r="S3277" s="14" t="s">
        <v>77</v>
      </c>
      <c r="T3277" s="14">
        <v>999</v>
      </c>
      <c r="U3277" s="14" t="s">
        <v>1401</v>
      </c>
      <c r="V3277" s="14">
        <v>31947056</v>
      </c>
      <c r="X3277" s="14" t="s">
        <v>6157</v>
      </c>
      <c r="Y3277" s="14" t="s">
        <v>215</v>
      </c>
      <c r="Z3277" s="14">
        <v>22040</v>
      </c>
      <c r="AA3277" s="14" t="s">
        <v>6158</v>
      </c>
      <c r="AB3277" s="14">
        <v>40001</v>
      </c>
      <c r="AE3277" s="14" t="s">
        <v>1400</v>
      </c>
      <c r="AF3277" s="14" t="s">
        <v>1400</v>
      </c>
      <c r="AG3277" s="14" t="s">
        <v>101</v>
      </c>
    </row>
    <row r="3278" spans="2:33">
      <c r="B3278" s="14">
        <f>10000000+INDEX(编号表!$B:$B,MATCH(H3278,编号表!$A:$A,0))*100000+INDEX(编号表!$F:$F,MATCH(D3278,编号表!$E:$E,0))*10000+INDEX(编号表!$D:$D,MATCH(AG3278,编号表!$C:$C,0))*1000+F3278</f>
        <v>11927055</v>
      </c>
      <c r="C3278" s="14" t="s">
        <v>6159</v>
      </c>
      <c r="D3278" s="14" t="s">
        <v>112</v>
      </c>
      <c r="E3278" s="14" t="s">
        <v>101</v>
      </c>
      <c r="F3278" s="14">
        <v>55</v>
      </c>
      <c r="G3278" s="14">
        <v>60</v>
      </c>
      <c r="H3278" s="14" t="s">
        <v>1400</v>
      </c>
      <c r="I3278" s="14" t="s">
        <v>75</v>
      </c>
      <c r="J3278" s="14" t="s">
        <v>201</v>
      </c>
      <c r="K3278" s="14">
        <v>1</v>
      </c>
      <c r="L3278" s="14" t="s">
        <v>1400</v>
      </c>
      <c r="N3278" s="14">
        <v>0</v>
      </c>
      <c r="O3278" s="14" t="b">
        <v>1</v>
      </c>
      <c r="Q3278" s="14" t="b">
        <v>0</v>
      </c>
      <c r="R3278" s="14">
        <v>1</v>
      </c>
      <c r="S3278" s="14" t="s">
        <v>77</v>
      </c>
      <c r="T3278" s="14">
        <v>999</v>
      </c>
      <c r="U3278" s="14" t="s">
        <v>1401</v>
      </c>
      <c r="V3278" s="14">
        <v>31927055</v>
      </c>
      <c r="X3278" s="14" t="s">
        <v>6160</v>
      </c>
      <c r="Y3278" s="14" t="s">
        <v>215</v>
      </c>
      <c r="Z3278" s="14">
        <v>22041</v>
      </c>
      <c r="AA3278" s="14" t="s">
        <v>6161</v>
      </c>
      <c r="AB3278" s="14">
        <v>40001</v>
      </c>
      <c r="AE3278" s="14" t="s">
        <v>1400</v>
      </c>
      <c r="AF3278" s="14" t="s">
        <v>1400</v>
      </c>
      <c r="AG3278" s="14" t="s">
        <v>101</v>
      </c>
    </row>
    <row r="3279" spans="2:33">
      <c r="B3279" s="14">
        <f>10000000+INDEX(编号表!$B:$B,MATCH(H3279,编号表!$A:$A,0))*100000+INDEX(编号表!$F:$F,MATCH(D3279,编号表!$E:$E,0))*10000+INDEX(编号表!$D:$D,MATCH(AG3279,编号表!$C:$C,0))*1000+F3279</f>
        <v>11937056</v>
      </c>
      <c r="C3279" s="14" t="s">
        <v>6159</v>
      </c>
      <c r="D3279" s="14" t="s">
        <v>276</v>
      </c>
      <c r="E3279" s="14" t="s">
        <v>101</v>
      </c>
      <c r="F3279" s="14">
        <v>56</v>
      </c>
      <c r="G3279" s="14">
        <v>60</v>
      </c>
      <c r="H3279" s="14" t="s">
        <v>1400</v>
      </c>
      <c r="I3279" s="14" t="s">
        <v>75</v>
      </c>
      <c r="J3279" s="14" t="s">
        <v>201</v>
      </c>
      <c r="K3279" s="14">
        <v>1</v>
      </c>
      <c r="L3279" s="14" t="s">
        <v>1400</v>
      </c>
      <c r="N3279" s="14">
        <v>0</v>
      </c>
      <c r="O3279" s="14" t="b">
        <v>1</v>
      </c>
      <c r="Q3279" s="14" t="b">
        <v>0</v>
      </c>
      <c r="R3279" s="14">
        <v>1</v>
      </c>
      <c r="S3279" s="14" t="s">
        <v>77</v>
      </c>
      <c r="T3279" s="14">
        <v>999</v>
      </c>
      <c r="U3279" s="14" t="s">
        <v>1401</v>
      </c>
      <c r="V3279" s="14">
        <v>31937056</v>
      </c>
      <c r="X3279" s="14" t="s">
        <v>6162</v>
      </c>
      <c r="Y3279" s="14" t="s">
        <v>215</v>
      </c>
      <c r="Z3279" s="14">
        <v>22042</v>
      </c>
      <c r="AA3279" s="14" t="s">
        <v>6163</v>
      </c>
      <c r="AB3279" s="14">
        <v>40001</v>
      </c>
      <c r="AE3279" s="14" t="s">
        <v>1400</v>
      </c>
      <c r="AF3279" s="14" t="s">
        <v>1400</v>
      </c>
      <c r="AG3279" s="14" t="s">
        <v>101</v>
      </c>
    </row>
    <row r="3280" spans="2:33">
      <c r="B3280" s="14">
        <f>10000000+INDEX(编号表!$B:$B,MATCH(H3280,编号表!$A:$A,0))*100000+INDEX(编号表!$F:$F,MATCH(D3280,编号表!$E:$E,0))*10000+INDEX(编号表!$D:$D,MATCH(AG3280,编号表!$C:$C,0))*1000+F3280</f>
        <v>11947057</v>
      </c>
      <c r="C3280" s="14" t="s">
        <v>6159</v>
      </c>
      <c r="D3280" s="14" t="s">
        <v>104</v>
      </c>
      <c r="E3280" s="14" t="s">
        <v>101</v>
      </c>
      <c r="F3280" s="14">
        <v>57</v>
      </c>
      <c r="G3280" s="14">
        <v>60</v>
      </c>
      <c r="H3280" s="14" t="s">
        <v>1400</v>
      </c>
      <c r="I3280" s="14" t="s">
        <v>75</v>
      </c>
      <c r="J3280" s="14" t="s">
        <v>201</v>
      </c>
      <c r="K3280" s="14">
        <v>1</v>
      </c>
      <c r="L3280" s="14" t="s">
        <v>1400</v>
      </c>
      <c r="N3280" s="14">
        <v>0</v>
      </c>
      <c r="O3280" s="14" t="b">
        <v>1</v>
      </c>
      <c r="Q3280" s="14" t="b">
        <v>0</v>
      </c>
      <c r="R3280" s="14">
        <v>1</v>
      </c>
      <c r="S3280" s="14" t="s">
        <v>77</v>
      </c>
      <c r="T3280" s="14">
        <v>999</v>
      </c>
      <c r="U3280" s="14" t="s">
        <v>1401</v>
      </c>
      <c r="V3280" s="14">
        <v>31947057</v>
      </c>
      <c r="X3280" s="14" t="s">
        <v>6164</v>
      </c>
      <c r="Y3280" s="14" t="s">
        <v>215</v>
      </c>
      <c r="Z3280" s="14">
        <v>22043</v>
      </c>
      <c r="AA3280" s="14" t="s">
        <v>6165</v>
      </c>
      <c r="AB3280" s="14">
        <v>40001</v>
      </c>
      <c r="AE3280" s="14" t="s">
        <v>1400</v>
      </c>
      <c r="AF3280" s="14" t="s">
        <v>1400</v>
      </c>
      <c r="AG3280" s="14" t="s">
        <v>101</v>
      </c>
    </row>
    <row r="3281" spans="2:33">
      <c r="B3281" s="14">
        <f>10000000+INDEX(编号表!$B:$B,MATCH(H3281,编号表!$A:$A,0))*100000+INDEX(编号表!$F:$F,MATCH(D3281,编号表!$E:$E,0))*10000+INDEX(编号表!$D:$D,MATCH(AG3281,编号表!$C:$C,0))*1000+F3281</f>
        <v>11927056</v>
      </c>
      <c r="C3281" s="14" t="s">
        <v>6166</v>
      </c>
      <c r="D3281" s="14" t="s">
        <v>112</v>
      </c>
      <c r="E3281" s="14" t="s">
        <v>101</v>
      </c>
      <c r="F3281" s="14">
        <v>56</v>
      </c>
      <c r="G3281" s="14">
        <v>60</v>
      </c>
      <c r="H3281" s="14" t="s">
        <v>1400</v>
      </c>
      <c r="I3281" s="14" t="s">
        <v>75</v>
      </c>
      <c r="J3281" s="14" t="s">
        <v>201</v>
      </c>
      <c r="K3281" s="14">
        <v>1</v>
      </c>
      <c r="L3281" s="14" t="s">
        <v>1400</v>
      </c>
      <c r="N3281" s="14">
        <v>0</v>
      </c>
      <c r="O3281" s="14" t="b">
        <v>1</v>
      </c>
      <c r="Q3281" s="14" t="b">
        <v>0</v>
      </c>
      <c r="R3281" s="14">
        <v>1</v>
      </c>
      <c r="S3281" s="14" t="s">
        <v>77</v>
      </c>
      <c r="T3281" s="14">
        <v>999</v>
      </c>
      <c r="U3281" s="14" t="s">
        <v>1401</v>
      </c>
      <c r="V3281" s="14">
        <v>31927056</v>
      </c>
      <c r="X3281" s="14" t="s">
        <v>6167</v>
      </c>
      <c r="Y3281" s="14" t="s">
        <v>215</v>
      </c>
      <c r="Z3281" s="14">
        <v>22044</v>
      </c>
      <c r="AA3281" s="14" t="s">
        <v>6168</v>
      </c>
      <c r="AB3281" s="14">
        <v>40001</v>
      </c>
      <c r="AE3281" s="14" t="s">
        <v>1400</v>
      </c>
      <c r="AF3281" s="14" t="s">
        <v>1400</v>
      </c>
      <c r="AG3281" s="14" t="s">
        <v>101</v>
      </c>
    </row>
    <row r="3282" spans="2:33">
      <c r="B3282" s="14">
        <f>10000000+INDEX(编号表!$B:$B,MATCH(H3282,编号表!$A:$A,0))*100000+INDEX(编号表!$F:$F,MATCH(D3282,编号表!$E:$E,0))*10000+INDEX(编号表!$D:$D,MATCH(AG3282,编号表!$C:$C,0))*1000+F3282</f>
        <v>11937057</v>
      </c>
      <c r="C3282" s="14" t="s">
        <v>6166</v>
      </c>
      <c r="D3282" s="14" t="s">
        <v>276</v>
      </c>
      <c r="E3282" s="14" t="s">
        <v>101</v>
      </c>
      <c r="F3282" s="14">
        <v>57</v>
      </c>
      <c r="G3282" s="14">
        <v>60</v>
      </c>
      <c r="H3282" s="14" t="s">
        <v>1400</v>
      </c>
      <c r="I3282" s="14" t="s">
        <v>75</v>
      </c>
      <c r="J3282" s="14" t="s">
        <v>201</v>
      </c>
      <c r="K3282" s="14">
        <v>1</v>
      </c>
      <c r="L3282" s="14" t="s">
        <v>1400</v>
      </c>
      <c r="N3282" s="14">
        <v>0</v>
      </c>
      <c r="O3282" s="14" t="b">
        <v>1</v>
      </c>
      <c r="Q3282" s="14" t="b">
        <v>0</v>
      </c>
      <c r="R3282" s="14">
        <v>1</v>
      </c>
      <c r="S3282" s="14" t="s">
        <v>77</v>
      </c>
      <c r="T3282" s="14">
        <v>999</v>
      </c>
      <c r="U3282" s="14" t="s">
        <v>1401</v>
      </c>
      <c r="V3282" s="14">
        <v>31937057</v>
      </c>
      <c r="X3282" s="14" t="s">
        <v>6169</v>
      </c>
      <c r="Y3282" s="14" t="s">
        <v>215</v>
      </c>
      <c r="Z3282" s="14">
        <v>22045</v>
      </c>
      <c r="AA3282" s="14" t="s">
        <v>6170</v>
      </c>
      <c r="AB3282" s="14">
        <v>40001</v>
      </c>
      <c r="AE3282" s="14" t="s">
        <v>1400</v>
      </c>
      <c r="AF3282" s="14" t="s">
        <v>1400</v>
      </c>
      <c r="AG3282" s="14" t="s">
        <v>101</v>
      </c>
    </row>
    <row r="3283" spans="2:33">
      <c r="B3283" s="14">
        <f>10000000+INDEX(编号表!$B:$B,MATCH(H3283,编号表!$A:$A,0))*100000+INDEX(编号表!$F:$F,MATCH(D3283,编号表!$E:$E,0))*10000+INDEX(编号表!$D:$D,MATCH(AG3283,编号表!$C:$C,0))*1000+F3283</f>
        <v>11947058</v>
      </c>
      <c r="C3283" s="14" t="s">
        <v>6166</v>
      </c>
      <c r="D3283" s="14" t="s">
        <v>104</v>
      </c>
      <c r="E3283" s="14" t="s">
        <v>101</v>
      </c>
      <c r="F3283" s="14">
        <v>58</v>
      </c>
      <c r="G3283" s="14">
        <v>60</v>
      </c>
      <c r="H3283" s="14" t="s">
        <v>1400</v>
      </c>
      <c r="I3283" s="14" t="s">
        <v>75</v>
      </c>
      <c r="J3283" s="14" t="s">
        <v>201</v>
      </c>
      <c r="K3283" s="14">
        <v>1</v>
      </c>
      <c r="L3283" s="14" t="s">
        <v>1400</v>
      </c>
      <c r="N3283" s="14">
        <v>0</v>
      </c>
      <c r="O3283" s="14" t="b">
        <v>1</v>
      </c>
      <c r="Q3283" s="14" t="b">
        <v>0</v>
      </c>
      <c r="R3283" s="14">
        <v>1</v>
      </c>
      <c r="S3283" s="14" t="s">
        <v>77</v>
      </c>
      <c r="T3283" s="14">
        <v>999</v>
      </c>
      <c r="U3283" s="14" t="s">
        <v>1401</v>
      </c>
      <c r="V3283" s="14">
        <v>31947058</v>
      </c>
      <c r="X3283" s="14" t="s">
        <v>6171</v>
      </c>
      <c r="Y3283" s="14" t="s">
        <v>215</v>
      </c>
      <c r="Z3283" s="14">
        <v>22046</v>
      </c>
      <c r="AA3283" s="14" t="s">
        <v>6172</v>
      </c>
      <c r="AB3283" s="14">
        <v>40001</v>
      </c>
      <c r="AE3283" s="14" t="s">
        <v>1400</v>
      </c>
      <c r="AF3283" s="14" t="s">
        <v>1400</v>
      </c>
      <c r="AG3283" s="14" t="s">
        <v>101</v>
      </c>
    </row>
    <row r="3284" spans="2:33">
      <c r="B3284" s="14">
        <f>10000000+INDEX(编号表!$B:$B,MATCH(H3284,编号表!$A:$A,0))*100000+INDEX(编号表!$F:$F,MATCH(D3284,编号表!$E:$E,0))*10000+INDEX(编号表!$D:$D,MATCH(AG3284,编号表!$C:$C,0))*1000+F3284</f>
        <v>11927057</v>
      </c>
      <c r="C3284" s="14" t="s">
        <v>6173</v>
      </c>
      <c r="D3284" s="14" t="s">
        <v>112</v>
      </c>
      <c r="E3284" s="14" t="s">
        <v>101</v>
      </c>
      <c r="F3284" s="14">
        <v>57</v>
      </c>
      <c r="G3284" s="14">
        <v>60</v>
      </c>
      <c r="H3284" s="14" t="s">
        <v>1400</v>
      </c>
      <c r="I3284" s="14" t="s">
        <v>75</v>
      </c>
      <c r="J3284" s="14" t="s">
        <v>201</v>
      </c>
      <c r="K3284" s="14">
        <v>1</v>
      </c>
      <c r="L3284" s="14" t="s">
        <v>1400</v>
      </c>
      <c r="N3284" s="14">
        <v>0</v>
      </c>
      <c r="O3284" s="14" t="b">
        <v>1</v>
      </c>
      <c r="Q3284" s="14" t="b">
        <v>0</v>
      </c>
      <c r="R3284" s="14">
        <v>1</v>
      </c>
      <c r="S3284" s="14" t="s">
        <v>77</v>
      </c>
      <c r="T3284" s="14">
        <v>999</v>
      </c>
      <c r="U3284" s="14" t="s">
        <v>1401</v>
      </c>
      <c r="V3284" s="14">
        <v>31927057</v>
      </c>
      <c r="X3284" s="14" t="s">
        <v>6174</v>
      </c>
      <c r="Y3284" s="14" t="s">
        <v>215</v>
      </c>
      <c r="Z3284" s="14">
        <v>22047</v>
      </c>
      <c r="AA3284" s="14" t="s">
        <v>6175</v>
      </c>
      <c r="AB3284" s="14">
        <v>40001</v>
      </c>
      <c r="AE3284" s="14" t="s">
        <v>1400</v>
      </c>
      <c r="AF3284" s="14" t="s">
        <v>1400</v>
      </c>
      <c r="AG3284" s="14" t="s">
        <v>101</v>
      </c>
    </row>
    <row r="3285" spans="2:33">
      <c r="B3285" s="14">
        <f>10000000+INDEX(编号表!$B:$B,MATCH(H3285,编号表!$A:$A,0))*100000+INDEX(编号表!$F:$F,MATCH(D3285,编号表!$E:$E,0))*10000+INDEX(编号表!$D:$D,MATCH(AG3285,编号表!$C:$C,0))*1000+F3285</f>
        <v>11937058</v>
      </c>
      <c r="C3285" s="14" t="s">
        <v>6173</v>
      </c>
      <c r="D3285" s="14" t="s">
        <v>276</v>
      </c>
      <c r="E3285" s="14" t="s">
        <v>101</v>
      </c>
      <c r="F3285" s="14">
        <v>58</v>
      </c>
      <c r="G3285" s="14">
        <v>60</v>
      </c>
      <c r="H3285" s="14" t="s">
        <v>1400</v>
      </c>
      <c r="I3285" s="14" t="s">
        <v>75</v>
      </c>
      <c r="J3285" s="14" t="s">
        <v>201</v>
      </c>
      <c r="K3285" s="14">
        <v>1</v>
      </c>
      <c r="L3285" s="14" t="s">
        <v>1400</v>
      </c>
      <c r="N3285" s="14">
        <v>0</v>
      </c>
      <c r="O3285" s="14" t="b">
        <v>1</v>
      </c>
      <c r="Q3285" s="14" t="b">
        <v>0</v>
      </c>
      <c r="R3285" s="14">
        <v>1</v>
      </c>
      <c r="S3285" s="14" t="s">
        <v>77</v>
      </c>
      <c r="T3285" s="14">
        <v>999</v>
      </c>
      <c r="U3285" s="14" t="s">
        <v>1401</v>
      </c>
      <c r="V3285" s="14">
        <v>31937058</v>
      </c>
      <c r="X3285" s="14" t="s">
        <v>6176</v>
      </c>
      <c r="Y3285" s="14" t="s">
        <v>215</v>
      </c>
      <c r="Z3285" s="14">
        <v>22048</v>
      </c>
      <c r="AA3285" s="14" t="s">
        <v>6177</v>
      </c>
      <c r="AB3285" s="14">
        <v>40001</v>
      </c>
      <c r="AE3285" s="14" t="s">
        <v>1400</v>
      </c>
      <c r="AF3285" s="14" t="s">
        <v>1400</v>
      </c>
      <c r="AG3285" s="14" t="s">
        <v>101</v>
      </c>
    </row>
    <row r="3286" spans="2:33">
      <c r="B3286" s="14">
        <f>10000000+INDEX(编号表!$B:$B,MATCH(H3286,编号表!$A:$A,0))*100000+INDEX(编号表!$F:$F,MATCH(D3286,编号表!$E:$E,0))*10000+INDEX(编号表!$D:$D,MATCH(AG3286,编号表!$C:$C,0))*1000+F3286</f>
        <v>11947059</v>
      </c>
      <c r="C3286" s="14" t="s">
        <v>6173</v>
      </c>
      <c r="D3286" s="14" t="s">
        <v>104</v>
      </c>
      <c r="E3286" s="14" t="s">
        <v>101</v>
      </c>
      <c r="F3286" s="14">
        <v>59</v>
      </c>
      <c r="G3286" s="14">
        <v>60</v>
      </c>
      <c r="H3286" s="14" t="s">
        <v>1400</v>
      </c>
      <c r="I3286" s="14" t="s">
        <v>75</v>
      </c>
      <c r="J3286" s="14" t="s">
        <v>201</v>
      </c>
      <c r="K3286" s="14">
        <v>1</v>
      </c>
      <c r="L3286" s="14" t="s">
        <v>1400</v>
      </c>
      <c r="N3286" s="14">
        <v>0</v>
      </c>
      <c r="O3286" s="14" t="b">
        <v>1</v>
      </c>
      <c r="Q3286" s="14" t="b">
        <v>0</v>
      </c>
      <c r="R3286" s="14">
        <v>1</v>
      </c>
      <c r="S3286" s="14" t="s">
        <v>77</v>
      </c>
      <c r="T3286" s="14">
        <v>999</v>
      </c>
      <c r="U3286" s="14" t="s">
        <v>1401</v>
      </c>
      <c r="V3286" s="14">
        <v>31947059</v>
      </c>
      <c r="X3286" s="14" t="s">
        <v>6178</v>
      </c>
      <c r="Y3286" s="14" t="s">
        <v>215</v>
      </c>
      <c r="Z3286" s="14">
        <v>22049</v>
      </c>
      <c r="AA3286" s="14" t="s">
        <v>6179</v>
      </c>
      <c r="AB3286" s="14">
        <v>40001</v>
      </c>
      <c r="AE3286" s="14" t="s">
        <v>1400</v>
      </c>
      <c r="AF3286" s="14" t="s">
        <v>1400</v>
      </c>
      <c r="AG3286" s="14" t="s">
        <v>101</v>
      </c>
    </row>
    <row r="3287" spans="2:33">
      <c r="B3287" s="14">
        <f>10000000+INDEX(编号表!$B:$B,MATCH(H3287,编号表!$A:$A,0))*100000+INDEX(编号表!$F:$F,MATCH(D3287,编号表!$E:$E,0))*10000+INDEX(编号表!$D:$D,MATCH(AG3287,编号表!$C:$C,0))*1000+F3287</f>
        <v>11927058</v>
      </c>
      <c r="C3287" s="14" t="s">
        <v>6180</v>
      </c>
      <c r="D3287" s="14" t="s">
        <v>112</v>
      </c>
      <c r="E3287" s="14" t="s">
        <v>101</v>
      </c>
      <c r="F3287" s="14">
        <v>58</v>
      </c>
      <c r="G3287" s="14">
        <v>60</v>
      </c>
      <c r="H3287" s="14" t="s">
        <v>1400</v>
      </c>
      <c r="I3287" s="14" t="s">
        <v>75</v>
      </c>
      <c r="J3287" s="14" t="s">
        <v>201</v>
      </c>
      <c r="K3287" s="14">
        <v>1</v>
      </c>
      <c r="L3287" s="14" t="s">
        <v>1400</v>
      </c>
      <c r="N3287" s="14">
        <v>0</v>
      </c>
      <c r="O3287" s="14" t="b">
        <v>1</v>
      </c>
      <c r="Q3287" s="14" t="b">
        <v>0</v>
      </c>
      <c r="R3287" s="14">
        <v>1</v>
      </c>
      <c r="S3287" s="14" t="s">
        <v>77</v>
      </c>
      <c r="T3287" s="14">
        <v>999</v>
      </c>
      <c r="U3287" s="14" t="s">
        <v>1401</v>
      </c>
      <c r="V3287" s="14">
        <v>31927058</v>
      </c>
      <c r="X3287" s="14" t="s">
        <v>6181</v>
      </c>
      <c r="Y3287" s="14" t="s">
        <v>215</v>
      </c>
      <c r="Z3287" s="14">
        <v>22050</v>
      </c>
      <c r="AA3287" s="14" t="s">
        <v>6182</v>
      </c>
      <c r="AB3287" s="14">
        <v>40001</v>
      </c>
      <c r="AE3287" s="14" t="s">
        <v>1400</v>
      </c>
      <c r="AF3287" s="14" t="s">
        <v>1400</v>
      </c>
      <c r="AG3287" s="14" t="s">
        <v>101</v>
      </c>
    </row>
    <row r="3288" spans="2:33">
      <c r="B3288" s="14">
        <f>10000000+INDEX(编号表!$B:$B,MATCH(H3288,编号表!$A:$A,0))*100000+INDEX(编号表!$F:$F,MATCH(D3288,编号表!$E:$E,0))*10000+INDEX(编号表!$D:$D,MATCH(AG3288,编号表!$C:$C,0))*1000+F3288</f>
        <v>11937059</v>
      </c>
      <c r="C3288" s="14" t="s">
        <v>6180</v>
      </c>
      <c r="D3288" s="14" t="s">
        <v>276</v>
      </c>
      <c r="E3288" s="14" t="s">
        <v>101</v>
      </c>
      <c r="F3288" s="14">
        <v>59</v>
      </c>
      <c r="G3288" s="14">
        <v>60</v>
      </c>
      <c r="H3288" s="14" t="s">
        <v>1400</v>
      </c>
      <c r="I3288" s="14" t="s">
        <v>75</v>
      </c>
      <c r="J3288" s="14" t="s">
        <v>201</v>
      </c>
      <c r="K3288" s="14">
        <v>1</v>
      </c>
      <c r="L3288" s="14" t="s">
        <v>1400</v>
      </c>
      <c r="N3288" s="14">
        <v>0</v>
      </c>
      <c r="O3288" s="14" t="b">
        <v>1</v>
      </c>
      <c r="Q3288" s="14" t="b">
        <v>0</v>
      </c>
      <c r="R3288" s="14">
        <v>1</v>
      </c>
      <c r="S3288" s="14" t="s">
        <v>77</v>
      </c>
      <c r="T3288" s="14">
        <v>999</v>
      </c>
      <c r="U3288" s="14" t="s">
        <v>1401</v>
      </c>
      <c r="V3288" s="14">
        <v>31937059</v>
      </c>
      <c r="X3288" s="14" t="s">
        <v>6183</v>
      </c>
      <c r="Y3288" s="14" t="s">
        <v>215</v>
      </c>
      <c r="Z3288" s="14">
        <v>22051</v>
      </c>
      <c r="AA3288" s="14" t="s">
        <v>6184</v>
      </c>
      <c r="AB3288" s="14">
        <v>40001</v>
      </c>
      <c r="AE3288" s="14" t="s">
        <v>1400</v>
      </c>
      <c r="AF3288" s="14" t="s">
        <v>1400</v>
      </c>
      <c r="AG3288" s="14" t="s">
        <v>101</v>
      </c>
    </row>
    <row r="3289" spans="2:33">
      <c r="B3289" s="14">
        <f>10000000+INDEX(编号表!$B:$B,MATCH(H3289,编号表!$A:$A,0))*100000+INDEX(编号表!$F:$F,MATCH(D3289,编号表!$E:$E,0))*10000+INDEX(编号表!$D:$D,MATCH(AG3289,编号表!$C:$C,0))*1000+F3289</f>
        <v>11947060</v>
      </c>
      <c r="C3289" s="14" t="s">
        <v>6180</v>
      </c>
      <c r="D3289" s="14" t="s">
        <v>104</v>
      </c>
      <c r="E3289" s="14" t="s">
        <v>101</v>
      </c>
      <c r="F3289" s="14">
        <v>60</v>
      </c>
      <c r="G3289" s="14">
        <v>60</v>
      </c>
      <c r="H3289" s="14" t="s">
        <v>1400</v>
      </c>
      <c r="I3289" s="14" t="s">
        <v>75</v>
      </c>
      <c r="J3289" s="14" t="s">
        <v>201</v>
      </c>
      <c r="K3289" s="14">
        <v>1</v>
      </c>
      <c r="L3289" s="14" t="s">
        <v>1400</v>
      </c>
      <c r="N3289" s="14">
        <v>0</v>
      </c>
      <c r="O3289" s="14" t="b">
        <v>1</v>
      </c>
      <c r="Q3289" s="14" t="b">
        <v>0</v>
      </c>
      <c r="R3289" s="14">
        <v>1</v>
      </c>
      <c r="S3289" s="14" t="s">
        <v>77</v>
      </c>
      <c r="T3289" s="14">
        <v>999</v>
      </c>
      <c r="U3289" s="14" t="s">
        <v>1401</v>
      </c>
      <c r="V3289" s="14">
        <v>31947060</v>
      </c>
      <c r="X3289" s="14" t="s">
        <v>6185</v>
      </c>
      <c r="Y3289" s="14" t="s">
        <v>215</v>
      </c>
      <c r="Z3289" s="14">
        <v>22052</v>
      </c>
      <c r="AA3289" s="14" t="s">
        <v>6186</v>
      </c>
      <c r="AB3289" s="14">
        <v>40001</v>
      </c>
      <c r="AE3289" s="14" t="s">
        <v>1400</v>
      </c>
      <c r="AF3289" s="14" t="s">
        <v>1400</v>
      </c>
      <c r="AG3289" s="14" t="s">
        <v>101</v>
      </c>
    </row>
    <row r="3290" spans="2:33">
      <c r="B3290" s="14">
        <f>10000000+INDEX(编号表!$B:$B,MATCH(H3290,编号表!$A:$A,0))*100000+INDEX(编号表!$F:$F,MATCH(D3290,编号表!$E:$E,0))*10000+INDEX(编号表!$D:$D,MATCH(AG3290,编号表!$C:$C,0))*1000+F3290</f>
        <v>11927059</v>
      </c>
      <c r="C3290" s="14" t="s">
        <v>6187</v>
      </c>
      <c r="D3290" s="14" t="s">
        <v>112</v>
      </c>
      <c r="E3290" s="14" t="s">
        <v>101</v>
      </c>
      <c r="F3290" s="14">
        <v>59</v>
      </c>
      <c r="G3290" s="14">
        <v>60</v>
      </c>
      <c r="H3290" s="14" t="s">
        <v>1400</v>
      </c>
      <c r="I3290" s="14" t="s">
        <v>75</v>
      </c>
      <c r="J3290" s="14" t="s">
        <v>201</v>
      </c>
      <c r="K3290" s="14">
        <v>1</v>
      </c>
      <c r="L3290" s="14" t="s">
        <v>1400</v>
      </c>
      <c r="N3290" s="14">
        <v>0</v>
      </c>
      <c r="O3290" s="14" t="b">
        <v>1</v>
      </c>
      <c r="Q3290" s="14" t="b">
        <v>0</v>
      </c>
      <c r="R3290" s="14">
        <v>1</v>
      </c>
      <c r="S3290" s="14" t="s">
        <v>77</v>
      </c>
      <c r="T3290" s="14">
        <v>999</v>
      </c>
      <c r="U3290" s="14" t="s">
        <v>1401</v>
      </c>
      <c r="V3290" s="14">
        <v>31927059</v>
      </c>
      <c r="X3290" s="14" t="s">
        <v>6188</v>
      </c>
      <c r="Y3290" s="14" t="s">
        <v>215</v>
      </c>
      <c r="Z3290" s="14">
        <v>22053</v>
      </c>
      <c r="AA3290" s="14" t="s">
        <v>6189</v>
      </c>
      <c r="AB3290" s="14">
        <v>40001</v>
      </c>
      <c r="AE3290" s="14" t="s">
        <v>1400</v>
      </c>
      <c r="AF3290" s="14" t="s">
        <v>1400</v>
      </c>
      <c r="AG3290" s="14" t="s">
        <v>101</v>
      </c>
    </row>
    <row r="3291" spans="2:33">
      <c r="B3291" s="14">
        <f>10000000+INDEX(编号表!$B:$B,MATCH(H3291,编号表!$A:$A,0))*100000+INDEX(编号表!$F:$F,MATCH(D3291,编号表!$E:$E,0))*10000+INDEX(编号表!$D:$D,MATCH(AG3291,编号表!$C:$C,0))*1000+F3291</f>
        <v>11937060</v>
      </c>
      <c r="C3291" s="14" t="s">
        <v>6187</v>
      </c>
      <c r="D3291" s="14" t="s">
        <v>276</v>
      </c>
      <c r="E3291" s="14" t="s">
        <v>101</v>
      </c>
      <c r="F3291" s="14">
        <v>60</v>
      </c>
      <c r="G3291" s="14">
        <v>60</v>
      </c>
      <c r="H3291" s="14" t="s">
        <v>1400</v>
      </c>
      <c r="I3291" s="14" t="s">
        <v>75</v>
      </c>
      <c r="J3291" s="14" t="s">
        <v>201</v>
      </c>
      <c r="K3291" s="14">
        <v>1</v>
      </c>
      <c r="L3291" s="14" t="s">
        <v>1400</v>
      </c>
      <c r="N3291" s="14">
        <v>0</v>
      </c>
      <c r="O3291" s="14" t="b">
        <v>1</v>
      </c>
      <c r="Q3291" s="14" t="b">
        <v>0</v>
      </c>
      <c r="R3291" s="14">
        <v>1</v>
      </c>
      <c r="S3291" s="14" t="s">
        <v>77</v>
      </c>
      <c r="T3291" s="14">
        <v>999</v>
      </c>
      <c r="U3291" s="14" t="s">
        <v>1401</v>
      </c>
      <c r="V3291" s="14">
        <v>31937060</v>
      </c>
      <c r="X3291" s="14" t="s">
        <v>6190</v>
      </c>
      <c r="Y3291" s="14" t="s">
        <v>215</v>
      </c>
      <c r="Z3291" s="14">
        <v>22054</v>
      </c>
      <c r="AA3291" s="14" t="s">
        <v>6191</v>
      </c>
      <c r="AB3291" s="14">
        <v>40001</v>
      </c>
      <c r="AE3291" s="14" t="s">
        <v>1400</v>
      </c>
      <c r="AF3291" s="14" t="s">
        <v>1400</v>
      </c>
      <c r="AG3291" s="14" t="s">
        <v>101</v>
      </c>
    </row>
    <row r="3292" spans="2:33">
      <c r="B3292" s="14">
        <f>10000000+INDEX(编号表!$B:$B,MATCH(H3292,编号表!$A:$A,0))*100000+INDEX(编号表!$F:$F,MATCH(D3292,编号表!$E:$E,0))*10000+INDEX(编号表!$D:$D,MATCH(AG3292,编号表!$C:$C,0))*1000+F3292</f>
        <v>11947061</v>
      </c>
      <c r="C3292" s="14" t="s">
        <v>6187</v>
      </c>
      <c r="D3292" s="14" t="s">
        <v>104</v>
      </c>
      <c r="E3292" s="14" t="s">
        <v>101</v>
      </c>
      <c r="F3292" s="14">
        <v>61</v>
      </c>
      <c r="G3292" s="14">
        <v>60</v>
      </c>
      <c r="H3292" s="14" t="s">
        <v>1400</v>
      </c>
      <c r="I3292" s="14" t="s">
        <v>75</v>
      </c>
      <c r="J3292" s="14" t="s">
        <v>201</v>
      </c>
      <c r="K3292" s="14">
        <v>1</v>
      </c>
      <c r="L3292" s="14" t="s">
        <v>1400</v>
      </c>
      <c r="N3292" s="14">
        <v>0</v>
      </c>
      <c r="O3292" s="14" t="b">
        <v>1</v>
      </c>
      <c r="Q3292" s="14" t="b">
        <v>0</v>
      </c>
      <c r="R3292" s="14">
        <v>1</v>
      </c>
      <c r="S3292" s="14" t="s">
        <v>77</v>
      </c>
      <c r="T3292" s="14">
        <v>999</v>
      </c>
      <c r="U3292" s="14" t="s">
        <v>1401</v>
      </c>
      <c r="V3292" s="14">
        <v>31947061</v>
      </c>
      <c r="X3292" s="14" t="s">
        <v>6192</v>
      </c>
      <c r="Y3292" s="14" t="s">
        <v>215</v>
      </c>
      <c r="Z3292" s="14">
        <v>22055</v>
      </c>
      <c r="AA3292" s="14" t="s">
        <v>6193</v>
      </c>
      <c r="AB3292" s="14">
        <v>40001</v>
      </c>
      <c r="AE3292" s="14" t="s">
        <v>1400</v>
      </c>
      <c r="AF3292" s="14" t="s">
        <v>1400</v>
      </c>
      <c r="AG3292" s="14" t="s">
        <v>101</v>
      </c>
    </row>
    <row r="3293" spans="2:33">
      <c r="B3293" s="14">
        <f>10000000+INDEX(编号表!$B:$B,MATCH(H3293,编号表!$A:$A,0))*100000+INDEX(编号表!$F:$F,MATCH(D3293,编号表!$E:$E,0))*10000+INDEX(编号表!$D:$D,MATCH(AG3293,编号表!$C:$C,0))*1000+F3293</f>
        <v>11927060</v>
      </c>
      <c r="C3293" s="14" t="s">
        <v>6194</v>
      </c>
      <c r="D3293" s="14" t="s">
        <v>112</v>
      </c>
      <c r="E3293" s="14" t="s">
        <v>101</v>
      </c>
      <c r="F3293" s="14">
        <v>60</v>
      </c>
      <c r="G3293" s="14">
        <v>60</v>
      </c>
      <c r="H3293" s="14" t="s">
        <v>1400</v>
      </c>
      <c r="I3293" s="14" t="s">
        <v>75</v>
      </c>
      <c r="J3293" s="14" t="s">
        <v>201</v>
      </c>
      <c r="K3293" s="14">
        <v>1</v>
      </c>
      <c r="L3293" s="14" t="s">
        <v>1400</v>
      </c>
      <c r="N3293" s="14">
        <v>0</v>
      </c>
      <c r="O3293" s="14" t="b">
        <v>1</v>
      </c>
      <c r="Q3293" s="14" t="b">
        <v>0</v>
      </c>
      <c r="R3293" s="14">
        <v>1</v>
      </c>
      <c r="S3293" s="14" t="s">
        <v>77</v>
      </c>
      <c r="T3293" s="14">
        <v>999</v>
      </c>
      <c r="U3293" s="14" t="s">
        <v>1401</v>
      </c>
      <c r="V3293" s="14">
        <v>31927060</v>
      </c>
      <c r="X3293" s="14" t="s">
        <v>6195</v>
      </c>
      <c r="Y3293" s="14" t="s">
        <v>215</v>
      </c>
      <c r="Z3293" s="14">
        <v>22056</v>
      </c>
      <c r="AA3293" s="14" t="s">
        <v>6196</v>
      </c>
      <c r="AB3293" s="14">
        <v>40001</v>
      </c>
      <c r="AE3293" s="14" t="s">
        <v>1400</v>
      </c>
      <c r="AF3293" s="14" t="s">
        <v>1400</v>
      </c>
      <c r="AG3293" s="14" t="s">
        <v>101</v>
      </c>
    </row>
    <row r="3294" spans="2:33">
      <c r="B3294" s="14">
        <f>10000000+INDEX(编号表!$B:$B,MATCH(H3294,编号表!$A:$A,0))*100000+INDEX(编号表!$F:$F,MATCH(D3294,编号表!$E:$E,0))*10000+INDEX(编号表!$D:$D,MATCH(AG3294,编号表!$C:$C,0))*1000+F3294</f>
        <v>11937061</v>
      </c>
      <c r="C3294" s="14" t="s">
        <v>6194</v>
      </c>
      <c r="D3294" s="14" t="s">
        <v>276</v>
      </c>
      <c r="E3294" s="14" t="s">
        <v>101</v>
      </c>
      <c r="F3294" s="14">
        <v>61</v>
      </c>
      <c r="G3294" s="14">
        <v>60</v>
      </c>
      <c r="H3294" s="14" t="s">
        <v>1400</v>
      </c>
      <c r="I3294" s="14" t="s">
        <v>75</v>
      </c>
      <c r="J3294" s="14" t="s">
        <v>201</v>
      </c>
      <c r="K3294" s="14">
        <v>1</v>
      </c>
      <c r="L3294" s="14" t="s">
        <v>1400</v>
      </c>
      <c r="N3294" s="14">
        <v>0</v>
      </c>
      <c r="O3294" s="14" t="b">
        <v>1</v>
      </c>
      <c r="Q3294" s="14" t="b">
        <v>0</v>
      </c>
      <c r="R3294" s="14">
        <v>1</v>
      </c>
      <c r="S3294" s="14" t="s">
        <v>77</v>
      </c>
      <c r="T3294" s="14">
        <v>999</v>
      </c>
      <c r="U3294" s="14" t="s">
        <v>1401</v>
      </c>
      <c r="V3294" s="14">
        <v>31937061</v>
      </c>
      <c r="X3294" s="14" t="s">
        <v>6197</v>
      </c>
      <c r="Y3294" s="14" t="s">
        <v>215</v>
      </c>
      <c r="Z3294" s="14">
        <v>22057</v>
      </c>
      <c r="AA3294" s="14" t="s">
        <v>6198</v>
      </c>
      <c r="AB3294" s="14">
        <v>40001</v>
      </c>
      <c r="AE3294" s="14" t="s">
        <v>1400</v>
      </c>
      <c r="AF3294" s="14" t="s">
        <v>1400</v>
      </c>
      <c r="AG3294" s="14" t="s">
        <v>101</v>
      </c>
    </row>
    <row r="3295" spans="2:33">
      <c r="B3295" s="14">
        <f>10000000+INDEX(编号表!$B:$B,MATCH(H3295,编号表!$A:$A,0))*100000+INDEX(编号表!$F:$F,MATCH(D3295,编号表!$E:$E,0))*10000+INDEX(编号表!$D:$D,MATCH(AG3295,编号表!$C:$C,0))*1000+F3295</f>
        <v>11947062</v>
      </c>
      <c r="C3295" s="14" t="s">
        <v>6194</v>
      </c>
      <c r="D3295" s="14" t="s">
        <v>104</v>
      </c>
      <c r="E3295" s="14" t="s">
        <v>101</v>
      </c>
      <c r="F3295" s="14">
        <v>62</v>
      </c>
      <c r="G3295" s="14">
        <v>60</v>
      </c>
      <c r="H3295" s="14" t="s">
        <v>1400</v>
      </c>
      <c r="I3295" s="14" t="s">
        <v>75</v>
      </c>
      <c r="J3295" s="14" t="s">
        <v>201</v>
      </c>
      <c r="K3295" s="14">
        <v>1</v>
      </c>
      <c r="L3295" s="14" t="s">
        <v>1400</v>
      </c>
      <c r="N3295" s="14">
        <v>0</v>
      </c>
      <c r="O3295" s="14" t="b">
        <v>1</v>
      </c>
      <c r="Q3295" s="14" t="b">
        <v>0</v>
      </c>
      <c r="R3295" s="14">
        <v>1</v>
      </c>
      <c r="S3295" s="14" t="s">
        <v>77</v>
      </c>
      <c r="T3295" s="14">
        <v>999</v>
      </c>
      <c r="U3295" s="14" t="s">
        <v>1401</v>
      </c>
      <c r="V3295" s="14">
        <v>31947062</v>
      </c>
      <c r="X3295" s="14" t="s">
        <v>6199</v>
      </c>
      <c r="Y3295" s="14" t="s">
        <v>215</v>
      </c>
      <c r="Z3295" s="14">
        <v>22058</v>
      </c>
      <c r="AA3295" s="14" t="s">
        <v>6200</v>
      </c>
      <c r="AB3295" s="14">
        <v>40001</v>
      </c>
      <c r="AE3295" s="14" t="s">
        <v>1400</v>
      </c>
      <c r="AF3295" s="14" t="s">
        <v>1400</v>
      </c>
      <c r="AG3295" s="14" t="s">
        <v>101</v>
      </c>
    </row>
    <row r="3296" spans="2:33">
      <c r="B3296" s="14">
        <f>10000000+INDEX(编号表!$B:$B,MATCH(H3296,编号表!$A:$A,0))*100000+INDEX(编号表!$F:$F,MATCH(D3296,编号表!$E:$E,0))*10000+INDEX(编号表!$D:$D,MATCH(AG3296,编号表!$C:$C,0))*1000+F3296</f>
        <v>11927061</v>
      </c>
      <c r="C3296" s="14" t="s">
        <v>6201</v>
      </c>
      <c r="D3296" s="14" t="s">
        <v>112</v>
      </c>
      <c r="E3296" s="14" t="s">
        <v>101</v>
      </c>
      <c r="F3296" s="14">
        <v>61</v>
      </c>
      <c r="G3296" s="14">
        <v>60</v>
      </c>
      <c r="H3296" s="14" t="s">
        <v>1400</v>
      </c>
      <c r="I3296" s="14" t="s">
        <v>75</v>
      </c>
      <c r="J3296" s="14" t="s">
        <v>201</v>
      </c>
      <c r="K3296" s="14">
        <v>1</v>
      </c>
      <c r="L3296" s="14" t="s">
        <v>1400</v>
      </c>
      <c r="N3296" s="14">
        <v>0</v>
      </c>
      <c r="O3296" s="14" t="b">
        <v>1</v>
      </c>
      <c r="Q3296" s="14" t="b">
        <v>0</v>
      </c>
      <c r="R3296" s="14">
        <v>1</v>
      </c>
      <c r="S3296" s="14" t="s">
        <v>77</v>
      </c>
      <c r="T3296" s="14">
        <v>999</v>
      </c>
      <c r="U3296" s="14" t="s">
        <v>1401</v>
      </c>
      <c r="V3296" s="14">
        <v>31927061</v>
      </c>
      <c r="X3296" s="14" t="s">
        <v>6202</v>
      </c>
      <c r="Y3296" s="14" t="s">
        <v>215</v>
      </c>
      <c r="Z3296" s="14">
        <v>22059</v>
      </c>
      <c r="AA3296" s="14" t="s">
        <v>6203</v>
      </c>
      <c r="AB3296" s="14">
        <v>40001</v>
      </c>
      <c r="AE3296" s="14" t="s">
        <v>1400</v>
      </c>
      <c r="AF3296" s="14" t="s">
        <v>1400</v>
      </c>
      <c r="AG3296" s="14" t="s">
        <v>101</v>
      </c>
    </row>
    <row r="3297" spans="2:33">
      <c r="B3297" s="14">
        <f>10000000+INDEX(编号表!$B:$B,MATCH(H3297,编号表!$A:$A,0))*100000+INDEX(编号表!$F:$F,MATCH(D3297,编号表!$E:$E,0))*10000+INDEX(编号表!$D:$D,MATCH(AG3297,编号表!$C:$C,0))*1000+F3297</f>
        <v>11937062</v>
      </c>
      <c r="C3297" s="14" t="s">
        <v>6201</v>
      </c>
      <c r="D3297" s="14" t="s">
        <v>276</v>
      </c>
      <c r="E3297" s="14" t="s">
        <v>101</v>
      </c>
      <c r="F3297" s="14">
        <v>62</v>
      </c>
      <c r="G3297" s="14">
        <v>60</v>
      </c>
      <c r="H3297" s="14" t="s">
        <v>1400</v>
      </c>
      <c r="I3297" s="14" t="s">
        <v>75</v>
      </c>
      <c r="J3297" s="14" t="s">
        <v>201</v>
      </c>
      <c r="K3297" s="14">
        <v>1</v>
      </c>
      <c r="L3297" s="14" t="s">
        <v>1400</v>
      </c>
      <c r="N3297" s="14">
        <v>0</v>
      </c>
      <c r="O3297" s="14" t="b">
        <v>1</v>
      </c>
      <c r="Q3297" s="14" t="b">
        <v>0</v>
      </c>
      <c r="R3297" s="14">
        <v>1</v>
      </c>
      <c r="S3297" s="14" t="s">
        <v>77</v>
      </c>
      <c r="T3297" s="14">
        <v>999</v>
      </c>
      <c r="U3297" s="14" t="s">
        <v>1401</v>
      </c>
      <c r="V3297" s="14">
        <v>31937062</v>
      </c>
      <c r="X3297" s="14" t="s">
        <v>6204</v>
      </c>
      <c r="Y3297" s="14" t="s">
        <v>215</v>
      </c>
      <c r="Z3297" s="14">
        <v>22060</v>
      </c>
      <c r="AA3297" s="14" t="s">
        <v>6205</v>
      </c>
      <c r="AB3297" s="14">
        <v>40001</v>
      </c>
      <c r="AE3297" s="14" t="s">
        <v>1400</v>
      </c>
      <c r="AF3297" s="14" t="s">
        <v>1400</v>
      </c>
      <c r="AG3297" s="14" t="s">
        <v>101</v>
      </c>
    </row>
    <row r="3298" spans="2:33">
      <c r="B3298" s="14">
        <f>10000000+INDEX(编号表!$B:$B,MATCH(H3298,编号表!$A:$A,0))*100000+INDEX(编号表!$F:$F,MATCH(D3298,编号表!$E:$E,0))*10000+INDEX(编号表!$D:$D,MATCH(AG3298,编号表!$C:$C,0))*1000+F3298</f>
        <v>11947063</v>
      </c>
      <c r="C3298" s="14" t="s">
        <v>6201</v>
      </c>
      <c r="D3298" s="14" t="s">
        <v>104</v>
      </c>
      <c r="E3298" s="14" t="s">
        <v>101</v>
      </c>
      <c r="F3298" s="14">
        <v>63</v>
      </c>
      <c r="G3298" s="14">
        <v>60</v>
      </c>
      <c r="H3298" s="14" t="s">
        <v>1400</v>
      </c>
      <c r="I3298" s="14" t="s">
        <v>75</v>
      </c>
      <c r="J3298" s="14" t="s">
        <v>201</v>
      </c>
      <c r="K3298" s="14">
        <v>1</v>
      </c>
      <c r="L3298" s="14" t="s">
        <v>1400</v>
      </c>
      <c r="N3298" s="14">
        <v>0</v>
      </c>
      <c r="O3298" s="14" t="b">
        <v>1</v>
      </c>
      <c r="Q3298" s="14" t="b">
        <v>0</v>
      </c>
      <c r="R3298" s="14">
        <v>1</v>
      </c>
      <c r="S3298" s="14" t="s">
        <v>77</v>
      </c>
      <c r="T3298" s="14">
        <v>999</v>
      </c>
      <c r="U3298" s="14" t="s">
        <v>1401</v>
      </c>
      <c r="V3298" s="14">
        <v>31947063</v>
      </c>
      <c r="X3298" s="14" t="s">
        <v>6206</v>
      </c>
      <c r="Y3298" s="14" t="s">
        <v>215</v>
      </c>
      <c r="Z3298" s="14">
        <v>22061</v>
      </c>
      <c r="AA3298" s="14" t="s">
        <v>6207</v>
      </c>
      <c r="AB3298" s="14">
        <v>40001</v>
      </c>
      <c r="AE3298" s="14" t="s">
        <v>1400</v>
      </c>
      <c r="AF3298" s="14" t="s">
        <v>1400</v>
      </c>
      <c r="AG3298" s="14" t="s">
        <v>101</v>
      </c>
    </row>
    <row r="3299" spans="2:33">
      <c r="B3299" s="14">
        <f>10000000+INDEX(编号表!$B:$B,MATCH(H3299,编号表!$A:$A,0))*100000+INDEX(编号表!$F:$F,MATCH(D3299,编号表!$E:$E,0))*10000+INDEX(编号表!$D:$D,MATCH(AG3299,编号表!$C:$C,0))*1000+F3299</f>
        <v>11927062</v>
      </c>
      <c r="C3299" s="14" t="s">
        <v>6208</v>
      </c>
      <c r="D3299" s="14" t="s">
        <v>112</v>
      </c>
      <c r="E3299" s="14" t="s">
        <v>101</v>
      </c>
      <c r="F3299" s="14">
        <v>62</v>
      </c>
      <c r="G3299" s="14">
        <v>60</v>
      </c>
      <c r="H3299" s="14" t="s">
        <v>1400</v>
      </c>
      <c r="I3299" s="14" t="s">
        <v>75</v>
      </c>
      <c r="J3299" s="14" t="s">
        <v>201</v>
      </c>
      <c r="K3299" s="14">
        <v>1</v>
      </c>
      <c r="L3299" s="14" t="s">
        <v>1400</v>
      </c>
      <c r="N3299" s="14">
        <v>0</v>
      </c>
      <c r="O3299" s="14" t="b">
        <v>1</v>
      </c>
      <c r="Q3299" s="14" t="b">
        <v>0</v>
      </c>
      <c r="R3299" s="14">
        <v>1</v>
      </c>
      <c r="S3299" s="14" t="s">
        <v>77</v>
      </c>
      <c r="T3299" s="14">
        <v>999</v>
      </c>
      <c r="U3299" s="14" t="s">
        <v>1401</v>
      </c>
      <c r="V3299" s="14">
        <v>31927062</v>
      </c>
      <c r="X3299" s="14" t="s">
        <v>6209</v>
      </c>
      <c r="Y3299" s="14" t="s">
        <v>215</v>
      </c>
      <c r="Z3299" s="14">
        <v>22062</v>
      </c>
      <c r="AA3299" s="14" t="s">
        <v>6210</v>
      </c>
      <c r="AB3299" s="14">
        <v>40001</v>
      </c>
      <c r="AE3299" s="14" t="s">
        <v>1400</v>
      </c>
      <c r="AF3299" s="14" t="s">
        <v>1400</v>
      </c>
      <c r="AG3299" s="14" t="s">
        <v>101</v>
      </c>
    </row>
    <row r="3300" spans="2:33">
      <c r="B3300" s="14">
        <f>10000000+INDEX(编号表!$B:$B,MATCH(H3300,编号表!$A:$A,0))*100000+INDEX(编号表!$F:$F,MATCH(D3300,编号表!$E:$E,0))*10000+INDEX(编号表!$D:$D,MATCH(AG3300,编号表!$C:$C,0))*1000+F3300</f>
        <v>11937063</v>
      </c>
      <c r="C3300" s="14" t="s">
        <v>6208</v>
      </c>
      <c r="D3300" s="14" t="s">
        <v>276</v>
      </c>
      <c r="E3300" s="14" t="s">
        <v>101</v>
      </c>
      <c r="F3300" s="14">
        <v>63</v>
      </c>
      <c r="G3300" s="14">
        <v>60</v>
      </c>
      <c r="H3300" s="14" t="s">
        <v>1400</v>
      </c>
      <c r="I3300" s="14" t="s">
        <v>75</v>
      </c>
      <c r="J3300" s="14" t="s">
        <v>201</v>
      </c>
      <c r="K3300" s="14">
        <v>1</v>
      </c>
      <c r="L3300" s="14" t="s">
        <v>1400</v>
      </c>
      <c r="N3300" s="14">
        <v>0</v>
      </c>
      <c r="O3300" s="14" t="b">
        <v>1</v>
      </c>
      <c r="Q3300" s="14" t="b">
        <v>0</v>
      </c>
      <c r="R3300" s="14">
        <v>1</v>
      </c>
      <c r="S3300" s="14" t="s">
        <v>77</v>
      </c>
      <c r="T3300" s="14">
        <v>999</v>
      </c>
      <c r="U3300" s="14" t="s">
        <v>1401</v>
      </c>
      <c r="V3300" s="14">
        <v>31937063</v>
      </c>
      <c r="X3300" s="14" t="s">
        <v>6211</v>
      </c>
      <c r="Y3300" s="14" t="s">
        <v>215</v>
      </c>
      <c r="Z3300" s="14">
        <v>22063</v>
      </c>
      <c r="AA3300" s="14" t="s">
        <v>6212</v>
      </c>
      <c r="AB3300" s="14">
        <v>40001</v>
      </c>
      <c r="AE3300" s="14" t="s">
        <v>1400</v>
      </c>
      <c r="AF3300" s="14" t="s">
        <v>1400</v>
      </c>
      <c r="AG3300" s="14" t="s">
        <v>101</v>
      </c>
    </row>
    <row r="3301" spans="2:33">
      <c r="B3301" s="14">
        <f>10000000+INDEX(编号表!$B:$B,MATCH(H3301,编号表!$A:$A,0))*100000+INDEX(编号表!$F:$F,MATCH(D3301,编号表!$E:$E,0))*10000+INDEX(编号表!$D:$D,MATCH(AG3301,编号表!$C:$C,0))*1000+F3301</f>
        <v>11947064</v>
      </c>
      <c r="C3301" s="14" t="s">
        <v>6208</v>
      </c>
      <c r="D3301" s="14" t="s">
        <v>104</v>
      </c>
      <c r="E3301" s="14" t="s">
        <v>101</v>
      </c>
      <c r="F3301" s="14">
        <v>64</v>
      </c>
      <c r="G3301" s="14">
        <v>60</v>
      </c>
      <c r="H3301" s="14" t="s">
        <v>1400</v>
      </c>
      <c r="I3301" s="14" t="s">
        <v>75</v>
      </c>
      <c r="J3301" s="14" t="s">
        <v>201</v>
      </c>
      <c r="K3301" s="14">
        <v>1</v>
      </c>
      <c r="L3301" s="14" t="s">
        <v>1400</v>
      </c>
      <c r="N3301" s="14">
        <v>0</v>
      </c>
      <c r="O3301" s="14" t="b">
        <v>1</v>
      </c>
      <c r="Q3301" s="14" t="b">
        <v>0</v>
      </c>
      <c r="R3301" s="14">
        <v>1</v>
      </c>
      <c r="S3301" s="14" t="s">
        <v>77</v>
      </c>
      <c r="T3301" s="14">
        <v>999</v>
      </c>
      <c r="U3301" s="14" t="s">
        <v>1401</v>
      </c>
      <c r="V3301" s="14">
        <v>31947064</v>
      </c>
      <c r="X3301" s="14" t="s">
        <v>6213</v>
      </c>
      <c r="Y3301" s="14" t="s">
        <v>215</v>
      </c>
      <c r="Z3301" s="14">
        <v>22064</v>
      </c>
      <c r="AA3301" s="14" t="s">
        <v>6214</v>
      </c>
      <c r="AB3301" s="14">
        <v>40001</v>
      </c>
      <c r="AE3301" s="14" t="s">
        <v>1400</v>
      </c>
      <c r="AF3301" s="14" t="s">
        <v>1400</v>
      </c>
      <c r="AG3301" s="14" t="s">
        <v>101</v>
      </c>
    </row>
    <row r="3302" spans="2:33">
      <c r="B3302" s="14">
        <f>10000000+INDEX(编号表!$B:$B,MATCH(H3302,编号表!$A:$A,0))*100000+INDEX(编号表!$F:$F,MATCH(D3302,编号表!$E:$E,0))*10000+INDEX(编号表!$D:$D,MATCH(AG3302,编号表!$C:$C,0))*1000+F3302</f>
        <v>11927063</v>
      </c>
      <c r="C3302" s="14" t="s">
        <v>6215</v>
      </c>
      <c r="D3302" s="14" t="s">
        <v>112</v>
      </c>
      <c r="E3302" s="14" t="s">
        <v>101</v>
      </c>
      <c r="F3302" s="14">
        <v>63</v>
      </c>
      <c r="G3302" s="14">
        <v>60</v>
      </c>
      <c r="H3302" s="14" t="s">
        <v>1400</v>
      </c>
      <c r="I3302" s="14" t="s">
        <v>75</v>
      </c>
      <c r="J3302" s="14" t="s">
        <v>201</v>
      </c>
      <c r="K3302" s="14">
        <v>1</v>
      </c>
      <c r="L3302" s="14" t="s">
        <v>1400</v>
      </c>
      <c r="N3302" s="14">
        <v>0</v>
      </c>
      <c r="O3302" s="14" t="b">
        <v>1</v>
      </c>
      <c r="Q3302" s="14" t="b">
        <v>0</v>
      </c>
      <c r="R3302" s="14">
        <v>1</v>
      </c>
      <c r="S3302" s="14" t="s">
        <v>77</v>
      </c>
      <c r="T3302" s="14">
        <v>999</v>
      </c>
      <c r="U3302" s="14" t="s">
        <v>1401</v>
      </c>
      <c r="V3302" s="14">
        <v>31927063</v>
      </c>
      <c r="X3302" s="14" t="s">
        <v>6216</v>
      </c>
      <c r="Y3302" s="14" t="s">
        <v>215</v>
      </c>
      <c r="Z3302" s="14">
        <v>22065</v>
      </c>
      <c r="AA3302" s="14" t="s">
        <v>6217</v>
      </c>
      <c r="AB3302" s="14">
        <v>40001</v>
      </c>
      <c r="AE3302" s="14" t="s">
        <v>1400</v>
      </c>
      <c r="AF3302" s="14" t="s">
        <v>1400</v>
      </c>
      <c r="AG3302" s="14" t="s">
        <v>101</v>
      </c>
    </row>
    <row r="3303" spans="2:33">
      <c r="B3303" s="14">
        <f>10000000+INDEX(编号表!$B:$B,MATCH(H3303,编号表!$A:$A,0))*100000+INDEX(编号表!$F:$F,MATCH(D3303,编号表!$E:$E,0))*10000+INDEX(编号表!$D:$D,MATCH(AG3303,编号表!$C:$C,0))*1000+F3303</f>
        <v>11937064</v>
      </c>
      <c r="C3303" s="14" t="s">
        <v>6215</v>
      </c>
      <c r="D3303" s="14" t="s">
        <v>276</v>
      </c>
      <c r="E3303" s="14" t="s">
        <v>101</v>
      </c>
      <c r="F3303" s="14">
        <v>64</v>
      </c>
      <c r="G3303" s="14">
        <v>60</v>
      </c>
      <c r="H3303" s="14" t="s">
        <v>1400</v>
      </c>
      <c r="I3303" s="14" t="s">
        <v>75</v>
      </c>
      <c r="J3303" s="14" t="s">
        <v>201</v>
      </c>
      <c r="K3303" s="14">
        <v>1</v>
      </c>
      <c r="L3303" s="14" t="s">
        <v>1400</v>
      </c>
      <c r="N3303" s="14">
        <v>0</v>
      </c>
      <c r="O3303" s="14" t="b">
        <v>1</v>
      </c>
      <c r="Q3303" s="14" t="b">
        <v>0</v>
      </c>
      <c r="R3303" s="14">
        <v>1</v>
      </c>
      <c r="S3303" s="14" t="s">
        <v>77</v>
      </c>
      <c r="T3303" s="14">
        <v>999</v>
      </c>
      <c r="U3303" s="14" t="s">
        <v>1401</v>
      </c>
      <c r="V3303" s="14">
        <v>31937064</v>
      </c>
      <c r="X3303" s="14" t="s">
        <v>6218</v>
      </c>
      <c r="Y3303" s="14" t="s">
        <v>215</v>
      </c>
      <c r="Z3303" s="14">
        <v>22066</v>
      </c>
      <c r="AA3303" s="14" t="s">
        <v>6219</v>
      </c>
      <c r="AB3303" s="14">
        <v>40001</v>
      </c>
      <c r="AE3303" s="14" t="s">
        <v>1400</v>
      </c>
      <c r="AF3303" s="14" t="s">
        <v>1400</v>
      </c>
      <c r="AG3303" s="14" t="s">
        <v>101</v>
      </c>
    </row>
    <row r="3304" spans="2:33">
      <c r="B3304" s="14">
        <f>10000000+INDEX(编号表!$B:$B,MATCH(H3304,编号表!$A:$A,0))*100000+INDEX(编号表!$F:$F,MATCH(D3304,编号表!$E:$E,0))*10000+INDEX(编号表!$D:$D,MATCH(AG3304,编号表!$C:$C,0))*1000+F3304</f>
        <v>11947065</v>
      </c>
      <c r="C3304" s="14" t="s">
        <v>6215</v>
      </c>
      <c r="D3304" s="14" t="s">
        <v>104</v>
      </c>
      <c r="E3304" s="14" t="s">
        <v>101</v>
      </c>
      <c r="F3304" s="14">
        <v>65</v>
      </c>
      <c r="G3304" s="14">
        <v>60</v>
      </c>
      <c r="H3304" s="14" t="s">
        <v>1400</v>
      </c>
      <c r="I3304" s="14" t="s">
        <v>75</v>
      </c>
      <c r="J3304" s="14" t="s">
        <v>201</v>
      </c>
      <c r="K3304" s="14">
        <v>1</v>
      </c>
      <c r="L3304" s="14" t="s">
        <v>1400</v>
      </c>
      <c r="N3304" s="14">
        <v>0</v>
      </c>
      <c r="O3304" s="14" t="b">
        <v>1</v>
      </c>
      <c r="Q3304" s="14" t="b">
        <v>0</v>
      </c>
      <c r="R3304" s="14">
        <v>1</v>
      </c>
      <c r="S3304" s="14" t="s">
        <v>77</v>
      </c>
      <c r="T3304" s="14">
        <v>999</v>
      </c>
      <c r="U3304" s="14" t="s">
        <v>1401</v>
      </c>
      <c r="V3304" s="14">
        <v>31947065</v>
      </c>
      <c r="X3304" s="14" t="s">
        <v>6220</v>
      </c>
      <c r="Y3304" s="14" t="s">
        <v>215</v>
      </c>
      <c r="Z3304" s="14">
        <v>22067</v>
      </c>
      <c r="AA3304" s="14" t="s">
        <v>6221</v>
      </c>
      <c r="AB3304" s="14">
        <v>40001</v>
      </c>
      <c r="AE3304" s="14" t="s">
        <v>1400</v>
      </c>
      <c r="AF3304" s="14" t="s">
        <v>1400</v>
      </c>
      <c r="AG3304" s="14" t="s">
        <v>101</v>
      </c>
    </row>
    <row r="3305" spans="2:33">
      <c r="B3305" s="14">
        <f>10000000+INDEX(编号表!$B:$B,MATCH(H3305,编号表!$A:$A,0))*100000+INDEX(编号表!$F:$F,MATCH(D3305,编号表!$E:$E,0))*10000+INDEX(编号表!$D:$D,MATCH(AG3305,编号表!$C:$C,0))*1000+F3305</f>
        <v>11927064</v>
      </c>
      <c r="C3305" s="14" t="s">
        <v>6222</v>
      </c>
      <c r="D3305" s="14" t="s">
        <v>112</v>
      </c>
      <c r="E3305" s="14" t="s">
        <v>101</v>
      </c>
      <c r="F3305" s="14">
        <v>64</v>
      </c>
      <c r="G3305" s="14">
        <v>60</v>
      </c>
      <c r="H3305" s="14" t="s">
        <v>1400</v>
      </c>
      <c r="I3305" s="14" t="s">
        <v>75</v>
      </c>
      <c r="J3305" s="14" t="s">
        <v>201</v>
      </c>
      <c r="K3305" s="14">
        <v>1</v>
      </c>
      <c r="L3305" s="14" t="s">
        <v>1400</v>
      </c>
      <c r="N3305" s="14">
        <v>0</v>
      </c>
      <c r="O3305" s="14" t="b">
        <v>1</v>
      </c>
      <c r="Q3305" s="14" t="b">
        <v>0</v>
      </c>
      <c r="R3305" s="14">
        <v>1</v>
      </c>
      <c r="S3305" s="14" t="s">
        <v>77</v>
      </c>
      <c r="T3305" s="14">
        <v>999</v>
      </c>
      <c r="U3305" s="14" t="s">
        <v>1401</v>
      </c>
      <c r="V3305" s="14">
        <v>31927064</v>
      </c>
      <c r="X3305" s="14" t="s">
        <v>6223</v>
      </c>
      <c r="Y3305" s="14" t="s">
        <v>215</v>
      </c>
      <c r="Z3305" s="14">
        <v>22068</v>
      </c>
      <c r="AA3305" s="14" t="s">
        <v>6224</v>
      </c>
      <c r="AB3305" s="14">
        <v>40001</v>
      </c>
      <c r="AE3305" s="14" t="s">
        <v>1400</v>
      </c>
      <c r="AF3305" s="14" t="s">
        <v>1400</v>
      </c>
      <c r="AG3305" s="14" t="s">
        <v>101</v>
      </c>
    </row>
    <row r="3306" spans="2:33">
      <c r="B3306" s="14">
        <f>10000000+INDEX(编号表!$B:$B,MATCH(H3306,编号表!$A:$A,0))*100000+INDEX(编号表!$F:$F,MATCH(D3306,编号表!$E:$E,0))*10000+INDEX(编号表!$D:$D,MATCH(AG3306,编号表!$C:$C,0))*1000+F3306</f>
        <v>11937065</v>
      </c>
      <c r="C3306" s="14" t="s">
        <v>6222</v>
      </c>
      <c r="D3306" s="14" t="s">
        <v>276</v>
      </c>
      <c r="E3306" s="14" t="s">
        <v>101</v>
      </c>
      <c r="F3306" s="14">
        <v>65</v>
      </c>
      <c r="G3306" s="14">
        <v>60</v>
      </c>
      <c r="H3306" s="14" t="s">
        <v>1400</v>
      </c>
      <c r="I3306" s="14" t="s">
        <v>75</v>
      </c>
      <c r="J3306" s="14" t="s">
        <v>201</v>
      </c>
      <c r="K3306" s="14">
        <v>1</v>
      </c>
      <c r="L3306" s="14" t="s">
        <v>1400</v>
      </c>
      <c r="N3306" s="14">
        <v>0</v>
      </c>
      <c r="O3306" s="14" t="b">
        <v>1</v>
      </c>
      <c r="Q3306" s="14" t="b">
        <v>0</v>
      </c>
      <c r="R3306" s="14">
        <v>1</v>
      </c>
      <c r="S3306" s="14" t="s">
        <v>77</v>
      </c>
      <c r="T3306" s="14">
        <v>999</v>
      </c>
      <c r="U3306" s="14" t="s">
        <v>1401</v>
      </c>
      <c r="V3306" s="14">
        <v>31937065</v>
      </c>
      <c r="X3306" s="14" t="s">
        <v>6225</v>
      </c>
      <c r="Y3306" s="14" t="s">
        <v>215</v>
      </c>
      <c r="Z3306" s="14">
        <v>22069</v>
      </c>
      <c r="AA3306" s="14" t="s">
        <v>6226</v>
      </c>
      <c r="AB3306" s="14">
        <v>40001</v>
      </c>
      <c r="AE3306" s="14" t="s">
        <v>1400</v>
      </c>
      <c r="AF3306" s="14" t="s">
        <v>1400</v>
      </c>
      <c r="AG3306" s="14" t="s">
        <v>101</v>
      </c>
    </row>
    <row r="3307" spans="2:33">
      <c r="B3307" s="14">
        <f>10000000+INDEX(编号表!$B:$B,MATCH(H3307,编号表!$A:$A,0))*100000+INDEX(编号表!$F:$F,MATCH(D3307,编号表!$E:$E,0))*10000+INDEX(编号表!$D:$D,MATCH(AG3307,编号表!$C:$C,0))*1000+F3307</f>
        <v>11947066</v>
      </c>
      <c r="C3307" s="14" t="s">
        <v>6222</v>
      </c>
      <c r="D3307" s="14" t="s">
        <v>104</v>
      </c>
      <c r="E3307" s="14" t="s">
        <v>101</v>
      </c>
      <c r="F3307" s="14">
        <v>66</v>
      </c>
      <c r="G3307" s="14">
        <v>60</v>
      </c>
      <c r="H3307" s="14" t="s">
        <v>1400</v>
      </c>
      <c r="I3307" s="14" t="s">
        <v>75</v>
      </c>
      <c r="J3307" s="14" t="s">
        <v>201</v>
      </c>
      <c r="K3307" s="14">
        <v>1</v>
      </c>
      <c r="L3307" s="14" t="s">
        <v>1400</v>
      </c>
      <c r="N3307" s="14">
        <v>0</v>
      </c>
      <c r="O3307" s="14" t="b">
        <v>1</v>
      </c>
      <c r="Q3307" s="14" t="b">
        <v>0</v>
      </c>
      <c r="R3307" s="14">
        <v>1</v>
      </c>
      <c r="S3307" s="14" t="s">
        <v>77</v>
      </c>
      <c r="T3307" s="14">
        <v>999</v>
      </c>
      <c r="U3307" s="14" t="s">
        <v>1401</v>
      </c>
      <c r="V3307" s="14">
        <v>31947066</v>
      </c>
      <c r="X3307" s="14" t="s">
        <v>6227</v>
      </c>
      <c r="Y3307" s="14" t="s">
        <v>215</v>
      </c>
      <c r="Z3307" s="14">
        <v>22070</v>
      </c>
      <c r="AA3307" s="14" t="s">
        <v>6228</v>
      </c>
      <c r="AB3307" s="14">
        <v>40001</v>
      </c>
      <c r="AE3307" s="14" t="s">
        <v>1400</v>
      </c>
      <c r="AF3307" s="14" t="s">
        <v>1400</v>
      </c>
      <c r="AG3307" s="14" t="s">
        <v>101</v>
      </c>
    </row>
    <row r="3308" spans="2:33">
      <c r="B3308" s="14">
        <f>10000000+INDEX(编号表!$B:$B,MATCH(H3308,编号表!$A:$A,0))*100000+INDEX(编号表!$F:$F,MATCH(D3308,编号表!$E:$E,0))*10000+INDEX(编号表!$D:$D,MATCH(AG3308,编号表!$C:$C,0))*1000+F3308</f>
        <v>11927065</v>
      </c>
      <c r="C3308" s="14" t="s">
        <v>6229</v>
      </c>
      <c r="D3308" s="14" t="s">
        <v>112</v>
      </c>
      <c r="E3308" s="14" t="s">
        <v>101</v>
      </c>
      <c r="F3308" s="14">
        <v>65</v>
      </c>
      <c r="G3308" s="14">
        <v>60</v>
      </c>
      <c r="H3308" s="14" t="s">
        <v>1400</v>
      </c>
      <c r="I3308" s="14" t="s">
        <v>75</v>
      </c>
      <c r="J3308" s="14" t="s">
        <v>201</v>
      </c>
      <c r="K3308" s="14">
        <v>1</v>
      </c>
      <c r="L3308" s="14" t="s">
        <v>1400</v>
      </c>
      <c r="N3308" s="14">
        <v>0</v>
      </c>
      <c r="O3308" s="14" t="b">
        <v>1</v>
      </c>
      <c r="Q3308" s="14" t="b">
        <v>0</v>
      </c>
      <c r="R3308" s="14">
        <v>1</v>
      </c>
      <c r="S3308" s="14" t="s">
        <v>77</v>
      </c>
      <c r="T3308" s="14">
        <v>999</v>
      </c>
      <c r="U3308" s="14" t="s">
        <v>1401</v>
      </c>
      <c r="V3308" s="14">
        <v>31927065</v>
      </c>
      <c r="X3308" s="14" t="s">
        <v>6230</v>
      </c>
      <c r="Y3308" s="14" t="s">
        <v>215</v>
      </c>
      <c r="Z3308" s="14">
        <v>22071</v>
      </c>
      <c r="AA3308" s="14" t="s">
        <v>6231</v>
      </c>
      <c r="AB3308" s="14">
        <v>40001</v>
      </c>
      <c r="AE3308" s="14" t="s">
        <v>1400</v>
      </c>
      <c r="AF3308" s="14" t="s">
        <v>1400</v>
      </c>
      <c r="AG3308" s="14" t="s">
        <v>101</v>
      </c>
    </row>
    <row r="3309" spans="2:33">
      <c r="B3309" s="14">
        <f>10000000+INDEX(编号表!$B:$B,MATCH(H3309,编号表!$A:$A,0))*100000+INDEX(编号表!$F:$F,MATCH(D3309,编号表!$E:$E,0))*10000+INDEX(编号表!$D:$D,MATCH(AG3309,编号表!$C:$C,0))*1000+F3309</f>
        <v>11937066</v>
      </c>
      <c r="C3309" s="14" t="s">
        <v>6229</v>
      </c>
      <c r="D3309" s="14" t="s">
        <v>276</v>
      </c>
      <c r="E3309" s="14" t="s">
        <v>101</v>
      </c>
      <c r="F3309" s="14">
        <v>66</v>
      </c>
      <c r="G3309" s="14">
        <v>60</v>
      </c>
      <c r="H3309" s="14" t="s">
        <v>1400</v>
      </c>
      <c r="I3309" s="14" t="s">
        <v>75</v>
      </c>
      <c r="J3309" s="14" t="s">
        <v>201</v>
      </c>
      <c r="K3309" s="14">
        <v>1</v>
      </c>
      <c r="L3309" s="14" t="s">
        <v>1400</v>
      </c>
      <c r="N3309" s="14">
        <v>0</v>
      </c>
      <c r="O3309" s="14" t="b">
        <v>1</v>
      </c>
      <c r="Q3309" s="14" t="b">
        <v>0</v>
      </c>
      <c r="R3309" s="14">
        <v>1</v>
      </c>
      <c r="S3309" s="14" t="s">
        <v>77</v>
      </c>
      <c r="T3309" s="14">
        <v>999</v>
      </c>
      <c r="U3309" s="14" t="s">
        <v>1401</v>
      </c>
      <c r="V3309" s="14">
        <v>31937066</v>
      </c>
      <c r="X3309" s="14" t="s">
        <v>6232</v>
      </c>
      <c r="Y3309" s="14" t="s">
        <v>215</v>
      </c>
      <c r="Z3309" s="14">
        <v>22072</v>
      </c>
      <c r="AA3309" s="14" t="s">
        <v>6233</v>
      </c>
      <c r="AB3309" s="14">
        <v>40001</v>
      </c>
      <c r="AE3309" s="14" t="s">
        <v>1400</v>
      </c>
      <c r="AF3309" s="14" t="s">
        <v>1400</v>
      </c>
      <c r="AG3309" s="14" t="s">
        <v>101</v>
      </c>
    </row>
    <row r="3310" spans="2:33">
      <c r="B3310" s="14">
        <f>10000000+INDEX(编号表!$B:$B,MATCH(H3310,编号表!$A:$A,0))*100000+INDEX(编号表!$F:$F,MATCH(D3310,编号表!$E:$E,0))*10000+INDEX(编号表!$D:$D,MATCH(AG3310,编号表!$C:$C,0))*1000+F3310</f>
        <v>11947067</v>
      </c>
      <c r="C3310" s="14" t="s">
        <v>6229</v>
      </c>
      <c r="D3310" s="14" t="s">
        <v>104</v>
      </c>
      <c r="E3310" s="14" t="s">
        <v>101</v>
      </c>
      <c r="F3310" s="14">
        <v>67</v>
      </c>
      <c r="G3310" s="14">
        <v>60</v>
      </c>
      <c r="H3310" s="14" t="s">
        <v>1400</v>
      </c>
      <c r="I3310" s="14" t="s">
        <v>75</v>
      </c>
      <c r="J3310" s="14" t="s">
        <v>201</v>
      </c>
      <c r="K3310" s="14">
        <v>1</v>
      </c>
      <c r="L3310" s="14" t="s">
        <v>1400</v>
      </c>
      <c r="N3310" s="14">
        <v>0</v>
      </c>
      <c r="O3310" s="14" t="b">
        <v>1</v>
      </c>
      <c r="Q3310" s="14" t="b">
        <v>0</v>
      </c>
      <c r="R3310" s="14">
        <v>1</v>
      </c>
      <c r="S3310" s="14" t="s">
        <v>77</v>
      </c>
      <c r="T3310" s="14">
        <v>999</v>
      </c>
      <c r="U3310" s="14" t="s">
        <v>1401</v>
      </c>
      <c r="V3310" s="14">
        <v>31947067</v>
      </c>
      <c r="X3310" s="14" t="s">
        <v>6234</v>
      </c>
      <c r="Y3310" s="14" t="s">
        <v>215</v>
      </c>
      <c r="Z3310" s="14">
        <v>22073</v>
      </c>
      <c r="AA3310" s="14" t="s">
        <v>6235</v>
      </c>
      <c r="AB3310" s="14">
        <v>40001</v>
      </c>
      <c r="AE3310" s="14" t="s">
        <v>1400</v>
      </c>
      <c r="AF3310" s="14" t="s">
        <v>1400</v>
      </c>
      <c r="AG3310" s="14" t="s">
        <v>101</v>
      </c>
    </row>
    <row r="3311" spans="2:33">
      <c r="B3311" s="14">
        <f>10000000+INDEX(编号表!$B:$B,MATCH(H3311,编号表!$A:$A,0))*100000+INDEX(编号表!$F:$F,MATCH(D3311,编号表!$E:$E,0))*10000+INDEX(编号表!$D:$D,MATCH(AG3311,编号表!$C:$C,0))*1000+F3311</f>
        <v>11927066</v>
      </c>
      <c r="C3311" s="14" t="s">
        <v>6236</v>
      </c>
      <c r="D3311" s="14" t="s">
        <v>112</v>
      </c>
      <c r="E3311" s="14" t="s">
        <v>101</v>
      </c>
      <c r="F3311" s="14">
        <v>66</v>
      </c>
      <c r="G3311" s="14">
        <v>60</v>
      </c>
      <c r="H3311" s="14" t="s">
        <v>1400</v>
      </c>
      <c r="I3311" s="14" t="s">
        <v>75</v>
      </c>
      <c r="J3311" s="14" t="s">
        <v>201</v>
      </c>
      <c r="K3311" s="14">
        <v>1</v>
      </c>
      <c r="L3311" s="14" t="s">
        <v>1400</v>
      </c>
      <c r="N3311" s="14">
        <v>0</v>
      </c>
      <c r="O3311" s="14" t="b">
        <v>1</v>
      </c>
      <c r="Q3311" s="14" t="b">
        <v>0</v>
      </c>
      <c r="R3311" s="14">
        <v>1</v>
      </c>
      <c r="S3311" s="14" t="s">
        <v>77</v>
      </c>
      <c r="T3311" s="14">
        <v>999</v>
      </c>
      <c r="U3311" s="14" t="s">
        <v>1401</v>
      </c>
      <c r="V3311" s="14">
        <v>31927066</v>
      </c>
      <c r="X3311" s="14" t="s">
        <v>6237</v>
      </c>
      <c r="Y3311" s="14" t="s">
        <v>215</v>
      </c>
      <c r="Z3311" s="14">
        <v>22074</v>
      </c>
      <c r="AA3311" s="14" t="s">
        <v>6238</v>
      </c>
      <c r="AB3311" s="14">
        <v>40001</v>
      </c>
      <c r="AE3311" s="14" t="s">
        <v>1400</v>
      </c>
      <c r="AF3311" s="14" t="s">
        <v>1400</v>
      </c>
      <c r="AG3311" s="14" t="s">
        <v>101</v>
      </c>
    </row>
    <row r="3312" spans="2:33">
      <c r="B3312" s="14">
        <f>10000000+INDEX(编号表!$B:$B,MATCH(H3312,编号表!$A:$A,0))*100000+INDEX(编号表!$F:$F,MATCH(D3312,编号表!$E:$E,0))*10000+INDEX(编号表!$D:$D,MATCH(AG3312,编号表!$C:$C,0))*1000+F3312</f>
        <v>11937067</v>
      </c>
      <c r="C3312" s="14" t="s">
        <v>6236</v>
      </c>
      <c r="D3312" s="14" t="s">
        <v>276</v>
      </c>
      <c r="E3312" s="14" t="s">
        <v>101</v>
      </c>
      <c r="F3312" s="14">
        <v>67</v>
      </c>
      <c r="G3312" s="14">
        <v>60</v>
      </c>
      <c r="H3312" s="14" t="s">
        <v>1400</v>
      </c>
      <c r="I3312" s="14" t="s">
        <v>75</v>
      </c>
      <c r="J3312" s="14" t="s">
        <v>201</v>
      </c>
      <c r="K3312" s="14">
        <v>1</v>
      </c>
      <c r="L3312" s="14" t="s">
        <v>1400</v>
      </c>
      <c r="N3312" s="14">
        <v>0</v>
      </c>
      <c r="O3312" s="14" t="b">
        <v>1</v>
      </c>
      <c r="Q3312" s="14" t="b">
        <v>0</v>
      </c>
      <c r="R3312" s="14">
        <v>1</v>
      </c>
      <c r="S3312" s="14" t="s">
        <v>77</v>
      </c>
      <c r="T3312" s="14">
        <v>999</v>
      </c>
      <c r="U3312" s="14" t="s">
        <v>1401</v>
      </c>
      <c r="V3312" s="14">
        <v>31937067</v>
      </c>
      <c r="X3312" s="14" t="s">
        <v>6239</v>
      </c>
      <c r="Y3312" s="14" t="s">
        <v>215</v>
      </c>
      <c r="Z3312" s="14">
        <v>22075</v>
      </c>
      <c r="AA3312" s="14" t="s">
        <v>6240</v>
      </c>
      <c r="AB3312" s="14">
        <v>40001</v>
      </c>
      <c r="AE3312" s="14" t="s">
        <v>1400</v>
      </c>
      <c r="AF3312" s="14" t="s">
        <v>1400</v>
      </c>
      <c r="AG3312" s="14" t="s">
        <v>101</v>
      </c>
    </row>
    <row r="3313" spans="2:33">
      <c r="B3313" s="14">
        <f>10000000+INDEX(编号表!$B:$B,MATCH(H3313,编号表!$A:$A,0))*100000+INDEX(编号表!$F:$F,MATCH(D3313,编号表!$E:$E,0))*10000+INDEX(编号表!$D:$D,MATCH(AG3313,编号表!$C:$C,0))*1000+F3313</f>
        <v>11947068</v>
      </c>
      <c r="C3313" s="14" t="s">
        <v>6236</v>
      </c>
      <c r="D3313" s="14" t="s">
        <v>104</v>
      </c>
      <c r="E3313" s="14" t="s">
        <v>101</v>
      </c>
      <c r="F3313" s="14">
        <v>68</v>
      </c>
      <c r="G3313" s="14">
        <v>60</v>
      </c>
      <c r="H3313" s="14" t="s">
        <v>1400</v>
      </c>
      <c r="I3313" s="14" t="s">
        <v>75</v>
      </c>
      <c r="J3313" s="14" t="s">
        <v>201</v>
      </c>
      <c r="K3313" s="14">
        <v>1</v>
      </c>
      <c r="L3313" s="14" t="s">
        <v>1400</v>
      </c>
      <c r="N3313" s="14">
        <v>0</v>
      </c>
      <c r="O3313" s="14" t="b">
        <v>1</v>
      </c>
      <c r="Q3313" s="14" t="b">
        <v>0</v>
      </c>
      <c r="R3313" s="14">
        <v>1</v>
      </c>
      <c r="S3313" s="14" t="s">
        <v>77</v>
      </c>
      <c r="T3313" s="14">
        <v>999</v>
      </c>
      <c r="U3313" s="14" t="s">
        <v>1401</v>
      </c>
      <c r="V3313" s="14">
        <v>31947068</v>
      </c>
      <c r="X3313" s="14" t="s">
        <v>6241</v>
      </c>
      <c r="Y3313" s="14" t="s">
        <v>215</v>
      </c>
      <c r="Z3313" s="14">
        <v>22076</v>
      </c>
      <c r="AA3313" s="14" t="s">
        <v>6242</v>
      </c>
      <c r="AB3313" s="14">
        <v>40001</v>
      </c>
      <c r="AE3313" s="14" t="s">
        <v>1400</v>
      </c>
      <c r="AF3313" s="14" t="s">
        <v>1400</v>
      </c>
      <c r="AG3313" s="14" t="s">
        <v>101</v>
      </c>
    </row>
    <row r="3314" spans="2:33">
      <c r="B3314" s="14">
        <f>10000000+INDEX(编号表!$B:$B,MATCH(H3314,编号表!$A:$A,0))*100000+INDEX(编号表!$F:$F,MATCH(D3314,编号表!$E:$E,0))*10000+INDEX(编号表!$D:$D,MATCH(AG3314,编号表!$C:$C,0))*1000+F3314</f>
        <v>11927067</v>
      </c>
      <c r="C3314" s="14" t="s">
        <v>6243</v>
      </c>
      <c r="D3314" s="14" t="s">
        <v>112</v>
      </c>
      <c r="E3314" s="14" t="s">
        <v>101</v>
      </c>
      <c r="F3314" s="14">
        <v>67</v>
      </c>
      <c r="G3314" s="14">
        <v>60</v>
      </c>
      <c r="H3314" s="14" t="s">
        <v>1400</v>
      </c>
      <c r="I3314" s="14" t="s">
        <v>75</v>
      </c>
      <c r="J3314" s="14" t="s">
        <v>201</v>
      </c>
      <c r="K3314" s="14">
        <v>1</v>
      </c>
      <c r="L3314" s="14" t="s">
        <v>1400</v>
      </c>
      <c r="N3314" s="14">
        <v>0</v>
      </c>
      <c r="O3314" s="14" t="b">
        <v>1</v>
      </c>
      <c r="Q3314" s="14" t="b">
        <v>0</v>
      </c>
      <c r="R3314" s="14">
        <v>1</v>
      </c>
      <c r="S3314" s="14" t="s">
        <v>77</v>
      </c>
      <c r="T3314" s="14">
        <v>999</v>
      </c>
      <c r="U3314" s="14" t="s">
        <v>1401</v>
      </c>
      <c r="V3314" s="14">
        <v>31927067</v>
      </c>
      <c r="X3314" s="14" t="s">
        <v>6244</v>
      </c>
      <c r="Y3314" s="14" t="s">
        <v>215</v>
      </c>
      <c r="Z3314" s="14">
        <v>22077</v>
      </c>
      <c r="AA3314" s="14" t="s">
        <v>6245</v>
      </c>
      <c r="AB3314" s="14">
        <v>40001</v>
      </c>
      <c r="AE3314" s="14" t="s">
        <v>1400</v>
      </c>
      <c r="AF3314" s="14" t="s">
        <v>1400</v>
      </c>
      <c r="AG3314" s="14" t="s">
        <v>101</v>
      </c>
    </row>
    <row r="3315" spans="2:33">
      <c r="B3315" s="14">
        <f>10000000+INDEX(编号表!$B:$B,MATCH(H3315,编号表!$A:$A,0))*100000+INDEX(编号表!$F:$F,MATCH(D3315,编号表!$E:$E,0))*10000+INDEX(编号表!$D:$D,MATCH(AG3315,编号表!$C:$C,0))*1000+F3315</f>
        <v>11937068</v>
      </c>
      <c r="C3315" s="14" t="s">
        <v>6243</v>
      </c>
      <c r="D3315" s="14" t="s">
        <v>276</v>
      </c>
      <c r="E3315" s="14" t="s">
        <v>101</v>
      </c>
      <c r="F3315" s="14">
        <v>68</v>
      </c>
      <c r="G3315" s="14">
        <v>60</v>
      </c>
      <c r="H3315" s="14" t="s">
        <v>1400</v>
      </c>
      <c r="I3315" s="14" t="s">
        <v>75</v>
      </c>
      <c r="J3315" s="14" t="s">
        <v>201</v>
      </c>
      <c r="K3315" s="14">
        <v>1</v>
      </c>
      <c r="L3315" s="14" t="s">
        <v>1400</v>
      </c>
      <c r="N3315" s="14">
        <v>0</v>
      </c>
      <c r="O3315" s="14" t="b">
        <v>1</v>
      </c>
      <c r="Q3315" s="14" t="b">
        <v>0</v>
      </c>
      <c r="R3315" s="14">
        <v>1</v>
      </c>
      <c r="S3315" s="14" t="s">
        <v>77</v>
      </c>
      <c r="T3315" s="14">
        <v>999</v>
      </c>
      <c r="U3315" s="14" t="s">
        <v>1401</v>
      </c>
      <c r="V3315" s="14">
        <v>31937068</v>
      </c>
      <c r="X3315" s="14" t="s">
        <v>6246</v>
      </c>
      <c r="Y3315" s="14" t="s">
        <v>215</v>
      </c>
      <c r="Z3315" s="14">
        <v>22078</v>
      </c>
      <c r="AA3315" s="14" t="s">
        <v>6247</v>
      </c>
      <c r="AB3315" s="14">
        <v>40001</v>
      </c>
      <c r="AE3315" s="14" t="s">
        <v>1400</v>
      </c>
      <c r="AF3315" s="14" t="s">
        <v>1400</v>
      </c>
      <c r="AG3315" s="14" t="s">
        <v>101</v>
      </c>
    </row>
    <row r="3316" spans="2:33">
      <c r="B3316" s="14">
        <f>10000000+INDEX(编号表!$B:$B,MATCH(H3316,编号表!$A:$A,0))*100000+INDEX(编号表!$F:$F,MATCH(D3316,编号表!$E:$E,0))*10000+INDEX(编号表!$D:$D,MATCH(AG3316,编号表!$C:$C,0))*1000+F3316</f>
        <v>11947069</v>
      </c>
      <c r="C3316" s="14" t="s">
        <v>6243</v>
      </c>
      <c r="D3316" s="14" t="s">
        <v>104</v>
      </c>
      <c r="E3316" s="14" t="s">
        <v>101</v>
      </c>
      <c r="F3316" s="14">
        <v>69</v>
      </c>
      <c r="G3316" s="14">
        <v>60</v>
      </c>
      <c r="H3316" s="14" t="s">
        <v>1400</v>
      </c>
      <c r="I3316" s="14" t="s">
        <v>75</v>
      </c>
      <c r="J3316" s="14" t="s">
        <v>201</v>
      </c>
      <c r="K3316" s="14">
        <v>1</v>
      </c>
      <c r="L3316" s="14" t="s">
        <v>1400</v>
      </c>
      <c r="N3316" s="14">
        <v>0</v>
      </c>
      <c r="O3316" s="14" t="b">
        <v>1</v>
      </c>
      <c r="Q3316" s="14" t="b">
        <v>0</v>
      </c>
      <c r="R3316" s="14">
        <v>1</v>
      </c>
      <c r="S3316" s="14" t="s">
        <v>77</v>
      </c>
      <c r="T3316" s="14">
        <v>999</v>
      </c>
      <c r="U3316" s="14" t="s">
        <v>1401</v>
      </c>
      <c r="V3316" s="14">
        <v>31947069</v>
      </c>
      <c r="X3316" s="14" t="s">
        <v>6248</v>
      </c>
      <c r="Y3316" s="14" t="s">
        <v>215</v>
      </c>
      <c r="Z3316" s="14">
        <v>22079</v>
      </c>
      <c r="AA3316" s="14" t="s">
        <v>6249</v>
      </c>
      <c r="AB3316" s="14">
        <v>40001</v>
      </c>
      <c r="AE3316" s="14" t="s">
        <v>1400</v>
      </c>
      <c r="AF3316" s="14" t="s">
        <v>1400</v>
      </c>
      <c r="AG3316" s="14" t="s">
        <v>101</v>
      </c>
    </row>
    <row r="3317" spans="2:33">
      <c r="B3317" s="14">
        <f>10000000+INDEX(编号表!$B:$B,MATCH(H3317,编号表!$A:$A,0))*100000+INDEX(编号表!$F:$F,MATCH(D3317,编号表!$E:$E,0))*10000+INDEX(编号表!$D:$D,MATCH(AG3317,编号表!$C:$C,0))*1000+F3317</f>
        <v>11927068</v>
      </c>
      <c r="C3317" s="14" t="s">
        <v>6250</v>
      </c>
      <c r="D3317" s="14" t="s">
        <v>112</v>
      </c>
      <c r="E3317" s="14" t="s">
        <v>101</v>
      </c>
      <c r="F3317" s="14">
        <v>68</v>
      </c>
      <c r="G3317" s="14">
        <v>60</v>
      </c>
      <c r="H3317" s="14" t="s">
        <v>1400</v>
      </c>
      <c r="I3317" s="14" t="s">
        <v>75</v>
      </c>
      <c r="J3317" s="14" t="s">
        <v>201</v>
      </c>
      <c r="K3317" s="14">
        <v>1</v>
      </c>
      <c r="L3317" s="14" t="s">
        <v>1400</v>
      </c>
      <c r="N3317" s="14">
        <v>0</v>
      </c>
      <c r="O3317" s="14" t="b">
        <v>1</v>
      </c>
      <c r="Q3317" s="14" t="b">
        <v>0</v>
      </c>
      <c r="R3317" s="14">
        <v>1</v>
      </c>
      <c r="S3317" s="14" t="s">
        <v>77</v>
      </c>
      <c r="T3317" s="14">
        <v>999</v>
      </c>
      <c r="U3317" s="14" t="s">
        <v>1401</v>
      </c>
      <c r="V3317" s="14">
        <v>31927068</v>
      </c>
      <c r="X3317" s="14" t="s">
        <v>6251</v>
      </c>
      <c r="Y3317" s="14" t="s">
        <v>215</v>
      </c>
      <c r="Z3317" s="14">
        <v>22080</v>
      </c>
      <c r="AA3317" s="14" t="s">
        <v>6252</v>
      </c>
      <c r="AB3317" s="14">
        <v>40001</v>
      </c>
      <c r="AE3317" s="14" t="s">
        <v>1400</v>
      </c>
      <c r="AF3317" s="14" t="s">
        <v>1400</v>
      </c>
      <c r="AG3317" s="14" t="s">
        <v>101</v>
      </c>
    </row>
    <row r="3318" spans="2:33">
      <c r="B3318" s="14">
        <f>10000000+INDEX(编号表!$B:$B,MATCH(H3318,编号表!$A:$A,0))*100000+INDEX(编号表!$F:$F,MATCH(D3318,编号表!$E:$E,0))*10000+INDEX(编号表!$D:$D,MATCH(AG3318,编号表!$C:$C,0))*1000+F3318</f>
        <v>11937069</v>
      </c>
      <c r="C3318" s="14" t="s">
        <v>6250</v>
      </c>
      <c r="D3318" s="14" t="s">
        <v>276</v>
      </c>
      <c r="E3318" s="14" t="s">
        <v>101</v>
      </c>
      <c r="F3318" s="14">
        <v>69</v>
      </c>
      <c r="G3318" s="14">
        <v>60</v>
      </c>
      <c r="H3318" s="14" t="s">
        <v>1400</v>
      </c>
      <c r="I3318" s="14" t="s">
        <v>75</v>
      </c>
      <c r="J3318" s="14" t="s">
        <v>201</v>
      </c>
      <c r="K3318" s="14">
        <v>1</v>
      </c>
      <c r="L3318" s="14" t="s">
        <v>1400</v>
      </c>
      <c r="N3318" s="14">
        <v>0</v>
      </c>
      <c r="O3318" s="14" t="b">
        <v>1</v>
      </c>
      <c r="Q3318" s="14" t="b">
        <v>0</v>
      </c>
      <c r="R3318" s="14">
        <v>1</v>
      </c>
      <c r="S3318" s="14" t="s">
        <v>77</v>
      </c>
      <c r="T3318" s="14">
        <v>999</v>
      </c>
      <c r="U3318" s="14" t="s">
        <v>1401</v>
      </c>
      <c r="V3318" s="14">
        <v>31937069</v>
      </c>
      <c r="X3318" s="14" t="s">
        <v>6253</v>
      </c>
      <c r="Y3318" s="14" t="s">
        <v>215</v>
      </c>
      <c r="Z3318" s="14">
        <v>22081</v>
      </c>
      <c r="AA3318" s="14" t="s">
        <v>6254</v>
      </c>
      <c r="AB3318" s="14">
        <v>40001</v>
      </c>
      <c r="AE3318" s="14" t="s">
        <v>1400</v>
      </c>
      <c r="AF3318" s="14" t="s">
        <v>1400</v>
      </c>
      <c r="AG3318" s="14" t="s">
        <v>101</v>
      </c>
    </row>
    <row r="3319" spans="2:33">
      <c r="B3319" s="14">
        <f>10000000+INDEX(编号表!$B:$B,MATCH(H3319,编号表!$A:$A,0))*100000+INDEX(编号表!$F:$F,MATCH(D3319,编号表!$E:$E,0))*10000+INDEX(编号表!$D:$D,MATCH(AG3319,编号表!$C:$C,0))*1000+F3319</f>
        <v>11947070</v>
      </c>
      <c r="C3319" s="14" t="s">
        <v>6250</v>
      </c>
      <c r="D3319" s="14" t="s">
        <v>104</v>
      </c>
      <c r="E3319" s="14" t="s">
        <v>101</v>
      </c>
      <c r="F3319" s="14">
        <v>70</v>
      </c>
      <c r="G3319" s="14">
        <v>60</v>
      </c>
      <c r="H3319" s="14" t="s">
        <v>1400</v>
      </c>
      <c r="I3319" s="14" t="s">
        <v>75</v>
      </c>
      <c r="J3319" s="14" t="s">
        <v>201</v>
      </c>
      <c r="K3319" s="14">
        <v>1</v>
      </c>
      <c r="L3319" s="14" t="s">
        <v>1400</v>
      </c>
      <c r="N3319" s="14">
        <v>0</v>
      </c>
      <c r="O3319" s="14" t="b">
        <v>1</v>
      </c>
      <c r="Q3319" s="14" t="b">
        <v>0</v>
      </c>
      <c r="R3319" s="14">
        <v>1</v>
      </c>
      <c r="S3319" s="14" t="s">
        <v>77</v>
      </c>
      <c r="T3319" s="14">
        <v>999</v>
      </c>
      <c r="U3319" s="14" t="s">
        <v>1401</v>
      </c>
      <c r="V3319" s="14">
        <v>31947070</v>
      </c>
      <c r="X3319" s="14" t="s">
        <v>6255</v>
      </c>
      <c r="Y3319" s="14" t="s">
        <v>215</v>
      </c>
      <c r="Z3319" s="14">
        <v>22082</v>
      </c>
      <c r="AA3319" s="14" t="s">
        <v>6256</v>
      </c>
      <c r="AB3319" s="14">
        <v>40001</v>
      </c>
      <c r="AE3319" s="14" t="s">
        <v>1400</v>
      </c>
      <c r="AF3319" s="14" t="s">
        <v>1400</v>
      </c>
      <c r="AG3319" s="14" t="s">
        <v>101</v>
      </c>
    </row>
    <row r="3320" spans="2:33">
      <c r="B3320" s="14">
        <f>10000000+INDEX(编号表!$B:$B,MATCH(H3320,编号表!$A:$A,0))*100000+INDEX(编号表!$F:$F,MATCH(D3320,编号表!$E:$E,0))*10000+INDEX(编号表!$D:$D,MATCH(AG3320,编号表!$C:$C,0))*1000+F3320</f>
        <v>11927069</v>
      </c>
      <c r="C3320" s="14" t="s">
        <v>6257</v>
      </c>
      <c r="D3320" s="14" t="s">
        <v>112</v>
      </c>
      <c r="E3320" s="14" t="s">
        <v>101</v>
      </c>
      <c r="F3320" s="14">
        <v>69</v>
      </c>
      <c r="G3320" s="14">
        <v>60</v>
      </c>
      <c r="H3320" s="14" t="s">
        <v>1400</v>
      </c>
      <c r="I3320" s="14" t="s">
        <v>75</v>
      </c>
      <c r="J3320" s="14" t="s">
        <v>201</v>
      </c>
      <c r="K3320" s="14">
        <v>1</v>
      </c>
      <c r="L3320" s="14" t="s">
        <v>1400</v>
      </c>
      <c r="N3320" s="14">
        <v>0</v>
      </c>
      <c r="O3320" s="14" t="b">
        <v>1</v>
      </c>
      <c r="Q3320" s="14" t="b">
        <v>0</v>
      </c>
      <c r="R3320" s="14">
        <v>1</v>
      </c>
      <c r="S3320" s="14" t="s">
        <v>77</v>
      </c>
      <c r="T3320" s="14">
        <v>999</v>
      </c>
      <c r="U3320" s="14" t="s">
        <v>1401</v>
      </c>
      <c r="V3320" s="14">
        <v>31927069</v>
      </c>
      <c r="X3320" s="14" t="s">
        <v>6258</v>
      </c>
      <c r="Y3320" s="14" t="s">
        <v>215</v>
      </c>
      <c r="Z3320" s="14">
        <v>22083</v>
      </c>
      <c r="AA3320" s="14" t="s">
        <v>6259</v>
      </c>
      <c r="AB3320" s="14">
        <v>40001</v>
      </c>
      <c r="AE3320" s="14" t="s">
        <v>1400</v>
      </c>
      <c r="AF3320" s="14" t="s">
        <v>1400</v>
      </c>
      <c r="AG3320" s="14" t="s">
        <v>101</v>
      </c>
    </row>
    <row r="3321" spans="2:33">
      <c r="B3321" s="14">
        <f>10000000+INDEX(编号表!$B:$B,MATCH(H3321,编号表!$A:$A,0))*100000+INDEX(编号表!$F:$F,MATCH(D3321,编号表!$E:$E,0))*10000+INDEX(编号表!$D:$D,MATCH(AG3321,编号表!$C:$C,0))*1000+F3321</f>
        <v>11937070</v>
      </c>
      <c r="C3321" s="14" t="s">
        <v>6257</v>
      </c>
      <c r="D3321" s="14" t="s">
        <v>276</v>
      </c>
      <c r="E3321" s="14" t="s">
        <v>101</v>
      </c>
      <c r="F3321" s="14">
        <v>70</v>
      </c>
      <c r="G3321" s="14">
        <v>60</v>
      </c>
      <c r="H3321" s="14" t="s">
        <v>1400</v>
      </c>
      <c r="I3321" s="14" t="s">
        <v>75</v>
      </c>
      <c r="J3321" s="14" t="s">
        <v>201</v>
      </c>
      <c r="K3321" s="14">
        <v>1</v>
      </c>
      <c r="L3321" s="14" t="s">
        <v>1400</v>
      </c>
      <c r="N3321" s="14">
        <v>0</v>
      </c>
      <c r="O3321" s="14" t="b">
        <v>1</v>
      </c>
      <c r="Q3321" s="14" t="b">
        <v>0</v>
      </c>
      <c r="R3321" s="14">
        <v>1</v>
      </c>
      <c r="S3321" s="14" t="s">
        <v>77</v>
      </c>
      <c r="T3321" s="14">
        <v>999</v>
      </c>
      <c r="U3321" s="14" t="s">
        <v>1401</v>
      </c>
      <c r="V3321" s="14">
        <v>31937070</v>
      </c>
      <c r="X3321" s="14" t="s">
        <v>6260</v>
      </c>
      <c r="Y3321" s="14" t="s">
        <v>215</v>
      </c>
      <c r="Z3321" s="14">
        <v>22084</v>
      </c>
      <c r="AA3321" s="14" t="s">
        <v>6261</v>
      </c>
      <c r="AB3321" s="14">
        <v>40001</v>
      </c>
      <c r="AE3321" s="14" t="s">
        <v>1400</v>
      </c>
      <c r="AF3321" s="14" t="s">
        <v>1400</v>
      </c>
      <c r="AG3321" s="14" t="s">
        <v>101</v>
      </c>
    </row>
    <row r="3322" spans="2:33">
      <c r="B3322" s="14">
        <f>10000000+INDEX(编号表!$B:$B,MATCH(H3322,编号表!$A:$A,0))*100000+INDEX(编号表!$F:$F,MATCH(D3322,编号表!$E:$E,0))*10000+INDEX(编号表!$D:$D,MATCH(AG3322,编号表!$C:$C,0))*1000+F3322</f>
        <v>11947071</v>
      </c>
      <c r="C3322" s="14" t="s">
        <v>6257</v>
      </c>
      <c r="D3322" s="14" t="s">
        <v>104</v>
      </c>
      <c r="E3322" s="14" t="s">
        <v>101</v>
      </c>
      <c r="F3322" s="14">
        <v>71</v>
      </c>
      <c r="G3322" s="14">
        <v>60</v>
      </c>
      <c r="H3322" s="14" t="s">
        <v>1400</v>
      </c>
      <c r="I3322" s="14" t="s">
        <v>75</v>
      </c>
      <c r="J3322" s="14" t="s">
        <v>201</v>
      </c>
      <c r="K3322" s="14">
        <v>1</v>
      </c>
      <c r="L3322" s="14" t="s">
        <v>1400</v>
      </c>
      <c r="N3322" s="14">
        <v>0</v>
      </c>
      <c r="O3322" s="14" t="b">
        <v>1</v>
      </c>
      <c r="Q3322" s="14" t="b">
        <v>0</v>
      </c>
      <c r="R3322" s="14">
        <v>1</v>
      </c>
      <c r="S3322" s="14" t="s">
        <v>77</v>
      </c>
      <c r="T3322" s="14">
        <v>999</v>
      </c>
      <c r="U3322" s="14" t="s">
        <v>1401</v>
      </c>
      <c r="V3322" s="14">
        <v>31947071</v>
      </c>
      <c r="X3322" s="14" t="s">
        <v>6262</v>
      </c>
      <c r="Y3322" s="14" t="s">
        <v>215</v>
      </c>
      <c r="Z3322" s="14">
        <v>22085</v>
      </c>
      <c r="AA3322" s="14" t="s">
        <v>6263</v>
      </c>
      <c r="AB3322" s="14">
        <v>40001</v>
      </c>
      <c r="AE3322" s="14" t="s">
        <v>1400</v>
      </c>
      <c r="AF3322" s="14" t="s">
        <v>1400</v>
      </c>
      <c r="AG3322" s="14" t="s">
        <v>101</v>
      </c>
    </row>
    <row r="3323" spans="2:33">
      <c r="B3323" s="14">
        <f>10000000+INDEX(编号表!$B:$B,MATCH(H3323,编号表!$A:$A,0))*100000+INDEX(编号表!$F:$F,MATCH(D3323,编号表!$E:$E,0))*10000+INDEX(编号表!$D:$D,MATCH(AG3323,编号表!$C:$C,0))*1000+F3323</f>
        <v>11927070</v>
      </c>
      <c r="C3323" s="14" t="s">
        <v>6264</v>
      </c>
      <c r="D3323" s="14" t="s">
        <v>112</v>
      </c>
      <c r="E3323" s="14" t="s">
        <v>101</v>
      </c>
      <c r="F3323" s="14">
        <v>70</v>
      </c>
      <c r="G3323" s="14">
        <v>60</v>
      </c>
      <c r="H3323" s="14" t="s">
        <v>1400</v>
      </c>
      <c r="I3323" s="14" t="s">
        <v>75</v>
      </c>
      <c r="J3323" s="14" t="s">
        <v>201</v>
      </c>
      <c r="K3323" s="14">
        <v>1</v>
      </c>
      <c r="L3323" s="14" t="s">
        <v>1400</v>
      </c>
      <c r="N3323" s="14">
        <v>0</v>
      </c>
      <c r="O3323" s="14" t="b">
        <v>1</v>
      </c>
      <c r="Q3323" s="14" t="b">
        <v>0</v>
      </c>
      <c r="R3323" s="14">
        <v>1</v>
      </c>
      <c r="S3323" s="14" t="s">
        <v>77</v>
      </c>
      <c r="T3323" s="14">
        <v>999</v>
      </c>
      <c r="U3323" s="14" t="s">
        <v>1401</v>
      </c>
      <c r="V3323" s="14">
        <v>31927070</v>
      </c>
      <c r="X3323" s="14" t="s">
        <v>6265</v>
      </c>
      <c r="Y3323" s="14" t="s">
        <v>215</v>
      </c>
      <c r="Z3323" s="14">
        <v>22086</v>
      </c>
      <c r="AA3323" s="14" t="s">
        <v>6266</v>
      </c>
      <c r="AB3323" s="14">
        <v>40001</v>
      </c>
      <c r="AE3323" s="14" t="s">
        <v>1400</v>
      </c>
      <c r="AF3323" s="14" t="s">
        <v>1400</v>
      </c>
      <c r="AG3323" s="14" t="s">
        <v>101</v>
      </c>
    </row>
    <row r="3324" spans="2:33">
      <c r="B3324" s="14">
        <f>10000000+INDEX(编号表!$B:$B,MATCH(H3324,编号表!$A:$A,0))*100000+INDEX(编号表!$F:$F,MATCH(D3324,编号表!$E:$E,0))*10000+INDEX(编号表!$D:$D,MATCH(AG3324,编号表!$C:$C,0))*1000+F3324</f>
        <v>11937071</v>
      </c>
      <c r="C3324" s="14" t="s">
        <v>6264</v>
      </c>
      <c r="D3324" s="14" t="s">
        <v>276</v>
      </c>
      <c r="E3324" s="14" t="s">
        <v>101</v>
      </c>
      <c r="F3324" s="14">
        <v>71</v>
      </c>
      <c r="G3324" s="14">
        <v>60</v>
      </c>
      <c r="H3324" s="14" t="s">
        <v>1400</v>
      </c>
      <c r="I3324" s="14" t="s">
        <v>75</v>
      </c>
      <c r="J3324" s="14" t="s">
        <v>201</v>
      </c>
      <c r="K3324" s="14">
        <v>1</v>
      </c>
      <c r="L3324" s="14" t="s">
        <v>1400</v>
      </c>
      <c r="N3324" s="14">
        <v>0</v>
      </c>
      <c r="O3324" s="14" t="b">
        <v>1</v>
      </c>
      <c r="Q3324" s="14" t="b">
        <v>0</v>
      </c>
      <c r="R3324" s="14">
        <v>1</v>
      </c>
      <c r="S3324" s="14" t="s">
        <v>77</v>
      </c>
      <c r="T3324" s="14">
        <v>999</v>
      </c>
      <c r="U3324" s="14" t="s">
        <v>1401</v>
      </c>
      <c r="V3324" s="14">
        <v>31937071</v>
      </c>
      <c r="X3324" s="14" t="s">
        <v>6267</v>
      </c>
      <c r="Y3324" s="14" t="s">
        <v>215</v>
      </c>
      <c r="Z3324" s="14">
        <v>22087</v>
      </c>
      <c r="AA3324" s="14" t="s">
        <v>6268</v>
      </c>
      <c r="AB3324" s="14">
        <v>40001</v>
      </c>
      <c r="AE3324" s="14" t="s">
        <v>1400</v>
      </c>
      <c r="AF3324" s="14" t="s">
        <v>1400</v>
      </c>
      <c r="AG3324" s="14" t="s">
        <v>101</v>
      </c>
    </row>
    <row r="3325" spans="2:33">
      <c r="B3325" s="14">
        <f>10000000+INDEX(编号表!$B:$B,MATCH(H3325,编号表!$A:$A,0))*100000+INDEX(编号表!$F:$F,MATCH(D3325,编号表!$E:$E,0))*10000+INDEX(编号表!$D:$D,MATCH(AG3325,编号表!$C:$C,0))*1000+F3325</f>
        <v>11947072</v>
      </c>
      <c r="C3325" s="14" t="s">
        <v>6264</v>
      </c>
      <c r="D3325" s="14" t="s">
        <v>104</v>
      </c>
      <c r="E3325" s="14" t="s">
        <v>101</v>
      </c>
      <c r="F3325" s="14">
        <v>72</v>
      </c>
      <c r="G3325" s="14">
        <v>60</v>
      </c>
      <c r="H3325" s="14" t="s">
        <v>1400</v>
      </c>
      <c r="I3325" s="14" t="s">
        <v>75</v>
      </c>
      <c r="J3325" s="14" t="s">
        <v>201</v>
      </c>
      <c r="K3325" s="14">
        <v>1</v>
      </c>
      <c r="L3325" s="14" t="s">
        <v>1400</v>
      </c>
      <c r="N3325" s="14">
        <v>0</v>
      </c>
      <c r="O3325" s="14" t="b">
        <v>1</v>
      </c>
      <c r="Q3325" s="14" t="b">
        <v>0</v>
      </c>
      <c r="R3325" s="14">
        <v>1</v>
      </c>
      <c r="S3325" s="14" t="s">
        <v>77</v>
      </c>
      <c r="T3325" s="14">
        <v>999</v>
      </c>
      <c r="U3325" s="14" t="s">
        <v>1401</v>
      </c>
      <c r="V3325" s="14">
        <v>31947072</v>
      </c>
      <c r="X3325" s="14" t="s">
        <v>6269</v>
      </c>
      <c r="Y3325" s="14" t="s">
        <v>215</v>
      </c>
      <c r="Z3325" s="14">
        <v>22088</v>
      </c>
      <c r="AA3325" s="14" t="s">
        <v>6270</v>
      </c>
      <c r="AB3325" s="14">
        <v>40001</v>
      </c>
      <c r="AE3325" s="14" t="s">
        <v>1400</v>
      </c>
      <c r="AF3325" s="14" t="s">
        <v>1400</v>
      </c>
      <c r="AG3325" s="14" t="s">
        <v>101</v>
      </c>
    </row>
    <row r="3326" spans="2:33">
      <c r="B3326" s="14">
        <f>10000000+INDEX(编号表!$B:$B,MATCH(H3326,编号表!$A:$A,0))*100000+INDEX(编号表!$F:$F,MATCH(D3326,编号表!$E:$E,0))*10000+INDEX(编号表!$D:$D,MATCH(AG3326,编号表!$C:$C,0))*1000+F3326</f>
        <v>11927071</v>
      </c>
      <c r="C3326" s="14" t="s">
        <v>6271</v>
      </c>
      <c r="D3326" s="14" t="s">
        <v>112</v>
      </c>
      <c r="E3326" s="14" t="s">
        <v>101</v>
      </c>
      <c r="F3326" s="14">
        <v>71</v>
      </c>
      <c r="G3326" s="14">
        <v>60</v>
      </c>
      <c r="H3326" s="14" t="s">
        <v>1400</v>
      </c>
      <c r="I3326" s="14" t="s">
        <v>75</v>
      </c>
      <c r="J3326" s="14" t="s">
        <v>201</v>
      </c>
      <c r="K3326" s="14">
        <v>1</v>
      </c>
      <c r="L3326" s="14" t="s">
        <v>1400</v>
      </c>
      <c r="N3326" s="14">
        <v>0</v>
      </c>
      <c r="O3326" s="14" t="b">
        <v>1</v>
      </c>
      <c r="Q3326" s="14" t="b">
        <v>0</v>
      </c>
      <c r="R3326" s="14">
        <v>1</v>
      </c>
      <c r="S3326" s="14" t="s">
        <v>77</v>
      </c>
      <c r="T3326" s="14">
        <v>999</v>
      </c>
      <c r="U3326" s="14" t="s">
        <v>1401</v>
      </c>
      <c r="V3326" s="14">
        <v>31927071</v>
      </c>
      <c r="X3326" s="14" t="s">
        <v>6272</v>
      </c>
      <c r="Y3326" s="14" t="s">
        <v>215</v>
      </c>
      <c r="Z3326" s="14">
        <v>22089</v>
      </c>
      <c r="AA3326" s="14" t="s">
        <v>6273</v>
      </c>
      <c r="AB3326" s="14">
        <v>40001</v>
      </c>
      <c r="AE3326" s="14" t="s">
        <v>1400</v>
      </c>
      <c r="AF3326" s="14" t="s">
        <v>1400</v>
      </c>
      <c r="AG3326" s="14" t="s">
        <v>101</v>
      </c>
    </row>
    <row r="3327" spans="2:33">
      <c r="B3327" s="14">
        <f>10000000+INDEX(编号表!$B:$B,MATCH(H3327,编号表!$A:$A,0))*100000+INDEX(编号表!$F:$F,MATCH(D3327,编号表!$E:$E,0))*10000+INDEX(编号表!$D:$D,MATCH(AG3327,编号表!$C:$C,0))*1000+F3327</f>
        <v>11937072</v>
      </c>
      <c r="C3327" s="14" t="s">
        <v>6271</v>
      </c>
      <c r="D3327" s="14" t="s">
        <v>276</v>
      </c>
      <c r="E3327" s="14" t="s">
        <v>101</v>
      </c>
      <c r="F3327" s="14">
        <v>72</v>
      </c>
      <c r="G3327" s="14">
        <v>60</v>
      </c>
      <c r="H3327" s="14" t="s">
        <v>1400</v>
      </c>
      <c r="I3327" s="14" t="s">
        <v>75</v>
      </c>
      <c r="J3327" s="14" t="s">
        <v>201</v>
      </c>
      <c r="K3327" s="14">
        <v>1</v>
      </c>
      <c r="L3327" s="14" t="s">
        <v>1400</v>
      </c>
      <c r="N3327" s="14">
        <v>0</v>
      </c>
      <c r="O3327" s="14" t="b">
        <v>1</v>
      </c>
      <c r="Q3327" s="14" t="b">
        <v>0</v>
      </c>
      <c r="R3327" s="14">
        <v>1</v>
      </c>
      <c r="S3327" s="14" t="s">
        <v>77</v>
      </c>
      <c r="T3327" s="14">
        <v>999</v>
      </c>
      <c r="U3327" s="14" t="s">
        <v>1401</v>
      </c>
      <c r="V3327" s="14">
        <v>31937072</v>
      </c>
      <c r="X3327" s="14" t="s">
        <v>6274</v>
      </c>
      <c r="Y3327" s="14" t="s">
        <v>215</v>
      </c>
      <c r="Z3327" s="14">
        <v>22090</v>
      </c>
      <c r="AA3327" s="14" t="s">
        <v>6275</v>
      </c>
      <c r="AB3327" s="14">
        <v>40001</v>
      </c>
      <c r="AE3327" s="14" t="s">
        <v>1400</v>
      </c>
      <c r="AF3327" s="14" t="s">
        <v>1400</v>
      </c>
      <c r="AG3327" s="14" t="s">
        <v>101</v>
      </c>
    </row>
    <row r="3328" spans="2:33">
      <c r="B3328" s="14">
        <f>10000000+INDEX(编号表!$B:$B,MATCH(H3328,编号表!$A:$A,0))*100000+INDEX(编号表!$F:$F,MATCH(D3328,编号表!$E:$E,0))*10000+INDEX(编号表!$D:$D,MATCH(AG3328,编号表!$C:$C,0))*1000+F3328</f>
        <v>11947073</v>
      </c>
      <c r="C3328" s="14" t="s">
        <v>6271</v>
      </c>
      <c r="D3328" s="14" t="s">
        <v>104</v>
      </c>
      <c r="E3328" s="14" t="s">
        <v>101</v>
      </c>
      <c r="F3328" s="14">
        <v>73</v>
      </c>
      <c r="G3328" s="14">
        <v>60</v>
      </c>
      <c r="H3328" s="14" t="s">
        <v>1400</v>
      </c>
      <c r="I3328" s="14" t="s">
        <v>75</v>
      </c>
      <c r="J3328" s="14" t="s">
        <v>201</v>
      </c>
      <c r="K3328" s="14">
        <v>1</v>
      </c>
      <c r="L3328" s="14" t="s">
        <v>1400</v>
      </c>
      <c r="N3328" s="14">
        <v>0</v>
      </c>
      <c r="O3328" s="14" t="b">
        <v>1</v>
      </c>
      <c r="Q3328" s="14" t="b">
        <v>0</v>
      </c>
      <c r="R3328" s="14">
        <v>1</v>
      </c>
      <c r="S3328" s="14" t="s">
        <v>77</v>
      </c>
      <c r="T3328" s="14">
        <v>999</v>
      </c>
      <c r="U3328" s="14" t="s">
        <v>1401</v>
      </c>
      <c r="V3328" s="14">
        <v>31947073</v>
      </c>
      <c r="X3328" s="14" t="s">
        <v>6276</v>
      </c>
      <c r="Y3328" s="14" t="s">
        <v>215</v>
      </c>
      <c r="Z3328" s="14">
        <v>22091</v>
      </c>
      <c r="AA3328" s="14" t="s">
        <v>6277</v>
      </c>
      <c r="AB3328" s="14">
        <v>40001</v>
      </c>
      <c r="AE3328" s="14" t="s">
        <v>1400</v>
      </c>
      <c r="AF3328" s="14" t="s">
        <v>1400</v>
      </c>
      <c r="AG3328" s="14" t="s">
        <v>101</v>
      </c>
    </row>
    <row r="3329" spans="2:33">
      <c r="B3329" s="14">
        <f>10000000+INDEX(编号表!$B:$B,MATCH(H3329,编号表!$A:$A,0))*100000+INDEX(编号表!$F:$F,MATCH(D3329,编号表!$E:$E,0))*10000+INDEX(编号表!$D:$D,MATCH(AG3329,编号表!$C:$C,0))*1000+F3329</f>
        <v>11927072</v>
      </c>
      <c r="C3329" s="14" t="s">
        <v>6278</v>
      </c>
      <c r="D3329" s="14" t="s">
        <v>112</v>
      </c>
      <c r="E3329" s="14" t="s">
        <v>101</v>
      </c>
      <c r="F3329" s="14">
        <v>72</v>
      </c>
      <c r="G3329" s="14">
        <v>60</v>
      </c>
      <c r="H3329" s="14" t="s">
        <v>1400</v>
      </c>
      <c r="I3329" s="14" t="s">
        <v>75</v>
      </c>
      <c r="J3329" s="14" t="s">
        <v>201</v>
      </c>
      <c r="K3329" s="14">
        <v>1</v>
      </c>
      <c r="L3329" s="14" t="s">
        <v>1400</v>
      </c>
      <c r="N3329" s="14">
        <v>0</v>
      </c>
      <c r="O3329" s="14" t="b">
        <v>1</v>
      </c>
      <c r="Q3329" s="14" t="b">
        <v>0</v>
      </c>
      <c r="R3329" s="14">
        <v>1</v>
      </c>
      <c r="S3329" s="14" t="s">
        <v>77</v>
      </c>
      <c r="T3329" s="14">
        <v>999</v>
      </c>
      <c r="U3329" s="14" t="s">
        <v>1401</v>
      </c>
      <c r="V3329" s="14">
        <v>31927072</v>
      </c>
      <c r="X3329" s="14" t="s">
        <v>6279</v>
      </c>
      <c r="Y3329" s="14" t="s">
        <v>215</v>
      </c>
      <c r="Z3329" s="14">
        <v>22092</v>
      </c>
      <c r="AA3329" s="14" t="s">
        <v>6280</v>
      </c>
      <c r="AB3329" s="14">
        <v>40001</v>
      </c>
      <c r="AE3329" s="14" t="s">
        <v>1400</v>
      </c>
      <c r="AF3329" s="14" t="s">
        <v>1400</v>
      </c>
      <c r="AG3329" s="14" t="s">
        <v>101</v>
      </c>
    </row>
    <row r="3330" spans="2:33">
      <c r="B3330" s="14">
        <f>10000000+INDEX(编号表!$B:$B,MATCH(H3330,编号表!$A:$A,0))*100000+INDEX(编号表!$F:$F,MATCH(D3330,编号表!$E:$E,0))*10000+INDEX(编号表!$D:$D,MATCH(AG3330,编号表!$C:$C,0))*1000+F3330</f>
        <v>11937073</v>
      </c>
      <c r="C3330" s="14" t="s">
        <v>6278</v>
      </c>
      <c r="D3330" s="14" t="s">
        <v>276</v>
      </c>
      <c r="E3330" s="14" t="s">
        <v>101</v>
      </c>
      <c r="F3330" s="14">
        <v>73</v>
      </c>
      <c r="G3330" s="14">
        <v>60</v>
      </c>
      <c r="H3330" s="14" t="s">
        <v>1400</v>
      </c>
      <c r="I3330" s="14" t="s">
        <v>75</v>
      </c>
      <c r="J3330" s="14" t="s">
        <v>201</v>
      </c>
      <c r="K3330" s="14">
        <v>1</v>
      </c>
      <c r="L3330" s="14" t="s">
        <v>1400</v>
      </c>
      <c r="N3330" s="14">
        <v>0</v>
      </c>
      <c r="O3330" s="14" t="b">
        <v>1</v>
      </c>
      <c r="Q3330" s="14" t="b">
        <v>0</v>
      </c>
      <c r="R3330" s="14">
        <v>1</v>
      </c>
      <c r="S3330" s="14" t="s">
        <v>77</v>
      </c>
      <c r="T3330" s="14">
        <v>999</v>
      </c>
      <c r="U3330" s="14" t="s">
        <v>1401</v>
      </c>
      <c r="V3330" s="14">
        <v>31937073</v>
      </c>
      <c r="X3330" s="14" t="s">
        <v>6281</v>
      </c>
      <c r="Y3330" s="14" t="s">
        <v>215</v>
      </c>
      <c r="Z3330" s="14">
        <v>22093</v>
      </c>
      <c r="AA3330" s="14" t="s">
        <v>6282</v>
      </c>
      <c r="AB3330" s="14">
        <v>40001</v>
      </c>
      <c r="AE3330" s="14" t="s">
        <v>1400</v>
      </c>
      <c r="AF3330" s="14" t="s">
        <v>1400</v>
      </c>
      <c r="AG3330" s="14" t="s">
        <v>101</v>
      </c>
    </row>
    <row r="3331" spans="2:33">
      <c r="B3331" s="14">
        <f>10000000+INDEX(编号表!$B:$B,MATCH(H3331,编号表!$A:$A,0))*100000+INDEX(编号表!$F:$F,MATCH(D3331,编号表!$E:$E,0))*10000+INDEX(编号表!$D:$D,MATCH(AG3331,编号表!$C:$C,0))*1000+F3331</f>
        <v>11947074</v>
      </c>
      <c r="C3331" s="14" t="s">
        <v>6278</v>
      </c>
      <c r="D3331" s="14" t="s">
        <v>104</v>
      </c>
      <c r="E3331" s="14" t="s">
        <v>101</v>
      </c>
      <c r="F3331" s="14">
        <v>74</v>
      </c>
      <c r="G3331" s="14">
        <v>60</v>
      </c>
      <c r="H3331" s="14" t="s">
        <v>1400</v>
      </c>
      <c r="I3331" s="14" t="s">
        <v>75</v>
      </c>
      <c r="J3331" s="14" t="s">
        <v>201</v>
      </c>
      <c r="K3331" s="14">
        <v>1</v>
      </c>
      <c r="L3331" s="14" t="s">
        <v>1400</v>
      </c>
      <c r="N3331" s="14">
        <v>0</v>
      </c>
      <c r="O3331" s="14" t="b">
        <v>1</v>
      </c>
      <c r="Q3331" s="14" t="b">
        <v>0</v>
      </c>
      <c r="R3331" s="14">
        <v>1</v>
      </c>
      <c r="S3331" s="14" t="s">
        <v>77</v>
      </c>
      <c r="T3331" s="14">
        <v>999</v>
      </c>
      <c r="U3331" s="14" t="s">
        <v>1401</v>
      </c>
      <c r="V3331" s="14">
        <v>31947074</v>
      </c>
      <c r="X3331" s="14" t="s">
        <v>6283</v>
      </c>
      <c r="Y3331" s="14" t="s">
        <v>215</v>
      </c>
      <c r="Z3331" s="14">
        <v>22094</v>
      </c>
      <c r="AA3331" s="14" t="s">
        <v>6284</v>
      </c>
      <c r="AB3331" s="14">
        <v>40001</v>
      </c>
      <c r="AE3331" s="14" t="s">
        <v>1400</v>
      </c>
      <c r="AF3331" s="14" t="s">
        <v>1400</v>
      </c>
      <c r="AG3331" s="14" t="s">
        <v>101</v>
      </c>
    </row>
    <row r="3332" spans="2:33">
      <c r="B3332" s="14">
        <f>10000000+INDEX(编号表!$B:$B,MATCH(H3332,编号表!$A:$A,0))*100000+INDEX(编号表!$F:$F,MATCH(D3332,编号表!$E:$E,0))*10000+INDEX(编号表!$D:$D,MATCH(AG3332,编号表!$C:$C,0))*1000+F3332</f>
        <v>11927073</v>
      </c>
      <c r="C3332" s="14" t="s">
        <v>6285</v>
      </c>
      <c r="D3332" s="14" t="s">
        <v>112</v>
      </c>
      <c r="E3332" s="14" t="s">
        <v>101</v>
      </c>
      <c r="F3332" s="14">
        <v>73</v>
      </c>
      <c r="G3332" s="14">
        <v>60</v>
      </c>
      <c r="H3332" s="14" t="s">
        <v>1400</v>
      </c>
      <c r="I3332" s="14" t="s">
        <v>75</v>
      </c>
      <c r="J3332" s="14" t="s">
        <v>201</v>
      </c>
      <c r="K3332" s="14">
        <v>1</v>
      </c>
      <c r="L3332" s="14" t="s">
        <v>1400</v>
      </c>
      <c r="N3332" s="14">
        <v>0</v>
      </c>
      <c r="O3332" s="14" t="b">
        <v>1</v>
      </c>
      <c r="Q3332" s="14" t="b">
        <v>0</v>
      </c>
      <c r="R3332" s="14">
        <v>1</v>
      </c>
      <c r="S3332" s="14" t="s">
        <v>77</v>
      </c>
      <c r="T3332" s="14">
        <v>999</v>
      </c>
      <c r="U3332" s="14" t="s">
        <v>1401</v>
      </c>
      <c r="V3332" s="14">
        <v>31927073</v>
      </c>
      <c r="X3332" s="14" t="s">
        <v>6286</v>
      </c>
      <c r="Y3332" s="14" t="s">
        <v>215</v>
      </c>
      <c r="Z3332" s="14">
        <v>22095</v>
      </c>
      <c r="AA3332" s="14" t="s">
        <v>6287</v>
      </c>
      <c r="AB3332" s="14">
        <v>40001</v>
      </c>
      <c r="AE3332" s="14" t="s">
        <v>1400</v>
      </c>
      <c r="AF3332" s="14" t="s">
        <v>1400</v>
      </c>
      <c r="AG3332" s="14" t="s">
        <v>101</v>
      </c>
    </row>
    <row r="3333" spans="2:33">
      <c r="B3333" s="14">
        <f>10000000+INDEX(编号表!$B:$B,MATCH(H3333,编号表!$A:$A,0))*100000+INDEX(编号表!$F:$F,MATCH(D3333,编号表!$E:$E,0))*10000+INDEX(编号表!$D:$D,MATCH(AG3333,编号表!$C:$C,0))*1000+F3333</f>
        <v>11937074</v>
      </c>
      <c r="C3333" s="14" t="s">
        <v>6285</v>
      </c>
      <c r="D3333" s="14" t="s">
        <v>276</v>
      </c>
      <c r="E3333" s="14" t="s">
        <v>101</v>
      </c>
      <c r="F3333" s="14">
        <v>74</v>
      </c>
      <c r="G3333" s="14">
        <v>60</v>
      </c>
      <c r="H3333" s="14" t="s">
        <v>1400</v>
      </c>
      <c r="I3333" s="14" t="s">
        <v>75</v>
      </c>
      <c r="J3333" s="14" t="s">
        <v>201</v>
      </c>
      <c r="K3333" s="14">
        <v>1</v>
      </c>
      <c r="L3333" s="14" t="s">
        <v>1400</v>
      </c>
      <c r="N3333" s="14">
        <v>0</v>
      </c>
      <c r="O3333" s="14" t="b">
        <v>1</v>
      </c>
      <c r="Q3333" s="14" t="b">
        <v>0</v>
      </c>
      <c r="R3333" s="14">
        <v>1</v>
      </c>
      <c r="S3333" s="14" t="s">
        <v>77</v>
      </c>
      <c r="T3333" s="14">
        <v>999</v>
      </c>
      <c r="U3333" s="14" t="s">
        <v>1401</v>
      </c>
      <c r="V3333" s="14">
        <v>31937074</v>
      </c>
      <c r="X3333" s="14" t="s">
        <v>6288</v>
      </c>
      <c r="Y3333" s="14" t="s">
        <v>215</v>
      </c>
      <c r="Z3333" s="14">
        <v>22096</v>
      </c>
      <c r="AA3333" s="14" t="s">
        <v>6289</v>
      </c>
      <c r="AB3333" s="14">
        <v>40001</v>
      </c>
      <c r="AE3333" s="14" t="s">
        <v>1400</v>
      </c>
      <c r="AF3333" s="14" t="s">
        <v>1400</v>
      </c>
      <c r="AG3333" s="14" t="s">
        <v>101</v>
      </c>
    </row>
    <row r="3334" spans="2:33">
      <c r="B3334" s="14">
        <f>10000000+INDEX(编号表!$B:$B,MATCH(H3334,编号表!$A:$A,0))*100000+INDEX(编号表!$F:$F,MATCH(D3334,编号表!$E:$E,0))*10000+INDEX(编号表!$D:$D,MATCH(AG3334,编号表!$C:$C,0))*1000+F3334</f>
        <v>11947075</v>
      </c>
      <c r="C3334" s="14" t="s">
        <v>6285</v>
      </c>
      <c r="D3334" s="14" t="s">
        <v>104</v>
      </c>
      <c r="E3334" s="14" t="s">
        <v>101</v>
      </c>
      <c r="F3334" s="14">
        <v>75</v>
      </c>
      <c r="G3334" s="14">
        <v>60</v>
      </c>
      <c r="H3334" s="14" t="s">
        <v>1400</v>
      </c>
      <c r="I3334" s="14" t="s">
        <v>75</v>
      </c>
      <c r="J3334" s="14" t="s">
        <v>201</v>
      </c>
      <c r="K3334" s="14">
        <v>1</v>
      </c>
      <c r="L3334" s="14" t="s">
        <v>1400</v>
      </c>
      <c r="N3334" s="14">
        <v>0</v>
      </c>
      <c r="O3334" s="14" t="b">
        <v>1</v>
      </c>
      <c r="Q3334" s="14" t="b">
        <v>0</v>
      </c>
      <c r="R3334" s="14">
        <v>1</v>
      </c>
      <c r="S3334" s="14" t="s">
        <v>77</v>
      </c>
      <c r="T3334" s="14">
        <v>999</v>
      </c>
      <c r="U3334" s="14" t="s">
        <v>1401</v>
      </c>
      <c r="V3334" s="14">
        <v>31947075</v>
      </c>
      <c r="X3334" s="14" t="s">
        <v>6290</v>
      </c>
      <c r="Y3334" s="14" t="s">
        <v>215</v>
      </c>
      <c r="Z3334" s="14">
        <v>22097</v>
      </c>
      <c r="AA3334" s="14" t="s">
        <v>6291</v>
      </c>
      <c r="AB3334" s="14">
        <v>40001</v>
      </c>
      <c r="AE3334" s="14" t="s">
        <v>1400</v>
      </c>
      <c r="AF3334" s="14" t="s">
        <v>1400</v>
      </c>
      <c r="AG3334" s="14" t="s">
        <v>101</v>
      </c>
    </row>
    <row r="3335" spans="2:33">
      <c r="B3335" s="14">
        <f>10000000+INDEX(编号表!$B:$B,MATCH(H3335,编号表!$A:$A,0))*100000+INDEX(编号表!$F:$F,MATCH(D3335,编号表!$E:$E,0))*10000+INDEX(编号表!$D:$D,MATCH(AG3335,编号表!$C:$C,0))*1000+F3335</f>
        <v>11927074</v>
      </c>
      <c r="C3335" s="14" t="s">
        <v>6292</v>
      </c>
      <c r="D3335" s="14" t="s">
        <v>112</v>
      </c>
      <c r="E3335" s="14" t="s">
        <v>101</v>
      </c>
      <c r="F3335" s="14">
        <v>74</v>
      </c>
      <c r="G3335" s="14">
        <v>60</v>
      </c>
      <c r="H3335" s="14" t="s">
        <v>1400</v>
      </c>
      <c r="I3335" s="14" t="s">
        <v>75</v>
      </c>
      <c r="J3335" s="14" t="s">
        <v>201</v>
      </c>
      <c r="K3335" s="14">
        <v>1</v>
      </c>
      <c r="L3335" s="14" t="s">
        <v>1400</v>
      </c>
      <c r="N3335" s="14">
        <v>0</v>
      </c>
      <c r="O3335" s="14" t="b">
        <v>1</v>
      </c>
      <c r="Q3335" s="14" t="b">
        <v>0</v>
      </c>
      <c r="R3335" s="14">
        <v>1</v>
      </c>
      <c r="S3335" s="14" t="s">
        <v>77</v>
      </c>
      <c r="T3335" s="14">
        <v>999</v>
      </c>
      <c r="U3335" s="14" t="s">
        <v>1401</v>
      </c>
      <c r="V3335" s="14">
        <v>31927074</v>
      </c>
      <c r="X3335" s="14" t="s">
        <v>6293</v>
      </c>
      <c r="Y3335" s="14" t="s">
        <v>215</v>
      </c>
      <c r="Z3335" s="14">
        <v>22098</v>
      </c>
      <c r="AA3335" s="14" t="s">
        <v>6294</v>
      </c>
      <c r="AB3335" s="14">
        <v>40001</v>
      </c>
      <c r="AE3335" s="14" t="s">
        <v>1400</v>
      </c>
      <c r="AF3335" s="14" t="s">
        <v>1400</v>
      </c>
      <c r="AG3335" s="14" t="s">
        <v>101</v>
      </c>
    </row>
    <row r="3336" spans="2:33">
      <c r="B3336" s="14">
        <f>10000000+INDEX(编号表!$B:$B,MATCH(H3336,编号表!$A:$A,0))*100000+INDEX(编号表!$F:$F,MATCH(D3336,编号表!$E:$E,0))*10000+INDEX(编号表!$D:$D,MATCH(AG3336,编号表!$C:$C,0))*1000+F3336</f>
        <v>11937075</v>
      </c>
      <c r="C3336" s="14" t="s">
        <v>6292</v>
      </c>
      <c r="D3336" s="14" t="s">
        <v>276</v>
      </c>
      <c r="E3336" s="14" t="s">
        <v>101</v>
      </c>
      <c r="F3336" s="14">
        <v>75</v>
      </c>
      <c r="G3336" s="14">
        <v>60</v>
      </c>
      <c r="H3336" s="14" t="s">
        <v>1400</v>
      </c>
      <c r="I3336" s="14" t="s">
        <v>75</v>
      </c>
      <c r="J3336" s="14" t="s">
        <v>201</v>
      </c>
      <c r="K3336" s="14">
        <v>1</v>
      </c>
      <c r="L3336" s="14" t="s">
        <v>1400</v>
      </c>
      <c r="N3336" s="14">
        <v>0</v>
      </c>
      <c r="O3336" s="14" t="b">
        <v>1</v>
      </c>
      <c r="Q3336" s="14" t="b">
        <v>0</v>
      </c>
      <c r="R3336" s="14">
        <v>1</v>
      </c>
      <c r="S3336" s="14" t="s">
        <v>77</v>
      </c>
      <c r="T3336" s="14">
        <v>999</v>
      </c>
      <c r="U3336" s="14" t="s">
        <v>1401</v>
      </c>
      <c r="V3336" s="14">
        <v>31937075</v>
      </c>
      <c r="X3336" s="14" t="s">
        <v>6295</v>
      </c>
      <c r="Y3336" s="14" t="s">
        <v>215</v>
      </c>
      <c r="Z3336" s="14">
        <v>22099</v>
      </c>
      <c r="AA3336" s="14" t="s">
        <v>6296</v>
      </c>
      <c r="AB3336" s="14">
        <v>40001</v>
      </c>
      <c r="AE3336" s="14" t="s">
        <v>1400</v>
      </c>
      <c r="AF3336" s="14" t="s">
        <v>1400</v>
      </c>
      <c r="AG3336" s="14" t="s">
        <v>101</v>
      </c>
    </row>
    <row r="3337" spans="2:33">
      <c r="B3337" s="14">
        <f>10000000+INDEX(编号表!$B:$B,MATCH(H3337,编号表!$A:$A,0))*100000+INDEX(编号表!$F:$F,MATCH(D3337,编号表!$E:$E,0))*10000+INDEX(编号表!$D:$D,MATCH(AG3337,编号表!$C:$C,0))*1000+F3337</f>
        <v>11947076</v>
      </c>
      <c r="C3337" s="14" t="s">
        <v>6292</v>
      </c>
      <c r="D3337" s="14" t="s">
        <v>104</v>
      </c>
      <c r="E3337" s="14" t="s">
        <v>101</v>
      </c>
      <c r="F3337" s="14">
        <v>76</v>
      </c>
      <c r="G3337" s="14">
        <v>60</v>
      </c>
      <c r="H3337" s="14" t="s">
        <v>1400</v>
      </c>
      <c r="I3337" s="14" t="s">
        <v>75</v>
      </c>
      <c r="J3337" s="14" t="s">
        <v>201</v>
      </c>
      <c r="K3337" s="14">
        <v>1</v>
      </c>
      <c r="L3337" s="14" t="s">
        <v>1400</v>
      </c>
      <c r="N3337" s="14">
        <v>0</v>
      </c>
      <c r="O3337" s="14" t="b">
        <v>1</v>
      </c>
      <c r="Q3337" s="14" t="b">
        <v>0</v>
      </c>
      <c r="R3337" s="14">
        <v>1</v>
      </c>
      <c r="S3337" s="14" t="s">
        <v>77</v>
      </c>
      <c r="T3337" s="14">
        <v>999</v>
      </c>
      <c r="U3337" s="14" t="s">
        <v>1401</v>
      </c>
      <c r="V3337" s="14">
        <v>31947076</v>
      </c>
      <c r="X3337" s="14" t="s">
        <v>6297</v>
      </c>
      <c r="Y3337" s="14" t="s">
        <v>215</v>
      </c>
      <c r="Z3337" s="14">
        <v>22100</v>
      </c>
      <c r="AA3337" s="14" t="s">
        <v>6298</v>
      </c>
      <c r="AB3337" s="14">
        <v>40001</v>
      </c>
      <c r="AE3337" s="14" t="s">
        <v>1400</v>
      </c>
      <c r="AF3337" s="14" t="s">
        <v>1400</v>
      </c>
      <c r="AG3337" s="14" t="s">
        <v>101</v>
      </c>
    </row>
    <row r="3338" spans="2:33">
      <c r="B3338" s="14">
        <f>10000000+INDEX(编号表!$B:$B,MATCH(H3338,编号表!$A:$A,0))*100000+INDEX(编号表!$F:$F,MATCH(D3338,编号表!$E:$E,0))*10000+INDEX(编号表!$D:$D,MATCH(AG3338,编号表!$C:$C,0))*1000+F3338</f>
        <v>11927075</v>
      </c>
      <c r="C3338" s="14" t="s">
        <v>6299</v>
      </c>
      <c r="D3338" s="14" t="s">
        <v>112</v>
      </c>
      <c r="E3338" s="14" t="s">
        <v>101</v>
      </c>
      <c r="F3338" s="14">
        <v>75</v>
      </c>
      <c r="G3338" s="14">
        <v>60</v>
      </c>
      <c r="H3338" s="14" t="s">
        <v>1400</v>
      </c>
      <c r="I3338" s="14" t="s">
        <v>75</v>
      </c>
      <c r="J3338" s="14" t="s">
        <v>201</v>
      </c>
      <c r="K3338" s="14">
        <v>1</v>
      </c>
      <c r="L3338" s="14" t="s">
        <v>1400</v>
      </c>
      <c r="N3338" s="14">
        <v>0</v>
      </c>
      <c r="O3338" s="14" t="b">
        <v>1</v>
      </c>
      <c r="Q3338" s="14" t="b">
        <v>0</v>
      </c>
      <c r="R3338" s="14">
        <v>1</v>
      </c>
      <c r="S3338" s="14" t="s">
        <v>77</v>
      </c>
      <c r="T3338" s="14">
        <v>999</v>
      </c>
      <c r="U3338" s="14" t="s">
        <v>1401</v>
      </c>
      <c r="V3338" s="14">
        <v>31927075</v>
      </c>
      <c r="X3338" s="14" t="s">
        <v>6300</v>
      </c>
      <c r="Y3338" s="14" t="s">
        <v>215</v>
      </c>
      <c r="Z3338" s="14">
        <v>22101</v>
      </c>
      <c r="AA3338" s="14" t="s">
        <v>6301</v>
      </c>
      <c r="AB3338" s="14">
        <v>40001</v>
      </c>
      <c r="AE3338" s="14" t="s">
        <v>1400</v>
      </c>
      <c r="AF3338" s="14" t="s">
        <v>1400</v>
      </c>
      <c r="AG3338" s="14" t="s">
        <v>101</v>
      </c>
    </row>
    <row r="3339" spans="2:33">
      <c r="B3339" s="14">
        <f>10000000+INDEX(编号表!$B:$B,MATCH(H3339,编号表!$A:$A,0))*100000+INDEX(编号表!$F:$F,MATCH(D3339,编号表!$E:$E,0))*10000+INDEX(编号表!$D:$D,MATCH(AG3339,编号表!$C:$C,0))*1000+F3339</f>
        <v>11937076</v>
      </c>
      <c r="C3339" s="14" t="s">
        <v>6299</v>
      </c>
      <c r="D3339" s="14" t="s">
        <v>276</v>
      </c>
      <c r="E3339" s="14" t="s">
        <v>101</v>
      </c>
      <c r="F3339" s="14">
        <v>76</v>
      </c>
      <c r="G3339" s="14">
        <v>60</v>
      </c>
      <c r="H3339" s="14" t="s">
        <v>1400</v>
      </c>
      <c r="I3339" s="14" t="s">
        <v>75</v>
      </c>
      <c r="J3339" s="14" t="s">
        <v>201</v>
      </c>
      <c r="K3339" s="14">
        <v>1</v>
      </c>
      <c r="L3339" s="14" t="s">
        <v>1400</v>
      </c>
      <c r="N3339" s="14">
        <v>0</v>
      </c>
      <c r="O3339" s="14" t="b">
        <v>1</v>
      </c>
      <c r="Q3339" s="14" t="b">
        <v>0</v>
      </c>
      <c r="R3339" s="14">
        <v>1</v>
      </c>
      <c r="S3339" s="14" t="s">
        <v>77</v>
      </c>
      <c r="T3339" s="14">
        <v>999</v>
      </c>
      <c r="U3339" s="14" t="s">
        <v>1401</v>
      </c>
      <c r="V3339" s="14">
        <v>31937076</v>
      </c>
      <c r="X3339" s="14" t="s">
        <v>6302</v>
      </c>
      <c r="Y3339" s="14" t="s">
        <v>215</v>
      </c>
      <c r="Z3339" s="14">
        <v>22102</v>
      </c>
      <c r="AA3339" s="14" t="s">
        <v>6303</v>
      </c>
      <c r="AB3339" s="14">
        <v>40001</v>
      </c>
      <c r="AE3339" s="14" t="s">
        <v>1400</v>
      </c>
      <c r="AF3339" s="14" t="s">
        <v>1400</v>
      </c>
      <c r="AG3339" s="14" t="s">
        <v>101</v>
      </c>
    </row>
    <row r="3340" spans="2:33">
      <c r="B3340" s="14">
        <f>10000000+INDEX(编号表!$B:$B,MATCH(H3340,编号表!$A:$A,0))*100000+INDEX(编号表!$F:$F,MATCH(D3340,编号表!$E:$E,0))*10000+INDEX(编号表!$D:$D,MATCH(AG3340,编号表!$C:$C,0))*1000+F3340</f>
        <v>11947077</v>
      </c>
      <c r="C3340" s="14" t="s">
        <v>6299</v>
      </c>
      <c r="D3340" s="14" t="s">
        <v>104</v>
      </c>
      <c r="E3340" s="14" t="s">
        <v>101</v>
      </c>
      <c r="F3340" s="14">
        <v>77</v>
      </c>
      <c r="G3340" s="14">
        <v>60</v>
      </c>
      <c r="H3340" s="14" t="s">
        <v>1400</v>
      </c>
      <c r="I3340" s="14" t="s">
        <v>75</v>
      </c>
      <c r="J3340" s="14" t="s">
        <v>201</v>
      </c>
      <c r="K3340" s="14">
        <v>1</v>
      </c>
      <c r="L3340" s="14" t="s">
        <v>1400</v>
      </c>
      <c r="N3340" s="14">
        <v>0</v>
      </c>
      <c r="O3340" s="14" t="b">
        <v>1</v>
      </c>
      <c r="Q3340" s="14" t="b">
        <v>0</v>
      </c>
      <c r="R3340" s="14">
        <v>1</v>
      </c>
      <c r="S3340" s="14" t="s">
        <v>77</v>
      </c>
      <c r="T3340" s="14">
        <v>999</v>
      </c>
      <c r="U3340" s="14" t="s">
        <v>1401</v>
      </c>
      <c r="V3340" s="14">
        <v>31947077</v>
      </c>
      <c r="X3340" s="14" t="s">
        <v>6304</v>
      </c>
      <c r="Y3340" s="14" t="s">
        <v>215</v>
      </c>
      <c r="Z3340" s="14">
        <v>22103</v>
      </c>
      <c r="AA3340" s="14" t="s">
        <v>6305</v>
      </c>
      <c r="AB3340" s="14">
        <v>40001</v>
      </c>
      <c r="AE3340" s="14" t="s">
        <v>1400</v>
      </c>
      <c r="AF3340" s="14" t="s">
        <v>1400</v>
      </c>
      <c r="AG3340" s="14" t="s">
        <v>101</v>
      </c>
    </row>
    <row r="3341" spans="2:33">
      <c r="B3341" s="14">
        <f>10000000+INDEX(编号表!$B:$B,MATCH(H3341,编号表!$A:$A,0))*100000+INDEX(编号表!$F:$F,MATCH(D3341,编号表!$E:$E,0))*10000+INDEX(编号表!$D:$D,MATCH(AG3341,编号表!$C:$C,0))*1000+F3341</f>
        <v>11927076</v>
      </c>
      <c r="C3341" s="14" t="s">
        <v>6306</v>
      </c>
      <c r="D3341" s="14" t="s">
        <v>112</v>
      </c>
      <c r="E3341" s="14" t="s">
        <v>101</v>
      </c>
      <c r="F3341" s="14">
        <v>76</v>
      </c>
      <c r="G3341" s="14">
        <v>60</v>
      </c>
      <c r="H3341" s="14" t="s">
        <v>1400</v>
      </c>
      <c r="I3341" s="14" t="s">
        <v>75</v>
      </c>
      <c r="J3341" s="14" t="s">
        <v>201</v>
      </c>
      <c r="K3341" s="14">
        <v>1</v>
      </c>
      <c r="L3341" s="14" t="s">
        <v>1400</v>
      </c>
      <c r="N3341" s="14">
        <v>0</v>
      </c>
      <c r="O3341" s="14" t="b">
        <v>1</v>
      </c>
      <c r="Q3341" s="14" t="b">
        <v>0</v>
      </c>
      <c r="R3341" s="14">
        <v>1</v>
      </c>
      <c r="S3341" s="14" t="s">
        <v>77</v>
      </c>
      <c r="T3341" s="14">
        <v>999</v>
      </c>
      <c r="U3341" s="14" t="s">
        <v>1401</v>
      </c>
      <c r="V3341" s="14">
        <v>31927076</v>
      </c>
      <c r="X3341" s="14" t="s">
        <v>6307</v>
      </c>
      <c r="Y3341" s="14" t="s">
        <v>215</v>
      </c>
      <c r="Z3341" s="14">
        <v>22104</v>
      </c>
      <c r="AA3341" s="14" t="s">
        <v>6308</v>
      </c>
      <c r="AB3341" s="14">
        <v>40001</v>
      </c>
      <c r="AE3341" s="14" t="s">
        <v>1400</v>
      </c>
      <c r="AF3341" s="14" t="s">
        <v>1400</v>
      </c>
      <c r="AG3341" s="14" t="s">
        <v>101</v>
      </c>
    </row>
    <row r="3342" spans="2:33">
      <c r="B3342" s="14">
        <f>10000000+INDEX(编号表!$B:$B,MATCH(H3342,编号表!$A:$A,0))*100000+INDEX(编号表!$F:$F,MATCH(D3342,编号表!$E:$E,0))*10000+INDEX(编号表!$D:$D,MATCH(AG3342,编号表!$C:$C,0))*1000+F3342</f>
        <v>11937077</v>
      </c>
      <c r="C3342" s="14" t="s">
        <v>6306</v>
      </c>
      <c r="D3342" s="14" t="s">
        <v>276</v>
      </c>
      <c r="E3342" s="14" t="s">
        <v>101</v>
      </c>
      <c r="F3342" s="14">
        <v>77</v>
      </c>
      <c r="G3342" s="14">
        <v>60</v>
      </c>
      <c r="H3342" s="14" t="s">
        <v>1400</v>
      </c>
      <c r="I3342" s="14" t="s">
        <v>75</v>
      </c>
      <c r="J3342" s="14" t="s">
        <v>201</v>
      </c>
      <c r="K3342" s="14">
        <v>1</v>
      </c>
      <c r="L3342" s="14" t="s">
        <v>1400</v>
      </c>
      <c r="N3342" s="14">
        <v>0</v>
      </c>
      <c r="O3342" s="14" t="b">
        <v>1</v>
      </c>
      <c r="Q3342" s="14" t="b">
        <v>0</v>
      </c>
      <c r="R3342" s="14">
        <v>1</v>
      </c>
      <c r="S3342" s="14" t="s">
        <v>77</v>
      </c>
      <c r="T3342" s="14">
        <v>999</v>
      </c>
      <c r="U3342" s="14" t="s">
        <v>1401</v>
      </c>
      <c r="V3342" s="14">
        <v>31937077</v>
      </c>
      <c r="X3342" s="14" t="s">
        <v>6309</v>
      </c>
      <c r="Y3342" s="14" t="s">
        <v>215</v>
      </c>
      <c r="Z3342" s="14">
        <v>22105</v>
      </c>
      <c r="AA3342" s="14" t="s">
        <v>6310</v>
      </c>
      <c r="AB3342" s="14">
        <v>40001</v>
      </c>
      <c r="AE3342" s="14" t="s">
        <v>1400</v>
      </c>
      <c r="AF3342" s="14" t="s">
        <v>1400</v>
      </c>
      <c r="AG3342" s="14" t="s">
        <v>101</v>
      </c>
    </row>
    <row r="3343" spans="2:33">
      <c r="B3343" s="14">
        <f>10000000+INDEX(编号表!$B:$B,MATCH(H3343,编号表!$A:$A,0))*100000+INDEX(编号表!$F:$F,MATCH(D3343,编号表!$E:$E,0))*10000+INDEX(编号表!$D:$D,MATCH(AG3343,编号表!$C:$C,0))*1000+F3343</f>
        <v>11947078</v>
      </c>
      <c r="C3343" s="14" t="s">
        <v>6306</v>
      </c>
      <c r="D3343" s="14" t="s">
        <v>104</v>
      </c>
      <c r="E3343" s="14" t="s">
        <v>101</v>
      </c>
      <c r="F3343" s="14">
        <v>78</v>
      </c>
      <c r="G3343" s="14">
        <v>60</v>
      </c>
      <c r="H3343" s="14" t="s">
        <v>1400</v>
      </c>
      <c r="I3343" s="14" t="s">
        <v>75</v>
      </c>
      <c r="J3343" s="14" t="s">
        <v>201</v>
      </c>
      <c r="K3343" s="14">
        <v>1</v>
      </c>
      <c r="L3343" s="14" t="s">
        <v>1400</v>
      </c>
      <c r="N3343" s="14">
        <v>0</v>
      </c>
      <c r="O3343" s="14" t="b">
        <v>1</v>
      </c>
      <c r="Q3343" s="14" t="b">
        <v>0</v>
      </c>
      <c r="R3343" s="14">
        <v>1</v>
      </c>
      <c r="S3343" s="14" t="s">
        <v>77</v>
      </c>
      <c r="T3343" s="14">
        <v>999</v>
      </c>
      <c r="U3343" s="14" t="s">
        <v>1401</v>
      </c>
      <c r="V3343" s="14">
        <v>31947078</v>
      </c>
      <c r="X3343" s="14" t="s">
        <v>6311</v>
      </c>
      <c r="Y3343" s="14" t="s">
        <v>215</v>
      </c>
      <c r="Z3343" s="14">
        <v>22106</v>
      </c>
      <c r="AA3343" s="14" t="s">
        <v>6312</v>
      </c>
      <c r="AB3343" s="14">
        <v>40001</v>
      </c>
      <c r="AE3343" s="14" t="s">
        <v>1400</v>
      </c>
      <c r="AF3343" s="14" t="s">
        <v>1400</v>
      </c>
      <c r="AG3343" s="14" t="s">
        <v>101</v>
      </c>
    </row>
    <row r="3344" spans="2:33">
      <c r="B3344" s="14">
        <f>10000000+INDEX(编号表!$B:$B,MATCH(H3344,编号表!$A:$A,0))*100000+INDEX(编号表!$F:$F,MATCH(D3344,编号表!$E:$E,0))*10000+INDEX(编号表!$D:$D,MATCH(AG3344,编号表!$C:$C,0))*1000+F3344</f>
        <v>11927077</v>
      </c>
      <c r="C3344" s="14" t="s">
        <v>6313</v>
      </c>
      <c r="D3344" s="14" t="s">
        <v>112</v>
      </c>
      <c r="E3344" s="14" t="s">
        <v>101</v>
      </c>
      <c r="F3344" s="14">
        <v>77</v>
      </c>
      <c r="G3344" s="14">
        <v>60</v>
      </c>
      <c r="H3344" s="14" t="s">
        <v>1400</v>
      </c>
      <c r="I3344" s="14" t="s">
        <v>75</v>
      </c>
      <c r="J3344" s="14" t="s">
        <v>201</v>
      </c>
      <c r="K3344" s="14">
        <v>1</v>
      </c>
      <c r="L3344" s="14" t="s">
        <v>1400</v>
      </c>
      <c r="N3344" s="14">
        <v>0</v>
      </c>
      <c r="O3344" s="14" t="b">
        <v>1</v>
      </c>
      <c r="Q3344" s="14" t="b">
        <v>0</v>
      </c>
      <c r="R3344" s="14">
        <v>1</v>
      </c>
      <c r="S3344" s="14" t="s">
        <v>77</v>
      </c>
      <c r="T3344" s="14">
        <v>999</v>
      </c>
      <c r="U3344" s="14" t="s">
        <v>1401</v>
      </c>
      <c r="V3344" s="14">
        <v>31927077</v>
      </c>
      <c r="X3344" s="14" t="s">
        <v>6314</v>
      </c>
      <c r="Y3344" s="14" t="s">
        <v>215</v>
      </c>
      <c r="Z3344" s="14">
        <v>22107</v>
      </c>
      <c r="AA3344" s="14" t="s">
        <v>6315</v>
      </c>
      <c r="AB3344" s="14">
        <v>40001</v>
      </c>
      <c r="AE3344" s="14" t="s">
        <v>1400</v>
      </c>
      <c r="AF3344" s="14" t="s">
        <v>1400</v>
      </c>
      <c r="AG3344" s="14" t="s">
        <v>101</v>
      </c>
    </row>
    <row r="3345" spans="2:33">
      <c r="B3345" s="14">
        <f>10000000+INDEX(编号表!$B:$B,MATCH(H3345,编号表!$A:$A,0))*100000+INDEX(编号表!$F:$F,MATCH(D3345,编号表!$E:$E,0))*10000+INDEX(编号表!$D:$D,MATCH(AG3345,编号表!$C:$C,0))*1000+F3345</f>
        <v>11937078</v>
      </c>
      <c r="C3345" s="14" t="s">
        <v>6313</v>
      </c>
      <c r="D3345" s="14" t="s">
        <v>276</v>
      </c>
      <c r="E3345" s="14" t="s">
        <v>101</v>
      </c>
      <c r="F3345" s="14">
        <v>78</v>
      </c>
      <c r="G3345" s="14">
        <v>60</v>
      </c>
      <c r="H3345" s="14" t="s">
        <v>1400</v>
      </c>
      <c r="I3345" s="14" t="s">
        <v>75</v>
      </c>
      <c r="J3345" s="14" t="s">
        <v>201</v>
      </c>
      <c r="K3345" s="14">
        <v>1</v>
      </c>
      <c r="L3345" s="14" t="s">
        <v>1400</v>
      </c>
      <c r="N3345" s="14">
        <v>0</v>
      </c>
      <c r="O3345" s="14" t="b">
        <v>1</v>
      </c>
      <c r="Q3345" s="14" t="b">
        <v>0</v>
      </c>
      <c r="R3345" s="14">
        <v>1</v>
      </c>
      <c r="S3345" s="14" t="s">
        <v>77</v>
      </c>
      <c r="T3345" s="14">
        <v>999</v>
      </c>
      <c r="U3345" s="14" t="s">
        <v>1401</v>
      </c>
      <c r="V3345" s="14">
        <v>31937078</v>
      </c>
      <c r="X3345" s="14" t="s">
        <v>6316</v>
      </c>
      <c r="Y3345" s="14" t="s">
        <v>215</v>
      </c>
      <c r="Z3345" s="14">
        <v>22108</v>
      </c>
      <c r="AA3345" s="14" t="s">
        <v>6317</v>
      </c>
      <c r="AB3345" s="14">
        <v>40001</v>
      </c>
      <c r="AE3345" s="14" t="s">
        <v>1400</v>
      </c>
      <c r="AF3345" s="14" t="s">
        <v>1400</v>
      </c>
      <c r="AG3345" s="14" t="s">
        <v>101</v>
      </c>
    </row>
    <row r="3346" spans="2:33">
      <c r="B3346" s="14">
        <f>10000000+INDEX(编号表!$B:$B,MATCH(H3346,编号表!$A:$A,0))*100000+INDEX(编号表!$F:$F,MATCH(D3346,编号表!$E:$E,0))*10000+INDEX(编号表!$D:$D,MATCH(AG3346,编号表!$C:$C,0))*1000+F3346</f>
        <v>11947079</v>
      </c>
      <c r="C3346" s="14" t="s">
        <v>6313</v>
      </c>
      <c r="D3346" s="14" t="s">
        <v>104</v>
      </c>
      <c r="E3346" s="14" t="s">
        <v>101</v>
      </c>
      <c r="F3346" s="14">
        <v>79</v>
      </c>
      <c r="G3346" s="14">
        <v>60</v>
      </c>
      <c r="H3346" s="14" t="s">
        <v>1400</v>
      </c>
      <c r="I3346" s="14" t="s">
        <v>75</v>
      </c>
      <c r="J3346" s="14" t="s">
        <v>201</v>
      </c>
      <c r="K3346" s="14">
        <v>1</v>
      </c>
      <c r="L3346" s="14" t="s">
        <v>1400</v>
      </c>
      <c r="N3346" s="14">
        <v>0</v>
      </c>
      <c r="O3346" s="14" t="b">
        <v>1</v>
      </c>
      <c r="Q3346" s="14" t="b">
        <v>0</v>
      </c>
      <c r="R3346" s="14">
        <v>1</v>
      </c>
      <c r="S3346" s="14" t="s">
        <v>77</v>
      </c>
      <c r="T3346" s="14">
        <v>999</v>
      </c>
      <c r="U3346" s="14" t="s">
        <v>1401</v>
      </c>
      <c r="V3346" s="14">
        <v>31947079</v>
      </c>
      <c r="X3346" s="14" t="s">
        <v>6318</v>
      </c>
      <c r="Y3346" s="14" t="s">
        <v>215</v>
      </c>
      <c r="Z3346" s="14">
        <v>22109</v>
      </c>
      <c r="AA3346" s="14" t="s">
        <v>6319</v>
      </c>
      <c r="AB3346" s="14">
        <v>40001</v>
      </c>
      <c r="AE3346" s="14" t="s">
        <v>1400</v>
      </c>
      <c r="AF3346" s="14" t="s">
        <v>1400</v>
      </c>
      <c r="AG3346" s="14" t="s">
        <v>101</v>
      </c>
    </row>
    <row r="3347" spans="2:33">
      <c r="B3347" s="14">
        <f>10000000+INDEX(编号表!$B:$B,MATCH(H3347,编号表!$A:$A,0))*100000+INDEX(编号表!$F:$F,MATCH(D3347,编号表!$E:$E,0))*10000+INDEX(编号表!$D:$D,MATCH(AG3347,编号表!$C:$C,0))*1000+F3347</f>
        <v>11927078</v>
      </c>
      <c r="C3347" s="14" t="s">
        <v>6320</v>
      </c>
      <c r="D3347" s="14" t="s">
        <v>112</v>
      </c>
      <c r="E3347" s="14" t="s">
        <v>101</v>
      </c>
      <c r="F3347" s="14">
        <v>78</v>
      </c>
      <c r="G3347" s="14">
        <v>60</v>
      </c>
      <c r="H3347" s="14" t="s">
        <v>1400</v>
      </c>
      <c r="I3347" s="14" t="s">
        <v>75</v>
      </c>
      <c r="J3347" s="14" t="s">
        <v>201</v>
      </c>
      <c r="K3347" s="14">
        <v>1</v>
      </c>
      <c r="L3347" s="14" t="s">
        <v>1400</v>
      </c>
      <c r="N3347" s="14">
        <v>0</v>
      </c>
      <c r="O3347" s="14" t="b">
        <v>1</v>
      </c>
      <c r="Q3347" s="14" t="b">
        <v>0</v>
      </c>
      <c r="R3347" s="14">
        <v>1</v>
      </c>
      <c r="S3347" s="14" t="s">
        <v>77</v>
      </c>
      <c r="T3347" s="14">
        <v>999</v>
      </c>
      <c r="U3347" s="14" t="s">
        <v>1401</v>
      </c>
      <c r="V3347" s="14">
        <v>31927078</v>
      </c>
      <c r="X3347" s="14" t="s">
        <v>6321</v>
      </c>
      <c r="Y3347" s="14" t="s">
        <v>215</v>
      </c>
      <c r="Z3347" s="14">
        <v>22110</v>
      </c>
      <c r="AA3347" s="14" t="s">
        <v>6322</v>
      </c>
      <c r="AB3347" s="14">
        <v>40001</v>
      </c>
      <c r="AE3347" s="14" t="s">
        <v>1400</v>
      </c>
      <c r="AF3347" s="14" t="s">
        <v>1400</v>
      </c>
      <c r="AG3347" s="14" t="s">
        <v>101</v>
      </c>
    </row>
    <row r="3348" spans="2:33">
      <c r="B3348" s="14">
        <f>10000000+INDEX(编号表!$B:$B,MATCH(H3348,编号表!$A:$A,0))*100000+INDEX(编号表!$F:$F,MATCH(D3348,编号表!$E:$E,0))*10000+INDEX(编号表!$D:$D,MATCH(AG3348,编号表!$C:$C,0))*1000+F3348</f>
        <v>11937079</v>
      </c>
      <c r="C3348" s="14" t="s">
        <v>6320</v>
      </c>
      <c r="D3348" s="14" t="s">
        <v>276</v>
      </c>
      <c r="E3348" s="14" t="s">
        <v>101</v>
      </c>
      <c r="F3348" s="14">
        <v>79</v>
      </c>
      <c r="G3348" s="14">
        <v>60</v>
      </c>
      <c r="H3348" s="14" t="s">
        <v>1400</v>
      </c>
      <c r="I3348" s="14" t="s">
        <v>75</v>
      </c>
      <c r="J3348" s="14" t="s">
        <v>201</v>
      </c>
      <c r="K3348" s="14">
        <v>1</v>
      </c>
      <c r="L3348" s="14" t="s">
        <v>1400</v>
      </c>
      <c r="N3348" s="14">
        <v>0</v>
      </c>
      <c r="O3348" s="14" t="b">
        <v>1</v>
      </c>
      <c r="Q3348" s="14" t="b">
        <v>0</v>
      </c>
      <c r="R3348" s="14">
        <v>1</v>
      </c>
      <c r="S3348" s="14" t="s">
        <v>77</v>
      </c>
      <c r="T3348" s="14">
        <v>999</v>
      </c>
      <c r="U3348" s="14" t="s">
        <v>1401</v>
      </c>
      <c r="V3348" s="14">
        <v>31937079</v>
      </c>
      <c r="X3348" s="14" t="s">
        <v>6323</v>
      </c>
      <c r="Y3348" s="14" t="s">
        <v>215</v>
      </c>
      <c r="Z3348" s="14">
        <v>22111</v>
      </c>
      <c r="AA3348" s="14" t="s">
        <v>6324</v>
      </c>
      <c r="AB3348" s="14">
        <v>40001</v>
      </c>
      <c r="AE3348" s="14" t="s">
        <v>1400</v>
      </c>
      <c r="AF3348" s="14" t="s">
        <v>1400</v>
      </c>
      <c r="AG3348" s="14" t="s">
        <v>101</v>
      </c>
    </row>
    <row r="3349" spans="2:33">
      <c r="B3349" s="14">
        <f>10000000+INDEX(编号表!$B:$B,MATCH(H3349,编号表!$A:$A,0))*100000+INDEX(编号表!$F:$F,MATCH(D3349,编号表!$E:$E,0))*10000+INDEX(编号表!$D:$D,MATCH(AG3349,编号表!$C:$C,0))*1000+F3349</f>
        <v>11947080</v>
      </c>
      <c r="C3349" s="14" t="s">
        <v>6320</v>
      </c>
      <c r="D3349" s="14" t="s">
        <v>104</v>
      </c>
      <c r="E3349" s="14" t="s">
        <v>101</v>
      </c>
      <c r="F3349" s="14">
        <v>80</v>
      </c>
      <c r="G3349" s="14">
        <v>60</v>
      </c>
      <c r="H3349" s="14" t="s">
        <v>1400</v>
      </c>
      <c r="I3349" s="14" t="s">
        <v>75</v>
      </c>
      <c r="J3349" s="14" t="s">
        <v>201</v>
      </c>
      <c r="K3349" s="14">
        <v>1</v>
      </c>
      <c r="L3349" s="14" t="s">
        <v>1400</v>
      </c>
      <c r="N3349" s="14">
        <v>0</v>
      </c>
      <c r="O3349" s="14" t="b">
        <v>1</v>
      </c>
      <c r="Q3349" s="14" t="b">
        <v>0</v>
      </c>
      <c r="R3349" s="14">
        <v>1</v>
      </c>
      <c r="S3349" s="14" t="s">
        <v>77</v>
      </c>
      <c r="T3349" s="14">
        <v>999</v>
      </c>
      <c r="U3349" s="14" t="s">
        <v>1401</v>
      </c>
      <c r="V3349" s="14">
        <v>31947080</v>
      </c>
      <c r="X3349" s="14" t="s">
        <v>6325</v>
      </c>
      <c r="Y3349" s="14" t="s">
        <v>215</v>
      </c>
      <c r="Z3349" s="14">
        <v>22112</v>
      </c>
      <c r="AA3349" s="14" t="s">
        <v>6326</v>
      </c>
      <c r="AB3349" s="14">
        <v>40001</v>
      </c>
      <c r="AE3349" s="14" t="s">
        <v>1400</v>
      </c>
      <c r="AF3349" s="14" t="s">
        <v>1400</v>
      </c>
      <c r="AG3349" s="14" t="s">
        <v>101</v>
      </c>
    </row>
    <row r="3350" spans="2:33">
      <c r="B3350" s="14">
        <f>10000000+INDEX(编号表!$B:$B,MATCH(H3350,编号表!$A:$A,0))*100000+INDEX(编号表!$F:$F,MATCH(D3350,编号表!$E:$E,0))*10000+INDEX(编号表!$D:$D,MATCH(AG3350,编号表!$C:$C,0))*1000+F3350</f>
        <v>11927079</v>
      </c>
      <c r="C3350" s="14" t="s">
        <v>6327</v>
      </c>
      <c r="D3350" s="14" t="s">
        <v>112</v>
      </c>
      <c r="E3350" s="14" t="s">
        <v>101</v>
      </c>
      <c r="F3350" s="14">
        <v>79</v>
      </c>
      <c r="G3350" s="14">
        <v>60</v>
      </c>
      <c r="H3350" s="14" t="s">
        <v>1400</v>
      </c>
      <c r="I3350" s="14" t="s">
        <v>75</v>
      </c>
      <c r="J3350" s="14" t="s">
        <v>201</v>
      </c>
      <c r="K3350" s="14">
        <v>1</v>
      </c>
      <c r="L3350" s="14" t="s">
        <v>1400</v>
      </c>
      <c r="N3350" s="14">
        <v>0</v>
      </c>
      <c r="O3350" s="14" t="b">
        <v>1</v>
      </c>
      <c r="Q3350" s="14" t="b">
        <v>0</v>
      </c>
      <c r="R3350" s="14">
        <v>1</v>
      </c>
      <c r="S3350" s="14" t="s">
        <v>77</v>
      </c>
      <c r="T3350" s="14">
        <v>999</v>
      </c>
      <c r="U3350" s="14" t="s">
        <v>1401</v>
      </c>
      <c r="V3350" s="14">
        <v>31927079</v>
      </c>
      <c r="X3350" s="14" t="s">
        <v>6328</v>
      </c>
      <c r="Y3350" s="14" t="s">
        <v>215</v>
      </c>
      <c r="Z3350" s="14">
        <v>22113</v>
      </c>
      <c r="AA3350" s="14" t="s">
        <v>6329</v>
      </c>
      <c r="AB3350" s="14">
        <v>40001</v>
      </c>
      <c r="AE3350" s="14" t="s">
        <v>1400</v>
      </c>
      <c r="AF3350" s="14" t="s">
        <v>1400</v>
      </c>
      <c r="AG3350" s="14" t="s">
        <v>101</v>
      </c>
    </row>
    <row r="3351" spans="2:33">
      <c r="B3351" s="14">
        <f>10000000+INDEX(编号表!$B:$B,MATCH(H3351,编号表!$A:$A,0))*100000+INDEX(编号表!$F:$F,MATCH(D3351,编号表!$E:$E,0))*10000+INDEX(编号表!$D:$D,MATCH(AG3351,编号表!$C:$C,0))*1000+F3351</f>
        <v>11937080</v>
      </c>
      <c r="C3351" s="14" t="s">
        <v>6327</v>
      </c>
      <c r="D3351" s="14" t="s">
        <v>276</v>
      </c>
      <c r="E3351" s="14" t="s">
        <v>101</v>
      </c>
      <c r="F3351" s="14">
        <v>80</v>
      </c>
      <c r="G3351" s="14">
        <v>60</v>
      </c>
      <c r="H3351" s="14" t="s">
        <v>1400</v>
      </c>
      <c r="I3351" s="14" t="s">
        <v>75</v>
      </c>
      <c r="J3351" s="14" t="s">
        <v>201</v>
      </c>
      <c r="K3351" s="14">
        <v>1</v>
      </c>
      <c r="L3351" s="14" t="s">
        <v>1400</v>
      </c>
      <c r="N3351" s="14">
        <v>0</v>
      </c>
      <c r="O3351" s="14" t="b">
        <v>1</v>
      </c>
      <c r="Q3351" s="14" t="b">
        <v>0</v>
      </c>
      <c r="R3351" s="14">
        <v>1</v>
      </c>
      <c r="S3351" s="14" t="s">
        <v>77</v>
      </c>
      <c r="T3351" s="14">
        <v>999</v>
      </c>
      <c r="U3351" s="14" t="s">
        <v>1401</v>
      </c>
      <c r="V3351" s="14">
        <v>31937080</v>
      </c>
      <c r="X3351" s="14" t="s">
        <v>6330</v>
      </c>
      <c r="Y3351" s="14" t="s">
        <v>215</v>
      </c>
      <c r="Z3351" s="14">
        <v>22114</v>
      </c>
      <c r="AA3351" s="14" t="s">
        <v>6331</v>
      </c>
      <c r="AB3351" s="14">
        <v>40001</v>
      </c>
      <c r="AE3351" s="14" t="s">
        <v>1400</v>
      </c>
      <c r="AF3351" s="14" t="s">
        <v>1400</v>
      </c>
      <c r="AG3351" s="14" t="s">
        <v>101</v>
      </c>
    </row>
    <row r="3352" spans="2:33">
      <c r="B3352" s="14">
        <f>10000000+INDEX(编号表!$B:$B,MATCH(H3352,编号表!$A:$A,0))*100000+INDEX(编号表!$F:$F,MATCH(D3352,编号表!$E:$E,0))*10000+INDEX(编号表!$D:$D,MATCH(AG3352,编号表!$C:$C,0))*1000+F3352</f>
        <v>11947081</v>
      </c>
      <c r="C3352" s="14" t="s">
        <v>6327</v>
      </c>
      <c r="D3352" s="14" t="s">
        <v>104</v>
      </c>
      <c r="E3352" s="14" t="s">
        <v>101</v>
      </c>
      <c r="F3352" s="14">
        <v>81</v>
      </c>
      <c r="G3352" s="14">
        <v>60</v>
      </c>
      <c r="H3352" s="14" t="s">
        <v>1400</v>
      </c>
      <c r="I3352" s="14" t="s">
        <v>75</v>
      </c>
      <c r="J3352" s="14" t="s">
        <v>201</v>
      </c>
      <c r="K3352" s="14">
        <v>1</v>
      </c>
      <c r="L3352" s="14" t="s">
        <v>1400</v>
      </c>
      <c r="N3352" s="14">
        <v>0</v>
      </c>
      <c r="O3352" s="14" t="b">
        <v>1</v>
      </c>
      <c r="Q3352" s="14" t="b">
        <v>0</v>
      </c>
      <c r="R3352" s="14">
        <v>1</v>
      </c>
      <c r="S3352" s="14" t="s">
        <v>77</v>
      </c>
      <c r="T3352" s="14">
        <v>999</v>
      </c>
      <c r="U3352" s="14" t="s">
        <v>1401</v>
      </c>
      <c r="V3352" s="14">
        <v>31947081</v>
      </c>
      <c r="X3352" s="14" t="s">
        <v>6332</v>
      </c>
      <c r="Y3352" s="14" t="s">
        <v>215</v>
      </c>
      <c r="Z3352" s="14">
        <v>22115</v>
      </c>
      <c r="AA3352" s="14" t="s">
        <v>6333</v>
      </c>
      <c r="AB3352" s="14">
        <v>40001</v>
      </c>
      <c r="AE3352" s="14" t="s">
        <v>1400</v>
      </c>
      <c r="AF3352" s="14" t="s">
        <v>1400</v>
      </c>
      <c r="AG3352" s="14" t="s">
        <v>101</v>
      </c>
    </row>
    <row r="3353" spans="2:33">
      <c r="B3353" s="14">
        <f>10000000+INDEX(编号表!$B:$B,MATCH(H3353,编号表!$A:$A,0))*100000+INDEX(编号表!$F:$F,MATCH(D3353,编号表!$E:$E,0))*10000+INDEX(编号表!$D:$D,MATCH(AG3353,编号表!$C:$C,0))*1000+F3353</f>
        <v>11927080</v>
      </c>
      <c r="C3353" s="14" t="s">
        <v>6334</v>
      </c>
      <c r="D3353" s="14" t="s">
        <v>112</v>
      </c>
      <c r="E3353" s="14" t="s">
        <v>101</v>
      </c>
      <c r="F3353" s="14">
        <v>80</v>
      </c>
      <c r="G3353" s="14">
        <v>60</v>
      </c>
      <c r="H3353" s="14" t="s">
        <v>1400</v>
      </c>
      <c r="I3353" s="14" t="s">
        <v>75</v>
      </c>
      <c r="J3353" s="14" t="s">
        <v>201</v>
      </c>
      <c r="K3353" s="14">
        <v>1</v>
      </c>
      <c r="L3353" s="14" t="s">
        <v>1400</v>
      </c>
      <c r="N3353" s="14">
        <v>0</v>
      </c>
      <c r="O3353" s="14" t="b">
        <v>1</v>
      </c>
      <c r="Q3353" s="14" t="b">
        <v>0</v>
      </c>
      <c r="R3353" s="14">
        <v>1</v>
      </c>
      <c r="S3353" s="14" t="s">
        <v>77</v>
      </c>
      <c r="T3353" s="14">
        <v>999</v>
      </c>
      <c r="U3353" s="14" t="s">
        <v>1401</v>
      </c>
      <c r="V3353" s="14">
        <v>31927080</v>
      </c>
      <c r="X3353" s="14" t="s">
        <v>6335</v>
      </c>
      <c r="Y3353" s="14" t="s">
        <v>215</v>
      </c>
      <c r="Z3353" s="14">
        <v>22116</v>
      </c>
      <c r="AA3353" s="14" t="s">
        <v>6336</v>
      </c>
      <c r="AB3353" s="14">
        <v>40001</v>
      </c>
      <c r="AE3353" s="14" t="s">
        <v>1400</v>
      </c>
      <c r="AF3353" s="14" t="s">
        <v>1400</v>
      </c>
      <c r="AG3353" s="14" t="s">
        <v>101</v>
      </c>
    </row>
    <row r="3354" spans="2:33">
      <c r="B3354" s="14">
        <f>10000000+INDEX(编号表!$B:$B,MATCH(H3354,编号表!$A:$A,0))*100000+INDEX(编号表!$F:$F,MATCH(D3354,编号表!$E:$E,0))*10000+INDEX(编号表!$D:$D,MATCH(AG3354,编号表!$C:$C,0))*1000+F3354</f>
        <v>11937081</v>
      </c>
      <c r="C3354" s="14" t="s">
        <v>6334</v>
      </c>
      <c r="D3354" s="14" t="s">
        <v>276</v>
      </c>
      <c r="E3354" s="14" t="s">
        <v>101</v>
      </c>
      <c r="F3354" s="14">
        <v>81</v>
      </c>
      <c r="G3354" s="14">
        <v>60</v>
      </c>
      <c r="H3354" s="14" t="s">
        <v>1400</v>
      </c>
      <c r="I3354" s="14" t="s">
        <v>75</v>
      </c>
      <c r="J3354" s="14" t="s">
        <v>201</v>
      </c>
      <c r="K3354" s="14">
        <v>1</v>
      </c>
      <c r="L3354" s="14" t="s">
        <v>1400</v>
      </c>
      <c r="N3354" s="14">
        <v>0</v>
      </c>
      <c r="O3354" s="14" t="b">
        <v>1</v>
      </c>
      <c r="Q3354" s="14" t="b">
        <v>0</v>
      </c>
      <c r="R3354" s="14">
        <v>1</v>
      </c>
      <c r="S3354" s="14" t="s">
        <v>77</v>
      </c>
      <c r="T3354" s="14">
        <v>999</v>
      </c>
      <c r="U3354" s="14" t="s">
        <v>1401</v>
      </c>
      <c r="V3354" s="14">
        <v>31937081</v>
      </c>
      <c r="X3354" s="14" t="s">
        <v>6337</v>
      </c>
      <c r="Y3354" s="14" t="s">
        <v>215</v>
      </c>
      <c r="Z3354" s="14">
        <v>22117</v>
      </c>
      <c r="AA3354" s="14" t="s">
        <v>6338</v>
      </c>
      <c r="AB3354" s="14">
        <v>40001</v>
      </c>
      <c r="AE3354" s="14" t="s">
        <v>1400</v>
      </c>
      <c r="AF3354" s="14" t="s">
        <v>1400</v>
      </c>
      <c r="AG3354" s="14" t="s">
        <v>101</v>
      </c>
    </row>
    <row r="3355" spans="2:33">
      <c r="B3355" s="14">
        <f>10000000+INDEX(编号表!$B:$B,MATCH(H3355,编号表!$A:$A,0))*100000+INDEX(编号表!$F:$F,MATCH(D3355,编号表!$E:$E,0))*10000+INDEX(编号表!$D:$D,MATCH(AG3355,编号表!$C:$C,0))*1000+F3355</f>
        <v>11947082</v>
      </c>
      <c r="C3355" s="14" t="s">
        <v>6334</v>
      </c>
      <c r="D3355" s="14" t="s">
        <v>104</v>
      </c>
      <c r="E3355" s="14" t="s">
        <v>101</v>
      </c>
      <c r="F3355" s="14">
        <v>82</v>
      </c>
      <c r="G3355" s="14">
        <v>60</v>
      </c>
      <c r="H3355" s="14" t="s">
        <v>1400</v>
      </c>
      <c r="I3355" s="14" t="s">
        <v>75</v>
      </c>
      <c r="J3355" s="14" t="s">
        <v>201</v>
      </c>
      <c r="K3355" s="14">
        <v>1</v>
      </c>
      <c r="L3355" s="14" t="s">
        <v>1400</v>
      </c>
      <c r="N3355" s="14">
        <v>0</v>
      </c>
      <c r="O3355" s="14" t="b">
        <v>1</v>
      </c>
      <c r="Q3355" s="14" t="b">
        <v>0</v>
      </c>
      <c r="R3355" s="14">
        <v>1</v>
      </c>
      <c r="S3355" s="14" t="s">
        <v>77</v>
      </c>
      <c r="T3355" s="14">
        <v>999</v>
      </c>
      <c r="U3355" s="14" t="s">
        <v>1401</v>
      </c>
      <c r="V3355" s="14">
        <v>31947082</v>
      </c>
      <c r="X3355" s="14" t="s">
        <v>6339</v>
      </c>
      <c r="Y3355" s="14" t="s">
        <v>215</v>
      </c>
      <c r="Z3355" s="14">
        <v>22118</v>
      </c>
      <c r="AA3355" s="14" t="s">
        <v>6340</v>
      </c>
      <c r="AB3355" s="14">
        <v>40001</v>
      </c>
      <c r="AE3355" s="14" t="s">
        <v>1400</v>
      </c>
      <c r="AF3355" s="14" t="s">
        <v>1400</v>
      </c>
      <c r="AG3355" s="14" t="s">
        <v>101</v>
      </c>
    </row>
    <row r="3356" spans="2:33">
      <c r="B3356" s="14">
        <f>10000000+INDEX(编号表!$B:$B,MATCH(H3356,编号表!$A:$A,0))*100000+INDEX(编号表!$F:$F,MATCH(D3356,编号表!$E:$E,0))*10000+INDEX(编号表!$D:$D,MATCH(AG3356,编号表!$C:$C,0))*1000+F3356</f>
        <v>11927081</v>
      </c>
      <c r="C3356" s="14" t="s">
        <v>6341</v>
      </c>
      <c r="D3356" s="14" t="s">
        <v>112</v>
      </c>
      <c r="E3356" s="14" t="s">
        <v>101</v>
      </c>
      <c r="F3356" s="14">
        <v>81</v>
      </c>
      <c r="G3356" s="14">
        <v>60</v>
      </c>
      <c r="H3356" s="14" t="s">
        <v>1400</v>
      </c>
      <c r="I3356" s="14" t="s">
        <v>75</v>
      </c>
      <c r="J3356" s="14" t="s">
        <v>201</v>
      </c>
      <c r="K3356" s="14">
        <v>1</v>
      </c>
      <c r="L3356" s="14" t="s">
        <v>1400</v>
      </c>
      <c r="N3356" s="14">
        <v>0</v>
      </c>
      <c r="O3356" s="14" t="b">
        <v>1</v>
      </c>
      <c r="Q3356" s="14" t="b">
        <v>0</v>
      </c>
      <c r="R3356" s="14">
        <v>1</v>
      </c>
      <c r="S3356" s="14" t="s">
        <v>77</v>
      </c>
      <c r="T3356" s="14">
        <v>999</v>
      </c>
      <c r="U3356" s="14" t="s">
        <v>1401</v>
      </c>
      <c r="V3356" s="14">
        <v>31927081</v>
      </c>
      <c r="X3356" s="14" t="s">
        <v>6342</v>
      </c>
      <c r="Y3356" s="14" t="s">
        <v>215</v>
      </c>
      <c r="Z3356" s="14">
        <v>22119</v>
      </c>
      <c r="AA3356" s="14" t="s">
        <v>6343</v>
      </c>
      <c r="AB3356" s="14">
        <v>40001</v>
      </c>
      <c r="AE3356" s="14" t="s">
        <v>1400</v>
      </c>
      <c r="AF3356" s="14" t="s">
        <v>1400</v>
      </c>
      <c r="AG3356" s="14" t="s">
        <v>101</v>
      </c>
    </row>
    <row r="3357" spans="2:33">
      <c r="B3357" s="14">
        <f>10000000+INDEX(编号表!$B:$B,MATCH(H3357,编号表!$A:$A,0))*100000+INDEX(编号表!$F:$F,MATCH(D3357,编号表!$E:$E,0))*10000+INDEX(编号表!$D:$D,MATCH(AG3357,编号表!$C:$C,0))*1000+F3357</f>
        <v>11937082</v>
      </c>
      <c r="C3357" s="14" t="s">
        <v>6341</v>
      </c>
      <c r="D3357" s="14" t="s">
        <v>276</v>
      </c>
      <c r="E3357" s="14" t="s">
        <v>101</v>
      </c>
      <c r="F3357" s="14">
        <v>82</v>
      </c>
      <c r="G3357" s="14">
        <v>60</v>
      </c>
      <c r="H3357" s="14" t="s">
        <v>1400</v>
      </c>
      <c r="I3357" s="14" t="s">
        <v>75</v>
      </c>
      <c r="J3357" s="14" t="s">
        <v>201</v>
      </c>
      <c r="K3357" s="14">
        <v>1</v>
      </c>
      <c r="L3357" s="14" t="s">
        <v>1400</v>
      </c>
      <c r="N3357" s="14">
        <v>0</v>
      </c>
      <c r="O3357" s="14" t="b">
        <v>1</v>
      </c>
      <c r="Q3357" s="14" t="b">
        <v>0</v>
      </c>
      <c r="R3357" s="14">
        <v>1</v>
      </c>
      <c r="S3357" s="14" t="s">
        <v>77</v>
      </c>
      <c r="T3357" s="14">
        <v>999</v>
      </c>
      <c r="U3357" s="14" t="s">
        <v>1401</v>
      </c>
      <c r="V3357" s="14">
        <v>31937082</v>
      </c>
      <c r="X3357" s="14" t="s">
        <v>6344</v>
      </c>
      <c r="Y3357" s="14" t="s">
        <v>215</v>
      </c>
      <c r="Z3357" s="14">
        <v>22120</v>
      </c>
      <c r="AA3357" s="14" t="s">
        <v>6345</v>
      </c>
      <c r="AB3357" s="14">
        <v>40001</v>
      </c>
      <c r="AE3357" s="14" t="s">
        <v>1400</v>
      </c>
      <c r="AF3357" s="14" t="s">
        <v>1400</v>
      </c>
      <c r="AG3357" s="14" t="s">
        <v>101</v>
      </c>
    </row>
    <row r="3358" spans="2:33">
      <c r="B3358" s="14">
        <f>10000000+INDEX(编号表!$B:$B,MATCH(H3358,编号表!$A:$A,0))*100000+INDEX(编号表!$F:$F,MATCH(D3358,编号表!$E:$E,0))*10000+INDEX(编号表!$D:$D,MATCH(AG3358,编号表!$C:$C,0))*1000+F3358</f>
        <v>11947083</v>
      </c>
      <c r="C3358" s="14" t="s">
        <v>6341</v>
      </c>
      <c r="D3358" s="14" t="s">
        <v>104</v>
      </c>
      <c r="E3358" s="14" t="s">
        <v>101</v>
      </c>
      <c r="F3358" s="14">
        <v>83</v>
      </c>
      <c r="G3358" s="14">
        <v>60</v>
      </c>
      <c r="H3358" s="14" t="s">
        <v>1400</v>
      </c>
      <c r="I3358" s="14" t="s">
        <v>75</v>
      </c>
      <c r="J3358" s="14" t="s">
        <v>201</v>
      </c>
      <c r="K3358" s="14">
        <v>1</v>
      </c>
      <c r="L3358" s="14" t="s">
        <v>1400</v>
      </c>
      <c r="N3358" s="14">
        <v>0</v>
      </c>
      <c r="O3358" s="14" t="b">
        <v>1</v>
      </c>
      <c r="Q3358" s="14" t="b">
        <v>0</v>
      </c>
      <c r="R3358" s="14">
        <v>1</v>
      </c>
      <c r="S3358" s="14" t="s">
        <v>77</v>
      </c>
      <c r="T3358" s="14">
        <v>999</v>
      </c>
      <c r="U3358" s="14" t="s">
        <v>1401</v>
      </c>
      <c r="V3358" s="14">
        <v>31947083</v>
      </c>
      <c r="X3358" s="14" t="s">
        <v>6346</v>
      </c>
      <c r="Y3358" s="14" t="s">
        <v>215</v>
      </c>
      <c r="Z3358" s="14">
        <v>22121</v>
      </c>
      <c r="AA3358" s="14" t="s">
        <v>6347</v>
      </c>
      <c r="AB3358" s="14">
        <v>40001</v>
      </c>
      <c r="AE3358" s="14" t="s">
        <v>1400</v>
      </c>
      <c r="AF3358" s="14" t="s">
        <v>1400</v>
      </c>
      <c r="AG3358" s="14" t="s">
        <v>101</v>
      </c>
    </row>
    <row r="3359" spans="2:33">
      <c r="B3359" s="14">
        <f>10000000+INDEX(编号表!$B:$B,MATCH(H3359,编号表!$A:$A,0))*100000+INDEX(编号表!$F:$F,MATCH(D3359,编号表!$E:$E,0))*10000+INDEX(编号表!$D:$D,MATCH(AG3359,编号表!$C:$C,0))*1000+F3359</f>
        <v>11927082</v>
      </c>
      <c r="C3359" s="14" t="s">
        <v>6348</v>
      </c>
      <c r="D3359" s="14" t="s">
        <v>112</v>
      </c>
      <c r="E3359" s="14" t="s">
        <v>101</v>
      </c>
      <c r="F3359" s="14">
        <v>82</v>
      </c>
      <c r="G3359" s="14">
        <v>60</v>
      </c>
      <c r="H3359" s="14" t="s">
        <v>1400</v>
      </c>
      <c r="I3359" s="14" t="s">
        <v>75</v>
      </c>
      <c r="J3359" s="14" t="s">
        <v>201</v>
      </c>
      <c r="K3359" s="14">
        <v>1</v>
      </c>
      <c r="L3359" s="14" t="s">
        <v>1400</v>
      </c>
      <c r="N3359" s="14">
        <v>0</v>
      </c>
      <c r="O3359" s="14" t="b">
        <v>1</v>
      </c>
      <c r="Q3359" s="14" t="b">
        <v>0</v>
      </c>
      <c r="R3359" s="14">
        <v>1</v>
      </c>
      <c r="S3359" s="14" t="s">
        <v>77</v>
      </c>
      <c r="T3359" s="14">
        <v>999</v>
      </c>
      <c r="U3359" s="14" t="s">
        <v>1401</v>
      </c>
      <c r="V3359" s="14">
        <v>31927082</v>
      </c>
      <c r="X3359" s="14" t="s">
        <v>6349</v>
      </c>
      <c r="Y3359" s="14" t="s">
        <v>215</v>
      </c>
      <c r="Z3359" s="14">
        <v>22122</v>
      </c>
      <c r="AA3359" s="14" t="s">
        <v>6350</v>
      </c>
      <c r="AB3359" s="14">
        <v>40001</v>
      </c>
      <c r="AE3359" s="14" t="s">
        <v>1400</v>
      </c>
      <c r="AF3359" s="14" t="s">
        <v>1400</v>
      </c>
      <c r="AG3359" s="14" t="s">
        <v>101</v>
      </c>
    </row>
    <row r="3360" spans="2:33">
      <c r="B3360" s="14">
        <f>10000000+INDEX(编号表!$B:$B,MATCH(H3360,编号表!$A:$A,0))*100000+INDEX(编号表!$F:$F,MATCH(D3360,编号表!$E:$E,0))*10000+INDEX(编号表!$D:$D,MATCH(AG3360,编号表!$C:$C,0))*1000+F3360</f>
        <v>11937083</v>
      </c>
      <c r="C3360" s="14" t="s">
        <v>6348</v>
      </c>
      <c r="D3360" s="14" t="s">
        <v>276</v>
      </c>
      <c r="E3360" s="14" t="s">
        <v>101</v>
      </c>
      <c r="F3360" s="14">
        <v>83</v>
      </c>
      <c r="G3360" s="14">
        <v>60</v>
      </c>
      <c r="H3360" s="14" t="s">
        <v>1400</v>
      </c>
      <c r="I3360" s="14" t="s">
        <v>75</v>
      </c>
      <c r="J3360" s="14" t="s">
        <v>201</v>
      </c>
      <c r="K3360" s="14">
        <v>1</v>
      </c>
      <c r="L3360" s="14" t="s">
        <v>1400</v>
      </c>
      <c r="N3360" s="14">
        <v>0</v>
      </c>
      <c r="O3360" s="14" t="b">
        <v>1</v>
      </c>
      <c r="Q3360" s="14" t="b">
        <v>0</v>
      </c>
      <c r="R3360" s="14">
        <v>1</v>
      </c>
      <c r="S3360" s="14" t="s">
        <v>77</v>
      </c>
      <c r="T3360" s="14">
        <v>999</v>
      </c>
      <c r="U3360" s="14" t="s">
        <v>1401</v>
      </c>
      <c r="V3360" s="14">
        <v>31937083</v>
      </c>
      <c r="X3360" s="14" t="s">
        <v>6351</v>
      </c>
      <c r="Y3360" s="14" t="s">
        <v>215</v>
      </c>
      <c r="Z3360" s="14">
        <v>22123</v>
      </c>
      <c r="AA3360" s="14" t="s">
        <v>6352</v>
      </c>
      <c r="AB3360" s="14">
        <v>40001</v>
      </c>
      <c r="AE3360" s="14" t="s">
        <v>1400</v>
      </c>
      <c r="AF3360" s="14" t="s">
        <v>1400</v>
      </c>
      <c r="AG3360" s="14" t="s">
        <v>101</v>
      </c>
    </row>
    <row r="3361" spans="2:33">
      <c r="B3361" s="14">
        <f>10000000+INDEX(编号表!$B:$B,MATCH(H3361,编号表!$A:$A,0))*100000+INDEX(编号表!$F:$F,MATCH(D3361,编号表!$E:$E,0))*10000+INDEX(编号表!$D:$D,MATCH(AG3361,编号表!$C:$C,0))*1000+F3361</f>
        <v>11947084</v>
      </c>
      <c r="C3361" s="14" t="s">
        <v>6348</v>
      </c>
      <c r="D3361" s="14" t="s">
        <v>104</v>
      </c>
      <c r="E3361" s="14" t="s">
        <v>101</v>
      </c>
      <c r="F3361" s="14">
        <v>84</v>
      </c>
      <c r="G3361" s="14">
        <v>60</v>
      </c>
      <c r="H3361" s="14" t="s">
        <v>1400</v>
      </c>
      <c r="I3361" s="14" t="s">
        <v>75</v>
      </c>
      <c r="J3361" s="14" t="s">
        <v>201</v>
      </c>
      <c r="K3361" s="14">
        <v>1</v>
      </c>
      <c r="L3361" s="14" t="s">
        <v>1400</v>
      </c>
      <c r="N3361" s="14">
        <v>0</v>
      </c>
      <c r="O3361" s="14" t="b">
        <v>1</v>
      </c>
      <c r="Q3361" s="14" t="b">
        <v>0</v>
      </c>
      <c r="R3361" s="14">
        <v>1</v>
      </c>
      <c r="S3361" s="14" t="s">
        <v>77</v>
      </c>
      <c r="T3361" s="14">
        <v>999</v>
      </c>
      <c r="U3361" s="14" t="s">
        <v>1401</v>
      </c>
      <c r="V3361" s="14">
        <v>31947084</v>
      </c>
      <c r="X3361" s="14" t="s">
        <v>6353</v>
      </c>
      <c r="Y3361" s="14" t="s">
        <v>215</v>
      </c>
      <c r="Z3361" s="14">
        <v>22124</v>
      </c>
      <c r="AA3361" s="14" t="s">
        <v>6354</v>
      </c>
      <c r="AB3361" s="14">
        <v>40001</v>
      </c>
      <c r="AE3361" s="14" t="s">
        <v>1400</v>
      </c>
      <c r="AF3361" s="14" t="s">
        <v>1400</v>
      </c>
      <c r="AG3361" s="14" t="s">
        <v>101</v>
      </c>
    </row>
    <row r="3362" spans="2:33">
      <c r="B3362" s="14">
        <f>10000000+INDEX(编号表!$B:$B,MATCH(H3362,编号表!$A:$A,0))*100000+INDEX(编号表!$F:$F,MATCH(D3362,编号表!$E:$E,0))*10000+INDEX(编号表!$D:$D,MATCH(AG3362,编号表!$C:$C,0))*1000+F3362</f>
        <v>11927083</v>
      </c>
      <c r="C3362" s="14" t="s">
        <v>6355</v>
      </c>
      <c r="D3362" s="14" t="s">
        <v>112</v>
      </c>
      <c r="E3362" s="14" t="s">
        <v>101</v>
      </c>
      <c r="F3362" s="14">
        <v>83</v>
      </c>
      <c r="G3362" s="14">
        <v>60</v>
      </c>
      <c r="H3362" s="14" t="s">
        <v>1400</v>
      </c>
      <c r="I3362" s="14" t="s">
        <v>75</v>
      </c>
      <c r="J3362" s="14" t="s">
        <v>201</v>
      </c>
      <c r="K3362" s="14">
        <v>1</v>
      </c>
      <c r="L3362" s="14" t="s">
        <v>1400</v>
      </c>
      <c r="N3362" s="14">
        <v>0</v>
      </c>
      <c r="O3362" s="14" t="b">
        <v>1</v>
      </c>
      <c r="Q3362" s="14" t="b">
        <v>0</v>
      </c>
      <c r="R3362" s="14">
        <v>1</v>
      </c>
      <c r="S3362" s="14" t="s">
        <v>77</v>
      </c>
      <c r="T3362" s="14">
        <v>999</v>
      </c>
      <c r="U3362" s="14" t="s">
        <v>1401</v>
      </c>
      <c r="V3362" s="14">
        <v>31927083</v>
      </c>
      <c r="X3362" s="14" t="s">
        <v>6356</v>
      </c>
      <c r="Y3362" s="14" t="s">
        <v>215</v>
      </c>
      <c r="Z3362" s="14">
        <v>22125</v>
      </c>
      <c r="AA3362" s="14" t="s">
        <v>6357</v>
      </c>
      <c r="AB3362" s="14">
        <v>40001</v>
      </c>
      <c r="AE3362" s="14" t="s">
        <v>1400</v>
      </c>
      <c r="AF3362" s="14" t="s">
        <v>1400</v>
      </c>
      <c r="AG3362" s="14" t="s">
        <v>101</v>
      </c>
    </row>
    <row r="3363" spans="2:33">
      <c r="B3363" s="14">
        <f>10000000+INDEX(编号表!$B:$B,MATCH(H3363,编号表!$A:$A,0))*100000+INDEX(编号表!$F:$F,MATCH(D3363,编号表!$E:$E,0))*10000+INDEX(编号表!$D:$D,MATCH(AG3363,编号表!$C:$C,0))*1000+F3363</f>
        <v>11937084</v>
      </c>
      <c r="C3363" s="14" t="s">
        <v>6355</v>
      </c>
      <c r="D3363" s="14" t="s">
        <v>276</v>
      </c>
      <c r="E3363" s="14" t="s">
        <v>101</v>
      </c>
      <c r="F3363" s="14">
        <v>84</v>
      </c>
      <c r="G3363" s="14">
        <v>60</v>
      </c>
      <c r="H3363" s="14" t="s">
        <v>1400</v>
      </c>
      <c r="I3363" s="14" t="s">
        <v>75</v>
      </c>
      <c r="J3363" s="14" t="s">
        <v>201</v>
      </c>
      <c r="K3363" s="14">
        <v>1</v>
      </c>
      <c r="L3363" s="14" t="s">
        <v>1400</v>
      </c>
      <c r="N3363" s="14">
        <v>0</v>
      </c>
      <c r="O3363" s="14" t="b">
        <v>1</v>
      </c>
      <c r="Q3363" s="14" t="b">
        <v>0</v>
      </c>
      <c r="R3363" s="14">
        <v>1</v>
      </c>
      <c r="S3363" s="14" t="s">
        <v>77</v>
      </c>
      <c r="T3363" s="14">
        <v>999</v>
      </c>
      <c r="U3363" s="14" t="s">
        <v>1401</v>
      </c>
      <c r="V3363" s="14">
        <v>31937084</v>
      </c>
      <c r="X3363" s="14" t="s">
        <v>6358</v>
      </c>
      <c r="Y3363" s="14" t="s">
        <v>215</v>
      </c>
      <c r="Z3363" s="14">
        <v>22126</v>
      </c>
      <c r="AA3363" s="14" t="s">
        <v>6359</v>
      </c>
      <c r="AB3363" s="14">
        <v>40001</v>
      </c>
      <c r="AE3363" s="14" t="s">
        <v>1400</v>
      </c>
      <c r="AF3363" s="14" t="s">
        <v>1400</v>
      </c>
      <c r="AG3363" s="14" t="s">
        <v>101</v>
      </c>
    </row>
    <row r="3364" spans="2:33">
      <c r="B3364" s="14">
        <f>10000000+INDEX(编号表!$B:$B,MATCH(H3364,编号表!$A:$A,0))*100000+INDEX(编号表!$F:$F,MATCH(D3364,编号表!$E:$E,0))*10000+INDEX(编号表!$D:$D,MATCH(AG3364,编号表!$C:$C,0))*1000+F3364</f>
        <v>11947085</v>
      </c>
      <c r="C3364" s="14" t="s">
        <v>6355</v>
      </c>
      <c r="D3364" s="14" t="s">
        <v>104</v>
      </c>
      <c r="E3364" s="14" t="s">
        <v>101</v>
      </c>
      <c r="F3364" s="14">
        <v>85</v>
      </c>
      <c r="G3364" s="14">
        <v>60</v>
      </c>
      <c r="H3364" s="14" t="s">
        <v>1400</v>
      </c>
      <c r="I3364" s="14" t="s">
        <v>75</v>
      </c>
      <c r="J3364" s="14" t="s">
        <v>201</v>
      </c>
      <c r="K3364" s="14">
        <v>1</v>
      </c>
      <c r="L3364" s="14" t="s">
        <v>1400</v>
      </c>
      <c r="N3364" s="14">
        <v>0</v>
      </c>
      <c r="O3364" s="14" t="b">
        <v>1</v>
      </c>
      <c r="Q3364" s="14" t="b">
        <v>0</v>
      </c>
      <c r="R3364" s="14">
        <v>1</v>
      </c>
      <c r="S3364" s="14" t="s">
        <v>77</v>
      </c>
      <c r="T3364" s="14">
        <v>999</v>
      </c>
      <c r="U3364" s="14" t="s">
        <v>1401</v>
      </c>
      <c r="V3364" s="14">
        <v>31947085</v>
      </c>
      <c r="X3364" s="14" t="s">
        <v>6360</v>
      </c>
      <c r="Y3364" s="14" t="s">
        <v>215</v>
      </c>
      <c r="Z3364" s="14">
        <v>22127</v>
      </c>
      <c r="AA3364" s="14" t="s">
        <v>6361</v>
      </c>
      <c r="AB3364" s="14">
        <v>40001</v>
      </c>
      <c r="AE3364" s="14" t="s">
        <v>1400</v>
      </c>
      <c r="AF3364" s="14" t="s">
        <v>1400</v>
      </c>
      <c r="AG3364" s="14" t="s">
        <v>101</v>
      </c>
    </row>
    <row r="3365" spans="2:33">
      <c r="B3365" s="14">
        <f>10000000+INDEX(编号表!$B:$B,MATCH(H3365,编号表!$A:$A,0))*100000+INDEX(编号表!$F:$F,MATCH(D3365,编号表!$E:$E,0))*10000+INDEX(编号表!$D:$D,MATCH(AG3365,编号表!$C:$C,0))*1000+F3365</f>
        <v>11927084</v>
      </c>
      <c r="C3365" s="14" t="s">
        <v>6362</v>
      </c>
      <c r="D3365" s="14" t="s">
        <v>112</v>
      </c>
      <c r="E3365" s="14" t="s">
        <v>101</v>
      </c>
      <c r="F3365" s="14">
        <v>84</v>
      </c>
      <c r="G3365" s="14">
        <v>60</v>
      </c>
      <c r="H3365" s="14" t="s">
        <v>1400</v>
      </c>
      <c r="I3365" s="14" t="s">
        <v>75</v>
      </c>
      <c r="J3365" s="14" t="s">
        <v>201</v>
      </c>
      <c r="K3365" s="14">
        <v>1</v>
      </c>
      <c r="L3365" s="14" t="s">
        <v>1400</v>
      </c>
      <c r="N3365" s="14">
        <v>0</v>
      </c>
      <c r="O3365" s="14" t="b">
        <v>1</v>
      </c>
      <c r="Q3365" s="14" t="b">
        <v>0</v>
      </c>
      <c r="R3365" s="14">
        <v>1</v>
      </c>
      <c r="S3365" s="14" t="s">
        <v>77</v>
      </c>
      <c r="T3365" s="14">
        <v>999</v>
      </c>
      <c r="U3365" s="14" t="s">
        <v>1401</v>
      </c>
      <c r="V3365" s="14">
        <v>31927084</v>
      </c>
      <c r="X3365" s="14" t="s">
        <v>6363</v>
      </c>
      <c r="Y3365" s="14" t="s">
        <v>215</v>
      </c>
      <c r="Z3365" s="14">
        <v>22128</v>
      </c>
      <c r="AA3365" s="14" t="s">
        <v>6364</v>
      </c>
      <c r="AB3365" s="14">
        <v>40001</v>
      </c>
      <c r="AE3365" s="14" t="s">
        <v>1400</v>
      </c>
      <c r="AF3365" s="14" t="s">
        <v>1400</v>
      </c>
      <c r="AG3365" s="14" t="s">
        <v>101</v>
      </c>
    </row>
    <row r="3366" spans="2:33">
      <c r="B3366" s="14">
        <f>10000000+INDEX(编号表!$B:$B,MATCH(H3366,编号表!$A:$A,0))*100000+INDEX(编号表!$F:$F,MATCH(D3366,编号表!$E:$E,0))*10000+INDEX(编号表!$D:$D,MATCH(AG3366,编号表!$C:$C,0))*1000+F3366</f>
        <v>11937085</v>
      </c>
      <c r="C3366" s="14" t="s">
        <v>6362</v>
      </c>
      <c r="D3366" s="14" t="s">
        <v>276</v>
      </c>
      <c r="E3366" s="14" t="s">
        <v>101</v>
      </c>
      <c r="F3366" s="14">
        <v>85</v>
      </c>
      <c r="G3366" s="14">
        <v>60</v>
      </c>
      <c r="H3366" s="14" t="s">
        <v>1400</v>
      </c>
      <c r="I3366" s="14" t="s">
        <v>75</v>
      </c>
      <c r="J3366" s="14" t="s">
        <v>201</v>
      </c>
      <c r="K3366" s="14">
        <v>1</v>
      </c>
      <c r="L3366" s="14" t="s">
        <v>1400</v>
      </c>
      <c r="N3366" s="14">
        <v>0</v>
      </c>
      <c r="O3366" s="14" t="b">
        <v>1</v>
      </c>
      <c r="Q3366" s="14" t="b">
        <v>0</v>
      </c>
      <c r="R3366" s="14">
        <v>1</v>
      </c>
      <c r="S3366" s="14" t="s">
        <v>77</v>
      </c>
      <c r="T3366" s="14">
        <v>999</v>
      </c>
      <c r="U3366" s="14" t="s">
        <v>1401</v>
      </c>
      <c r="V3366" s="14">
        <v>31937085</v>
      </c>
      <c r="X3366" s="14" t="s">
        <v>6365</v>
      </c>
      <c r="Y3366" s="14" t="s">
        <v>215</v>
      </c>
      <c r="Z3366" s="14">
        <v>22129</v>
      </c>
      <c r="AA3366" s="14" t="s">
        <v>6366</v>
      </c>
      <c r="AB3366" s="14">
        <v>40001</v>
      </c>
      <c r="AE3366" s="14" t="s">
        <v>1400</v>
      </c>
      <c r="AF3366" s="14" t="s">
        <v>1400</v>
      </c>
      <c r="AG3366" s="14" t="s">
        <v>101</v>
      </c>
    </row>
    <row r="3367" spans="2:33">
      <c r="B3367" s="14">
        <f>10000000+INDEX(编号表!$B:$B,MATCH(H3367,编号表!$A:$A,0))*100000+INDEX(编号表!$F:$F,MATCH(D3367,编号表!$E:$E,0))*10000+INDEX(编号表!$D:$D,MATCH(AG3367,编号表!$C:$C,0))*1000+F3367</f>
        <v>11947086</v>
      </c>
      <c r="C3367" s="14" t="s">
        <v>6362</v>
      </c>
      <c r="D3367" s="14" t="s">
        <v>104</v>
      </c>
      <c r="E3367" s="14" t="s">
        <v>101</v>
      </c>
      <c r="F3367" s="14">
        <v>86</v>
      </c>
      <c r="G3367" s="14">
        <v>60</v>
      </c>
      <c r="H3367" s="14" t="s">
        <v>1400</v>
      </c>
      <c r="I3367" s="14" t="s">
        <v>75</v>
      </c>
      <c r="J3367" s="14" t="s">
        <v>201</v>
      </c>
      <c r="K3367" s="14">
        <v>1</v>
      </c>
      <c r="L3367" s="14" t="s">
        <v>1400</v>
      </c>
      <c r="N3367" s="14">
        <v>0</v>
      </c>
      <c r="O3367" s="14" t="b">
        <v>1</v>
      </c>
      <c r="Q3367" s="14" t="b">
        <v>0</v>
      </c>
      <c r="R3367" s="14">
        <v>1</v>
      </c>
      <c r="S3367" s="14" t="s">
        <v>77</v>
      </c>
      <c r="T3367" s="14">
        <v>999</v>
      </c>
      <c r="U3367" s="14" t="s">
        <v>1401</v>
      </c>
      <c r="V3367" s="14">
        <v>31947086</v>
      </c>
      <c r="X3367" s="14" t="s">
        <v>6367</v>
      </c>
      <c r="Y3367" s="14" t="s">
        <v>215</v>
      </c>
      <c r="Z3367" s="14">
        <v>22130</v>
      </c>
      <c r="AA3367" s="14" t="s">
        <v>6368</v>
      </c>
      <c r="AB3367" s="14">
        <v>40001</v>
      </c>
      <c r="AE3367" s="14" t="s">
        <v>1400</v>
      </c>
      <c r="AF3367" s="14" t="s">
        <v>1400</v>
      </c>
      <c r="AG3367" s="14" t="s">
        <v>101</v>
      </c>
    </row>
    <row r="3368" spans="2:33">
      <c r="B3368" s="14">
        <f>10000000+INDEX(编号表!$B:$B,MATCH(H3368,编号表!$A:$A,0))*100000+INDEX(编号表!$F:$F,MATCH(D3368,编号表!$E:$E,0))*10000+INDEX(编号表!$D:$D,MATCH(AG3368,编号表!$C:$C,0))*1000+F3368</f>
        <v>11927085</v>
      </c>
      <c r="C3368" s="14" t="s">
        <v>6369</v>
      </c>
      <c r="D3368" s="14" t="s">
        <v>112</v>
      </c>
      <c r="E3368" s="14" t="s">
        <v>101</v>
      </c>
      <c r="F3368" s="14">
        <v>85</v>
      </c>
      <c r="G3368" s="14">
        <v>60</v>
      </c>
      <c r="H3368" s="14" t="s">
        <v>1400</v>
      </c>
      <c r="I3368" s="14" t="s">
        <v>75</v>
      </c>
      <c r="J3368" s="14" t="s">
        <v>201</v>
      </c>
      <c r="K3368" s="14">
        <v>1</v>
      </c>
      <c r="L3368" s="14" t="s">
        <v>1400</v>
      </c>
      <c r="N3368" s="14">
        <v>0</v>
      </c>
      <c r="O3368" s="14" t="b">
        <v>1</v>
      </c>
      <c r="Q3368" s="14" t="b">
        <v>0</v>
      </c>
      <c r="R3368" s="14">
        <v>1</v>
      </c>
      <c r="S3368" s="14" t="s">
        <v>77</v>
      </c>
      <c r="T3368" s="14">
        <v>999</v>
      </c>
      <c r="U3368" s="14" t="s">
        <v>1401</v>
      </c>
      <c r="V3368" s="14">
        <v>31927085</v>
      </c>
      <c r="X3368" s="14" t="s">
        <v>6370</v>
      </c>
      <c r="Y3368" s="14" t="s">
        <v>215</v>
      </c>
      <c r="Z3368" s="14">
        <v>22131</v>
      </c>
      <c r="AA3368" s="14" t="s">
        <v>6371</v>
      </c>
      <c r="AB3368" s="14">
        <v>40001</v>
      </c>
      <c r="AE3368" s="14" t="s">
        <v>1400</v>
      </c>
      <c r="AF3368" s="14" t="s">
        <v>1400</v>
      </c>
      <c r="AG3368" s="14" t="s">
        <v>101</v>
      </c>
    </row>
    <row r="3369" spans="2:33">
      <c r="B3369" s="14">
        <f>10000000+INDEX(编号表!$B:$B,MATCH(H3369,编号表!$A:$A,0))*100000+INDEX(编号表!$F:$F,MATCH(D3369,编号表!$E:$E,0))*10000+INDEX(编号表!$D:$D,MATCH(AG3369,编号表!$C:$C,0))*1000+F3369</f>
        <v>11937086</v>
      </c>
      <c r="C3369" s="14" t="s">
        <v>6369</v>
      </c>
      <c r="D3369" s="14" t="s">
        <v>276</v>
      </c>
      <c r="E3369" s="14" t="s">
        <v>101</v>
      </c>
      <c r="F3369" s="14">
        <v>86</v>
      </c>
      <c r="G3369" s="14">
        <v>60</v>
      </c>
      <c r="H3369" s="14" t="s">
        <v>1400</v>
      </c>
      <c r="I3369" s="14" t="s">
        <v>75</v>
      </c>
      <c r="J3369" s="14" t="s">
        <v>201</v>
      </c>
      <c r="K3369" s="14">
        <v>1</v>
      </c>
      <c r="L3369" s="14" t="s">
        <v>1400</v>
      </c>
      <c r="N3369" s="14">
        <v>0</v>
      </c>
      <c r="O3369" s="14" t="b">
        <v>1</v>
      </c>
      <c r="Q3369" s="14" t="b">
        <v>0</v>
      </c>
      <c r="R3369" s="14">
        <v>1</v>
      </c>
      <c r="S3369" s="14" t="s">
        <v>77</v>
      </c>
      <c r="T3369" s="14">
        <v>999</v>
      </c>
      <c r="U3369" s="14" t="s">
        <v>1401</v>
      </c>
      <c r="V3369" s="14">
        <v>31937086</v>
      </c>
      <c r="X3369" s="14" t="s">
        <v>6372</v>
      </c>
      <c r="Y3369" s="14" t="s">
        <v>215</v>
      </c>
      <c r="Z3369" s="14">
        <v>22132</v>
      </c>
      <c r="AA3369" s="14" t="s">
        <v>6373</v>
      </c>
      <c r="AB3369" s="14">
        <v>40001</v>
      </c>
      <c r="AE3369" s="14" t="s">
        <v>1400</v>
      </c>
      <c r="AF3369" s="14" t="s">
        <v>1400</v>
      </c>
      <c r="AG3369" s="14" t="s">
        <v>101</v>
      </c>
    </row>
    <row r="3370" spans="2:33">
      <c r="B3370" s="14">
        <f>10000000+INDEX(编号表!$B:$B,MATCH(H3370,编号表!$A:$A,0))*100000+INDEX(编号表!$F:$F,MATCH(D3370,编号表!$E:$E,0))*10000+INDEX(编号表!$D:$D,MATCH(AG3370,编号表!$C:$C,0))*1000+F3370</f>
        <v>11947087</v>
      </c>
      <c r="C3370" s="14" t="s">
        <v>6369</v>
      </c>
      <c r="D3370" s="14" t="s">
        <v>104</v>
      </c>
      <c r="E3370" s="14" t="s">
        <v>101</v>
      </c>
      <c r="F3370" s="14">
        <v>87</v>
      </c>
      <c r="G3370" s="14">
        <v>60</v>
      </c>
      <c r="H3370" s="14" t="s">
        <v>1400</v>
      </c>
      <c r="I3370" s="14" t="s">
        <v>75</v>
      </c>
      <c r="J3370" s="14" t="s">
        <v>201</v>
      </c>
      <c r="K3370" s="14">
        <v>1</v>
      </c>
      <c r="L3370" s="14" t="s">
        <v>1400</v>
      </c>
      <c r="N3370" s="14">
        <v>0</v>
      </c>
      <c r="O3370" s="14" t="b">
        <v>1</v>
      </c>
      <c r="Q3370" s="14" t="b">
        <v>0</v>
      </c>
      <c r="R3370" s="14">
        <v>1</v>
      </c>
      <c r="S3370" s="14" t="s">
        <v>77</v>
      </c>
      <c r="T3370" s="14">
        <v>999</v>
      </c>
      <c r="U3370" s="14" t="s">
        <v>1401</v>
      </c>
      <c r="V3370" s="14">
        <v>31947087</v>
      </c>
      <c r="X3370" s="14" t="s">
        <v>6374</v>
      </c>
      <c r="Y3370" s="14" t="s">
        <v>215</v>
      </c>
      <c r="Z3370" s="14">
        <v>22133</v>
      </c>
      <c r="AA3370" s="14" t="s">
        <v>6375</v>
      </c>
      <c r="AB3370" s="14">
        <v>40001</v>
      </c>
      <c r="AE3370" s="14" t="s">
        <v>1400</v>
      </c>
      <c r="AF3370" s="14" t="s">
        <v>1400</v>
      </c>
      <c r="AG3370" s="14" t="s">
        <v>101</v>
      </c>
    </row>
    <row r="3371" spans="2:33">
      <c r="B3371" s="14">
        <f>10000000+INDEX(编号表!$B:$B,MATCH(H3371,编号表!$A:$A,0))*100000+INDEX(编号表!$F:$F,MATCH(D3371,编号表!$E:$E,0))*10000+INDEX(编号表!$D:$D,MATCH(AG3371,编号表!$C:$C,0))*1000+F3371</f>
        <v>11927086</v>
      </c>
      <c r="C3371" s="14" t="s">
        <v>6376</v>
      </c>
      <c r="D3371" s="14" t="s">
        <v>112</v>
      </c>
      <c r="E3371" s="14" t="s">
        <v>101</v>
      </c>
      <c r="F3371" s="14">
        <v>86</v>
      </c>
      <c r="G3371" s="14">
        <v>60</v>
      </c>
      <c r="H3371" s="14" t="s">
        <v>1400</v>
      </c>
      <c r="I3371" s="14" t="s">
        <v>75</v>
      </c>
      <c r="J3371" s="14" t="s">
        <v>201</v>
      </c>
      <c r="K3371" s="14">
        <v>1</v>
      </c>
      <c r="L3371" s="14" t="s">
        <v>1400</v>
      </c>
      <c r="N3371" s="14">
        <v>0</v>
      </c>
      <c r="O3371" s="14" t="b">
        <v>1</v>
      </c>
      <c r="Q3371" s="14" t="b">
        <v>0</v>
      </c>
      <c r="R3371" s="14">
        <v>1</v>
      </c>
      <c r="S3371" s="14" t="s">
        <v>77</v>
      </c>
      <c r="T3371" s="14">
        <v>999</v>
      </c>
      <c r="U3371" s="14" t="s">
        <v>1401</v>
      </c>
      <c r="V3371" s="14">
        <v>31927086</v>
      </c>
      <c r="X3371" s="14" t="s">
        <v>6377</v>
      </c>
      <c r="Y3371" s="14" t="s">
        <v>215</v>
      </c>
      <c r="Z3371" s="14">
        <v>22134</v>
      </c>
      <c r="AA3371" s="14" t="s">
        <v>6378</v>
      </c>
      <c r="AB3371" s="14">
        <v>40001</v>
      </c>
      <c r="AE3371" s="14" t="s">
        <v>1400</v>
      </c>
      <c r="AF3371" s="14" t="s">
        <v>1400</v>
      </c>
      <c r="AG3371" s="14" t="s">
        <v>101</v>
      </c>
    </row>
    <row r="3372" spans="2:33">
      <c r="B3372" s="14">
        <f>10000000+INDEX(编号表!$B:$B,MATCH(H3372,编号表!$A:$A,0))*100000+INDEX(编号表!$F:$F,MATCH(D3372,编号表!$E:$E,0))*10000+INDEX(编号表!$D:$D,MATCH(AG3372,编号表!$C:$C,0))*1000+F3372</f>
        <v>11937087</v>
      </c>
      <c r="C3372" s="14" t="s">
        <v>6376</v>
      </c>
      <c r="D3372" s="14" t="s">
        <v>276</v>
      </c>
      <c r="E3372" s="14" t="s">
        <v>101</v>
      </c>
      <c r="F3372" s="14">
        <v>87</v>
      </c>
      <c r="G3372" s="14">
        <v>60</v>
      </c>
      <c r="H3372" s="14" t="s">
        <v>1400</v>
      </c>
      <c r="I3372" s="14" t="s">
        <v>75</v>
      </c>
      <c r="J3372" s="14" t="s">
        <v>201</v>
      </c>
      <c r="K3372" s="14">
        <v>1</v>
      </c>
      <c r="L3372" s="14" t="s">
        <v>1400</v>
      </c>
      <c r="N3372" s="14">
        <v>0</v>
      </c>
      <c r="O3372" s="14" t="b">
        <v>1</v>
      </c>
      <c r="Q3372" s="14" t="b">
        <v>0</v>
      </c>
      <c r="R3372" s="14">
        <v>1</v>
      </c>
      <c r="S3372" s="14" t="s">
        <v>77</v>
      </c>
      <c r="T3372" s="14">
        <v>999</v>
      </c>
      <c r="U3372" s="14" t="s">
        <v>1401</v>
      </c>
      <c r="V3372" s="14">
        <v>31937087</v>
      </c>
      <c r="X3372" s="14" t="s">
        <v>6379</v>
      </c>
      <c r="Y3372" s="14" t="s">
        <v>215</v>
      </c>
      <c r="Z3372" s="14">
        <v>22135</v>
      </c>
      <c r="AA3372" s="14" t="s">
        <v>6380</v>
      </c>
      <c r="AB3372" s="14">
        <v>40001</v>
      </c>
      <c r="AE3372" s="14" t="s">
        <v>1400</v>
      </c>
      <c r="AF3372" s="14" t="s">
        <v>1400</v>
      </c>
      <c r="AG3372" s="14" t="s">
        <v>101</v>
      </c>
    </row>
    <row r="3373" spans="2:33">
      <c r="B3373" s="14">
        <f>10000000+INDEX(编号表!$B:$B,MATCH(H3373,编号表!$A:$A,0))*100000+INDEX(编号表!$F:$F,MATCH(D3373,编号表!$E:$E,0))*10000+INDEX(编号表!$D:$D,MATCH(AG3373,编号表!$C:$C,0))*1000+F3373</f>
        <v>11947088</v>
      </c>
      <c r="C3373" s="14" t="s">
        <v>6376</v>
      </c>
      <c r="D3373" s="14" t="s">
        <v>104</v>
      </c>
      <c r="E3373" s="14" t="s">
        <v>101</v>
      </c>
      <c r="F3373" s="14">
        <v>88</v>
      </c>
      <c r="G3373" s="14">
        <v>60</v>
      </c>
      <c r="H3373" s="14" t="s">
        <v>1400</v>
      </c>
      <c r="I3373" s="14" t="s">
        <v>75</v>
      </c>
      <c r="J3373" s="14" t="s">
        <v>201</v>
      </c>
      <c r="K3373" s="14">
        <v>1</v>
      </c>
      <c r="L3373" s="14" t="s">
        <v>1400</v>
      </c>
      <c r="N3373" s="14">
        <v>0</v>
      </c>
      <c r="O3373" s="14" t="b">
        <v>1</v>
      </c>
      <c r="Q3373" s="14" t="b">
        <v>0</v>
      </c>
      <c r="R3373" s="14">
        <v>1</v>
      </c>
      <c r="S3373" s="14" t="s">
        <v>77</v>
      </c>
      <c r="T3373" s="14">
        <v>999</v>
      </c>
      <c r="U3373" s="14" t="s">
        <v>1401</v>
      </c>
      <c r="V3373" s="14">
        <v>31947088</v>
      </c>
      <c r="X3373" s="14" t="s">
        <v>6381</v>
      </c>
      <c r="Y3373" s="14" t="s">
        <v>215</v>
      </c>
      <c r="Z3373" s="14">
        <v>22136</v>
      </c>
      <c r="AA3373" s="14" t="s">
        <v>6382</v>
      </c>
      <c r="AB3373" s="14">
        <v>40001</v>
      </c>
      <c r="AE3373" s="14" t="s">
        <v>1400</v>
      </c>
      <c r="AF3373" s="14" t="s">
        <v>1400</v>
      </c>
      <c r="AG3373" s="14" t="s">
        <v>101</v>
      </c>
    </row>
    <row r="3374" spans="2:33">
      <c r="B3374" s="14">
        <f>10000000+INDEX(编号表!$B:$B,MATCH(H3374,编号表!$A:$A,0))*100000+INDEX(编号表!$F:$F,MATCH(D3374,编号表!$E:$E,0))*10000+INDEX(编号表!$D:$D,MATCH(AG3374,编号表!$C:$C,0))*1000+F3374</f>
        <v>11927087</v>
      </c>
      <c r="C3374" s="14" t="s">
        <v>6383</v>
      </c>
      <c r="D3374" s="14" t="s">
        <v>112</v>
      </c>
      <c r="E3374" s="14" t="s">
        <v>101</v>
      </c>
      <c r="F3374" s="14">
        <v>87</v>
      </c>
      <c r="G3374" s="14">
        <v>60</v>
      </c>
      <c r="H3374" s="14" t="s">
        <v>1400</v>
      </c>
      <c r="I3374" s="14" t="s">
        <v>75</v>
      </c>
      <c r="J3374" s="14" t="s">
        <v>201</v>
      </c>
      <c r="K3374" s="14">
        <v>1</v>
      </c>
      <c r="L3374" s="14" t="s">
        <v>1400</v>
      </c>
      <c r="N3374" s="14">
        <v>0</v>
      </c>
      <c r="O3374" s="14" t="b">
        <v>1</v>
      </c>
      <c r="Q3374" s="14" t="b">
        <v>0</v>
      </c>
      <c r="R3374" s="14">
        <v>1</v>
      </c>
      <c r="S3374" s="14" t="s">
        <v>77</v>
      </c>
      <c r="T3374" s="14">
        <v>999</v>
      </c>
      <c r="U3374" s="14" t="s">
        <v>1401</v>
      </c>
      <c r="V3374" s="14">
        <v>31927087</v>
      </c>
      <c r="X3374" s="14" t="s">
        <v>6384</v>
      </c>
      <c r="Y3374" s="14" t="s">
        <v>215</v>
      </c>
      <c r="Z3374" s="14">
        <v>22137</v>
      </c>
      <c r="AA3374" s="14" t="s">
        <v>6385</v>
      </c>
      <c r="AB3374" s="14">
        <v>40001</v>
      </c>
      <c r="AE3374" s="14" t="s">
        <v>1400</v>
      </c>
      <c r="AF3374" s="14" t="s">
        <v>1400</v>
      </c>
      <c r="AG3374" s="14" t="s">
        <v>101</v>
      </c>
    </row>
    <row r="3375" spans="2:33">
      <c r="B3375" s="14">
        <f>10000000+INDEX(编号表!$B:$B,MATCH(H3375,编号表!$A:$A,0))*100000+INDEX(编号表!$F:$F,MATCH(D3375,编号表!$E:$E,0))*10000+INDEX(编号表!$D:$D,MATCH(AG3375,编号表!$C:$C,0))*1000+F3375</f>
        <v>11937088</v>
      </c>
      <c r="C3375" s="14" t="s">
        <v>6383</v>
      </c>
      <c r="D3375" s="14" t="s">
        <v>276</v>
      </c>
      <c r="E3375" s="14" t="s">
        <v>101</v>
      </c>
      <c r="F3375" s="14">
        <v>88</v>
      </c>
      <c r="G3375" s="14">
        <v>60</v>
      </c>
      <c r="H3375" s="14" t="s">
        <v>1400</v>
      </c>
      <c r="I3375" s="14" t="s">
        <v>75</v>
      </c>
      <c r="J3375" s="14" t="s">
        <v>201</v>
      </c>
      <c r="K3375" s="14">
        <v>1</v>
      </c>
      <c r="L3375" s="14" t="s">
        <v>1400</v>
      </c>
      <c r="N3375" s="14">
        <v>0</v>
      </c>
      <c r="O3375" s="14" t="b">
        <v>1</v>
      </c>
      <c r="Q3375" s="14" t="b">
        <v>0</v>
      </c>
      <c r="R3375" s="14">
        <v>1</v>
      </c>
      <c r="S3375" s="14" t="s">
        <v>77</v>
      </c>
      <c r="T3375" s="14">
        <v>999</v>
      </c>
      <c r="U3375" s="14" t="s">
        <v>1401</v>
      </c>
      <c r="V3375" s="14">
        <v>31937088</v>
      </c>
      <c r="X3375" s="14" t="s">
        <v>6386</v>
      </c>
      <c r="Y3375" s="14" t="s">
        <v>215</v>
      </c>
      <c r="Z3375" s="14">
        <v>22138</v>
      </c>
      <c r="AA3375" s="14" t="s">
        <v>6387</v>
      </c>
      <c r="AB3375" s="14">
        <v>40001</v>
      </c>
      <c r="AE3375" s="14" t="s">
        <v>1400</v>
      </c>
      <c r="AF3375" s="14" t="s">
        <v>1400</v>
      </c>
      <c r="AG3375" s="14" t="s">
        <v>101</v>
      </c>
    </row>
    <row r="3376" spans="2:33">
      <c r="B3376" s="14">
        <f>10000000+INDEX(编号表!$B:$B,MATCH(H3376,编号表!$A:$A,0))*100000+INDEX(编号表!$F:$F,MATCH(D3376,编号表!$E:$E,0))*10000+INDEX(编号表!$D:$D,MATCH(AG3376,编号表!$C:$C,0))*1000+F3376</f>
        <v>11947089</v>
      </c>
      <c r="C3376" s="14" t="s">
        <v>6383</v>
      </c>
      <c r="D3376" s="14" t="s">
        <v>104</v>
      </c>
      <c r="E3376" s="14" t="s">
        <v>101</v>
      </c>
      <c r="F3376" s="14">
        <v>89</v>
      </c>
      <c r="G3376" s="14">
        <v>60</v>
      </c>
      <c r="H3376" s="14" t="s">
        <v>1400</v>
      </c>
      <c r="I3376" s="14" t="s">
        <v>75</v>
      </c>
      <c r="J3376" s="14" t="s">
        <v>201</v>
      </c>
      <c r="K3376" s="14">
        <v>1</v>
      </c>
      <c r="L3376" s="14" t="s">
        <v>1400</v>
      </c>
      <c r="N3376" s="14">
        <v>0</v>
      </c>
      <c r="O3376" s="14" t="b">
        <v>1</v>
      </c>
      <c r="Q3376" s="14" t="b">
        <v>0</v>
      </c>
      <c r="R3376" s="14">
        <v>1</v>
      </c>
      <c r="S3376" s="14" t="s">
        <v>77</v>
      </c>
      <c r="T3376" s="14">
        <v>999</v>
      </c>
      <c r="U3376" s="14" t="s">
        <v>1401</v>
      </c>
      <c r="V3376" s="14">
        <v>31947089</v>
      </c>
      <c r="X3376" s="14" t="s">
        <v>6388</v>
      </c>
      <c r="Y3376" s="14" t="s">
        <v>215</v>
      </c>
      <c r="Z3376" s="14">
        <v>22139</v>
      </c>
      <c r="AA3376" s="14" t="s">
        <v>6389</v>
      </c>
      <c r="AB3376" s="14">
        <v>40001</v>
      </c>
      <c r="AE3376" s="14" t="s">
        <v>1400</v>
      </c>
      <c r="AF3376" s="14" t="s">
        <v>1400</v>
      </c>
      <c r="AG3376" s="14" t="s">
        <v>101</v>
      </c>
    </row>
    <row r="3377" spans="2:33">
      <c r="B3377" s="14">
        <f>10000000+INDEX(编号表!$B:$B,MATCH(H3377,编号表!$A:$A,0))*100000+INDEX(编号表!$F:$F,MATCH(D3377,编号表!$E:$E,0))*10000+INDEX(编号表!$D:$D,MATCH(AG3377,编号表!$C:$C,0))*1000+F3377</f>
        <v>11927088</v>
      </c>
      <c r="C3377" s="14" t="s">
        <v>6390</v>
      </c>
      <c r="D3377" s="14" t="s">
        <v>112</v>
      </c>
      <c r="E3377" s="14" t="s">
        <v>101</v>
      </c>
      <c r="F3377" s="14">
        <v>88</v>
      </c>
      <c r="G3377" s="14">
        <v>60</v>
      </c>
      <c r="H3377" s="14" t="s">
        <v>1400</v>
      </c>
      <c r="I3377" s="14" t="s">
        <v>75</v>
      </c>
      <c r="J3377" s="14" t="s">
        <v>201</v>
      </c>
      <c r="K3377" s="14">
        <v>1</v>
      </c>
      <c r="L3377" s="14" t="s">
        <v>1400</v>
      </c>
      <c r="N3377" s="14">
        <v>0</v>
      </c>
      <c r="O3377" s="14" t="b">
        <v>1</v>
      </c>
      <c r="Q3377" s="14" t="b">
        <v>0</v>
      </c>
      <c r="R3377" s="14">
        <v>1</v>
      </c>
      <c r="S3377" s="14" t="s">
        <v>77</v>
      </c>
      <c r="T3377" s="14">
        <v>999</v>
      </c>
      <c r="U3377" s="14" t="s">
        <v>1401</v>
      </c>
      <c r="V3377" s="14">
        <v>31927088</v>
      </c>
      <c r="X3377" s="14" t="s">
        <v>6391</v>
      </c>
      <c r="Y3377" s="14" t="s">
        <v>215</v>
      </c>
      <c r="Z3377" s="14">
        <v>22140</v>
      </c>
      <c r="AA3377" s="14" t="s">
        <v>6392</v>
      </c>
      <c r="AB3377" s="14">
        <v>40001</v>
      </c>
      <c r="AE3377" s="14" t="s">
        <v>1400</v>
      </c>
      <c r="AF3377" s="14" t="s">
        <v>1400</v>
      </c>
      <c r="AG3377" s="14" t="s">
        <v>101</v>
      </c>
    </row>
    <row r="3378" spans="2:33">
      <c r="B3378" s="14">
        <f>10000000+INDEX(编号表!$B:$B,MATCH(H3378,编号表!$A:$A,0))*100000+INDEX(编号表!$F:$F,MATCH(D3378,编号表!$E:$E,0))*10000+INDEX(编号表!$D:$D,MATCH(AG3378,编号表!$C:$C,0))*1000+F3378</f>
        <v>11937089</v>
      </c>
      <c r="C3378" s="14" t="s">
        <v>6390</v>
      </c>
      <c r="D3378" s="14" t="s">
        <v>276</v>
      </c>
      <c r="E3378" s="14" t="s">
        <v>101</v>
      </c>
      <c r="F3378" s="14">
        <v>89</v>
      </c>
      <c r="G3378" s="14">
        <v>60</v>
      </c>
      <c r="H3378" s="14" t="s">
        <v>1400</v>
      </c>
      <c r="I3378" s="14" t="s">
        <v>75</v>
      </c>
      <c r="J3378" s="14" t="s">
        <v>201</v>
      </c>
      <c r="K3378" s="14">
        <v>1</v>
      </c>
      <c r="L3378" s="14" t="s">
        <v>1400</v>
      </c>
      <c r="N3378" s="14">
        <v>0</v>
      </c>
      <c r="O3378" s="14" t="b">
        <v>1</v>
      </c>
      <c r="Q3378" s="14" t="b">
        <v>0</v>
      </c>
      <c r="R3378" s="14">
        <v>1</v>
      </c>
      <c r="S3378" s="14" t="s">
        <v>77</v>
      </c>
      <c r="T3378" s="14">
        <v>999</v>
      </c>
      <c r="U3378" s="14" t="s">
        <v>1401</v>
      </c>
      <c r="V3378" s="14">
        <v>31937089</v>
      </c>
      <c r="X3378" s="14" t="s">
        <v>6393</v>
      </c>
      <c r="Y3378" s="14" t="s">
        <v>215</v>
      </c>
      <c r="Z3378" s="14">
        <v>22141</v>
      </c>
      <c r="AA3378" s="14" t="s">
        <v>6394</v>
      </c>
      <c r="AB3378" s="14">
        <v>40001</v>
      </c>
      <c r="AE3378" s="14" t="s">
        <v>1400</v>
      </c>
      <c r="AF3378" s="14" t="s">
        <v>1400</v>
      </c>
      <c r="AG3378" s="14" t="s">
        <v>101</v>
      </c>
    </row>
    <row r="3379" spans="2:33">
      <c r="B3379" s="14">
        <f>10000000+INDEX(编号表!$B:$B,MATCH(H3379,编号表!$A:$A,0))*100000+INDEX(编号表!$F:$F,MATCH(D3379,编号表!$E:$E,0))*10000+INDEX(编号表!$D:$D,MATCH(AG3379,编号表!$C:$C,0))*1000+F3379</f>
        <v>11947090</v>
      </c>
      <c r="C3379" s="14" t="s">
        <v>6390</v>
      </c>
      <c r="D3379" s="14" t="s">
        <v>104</v>
      </c>
      <c r="E3379" s="14" t="s">
        <v>101</v>
      </c>
      <c r="F3379" s="14">
        <v>90</v>
      </c>
      <c r="G3379" s="14">
        <v>60</v>
      </c>
      <c r="H3379" s="14" t="s">
        <v>1400</v>
      </c>
      <c r="I3379" s="14" t="s">
        <v>75</v>
      </c>
      <c r="J3379" s="14" t="s">
        <v>201</v>
      </c>
      <c r="K3379" s="14">
        <v>1</v>
      </c>
      <c r="L3379" s="14" t="s">
        <v>1400</v>
      </c>
      <c r="N3379" s="14">
        <v>0</v>
      </c>
      <c r="O3379" s="14" t="b">
        <v>1</v>
      </c>
      <c r="Q3379" s="14" t="b">
        <v>0</v>
      </c>
      <c r="R3379" s="14">
        <v>1</v>
      </c>
      <c r="S3379" s="14" t="s">
        <v>77</v>
      </c>
      <c r="T3379" s="14">
        <v>999</v>
      </c>
      <c r="U3379" s="14" t="s">
        <v>1401</v>
      </c>
      <c r="V3379" s="14">
        <v>31947090</v>
      </c>
      <c r="X3379" s="14" t="s">
        <v>6395</v>
      </c>
      <c r="Y3379" s="14" t="s">
        <v>215</v>
      </c>
      <c r="Z3379" s="14">
        <v>22142</v>
      </c>
      <c r="AA3379" s="14" t="s">
        <v>6396</v>
      </c>
      <c r="AB3379" s="14">
        <v>40001</v>
      </c>
      <c r="AE3379" s="14" t="s">
        <v>1400</v>
      </c>
      <c r="AF3379" s="14" t="s">
        <v>1400</v>
      </c>
      <c r="AG3379" s="14" t="s">
        <v>101</v>
      </c>
    </row>
    <row r="3380" spans="2:33">
      <c r="B3380" s="14">
        <f>10000000+INDEX(编号表!$B:$B,MATCH(H3380,编号表!$A:$A,0))*100000+INDEX(编号表!$F:$F,MATCH(D3380,编号表!$E:$E,0))*10000+INDEX(编号表!$D:$D,MATCH(AG3380,编号表!$C:$C,0))*1000+F3380</f>
        <v>11927089</v>
      </c>
      <c r="C3380" s="14" t="s">
        <v>6397</v>
      </c>
      <c r="D3380" s="14" t="s">
        <v>112</v>
      </c>
      <c r="E3380" s="14" t="s">
        <v>101</v>
      </c>
      <c r="F3380" s="14">
        <v>89</v>
      </c>
      <c r="G3380" s="14">
        <v>60</v>
      </c>
      <c r="H3380" s="14" t="s">
        <v>1400</v>
      </c>
      <c r="I3380" s="14" t="s">
        <v>75</v>
      </c>
      <c r="J3380" s="14" t="s">
        <v>201</v>
      </c>
      <c r="K3380" s="14">
        <v>1</v>
      </c>
      <c r="L3380" s="14" t="s">
        <v>1400</v>
      </c>
      <c r="N3380" s="14">
        <v>0</v>
      </c>
      <c r="O3380" s="14" t="b">
        <v>1</v>
      </c>
      <c r="Q3380" s="14" t="b">
        <v>0</v>
      </c>
      <c r="R3380" s="14">
        <v>1</v>
      </c>
      <c r="S3380" s="14" t="s">
        <v>77</v>
      </c>
      <c r="T3380" s="14">
        <v>999</v>
      </c>
      <c r="U3380" s="14" t="s">
        <v>1401</v>
      </c>
      <c r="V3380" s="14">
        <v>31927089</v>
      </c>
      <c r="X3380" s="14" t="s">
        <v>6398</v>
      </c>
      <c r="Y3380" s="14" t="s">
        <v>215</v>
      </c>
      <c r="Z3380" s="14">
        <v>22143</v>
      </c>
      <c r="AA3380" s="14" t="s">
        <v>6399</v>
      </c>
      <c r="AB3380" s="14">
        <v>40001</v>
      </c>
      <c r="AE3380" s="14" t="s">
        <v>1400</v>
      </c>
      <c r="AF3380" s="14" t="s">
        <v>1400</v>
      </c>
      <c r="AG3380" s="14" t="s">
        <v>101</v>
      </c>
    </row>
    <row r="3381" spans="2:33">
      <c r="B3381" s="14">
        <f>10000000+INDEX(编号表!$B:$B,MATCH(H3381,编号表!$A:$A,0))*100000+INDEX(编号表!$F:$F,MATCH(D3381,编号表!$E:$E,0))*10000+INDEX(编号表!$D:$D,MATCH(AG3381,编号表!$C:$C,0))*1000+F3381</f>
        <v>11937090</v>
      </c>
      <c r="C3381" s="14" t="s">
        <v>6397</v>
      </c>
      <c r="D3381" s="14" t="s">
        <v>276</v>
      </c>
      <c r="E3381" s="14" t="s">
        <v>101</v>
      </c>
      <c r="F3381" s="14">
        <v>90</v>
      </c>
      <c r="G3381" s="14">
        <v>60</v>
      </c>
      <c r="H3381" s="14" t="s">
        <v>1400</v>
      </c>
      <c r="I3381" s="14" t="s">
        <v>75</v>
      </c>
      <c r="J3381" s="14" t="s">
        <v>201</v>
      </c>
      <c r="K3381" s="14">
        <v>1</v>
      </c>
      <c r="L3381" s="14" t="s">
        <v>1400</v>
      </c>
      <c r="N3381" s="14">
        <v>0</v>
      </c>
      <c r="O3381" s="14" t="b">
        <v>1</v>
      </c>
      <c r="Q3381" s="14" t="b">
        <v>0</v>
      </c>
      <c r="R3381" s="14">
        <v>1</v>
      </c>
      <c r="S3381" s="14" t="s">
        <v>77</v>
      </c>
      <c r="T3381" s="14">
        <v>999</v>
      </c>
      <c r="U3381" s="14" t="s">
        <v>1401</v>
      </c>
      <c r="V3381" s="14">
        <v>31937090</v>
      </c>
      <c r="X3381" s="14" t="s">
        <v>6400</v>
      </c>
      <c r="Y3381" s="14" t="s">
        <v>215</v>
      </c>
      <c r="Z3381" s="14">
        <v>22144</v>
      </c>
      <c r="AA3381" s="14" t="s">
        <v>6401</v>
      </c>
      <c r="AB3381" s="14">
        <v>40001</v>
      </c>
      <c r="AE3381" s="14" t="s">
        <v>1400</v>
      </c>
      <c r="AF3381" s="14" t="s">
        <v>1400</v>
      </c>
      <c r="AG3381" s="14" t="s">
        <v>101</v>
      </c>
    </row>
    <row r="3382" spans="2:33">
      <c r="B3382" s="14">
        <f>10000000+INDEX(编号表!$B:$B,MATCH(H3382,编号表!$A:$A,0))*100000+INDEX(编号表!$F:$F,MATCH(D3382,编号表!$E:$E,0))*10000+INDEX(编号表!$D:$D,MATCH(AG3382,编号表!$C:$C,0))*1000+F3382</f>
        <v>11947091</v>
      </c>
      <c r="C3382" s="14" t="s">
        <v>6397</v>
      </c>
      <c r="D3382" s="14" t="s">
        <v>104</v>
      </c>
      <c r="E3382" s="14" t="s">
        <v>101</v>
      </c>
      <c r="F3382" s="14">
        <v>91</v>
      </c>
      <c r="G3382" s="14">
        <v>60</v>
      </c>
      <c r="H3382" s="14" t="s">
        <v>1400</v>
      </c>
      <c r="I3382" s="14" t="s">
        <v>75</v>
      </c>
      <c r="J3382" s="14" t="s">
        <v>201</v>
      </c>
      <c r="K3382" s="14">
        <v>1</v>
      </c>
      <c r="L3382" s="14" t="s">
        <v>1400</v>
      </c>
      <c r="N3382" s="14">
        <v>0</v>
      </c>
      <c r="O3382" s="14" t="b">
        <v>1</v>
      </c>
      <c r="Q3382" s="14" t="b">
        <v>0</v>
      </c>
      <c r="R3382" s="14">
        <v>1</v>
      </c>
      <c r="S3382" s="14" t="s">
        <v>77</v>
      </c>
      <c r="T3382" s="14">
        <v>999</v>
      </c>
      <c r="U3382" s="14" t="s">
        <v>1401</v>
      </c>
      <c r="V3382" s="14">
        <v>31947091</v>
      </c>
      <c r="X3382" s="14" t="s">
        <v>6402</v>
      </c>
      <c r="Y3382" s="14" t="s">
        <v>215</v>
      </c>
      <c r="Z3382" s="14">
        <v>22145</v>
      </c>
      <c r="AA3382" s="14" t="s">
        <v>6403</v>
      </c>
      <c r="AB3382" s="14">
        <v>40001</v>
      </c>
      <c r="AE3382" s="14" t="s">
        <v>1400</v>
      </c>
      <c r="AF3382" s="14" t="s">
        <v>1400</v>
      </c>
      <c r="AG3382" s="14" t="s">
        <v>101</v>
      </c>
    </row>
    <row r="3383" spans="2:33">
      <c r="B3383" s="14">
        <f>10000000+INDEX(编号表!$B:$B,MATCH(H3383,编号表!$A:$A,0))*100000+INDEX(编号表!$F:$F,MATCH(D3383,编号表!$E:$E,0))*10000+INDEX(编号表!$D:$D,MATCH(AG3383,编号表!$C:$C,0))*1000+F3383</f>
        <v>11927090</v>
      </c>
      <c r="C3383" s="14" t="s">
        <v>6404</v>
      </c>
      <c r="D3383" s="14" t="s">
        <v>112</v>
      </c>
      <c r="E3383" s="14" t="s">
        <v>101</v>
      </c>
      <c r="F3383" s="14">
        <v>90</v>
      </c>
      <c r="G3383" s="14">
        <v>60</v>
      </c>
      <c r="H3383" s="14" t="s">
        <v>1400</v>
      </c>
      <c r="I3383" s="14" t="s">
        <v>75</v>
      </c>
      <c r="J3383" s="14" t="s">
        <v>201</v>
      </c>
      <c r="K3383" s="14">
        <v>1</v>
      </c>
      <c r="L3383" s="14" t="s">
        <v>1400</v>
      </c>
      <c r="N3383" s="14">
        <v>0</v>
      </c>
      <c r="O3383" s="14" t="b">
        <v>1</v>
      </c>
      <c r="Q3383" s="14" t="b">
        <v>0</v>
      </c>
      <c r="R3383" s="14">
        <v>1</v>
      </c>
      <c r="S3383" s="14" t="s">
        <v>77</v>
      </c>
      <c r="T3383" s="14">
        <v>999</v>
      </c>
      <c r="U3383" s="14" t="s">
        <v>1401</v>
      </c>
      <c r="V3383" s="14">
        <v>31927090</v>
      </c>
      <c r="X3383" s="14" t="s">
        <v>6405</v>
      </c>
      <c r="Y3383" s="14" t="s">
        <v>215</v>
      </c>
      <c r="Z3383" s="14">
        <v>22146</v>
      </c>
      <c r="AA3383" s="14" t="s">
        <v>6406</v>
      </c>
      <c r="AB3383" s="14">
        <v>40001</v>
      </c>
      <c r="AE3383" s="14" t="s">
        <v>1400</v>
      </c>
      <c r="AF3383" s="14" t="s">
        <v>1400</v>
      </c>
      <c r="AG3383" s="14" t="s">
        <v>101</v>
      </c>
    </row>
    <row r="3384" spans="2:33">
      <c r="B3384" s="14">
        <f>10000000+INDEX(编号表!$B:$B,MATCH(H3384,编号表!$A:$A,0))*100000+INDEX(编号表!$F:$F,MATCH(D3384,编号表!$E:$E,0))*10000+INDEX(编号表!$D:$D,MATCH(AG3384,编号表!$C:$C,0))*1000+F3384</f>
        <v>11937091</v>
      </c>
      <c r="C3384" s="14" t="s">
        <v>6404</v>
      </c>
      <c r="D3384" s="14" t="s">
        <v>276</v>
      </c>
      <c r="E3384" s="14" t="s">
        <v>101</v>
      </c>
      <c r="F3384" s="14">
        <v>91</v>
      </c>
      <c r="G3384" s="14">
        <v>60</v>
      </c>
      <c r="H3384" s="14" t="s">
        <v>1400</v>
      </c>
      <c r="I3384" s="14" t="s">
        <v>75</v>
      </c>
      <c r="J3384" s="14" t="s">
        <v>201</v>
      </c>
      <c r="K3384" s="14">
        <v>1</v>
      </c>
      <c r="L3384" s="14" t="s">
        <v>1400</v>
      </c>
      <c r="N3384" s="14">
        <v>0</v>
      </c>
      <c r="O3384" s="14" t="b">
        <v>1</v>
      </c>
      <c r="Q3384" s="14" t="b">
        <v>0</v>
      </c>
      <c r="R3384" s="14">
        <v>1</v>
      </c>
      <c r="S3384" s="14" t="s">
        <v>77</v>
      </c>
      <c r="T3384" s="14">
        <v>999</v>
      </c>
      <c r="U3384" s="14" t="s">
        <v>1401</v>
      </c>
      <c r="V3384" s="14">
        <v>31937091</v>
      </c>
      <c r="X3384" s="14" t="s">
        <v>6407</v>
      </c>
      <c r="Y3384" s="14" t="s">
        <v>215</v>
      </c>
      <c r="Z3384" s="14">
        <v>22147</v>
      </c>
      <c r="AA3384" s="14" t="s">
        <v>6408</v>
      </c>
      <c r="AB3384" s="14">
        <v>40001</v>
      </c>
      <c r="AE3384" s="14" t="s">
        <v>1400</v>
      </c>
      <c r="AF3384" s="14" t="s">
        <v>1400</v>
      </c>
      <c r="AG3384" s="14" t="s">
        <v>101</v>
      </c>
    </row>
    <row r="3385" spans="2:33">
      <c r="B3385" s="14">
        <f>10000000+INDEX(编号表!$B:$B,MATCH(H3385,编号表!$A:$A,0))*100000+INDEX(编号表!$F:$F,MATCH(D3385,编号表!$E:$E,0))*10000+INDEX(编号表!$D:$D,MATCH(AG3385,编号表!$C:$C,0))*1000+F3385</f>
        <v>11947092</v>
      </c>
      <c r="C3385" s="14" t="s">
        <v>6404</v>
      </c>
      <c r="D3385" s="14" t="s">
        <v>104</v>
      </c>
      <c r="E3385" s="14" t="s">
        <v>101</v>
      </c>
      <c r="F3385" s="14">
        <v>92</v>
      </c>
      <c r="G3385" s="14">
        <v>60</v>
      </c>
      <c r="H3385" s="14" t="s">
        <v>1400</v>
      </c>
      <c r="I3385" s="14" t="s">
        <v>75</v>
      </c>
      <c r="J3385" s="14" t="s">
        <v>201</v>
      </c>
      <c r="K3385" s="14">
        <v>1</v>
      </c>
      <c r="L3385" s="14" t="s">
        <v>1400</v>
      </c>
      <c r="N3385" s="14">
        <v>0</v>
      </c>
      <c r="O3385" s="14" t="b">
        <v>1</v>
      </c>
      <c r="Q3385" s="14" t="b">
        <v>0</v>
      </c>
      <c r="R3385" s="14">
        <v>1</v>
      </c>
      <c r="S3385" s="14" t="s">
        <v>77</v>
      </c>
      <c r="T3385" s="14">
        <v>999</v>
      </c>
      <c r="U3385" s="14" t="s">
        <v>1401</v>
      </c>
      <c r="V3385" s="14">
        <v>31947092</v>
      </c>
      <c r="X3385" s="14" t="s">
        <v>6409</v>
      </c>
      <c r="Y3385" s="14" t="s">
        <v>215</v>
      </c>
      <c r="Z3385" s="14">
        <v>22148</v>
      </c>
      <c r="AA3385" s="14" t="s">
        <v>6410</v>
      </c>
      <c r="AB3385" s="14">
        <v>40001</v>
      </c>
      <c r="AE3385" s="14" t="s">
        <v>1400</v>
      </c>
      <c r="AF3385" s="14" t="s">
        <v>1400</v>
      </c>
      <c r="AG3385" s="14" t="s">
        <v>101</v>
      </c>
    </row>
    <row r="3386" spans="2:33">
      <c r="B3386" s="14">
        <f>10000000+INDEX(编号表!$B:$B,MATCH(H3386,编号表!$A:$A,0))*100000+INDEX(编号表!$F:$F,MATCH(D3386,编号表!$E:$E,0))*10000+INDEX(编号表!$D:$D,MATCH(AG3386,编号表!$C:$C,0))*1000+F3386</f>
        <v>11927091</v>
      </c>
      <c r="C3386" s="14" t="s">
        <v>6411</v>
      </c>
      <c r="D3386" s="14" t="s">
        <v>112</v>
      </c>
      <c r="E3386" s="14" t="s">
        <v>101</v>
      </c>
      <c r="F3386" s="14">
        <v>91</v>
      </c>
      <c r="G3386" s="14">
        <v>60</v>
      </c>
      <c r="H3386" s="14" t="s">
        <v>1400</v>
      </c>
      <c r="I3386" s="14" t="s">
        <v>75</v>
      </c>
      <c r="J3386" s="14" t="s">
        <v>201</v>
      </c>
      <c r="K3386" s="14">
        <v>1</v>
      </c>
      <c r="L3386" s="14" t="s">
        <v>1400</v>
      </c>
      <c r="N3386" s="14">
        <v>0</v>
      </c>
      <c r="O3386" s="14" t="b">
        <v>1</v>
      </c>
      <c r="Q3386" s="14" t="b">
        <v>0</v>
      </c>
      <c r="R3386" s="14">
        <v>1</v>
      </c>
      <c r="S3386" s="14" t="s">
        <v>77</v>
      </c>
      <c r="T3386" s="14">
        <v>999</v>
      </c>
      <c r="U3386" s="14" t="s">
        <v>1401</v>
      </c>
      <c r="V3386" s="14">
        <v>31927091</v>
      </c>
      <c r="X3386" s="14" t="s">
        <v>6412</v>
      </c>
      <c r="Y3386" s="14" t="s">
        <v>215</v>
      </c>
      <c r="Z3386" s="14">
        <v>22149</v>
      </c>
      <c r="AA3386" s="14" t="s">
        <v>6413</v>
      </c>
      <c r="AB3386" s="14">
        <v>40001</v>
      </c>
      <c r="AE3386" s="14" t="s">
        <v>1400</v>
      </c>
      <c r="AF3386" s="14" t="s">
        <v>1400</v>
      </c>
      <c r="AG3386" s="14" t="s">
        <v>101</v>
      </c>
    </row>
    <row r="3387" spans="2:33">
      <c r="B3387" s="14">
        <f>10000000+INDEX(编号表!$B:$B,MATCH(H3387,编号表!$A:$A,0))*100000+INDEX(编号表!$F:$F,MATCH(D3387,编号表!$E:$E,0))*10000+INDEX(编号表!$D:$D,MATCH(AG3387,编号表!$C:$C,0))*1000+F3387</f>
        <v>11937092</v>
      </c>
      <c r="C3387" s="14" t="s">
        <v>6411</v>
      </c>
      <c r="D3387" s="14" t="s">
        <v>276</v>
      </c>
      <c r="E3387" s="14" t="s">
        <v>101</v>
      </c>
      <c r="F3387" s="14">
        <v>92</v>
      </c>
      <c r="G3387" s="14">
        <v>60</v>
      </c>
      <c r="H3387" s="14" t="s">
        <v>1400</v>
      </c>
      <c r="I3387" s="14" t="s">
        <v>75</v>
      </c>
      <c r="J3387" s="14" t="s">
        <v>201</v>
      </c>
      <c r="K3387" s="14">
        <v>1</v>
      </c>
      <c r="L3387" s="14" t="s">
        <v>1400</v>
      </c>
      <c r="N3387" s="14">
        <v>0</v>
      </c>
      <c r="O3387" s="14" t="b">
        <v>1</v>
      </c>
      <c r="Q3387" s="14" t="b">
        <v>0</v>
      </c>
      <c r="R3387" s="14">
        <v>1</v>
      </c>
      <c r="S3387" s="14" t="s">
        <v>77</v>
      </c>
      <c r="T3387" s="14">
        <v>999</v>
      </c>
      <c r="U3387" s="14" t="s">
        <v>1401</v>
      </c>
      <c r="V3387" s="14">
        <v>31937092</v>
      </c>
      <c r="X3387" s="14" t="s">
        <v>6414</v>
      </c>
      <c r="Y3387" s="14" t="s">
        <v>215</v>
      </c>
      <c r="Z3387" s="14">
        <v>22150</v>
      </c>
      <c r="AA3387" s="14" t="s">
        <v>6415</v>
      </c>
      <c r="AB3387" s="14">
        <v>40001</v>
      </c>
      <c r="AE3387" s="14" t="s">
        <v>1400</v>
      </c>
      <c r="AF3387" s="14" t="s">
        <v>1400</v>
      </c>
      <c r="AG3387" s="14" t="s">
        <v>101</v>
      </c>
    </row>
    <row r="3388" spans="2:33">
      <c r="B3388" s="14">
        <f>10000000+INDEX(编号表!$B:$B,MATCH(H3388,编号表!$A:$A,0))*100000+INDEX(编号表!$F:$F,MATCH(D3388,编号表!$E:$E,0))*10000+INDEX(编号表!$D:$D,MATCH(AG3388,编号表!$C:$C,0))*1000+F3388</f>
        <v>11947093</v>
      </c>
      <c r="C3388" s="14" t="s">
        <v>6411</v>
      </c>
      <c r="D3388" s="14" t="s">
        <v>104</v>
      </c>
      <c r="E3388" s="14" t="s">
        <v>101</v>
      </c>
      <c r="F3388" s="14">
        <v>93</v>
      </c>
      <c r="G3388" s="14">
        <v>60</v>
      </c>
      <c r="H3388" s="14" t="s">
        <v>1400</v>
      </c>
      <c r="I3388" s="14" t="s">
        <v>75</v>
      </c>
      <c r="J3388" s="14" t="s">
        <v>201</v>
      </c>
      <c r="K3388" s="14">
        <v>1</v>
      </c>
      <c r="L3388" s="14" t="s">
        <v>1400</v>
      </c>
      <c r="N3388" s="14">
        <v>0</v>
      </c>
      <c r="O3388" s="14" t="b">
        <v>1</v>
      </c>
      <c r="Q3388" s="14" t="b">
        <v>0</v>
      </c>
      <c r="R3388" s="14">
        <v>1</v>
      </c>
      <c r="S3388" s="14" t="s">
        <v>77</v>
      </c>
      <c r="T3388" s="14">
        <v>999</v>
      </c>
      <c r="U3388" s="14" t="s">
        <v>1401</v>
      </c>
      <c r="V3388" s="14">
        <v>31947093</v>
      </c>
      <c r="X3388" s="14" t="s">
        <v>6416</v>
      </c>
      <c r="Y3388" s="14" t="s">
        <v>215</v>
      </c>
      <c r="Z3388" s="14">
        <v>22151</v>
      </c>
      <c r="AA3388" s="14" t="s">
        <v>6417</v>
      </c>
      <c r="AB3388" s="14">
        <v>40001</v>
      </c>
      <c r="AE3388" s="14" t="s">
        <v>1400</v>
      </c>
      <c r="AF3388" s="14" t="s">
        <v>1400</v>
      </c>
      <c r="AG3388" s="14" t="s">
        <v>101</v>
      </c>
    </row>
    <row r="3389" spans="2:33">
      <c r="B3389" s="14">
        <f>10000000+INDEX(编号表!$B:$B,MATCH(H3389,编号表!$A:$A,0))*100000+INDEX(编号表!$F:$F,MATCH(D3389,编号表!$E:$E,0))*10000+INDEX(编号表!$D:$D,MATCH(AG3389,编号表!$C:$C,0))*1000+F3389</f>
        <v>11927092</v>
      </c>
      <c r="C3389" s="14" t="s">
        <v>6418</v>
      </c>
      <c r="D3389" s="14" t="s">
        <v>112</v>
      </c>
      <c r="E3389" s="14" t="s">
        <v>101</v>
      </c>
      <c r="F3389" s="14">
        <v>92</v>
      </c>
      <c r="G3389" s="14">
        <v>60</v>
      </c>
      <c r="H3389" s="14" t="s">
        <v>1400</v>
      </c>
      <c r="I3389" s="14" t="s">
        <v>75</v>
      </c>
      <c r="J3389" s="14" t="s">
        <v>201</v>
      </c>
      <c r="K3389" s="14">
        <v>1</v>
      </c>
      <c r="L3389" s="14" t="s">
        <v>1400</v>
      </c>
      <c r="N3389" s="14">
        <v>0</v>
      </c>
      <c r="O3389" s="14" t="b">
        <v>1</v>
      </c>
      <c r="Q3389" s="14" t="b">
        <v>0</v>
      </c>
      <c r="R3389" s="14">
        <v>1</v>
      </c>
      <c r="S3389" s="14" t="s">
        <v>77</v>
      </c>
      <c r="T3389" s="14">
        <v>999</v>
      </c>
      <c r="U3389" s="14" t="s">
        <v>1401</v>
      </c>
      <c r="V3389" s="14">
        <v>31927092</v>
      </c>
      <c r="X3389" s="14" t="s">
        <v>6419</v>
      </c>
      <c r="Y3389" s="14" t="s">
        <v>215</v>
      </c>
      <c r="Z3389" s="14">
        <v>22152</v>
      </c>
      <c r="AA3389" s="14" t="s">
        <v>6420</v>
      </c>
      <c r="AB3389" s="14">
        <v>40001</v>
      </c>
      <c r="AE3389" s="14" t="s">
        <v>1400</v>
      </c>
      <c r="AF3389" s="14" t="s">
        <v>1400</v>
      </c>
      <c r="AG3389" s="14" t="s">
        <v>101</v>
      </c>
    </row>
    <row r="3390" spans="2:33">
      <c r="B3390" s="14">
        <f>10000000+INDEX(编号表!$B:$B,MATCH(H3390,编号表!$A:$A,0))*100000+INDEX(编号表!$F:$F,MATCH(D3390,编号表!$E:$E,0))*10000+INDEX(编号表!$D:$D,MATCH(AG3390,编号表!$C:$C,0))*1000+F3390</f>
        <v>11937093</v>
      </c>
      <c r="C3390" s="14" t="s">
        <v>6418</v>
      </c>
      <c r="D3390" s="14" t="s">
        <v>276</v>
      </c>
      <c r="E3390" s="14" t="s">
        <v>101</v>
      </c>
      <c r="F3390" s="14">
        <v>93</v>
      </c>
      <c r="G3390" s="14">
        <v>60</v>
      </c>
      <c r="H3390" s="14" t="s">
        <v>1400</v>
      </c>
      <c r="I3390" s="14" t="s">
        <v>75</v>
      </c>
      <c r="J3390" s="14" t="s">
        <v>201</v>
      </c>
      <c r="K3390" s="14">
        <v>1</v>
      </c>
      <c r="L3390" s="14" t="s">
        <v>1400</v>
      </c>
      <c r="N3390" s="14">
        <v>0</v>
      </c>
      <c r="O3390" s="14" t="b">
        <v>1</v>
      </c>
      <c r="Q3390" s="14" t="b">
        <v>0</v>
      </c>
      <c r="R3390" s="14">
        <v>1</v>
      </c>
      <c r="S3390" s="14" t="s">
        <v>77</v>
      </c>
      <c r="T3390" s="14">
        <v>999</v>
      </c>
      <c r="U3390" s="14" t="s">
        <v>1401</v>
      </c>
      <c r="V3390" s="14">
        <v>31937093</v>
      </c>
      <c r="X3390" s="14" t="s">
        <v>6421</v>
      </c>
      <c r="Y3390" s="14" t="s">
        <v>215</v>
      </c>
      <c r="Z3390" s="14">
        <v>22153</v>
      </c>
      <c r="AA3390" s="14" t="s">
        <v>6422</v>
      </c>
      <c r="AB3390" s="14">
        <v>40001</v>
      </c>
      <c r="AE3390" s="14" t="s">
        <v>1400</v>
      </c>
      <c r="AF3390" s="14" t="s">
        <v>1400</v>
      </c>
      <c r="AG3390" s="14" t="s">
        <v>101</v>
      </c>
    </row>
    <row r="3391" spans="2:33">
      <c r="B3391" s="14">
        <f>10000000+INDEX(编号表!$B:$B,MATCH(H3391,编号表!$A:$A,0))*100000+INDEX(编号表!$F:$F,MATCH(D3391,编号表!$E:$E,0))*10000+INDEX(编号表!$D:$D,MATCH(AG3391,编号表!$C:$C,0))*1000+F3391</f>
        <v>11947094</v>
      </c>
      <c r="C3391" s="14" t="s">
        <v>6418</v>
      </c>
      <c r="D3391" s="14" t="s">
        <v>104</v>
      </c>
      <c r="E3391" s="14" t="s">
        <v>101</v>
      </c>
      <c r="F3391" s="14">
        <v>94</v>
      </c>
      <c r="G3391" s="14">
        <v>60</v>
      </c>
      <c r="H3391" s="14" t="s">
        <v>1400</v>
      </c>
      <c r="I3391" s="14" t="s">
        <v>75</v>
      </c>
      <c r="J3391" s="14" t="s">
        <v>201</v>
      </c>
      <c r="K3391" s="14">
        <v>1</v>
      </c>
      <c r="L3391" s="14" t="s">
        <v>1400</v>
      </c>
      <c r="N3391" s="14">
        <v>0</v>
      </c>
      <c r="O3391" s="14" t="b">
        <v>1</v>
      </c>
      <c r="Q3391" s="14" t="b">
        <v>0</v>
      </c>
      <c r="R3391" s="14">
        <v>1</v>
      </c>
      <c r="S3391" s="14" t="s">
        <v>77</v>
      </c>
      <c r="T3391" s="14">
        <v>999</v>
      </c>
      <c r="U3391" s="14" t="s">
        <v>1401</v>
      </c>
      <c r="V3391" s="14">
        <v>31947094</v>
      </c>
      <c r="X3391" s="14" t="s">
        <v>6423</v>
      </c>
      <c r="Y3391" s="14" t="s">
        <v>215</v>
      </c>
      <c r="Z3391" s="14">
        <v>22154</v>
      </c>
      <c r="AA3391" s="14" t="s">
        <v>6424</v>
      </c>
      <c r="AB3391" s="14">
        <v>40001</v>
      </c>
      <c r="AE3391" s="14" t="s">
        <v>1400</v>
      </c>
      <c r="AF3391" s="14" t="s">
        <v>1400</v>
      </c>
      <c r="AG3391" s="14" t="s">
        <v>101</v>
      </c>
    </row>
    <row r="3392" spans="2:33">
      <c r="B3392" s="14">
        <f>10000000+INDEX(编号表!$B:$B,MATCH(H3392,编号表!$A:$A,0))*100000+INDEX(编号表!$F:$F,MATCH(D3392,编号表!$E:$E,0))*10000+INDEX(编号表!$D:$D,MATCH(AG3392,编号表!$C:$C,0))*1000+F3392</f>
        <v>11927093</v>
      </c>
      <c r="C3392" s="14" t="s">
        <v>6425</v>
      </c>
      <c r="D3392" s="14" t="s">
        <v>112</v>
      </c>
      <c r="E3392" s="14" t="s">
        <v>101</v>
      </c>
      <c r="F3392" s="14">
        <v>93</v>
      </c>
      <c r="G3392" s="14">
        <v>60</v>
      </c>
      <c r="H3392" s="14" t="s">
        <v>1400</v>
      </c>
      <c r="I3392" s="14" t="s">
        <v>75</v>
      </c>
      <c r="J3392" s="14" t="s">
        <v>201</v>
      </c>
      <c r="K3392" s="14">
        <v>1</v>
      </c>
      <c r="L3392" s="14" t="s">
        <v>1400</v>
      </c>
      <c r="N3392" s="14">
        <v>0</v>
      </c>
      <c r="O3392" s="14" t="b">
        <v>1</v>
      </c>
      <c r="Q3392" s="14" t="b">
        <v>0</v>
      </c>
      <c r="R3392" s="14">
        <v>1</v>
      </c>
      <c r="S3392" s="14" t="s">
        <v>77</v>
      </c>
      <c r="T3392" s="14">
        <v>999</v>
      </c>
      <c r="U3392" s="14" t="s">
        <v>1401</v>
      </c>
      <c r="V3392" s="14">
        <v>31927093</v>
      </c>
      <c r="X3392" s="14" t="s">
        <v>6426</v>
      </c>
      <c r="Y3392" s="14" t="s">
        <v>215</v>
      </c>
      <c r="Z3392" s="14">
        <v>22155</v>
      </c>
      <c r="AA3392" s="14" t="s">
        <v>6427</v>
      </c>
      <c r="AB3392" s="14">
        <v>40001</v>
      </c>
      <c r="AE3392" s="14" t="s">
        <v>1400</v>
      </c>
      <c r="AF3392" s="14" t="s">
        <v>1400</v>
      </c>
      <c r="AG3392" s="14" t="s">
        <v>101</v>
      </c>
    </row>
    <row r="3393" spans="2:33">
      <c r="B3393" s="14">
        <f>10000000+INDEX(编号表!$B:$B,MATCH(H3393,编号表!$A:$A,0))*100000+INDEX(编号表!$F:$F,MATCH(D3393,编号表!$E:$E,0))*10000+INDEX(编号表!$D:$D,MATCH(AG3393,编号表!$C:$C,0))*1000+F3393</f>
        <v>11937094</v>
      </c>
      <c r="C3393" s="14" t="s">
        <v>6425</v>
      </c>
      <c r="D3393" s="14" t="s">
        <v>276</v>
      </c>
      <c r="E3393" s="14" t="s">
        <v>101</v>
      </c>
      <c r="F3393" s="14">
        <v>94</v>
      </c>
      <c r="G3393" s="14">
        <v>60</v>
      </c>
      <c r="H3393" s="14" t="s">
        <v>1400</v>
      </c>
      <c r="I3393" s="14" t="s">
        <v>75</v>
      </c>
      <c r="J3393" s="14" t="s">
        <v>201</v>
      </c>
      <c r="K3393" s="14">
        <v>1</v>
      </c>
      <c r="L3393" s="14" t="s">
        <v>1400</v>
      </c>
      <c r="N3393" s="14">
        <v>0</v>
      </c>
      <c r="O3393" s="14" t="b">
        <v>1</v>
      </c>
      <c r="Q3393" s="14" t="b">
        <v>0</v>
      </c>
      <c r="R3393" s="14">
        <v>1</v>
      </c>
      <c r="S3393" s="14" t="s">
        <v>77</v>
      </c>
      <c r="T3393" s="14">
        <v>999</v>
      </c>
      <c r="U3393" s="14" t="s">
        <v>1401</v>
      </c>
      <c r="V3393" s="14">
        <v>31937094</v>
      </c>
      <c r="X3393" s="14" t="s">
        <v>6428</v>
      </c>
      <c r="Y3393" s="14" t="s">
        <v>215</v>
      </c>
      <c r="Z3393" s="14">
        <v>22156</v>
      </c>
      <c r="AA3393" s="14" t="s">
        <v>6429</v>
      </c>
      <c r="AB3393" s="14">
        <v>40001</v>
      </c>
      <c r="AE3393" s="14" t="s">
        <v>1400</v>
      </c>
      <c r="AF3393" s="14" t="s">
        <v>1400</v>
      </c>
      <c r="AG3393" s="14" t="s">
        <v>101</v>
      </c>
    </row>
    <row r="3394" spans="2:33">
      <c r="B3394" s="14">
        <f>10000000+INDEX(编号表!$B:$B,MATCH(H3394,编号表!$A:$A,0))*100000+INDEX(编号表!$F:$F,MATCH(D3394,编号表!$E:$E,0))*10000+INDEX(编号表!$D:$D,MATCH(AG3394,编号表!$C:$C,0))*1000+F3394</f>
        <v>11947095</v>
      </c>
      <c r="C3394" s="14" t="s">
        <v>6425</v>
      </c>
      <c r="D3394" s="14" t="s">
        <v>104</v>
      </c>
      <c r="E3394" s="14" t="s">
        <v>101</v>
      </c>
      <c r="F3394" s="14">
        <v>95</v>
      </c>
      <c r="G3394" s="14">
        <v>60</v>
      </c>
      <c r="H3394" s="14" t="s">
        <v>1400</v>
      </c>
      <c r="I3394" s="14" t="s">
        <v>75</v>
      </c>
      <c r="J3394" s="14" t="s">
        <v>201</v>
      </c>
      <c r="K3394" s="14">
        <v>1</v>
      </c>
      <c r="L3394" s="14" t="s">
        <v>1400</v>
      </c>
      <c r="N3394" s="14">
        <v>0</v>
      </c>
      <c r="O3394" s="14" t="b">
        <v>1</v>
      </c>
      <c r="Q3394" s="14" t="b">
        <v>0</v>
      </c>
      <c r="R3394" s="14">
        <v>1</v>
      </c>
      <c r="S3394" s="14" t="s">
        <v>77</v>
      </c>
      <c r="T3394" s="14">
        <v>999</v>
      </c>
      <c r="U3394" s="14" t="s">
        <v>1401</v>
      </c>
      <c r="V3394" s="14">
        <v>31947095</v>
      </c>
      <c r="X3394" s="14" t="s">
        <v>6430</v>
      </c>
      <c r="Y3394" s="14" t="s">
        <v>215</v>
      </c>
      <c r="Z3394" s="14">
        <v>22157</v>
      </c>
      <c r="AA3394" s="14" t="s">
        <v>6431</v>
      </c>
      <c r="AB3394" s="14">
        <v>40001</v>
      </c>
      <c r="AE3394" s="14" t="s">
        <v>1400</v>
      </c>
      <c r="AF3394" s="14" t="s">
        <v>1400</v>
      </c>
      <c r="AG3394" s="14" t="s">
        <v>101</v>
      </c>
    </row>
    <row r="3395" spans="2:33">
      <c r="B3395" s="14">
        <f>10000000+INDEX(编号表!$B:$B,MATCH(H3395,编号表!$A:$A,0))*100000+INDEX(编号表!$F:$F,MATCH(D3395,编号表!$E:$E,0))*10000+INDEX(编号表!$D:$D,MATCH(AG3395,编号表!$C:$C,0))*1000+F3395</f>
        <v>11927094</v>
      </c>
      <c r="C3395" s="14" t="s">
        <v>6432</v>
      </c>
      <c r="D3395" s="14" t="s">
        <v>112</v>
      </c>
      <c r="E3395" s="14" t="s">
        <v>101</v>
      </c>
      <c r="F3395" s="14">
        <v>94</v>
      </c>
      <c r="G3395" s="14">
        <v>60</v>
      </c>
      <c r="H3395" s="14" t="s">
        <v>1400</v>
      </c>
      <c r="I3395" s="14" t="s">
        <v>75</v>
      </c>
      <c r="J3395" s="14" t="s">
        <v>201</v>
      </c>
      <c r="K3395" s="14">
        <v>1</v>
      </c>
      <c r="L3395" s="14" t="s">
        <v>1400</v>
      </c>
      <c r="N3395" s="14">
        <v>0</v>
      </c>
      <c r="O3395" s="14" t="b">
        <v>1</v>
      </c>
      <c r="Q3395" s="14" t="b">
        <v>0</v>
      </c>
      <c r="R3395" s="14">
        <v>1</v>
      </c>
      <c r="S3395" s="14" t="s">
        <v>77</v>
      </c>
      <c r="T3395" s="14">
        <v>999</v>
      </c>
      <c r="U3395" s="14" t="s">
        <v>1401</v>
      </c>
      <c r="V3395" s="14">
        <v>31927094</v>
      </c>
      <c r="X3395" s="14" t="s">
        <v>6433</v>
      </c>
      <c r="Y3395" s="14" t="s">
        <v>215</v>
      </c>
      <c r="Z3395" s="14">
        <v>22158</v>
      </c>
      <c r="AA3395" s="14" t="s">
        <v>6434</v>
      </c>
      <c r="AB3395" s="14">
        <v>40001</v>
      </c>
      <c r="AE3395" s="14" t="s">
        <v>1400</v>
      </c>
      <c r="AF3395" s="14" t="s">
        <v>1400</v>
      </c>
      <c r="AG3395" s="14" t="s">
        <v>101</v>
      </c>
    </row>
    <row r="3396" spans="2:33">
      <c r="B3396" s="14">
        <f>10000000+INDEX(编号表!$B:$B,MATCH(H3396,编号表!$A:$A,0))*100000+INDEX(编号表!$F:$F,MATCH(D3396,编号表!$E:$E,0))*10000+INDEX(编号表!$D:$D,MATCH(AG3396,编号表!$C:$C,0))*1000+F3396</f>
        <v>11937095</v>
      </c>
      <c r="C3396" s="14" t="s">
        <v>6432</v>
      </c>
      <c r="D3396" s="14" t="s">
        <v>276</v>
      </c>
      <c r="E3396" s="14" t="s">
        <v>101</v>
      </c>
      <c r="F3396" s="14">
        <v>95</v>
      </c>
      <c r="G3396" s="14">
        <v>60</v>
      </c>
      <c r="H3396" s="14" t="s">
        <v>1400</v>
      </c>
      <c r="I3396" s="14" t="s">
        <v>75</v>
      </c>
      <c r="J3396" s="14" t="s">
        <v>201</v>
      </c>
      <c r="K3396" s="14">
        <v>1</v>
      </c>
      <c r="L3396" s="14" t="s">
        <v>1400</v>
      </c>
      <c r="N3396" s="14">
        <v>0</v>
      </c>
      <c r="O3396" s="14" t="b">
        <v>1</v>
      </c>
      <c r="Q3396" s="14" t="b">
        <v>0</v>
      </c>
      <c r="R3396" s="14">
        <v>1</v>
      </c>
      <c r="S3396" s="14" t="s">
        <v>77</v>
      </c>
      <c r="T3396" s="14">
        <v>999</v>
      </c>
      <c r="U3396" s="14" t="s">
        <v>1401</v>
      </c>
      <c r="V3396" s="14">
        <v>31937095</v>
      </c>
      <c r="X3396" s="14" t="s">
        <v>6435</v>
      </c>
      <c r="Y3396" s="14" t="s">
        <v>215</v>
      </c>
      <c r="Z3396" s="14">
        <v>22159</v>
      </c>
      <c r="AA3396" s="14" t="s">
        <v>6436</v>
      </c>
      <c r="AB3396" s="14">
        <v>40001</v>
      </c>
      <c r="AE3396" s="14" t="s">
        <v>1400</v>
      </c>
      <c r="AF3396" s="14" t="s">
        <v>1400</v>
      </c>
      <c r="AG3396" s="14" t="s">
        <v>101</v>
      </c>
    </row>
    <row r="3397" spans="2:33">
      <c r="B3397" s="14">
        <f>10000000+INDEX(编号表!$B:$B,MATCH(H3397,编号表!$A:$A,0))*100000+INDEX(编号表!$F:$F,MATCH(D3397,编号表!$E:$E,0))*10000+INDEX(编号表!$D:$D,MATCH(AG3397,编号表!$C:$C,0))*1000+F3397</f>
        <v>11947096</v>
      </c>
      <c r="C3397" s="14" t="s">
        <v>6432</v>
      </c>
      <c r="D3397" s="14" t="s">
        <v>104</v>
      </c>
      <c r="E3397" s="14" t="s">
        <v>101</v>
      </c>
      <c r="F3397" s="14">
        <v>96</v>
      </c>
      <c r="G3397" s="14">
        <v>60</v>
      </c>
      <c r="H3397" s="14" t="s">
        <v>1400</v>
      </c>
      <c r="I3397" s="14" t="s">
        <v>75</v>
      </c>
      <c r="J3397" s="14" t="s">
        <v>201</v>
      </c>
      <c r="K3397" s="14">
        <v>1</v>
      </c>
      <c r="L3397" s="14" t="s">
        <v>1400</v>
      </c>
      <c r="N3397" s="14">
        <v>0</v>
      </c>
      <c r="O3397" s="14" t="b">
        <v>1</v>
      </c>
      <c r="Q3397" s="14" t="b">
        <v>0</v>
      </c>
      <c r="R3397" s="14">
        <v>1</v>
      </c>
      <c r="S3397" s="14" t="s">
        <v>77</v>
      </c>
      <c r="T3397" s="14">
        <v>999</v>
      </c>
      <c r="U3397" s="14" t="s">
        <v>1401</v>
      </c>
      <c r="V3397" s="14">
        <v>31947096</v>
      </c>
      <c r="X3397" s="14" t="s">
        <v>6437</v>
      </c>
      <c r="Y3397" s="14" t="s">
        <v>215</v>
      </c>
      <c r="Z3397" s="14">
        <v>22160</v>
      </c>
      <c r="AA3397" s="14" t="s">
        <v>6438</v>
      </c>
      <c r="AB3397" s="14">
        <v>40001</v>
      </c>
      <c r="AE3397" s="14" t="s">
        <v>1400</v>
      </c>
      <c r="AF3397" s="14" t="s">
        <v>1400</v>
      </c>
      <c r="AG3397" s="14" t="s">
        <v>101</v>
      </c>
    </row>
    <row r="3398" spans="2:33">
      <c r="B3398" s="14">
        <f>10000000+INDEX(编号表!$B:$B,MATCH(H3398,编号表!$A:$A,0))*100000+INDEX(编号表!$F:$F,MATCH(D3398,编号表!$E:$E,0))*10000+INDEX(编号表!$D:$D,MATCH(AG3398,编号表!$C:$C,0))*1000+F3398</f>
        <v>11927095</v>
      </c>
      <c r="C3398" s="14" t="s">
        <v>6439</v>
      </c>
      <c r="D3398" s="14" t="s">
        <v>112</v>
      </c>
      <c r="E3398" s="14" t="s">
        <v>101</v>
      </c>
      <c r="F3398" s="14">
        <v>95</v>
      </c>
      <c r="G3398" s="14">
        <v>60</v>
      </c>
      <c r="H3398" s="14" t="s">
        <v>1400</v>
      </c>
      <c r="I3398" s="14" t="s">
        <v>75</v>
      </c>
      <c r="J3398" s="14" t="s">
        <v>201</v>
      </c>
      <c r="K3398" s="14">
        <v>1</v>
      </c>
      <c r="L3398" s="14" t="s">
        <v>1400</v>
      </c>
      <c r="N3398" s="14">
        <v>0</v>
      </c>
      <c r="O3398" s="14" t="b">
        <v>1</v>
      </c>
      <c r="Q3398" s="14" t="b">
        <v>0</v>
      </c>
      <c r="R3398" s="14">
        <v>1</v>
      </c>
      <c r="S3398" s="14" t="s">
        <v>77</v>
      </c>
      <c r="T3398" s="14">
        <v>999</v>
      </c>
      <c r="U3398" s="14" t="s">
        <v>1401</v>
      </c>
      <c r="V3398" s="14">
        <v>31927095</v>
      </c>
      <c r="X3398" s="14" t="s">
        <v>6440</v>
      </c>
      <c r="Y3398" s="14" t="s">
        <v>215</v>
      </c>
      <c r="Z3398" s="14">
        <v>22161</v>
      </c>
      <c r="AA3398" s="14" t="s">
        <v>6441</v>
      </c>
      <c r="AB3398" s="14">
        <v>40001</v>
      </c>
      <c r="AE3398" s="14" t="s">
        <v>1400</v>
      </c>
      <c r="AF3398" s="14" t="s">
        <v>1400</v>
      </c>
      <c r="AG3398" s="14" t="s">
        <v>101</v>
      </c>
    </row>
    <row r="3399" spans="2:33">
      <c r="B3399" s="14">
        <f>10000000+INDEX(编号表!$B:$B,MATCH(H3399,编号表!$A:$A,0))*100000+INDEX(编号表!$F:$F,MATCH(D3399,编号表!$E:$E,0))*10000+INDEX(编号表!$D:$D,MATCH(AG3399,编号表!$C:$C,0))*1000+F3399</f>
        <v>11937096</v>
      </c>
      <c r="C3399" s="14" t="s">
        <v>6439</v>
      </c>
      <c r="D3399" s="14" t="s">
        <v>276</v>
      </c>
      <c r="E3399" s="14" t="s">
        <v>101</v>
      </c>
      <c r="F3399" s="14">
        <v>96</v>
      </c>
      <c r="G3399" s="14">
        <v>60</v>
      </c>
      <c r="H3399" s="14" t="s">
        <v>1400</v>
      </c>
      <c r="I3399" s="14" t="s">
        <v>75</v>
      </c>
      <c r="J3399" s="14" t="s">
        <v>201</v>
      </c>
      <c r="K3399" s="14">
        <v>1</v>
      </c>
      <c r="L3399" s="14" t="s">
        <v>1400</v>
      </c>
      <c r="N3399" s="14">
        <v>0</v>
      </c>
      <c r="O3399" s="14" t="b">
        <v>1</v>
      </c>
      <c r="Q3399" s="14" t="b">
        <v>0</v>
      </c>
      <c r="R3399" s="14">
        <v>1</v>
      </c>
      <c r="S3399" s="14" t="s">
        <v>77</v>
      </c>
      <c r="T3399" s="14">
        <v>999</v>
      </c>
      <c r="U3399" s="14" t="s">
        <v>1401</v>
      </c>
      <c r="V3399" s="14">
        <v>31937096</v>
      </c>
      <c r="X3399" s="14" t="s">
        <v>6442</v>
      </c>
      <c r="Y3399" s="14" t="s">
        <v>215</v>
      </c>
      <c r="Z3399" s="14">
        <v>22162</v>
      </c>
      <c r="AA3399" s="14" t="s">
        <v>6443</v>
      </c>
      <c r="AB3399" s="14">
        <v>40001</v>
      </c>
      <c r="AE3399" s="14" t="s">
        <v>1400</v>
      </c>
      <c r="AF3399" s="14" t="s">
        <v>1400</v>
      </c>
      <c r="AG3399" s="14" t="s">
        <v>101</v>
      </c>
    </row>
    <row r="3400" spans="2:33">
      <c r="B3400" s="14">
        <f>10000000+INDEX(编号表!$B:$B,MATCH(H3400,编号表!$A:$A,0))*100000+INDEX(编号表!$F:$F,MATCH(D3400,编号表!$E:$E,0))*10000+INDEX(编号表!$D:$D,MATCH(AG3400,编号表!$C:$C,0))*1000+F3400</f>
        <v>11947097</v>
      </c>
      <c r="C3400" s="14" t="s">
        <v>6439</v>
      </c>
      <c r="D3400" s="14" t="s">
        <v>104</v>
      </c>
      <c r="E3400" s="14" t="s">
        <v>101</v>
      </c>
      <c r="F3400" s="14">
        <v>97</v>
      </c>
      <c r="G3400" s="14">
        <v>60</v>
      </c>
      <c r="H3400" s="14" t="s">
        <v>1400</v>
      </c>
      <c r="I3400" s="14" t="s">
        <v>75</v>
      </c>
      <c r="J3400" s="14" t="s">
        <v>201</v>
      </c>
      <c r="K3400" s="14">
        <v>1</v>
      </c>
      <c r="L3400" s="14" t="s">
        <v>1400</v>
      </c>
      <c r="N3400" s="14">
        <v>0</v>
      </c>
      <c r="O3400" s="14" t="b">
        <v>1</v>
      </c>
      <c r="Q3400" s="14" t="b">
        <v>0</v>
      </c>
      <c r="R3400" s="14">
        <v>1</v>
      </c>
      <c r="S3400" s="14" t="s">
        <v>77</v>
      </c>
      <c r="T3400" s="14">
        <v>999</v>
      </c>
      <c r="U3400" s="14" t="s">
        <v>1401</v>
      </c>
      <c r="V3400" s="14">
        <v>31947097</v>
      </c>
      <c r="X3400" s="14" t="s">
        <v>6444</v>
      </c>
      <c r="Y3400" s="14" t="s">
        <v>215</v>
      </c>
      <c r="Z3400" s="14">
        <v>22163</v>
      </c>
      <c r="AA3400" s="14" t="s">
        <v>6445</v>
      </c>
      <c r="AB3400" s="14">
        <v>40001</v>
      </c>
      <c r="AE3400" s="14" t="s">
        <v>1400</v>
      </c>
      <c r="AF3400" s="14" t="s">
        <v>1400</v>
      </c>
      <c r="AG3400" s="14" t="s">
        <v>101</v>
      </c>
    </row>
    <row r="3401" spans="2:33">
      <c r="B3401" s="14">
        <f>10000000+INDEX(编号表!$B:$B,MATCH(H3401,编号表!$A:$A,0))*100000+INDEX(编号表!$F:$F,MATCH(D3401,编号表!$E:$E,0))*10000+INDEX(编号表!$D:$D,MATCH(AG3401,编号表!$C:$C,0))*1000+F3401</f>
        <v>11927096</v>
      </c>
      <c r="C3401" s="14" t="s">
        <v>6446</v>
      </c>
      <c r="D3401" s="14" t="s">
        <v>112</v>
      </c>
      <c r="E3401" s="14" t="s">
        <v>101</v>
      </c>
      <c r="F3401" s="14">
        <v>96</v>
      </c>
      <c r="G3401" s="14">
        <v>60</v>
      </c>
      <c r="H3401" s="14" t="s">
        <v>1400</v>
      </c>
      <c r="I3401" s="14" t="s">
        <v>75</v>
      </c>
      <c r="J3401" s="14" t="s">
        <v>201</v>
      </c>
      <c r="K3401" s="14">
        <v>1</v>
      </c>
      <c r="L3401" s="14" t="s">
        <v>1400</v>
      </c>
      <c r="N3401" s="14">
        <v>0</v>
      </c>
      <c r="O3401" s="14" t="b">
        <v>1</v>
      </c>
      <c r="Q3401" s="14" t="b">
        <v>0</v>
      </c>
      <c r="R3401" s="14">
        <v>1</v>
      </c>
      <c r="S3401" s="14" t="s">
        <v>77</v>
      </c>
      <c r="T3401" s="14">
        <v>999</v>
      </c>
      <c r="U3401" s="14" t="s">
        <v>1401</v>
      </c>
      <c r="V3401" s="14">
        <v>31927096</v>
      </c>
      <c r="X3401" s="14" t="s">
        <v>6447</v>
      </c>
      <c r="Y3401" s="14" t="s">
        <v>215</v>
      </c>
      <c r="Z3401" s="14">
        <v>22164</v>
      </c>
      <c r="AA3401" s="14" t="s">
        <v>6448</v>
      </c>
      <c r="AB3401" s="14">
        <v>40001</v>
      </c>
      <c r="AE3401" s="14" t="s">
        <v>1400</v>
      </c>
      <c r="AF3401" s="14" t="s">
        <v>1400</v>
      </c>
      <c r="AG3401" s="14" t="s">
        <v>101</v>
      </c>
    </row>
    <row r="3402" spans="2:33">
      <c r="B3402" s="14">
        <f>10000000+INDEX(编号表!$B:$B,MATCH(H3402,编号表!$A:$A,0))*100000+INDEX(编号表!$F:$F,MATCH(D3402,编号表!$E:$E,0))*10000+INDEX(编号表!$D:$D,MATCH(AG3402,编号表!$C:$C,0))*1000+F3402</f>
        <v>11937097</v>
      </c>
      <c r="C3402" s="14" t="s">
        <v>6446</v>
      </c>
      <c r="D3402" s="14" t="s">
        <v>276</v>
      </c>
      <c r="E3402" s="14" t="s">
        <v>101</v>
      </c>
      <c r="F3402" s="14">
        <v>97</v>
      </c>
      <c r="G3402" s="14">
        <v>60</v>
      </c>
      <c r="H3402" s="14" t="s">
        <v>1400</v>
      </c>
      <c r="I3402" s="14" t="s">
        <v>75</v>
      </c>
      <c r="J3402" s="14" t="s">
        <v>201</v>
      </c>
      <c r="K3402" s="14">
        <v>1</v>
      </c>
      <c r="L3402" s="14" t="s">
        <v>1400</v>
      </c>
      <c r="N3402" s="14">
        <v>0</v>
      </c>
      <c r="O3402" s="14" t="b">
        <v>1</v>
      </c>
      <c r="Q3402" s="14" t="b">
        <v>0</v>
      </c>
      <c r="R3402" s="14">
        <v>1</v>
      </c>
      <c r="S3402" s="14" t="s">
        <v>77</v>
      </c>
      <c r="T3402" s="14">
        <v>999</v>
      </c>
      <c r="U3402" s="14" t="s">
        <v>1401</v>
      </c>
      <c r="V3402" s="14">
        <v>31937097</v>
      </c>
      <c r="X3402" s="14" t="s">
        <v>6449</v>
      </c>
      <c r="Y3402" s="14" t="s">
        <v>215</v>
      </c>
      <c r="Z3402" s="14">
        <v>22165</v>
      </c>
      <c r="AA3402" s="14" t="s">
        <v>6450</v>
      </c>
      <c r="AB3402" s="14">
        <v>40001</v>
      </c>
      <c r="AE3402" s="14" t="s">
        <v>1400</v>
      </c>
      <c r="AF3402" s="14" t="s">
        <v>1400</v>
      </c>
      <c r="AG3402" s="14" t="s">
        <v>101</v>
      </c>
    </row>
    <row r="3403" spans="2:33">
      <c r="B3403" s="14">
        <f>10000000+INDEX(编号表!$B:$B,MATCH(H3403,编号表!$A:$A,0))*100000+INDEX(编号表!$F:$F,MATCH(D3403,编号表!$E:$E,0))*10000+INDEX(编号表!$D:$D,MATCH(AG3403,编号表!$C:$C,0))*1000+F3403</f>
        <v>11947098</v>
      </c>
      <c r="C3403" s="14" t="s">
        <v>6446</v>
      </c>
      <c r="D3403" s="14" t="s">
        <v>104</v>
      </c>
      <c r="E3403" s="14" t="s">
        <v>101</v>
      </c>
      <c r="F3403" s="14">
        <v>98</v>
      </c>
      <c r="G3403" s="14">
        <v>60</v>
      </c>
      <c r="H3403" s="14" t="s">
        <v>1400</v>
      </c>
      <c r="I3403" s="14" t="s">
        <v>75</v>
      </c>
      <c r="J3403" s="14" t="s">
        <v>201</v>
      </c>
      <c r="K3403" s="14">
        <v>1</v>
      </c>
      <c r="L3403" s="14" t="s">
        <v>1400</v>
      </c>
      <c r="N3403" s="14">
        <v>0</v>
      </c>
      <c r="O3403" s="14" t="b">
        <v>1</v>
      </c>
      <c r="Q3403" s="14" t="b">
        <v>0</v>
      </c>
      <c r="R3403" s="14">
        <v>1</v>
      </c>
      <c r="S3403" s="14" t="s">
        <v>77</v>
      </c>
      <c r="T3403" s="14">
        <v>999</v>
      </c>
      <c r="U3403" s="14" t="s">
        <v>1401</v>
      </c>
      <c r="V3403" s="14">
        <v>31947098</v>
      </c>
      <c r="X3403" s="14" t="s">
        <v>6451</v>
      </c>
      <c r="Y3403" s="14" t="s">
        <v>215</v>
      </c>
      <c r="Z3403" s="14">
        <v>22166</v>
      </c>
      <c r="AA3403" s="14" t="s">
        <v>6452</v>
      </c>
      <c r="AB3403" s="14">
        <v>40001</v>
      </c>
      <c r="AE3403" s="14" t="s">
        <v>1400</v>
      </c>
      <c r="AF3403" s="14" t="s">
        <v>1400</v>
      </c>
      <c r="AG3403" s="14" t="s">
        <v>101</v>
      </c>
    </row>
    <row r="3404" spans="2:33">
      <c r="B3404" s="14">
        <f>10000000+INDEX(编号表!$B:$B,MATCH(H3404,编号表!$A:$A,0))*100000+INDEX(编号表!$F:$F,MATCH(D3404,编号表!$E:$E,0))*10000+INDEX(编号表!$D:$D,MATCH(AG3404,编号表!$C:$C,0))*1000+F3404</f>
        <v>11927097</v>
      </c>
      <c r="C3404" s="14" t="s">
        <v>6453</v>
      </c>
      <c r="D3404" s="14" t="s">
        <v>112</v>
      </c>
      <c r="E3404" s="14" t="s">
        <v>101</v>
      </c>
      <c r="F3404" s="14">
        <v>97</v>
      </c>
      <c r="G3404" s="14">
        <v>60</v>
      </c>
      <c r="H3404" s="14" t="s">
        <v>1400</v>
      </c>
      <c r="I3404" s="14" t="s">
        <v>75</v>
      </c>
      <c r="J3404" s="14" t="s">
        <v>201</v>
      </c>
      <c r="K3404" s="14">
        <v>1</v>
      </c>
      <c r="L3404" s="14" t="s">
        <v>1400</v>
      </c>
      <c r="N3404" s="14">
        <v>0</v>
      </c>
      <c r="O3404" s="14" t="b">
        <v>1</v>
      </c>
      <c r="Q3404" s="14" t="b">
        <v>0</v>
      </c>
      <c r="R3404" s="14">
        <v>1</v>
      </c>
      <c r="S3404" s="14" t="s">
        <v>77</v>
      </c>
      <c r="T3404" s="14">
        <v>999</v>
      </c>
      <c r="U3404" s="14" t="s">
        <v>1401</v>
      </c>
      <c r="V3404" s="14">
        <v>31927097</v>
      </c>
      <c r="X3404" s="14" t="s">
        <v>6454</v>
      </c>
      <c r="Y3404" s="14" t="s">
        <v>215</v>
      </c>
      <c r="Z3404" s="14">
        <v>22167</v>
      </c>
      <c r="AA3404" s="14" t="s">
        <v>6455</v>
      </c>
      <c r="AB3404" s="14">
        <v>40001</v>
      </c>
      <c r="AE3404" s="14" t="s">
        <v>1400</v>
      </c>
      <c r="AF3404" s="14" t="s">
        <v>1400</v>
      </c>
      <c r="AG3404" s="14" t="s">
        <v>101</v>
      </c>
    </row>
    <row r="3405" spans="2:33">
      <c r="B3405" s="14">
        <f>10000000+INDEX(编号表!$B:$B,MATCH(H3405,编号表!$A:$A,0))*100000+INDEX(编号表!$F:$F,MATCH(D3405,编号表!$E:$E,0))*10000+INDEX(编号表!$D:$D,MATCH(AG3405,编号表!$C:$C,0))*1000+F3405</f>
        <v>11937098</v>
      </c>
      <c r="C3405" s="14" t="s">
        <v>6453</v>
      </c>
      <c r="D3405" s="14" t="s">
        <v>276</v>
      </c>
      <c r="E3405" s="14" t="s">
        <v>101</v>
      </c>
      <c r="F3405" s="14">
        <v>98</v>
      </c>
      <c r="G3405" s="14">
        <v>60</v>
      </c>
      <c r="H3405" s="14" t="s">
        <v>1400</v>
      </c>
      <c r="I3405" s="14" t="s">
        <v>75</v>
      </c>
      <c r="J3405" s="14" t="s">
        <v>201</v>
      </c>
      <c r="K3405" s="14">
        <v>1</v>
      </c>
      <c r="L3405" s="14" t="s">
        <v>1400</v>
      </c>
      <c r="N3405" s="14">
        <v>0</v>
      </c>
      <c r="O3405" s="14" t="b">
        <v>1</v>
      </c>
      <c r="Q3405" s="14" t="b">
        <v>0</v>
      </c>
      <c r="R3405" s="14">
        <v>1</v>
      </c>
      <c r="S3405" s="14" t="s">
        <v>77</v>
      </c>
      <c r="T3405" s="14">
        <v>999</v>
      </c>
      <c r="U3405" s="14" t="s">
        <v>1401</v>
      </c>
      <c r="V3405" s="14">
        <v>31937098</v>
      </c>
      <c r="X3405" s="14" t="s">
        <v>6456</v>
      </c>
      <c r="Y3405" s="14" t="s">
        <v>215</v>
      </c>
      <c r="Z3405" s="14">
        <v>22168</v>
      </c>
      <c r="AA3405" s="14" t="s">
        <v>6457</v>
      </c>
      <c r="AB3405" s="14">
        <v>40001</v>
      </c>
      <c r="AE3405" s="14" t="s">
        <v>1400</v>
      </c>
      <c r="AF3405" s="14" t="s">
        <v>1400</v>
      </c>
      <c r="AG3405" s="14" t="s">
        <v>101</v>
      </c>
    </row>
    <row r="3406" spans="2:33">
      <c r="B3406" s="14">
        <f>10000000+INDEX(编号表!$B:$B,MATCH(H3406,编号表!$A:$A,0))*100000+INDEX(编号表!$F:$F,MATCH(D3406,编号表!$E:$E,0))*10000+INDEX(编号表!$D:$D,MATCH(AG3406,编号表!$C:$C,0))*1000+F3406</f>
        <v>11947099</v>
      </c>
      <c r="C3406" s="14" t="s">
        <v>6453</v>
      </c>
      <c r="D3406" s="14" t="s">
        <v>104</v>
      </c>
      <c r="E3406" s="14" t="s">
        <v>101</v>
      </c>
      <c r="F3406" s="14">
        <v>99</v>
      </c>
      <c r="G3406" s="14">
        <v>60</v>
      </c>
      <c r="H3406" s="14" t="s">
        <v>1400</v>
      </c>
      <c r="I3406" s="14" t="s">
        <v>75</v>
      </c>
      <c r="J3406" s="14" t="s">
        <v>201</v>
      </c>
      <c r="K3406" s="14">
        <v>1</v>
      </c>
      <c r="L3406" s="14" t="s">
        <v>1400</v>
      </c>
      <c r="N3406" s="14">
        <v>0</v>
      </c>
      <c r="O3406" s="14" t="b">
        <v>1</v>
      </c>
      <c r="Q3406" s="14" t="b">
        <v>0</v>
      </c>
      <c r="R3406" s="14">
        <v>1</v>
      </c>
      <c r="S3406" s="14" t="s">
        <v>77</v>
      </c>
      <c r="T3406" s="14">
        <v>999</v>
      </c>
      <c r="U3406" s="14" t="s">
        <v>1401</v>
      </c>
      <c r="V3406" s="14">
        <v>31947099</v>
      </c>
      <c r="X3406" s="14" t="s">
        <v>6458</v>
      </c>
      <c r="Y3406" s="14" t="s">
        <v>215</v>
      </c>
      <c r="Z3406" s="14">
        <v>22169</v>
      </c>
      <c r="AA3406" s="14" t="s">
        <v>6459</v>
      </c>
      <c r="AB3406" s="14">
        <v>40001</v>
      </c>
      <c r="AE3406" s="14" t="s">
        <v>1400</v>
      </c>
      <c r="AF3406" s="14" t="s">
        <v>1400</v>
      </c>
      <c r="AG3406" s="14" t="s">
        <v>101</v>
      </c>
    </row>
    <row r="3407" spans="2:33">
      <c r="B3407" s="14">
        <f>10000000+INDEX(编号表!$B:$B,MATCH(H3407,编号表!$A:$A,0))*100000+INDEX(编号表!$F:$F,MATCH(D3407,编号表!$E:$E,0))*10000+INDEX(编号表!$D:$D,MATCH(AG3407,编号表!$C:$C,0))*1000+F3407</f>
        <v>11927098</v>
      </c>
      <c r="C3407" s="14" t="s">
        <v>6460</v>
      </c>
      <c r="D3407" s="14" t="s">
        <v>112</v>
      </c>
      <c r="E3407" s="14" t="s">
        <v>101</v>
      </c>
      <c r="F3407" s="14">
        <v>98</v>
      </c>
      <c r="G3407" s="14">
        <v>60</v>
      </c>
      <c r="H3407" s="14" t="s">
        <v>1400</v>
      </c>
      <c r="I3407" s="14" t="s">
        <v>75</v>
      </c>
      <c r="J3407" s="14" t="s">
        <v>201</v>
      </c>
      <c r="K3407" s="14">
        <v>1</v>
      </c>
      <c r="L3407" s="14" t="s">
        <v>1400</v>
      </c>
      <c r="N3407" s="14">
        <v>0</v>
      </c>
      <c r="O3407" s="14" t="b">
        <v>1</v>
      </c>
      <c r="Q3407" s="14" t="b">
        <v>0</v>
      </c>
      <c r="R3407" s="14">
        <v>1</v>
      </c>
      <c r="S3407" s="14" t="s">
        <v>77</v>
      </c>
      <c r="T3407" s="14">
        <v>999</v>
      </c>
      <c r="U3407" s="14" t="s">
        <v>1401</v>
      </c>
      <c r="V3407" s="14">
        <v>31927098</v>
      </c>
      <c r="X3407" s="14" t="s">
        <v>6461</v>
      </c>
      <c r="Y3407" s="14" t="s">
        <v>215</v>
      </c>
      <c r="Z3407" s="14">
        <v>22170</v>
      </c>
      <c r="AA3407" s="14" t="s">
        <v>6462</v>
      </c>
      <c r="AB3407" s="14">
        <v>40001</v>
      </c>
      <c r="AE3407" s="14" t="s">
        <v>1400</v>
      </c>
      <c r="AF3407" s="14" t="s">
        <v>1400</v>
      </c>
      <c r="AG3407" s="14" t="s">
        <v>101</v>
      </c>
    </row>
    <row r="3408" spans="2:33">
      <c r="B3408" s="14">
        <f>10000000+INDEX(编号表!$B:$B,MATCH(H3408,编号表!$A:$A,0))*100000+INDEX(编号表!$F:$F,MATCH(D3408,编号表!$E:$E,0))*10000+INDEX(编号表!$D:$D,MATCH(AG3408,编号表!$C:$C,0))*1000+F3408</f>
        <v>11937099</v>
      </c>
      <c r="C3408" s="14" t="s">
        <v>6460</v>
      </c>
      <c r="D3408" s="14" t="s">
        <v>276</v>
      </c>
      <c r="E3408" s="14" t="s">
        <v>101</v>
      </c>
      <c r="F3408" s="14">
        <v>99</v>
      </c>
      <c r="G3408" s="14">
        <v>60</v>
      </c>
      <c r="H3408" s="14" t="s">
        <v>1400</v>
      </c>
      <c r="I3408" s="14" t="s">
        <v>75</v>
      </c>
      <c r="J3408" s="14" t="s">
        <v>201</v>
      </c>
      <c r="K3408" s="14">
        <v>1</v>
      </c>
      <c r="L3408" s="14" t="s">
        <v>1400</v>
      </c>
      <c r="N3408" s="14">
        <v>0</v>
      </c>
      <c r="O3408" s="14" t="b">
        <v>1</v>
      </c>
      <c r="Q3408" s="14" t="b">
        <v>0</v>
      </c>
      <c r="R3408" s="14">
        <v>1</v>
      </c>
      <c r="S3408" s="14" t="s">
        <v>77</v>
      </c>
      <c r="T3408" s="14">
        <v>999</v>
      </c>
      <c r="U3408" s="14" t="s">
        <v>1401</v>
      </c>
      <c r="V3408" s="14">
        <v>31937099</v>
      </c>
      <c r="X3408" s="14" t="s">
        <v>6463</v>
      </c>
      <c r="Y3408" s="14" t="s">
        <v>215</v>
      </c>
      <c r="Z3408" s="14">
        <v>22171</v>
      </c>
      <c r="AA3408" s="14" t="s">
        <v>6464</v>
      </c>
      <c r="AB3408" s="14">
        <v>40001</v>
      </c>
      <c r="AE3408" s="14" t="s">
        <v>1400</v>
      </c>
      <c r="AF3408" s="14" t="s">
        <v>1400</v>
      </c>
      <c r="AG3408" s="14" t="s">
        <v>101</v>
      </c>
    </row>
    <row r="3409" spans="2:33">
      <c r="B3409" s="14">
        <f>10000000+INDEX(编号表!$B:$B,MATCH(H3409,编号表!$A:$A,0))*100000+INDEX(编号表!$F:$F,MATCH(D3409,编号表!$E:$E,0))*10000+INDEX(编号表!$D:$D,MATCH(AG3409,编号表!$C:$C,0))*1000+F3409</f>
        <v>11947100</v>
      </c>
      <c r="C3409" s="14" t="s">
        <v>6460</v>
      </c>
      <c r="D3409" s="14" t="s">
        <v>104</v>
      </c>
      <c r="E3409" s="14" t="s">
        <v>101</v>
      </c>
      <c r="F3409" s="14">
        <v>100</v>
      </c>
      <c r="G3409" s="14">
        <v>60</v>
      </c>
      <c r="H3409" s="14" t="s">
        <v>1400</v>
      </c>
      <c r="I3409" s="14" t="s">
        <v>75</v>
      </c>
      <c r="J3409" s="14" t="s">
        <v>201</v>
      </c>
      <c r="K3409" s="14">
        <v>1</v>
      </c>
      <c r="L3409" s="14" t="s">
        <v>1400</v>
      </c>
      <c r="N3409" s="14">
        <v>0</v>
      </c>
      <c r="O3409" s="14" t="b">
        <v>1</v>
      </c>
      <c r="Q3409" s="14" t="b">
        <v>0</v>
      </c>
      <c r="R3409" s="14">
        <v>1</v>
      </c>
      <c r="S3409" s="14" t="s">
        <v>77</v>
      </c>
      <c r="T3409" s="14">
        <v>999</v>
      </c>
      <c r="U3409" s="14" t="s">
        <v>1401</v>
      </c>
      <c r="V3409" s="14">
        <v>31947100</v>
      </c>
      <c r="X3409" s="14" t="s">
        <v>6465</v>
      </c>
      <c r="Y3409" s="14" t="s">
        <v>215</v>
      </c>
      <c r="Z3409" s="14">
        <v>22172</v>
      </c>
      <c r="AA3409" s="14" t="s">
        <v>6466</v>
      </c>
      <c r="AB3409" s="14">
        <v>40001</v>
      </c>
      <c r="AE3409" s="14" t="s">
        <v>1400</v>
      </c>
      <c r="AF3409" s="14" t="s">
        <v>1400</v>
      </c>
      <c r="AG3409" s="14" t="s">
        <v>101</v>
      </c>
    </row>
    <row r="3410" spans="2:33">
      <c r="B3410" s="14">
        <f>10000000+INDEX(编号表!$B:$B,MATCH(H3410,编号表!$A:$A,0))*100000+INDEX(编号表!$F:$F,MATCH(D3410,编号表!$E:$E,0))*10000+INDEX(编号表!$D:$D,MATCH(AG3410,编号表!$C:$C,0))*1000+F3410</f>
        <v>11927099</v>
      </c>
      <c r="C3410" s="14" t="s">
        <v>6467</v>
      </c>
      <c r="D3410" s="14" t="s">
        <v>112</v>
      </c>
      <c r="E3410" s="14" t="s">
        <v>101</v>
      </c>
      <c r="F3410" s="14">
        <v>99</v>
      </c>
      <c r="G3410" s="14">
        <v>60</v>
      </c>
      <c r="H3410" s="14" t="s">
        <v>1400</v>
      </c>
      <c r="I3410" s="14" t="s">
        <v>75</v>
      </c>
      <c r="J3410" s="14" t="s">
        <v>201</v>
      </c>
      <c r="K3410" s="14">
        <v>1</v>
      </c>
      <c r="L3410" s="14" t="s">
        <v>1400</v>
      </c>
      <c r="N3410" s="14">
        <v>0</v>
      </c>
      <c r="O3410" s="14" t="b">
        <v>1</v>
      </c>
      <c r="Q3410" s="14" t="b">
        <v>0</v>
      </c>
      <c r="R3410" s="14">
        <v>1</v>
      </c>
      <c r="S3410" s="14" t="s">
        <v>77</v>
      </c>
      <c r="T3410" s="14">
        <v>999</v>
      </c>
      <c r="U3410" s="14" t="s">
        <v>1401</v>
      </c>
      <c r="V3410" s="14">
        <v>31927099</v>
      </c>
      <c r="X3410" s="14" t="s">
        <v>6468</v>
      </c>
      <c r="Y3410" s="14" t="s">
        <v>215</v>
      </c>
      <c r="Z3410" s="14">
        <v>22173</v>
      </c>
      <c r="AA3410" s="14" t="s">
        <v>6469</v>
      </c>
      <c r="AB3410" s="14">
        <v>40001</v>
      </c>
      <c r="AE3410" s="14" t="s">
        <v>1400</v>
      </c>
      <c r="AF3410" s="14" t="s">
        <v>1400</v>
      </c>
      <c r="AG3410" s="14" t="s">
        <v>101</v>
      </c>
    </row>
    <row r="3411" spans="2:33">
      <c r="B3411" s="14">
        <f>10000000+INDEX(编号表!$B:$B,MATCH(H3411,编号表!$A:$A,0))*100000+INDEX(编号表!$F:$F,MATCH(D3411,编号表!$E:$E,0))*10000+INDEX(编号表!$D:$D,MATCH(AG3411,编号表!$C:$C,0))*1000+F3411</f>
        <v>11937100</v>
      </c>
      <c r="C3411" s="14" t="s">
        <v>6467</v>
      </c>
      <c r="D3411" s="14" t="s">
        <v>276</v>
      </c>
      <c r="E3411" s="14" t="s">
        <v>101</v>
      </c>
      <c r="F3411" s="14">
        <v>100</v>
      </c>
      <c r="G3411" s="14">
        <v>60</v>
      </c>
      <c r="H3411" s="14" t="s">
        <v>1400</v>
      </c>
      <c r="I3411" s="14" t="s">
        <v>75</v>
      </c>
      <c r="J3411" s="14" t="s">
        <v>201</v>
      </c>
      <c r="K3411" s="14">
        <v>1</v>
      </c>
      <c r="L3411" s="14" t="s">
        <v>1400</v>
      </c>
      <c r="N3411" s="14">
        <v>0</v>
      </c>
      <c r="O3411" s="14" t="b">
        <v>1</v>
      </c>
      <c r="Q3411" s="14" t="b">
        <v>0</v>
      </c>
      <c r="R3411" s="14">
        <v>1</v>
      </c>
      <c r="S3411" s="14" t="s">
        <v>77</v>
      </c>
      <c r="T3411" s="14">
        <v>999</v>
      </c>
      <c r="U3411" s="14" t="s">
        <v>1401</v>
      </c>
      <c r="V3411" s="14">
        <v>31937100</v>
      </c>
      <c r="X3411" s="14" t="s">
        <v>6470</v>
      </c>
      <c r="Y3411" s="14" t="s">
        <v>215</v>
      </c>
      <c r="Z3411" s="14">
        <v>22174</v>
      </c>
      <c r="AA3411" s="14" t="s">
        <v>6471</v>
      </c>
      <c r="AB3411" s="14">
        <v>40001</v>
      </c>
      <c r="AE3411" s="14" t="s">
        <v>1400</v>
      </c>
      <c r="AF3411" s="14" t="s">
        <v>1400</v>
      </c>
      <c r="AG3411" s="14" t="s">
        <v>101</v>
      </c>
    </row>
    <row r="3412" spans="2:33">
      <c r="B3412" s="14">
        <f>10000000+INDEX(编号表!$B:$B,MATCH(H3412,编号表!$A:$A,0))*100000+INDEX(编号表!$F:$F,MATCH(D3412,编号表!$E:$E,0))*10000+INDEX(编号表!$D:$D,MATCH(AG3412,编号表!$C:$C,0))*1000+F3412</f>
        <v>11947101</v>
      </c>
      <c r="C3412" s="14" t="s">
        <v>6467</v>
      </c>
      <c r="D3412" s="14" t="s">
        <v>104</v>
      </c>
      <c r="E3412" s="14" t="s">
        <v>101</v>
      </c>
      <c r="F3412" s="14">
        <v>101</v>
      </c>
      <c r="G3412" s="14">
        <v>60</v>
      </c>
      <c r="H3412" s="14" t="s">
        <v>1400</v>
      </c>
      <c r="I3412" s="14" t="s">
        <v>75</v>
      </c>
      <c r="J3412" s="14" t="s">
        <v>201</v>
      </c>
      <c r="K3412" s="14">
        <v>1</v>
      </c>
      <c r="L3412" s="14" t="s">
        <v>1400</v>
      </c>
      <c r="N3412" s="14">
        <v>0</v>
      </c>
      <c r="O3412" s="14" t="b">
        <v>1</v>
      </c>
      <c r="Q3412" s="14" t="b">
        <v>0</v>
      </c>
      <c r="R3412" s="14">
        <v>1</v>
      </c>
      <c r="S3412" s="14" t="s">
        <v>77</v>
      </c>
      <c r="T3412" s="14">
        <v>999</v>
      </c>
      <c r="U3412" s="14" t="s">
        <v>1401</v>
      </c>
      <c r="V3412" s="14">
        <v>31947101</v>
      </c>
      <c r="X3412" s="14" t="s">
        <v>6472</v>
      </c>
      <c r="Y3412" s="14" t="s">
        <v>215</v>
      </c>
      <c r="Z3412" s="14">
        <v>22175</v>
      </c>
      <c r="AA3412" s="14" t="s">
        <v>6473</v>
      </c>
      <c r="AB3412" s="14">
        <v>40001</v>
      </c>
      <c r="AE3412" s="14" t="s">
        <v>1400</v>
      </c>
      <c r="AF3412" s="14" t="s">
        <v>1400</v>
      </c>
      <c r="AG3412" s="14" t="s">
        <v>101</v>
      </c>
    </row>
    <row r="3413" spans="2:33">
      <c r="B3413" s="14">
        <f>10000000+INDEX(编号表!$B:$B,MATCH(H3413,编号表!$A:$A,0))*100000+INDEX(编号表!$F:$F,MATCH(D3413,编号表!$E:$E,0))*10000+INDEX(编号表!$D:$D,MATCH(AG3413,编号表!$C:$C,0))*1000+F3413</f>
        <v>11927100</v>
      </c>
      <c r="C3413" s="14" t="s">
        <v>6474</v>
      </c>
      <c r="D3413" s="14" t="s">
        <v>112</v>
      </c>
      <c r="E3413" s="14" t="s">
        <v>101</v>
      </c>
      <c r="F3413" s="14">
        <v>100</v>
      </c>
      <c r="G3413" s="14">
        <v>60</v>
      </c>
      <c r="H3413" s="14" t="s">
        <v>1400</v>
      </c>
      <c r="I3413" s="14" t="s">
        <v>75</v>
      </c>
      <c r="J3413" s="14" t="s">
        <v>201</v>
      </c>
      <c r="K3413" s="14">
        <v>1</v>
      </c>
      <c r="L3413" s="14" t="s">
        <v>1400</v>
      </c>
      <c r="N3413" s="14">
        <v>0</v>
      </c>
      <c r="O3413" s="14" t="b">
        <v>1</v>
      </c>
      <c r="Q3413" s="14" t="b">
        <v>0</v>
      </c>
      <c r="R3413" s="14">
        <v>1</v>
      </c>
      <c r="S3413" s="14" t="s">
        <v>77</v>
      </c>
      <c r="T3413" s="14">
        <v>999</v>
      </c>
      <c r="U3413" s="14" t="s">
        <v>1401</v>
      </c>
      <c r="V3413" s="14">
        <v>31927100</v>
      </c>
      <c r="X3413" s="14" t="s">
        <v>6475</v>
      </c>
      <c r="Y3413" s="14" t="s">
        <v>215</v>
      </c>
      <c r="Z3413" s="14">
        <v>22176</v>
      </c>
      <c r="AA3413" s="14" t="s">
        <v>6476</v>
      </c>
      <c r="AB3413" s="14">
        <v>40001</v>
      </c>
      <c r="AE3413" s="14" t="s">
        <v>1400</v>
      </c>
      <c r="AF3413" s="14" t="s">
        <v>1400</v>
      </c>
      <c r="AG3413" s="14" t="s">
        <v>101</v>
      </c>
    </row>
    <row r="3414" spans="2:33">
      <c r="B3414" s="14">
        <f>10000000+INDEX(编号表!$B:$B,MATCH(H3414,编号表!$A:$A,0))*100000+INDEX(编号表!$F:$F,MATCH(D3414,编号表!$E:$E,0))*10000+INDEX(编号表!$D:$D,MATCH(AG3414,编号表!$C:$C,0))*1000+F3414</f>
        <v>11937101</v>
      </c>
      <c r="C3414" s="14" t="s">
        <v>6474</v>
      </c>
      <c r="D3414" s="14" t="s">
        <v>276</v>
      </c>
      <c r="E3414" s="14" t="s">
        <v>101</v>
      </c>
      <c r="F3414" s="14">
        <v>101</v>
      </c>
      <c r="G3414" s="14">
        <v>60</v>
      </c>
      <c r="H3414" s="14" t="s">
        <v>1400</v>
      </c>
      <c r="I3414" s="14" t="s">
        <v>75</v>
      </c>
      <c r="J3414" s="14" t="s">
        <v>201</v>
      </c>
      <c r="K3414" s="14">
        <v>1</v>
      </c>
      <c r="L3414" s="14" t="s">
        <v>1400</v>
      </c>
      <c r="N3414" s="14">
        <v>0</v>
      </c>
      <c r="O3414" s="14" t="b">
        <v>1</v>
      </c>
      <c r="Q3414" s="14" t="b">
        <v>0</v>
      </c>
      <c r="R3414" s="14">
        <v>1</v>
      </c>
      <c r="S3414" s="14" t="s">
        <v>77</v>
      </c>
      <c r="T3414" s="14">
        <v>999</v>
      </c>
      <c r="U3414" s="14" t="s">
        <v>1401</v>
      </c>
      <c r="V3414" s="14">
        <v>31937101</v>
      </c>
      <c r="X3414" s="14" t="s">
        <v>6477</v>
      </c>
      <c r="Y3414" s="14" t="s">
        <v>215</v>
      </c>
      <c r="Z3414" s="14">
        <v>22177</v>
      </c>
      <c r="AA3414" s="14" t="s">
        <v>6478</v>
      </c>
      <c r="AB3414" s="14">
        <v>40001</v>
      </c>
      <c r="AE3414" s="14" t="s">
        <v>1400</v>
      </c>
      <c r="AF3414" s="14" t="s">
        <v>1400</v>
      </c>
      <c r="AG3414" s="14" t="s">
        <v>101</v>
      </c>
    </row>
    <row r="3415" spans="2:33">
      <c r="B3415" s="14">
        <f>10000000+INDEX(编号表!$B:$B,MATCH(H3415,编号表!$A:$A,0))*100000+INDEX(编号表!$F:$F,MATCH(D3415,编号表!$E:$E,0))*10000+INDEX(编号表!$D:$D,MATCH(AG3415,编号表!$C:$C,0))*1000+F3415</f>
        <v>11947102</v>
      </c>
      <c r="C3415" s="14" t="s">
        <v>6474</v>
      </c>
      <c r="D3415" s="14" t="s">
        <v>104</v>
      </c>
      <c r="E3415" s="14" t="s">
        <v>101</v>
      </c>
      <c r="F3415" s="14">
        <v>102</v>
      </c>
      <c r="G3415" s="14">
        <v>60</v>
      </c>
      <c r="H3415" s="14" t="s">
        <v>1400</v>
      </c>
      <c r="I3415" s="14" t="s">
        <v>75</v>
      </c>
      <c r="J3415" s="14" t="s">
        <v>201</v>
      </c>
      <c r="K3415" s="14">
        <v>1</v>
      </c>
      <c r="L3415" s="14" t="s">
        <v>1400</v>
      </c>
      <c r="N3415" s="14">
        <v>0</v>
      </c>
      <c r="O3415" s="14" t="b">
        <v>1</v>
      </c>
      <c r="Q3415" s="14" t="b">
        <v>0</v>
      </c>
      <c r="R3415" s="14">
        <v>1</v>
      </c>
      <c r="S3415" s="14" t="s">
        <v>77</v>
      </c>
      <c r="T3415" s="14">
        <v>999</v>
      </c>
      <c r="U3415" s="14" t="s">
        <v>1401</v>
      </c>
      <c r="V3415" s="14">
        <v>31947102</v>
      </c>
      <c r="X3415" s="14" t="s">
        <v>6479</v>
      </c>
      <c r="Y3415" s="14" t="s">
        <v>215</v>
      </c>
      <c r="Z3415" s="14">
        <v>22178</v>
      </c>
      <c r="AA3415" s="14" t="s">
        <v>6480</v>
      </c>
      <c r="AB3415" s="14">
        <v>40001</v>
      </c>
      <c r="AE3415" s="14" t="s">
        <v>1400</v>
      </c>
      <c r="AF3415" s="14" t="s">
        <v>1400</v>
      </c>
      <c r="AG3415" s="14" t="s">
        <v>101</v>
      </c>
    </row>
    <row r="3416" spans="2:33">
      <c r="B3416" s="14">
        <f>10000000+INDEX(编号表!$B:$B,MATCH(H3416,编号表!$A:$A,0))*100000+INDEX(编号表!$F:$F,MATCH(D3416,编号表!$E:$E,0))*10000+INDEX(编号表!$D:$D,MATCH(AG3416,编号表!$C:$C,0))*1000+F3416</f>
        <v>11927101</v>
      </c>
      <c r="C3416" s="14" t="s">
        <v>6481</v>
      </c>
      <c r="D3416" s="14" t="s">
        <v>112</v>
      </c>
      <c r="E3416" s="14" t="s">
        <v>101</v>
      </c>
      <c r="F3416" s="14">
        <v>101</v>
      </c>
      <c r="G3416" s="14">
        <v>60</v>
      </c>
      <c r="H3416" s="14" t="s">
        <v>1400</v>
      </c>
      <c r="I3416" s="14" t="s">
        <v>75</v>
      </c>
      <c r="J3416" s="14" t="s">
        <v>201</v>
      </c>
      <c r="K3416" s="14">
        <v>1</v>
      </c>
      <c r="L3416" s="14" t="s">
        <v>1400</v>
      </c>
      <c r="N3416" s="14">
        <v>0</v>
      </c>
      <c r="O3416" s="14" t="b">
        <v>1</v>
      </c>
      <c r="Q3416" s="14" t="b">
        <v>0</v>
      </c>
      <c r="R3416" s="14">
        <v>1</v>
      </c>
      <c r="S3416" s="14" t="s">
        <v>77</v>
      </c>
      <c r="T3416" s="14">
        <v>999</v>
      </c>
      <c r="U3416" s="14" t="s">
        <v>1401</v>
      </c>
      <c r="V3416" s="14">
        <v>31927101</v>
      </c>
      <c r="X3416" s="14" t="s">
        <v>6482</v>
      </c>
      <c r="Y3416" s="14" t="s">
        <v>215</v>
      </c>
      <c r="Z3416" s="14">
        <v>22179</v>
      </c>
      <c r="AA3416" s="14" t="s">
        <v>6483</v>
      </c>
      <c r="AB3416" s="14">
        <v>40001</v>
      </c>
      <c r="AE3416" s="14" t="s">
        <v>1400</v>
      </c>
      <c r="AF3416" s="14" t="s">
        <v>1400</v>
      </c>
      <c r="AG3416" s="14" t="s">
        <v>101</v>
      </c>
    </row>
    <row r="3417" spans="2:33">
      <c r="B3417" s="14">
        <f>10000000+INDEX(编号表!$B:$B,MATCH(H3417,编号表!$A:$A,0))*100000+INDEX(编号表!$F:$F,MATCH(D3417,编号表!$E:$E,0))*10000+INDEX(编号表!$D:$D,MATCH(AG3417,编号表!$C:$C,0))*1000+F3417</f>
        <v>11937102</v>
      </c>
      <c r="C3417" s="14" t="s">
        <v>6481</v>
      </c>
      <c r="D3417" s="14" t="s">
        <v>276</v>
      </c>
      <c r="E3417" s="14" t="s">
        <v>101</v>
      </c>
      <c r="F3417" s="14">
        <v>102</v>
      </c>
      <c r="G3417" s="14">
        <v>60</v>
      </c>
      <c r="H3417" s="14" t="s">
        <v>1400</v>
      </c>
      <c r="I3417" s="14" t="s">
        <v>75</v>
      </c>
      <c r="J3417" s="14" t="s">
        <v>201</v>
      </c>
      <c r="K3417" s="14">
        <v>1</v>
      </c>
      <c r="L3417" s="14" t="s">
        <v>1400</v>
      </c>
      <c r="N3417" s="14">
        <v>0</v>
      </c>
      <c r="O3417" s="14" t="b">
        <v>1</v>
      </c>
      <c r="Q3417" s="14" t="b">
        <v>0</v>
      </c>
      <c r="R3417" s="14">
        <v>1</v>
      </c>
      <c r="S3417" s="14" t="s">
        <v>77</v>
      </c>
      <c r="T3417" s="14">
        <v>999</v>
      </c>
      <c r="U3417" s="14" t="s">
        <v>1401</v>
      </c>
      <c r="V3417" s="14">
        <v>31937102</v>
      </c>
      <c r="X3417" s="14" t="s">
        <v>6484</v>
      </c>
      <c r="Y3417" s="14" t="s">
        <v>215</v>
      </c>
      <c r="Z3417" s="14">
        <v>22180</v>
      </c>
      <c r="AA3417" s="14" t="s">
        <v>6485</v>
      </c>
      <c r="AB3417" s="14">
        <v>40001</v>
      </c>
      <c r="AE3417" s="14" t="s">
        <v>1400</v>
      </c>
      <c r="AF3417" s="14" t="s">
        <v>1400</v>
      </c>
      <c r="AG3417" s="14" t="s">
        <v>101</v>
      </c>
    </row>
    <row r="3418" spans="2:33">
      <c r="B3418" s="14">
        <f>10000000+INDEX(编号表!$B:$B,MATCH(H3418,编号表!$A:$A,0))*100000+INDEX(编号表!$F:$F,MATCH(D3418,编号表!$E:$E,0))*10000+INDEX(编号表!$D:$D,MATCH(AG3418,编号表!$C:$C,0))*1000+F3418</f>
        <v>11947103</v>
      </c>
      <c r="C3418" s="14" t="s">
        <v>6481</v>
      </c>
      <c r="D3418" s="14" t="s">
        <v>104</v>
      </c>
      <c r="E3418" s="14" t="s">
        <v>101</v>
      </c>
      <c r="F3418" s="14">
        <v>103</v>
      </c>
      <c r="G3418" s="14">
        <v>60</v>
      </c>
      <c r="H3418" s="14" t="s">
        <v>1400</v>
      </c>
      <c r="I3418" s="14" t="s">
        <v>75</v>
      </c>
      <c r="J3418" s="14" t="s">
        <v>201</v>
      </c>
      <c r="K3418" s="14">
        <v>1</v>
      </c>
      <c r="L3418" s="14" t="s">
        <v>1400</v>
      </c>
      <c r="N3418" s="14">
        <v>0</v>
      </c>
      <c r="O3418" s="14" t="b">
        <v>1</v>
      </c>
      <c r="Q3418" s="14" t="b">
        <v>0</v>
      </c>
      <c r="R3418" s="14">
        <v>1</v>
      </c>
      <c r="S3418" s="14" t="s">
        <v>77</v>
      </c>
      <c r="T3418" s="14">
        <v>999</v>
      </c>
      <c r="U3418" s="14" t="s">
        <v>1401</v>
      </c>
      <c r="V3418" s="14">
        <v>31947103</v>
      </c>
      <c r="X3418" s="14" t="s">
        <v>6486</v>
      </c>
      <c r="Y3418" s="14" t="s">
        <v>215</v>
      </c>
      <c r="Z3418" s="14">
        <v>22181</v>
      </c>
      <c r="AA3418" s="14" t="s">
        <v>6487</v>
      </c>
      <c r="AB3418" s="14">
        <v>40001</v>
      </c>
      <c r="AE3418" s="14" t="s">
        <v>1400</v>
      </c>
      <c r="AF3418" s="14" t="s">
        <v>1400</v>
      </c>
      <c r="AG3418" s="14" t="s">
        <v>101</v>
      </c>
    </row>
    <row r="3419" spans="2:33">
      <c r="B3419" s="14">
        <f>10000000+INDEX(编号表!$B:$B,MATCH(H3419,编号表!$A:$A,0))*100000+INDEX(编号表!$F:$F,MATCH(D3419,编号表!$E:$E,0))*10000+INDEX(编号表!$D:$D,MATCH(AG3419,编号表!$C:$C,0))*1000+F3419</f>
        <v>11927102</v>
      </c>
      <c r="C3419" s="14" t="s">
        <v>6488</v>
      </c>
      <c r="D3419" s="14" t="s">
        <v>112</v>
      </c>
      <c r="E3419" s="14" t="s">
        <v>101</v>
      </c>
      <c r="F3419" s="14">
        <v>102</v>
      </c>
      <c r="G3419" s="14">
        <v>60</v>
      </c>
      <c r="H3419" s="14" t="s">
        <v>1400</v>
      </c>
      <c r="I3419" s="14" t="s">
        <v>75</v>
      </c>
      <c r="J3419" s="14" t="s">
        <v>201</v>
      </c>
      <c r="K3419" s="14">
        <v>1</v>
      </c>
      <c r="L3419" s="14" t="s">
        <v>1400</v>
      </c>
      <c r="N3419" s="14">
        <v>0</v>
      </c>
      <c r="O3419" s="14" t="b">
        <v>1</v>
      </c>
      <c r="Q3419" s="14" t="b">
        <v>0</v>
      </c>
      <c r="R3419" s="14">
        <v>1</v>
      </c>
      <c r="S3419" s="14" t="s">
        <v>77</v>
      </c>
      <c r="T3419" s="14">
        <v>999</v>
      </c>
      <c r="U3419" s="14" t="s">
        <v>1401</v>
      </c>
      <c r="V3419" s="14">
        <v>31927102</v>
      </c>
      <c r="X3419" s="14" t="s">
        <v>6489</v>
      </c>
      <c r="Y3419" s="14" t="s">
        <v>215</v>
      </c>
      <c r="Z3419" s="14">
        <v>22182</v>
      </c>
      <c r="AA3419" s="14" t="s">
        <v>6490</v>
      </c>
      <c r="AB3419" s="14">
        <v>40001</v>
      </c>
      <c r="AE3419" s="14" t="s">
        <v>1400</v>
      </c>
      <c r="AF3419" s="14" t="s">
        <v>1400</v>
      </c>
      <c r="AG3419" s="14" t="s">
        <v>101</v>
      </c>
    </row>
    <row r="3420" spans="2:33">
      <c r="B3420" s="14">
        <f>10000000+INDEX(编号表!$B:$B,MATCH(H3420,编号表!$A:$A,0))*100000+INDEX(编号表!$F:$F,MATCH(D3420,编号表!$E:$E,0))*10000+INDEX(编号表!$D:$D,MATCH(AG3420,编号表!$C:$C,0))*1000+F3420</f>
        <v>11937103</v>
      </c>
      <c r="C3420" s="14" t="s">
        <v>6488</v>
      </c>
      <c r="D3420" s="14" t="s">
        <v>276</v>
      </c>
      <c r="E3420" s="14" t="s">
        <v>101</v>
      </c>
      <c r="F3420" s="14">
        <v>103</v>
      </c>
      <c r="G3420" s="14">
        <v>60</v>
      </c>
      <c r="H3420" s="14" t="s">
        <v>1400</v>
      </c>
      <c r="I3420" s="14" t="s">
        <v>75</v>
      </c>
      <c r="J3420" s="14" t="s">
        <v>201</v>
      </c>
      <c r="K3420" s="14">
        <v>1</v>
      </c>
      <c r="L3420" s="14" t="s">
        <v>1400</v>
      </c>
      <c r="N3420" s="14">
        <v>0</v>
      </c>
      <c r="O3420" s="14" t="b">
        <v>1</v>
      </c>
      <c r="Q3420" s="14" t="b">
        <v>0</v>
      </c>
      <c r="R3420" s="14">
        <v>1</v>
      </c>
      <c r="S3420" s="14" t="s">
        <v>77</v>
      </c>
      <c r="T3420" s="14">
        <v>999</v>
      </c>
      <c r="U3420" s="14" t="s">
        <v>1401</v>
      </c>
      <c r="V3420" s="14">
        <v>31937103</v>
      </c>
      <c r="X3420" s="14" t="s">
        <v>6491</v>
      </c>
      <c r="Y3420" s="14" t="s">
        <v>215</v>
      </c>
      <c r="Z3420" s="14">
        <v>22183</v>
      </c>
      <c r="AA3420" s="14" t="s">
        <v>6492</v>
      </c>
      <c r="AB3420" s="14">
        <v>40001</v>
      </c>
      <c r="AE3420" s="14" t="s">
        <v>1400</v>
      </c>
      <c r="AF3420" s="14" t="s">
        <v>1400</v>
      </c>
      <c r="AG3420" s="14" t="s">
        <v>101</v>
      </c>
    </row>
    <row r="3421" spans="2:33">
      <c r="B3421" s="14">
        <f>10000000+INDEX(编号表!$B:$B,MATCH(H3421,编号表!$A:$A,0))*100000+INDEX(编号表!$F:$F,MATCH(D3421,编号表!$E:$E,0))*10000+INDEX(编号表!$D:$D,MATCH(AG3421,编号表!$C:$C,0))*1000+F3421</f>
        <v>11947104</v>
      </c>
      <c r="C3421" s="14" t="s">
        <v>6488</v>
      </c>
      <c r="D3421" s="14" t="s">
        <v>104</v>
      </c>
      <c r="E3421" s="14" t="s">
        <v>101</v>
      </c>
      <c r="F3421" s="14">
        <v>104</v>
      </c>
      <c r="G3421" s="14">
        <v>60</v>
      </c>
      <c r="H3421" s="14" t="s">
        <v>1400</v>
      </c>
      <c r="I3421" s="14" t="s">
        <v>75</v>
      </c>
      <c r="J3421" s="14" t="s">
        <v>201</v>
      </c>
      <c r="K3421" s="14">
        <v>1</v>
      </c>
      <c r="L3421" s="14" t="s">
        <v>1400</v>
      </c>
      <c r="N3421" s="14">
        <v>0</v>
      </c>
      <c r="O3421" s="14" t="b">
        <v>1</v>
      </c>
      <c r="Q3421" s="14" t="b">
        <v>0</v>
      </c>
      <c r="R3421" s="14">
        <v>1</v>
      </c>
      <c r="S3421" s="14" t="s">
        <v>77</v>
      </c>
      <c r="T3421" s="14">
        <v>999</v>
      </c>
      <c r="U3421" s="14" t="s">
        <v>1401</v>
      </c>
      <c r="V3421" s="14">
        <v>31947104</v>
      </c>
      <c r="X3421" s="14" t="s">
        <v>6493</v>
      </c>
      <c r="Y3421" s="14" t="s">
        <v>215</v>
      </c>
      <c r="Z3421" s="14">
        <v>22184</v>
      </c>
      <c r="AA3421" s="14" t="s">
        <v>6494</v>
      </c>
      <c r="AB3421" s="14">
        <v>40001</v>
      </c>
      <c r="AE3421" s="14" t="s">
        <v>1400</v>
      </c>
      <c r="AF3421" s="14" t="s">
        <v>1400</v>
      </c>
      <c r="AG3421" s="14" t="s">
        <v>101</v>
      </c>
    </row>
    <row r="3422" spans="2:33">
      <c r="B3422" s="14">
        <f>10000000+INDEX(编号表!$B:$B,MATCH(H3422,编号表!$A:$A,0))*100000+INDEX(编号表!$F:$F,MATCH(D3422,编号表!$E:$E,0))*10000+INDEX(编号表!$D:$D,MATCH(AG3422,编号表!$C:$C,0))*1000+F3422</f>
        <v>11927103</v>
      </c>
      <c r="C3422" s="14" t="s">
        <v>6495</v>
      </c>
      <c r="D3422" s="14" t="s">
        <v>112</v>
      </c>
      <c r="E3422" s="14" t="s">
        <v>101</v>
      </c>
      <c r="F3422" s="14">
        <v>103</v>
      </c>
      <c r="G3422" s="14">
        <v>60</v>
      </c>
      <c r="H3422" s="14" t="s">
        <v>1400</v>
      </c>
      <c r="I3422" s="14" t="s">
        <v>75</v>
      </c>
      <c r="J3422" s="14" t="s">
        <v>201</v>
      </c>
      <c r="K3422" s="14">
        <v>1</v>
      </c>
      <c r="L3422" s="14" t="s">
        <v>1400</v>
      </c>
      <c r="N3422" s="14">
        <v>0</v>
      </c>
      <c r="O3422" s="14" t="b">
        <v>1</v>
      </c>
      <c r="Q3422" s="14" t="b">
        <v>0</v>
      </c>
      <c r="R3422" s="14">
        <v>1</v>
      </c>
      <c r="S3422" s="14" t="s">
        <v>77</v>
      </c>
      <c r="T3422" s="14">
        <v>999</v>
      </c>
      <c r="U3422" s="14" t="s">
        <v>1401</v>
      </c>
      <c r="V3422" s="14">
        <v>31927103</v>
      </c>
      <c r="X3422" s="14" t="s">
        <v>6496</v>
      </c>
      <c r="Y3422" s="14" t="s">
        <v>215</v>
      </c>
      <c r="Z3422" s="14">
        <v>22185</v>
      </c>
      <c r="AA3422" s="14" t="s">
        <v>6497</v>
      </c>
      <c r="AB3422" s="14">
        <v>40001</v>
      </c>
      <c r="AE3422" s="14" t="s">
        <v>1400</v>
      </c>
      <c r="AF3422" s="14" t="s">
        <v>1400</v>
      </c>
      <c r="AG3422" s="14" t="s">
        <v>101</v>
      </c>
    </row>
    <row r="3423" spans="2:33">
      <c r="B3423" s="14">
        <f>10000000+INDEX(编号表!$B:$B,MATCH(H3423,编号表!$A:$A,0))*100000+INDEX(编号表!$F:$F,MATCH(D3423,编号表!$E:$E,0))*10000+INDEX(编号表!$D:$D,MATCH(AG3423,编号表!$C:$C,0))*1000+F3423</f>
        <v>11937104</v>
      </c>
      <c r="C3423" s="14" t="s">
        <v>6495</v>
      </c>
      <c r="D3423" s="14" t="s">
        <v>276</v>
      </c>
      <c r="E3423" s="14" t="s">
        <v>101</v>
      </c>
      <c r="F3423" s="14">
        <v>104</v>
      </c>
      <c r="G3423" s="14">
        <v>60</v>
      </c>
      <c r="H3423" s="14" t="s">
        <v>1400</v>
      </c>
      <c r="I3423" s="14" t="s">
        <v>75</v>
      </c>
      <c r="J3423" s="14" t="s">
        <v>201</v>
      </c>
      <c r="K3423" s="14">
        <v>1</v>
      </c>
      <c r="L3423" s="14" t="s">
        <v>1400</v>
      </c>
      <c r="N3423" s="14">
        <v>0</v>
      </c>
      <c r="O3423" s="14" t="b">
        <v>1</v>
      </c>
      <c r="Q3423" s="14" t="b">
        <v>0</v>
      </c>
      <c r="R3423" s="14">
        <v>1</v>
      </c>
      <c r="S3423" s="14" t="s">
        <v>77</v>
      </c>
      <c r="T3423" s="14">
        <v>999</v>
      </c>
      <c r="U3423" s="14" t="s">
        <v>1401</v>
      </c>
      <c r="V3423" s="14">
        <v>31937104</v>
      </c>
      <c r="X3423" s="14" t="s">
        <v>6498</v>
      </c>
      <c r="Y3423" s="14" t="s">
        <v>215</v>
      </c>
      <c r="Z3423" s="14">
        <v>22186</v>
      </c>
      <c r="AA3423" s="14" t="s">
        <v>6499</v>
      </c>
      <c r="AB3423" s="14">
        <v>40001</v>
      </c>
      <c r="AE3423" s="14" t="s">
        <v>1400</v>
      </c>
      <c r="AF3423" s="14" t="s">
        <v>1400</v>
      </c>
      <c r="AG3423" s="14" t="s">
        <v>101</v>
      </c>
    </row>
    <row r="3424" spans="2:33">
      <c r="B3424" s="14">
        <f>10000000+INDEX(编号表!$B:$B,MATCH(H3424,编号表!$A:$A,0))*100000+INDEX(编号表!$F:$F,MATCH(D3424,编号表!$E:$E,0))*10000+INDEX(编号表!$D:$D,MATCH(AG3424,编号表!$C:$C,0))*1000+F3424</f>
        <v>11947105</v>
      </c>
      <c r="C3424" s="14" t="s">
        <v>6495</v>
      </c>
      <c r="D3424" s="14" t="s">
        <v>104</v>
      </c>
      <c r="E3424" s="14" t="s">
        <v>101</v>
      </c>
      <c r="F3424" s="14">
        <v>105</v>
      </c>
      <c r="G3424" s="14">
        <v>60</v>
      </c>
      <c r="H3424" s="14" t="s">
        <v>1400</v>
      </c>
      <c r="I3424" s="14" t="s">
        <v>75</v>
      </c>
      <c r="J3424" s="14" t="s">
        <v>201</v>
      </c>
      <c r="K3424" s="14">
        <v>1</v>
      </c>
      <c r="L3424" s="14" t="s">
        <v>1400</v>
      </c>
      <c r="N3424" s="14">
        <v>0</v>
      </c>
      <c r="O3424" s="14" t="b">
        <v>1</v>
      </c>
      <c r="Q3424" s="14" t="b">
        <v>0</v>
      </c>
      <c r="R3424" s="14">
        <v>1</v>
      </c>
      <c r="S3424" s="14" t="s">
        <v>77</v>
      </c>
      <c r="T3424" s="14">
        <v>999</v>
      </c>
      <c r="U3424" s="14" t="s">
        <v>1401</v>
      </c>
      <c r="V3424" s="14">
        <v>31947105</v>
      </c>
      <c r="X3424" s="14" t="s">
        <v>6500</v>
      </c>
      <c r="Y3424" s="14" t="s">
        <v>215</v>
      </c>
      <c r="Z3424" s="14">
        <v>22187</v>
      </c>
      <c r="AA3424" s="14" t="s">
        <v>6501</v>
      </c>
      <c r="AB3424" s="14">
        <v>40001</v>
      </c>
      <c r="AE3424" s="14" t="s">
        <v>1400</v>
      </c>
      <c r="AF3424" s="14" t="s">
        <v>1400</v>
      </c>
      <c r="AG3424" s="14" t="s">
        <v>101</v>
      </c>
    </row>
    <row r="3425" spans="2:33">
      <c r="B3425" s="14">
        <f>10000000+INDEX(编号表!$B:$B,MATCH(H3425,编号表!$A:$A,0))*100000+INDEX(编号表!$F:$F,MATCH(D3425,编号表!$E:$E,0))*10000+INDEX(编号表!$D:$D,MATCH(AG3425,编号表!$C:$C,0))*1000+F3425</f>
        <v>11927104</v>
      </c>
      <c r="C3425" s="14" t="s">
        <v>6502</v>
      </c>
      <c r="D3425" s="14" t="s">
        <v>112</v>
      </c>
      <c r="E3425" s="14" t="s">
        <v>101</v>
      </c>
      <c r="F3425" s="14">
        <v>104</v>
      </c>
      <c r="G3425" s="14">
        <v>60</v>
      </c>
      <c r="H3425" s="14" t="s">
        <v>1400</v>
      </c>
      <c r="I3425" s="14" t="s">
        <v>75</v>
      </c>
      <c r="J3425" s="14" t="s">
        <v>201</v>
      </c>
      <c r="K3425" s="14">
        <v>1</v>
      </c>
      <c r="L3425" s="14" t="s">
        <v>1400</v>
      </c>
      <c r="N3425" s="14">
        <v>0</v>
      </c>
      <c r="O3425" s="14" t="b">
        <v>1</v>
      </c>
      <c r="Q3425" s="14" t="b">
        <v>0</v>
      </c>
      <c r="R3425" s="14">
        <v>1</v>
      </c>
      <c r="S3425" s="14" t="s">
        <v>77</v>
      </c>
      <c r="T3425" s="14">
        <v>999</v>
      </c>
      <c r="U3425" s="14" t="s">
        <v>1401</v>
      </c>
      <c r="V3425" s="14">
        <v>31927104</v>
      </c>
      <c r="X3425" s="14" t="s">
        <v>6503</v>
      </c>
      <c r="Y3425" s="14" t="s">
        <v>215</v>
      </c>
      <c r="Z3425" s="14">
        <v>22188</v>
      </c>
      <c r="AA3425" s="14" t="s">
        <v>6504</v>
      </c>
      <c r="AB3425" s="14">
        <v>40001</v>
      </c>
      <c r="AE3425" s="14" t="s">
        <v>1400</v>
      </c>
      <c r="AF3425" s="14" t="s">
        <v>1400</v>
      </c>
      <c r="AG3425" s="14" t="s">
        <v>101</v>
      </c>
    </row>
    <row r="3426" spans="2:33">
      <c r="B3426" s="14">
        <f>10000000+INDEX(编号表!$B:$B,MATCH(H3426,编号表!$A:$A,0))*100000+INDEX(编号表!$F:$F,MATCH(D3426,编号表!$E:$E,0))*10000+INDEX(编号表!$D:$D,MATCH(AG3426,编号表!$C:$C,0))*1000+F3426</f>
        <v>11937105</v>
      </c>
      <c r="C3426" s="14" t="s">
        <v>6502</v>
      </c>
      <c r="D3426" s="14" t="s">
        <v>276</v>
      </c>
      <c r="E3426" s="14" t="s">
        <v>101</v>
      </c>
      <c r="F3426" s="14">
        <v>105</v>
      </c>
      <c r="G3426" s="14">
        <v>60</v>
      </c>
      <c r="H3426" s="14" t="s">
        <v>1400</v>
      </c>
      <c r="I3426" s="14" t="s">
        <v>75</v>
      </c>
      <c r="J3426" s="14" t="s">
        <v>201</v>
      </c>
      <c r="K3426" s="14">
        <v>1</v>
      </c>
      <c r="L3426" s="14" t="s">
        <v>1400</v>
      </c>
      <c r="N3426" s="14">
        <v>0</v>
      </c>
      <c r="O3426" s="14" t="b">
        <v>1</v>
      </c>
      <c r="Q3426" s="14" t="b">
        <v>0</v>
      </c>
      <c r="R3426" s="14">
        <v>1</v>
      </c>
      <c r="S3426" s="14" t="s">
        <v>77</v>
      </c>
      <c r="T3426" s="14">
        <v>999</v>
      </c>
      <c r="U3426" s="14" t="s">
        <v>1401</v>
      </c>
      <c r="V3426" s="14">
        <v>31937105</v>
      </c>
      <c r="X3426" s="14" t="s">
        <v>6505</v>
      </c>
      <c r="Y3426" s="14" t="s">
        <v>215</v>
      </c>
      <c r="Z3426" s="14">
        <v>22189</v>
      </c>
      <c r="AA3426" s="14" t="s">
        <v>6506</v>
      </c>
      <c r="AB3426" s="14">
        <v>40001</v>
      </c>
      <c r="AE3426" s="14" t="s">
        <v>1400</v>
      </c>
      <c r="AF3426" s="14" t="s">
        <v>1400</v>
      </c>
      <c r="AG3426" s="14" t="s">
        <v>101</v>
      </c>
    </row>
    <row r="3427" spans="2:33">
      <c r="B3427" s="14">
        <f>10000000+INDEX(编号表!$B:$B,MATCH(H3427,编号表!$A:$A,0))*100000+INDEX(编号表!$F:$F,MATCH(D3427,编号表!$E:$E,0))*10000+INDEX(编号表!$D:$D,MATCH(AG3427,编号表!$C:$C,0))*1000+F3427</f>
        <v>11947106</v>
      </c>
      <c r="C3427" s="14" t="s">
        <v>6502</v>
      </c>
      <c r="D3427" s="14" t="s">
        <v>104</v>
      </c>
      <c r="E3427" s="14" t="s">
        <v>101</v>
      </c>
      <c r="F3427" s="14">
        <v>106</v>
      </c>
      <c r="G3427" s="14">
        <v>60</v>
      </c>
      <c r="H3427" s="14" t="s">
        <v>1400</v>
      </c>
      <c r="I3427" s="14" t="s">
        <v>75</v>
      </c>
      <c r="J3427" s="14" t="s">
        <v>201</v>
      </c>
      <c r="K3427" s="14">
        <v>1</v>
      </c>
      <c r="L3427" s="14" t="s">
        <v>1400</v>
      </c>
      <c r="N3427" s="14">
        <v>0</v>
      </c>
      <c r="O3427" s="14" t="b">
        <v>1</v>
      </c>
      <c r="Q3427" s="14" t="b">
        <v>0</v>
      </c>
      <c r="R3427" s="14">
        <v>1</v>
      </c>
      <c r="S3427" s="14" t="s">
        <v>77</v>
      </c>
      <c r="T3427" s="14">
        <v>999</v>
      </c>
      <c r="U3427" s="14" t="s">
        <v>1401</v>
      </c>
      <c r="V3427" s="14">
        <v>31947106</v>
      </c>
      <c r="X3427" s="14" t="s">
        <v>6507</v>
      </c>
      <c r="Y3427" s="14" t="s">
        <v>215</v>
      </c>
      <c r="Z3427" s="14">
        <v>22190</v>
      </c>
      <c r="AA3427" s="14" t="s">
        <v>6508</v>
      </c>
      <c r="AB3427" s="14">
        <v>40001</v>
      </c>
      <c r="AE3427" s="14" t="s">
        <v>1400</v>
      </c>
      <c r="AF3427" s="14" t="s">
        <v>1400</v>
      </c>
      <c r="AG3427" s="14" t="s">
        <v>101</v>
      </c>
    </row>
    <row r="3428" spans="2:33">
      <c r="B3428" s="14">
        <f>10000000+INDEX(编号表!$B:$B,MATCH(H3428,编号表!$A:$A,0))*100000+INDEX(编号表!$F:$F,MATCH(D3428,编号表!$E:$E,0))*10000+INDEX(编号表!$D:$D,MATCH(AG3428,编号表!$C:$C,0))*1000+F3428</f>
        <v>11927105</v>
      </c>
      <c r="C3428" s="14" t="s">
        <v>6509</v>
      </c>
      <c r="D3428" s="14" t="s">
        <v>112</v>
      </c>
      <c r="E3428" s="14" t="s">
        <v>101</v>
      </c>
      <c r="F3428" s="14">
        <v>105</v>
      </c>
      <c r="G3428" s="14">
        <v>60</v>
      </c>
      <c r="H3428" s="14" t="s">
        <v>1400</v>
      </c>
      <c r="I3428" s="14" t="s">
        <v>75</v>
      </c>
      <c r="J3428" s="14" t="s">
        <v>201</v>
      </c>
      <c r="K3428" s="14">
        <v>1</v>
      </c>
      <c r="L3428" s="14" t="s">
        <v>1400</v>
      </c>
      <c r="N3428" s="14">
        <v>0</v>
      </c>
      <c r="O3428" s="14" t="b">
        <v>1</v>
      </c>
      <c r="Q3428" s="14" t="b">
        <v>0</v>
      </c>
      <c r="R3428" s="14">
        <v>1</v>
      </c>
      <c r="S3428" s="14" t="s">
        <v>77</v>
      </c>
      <c r="T3428" s="14">
        <v>999</v>
      </c>
      <c r="U3428" s="14" t="s">
        <v>1401</v>
      </c>
      <c r="V3428" s="14">
        <v>31927105</v>
      </c>
      <c r="X3428" s="14" t="s">
        <v>6510</v>
      </c>
      <c r="Y3428" s="14" t="s">
        <v>215</v>
      </c>
      <c r="Z3428" s="14">
        <v>22191</v>
      </c>
      <c r="AA3428" s="14" t="s">
        <v>6511</v>
      </c>
      <c r="AB3428" s="14">
        <v>40001</v>
      </c>
      <c r="AE3428" s="14" t="s">
        <v>1400</v>
      </c>
      <c r="AF3428" s="14" t="s">
        <v>1400</v>
      </c>
      <c r="AG3428" s="14" t="s">
        <v>101</v>
      </c>
    </row>
    <row r="3429" spans="2:33">
      <c r="B3429" s="14">
        <f>10000000+INDEX(编号表!$B:$B,MATCH(H3429,编号表!$A:$A,0))*100000+INDEX(编号表!$F:$F,MATCH(D3429,编号表!$E:$E,0))*10000+INDEX(编号表!$D:$D,MATCH(AG3429,编号表!$C:$C,0))*1000+F3429</f>
        <v>11937106</v>
      </c>
      <c r="C3429" s="14" t="s">
        <v>6509</v>
      </c>
      <c r="D3429" s="14" t="s">
        <v>276</v>
      </c>
      <c r="E3429" s="14" t="s">
        <v>101</v>
      </c>
      <c r="F3429" s="14">
        <v>106</v>
      </c>
      <c r="G3429" s="14">
        <v>60</v>
      </c>
      <c r="H3429" s="14" t="s">
        <v>1400</v>
      </c>
      <c r="I3429" s="14" t="s">
        <v>75</v>
      </c>
      <c r="J3429" s="14" t="s">
        <v>201</v>
      </c>
      <c r="K3429" s="14">
        <v>1</v>
      </c>
      <c r="L3429" s="14" t="s">
        <v>1400</v>
      </c>
      <c r="N3429" s="14">
        <v>0</v>
      </c>
      <c r="O3429" s="14" t="b">
        <v>1</v>
      </c>
      <c r="Q3429" s="14" t="b">
        <v>0</v>
      </c>
      <c r="R3429" s="14">
        <v>1</v>
      </c>
      <c r="S3429" s="14" t="s">
        <v>77</v>
      </c>
      <c r="T3429" s="14">
        <v>999</v>
      </c>
      <c r="U3429" s="14" t="s">
        <v>1401</v>
      </c>
      <c r="V3429" s="14">
        <v>31937106</v>
      </c>
      <c r="X3429" s="14" t="s">
        <v>6512</v>
      </c>
      <c r="Y3429" s="14" t="s">
        <v>215</v>
      </c>
      <c r="Z3429" s="14">
        <v>22192</v>
      </c>
      <c r="AA3429" s="14" t="s">
        <v>6513</v>
      </c>
      <c r="AB3429" s="14">
        <v>40001</v>
      </c>
      <c r="AE3429" s="14" t="s">
        <v>1400</v>
      </c>
      <c r="AF3429" s="14" t="s">
        <v>1400</v>
      </c>
      <c r="AG3429" s="14" t="s">
        <v>101</v>
      </c>
    </row>
    <row r="3430" spans="2:33">
      <c r="B3430" s="14">
        <f>10000000+INDEX(编号表!$B:$B,MATCH(H3430,编号表!$A:$A,0))*100000+INDEX(编号表!$F:$F,MATCH(D3430,编号表!$E:$E,0))*10000+INDEX(编号表!$D:$D,MATCH(AG3430,编号表!$C:$C,0))*1000+F3430</f>
        <v>11947107</v>
      </c>
      <c r="C3430" s="14" t="s">
        <v>6509</v>
      </c>
      <c r="D3430" s="14" t="s">
        <v>104</v>
      </c>
      <c r="E3430" s="14" t="s">
        <v>101</v>
      </c>
      <c r="F3430" s="14">
        <v>107</v>
      </c>
      <c r="G3430" s="14">
        <v>60</v>
      </c>
      <c r="H3430" s="14" t="s">
        <v>1400</v>
      </c>
      <c r="I3430" s="14" t="s">
        <v>75</v>
      </c>
      <c r="J3430" s="14" t="s">
        <v>201</v>
      </c>
      <c r="K3430" s="14">
        <v>1</v>
      </c>
      <c r="L3430" s="14" t="s">
        <v>1400</v>
      </c>
      <c r="N3430" s="14">
        <v>0</v>
      </c>
      <c r="O3430" s="14" t="b">
        <v>1</v>
      </c>
      <c r="Q3430" s="14" t="b">
        <v>0</v>
      </c>
      <c r="R3430" s="14">
        <v>1</v>
      </c>
      <c r="S3430" s="14" t="s">
        <v>77</v>
      </c>
      <c r="T3430" s="14">
        <v>999</v>
      </c>
      <c r="U3430" s="14" t="s">
        <v>1401</v>
      </c>
      <c r="V3430" s="14">
        <v>31947107</v>
      </c>
      <c r="X3430" s="14" t="s">
        <v>6514</v>
      </c>
      <c r="Y3430" s="14" t="s">
        <v>215</v>
      </c>
      <c r="Z3430" s="14">
        <v>22193</v>
      </c>
      <c r="AA3430" s="14" t="s">
        <v>6515</v>
      </c>
      <c r="AB3430" s="14">
        <v>40001</v>
      </c>
      <c r="AE3430" s="14" t="s">
        <v>1400</v>
      </c>
      <c r="AF3430" s="14" t="s">
        <v>1400</v>
      </c>
      <c r="AG3430" s="14" t="s">
        <v>101</v>
      </c>
    </row>
    <row r="3431" spans="2:33">
      <c r="B3431" s="14">
        <f>10000000+INDEX(编号表!$B:$B,MATCH(H3431,编号表!$A:$A,0))*100000+INDEX(编号表!$F:$F,MATCH(D3431,编号表!$E:$E,0))*10000+INDEX(编号表!$D:$D,MATCH(AG3431,编号表!$C:$C,0))*1000+F3431</f>
        <v>11927106</v>
      </c>
      <c r="C3431" s="14" t="s">
        <v>6516</v>
      </c>
      <c r="D3431" s="14" t="s">
        <v>112</v>
      </c>
      <c r="E3431" s="14" t="s">
        <v>101</v>
      </c>
      <c r="F3431" s="14">
        <v>106</v>
      </c>
      <c r="G3431" s="14">
        <v>60</v>
      </c>
      <c r="H3431" s="14" t="s">
        <v>1400</v>
      </c>
      <c r="I3431" s="14" t="s">
        <v>75</v>
      </c>
      <c r="J3431" s="14" t="s">
        <v>201</v>
      </c>
      <c r="K3431" s="14">
        <v>1</v>
      </c>
      <c r="L3431" s="14" t="s">
        <v>1400</v>
      </c>
      <c r="N3431" s="14">
        <v>0</v>
      </c>
      <c r="O3431" s="14" t="b">
        <v>1</v>
      </c>
      <c r="Q3431" s="14" t="b">
        <v>0</v>
      </c>
      <c r="R3431" s="14">
        <v>1</v>
      </c>
      <c r="S3431" s="14" t="s">
        <v>77</v>
      </c>
      <c r="T3431" s="14">
        <v>999</v>
      </c>
      <c r="U3431" s="14" t="s">
        <v>1401</v>
      </c>
      <c r="V3431" s="14">
        <v>31927106</v>
      </c>
      <c r="X3431" s="14" t="s">
        <v>6517</v>
      </c>
      <c r="Y3431" s="14" t="s">
        <v>215</v>
      </c>
      <c r="Z3431" s="14">
        <v>22194</v>
      </c>
      <c r="AA3431" s="14" t="s">
        <v>6518</v>
      </c>
      <c r="AB3431" s="14">
        <v>40001</v>
      </c>
      <c r="AE3431" s="14" t="s">
        <v>1400</v>
      </c>
      <c r="AF3431" s="14" t="s">
        <v>1400</v>
      </c>
      <c r="AG3431" s="14" t="s">
        <v>101</v>
      </c>
    </row>
    <row r="3432" spans="2:33">
      <c r="B3432" s="14">
        <f>10000000+INDEX(编号表!$B:$B,MATCH(H3432,编号表!$A:$A,0))*100000+INDEX(编号表!$F:$F,MATCH(D3432,编号表!$E:$E,0))*10000+INDEX(编号表!$D:$D,MATCH(AG3432,编号表!$C:$C,0))*1000+F3432</f>
        <v>11937107</v>
      </c>
      <c r="C3432" s="14" t="s">
        <v>6516</v>
      </c>
      <c r="D3432" s="14" t="s">
        <v>276</v>
      </c>
      <c r="E3432" s="14" t="s">
        <v>101</v>
      </c>
      <c r="F3432" s="14">
        <v>107</v>
      </c>
      <c r="G3432" s="14">
        <v>60</v>
      </c>
      <c r="H3432" s="14" t="s">
        <v>1400</v>
      </c>
      <c r="I3432" s="14" t="s">
        <v>75</v>
      </c>
      <c r="J3432" s="14" t="s">
        <v>201</v>
      </c>
      <c r="K3432" s="14">
        <v>1</v>
      </c>
      <c r="L3432" s="14" t="s">
        <v>1400</v>
      </c>
      <c r="N3432" s="14">
        <v>0</v>
      </c>
      <c r="O3432" s="14" t="b">
        <v>1</v>
      </c>
      <c r="Q3432" s="14" t="b">
        <v>0</v>
      </c>
      <c r="R3432" s="14">
        <v>1</v>
      </c>
      <c r="S3432" s="14" t="s">
        <v>77</v>
      </c>
      <c r="T3432" s="14">
        <v>999</v>
      </c>
      <c r="U3432" s="14" t="s">
        <v>1401</v>
      </c>
      <c r="V3432" s="14">
        <v>31937107</v>
      </c>
      <c r="X3432" s="14" t="s">
        <v>6519</v>
      </c>
      <c r="Y3432" s="14" t="s">
        <v>215</v>
      </c>
      <c r="Z3432" s="14">
        <v>22195</v>
      </c>
      <c r="AA3432" s="14" t="s">
        <v>6520</v>
      </c>
      <c r="AB3432" s="14">
        <v>40001</v>
      </c>
      <c r="AE3432" s="14" t="s">
        <v>1400</v>
      </c>
      <c r="AF3432" s="14" t="s">
        <v>1400</v>
      </c>
      <c r="AG3432" s="14" t="s">
        <v>101</v>
      </c>
    </row>
    <row r="3433" spans="2:33">
      <c r="B3433" s="14">
        <f>10000000+INDEX(编号表!$B:$B,MATCH(H3433,编号表!$A:$A,0))*100000+INDEX(编号表!$F:$F,MATCH(D3433,编号表!$E:$E,0))*10000+INDEX(编号表!$D:$D,MATCH(AG3433,编号表!$C:$C,0))*1000+F3433</f>
        <v>11947108</v>
      </c>
      <c r="C3433" s="14" t="s">
        <v>6516</v>
      </c>
      <c r="D3433" s="14" t="s">
        <v>104</v>
      </c>
      <c r="E3433" s="14" t="s">
        <v>101</v>
      </c>
      <c r="F3433" s="14">
        <v>108</v>
      </c>
      <c r="G3433" s="14">
        <v>60</v>
      </c>
      <c r="H3433" s="14" t="s">
        <v>1400</v>
      </c>
      <c r="I3433" s="14" t="s">
        <v>75</v>
      </c>
      <c r="J3433" s="14" t="s">
        <v>201</v>
      </c>
      <c r="K3433" s="14">
        <v>1</v>
      </c>
      <c r="L3433" s="14" t="s">
        <v>1400</v>
      </c>
      <c r="N3433" s="14">
        <v>0</v>
      </c>
      <c r="O3433" s="14" t="b">
        <v>1</v>
      </c>
      <c r="Q3433" s="14" t="b">
        <v>0</v>
      </c>
      <c r="R3433" s="14">
        <v>1</v>
      </c>
      <c r="S3433" s="14" t="s">
        <v>77</v>
      </c>
      <c r="T3433" s="14">
        <v>999</v>
      </c>
      <c r="U3433" s="14" t="s">
        <v>1401</v>
      </c>
      <c r="V3433" s="14">
        <v>31947108</v>
      </c>
      <c r="X3433" s="14" t="s">
        <v>6521</v>
      </c>
      <c r="Y3433" s="14" t="s">
        <v>215</v>
      </c>
      <c r="Z3433" s="14">
        <v>22196</v>
      </c>
      <c r="AA3433" s="14" t="s">
        <v>6522</v>
      </c>
      <c r="AB3433" s="14">
        <v>40001</v>
      </c>
      <c r="AE3433" s="14" t="s">
        <v>1400</v>
      </c>
      <c r="AF3433" s="14" t="s">
        <v>1400</v>
      </c>
      <c r="AG3433" s="14" t="s">
        <v>101</v>
      </c>
    </row>
    <row r="3434" spans="2:33">
      <c r="B3434" s="14">
        <f>10000000+INDEX(编号表!$B:$B,MATCH(H3434,编号表!$A:$A,0))*100000+INDEX(编号表!$F:$F,MATCH(D3434,编号表!$E:$E,0))*10000+INDEX(编号表!$D:$D,MATCH(AG3434,编号表!$C:$C,0))*1000+F3434</f>
        <v>11927107</v>
      </c>
      <c r="C3434" s="14" t="s">
        <v>6523</v>
      </c>
      <c r="D3434" s="14" t="s">
        <v>112</v>
      </c>
      <c r="E3434" s="14" t="s">
        <v>101</v>
      </c>
      <c r="F3434" s="14">
        <v>107</v>
      </c>
      <c r="G3434" s="14">
        <v>60</v>
      </c>
      <c r="H3434" s="14" t="s">
        <v>1400</v>
      </c>
      <c r="I3434" s="14" t="s">
        <v>75</v>
      </c>
      <c r="J3434" s="14" t="s">
        <v>201</v>
      </c>
      <c r="K3434" s="14">
        <v>1</v>
      </c>
      <c r="L3434" s="14" t="s">
        <v>1400</v>
      </c>
      <c r="N3434" s="14">
        <v>0</v>
      </c>
      <c r="O3434" s="14" t="b">
        <v>1</v>
      </c>
      <c r="Q3434" s="14" t="b">
        <v>0</v>
      </c>
      <c r="R3434" s="14">
        <v>1</v>
      </c>
      <c r="S3434" s="14" t="s">
        <v>77</v>
      </c>
      <c r="T3434" s="14">
        <v>999</v>
      </c>
      <c r="U3434" s="14" t="s">
        <v>1401</v>
      </c>
      <c r="V3434" s="14">
        <v>31927107</v>
      </c>
      <c r="X3434" s="14" t="s">
        <v>6524</v>
      </c>
      <c r="Y3434" s="14" t="s">
        <v>215</v>
      </c>
      <c r="Z3434" s="14">
        <v>22197</v>
      </c>
      <c r="AA3434" s="14" t="s">
        <v>6525</v>
      </c>
      <c r="AB3434" s="14">
        <v>40001</v>
      </c>
      <c r="AE3434" s="14" t="s">
        <v>1400</v>
      </c>
      <c r="AF3434" s="14" t="s">
        <v>1400</v>
      </c>
      <c r="AG3434" s="14" t="s">
        <v>101</v>
      </c>
    </row>
    <row r="3435" spans="2:33">
      <c r="B3435" s="14">
        <f>10000000+INDEX(编号表!$B:$B,MATCH(H3435,编号表!$A:$A,0))*100000+INDEX(编号表!$F:$F,MATCH(D3435,编号表!$E:$E,0))*10000+INDEX(编号表!$D:$D,MATCH(AG3435,编号表!$C:$C,0))*1000+F3435</f>
        <v>11937108</v>
      </c>
      <c r="C3435" s="14" t="s">
        <v>6523</v>
      </c>
      <c r="D3435" s="14" t="s">
        <v>276</v>
      </c>
      <c r="E3435" s="14" t="s">
        <v>101</v>
      </c>
      <c r="F3435" s="14">
        <v>108</v>
      </c>
      <c r="G3435" s="14">
        <v>60</v>
      </c>
      <c r="H3435" s="14" t="s">
        <v>1400</v>
      </c>
      <c r="I3435" s="14" t="s">
        <v>75</v>
      </c>
      <c r="J3435" s="14" t="s">
        <v>201</v>
      </c>
      <c r="K3435" s="14">
        <v>1</v>
      </c>
      <c r="L3435" s="14" t="s">
        <v>1400</v>
      </c>
      <c r="N3435" s="14">
        <v>0</v>
      </c>
      <c r="O3435" s="14" t="b">
        <v>1</v>
      </c>
      <c r="Q3435" s="14" t="b">
        <v>0</v>
      </c>
      <c r="R3435" s="14">
        <v>1</v>
      </c>
      <c r="S3435" s="14" t="s">
        <v>77</v>
      </c>
      <c r="T3435" s="14">
        <v>999</v>
      </c>
      <c r="U3435" s="14" t="s">
        <v>1401</v>
      </c>
      <c r="V3435" s="14">
        <v>31937108</v>
      </c>
      <c r="X3435" s="14" t="s">
        <v>6526</v>
      </c>
      <c r="Y3435" s="14" t="s">
        <v>215</v>
      </c>
      <c r="Z3435" s="14">
        <v>22198</v>
      </c>
      <c r="AA3435" s="14" t="s">
        <v>6527</v>
      </c>
      <c r="AB3435" s="14">
        <v>40001</v>
      </c>
      <c r="AE3435" s="14" t="s">
        <v>1400</v>
      </c>
      <c r="AF3435" s="14" t="s">
        <v>1400</v>
      </c>
      <c r="AG3435" s="14" t="s">
        <v>101</v>
      </c>
    </row>
    <row r="3436" spans="2:33">
      <c r="B3436" s="14">
        <f>10000000+INDEX(编号表!$B:$B,MATCH(H3436,编号表!$A:$A,0))*100000+INDEX(编号表!$F:$F,MATCH(D3436,编号表!$E:$E,0))*10000+INDEX(编号表!$D:$D,MATCH(AG3436,编号表!$C:$C,0))*1000+F3436</f>
        <v>11947109</v>
      </c>
      <c r="C3436" s="14" t="s">
        <v>6523</v>
      </c>
      <c r="D3436" s="14" t="s">
        <v>104</v>
      </c>
      <c r="E3436" s="14" t="s">
        <v>101</v>
      </c>
      <c r="F3436" s="14">
        <v>109</v>
      </c>
      <c r="G3436" s="14">
        <v>60</v>
      </c>
      <c r="H3436" s="14" t="s">
        <v>1400</v>
      </c>
      <c r="I3436" s="14" t="s">
        <v>75</v>
      </c>
      <c r="J3436" s="14" t="s">
        <v>201</v>
      </c>
      <c r="K3436" s="14">
        <v>1</v>
      </c>
      <c r="L3436" s="14" t="s">
        <v>1400</v>
      </c>
      <c r="N3436" s="14">
        <v>0</v>
      </c>
      <c r="O3436" s="14" t="b">
        <v>1</v>
      </c>
      <c r="Q3436" s="14" t="b">
        <v>0</v>
      </c>
      <c r="R3436" s="14">
        <v>1</v>
      </c>
      <c r="S3436" s="14" t="s">
        <v>77</v>
      </c>
      <c r="T3436" s="14">
        <v>999</v>
      </c>
      <c r="U3436" s="14" t="s">
        <v>1401</v>
      </c>
      <c r="V3436" s="14">
        <v>31947109</v>
      </c>
      <c r="X3436" s="14" t="s">
        <v>6528</v>
      </c>
      <c r="Y3436" s="14" t="s">
        <v>215</v>
      </c>
      <c r="Z3436" s="14">
        <v>22199</v>
      </c>
      <c r="AA3436" s="14" t="s">
        <v>6529</v>
      </c>
      <c r="AB3436" s="14">
        <v>40001</v>
      </c>
      <c r="AE3436" s="14" t="s">
        <v>1400</v>
      </c>
      <c r="AF3436" s="14" t="s">
        <v>1400</v>
      </c>
      <c r="AG3436" s="14" t="s">
        <v>101</v>
      </c>
    </row>
    <row r="3437" spans="2:33">
      <c r="B3437" s="14">
        <f>10000000+INDEX(编号表!$B:$B,MATCH(H3437,编号表!$A:$A,0))*100000+INDEX(编号表!$F:$F,MATCH(D3437,编号表!$E:$E,0))*10000+INDEX(编号表!$D:$D,MATCH(AG3437,编号表!$C:$C,0))*1000+F3437</f>
        <v>11927108</v>
      </c>
      <c r="C3437" s="14" t="s">
        <v>6530</v>
      </c>
      <c r="D3437" s="14" t="s">
        <v>112</v>
      </c>
      <c r="E3437" s="14" t="s">
        <v>101</v>
      </c>
      <c r="F3437" s="14">
        <v>108</v>
      </c>
      <c r="G3437" s="14">
        <v>60</v>
      </c>
      <c r="H3437" s="14" t="s">
        <v>1400</v>
      </c>
      <c r="I3437" s="14" t="s">
        <v>75</v>
      </c>
      <c r="J3437" s="14" t="s">
        <v>201</v>
      </c>
      <c r="K3437" s="14">
        <v>1</v>
      </c>
      <c r="L3437" s="14" t="s">
        <v>1400</v>
      </c>
      <c r="N3437" s="14">
        <v>0</v>
      </c>
      <c r="O3437" s="14" t="b">
        <v>1</v>
      </c>
      <c r="Q3437" s="14" t="b">
        <v>0</v>
      </c>
      <c r="R3437" s="14">
        <v>1</v>
      </c>
      <c r="S3437" s="14" t="s">
        <v>77</v>
      </c>
      <c r="T3437" s="14">
        <v>999</v>
      </c>
      <c r="U3437" s="14" t="s">
        <v>1401</v>
      </c>
      <c r="V3437" s="14">
        <v>31927108</v>
      </c>
      <c r="X3437" s="14" t="s">
        <v>6531</v>
      </c>
      <c r="Y3437" s="14" t="s">
        <v>215</v>
      </c>
      <c r="Z3437" s="14">
        <v>22200</v>
      </c>
      <c r="AA3437" s="14" t="s">
        <v>6532</v>
      </c>
      <c r="AB3437" s="14">
        <v>40001</v>
      </c>
      <c r="AE3437" s="14" t="s">
        <v>1400</v>
      </c>
      <c r="AF3437" s="14" t="s">
        <v>1400</v>
      </c>
      <c r="AG3437" s="14" t="s">
        <v>101</v>
      </c>
    </row>
    <row r="3438" spans="2:33">
      <c r="B3438" s="14">
        <f>10000000+INDEX(编号表!$B:$B,MATCH(H3438,编号表!$A:$A,0))*100000+INDEX(编号表!$F:$F,MATCH(D3438,编号表!$E:$E,0))*10000+INDEX(编号表!$D:$D,MATCH(AG3438,编号表!$C:$C,0))*1000+F3438</f>
        <v>11937109</v>
      </c>
      <c r="C3438" s="14" t="s">
        <v>6530</v>
      </c>
      <c r="D3438" s="14" t="s">
        <v>276</v>
      </c>
      <c r="E3438" s="14" t="s">
        <v>101</v>
      </c>
      <c r="F3438" s="14">
        <v>109</v>
      </c>
      <c r="G3438" s="14">
        <v>60</v>
      </c>
      <c r="H3438" s="14" t="s">
        <v>1400</v>
      </c>
      <c r="I3438" s="14" t="s">
        <v>75</v>
      </c>
      <c r="J3438" s="14" t="s">
        <v>201</v>
      </c>
      <c r="K3438" s="14">
        <v>1</v>
      </c>
      <c r="L3438" s="14" t="s">
        <v>1400</v>
      </c>
      <c r="N3438" s="14">
        <v>0</v>
      </c>
      <c r="O3438" s="14" t="b">
        <v>1</v>
      </c>
      <c r="Q3438" s="14" t="b">
        <v>0</v>
      </c>
      <c r="R3438" s="14">
        <v>1</v>
      </c>
      <c r="S3438" s="14" t="s">
        <v>77</v>
      </c>
      <c r="T3438" s="14">
        <v>999</v>
      </c>
      <c r="U3438" s="14" t="s">
        <v>1401</v>
      </c>
      <c r="V3438" s="14">
        <v>31937109</v>
      </c>
      <c r="X3438" s="14" t="s">
        <v>6533</v>
      </c>
      <c r="Y3438" s="14" t="s">
        <v>215</v>
      </c>
      <c r="Z3438" s="14">
        <v>22201</v>
      </c>
      <c r="AA3438" s="14" t="s">
        <v>6534</v>
      </c>
      <c r="AB3438" s="14">
        <v>40001</v>
      </c>
      <c r="AE3438" s="14" t="s">
        <v>1400</v>
      </c>
      <c r="AF3438" s="14" t="s">
        <v>1400</v>
      </c>
      <c r="AG3438" s="14" t="s">
        <v>101</v>
      </c>
    </row>
    <row r="3439" spans="2:33">
      <c r="B3439" s="14">
        <f>10000000+INDEX(编号表!$B:$B,MATCH(H3439,编号表!$A:$A,0))*100000+INDEX(编号表!$F:$F,MATCH(D3439,编号表!$E:$E,0))*10000+INDEX(编号表!$D:$D,MATCH(AG3439,编号表!$C:$C,0))*1000+F3439</f>
        <v>11947110</v>
      </c>
      <c r="C3439" s="14" t="s">
        <v>6530</v>
      </c>
      <c r="D3439" s="14" t="s">
        <v>104</v>
      </c>
      <c r="E3439" s="14" t="s">
        <v>101</v>
      </c>
      <c r="F3439" s="14">
        <v>110</v>
      </c>
      <c r="G3439" s="14">
        <v>60</v>
      </c>
      <c r="H3439" s="14" t="s">
        <v>1400</v>
      </c>
      <c r="I3439" s="14" t="s">
        <v>75</v>
      </c>
      <c r="J3439" s="14" t="s">
        <v>201</v>
      </c>
      <c r="K3439" s="14">
        <v>1</v>
      </c>
      <c r="L3439" s="14" t="s">
        <v>1400</v>
      </c>
      <c r="N3439" s="14">
        <v>0</v>
      </c>
      <c r="O3439" s="14" t="b">
        <v>1</v>
      </c>
      <c r="Q3439" s="14" t="b">
        <v>0</v>
      </c>
      <c r="R3439" s="14">
        <v>1</v>
      </c>
      <c r="S3439" s="14" t="s">
        <v>77</v>
      </c>
      <c r="T3439" s="14">
        <v>999</v>
      </c>
      <c r="U3439" s="14" t="s">
        <v>1401</v>
      </c>
      <c r="V3439" s="14">
        <v>31947110</v>
      </c>
      <c r="X3439" s="14" t="s">
        <v>6535</v>
      </c>
      <c r="Y3439" s="14" t="s">
        <v>215</v>
      </c>
      <c r="Z3439" s="14">
        <v>22202</v>
      </c>
      <c r="AA3439" s="14" t="s">
        <v>6536</v>
      </c>
      <c r="AB3439" s="14">
        <v>40001</v>
      </c>
      <c r="AE3439" s="14" t="s">
        <v>1400</v>
      </c>
      <c r="AF3439" s="14" t="s">
        <v>1400</v>
      </c>
      <c r="AG3439" s="14" t="s">
        <v>101</v>
      </c>
    </row>
    <row r="3440" spans="2:33">
      <c r="B3440" s="14">
        <f>10000000+INDEX(编号表!$B:$B,MATCH(H3440,编号表!$A:$A,0))*100000+INDEX(编号表!$F:$F,MATCH(D3440,编号表!$E:$E,0))*10000+INDEX(编号表!$D:$D,MATCH(AG3440,编号表!$C:$C,0))*1000+F3440</f>
        <v>11927109</v>
      </c>
      <c r="C3440" s="14" t="s">
        <v>6537</v>
      </c>
      <c r="D3440" s="14" t="s">
        <v>112</v>
      </c>
      <c r="E3440" s="14" t="s">
        <v>101</v>
      </c>
      <c r="F3440" s="14">
        <v>109</v>
      </c>
      <c r="G3440" s="14">
        <v>60</v>
      </c>
      <c r="H3440" s="14" t="s">
        <v>1400</v>
      </c>
      <c r="I3440" s="14" t="s">
        <v>75</v>
      </c>
      <c r="J3440" s="14" t="s">
        <v>201</v>
      </c>
      <c r="K3440" s="14">
        <v>1</v>
      </c>
      <c r="L3440" s="14" t="s">
        <v>1400</v>
      </c>
      <c r="N3440" s="14">
        <v>0</v>
      </c>
      <c r="O3440" s="14" t="b">
        <v>1</v>
      </c>
      <c r="Q3440" s="14" t="b">
        <v>0</v>
      </c>
      <c r="R3440" s="14">
        <v>1</v>
      </c>
      <c r="S3440" s="14" t="s">
        <v>77</v>
      </c>
      <c r="T3440" s="14">
        <v>999</v>
      </c>
      <c r="U3440" s="14" t="s">
        <v>1401</v>
      </c>
      <c r="V3440" s="14">
        <v>31927109</v>
      </c>
      <c r="X3440" s="14" t="s">
        <v>6538</v>
      </c>
      <c r="Y3440" s="14" t="s">
        <v>215</v>
      </c>
      <c r="Z3440" s="14">
        <v>22203</v>
      </c>
      <c r="AA3440" s="14" t="s">
        <v>6539</v>
      </c>
      <c r="AB3440" s="14">
        <v>40001</v>
      </c>
      <c r="AE3440" s="14" t="s">
        <v>1400</v>
      </c>
      <c r="AF3440" s="14" t="s">
        <v>1400</v>
      </c>
      <c r="AG3440" s="14" t="s">
        <v>101</v>
      </c>
    </row>
    <row r="3441" spans="2:33">
      <c r="B3441" s="14">
        <f>10000000+INDEX(编号表!$B:$B,MATCH(H3441,编号表!$A:$A,0))*100000+INDEX(编号表!$F:$F,MATCH(D3441,编号表!$E:$E,0))*10000+INDEX(编号表!$D:$D,MATCH(AG3441,编号表!$C:$C,0))*1000+F3441</f>
        <v>11937110</v>
      </c>
      <c r="C3441" s="14" t="s">
        <v>6537</v>
      </c>
      <c r="D3441" s="14" t="s">
        <v>276</v>
      </c>
      <c r="E3441" s="14" t="s">
        <v>101</v>
      </c>
      <c r="F3441" s="14">
        <v>110</v>
      </c>
      <c r="G3441" s="14">
        <v>60</v>
      </c>
      <c r="H3441" s="14" t="s">
        <v>1400</v>
      </c>
      <c r="I3441" s="14" t="s">
        <v>75</v>
      </c>
      <c r="J3441" s="14" t="s">
        <v>201</v>
      </c>
      <c r="K3441" s="14">
        <v>1</v>
      </c>
      <c r="L3441" s="14" t="s">
        <v>1400</v>
      </c>
      <c r="N3441" s="14">
        <v>0</v>
      </c>
      <c r="O3441" s="14" t="b">
        <v>1</v>
      </c>
      <c r="Q3441" s="14" t="b">
        <v>0</v>
      </c>
      <c r="R3441" s="14">
        <v>1</v>
      </c>
      <c r="S3441" s="14" t="s">
        <v>77</v>
      </c>
      <c r="T3441" s="14">
        <v>999</v>
      </c>
      <c r="U3441" s="14" t="s">
        <v>1401</v>
      </c>
      <c r="V3441" s="14">
        <v>31937110</v>
      </c>
      <c r="X3441" s="14" t="s">
        <v>6540</v>
      </c>
      <c r="Y3441" s="14" t="s">
        <v>215</v>
      </c>
      <c r="Z3441" s="14">
        <v>22204</v>
      </c>
      <c r="AA3441" s="14" t="s">
        <v>6541</v>
      </c>
      <c r="AB3441" s="14">
        <v>40001</v>
      </c>
      <c r="AE3441" s="14" t="s">
        <v>1400</v>
      </c>
      <c r="AF3441" s="14" t="s">
        <v>1400</v>
      </c>
      <c r="AG3441" s="14" t="s">
        <v>101</v>
      </c>
    </row>
    <row r="3442" spans="2:33">
      <c r="B3442" s="14">
        <f>10000000+INDEX(编号表!$B:$B,MATCH(H3442,编号表!$A:$A,0))*100000+INDEX(编号表!$F:$F,MATCH(D3442,编号表!$E:$E,0))*10000+INDEX(编号表!$D:$D,MATCH(AG3442,编号表!$C:$C,0))*1000+F3442</f>
        <v>11947111</v>
      </c>
      <c r="C3442" s="14" t="s">
        <v>6537</v>
      </c>
      <c r="D3442" s="14" t="s">
        <v>104</v>
      </c>
      <c r="E3442" s="14" t="s">
        <v>101</v>
      </c>
      <c r="F3442" s="14">
        <v>111</v>
      </c>
      <c r="G3442" s="14">
        <v>60</v>
      </c>
      <c r="H3442" s="14" t="s">
        <v>1400</v>
      </c>
      <c r="I3442" s="14" t="s">
        <v>75</v>
      </c>
      <c r="J3442" s="14" t="s">
        <v>201</v>
      </c>
      <c r="K3442" s="14">
        <v>1</v>
      </c>
      <c r="L3442" s="14" t="s">
        <v>1400</v>
      </c>
      <c r="N3442" s="14">
        <v>0</v>
      </c>
      <c r="O3442" s="14" t="b">
        <v>1</v>
      </c>
      <c r="Q3442" s="14" t="b">
        <v>0</v>
      </c>
      <c r="R3442" s="14">
        <v>1</v>
      </c>
      <c r="S3442" s="14" t="s">
        <v>77</v>
      </c>
      <c r="T3442" s="14">
        <v>999</v>
      </c>
      <c r="U3442" s="14" t="s">
        <v>1401</v>
      </c>
      <c r="V3442" s="14">
        <v>31947111</v>
      </c>
      <c r="X3442" s="14" t="s">
        <v>6542</v>
      </c>
      <c r="Y3442" s="14" t="s">
        <v>215</v>
      </c>
      <c r="Z3442" s="14">
        <v>22205</v>
      </c>
      <c r="AA3442" s="14" t="s">
        <v>6543</v>
      </c>
      <c r="AB3442" s="14">
        <v>40001</v>
      </c>
      <c r="AE3442" s="14" t="s">
        <v>1400</v>
      </c>
      <c r="AF3442" s="14" t="s">
        <v>1400</v>
      </c>
      <c r="AG3442" s="14" t="s">
        <v>101</v>
      </c>
    </row>
    <row r="3443" spans="2:33">
      <c r="B3443" s="14">
        <f>10000000+INDEX(编号表!$B:$B,MATCH(H3443,编号表!$A:$A,0))*100000+INDEX(编号表!$F:$F,MATCH(D3443,编号表!$E:$E,0))*10000+INDEX(编号表!$D:$D,MATCH(AG3443,编号表!$C:$C,0))*1000+F3443</f>
        <v>11927110</v>
      </c>
      <c r="C3443" s="14" t="s">
        <v>6544</v>
      </c>
      <c r="D3443" s="14" t="s">
        <v>112</v>
      </c>
      <c r="E3443" s="14" t="s">
        <v>101</v>
      </c>
      <c r="F3443" s="14">
        <v>110</v>
      </c>
      <c r="G3443" s="14">
        <v>60</v>
      </c>
      <c r="H3443" s="14" t="s">
        <v>1400</v>
      </c>
      <c r="I3443" s="14" t="s">
        <v>75</v>
      </c>
      <c r="J3443" s="14" t="s">
        <v>201</v>
      </c>
      <c r="K3443" s="14">
        <v>1</v>
      </c>
      <c r="L3443" s="14" t="s">
        <v>1400</v>
      </c>
      <c r="N3443" s="14">
        <v>0</v>
      </c>
      <c r="O3443" s="14" t="b">
        <v>1</v>
      </c>
      <c r="Q3443" s="14" t="b">
        <v>0</v>
      </c>
      <c r="R3443" s="14">
        <v>1</v>
      </c>
      <c r="S3443" s="14" t="s">
        <v>77</v>
      </c>
      <c r="T3443" s="14">
        <v>999</v>
      </c>
      <c r="U3443" s="14" t="s">
        <v>1401</v>
      </c>
      <c r="V3443" s="14">
        <v>31927110</v>
      </c>
      <c r="X3443" s="14" t="s">
        <v>6545</v>
      </c>
      <c r="Y3443" s="14" t="s">
        <v>215</v>
      </c>
      <c r="Z3443" s="14">
        <v>22206</v>
      </c>
      <c r="AA3443" s="14" t="s">
        <v>6546</v>
      </c>
      <c r="AB3443" s="14">
        <v>40001</v>
      </c>
      <c r="AE3443" s="14" t="s">
        <v>1400</v>
      </c>
      <c r="AF3443" s="14" t="s">
        <v>1400</v>
      </c>
      <c r="AG3443" s="14" t="s">
        <v>101</v>
      </c>
    </row>
    <row r="3444" spans="2:33">
      <c r="B3444" s="14">
        <f>10000000+INDEX(编号表!$B:$B,MATCH(H3444,编号表!$A:$A,0))*100000+INDEX(编号表!$F:$F,MATCH(D3444,编号表!$E:$E,0))*10000+INDEX(编号表!$D:$D,MATCH(AG3444,编号表!$C:$C,0))*1000+F3444</f>
        <v>11937111</v>
      </c>
      <c r="C3444" s="14" t="s">
        <v>6544</v>
      </c>
      <c r="D3444" s="14" t="s">
        <v>276</v>
      </c>
      <c r="E3444" s="14" t="s">
        <v>101</v>
      </c>
      <c r="F3444" s="14">
        <v>111</v>
      </c>
      <c r="G3444" s="14">
        <v>60</v>
      </c>
      <c r="H3444" s="14" t="s">
        <v>1400</v>
      </c>
      <c r="I3444" s="14" t="s">
        <v>75</v>
      </c>
      <c r="J3444" s="14" t="s">
        <v>201</v>
      </c>
      <c r="K3444" s="14">
        <v>1</v>
      </c>
      <c r="L3444" s="14" t="s">
        <v>1400</v>
      </c>
      <c r="N3444" s="14">
        <v>0</v>
      </c>
      <c r="O3444" s="14" t="b">
        <v>1</v>
      </c>
      <c r="Q3444" s="14" t="b">
        <v>0</v>
      </c>
      <c r="R3444" s="14">
        <v>1</v>
      </c>
      <c r="S3444" s="14" t="s">
        <v>77</v>
      </c>
      <c r="T3444" s="14">
        <v>999</v>
      </c>
      <c r="U3444" s="14" t="s">
        <v>1401</v>
      </c>
      <c r="V3444" s="14">
        <v>31937111</v>
      </c>
      <c r="X3444" s="14" t="s">
        <v>6547</v>
      </c>
      <c r="Y3444" s="14" t="s">
        <v>215</v>
      </c>
      <c r="Z3444" s="14">
        <v>22207</v>
      </c>
      <c r="AA3444" s="14" t="s">
        <v>6548</v>
      </c>
      <c r="AB3444" s="14">
        <v>40001</v>
      </c>
      <c r="AE3444" s="14" t="s">
        <v>1400</v>
      </c>
      <c r="AF3444" s="14" t="s">
        <v>1400</v>
      </c>
      <c r="AG3444" s="14" t="s">
        <v>101</v>
      </c>
    </row>
    <row r="3445" spans="2:33">
      <c r="B3445" s="14">
        <f>10000000+INDEX(编号表!$B:$B,MATCH(H3445,编号表!$A:$A,0))*100000+INDEX(编号表!$F:$F,MATCH(D3445,编号表!$E:$E,0))*10000+INDEX(编号表!$D:$D,MATCH(AG3445,编号表!$C:$C,0))*1000+F3445</f>
        <v>11947112</v>
      </c>
      <c r="C3445" s="14" t="s">
        <v>6544</v>
      </c>
      <c r="D3445" s="14" t="s">
        <v>104</v>
      </c>
      <c r="E3445" s="14" t="s">
        <v>101</v>
      </c>
      <c r="F3445" s="14">
        <v>112</v>
      </c>
      <c r="G3445" s="14">
        <v>60</v>
      </c>
      <c r="H3445" s="14" t="s">
        <v>1400</v>
      </c>
      <c r="I3445" s="14" t="s">
        <v>75</v>
      </c>
      <c r="J3445" s="14" t="s">
        <v>201</v>
      </c>
      <c r="K3445" s="14">
        <v>1</v>
      </c>
      <c r="L3445" s="14" t="s">
        <v>1400</v>
      </c>
      <c r="N3445" s="14">
        <v>0</v>
      </c>
      <c r="O3445" s="14" t="b">
        <v>1</v>
      </c>
      <c r="Q3445" s="14" t="b">
        <v>0</v>
      </c>
      <c r="R3445" s="14">
        <v>1</v>
      </c>
      <c r="S3445" s="14" t="s">
        <v>77</v>
      </c>
      <c r="T3445" s="14">
        <v>999</v>
      </c>
      <c r="U3445" s="14" t="s">
        <v>1401</v>
      </c>
      <c r="V3445" s="14">
        <v>31947112</v>
      </c>
      <c r="X3445" s="14" t="s">
        <v>6549</v>
      </c>
      <c r="Y3445" s="14" t="s">
        <v>215</v>
      </c>
      <c r="Z3445" s="14">
        <v>22208</v>
      </c>
      <c r="AA3445" s="14" t="s">
        <v>6550</v>
      </c>
      <c r="AB3445" s="14">
        <v>40001</v>
      </c>
      <c r="AE3445" s="14" t="s">
        <v>1400</v>
      </c>
      <c r="AF3445" s="14" t="s">
        <v>1400</v>
      </c>
      <c r="AG3445" s="14" t="s">
        <v>101</v>
      </c>
    </row>
    <row r="3446" spans="2:33">
      <c r="B3446" s="14">
        <f>10000000+INDEX(编号表!$B:$B,MATCH(H3446,编号表!$A:$A,0))*100000+INDEX(编号表!$F:$F,MATCH(D3446,编号表!$E:$E,0))*10000+INDEX(编号表!$D:$D,MATCH(AG3446,编号表!$C:$C,0))*1000+F3446</f>
        <v>11927111</v>
      </c>
      <c r="C3446" s="14" t="s">
        <v>6551</v>
      </c>
      <c r="D3446" s="14" t="s">
        <v>112</v>
      </c>
      <c r="E3446" s="14" t="s">
        <v>101</v>
      </c>
      <c r="F3446" s="14">
        <v>111</v>
      </c>
      <c r="G3446" s="14">
        <v>60</v>
      </c>
      <c r="H3446" s="14" t="s">
        <v>1400</v>
      </c>
      <c r="I3446" s="14" t="s">
        <v>75</v>
      </c>
      <c r="J3446" s="14" t="s">
        <v>201</v>
      </c>
      <c r="K3446" s="14">
        <v>1</v>
      </c>
      <c r="L3446" s="14" t="s">
        <v>1400</v>
      </c>
      <c r="N3446" s="14">
        <v>0</v>
      </c>
      <c r="O3446" s="14" t="b">
        <v>1</v>
      </c>
      <c r="Q3446" s="14" t="b">
        <v>0</v>
      </c>
      <c r="R3446" s="14">
        <v>1</v>
      </c>
      <c r="S3446" s="14" t="s">
        <v>77</v>
      </c>
      <c r="T3446" s="14">
        <v>999</v>
      </c>
      <c r="U3446" s="14" t="s">
        <v>1401</v>
      </c>
      <c r="V3446" s="14">
        <v>31927111</v>
      </c>
      <c r="X3446" s="14" t="s">
        <v>6552</v>
      </c>
      <c r="Y3446" s="14" t="s">
        <v>215</v>
      </c>
      <c r="Z3446" s="14">
        <v>22209</v>
      </c>
      <c r="AA3446" s="14" t="s">
        <v>6553</v>
      </c>
      <c r="AB3446" s="14">
        <v>40001</v>
      </c>
      <c r="AE3446" s="14" t="s">
        <v>1400</v>
      </c>
      <c r="AF3446" s="14" t="s">
        <v>1400</v>
      </c>
      <c r="AG3446" s="14" t="s">
        <v>101</v>
      </c>
    </row>
    <row r="3447" spans="2:33">
      <c r="B3447" s="14">
        <f>10000000+INDEX(编号表!$B:$B,MATCH(H3447,编号表!$A:$A,0))*100000+INDEX(编号表!$F:$F,MATCH(D3447,编号表!$E:$E,0))*10000+INDEX(编号表!$D:$D,MATCH(AG3447,编号表!$C:$C,0))*1000+F3447</f>
        <v>11937112</v>
      </c>
      <c r="C3447" s="14" t="s">
        <v>6551</v>
      </c>
      <c r="D3447" s="14" t="s">
        <v>276</v>
      </c>
      <c r="E3447" s="14" t="s">
        <v>101</v>
      </c>
      <c r="F3447" s="14">
        <v>112</v>
      </c>
      <c r="G3447" s="14">
        <v>60</v>
      </c>
      <c r="H3447" s="14" t="s">
        <v>1400</v>
      </c>
      <c r="I3447" s="14" t="s">
        <v>75</v>
      </c>
      <c r="J3447" s="14" t="s">
        <v>201</v>
      </c>
      <c r="K3447" s="14">
        <v>1</v>
      </c>
      <c r="L3447" s="14" t="s">
        <v>1400</v>
      </c>
      <c r="N3447" s="14">
        <v>0</v>
      </c>
      <c r="O3447" s="14" t="b">
        <v>1</v>
      </c>
      <c r="Q3447" s="14" t="b">
        <v>0</v>
      </c>
      <c r="R3447" s="14">
        <v>1</v>
      </c>
      <c r="S3447" s="14" t="s">
        <v>77</v>
      </c>
      <c r="T3447" s="14">
        <v>999</v>
      </c>
      <c r="U3447" s="14" t="s">
        <v>1401</v>
      </c>
      <c r="V3447" s="14">
        <v>31937112</v>
      </c>
      <c r="X3447" s="14" t="s">
        <v>6554</v>
      </c>
      <c r="Y3447" s="14" t="s">
        <v>215</v>
      </c>
      <c r="Z3447" s="14">
        <v>22210</v>
      </c>
      <c r="AA3447" s="14" t="s">
        <v>6555</v>
      </c>
      <c r="AB3447" s="14">
        <v>40001</v>
      </c>
      <c r="AE3447" s="14" t="s">
        <v>1400</v>
      </c>
      <c r="AF3447" s="14" t="s">
        <v>1400</v>
      </c>
      <c r="AG3447" s="14" t="s">
        <v>101</v>
      </c>
    </row>
    <row r="3448" spans="2:33">
      <c r="B3448" s="14">
        <f>10000000+INDEX(编号表!$B:$B,MATCH(H3448,编号表!$A:$A,0))*100000+INDEX(编号表!$F:$F,MATCH(D3448,编号表!$E:$E,0))*10000+INDEX(编号表!$D:$D,MATCH(AG3448,编号表!$C:$C,0))*1000+F3448</f>
        <v>11947113</v>
      </c>
      <c r="C3448" s="14" t="s">
        <v>6551</v>
      </c>
      <c r="D3448" s="14" t="s">
        <v>104</v>
      </c>
      <c r="E3448" s="14" t="s">
        <v>101</v>
      </c>
      <c r="F3448" s="14">
        <v>113</v>
      </c>
      <c r="G3448" s="14">
        <v>60</v>
      </c>
      <c r="H3448" s="14" t="s">
        <v>1400</v>
      </c>
      <c r="I3448" s="14" t="s">
        <v>75</v>
      </c>
      <c r="J3448" s="14" t="s">
        <v>201</v>
      </c>
      <c r="K3448" s="14">
        <v>1</v>
      </c>
      <c r="L3448" s="14" t="s">
        <v>1400</v>
      </c>
      <c r="N3448" s="14">
        <v>0</v>
      </c>
      <c r="O3448" s="14" t="b">
        <v>1</v>
      </c>
      <c r="Q3448" s="14" t="b">
        <v>0</v>
      </c>
      <c r="R3448" s="14">
        <v>1</v>
      </c>
      <c r="S3448" s="14" t="s">
        <v>77</v>
      </c>
      <c r="T3448" s="14">
        <v>999</v>
      </c>
      <c r="U3448" s="14" t="s">
        <v>1401</v>
      </c>
      <c r="V3448" s="14">
        <v>31947113</v>
      </c>
      <c r="X3448" s="14" t="s">
        <v>6556</v>
      </c>
      <c r="Y3448" s="14" t="s">
        <v>215</v>
      </c>
      <c r="Z3448" s="14">
        <v>22211</v>
      </c>
      <c r="AA3448" s="14" t="s">
        <v>6557</v>
      </c>
      <c r="AB3448" s="14">
        <v>40001</v>
      </c>
      <c r="AE3448" s="14" t="s">
        <v>1400</v>
      </c>
      <c r="AF3448" s="14" t="s">
        <v>1400</v>
      </c>
      <c r="AG3448" s="14" t="s">
        <v>101</v>
      </c>
    </row>
    <row r="3449" spans="2:33">
      <c r="B3449" s="14">
        <f>10000000+INDEX(编号表!$B:$B,MATCH(H3449,编号表!$A:$A,0))*100000+INDEX(编号表!$F:$F,MATCH(D3449,编号表!$E:$E,0))*10000+INDEX(编号表!$D:$D,MATCH(AG3449,编号表!$C:$C,0))*1000+F3449</f>
        <v>11927112</v>
      </c>
      <c r="C3449" s="14" t="s">
        <v>6558</v>
      </c>
      <c r="D3449" s="14" t="s">
        <v>112</v>
      </c>
      <c r="E3449" s="14" t="s">
        <v>101</v>
      </c>
      <c r="F3449" s="14">
        <v>112</v>
      </c>
      <c r="G3449" s="14">
        <v>60</v>
      </c>
      <c r="H3449" s="14" t="s">
        <v>1400</v>
      </c>
      <c r="I3449" s="14" t="s">
        <v>75</v>
      </c>
      <c r="J3449" s="14" t="s">
        <v>201</v>
      </c>
      <c r="K3449" s="14">
        <v>1</v>
      </c>
      <c r="L3449" s="14" t="s">
        <v>1400</v>
      </c>
      <c r="N3449" s="14">
        <v>0</v>
      </c>
      <c r="O3449" s="14" t="b">
        <v>1</v>
      </c>
      <c r="Q3449" s="14" t="b">
        <v>0</v>
      </c>
      <c r="R3449" s="14">
        <v>1</v>
      </c>
      <c r="S3449" s="14" t="s">
        <v>77</v>
      </c>
      <c r="T3449" s="14">
        <v>999</v>
      </c>
      <c r="U3449" s="14" t="s">
        <v>1401</v>
      </c>
      <c r="V3449" s="14">
        <v>31927112</v>
      </c>
      <c r="X3449" s="14" t="s">
        <v>6559</v>
      </c>
      <c r="Y3449" s="14" t="s">
        <v>215</v>
      </c>
      <c r="Z3449" s="14">
        <v>22212</v>
      </c>
      <c r="AA3449" s="14" t="s">
        <v>6560</v>
      </c>
      <c r="AB3449" s="14">
        <v>40001</v>
      </c>
      <c r="AE3449" s="14" t="s">
        <v>1400</v>
      </c>
      <c r="AF3449" s="14" t="s">
        <v>1400</v>
      </c>
      <c r="AG3449" s="14" t="s">
        <v>101</v>
      </c>
    </row>
    <row r="3450" spans="2:33">
      <c r="B3450" s="14">
        <f>10000000+INDEX(编号表!$B:$B,MATCH(H3450,编号表!$A:$A,0))*100000+INDEX(编号表!$F:$F,MATCH(D3450,编号表!$E:$E,0))*10000+INDEX(编号表!$D:$D,MATCH(AG3450,编号表!$C:$C,0))*1000+F3450</f>
        <v>11937113</v>
      </c>
      <c r="C3450" s="14" t="s">
        <v>6558</v>
      </c>
      <c r="D3450" s="14" t="s">
        <v>276</v>
      </c>
      <c r="E3450" s="14" t="s">
        <v>101</v>
      </c>
      <c r="F3450" s="14">
        <v>113</v>
      </c>
      <c r="G3450" s="14">
        <v>60</v>
      </c>
      <c r="H3450" s="14" t="s">
        <v>1400</v>
      </c>
      <c r="I3450" s="14" t="s">
        <v>75</v>
      </c>
      <c r="J3450" s="14" t="s">
        <v>201</v>
      </c>
      <c r="K3450" s="14">
        <v>1</v>
      </c>
      <c r="L3450" s="14" t="s">
        <v>1400</v>
      </c>
      <c r="N3450" s="14">
        <v>0</v>
      </c>
      <c r="O3450" s="14" t="b">
        <v>1</v>
      </c>
      <c r="Q3450" s="14" t="b">
        <v>0</v>
      </c>
      <c r="R3450" s="14">
        <v>1</v>
      </c>
      <c r="S3450" s="14" t="s">
        <v>77</v>
      </c>
      <c r="T3450" s="14">
        <v>999</v>
      </c>
      <c r="U3450" s="14" t="s">
        <v>1401</v>
      </c>
      <c r="V3450" s="14">
        <v>31937113</v>
      </c>
      <c r="X3450" s="14" t="s">
        <v>6561</v>
      </c>
      <c r="Y3450" s="14" t="s">
        <v>215</v>
      </c>
      <c r="Z3450" s="14">
        <v>22213</v>
      </c>
      <c r="AA3450" s="14" t="s">
        <v>6562</v>
      </c>
      <c r="AB3450" s="14">
        <v>40001</v>
      </c>
      <c r="AE3450" s="14" t="s">
        <v>1400</v>
      </c>
      <c r="AF3450" s="14" t="s">
        <v>1400</v>
      </c>
      <c r="AG3450" s="14" t="s">
        <v>101</v>
      </c>
    </row>
    <row r="3451" spans="2:33">
      <c r="B3451" s="14">
        <f>10000000+INDEX(编号表!$B:$B,MATCH(H3451,编号表!$A:$A,0))*100000+INDEX(编号表!$F:$F,MATCH(D3451,编号表!$E:$E,0))*10000+INDEX(编号表!$D:$D,MATCH(AG3451,编号表!$C:$C,0))*1000+F3451</f>
        <v>11947114</v>
      </c>
      <c r="C3451" s="14" t="s">
        <v>6558</v>
      </c>
      <c r="D3451" s="14" t="s">
        <v>104</v>
      </c>
      <c r="E3451" s="14" t="s">
        <v>101</v>
      </c>
      <c r="F3451" s="14">
        <v>114</v>
      </c>
      <c r="G3451" s="14">
        <v>60</v>
      </c>
      <c r="H3451" s="14" t="s">
        <v>1400</v>
      </c>
      <c r="I3451" s="14" t="s">
        <v>75</v>
      </c>
      <c r="J3451" s="14" t="s">
        <v>201</v>
      </c>
      <c r="K3451" s="14">
        <v>1</v>
      </c>
      <c r="L3451" s="14" t="s">
        <v>1400</v>
      </c>
      <c r="N3451" s="14">
        <v>0</v>
      </c>
      <c r="O3451" s="14" t="b">
        <v>1</v>
      </c>
      <c r="Q3451" s="14" t="b">
        <v>0</v>
      </c>
      <c r="R3451" s="14">
        <v>1</v>
      </c>
      <c r="S3451" s="14" t="s">
        <v>77</v>
      </c>
      <c r="T3451" s="14">
        <v>999</v>
      </c>
      <c r="U3451" s="14" t="s">
        <v>1401</v>
      </c>
      <c r="V3451" s="14">
        <v>31947114</v>
      </c>
      <c r="X3451" s="14" t="s">
        <v>6563</v>
      </c>
      <c r="Y3451" s="14" t="s">
        <v>215</v>
      </c>
      <c r="Z3451" s="14">
        <v>22214</v>
      </c>
      <c r="AA3451" s="14" t="s">
        <v>6564</v>
      </c>
      <c r="AB3451" s="14">
        <v>40001</v>
      </c>
      <c r="AE3451" s="14" t="s">
        <v>1400</v>
      </c>
      <c r="AF3451" s="14" t="s">
        <v>1400</v>
      </c>
      <c r="AG3451" s="14" t="s">
        <v>101</v>
      </c>
    </row>
    <row r="3452" spans="2:33">
      <c r="B3452" s="14">
        <f>10000000+INDEX(编号表!$B:$B,MATCH(H3452,编号表!$A:$A,0))*100000+INDEX(编号表!$F:$F,MATCH(D3452,编号表!$E:$E,0))*10000+INDEX(编号表!$D:$D,MATCH(AG3452,编号表!$C:$C,0))*1000+F3452</f>
        <v>11927113</v>
      </c>
      <c r="C3452" s="14" t="s">
        <v>6565</v>
      </c>
      <c r="D3452" s="14" t="s">
        <v>112</v>
      </c>
      <c r="E3452" s="14" t="s">
        <v>101</v>
      </c>
      <c r="F3452" s="14">
        <v>113</v>
      </c>
      <c r="G3452" s="14">
        <v>60</v>
      </c>
      <c r="H3452" s="14" t="s">
        <v>1400</v>
      </c>
      <c r="I3452" s="14" t="s">
        <v>75</v>
      </c>
      <c r="J3452" s="14" t="s">
        <v>201</v>
      </c>
      <c r="K3452" s="14">
        <v>1</v>
      </c>
      <c r="L3452" s="14" t="s">
        <v>1400</v>
      </c>
      <c r="N3452" s="14">
        <v>0</v>
      </c>
      <c r="O3452" s="14" t="b">
        <v>1</v>
      </c>
      <c r="Q3452" s="14" t="b">
        <v>0</v>
      </c>
      <c r="R3452" s="14">
        <v>1</v>
      </c>
      <c r="S3452" s="14" t="s">
        <v>77</v>
      </c>
      <c r="T3452" s="14">
        <v>999</v>
      </c>
      <c r="U3452" s="14" t="s">
        <v>1401</v>
      </c>
      <c r="V3452" s="14">
        <v>31927113</v>
      </c>
      <c r="X3452" s="14" t="s">
        <v>6566</v>
      </c>
      <c r="Y3452" s="14" t="s">
        <v>215</v>
      </c>
      <c r="Z3452" s="14">
        <v>22215</v>
      </c>
      <c r="AA3452" s="14" t="s">
        <v>6567</v>
      </c>
      <c r="AB3452" s="14">
        <v>40001</v>
      </c>
      <c r="AE3452" s="14" t="s">
        <v>1400</v>
      </c>
      <c r="AF3452" s="14" t="s">
        <v>1400</v>
      </c>
      <c r="AG3452" s="14" t="s">
        <v>101</v>
      </c>
    </row>
    <row r="3453" spans="2:33">
      <c r="B3453" s="14">
        <f>10000000+INDEX(编号表!$B:$B,MATCH(H3453,编号表!$A:$A,0))*100000+INDEX(编号表!$F:$F,MATCH(D3453,编号表!$E:$E,0))*10000+INDEX(编号表!$D:$D,MATCH(AG3453,编号表!$C:$C,0))*1000+F3453</f>
        <v>11937114</v>
      </c>
      <c r="C3453" s="14" t="s">
        <v>6565</v>
      </c>
      <c r="D3453" s="14" t="s">
        <v>276</v>
      </c>
      <c r="E3453" s="14" t="s">
        <v>101</v>
      </c>
      <c r="F3453" s="14">
        <v>114</v>
      </c>
      <c r="G3453" s="14">
        <v>60</v>
      </c>
      <c r="H3453" s="14" t="s">
        <v>1400</v>
      </c>
      <c r="I3453" s="14" t="s">
        <v>75</v>
      </c>
      <c r="J3453" s="14" t="s">
        <v>201</v>
      </c>
      <c r="K3453" s="14">
        <v>1</v>
      </c>
      <c r="L3453" s="14" t="s">
        <v>1400</v>
      </c>
      <c r="N3453" s="14">
        <v>0</v>
      </c>
      <c r="O3453" s="14" t="b">
        <v>1</v>
      </c>
      <c r="Q3453" s="14" t="b">
        <v>0</v>
      </c>
      <c r="R3453" s="14">
        <v>1</v>
      </c>
      <c r="S3453" s="14" t="s">
        <v>77</v>
      </c>
      <c r="T3453" s="14">
        <v>999</v>
      </c>
      <c r="U3453" s="14" t="s">
        <v>1401</v>
      </c>
      <c r="V3453" s="14">
        <v>31937114</v>
      </c>
      <c r="X3453" s="14" t="s">
        <v>6568</v>
      </c>
      <c r="Y3453" s="14" t="s">
        <v>215</v>
      </c>
      <c r="Z3453" s="14">
        <v>22216</v>
      </c>
      <c r="AA3453" s="14" t="s">
        <v>6569</v>
      </c>
      <c r="AB3453" s="14">
        <v>40001</v>
      </c>
      <c r="AE3453" s="14" t="s">
        <v>1400</v>
      </c>
      <c r="AF3453" s="14" t="s">
        <v>1400</v>
      </c>
      <c r="AG3453" s="14" t="s">
        <v>101</v>
      </c>
    </row>
    <row r="3454" spans="2:33">
      <c r="B3454" s="14">
        <f>10000000+INDEX(编号表!$B:$B,MATCH(H3454,编号表!$A:$A,0))*100000+INDEX(编号表!$F:$F,MATCH(D3454,编号表!$E:$E,0))*10000+INDEX(编号表!$D:$D,MATCH(AG3454,编号表!$C:$C,0))*1000+F3454</f>
        <v>11947115</v>
      </c>
      <c r="C3454" s="14" t="s">
        <v>6565</v>
      </c>
      <c r="D3454" s="14" t="s">
        <v>104</v>
      </c>
      <c r="E3454" s="14" t="s">
        <v>101</v>
      </c>
      <c r="F3454" s="14">
        <v>115</v>
      </c>
      <c r="G3454" s="14">
        <v>60</v>
      </c>
      <c r="H3454" s="14" t="s">
        <v>1400</v>
      </c>
      <c r="I3454" s="14" t="s">
        <v>75</v>
      </c>
      <c r="J3454" s="14" t="s">
        <v>201</v>
      </c>
      <c r="K3454" s="14">
        <v>1</v>
      </c>
      <c r="L3454" s="14" t="s">
        <v>1400</v>
      </c>
      <c r="N3454" s="14">
        <v>0</v>
      </c>
      <c r="O3454" s="14" t="b">
        <v>1</v>
      </c>
      <c r="Q3454" s="14" t="b">
        <v>0</v>
      </c>
      <c r="R3454" s="14">
        <v>1</v>
      </c>
      <c r="S3454" s="14" t="s">
        <v>77</v>
      </c>
      <c r="T3454" s="14">
        <v>999</v>
      </c>
      <c r="U3454" s="14" t="s">
        <v>1401</v>
      </c>
      <c r="V3454" s="14">
        <v>31947115</v>
      </c>
      <c r="X3454" s="14" t="s">
        <v>6570</v>
      </c>
      <c r="Y3454" s="14" t="s">
        <v>215</v>
      </c>
      <c r="Z3454" s="14">
        <v>22217</v>
      </c>
      <c r="AA3454" s="14" t="s">
        <v>6571</v>
      </c>
      <c r="AB3454" s="14">
        <v>40001</v>
      </c>
      <c r="AE3454" s="14" t="s">
        <v>1400</v>
      </c>
      <c r="AF3454" s="14" t="s">
        <v>1400</v>
      </c>
      <c r="AG3454" s="14" t="s">
        <v>101</v>
      </c>
    </row>
    <row r="3455" spans="2:33">
      <c r="B3455" s="14">
        <f>10000000+INDEX(编号表!$B:$B,MATCH(H3455,编号表!$A:$A,0))*100000+INDEX(编号表!$F:$F,MATCH(D3455,编号表!$E:$E,0))*10000+INDEX(编号表!$D:$D,MATCH(AG3455,编号表!$C:$C,0))*1000+F3455</f>
        <v>11927114</v>
      </c>
      <c r="C3455" s="14" t="s">
        <v>6572</v>
      </c>
      <c r="D3455" s="14" t="s">
        <v>112</v>
      </c>
      <c r="E3455" s="14" t="s">
        <v>101</v>
      </c>
      <c r="F3455" s="14">
        <v>114</v>
      </c>
      <c r="G3455" s="14">
        <v>60</v>
      </c>
      <c r="H3455" s="14" t="s">
        <v>1400</v>
      </c>
      <c r="I3455" s="14" t="s">
        <v>75</v>
      </c>
      <c r="J3455" s="14" t="s">
        <v>201</v>
      </c>
      <c r="K3455" s="14">
        <v>1</v>
      </c>
      <c r="L3455" s="14" t="s">
        <v>1400</v>
      </c>
      <c r="N3455" s="14">
        <v>0</v>
      </c>
      <c r="O3455" s="14" t="b">
        <v>1</v>
      </c>
      <c r="Q3455" s="14" t="b">
        <v>0</v>
      </c>
      <c r="R3455" s="14">
        <v>1</v>
      </c>
      <c r="S3455" s="14" t="s">
        <v>77</v>
      </c>
      <c r="T3455" s="14">
        <v>999</v>
      </c>
      <c r="U3455" s="14" t="s">
        <v>1401</v>
      </c>
      <c r="V3455" s="14">
        <v>31927114</v>
      </c>
      <c r="X3455" s="14" t="s">
        <v>6573</v>
      </c>
      <c r="Y3455" s="14" t="s">
        <v>215</v>
      </c>
      <c r="Z3455" s="14">
        <v>22218</v>
      </c>
      <c r="AA3455" s="14" t="s">
        <v>6574</v>
      </c>
      <c r="AB3455" s="14">
        <v>40001</v>
      </c>
      <c r="AE3455" s="14" t="s">
        <v>1400</v>
      </c>
      <c r="AF3455" s="14" t="s">
        <v>1400</v>
      </c>
      <c r="AG3455" s="14" t="s">
        <v>101</v>
      </c>
    </row>
    <row r="3456" spans="2:33">
      <c r="B3456" s="14">
        <f>10000000+INDEX(编号表!$B:$B,MATCH(H3456,编号表!$A:$A,0))*100000+INDEX(编号表!$F:$F,MATCH(D3456,编号表!$E:$E,0))*10000+INDEX(编号表!$D:$D,MATCH(AG3456,编号表!$C:$C,0))*1000+F3456</f>
        <v>11937115</v>
      </c>
      <c r="C3456" s="14" t="s">
        <v>6572</v>
      </c>
      <c r="D3456" s="14" t="s">
        <v>276</v>
      </c>
      <c r="E3456" s="14" t="s">
        <v>101</v>
      </c>
      <c r="F3456" s="14">
        <v>115</v>
      </c>
      <c r="G3456" s="14">
        <v>60</v>
      </c>
      <c r="H3456" s="14" t="s">
        <v>1400</v>
      </c>
      <c r="I3456" s="14" t="s">
        <v>75</v>
      </c>
      <c r="J3456" s="14" t="s">
        <v>201</v>
      </c>
      <c r="K3456" s="14">
        <v>1</v>
      </c>
      <c r="L3456" s="14" t="s">
        <v>1400</v>
      </c>
      <c r="N3456" s="14">
        <v>0</v>
      </c>
      <c r="O3456" s="14" t="b">
        <v>1</v>
      </c>
      <c r="Q3456" s="14" t="b">
        <v>0</v>
      </c>
      <c r="R3456" s="14">
        <v>1</v>
      </c>
      <c r="S3456" s="14" t="s">
        <v>77</v>
      </c>
      <c r="T3456" s="14">
        <v>999</v>
      </c>
      <c r="U3456" s="14" t="s">
        <v>1401</v>
      </c>
      <c r="V3456" s="14">
        <v>31937115</v>
      </c>
      <c r="X3456" s="14" t="s">
        <v>6575</v>
      </c>
      <c r="Y3456" s="14" t="s">
        <v>215</v>
      </c>
      <c r="Z3456" s="14">
        <v>22219</v>
      </c>
      <c r="AA3456" s="14" t="s">
        <v>6576</v>
      </c>
      <c r="AB3456" s="14">
        <v>40001</v>
      </c>
      <c r="AE3456" s="14" t="s">
        <v>1400</v>
      </c>
      <c r="AF3456" s="14" t="s">
        <v>1400</v>
      </c>
      <c r="AG3456" s="14" t="s">
        <v>101</v>
      </c>
    </row>
    <row r="3457" spans="2:33">
      <c r="B3457" s="14">
        <f>10000000+INDEX(编号表!$B:$B,MATCH(H3457,编号表!$A:$A,0))*100000+INDEX(编号表!$F:$F,MATCH(D3457,编号表!$E:$E,0))*10000+INDEX(编号表!$D:$D,MATCH(AG3457,编号表!$C:$C,0))*1000+F3457</f>
        <v>11947116</v>
      </c>
      <c r="C3457" s="14" t="s">
        <v>6572</v>
      </c>
      <c r="D3457" s="14" t="s">
        <v>104</v>
      </c>
      <c r="E3457" s="14" t="s">
        <v>101</v>
      </c>
      <c r="F3457" s="14">
        <v>116</v>
      </c>
      <c r="G3457" s="14">
        <v>60</v>
      </c>
      <c r="H3457" s="14" t="s">
        <v>1400</v>
      </c>
      <c r="I3457" s="14" t="s">
        <v>75</v>
      </c>
      <c r="J3457" s="14" t="s">
        <v>201</v>
      </c>
      <c r="K3457" s="14">
        <v>1</v>
      </c>
      <c r="L3457" s="14" t="s">
        <v>1400</v>
      </c>
      <c r="N3457" s="14">
        <v>0</v>
      </c>
      <c r="O3457" s="14" t="b">
        <v>1</v>
      </c>
      <c r="Q3457" s="14" t="b">
        <v>0</v>
      </c>
      <c r="R3457" s="14">
        <v>1</v>
      </c>
      <c r="S3457" s="14" t="s">
        <v>77</v>
      </c>
      <c r="T3457" s="14">
        <v>999</v>
      </c>
      <c r="U3457" s="14" t="s">
        <v>1401</v>
      </c>
      <c r="V3457" s="14">
        <v>31947116</v>
      </c>
      <c r="X3457" s="14" t="s">
        <v>6577</v>
      </c>
      <c r="Y3457" s="14" t="s">
        <v>215</v>
      </c>
      <c r="Z3457" s="14">
        <v>22220</v>
      </c>
      <c r="AA3457" s="14" t="s">
        <v>6578</v>
      </c>
      <c r="AB3457" s="14">
        <v>40001</v>
      </c>
      <c r="AE3457" s="14" t="s">
        <v>1400</v>
      </c>
      <c r="AF3457" s="14" t="s">
        <v>1400</v>
      </c>
      <c r="AG3457" s="14" t="s">
        <v>101</v>
      </c>
    </row>
    <row r="3458" spans="2:33">
      <c r="B3458" s="14">
        <f>10000000+INDEX(编号表!$B:$B,MATCH(H3458,编号表!$A:$A,0))*100000+INDEX(编号表!$F:$F,MATCH(D3458,编号表!$E:$E,0))*10000+INDEX(编号表!$D:$D,MATCH(AG3458,编号表!$C:$C,0))*1000+F3458</f>
        <v>11927115</v>
      </c>
      <c r="C3458" s="14" t="s">
        <v>6579</v>
      </c>
      <c r="D3458" s="14" t="s">
        <v>112</v>
      </c>
      <c r="E3458" s="14" t="s">
        <v>101</v>
      </c>
      <c r="F3458" s="14">
        <v>115</v>
      </c>
      <c r="G3458" s="14">
        <v>60</v>
      </c>
      <c r="H3458" s="14" t="s">
        <v>1400</v>
      </c>
      <c r="I3458" s="14" t="s">
        <v>75</v>
      </c>
      <c r="J3458" s="14" t="s">
        <v>201</v>
      </c>
      <c r="K3458" s="14">
        <v>1</v>
      </c>
      <c r="L3458" s="14" t="s">
        <v>1400</v>
      </c>
      <c r="N3458" s="14">
        <v>0</v>
      </c>
      <c r="O3458" s="14" t="b">
        <v>1</v>
      </c>
      <c r="Q3458" s="14" t="b">
        <v>0</v>
      </c>
      <c r="R3458" s="14">
        <v>1</v>
      </c>
      <c r="S3458" s="14" t="s">
        <v>77</v>
      </c>
      <c r="T3458" s="14">
        <v>999</v>
      </c>
      <c r="U3458" s="14" t="s">
        <v>1401</v>
      </c>
      <c r="V3458" s="14">
        <v>31927115</v>
      </c>
      <c r="X3458" s="14" t="s">
        <v>6580</v>
      </c>
      <c r="Y3458" s="14" t="s">
        <v>215</v>
      </c>
      <c r="Z3458" s="14">
        <v>22221</v>
      </c>
      <c r="AA3458" s="14" t="s">
        <v>6581</v>
      </c>
      <c r="AB3458" s="14">
        <v>40001</v>
      </c>
      <c r="AE3458" s="14" t="s">
        <v>1400</v>
      </c>
      <c r="AF3458" s="14" t="s">
        <v>1400</v>
      </c>
      <c r="AG3458" s="14" t="s">
        <v>101</v>
      </c>
    </row>
    <row r="3459" spans="2:33">
      <c r="B3459" s="14">
        <f>10000000+INDEX(编号表!$B:$B,MATCH(H3459,编号表!$A:$A,0))*100000+INDEX(编号表!$F:$F,MATCH(D3459,编号表!$E:$E,0))*10000+INDEX(编号表!$D:$D,MATCH(AG3459,编号表!$C:$C,0))*1000+F3459</f>
        <v>11937116</v>
      </c>
      <c r="C3459" s="14" t="s">
        <v>6579</v>
      </c>
      <c r="D3459" s="14" t="s">
        <v>276</v>
      </c>
      <c r="E3459" s="14" t="s">
        <v>101</v>
      </c>
      <c r="F3459" s="14">
        <v>116</v>
      </c>
      <c r="G3459" s="14">
        <v>60</v>
      </c>
      <c r="H3459" s="14" t="s">
        <v>1400</v>
      </c>
      <c r="I3459" s="14" t="s">
        <v>75</v>
      </c>
      <c r="J3459" s="14" t="s">
        <v>201</v>
      </c>
      <c r="K3459" s="14">
        <v>1</v>
      </c>
      <c r="L3459" s="14" t="s">
        <v>1400</v>
      </c>
      <c r="N3459" s="14">
        <v>0</v>
      </c>
      <c r="O3459" s="14" t="b">
        <v>1</v>
      </c>
      <c r="Q3459" s="14" t="b">
        <v>0</v>
      </c>
      <c r="R3459" s="14">
        <v>1</v>
      </c>
      <c r="S3459" s="14" t="s">
        <v>77</v>
      </c>
      <c r="T3459" s="14">
        <v>999</v>
      </c>
      <c r="U3459" s="14" t="s">
        <v>1401</v>
      </c>
      <c r="V3459" s="14">
        <v>31937116</v>
      </c>
      <c r="X3459" s="14" t="s">
        <v>6582</v>
      </c>
      <c r="Y3459" s="14" t="s">
        <v>215</v>
      </c>
      <c r="Z3459" s="14">
        <v>22222</v>
      </c>
      <c r="AA3459" s="14" t="s">
        <v>6583</v>
      </c>
      <c r="AB3459" s="14">
        <v>40001</v>
      </c>
      <c r="AE3459" s="14" t="s">
        <v>1400</v>
      </c>
      <c r="AF3459" s="14" t="s">
        <v>1400</v>
      </c>
      <c r="AG3459" s="14" t="s">
        <v>101</v>
      </c>
    </row>
    <row r="3460" spans="2:33">
      <c r="B3460" s="14">
        <f>10000000+INDEX(编号表!$B:$B,MATCH(H3460,编号表!$A:$A,0))*100000+INDEX(编号表!$F:$F,MATCH(D3460,编号表!$E:$E,0))*10000+INDEX(编号表!$D:$D,MATCH(AG3460,编号表!$C:$C,0))*1000+F3460</f>
        <v>11947117</v>
      </c>
      <c r="C3460" s="14" t="s">
        <v>6579</v>
      </c>
      <c r="D3460" s="14" t="s">
        <v>104</v>
      </c>
      <c r="E3460" s="14" t="s">
        <v>101</v>
      </c>
      <c r="F3460" s="14">
        <v>117</v>
      </c>
      <c r="G3460" s="14">
        <v>60</v>
      </c>
      <c r="H3460" s="14" t="s">
        <v>1400</v>
      </c>
      <c r="I3460" s="14" t="s">
        <v>75</v>
      </c>
      <c r="J3460" s="14" t="s">
        <v>201</v>
      </c>
      <c r="K3460" s="14">
        <v>1</v>
      </c>
      <c r="L3460" s="14" t="s">
        <v>1400</v>
      </c>
      <c r="N3460" s="14">
        <v>0</v>
      </c>
      <c r="O3460" s="14" t="b">
        <v>1</v>
      </c>
      <c r="Q3460" s="14" t="b">
        <v>0</v>
      </c>
      <c r="R3460" s="14">
        <v>1</v>
      </c>
      <c r="S3460" s="14" t="s">
        <v>77</v>
      </c>
      <c r="T3460" s="14">
        <v>999</v>
      </c>
      <c r="U3460" s="14" t="s">
        <v>1401</v>
      </c>
      <c r="V3460" s="14">
        <v>31947117</v>
      </c>
      <c r="X3460" s="14" t="s">
        <v>6584</v>
      </c>
      <c r="Y3460" s="14" t="s">
        <v>215</v>
      </c>
      <c r="Z3460" s="14">
        <v>22223</v>
      </c>
      <c r="AA3460" s="14" t="s">
        <v>6585</v>
      </c>
      <c r="AB3460" s="14">
        <v>40001</v>
      </c>
      <c r="AE3460" s="14" t="s">
        <v>1400</v>
      </c>
      <c r="AF3460" s="14" t="s">
        <v>1400</v>
      </c>
      <c r="AG3460" s="14" t="s">
        <v>101</v>
      </c>
    </row>
    <row r="3461" spans="2:33">
      <c r="B3461" s="14">
        <f>10000000+INDEX(编号表!$B:$B,MATCH(H3461,编号表!$A:$A,0))*100000+INDEX(编号表!$F:$F,MATCH(D3461,编号表!$E:$E,0))*10000+INDEX(编号表!$D:$D,MATCH(AG3461,编号表!$C:$C,0))*1000+F3461</f>
        <v>11927116</v>
      </c>
      <c r="C3461" s="14" t="s">
        <v>6586</v>
      </c>
      <c r="D3461" s="14" t="s">
        <v>112</v>
      </c>
      <c r="E3461" s="14" t="s">
        <v>101</v>
      </c>
      <c r="F3461" s="14">
        <v>116</v>
      </c>
      <c r="G3461" s="14">
        <v>60</v>
      </c>
      <c r="H3461" s="14" t="s">
        <v>1400</v>
      </c>
      <c r="I3461" s="14" t="s">
        <v>75</v>
      </c>
      <c r="J3461" s="14" t="s">
        <v>201</v>
      </c>
      <c r="K3461" s="14">
        <v>1</v>
      </c>
      <c r="L3461" s="14" t="s">
        <v>1400</v>
      </c>
      <c r="N3461" s="14">
        <v>0</v>
      </c>
      <c r="O3461" s="14" t="b">
        <v>1</v>
      </c>
      <c r="Q3461" s="14" t="b">
        <v>0</v>
      </c>
      <c r="R3461" s="14">
        <v>1</v>
      </c>
      <c r="S3461" s="14" t="s">
        <v>77</v>
      </c>
      <c r="T3461" s="14">
        <v>999</v>
      </c>
      <c r="U3461" s="14" t="s">
        <v>1401</v>
      </c>
      <c r="V3461" s="14">
        <v>31927116</v>
      </c>
      <c r="X3461" s="14" t="s">
        <v>6587</v>
      </c>
      <c r="Y3461" s="14" t="s">
        <v>215</v>
      </c>
      <c r="Z3461" s="14">
        <v>22224</v>
      </c>
      <c r="AA3461" s="14" t="s">
        <v>6588</v>
      </c>
      <c r="AB3461" s="14">
        <v>40001</v>
      </c>
      <c r="AE3461" s="14" t="s">
        <v>1400</v>
      </c>
      <c r="AF3461" s="14" t="s">
        <v>1400</v>
      </c>
      <c r="AG3461" s="14" t="s">
        <v>101</v>
      </c>
    </row>
    <row r="3462" spans="2:33">
      <c r="B3462" s="14">
        <f>10000000+INDEX(编号表!$B:$B,MATCH(H3462,编号表!$A:$A,0))*100000+INDEX(编号表!$F:$F,MATCH(D3462,编号表!$E:$E,0))*10000+INDEX(编号表!$D:$D,MATCH(AG3462,编号表!$C:$C,0))*1000+F3462</f>
        <v>11937117</v>
      </c>
      <c r="C3462" s="14" t="s">
        <v>6586</v>
      </c>
      <c r="D3462" s="14" t="s">
        <v>276</v>
      </c>
      <c r="E3462" s="14" t="s">
        <v>101</v>
      </c>
      <c r="F3462" s="14">
        <v>117</v>
      </c>
      <c r="G3462" s="14">
        <v>60</v>
      </c>
      <c r="H3462" s="14" t="s">
        <v>1400</v>
      </c>
      <c r="I3462" s="14" t="s">
        <v>75</v>
      </c>
      <c r="J3462" s="14" t="s">
        <v>201</v>
      </c>
      <c r="K3462" s="14">
        <v>1</v>
      </c>
      <c r="L3462" s="14" t="s">
        <v>1400</v>
      </c>
      <c r="N3462" s="14">
        <v>0</v>
      </c>
      <c r="O3462" s="14" t="b">
        <v>1</v>
      </c>
      <c r="Q3462" s="14" t="b">
        <v>0</v>
      </c>
      <c r="R3462" s="14">
        <v>1</v>
      </c>
      <c r="S3462" s="14" t="s">
        <v>77</v>
      </c>
      <c r="T3462" s="14">
        <v>999</v>
      </c>
      <c r="U3462" s="14" t="s">
        <v>1401</v>
      </c>
      <c r="V3462" s="14">
        <v>31937117</v>
      </c>
      <c r="X3462" s="14" t="s">
        <v>6589</v>
      </c>
      <c r="Y3462" s="14" t="s">
        <v>215</v>
      </c>
      <c r="Z3462" s="14">
        <v>22225</v>
      </c>
      <c r="AA3462" s="14" t="s">
        <v>6590</v>
      </c>
      <c r="AB3462" s="14">
        <v>40001</v>
      </c>
      <c r="AE3462" s="14" t="s">
        <v>1400</v>
      </c>
      <c r="AF3462" s="14" t="s">
        <v>1400</v>
      </c>
      <c r="AG3462" s="14" t="s">
        <v>101</v>
      </c>
    </row>
    <row r="3463" spans="2:33">
      <c r="B3463" s="14">
        <f>10000000+INDEX(编号表!$B:$B,MATCH(H3463,编号表!$A:$A,0))*100000+INDEX(编号表!$F:$F,MATCH(D3463,编号表!$E:$E,0))*10000+INDEX(编号表!$D:$D,MATCH(AG3463,编号表!$C:$C,0))*1000+F3463</f>
        <v>11947118</v>
      </c>
      <c r="C3463" s="14" t="s">
        <v>6586</v>
      </c>
      <c r="D3463" s="14" t="s">
        <v>104</v>
      </c>
      <c r="E3463" s="14" t="s">
        <v>101</v>
      </c>
      <c r="F3463" s="14">
        <v>118</v>
      </c>
      <c r="G3463" s="14">
        <v>60</v>
      </c>
      <c r="H3463" s="14" t="s">
        <v>1400</v>
      </c>
      <c r="I3463" s="14" t="s">
        <v>75</v>
      </c>
      <c r="J3463" s="14" t="s">
        <v>201</v>
      </c>
      <c r="K3463" s="14">
        <v>1</v>
      </c>
      <c r="L3463" s="14" t="s">
        <v>1400</v>
      </c>
      <c r="N3463" s="14">
        <v>0</v>
      </c>
      <c r="O3463" s="14" t="b">
        <v>1</v>
      </c>
      <c r="Q3463" s="14" t="b">
        <v>0</v>
      </c>
      <c r="R3463" s="14">
        <v>1</v>
      </c>
      <c r="S3463" s="14" t="s">
        <v>77</v>
      </c>
      <c r="T3463" s="14">
        <v>999</v>
      </c>
      <c r="U3463" s="14" t="s">
        <v>1401</v>
      </c>
      <c r="V3463" s="14">
        <v>31947118</v>
      </c>
      <c r="X3463" s="14" t="s">
        <v>6591</v>
      </c>
      <c r="Y3463" s="14" t="s">
        <v>215</v>
      </c>
      <c r="Z3463" s="14">
        <v>22226</v>
      </c>
      <c r="AA3463" s="14" t="s">
        <v>6592</v>
      </c>
      <c r="AB3463" s="14">
        <v>40001</v>
      </c>
      <c r="AE3463" s="14" t="s">
        <v>1400</v>
      </c>
      <c r="AF3463" s="14" t="s">
        <v>1400</v>
      </c>
      <c r="AG3463" s="14" t="s">
        <v>101</v>
      </c>
    </row>
    <row r="3464" spans="2:33">
      <c r="B3464" s="14">
        <f>10000000+INDEX(编号表!$B:$B,MATCH(H3464,编号表!$A:$A,0))*100000+INDEX(编号表!$F:$F,MATCH(D3464,编号表!$E:$E,0))*10000+INDEX(编号表!$D:$D,MATCH(AG3464,编号表!$C:$C,0))*1000+F3464</f>
        <v>11927117</v>
      </c>
      <c r="C3464" s="14" t="s">
        <v>6593</v>
      </c>
      <c r="D3464" s="14" t="s">
        <v>112</v>
      </c>
      <c r="E3464" s="14" t="s">
        <v>101</v>
      </c>
      <c r="F3464" s="14">
        <v>117</v>
      </c>
      <c r="G3464" s="14">
        <v>60</v>
      </c>
      <c r="H3464" s="14" t="s">
        <v>1400</v>
      </c>
      <c r="I3464" s="14" t="s">
        <v>75</v>
      </c>
      <c r="J3464" s="14" t="s">
        <v>201</v>
      </c>
      <c r="K3464" s="14">
        <v>1</v>
      </c>
      <c r="L3464" s="14" t="s">
        <v>1400</v>
      </c>
      <c r="N3464" s="14">
        <v>0</v>
      </c>
      <c r="O3464" s="14" t="b">
        <v>1</v>
      </c>
      <c r="Q3464" s="14" t="b">
        <v>0</v>
      </c>
      <c r="R3464" s="14">
        <v>1</v>
      </c>
      <c r="S3464" s="14" t="s">
        <v>77</v>
      </c>
      <c r="T3464" s="14">
        <v>999</v>
      </c>
      <c r="U3464" s="14" t="s">
        <v>1401</v>
      </c>
      <c r="V3464" s="14">
        <v>31927117</v>
      </c>
      <c r="X3464" s="14" t="s">
        <v>6594</v>
      </c>
      <c r="Y3464" s="14" t="s">
        <v>215</v>
      </c>
      <c r="Z3464" s="14">
        <v>22227</v>
      </c>
      <c r="AA3464" s="14" t="s">
        <v>6595</v>
      </c>
      <c r="AB3464" s="14">
        <v>40001</v>
      </c>
      <c r="AE3464" s="14" t="s">
        <v>1400</v>
      </c>
      <c r="AF3464" s="14" t="s">
        <v>1400</v>
      </c>
      <c r="AG3464" s="14" t="s">
        <v>101</v>
      </c>
    </row>
    <row r="3465" spans="2:33">
      <c r="B3465" s="14">
        <f>10000000+INDEX(编号表!$B:$B,MATCH(H3465,编号表!$A:$A,0))*100000+INDEX(编号表!$F:$F,MATCH(D3465,编号表!$E:$E,0))*10000+INDEX(编号表!$D:$D,MATCH(AG3465,编号表!$C:$C,0))*1000+F3465</f>
        <v>11937118</v>
      </c>
      <c r="C3465" s="14" t="s">
        <v>6593</v>
      </c>
      <c r="D3465" s="14" t="s">
        <v>276</v>
      </c>
      <c r="E3465" s="14" t="s">
        <v>101</v>
      </c>
      <c r="F3465" s="14">
        <v>118</v>
      </c>
      <c r="G3465" s="14">
        <v>60</v>
      </c>
      <c r="H3465" s="14" t="s">
        <v>1400</v>
      </c>
      <c r="I3465" s="14" t="s">
        <v>75</v>
      </c>
      <c r="J3465" s="14" t="s">
        <v>201</v>
      </c>
      <c r="K3465" s="14">
        <v>1</v>
      </c>
      <c r="L3465" s="14" t="s">
        <v>1400</v>
      </c>
      <c r="N3465" s="14">
        <v>0</v>
      </c>
      <c r="O3465" s="14" t="b">
        <v>1</v>
      </c>
      <c r="Q3465" s="14" t="b">
        <v>0</v>
      </c>
      <c r="R3465" s="14">
        <v>1</v>
      </c>
      <c r="S3465" s="14" t="s">
        <v>77</v>
      </c>
      <c r="T3465" s="14">
        <v>999</v>
      </c>
      <c r="U3465" s="14" t="s">
        <v>1401</v>
      </c>
      <c r="V3465" s="14">
        <v>31937118</v>
      </c>
      <c r="X3465" s="14" t="s">
        <v>6596</v>
      </c>
      <c r="Y3465" s="14" t="s">
        <v>215</v>
      </c>
      <c r="Z3465" s="14">
        <v>22228</v>
      </c>
      <c r="AA3465" s="14" t="s">
        <v>6597</v>
      </c>
      <c r="AB3465" s="14">
        <v>40001</v>
      </c>
      <c r="AE3465" s="14" t="s">
        <v>1400</v>
      </c>
      <c r="AF3465" s="14" t="s">
        <v>1400</v>
      </c>
      <c r="AG3465" s="14" t="s">
        <v>101</v>
      </c>
    </row>
    <row r="3466" spans="2:33">
      <c r="B3466" s="14">
        <f>10000000+INDEX(编号表!$B:$B,MATCH(H3466,编号表!$A:$A,0))*100000+INDEX(编号表!$F:$F,MATCH(D3466,编号表!$E:$E,0))*10000+INDEX(编号表!$D:$D,MATCH(AG3466,编号表!$C:$C,0))*1000+F3466</f>
        <v>11947119</v>
      </c>
      <c r="C3466" s="14" t="s">
        <v>6593</v>
      </c>
      <c r="D3466" s="14" t="s">
        <v>104</v>
      </c>
      <c r="E3466" s="14" t="s">
        <v>101</v>
      </c>
      <c r="F3466" s="14">
        <v>119</v>
      </c>
      <c r="G3466" s="14">
        <v>60</v>
      </c>
      <c r="H3466" s="14" t="s">
        <v>1400</v>
      </c>
      <c r="I3466" s="14" t="s">
        <v>75</v>
      </c>
      <c r="J3466" s="14" t="s">
        <v>201</v>
      </c>
      <c r="K3466" s="14">
        <v>1</v>
      </c>
      <c r="L3466" s="14" t="s">
        <v>1400</v>
      </c>
      <c r="N3466" s="14">
        <v>0</v>
      </c>
      <c r="O3466" s="14" t="b">
        <v>1</v>
      </c>
      <c r="Q3466" s="14" t="b">
        <v>0</v>
      </c>
      <c r="R3466" s="14">
        <v>1</v>
      </c>
      <c r="S3466" s="14" t="s">
        <v>77</v>
      </c>
      <c r="T3466" s="14">
        <v>999</v>
      </c>
      <c r="U3466" s="14" t="s">
        <v>1401</v>
      </c>
      <c r="V3466" s="14">
        <v>31947119</v>
      </c>
      <c r="X3466" s="14" t="s">
        <v>6598</v>
      </c>
      <c r="Y3466" s="14" t="s">
        <v>215</v>
      </c>
      <c r="Z3466" s="14">
        <v>22229</v>
      </c>
      <c r="AA3466" s="14" t="s">
        <v>6599</v>
      </c>
      <c r="AB3466" s="14">
        <v>40001</v>
      </c>
      <c r="AE3466" s="14" t="s">
        <v>1400</v>
      </c>
      <c r="AF3466" s="14" t="s">
        <v>1400</v>
      </c>
      <c r="AG3466" s="14" t="s">
        <v>101</v>
      </c>
    </row>
    <row r="3467" spans="2:33">
      <c r="B3467" s="14">
        <f>10000000+INDEX(编号表!$B:$B,MATCH(H3467,编号表!$A:$A,0))*100000+INDEX(编号表!$F:$F,MATCH(D3467,编号表!$E:$E,0))*10000+INDEX(编号表!$D:$D,MATCH(AG3467,编号表!$C:$C,0))*1000+F3467</f>
        <v>11927118</v>
      </c>
      <c r="C3467" s="14" t="s">
        <v>6600</v>
      </c>
      <c r="D3467" s="14" t="s">
        <v>112</v>
      </c>
      <c r="E3467" s="14" t="s">
        <v>101</v>
      </c>
      <c r="F3467" s="14">
        <v>118</v>
      </c>
      <c r="G3467" s="14">
        <v>60</v>
      </c>
      <c r="H3467" s="14" t="s">
        <v>1400</v>
      </c>
      <c r="I3467" s="14" t="s">
        <v>75</v>
      </c>
      <c r="J3467" s="14" t="s">
        <v>201</v>
      </c>
      <c r="K3467" s="14">
        <v>1</v>
      </c>
      <c r="L3467" s="14" t="s">
        <v>1400</v>
      </c>
      <c r="N3467" s="14">
        <v>0</v>
      </c>
      <c r="O3467" s="14" t="b">
        <v>1</v>
      </c>
      <c r="Q3467" s="14" t="b">
        <v>0</v>
      </c>
      <c r="R3467" s="14">
        <v>1</v>
      </c>
      <c r="S3467" s="14" t="s">
        <v>77</v>
      </c>
      <c r="T3467" s="14">
        <v>999</v>
      </c>
      <c r="U3467" s="14" t="s">
        <v>1401</v>
      </c>
      <c r="V3467" s="14">
        <v>31927118</v>
      </c>
      <c r="X3467" s="14" t="s">
        <v>6601</v>
      </c>
      <c r="Y3467" s="14" t="s">
        <v>215</v>
      </c>
      <c r="Z3467" s="14">
        <v>22230</v>
      </c>
      <c r="AA3467" s="14" t="s">
        <v>6602</v>
      </c>
      <c r="AB3467" s="14">
        <v>40001</v>
      </c>
      <c r="AE3467" s="14" t="s">
        <v>1400</v>
      </c>
      <c r="AF3467" s="14" t="s">
        <v>1400</v>
      </c>
      <c r="AG3467" s="14" t="s">
        <v>101</v>
      </c>
    </row>
    <row r="3468" spans="2:33">
      <c r="B3468" s="14">
        <f>10000000+INDEX(编号表!$B:$B,MATCH(H3468,编号表!$A:$A,0))*100000+INDEX(编号表!$F:$F,MATCH(D3468,编号表!$E:$E,0))*10000+INDEX(编号表!$D:$D,MATCH(AG3468,编号表!$C:$C,0))*1000+F3468</f>
        <v>11937119</v>
      </c>
      <c r="C3468" s="14" t="s">
        <v>6600</v>
      </c>
      <c r="D3468" s="14" t="s">
        <v>276</v>
      </c>
      <c r="E3468" s="14" t="s">
        <v>101</v>
      </c>
      <c r="F3468" s="14">
        <v>119</v>
      </c>
      <c r="G3468" s="14">
        <v>60</v>
      </c>
      <c r="H3468" s="14" t="s">
        <v>1400</v>
      </c>
      <c r="I3468" s="14" t="s">
        <v>75</v>
      </c>
      <c r="J3468" s="14" t="s">
        <v>201</v>
      </c>
      <c r="K3468" s="14">
        <v>1</v>
      </c>
      <c r="L3468" s="14" t="s">
        <v>1400</v>
      </c>
      <c r="N3468" s="14">
        <v>0</v>
      </c>
      <c r="O3468" s="14" t="b">
        <v>1</v>
      </c>
      <c r="Q3468" s="14" t="b">
        <v>0</v>
      </c>
      <c r="R3468" s="14">
        <v>1</v>
      </c>
      <c r="S3468" s="14" t="s">
        <v>77</v>
      </c>
      <c r="T3468" s="14">
        <v>999</v>
      </c>
      <c r="U3468" s="14" t="s">
        <v>1401</v>
      </c>
      <c r="V3468" s="14">
        <v>31937119</v>
      </c>
      <c r="X3468" s="14" t="s">
        <v>6603</v>
      </c>
      <c r="Y3468" s="14" t="s">
        <v>215</v>
      </c>
      <c r="Z3468" s="14">
        <v>22231</v>
      </c>
      <c r="AA3468" s="14" t="s">
        <v>6604</v>
      </c>
      <c r="AB3468" s="14">
        <v>40001</v>
      </c>
      <c r="AE3468" s="14" t="s">
        <v>1400</v>
      </c>
      <c r="AF3468" s="14" t="s">
        <v>1400</v>
      </c>
      <c r="AG3468" s="14" t="s">
        <v>101</v>
      </c>
    </row>
    <row r="3469" spans="2:33">
      <c r="B3469" s="14">
        <f>10000000+INDEX(编号表!$B:$B,MATCH(H3469,编号表!$A:$A,0))*100000+INDEX(编号表!$F:$F,MATCH(D3469,编号表!$E:$E,0))*10000+INDEX(编号表!$D:$D,MATCH(AG3469,编号表!$C:$C,0))*1000+F3469</f>
        <v>11947120</v>
      </c>
      <c r="C3469" s="14" t="s">
        <v>6600</v>
      </c>
      <c r="D3469" s="14" t="s">
        <v>104</v>
      </c>
      <c r="E3469" s="14" t="s">
        <v>101</v>
      </c>
      <c r="F3469" s="14">
        <v>120</v>
      </c>
      <c r="G3469" s="14">
        <v>60</v>
      </c>
      <c r="H3469" s="14" t="s">
        <v>1400</v>
      </c>
      <c r="I3469" s="14" t="s">
        <v>75</v>
      </c>
      <c r="J3469" s="14" t="s">
        <v>201</v>
      </c>
      <c r="K3469" s="14">
        <v>1</v>
      </c>
      <c r="L3469" s="14" t="s">
        <v>1400</v>
      </c>
      <c r="N3469" s="14">
        <v>0</v>
      </c>
      <c r="O3469" s="14" t="b">
        <v>1</v>
      </c>
      <c r="Q3469" s="14" t="b">
        <v>0</v>
      </c>
      <c r="R3469" s="14">
        <v>1</v>
      </c>
      <c r="S3469" s="14" t="s">
        <v>77</v>
      </c>
      <c r="T3469" s="14">
        <v>999</v>
      </c>
      <c r="U3469" s="14" t="s">
        <v>1401</v>
      </c>
      <c r="V3469" s="14">
        <v>31947120</v>
      </c>
      <c r="X3469" s="14" t="s">
        <v>6605</v>
      </c>
      <c r="Y3469" s="14" t="s">
        <v>215</v>
      </c>
      <c r="Z3469" s="14">
        <v>22232</v>
      </c>
      <c r="AA3469" s="14" t="s">
        <v>6606</v>
      </c>
      <c r="AB3469" s="14">
        <v>40001</v>
      </c>
      <c r="AE3469" s="14" t="s">
        <v>1400</v>
      </c>
      <c r="AF3469" s="14" t="s">
        <v>1400</v>
      </c>
      <c r="AG3469" s="14" t="s">
        <v>101</v>
      </c>
    </row>
    <row r="3470" spans="2:33">
      <c r="B3470" s="14">
        <f>10000000+INDEX(编号表!$B:$B,MATCH(H3470,编号表!$A:$A,0))*100000+INDEX(编号表!$F:$F,MATCH(D3470,编号表!$E:$E,0))*10000+INDEX(编号表!$D:$D,MATCH(AG3470,编号表!$C:$C,0))*1000+F3470</f>
        <v>11927119</v>
      </c>
      <c r="C3470" s="14" t="s">
        <v>6607</v>
      </c>
      <c r="D3470" s="14" t="s">
        <v>112</v>
      </c>
      <c r="E3470" s="14" t="s">
        <v>101</v>
      </c>
      <c r="F3470" s="14">
        <v>119</v>
      </c>
      <c r="G3470" s="14">
        <v>60</v>
      </c>
      <c r="H3470" s="14" t="s">
        <v>1400</v>
      </c>
      <c r="I3470" s="14" t="s">
        <v>75</v>
      </c>
      <c r="J3470" s="14" t="s">
        <v>201</v>
      </c>
      <c r="K3470" s="14">
        <v>1</v>
      </c>
      <c r="L3470" s="14" t="s">
        <v>1400</v>
      </c>
      <c r="N3470" s="14">
        <v>0</v>
      </c>
      <c r="O3470" s="14" t="b">
        <v>1</v>
      </c>
      <c r="Q3470" s="14" t="b">
        <v>0</v>
      </c>
      <c r="R3470" s="14">
        <v>1</v>
      </c>
      <c r="S3470" s="14" t="s">
        <v>77</v>
      </c>
      <c r="T3470" s="14">
        <v>999</v>
      </c>
      <c r="U3470" s="14" t="s">
        <v>1401</v>
      </c>
      <c r="V3470" s="14">
        <v>31927119</v>
      </c>
      <c r="X3470" s="14" t="s">
        <v>6608</v>
      </c>
      <c r="Y3470" s="14" t="s">
        <v>215</v>
      </c>
      <c r="Z3470" s="14">
        <v>22233</v>
      </c>
      <c r="AA3470" s="14" t="s">
        <v>6609</v>
      </c>
      <c r="AB3470" s="14">
        <v>40001</v>
      </c>
      <c r="AE3470" s="14" t="s">
        <v>1400</v>
      </c>
      <c r="AF3470" s="14" t="s">
        <v>1400</v>
      </c>
      <c r="AG3470" s="14" t="s">
        <v>101</v>
      </c>
    </row>
    <row r="3471" spans="2:33">
      <c r="B3471" s="14">
        <f>10000000+INDEX(编号表!$B:$B,MATCH(H3471,编号表!$A:$A,0))*100000+INDEX(编号表!$F:$F,MATCH(D3471,编号表!$E:$E,0))*10000+INDEX(编号表!$D:$D,MATCH(AG3471,编号表!$C:$C,0))*1000+F3471</f>
        <v>11937120</v>
      </c>
      <c r="C3471" s="14" t="s">
        <v>6607</v>
      </c>
      <c r="D3471" s="14" t="s">
        <v>276</v>
      </c>
      <c r="E3471" s="14" t="s">
        <v>101</v>
      </c>
      <c r="F3471" s="14">
        <v>120</v>
      </c>
      <c r="G3471" s="14">
        <v>60</v>
      </c>
      <c r="H3471" s="14" t="s">
        <v>1400</v>
      </c>
      <c r="I3471" s="14" t="s">
        <v>75</v>
      </c>
      <c r="J3471" s="14" t="s">
        <v>201</v>
      </c>
      <c r="K3471" s="14">
        <v>1</v>
      </c>
      <c r="L3471" s="14" t="s">
        <v>1400</v>
      </c>
      <c r="N3471" s="14">
        <v>0</v>
      </c>
      <c r="O3471" s="14" t="b">
        <v>1</v>
      </c>
      <c r="Q3471" s="14" t="b">
        <v>0</v>
      </c>
      <c r="R3471" s="14">
        <v>1</v>
      </c>
      <c r="S3471" s="14" t="s">
        <v>77</v>
      </c>
      <c r="T3471" s="14">
        <v>999</v>
      </c>
      <c r="U3471" s="14" t="s">
        <v>1401</v>
      </c>
      <c r="V3471" s="14">
        <v>31937120</v>
      </c>
      <c r="X3471" s="14" t="s">
        <v>6610</v>
      </c>
      <c r="Y3471" s="14" t="s">
        <v>215</v>
      </c>
      <c r="Z3471" s="14">
        <v>22234</v>
      </c>
      <c r="AA3471" s="14" t="s">
        <v>6611</v>
      </c>
      <c r="AB3471" s="14">
        <v>40001</v>
      </c>
      <c r="AE3471" s="14" t="s">
        <v>1400</v>
      </c>
      <c r="AF3471" s="14" t="s">
        <v>1400</v>
      </c>
      <c r="AG3471" s="14" t="s">
        <v>101</v>
      </c>
    </row>
    <row r="3472" spans="2:33">
      <c r="B3472" s="14">
        <f>10000000+INDEX(编号表!$B:$B,MATCH(H3472,编号表!$A:$A,0))*100000+INDEX(编号表!$F:$F,MATCH(D3472,编号表!$E:$E,0))*10000+INDEX(编号表!$D:$D,MATCH(AG3472,编号表!$C:$C,0))*1000+F3472</f>
        <v>11947121</v>
      </c>
      <c r="C3472" s="14" t="s">
        <v>6607</v>
      </c>
      <c r="D3472" s="14" t="s">
        <v>104</v>
      </c>
      <c r="E3472" s="14" t="s">
        <v>101</v>
      </c>
      <c r="F3472" s="14">
        <v>121</v>
      </c>
      <c r="G3472" s="14">
        <v>60</v>
      </c>
      <c r="H3472" s="14" t="s">
        <v>1400</v>
      </c>
      <c r="I3472" s="14" t="s">
        <v>75</v>
      </c>
      <c r="J3472" s="14" t="s">
        <v>201</v>
      </c>
      <c r="K3472" s="14">
        <v>1</v>
      </c>
      <c r="L3472" s="14" t="s">
        <v>1400</v>
      </c>
      <c r="N3472" s="14">
        <v>0</v>
      </c>
      <c r="O3472" s="14" t="b">
        <v>1</v>
      </c>
      <c r="Q3472" s="14" t="b">
        <v>0</v>
      </c>
      <c r="R3472" s="14">
        <v>1</v>
      </c>
      <c r="S3472" s="14" t="s">
        <v>77</v>
      </c>
      <c r="T3472" s="14">
        <v>999</v>
      </c>
      <c r="U3472" s="14" t="s">
        <v>1401</v>
      </c>
      <c r="V3472" s="14">
        <v>31947121</v>
      </c>
      <c r="X3472" s="14" t="s">
        <v>6612</v>
      </c>
      <c r="Y3472" s="14" t="s">
        <v>215</v>
      </c>
      <c r="Z3472" s="14">
        <v>22235</v>
      </c>
      <c r="AA3472" s="14" t="s">
        <v>6613</v>
      </c>
      <c r="AB3472" s="14">
        <v>40001</v>
      </c>
      <c r="AE3472" s="14" t="s">
        <v>1400</v>
      </c>
      <c r="AF3472" s="14" t="s">
        <v>1400</v>
      </c>
      <c r="AG3472" s="14" t="s">
        <v>101</v>
      </c>
    </row>
    <row r="3473" spans="2:33">
      <c r="B3473" s="14">
        <f>10000000+INDEX(编号表!$B:$B,MATCH(H3473,编号表!$A:$A,0))*100000+INDEX(编号表!$F:$F,MATCH(D3473,编号表!$E:$E,0))*10000+INDEX(编号表!$D:$D,MATCH(AG3473,编号表!$C:$C,0))*1000+F3473</f>
        <v>11927120</v>
      </c>
      <c r="C3473" s="14" t="s">
        <v>6614</v>
      </c>
      <c r="D3473" s="14" t="s">
        <v>112</v>
      </c>
      <c r="E3473" s="14" t="s">
        <v>101</v>
      </c>
      <c r="F3473" s="14">
        <v>120</v>
      </c>
      <c r="G3473" s="14">
        <v>60</v>
      </c>
      <c r="H3473" s="14" t="s">
        <v>1400</v>
      </c>
      <c r="I3473" s="14" t="s">
        <v>75</v>
      </c>
      <c r="J3473" s="14" t="s">
        <v>201</v>
      </c>
      <c r="K3473" s="14">
        <v>1</v>
      </c>
      <c r="L3473" s="14" t="s">
        <v>1400</v>
      </c>
      <c r="N3473" s="14">
        <v>0</v>
      </c>
      <c r="O3473" s="14" t="b">
        <v>1</v>
      </c>
      <c r="Q3473" s="14" t="b">
        <v>0</v>
      </c>
      <c r="R3473" s="14">
        <v>1</v>
      </c>
      <c r="S3473" s="14" t="s">
        <v>77</v>
      </c>
      <c r="T3473" s="14">
        <v>999</v>
      </c>
      <c r="U3473" s="14" t="s">
        <v>1401</v>
      </c>
      <c r="V3473" s="14">
        <v>31927120</v>
      </c>
      <c r="X3473" s="14" t="s">
        <v>6615</v>
      </c>
      <c r="Y3473" s="14" t="s">
        <v>215</v>
      </c>
      <c r="Z3473" s="14">
        <v>22236</v>
      </c>
      <c r="AA3473" s="14" t="s">
        <v>6616</v>
      </c>
      <c r="AB3473" s="14">
        <v>40001</v>
      </c>
      <c r="AE3473" s="14" t="s">
        <v>1400</v>
      </c>
      <c r="AF3473" s="14" t="s">
        <v>1400</v>
      </c>
      <c r="AG3473" s="14" t="s">
        <v>101</v>
      </c>
    </row>
    <row r="3474" spans="2:33">
      <c r="B3474" s="14">
        <f>10000000+INDEX(编号表!$B:$B,MATCH(H3474,编号表!$A:$A,0))*100000+INDEX(编号表!$F:$F,MATCH(D3474,编号表!$E:$E,0))*10000+INDEX(编号表!$D:$D,MATCH(AG3474,编号表!$C:$C,0))*1000+F3474</f>
        <v>11937121</v>
      </c>
      <c r="C3474" s="14" t="s">
        <v>6614</v>
      </c>
      <c r="D3474" s="14" t="s">
        <v>276</v>
      </c>
      <c r="E3474" s="14" t="s">
        <v>101</v>
      </c>
      <c r="F3474" s="14">
        <v>121</v>
      </c>
      <c r="G3474" s="14">
        <v>60</v>
      </c>
      <c r="H3474" s="14" t="s">
        <v>1400</v>
      </c>
      <c r="I3474" s="14" t="s">
        <v>75</v>
      </c>
      <c r="J3474" s="14" t="s">
        <v>201</v>
      </c>
      <c r="K3474" s="14">
        <v>1</v>
      </c>
      <c r="L3474" s="14" t="s">
        <v>1400</v>
      </c>
      <c r="N3474" s="14">
        <v>0</v>
      </c>
      <c r="O3474" s="14" t="b">
        <v>1</v>
      </c>
      <c r="Q3474" s="14" t="b">
        <v>0</v>
      </c>
      <c r="R3474" s="14">
        <v>1</v>
      </c>
      <c r="S3474" s="14" t="s">
        <v>77</v>
      </c>
      <c r="T3474" s="14">
        <v>999</v>
      </c>
      <c r="U3474" s="14" t="s">
        <v>1401</v>
      </c>
      <c r="V3474" s="14">
        <v>31937121</v>
      </c>
      <c r="X3474" s="14" t="s">
        <v>6617</v>
      </c>
      <c r="Y3474" s="14" t="s">
        <v>215</v>
      </c>
      <c r="Z3474" s="14">
        <v>22237</v>
      </c>
      <c r="AA3474" s="14" t="s">
        <v>6618</v>
      </c>
      <c r="AB3474" s="14">
        <v>40001</v>
      </c>
      <c r="AE3474" s="14" t="s">
        <v>1400</v>
      </c>
      <c r="AF3474" s="14" t="s">
        <v>1400</v>
      </c>
      <c r="AG3474" s="14" t="s">
        <v>101</v>
      </c>
    </row>
    <row r="3475" spans="2:33">
      <c r="B3475" s="14">
        <f>10000000+INDEX(编号表!$B:$B,MATCH(H3475,编号表!$A:$A,0))*100000+INDEX(编号表!$F:$F,MATCH(D3475,编号表!$E:$E,0))*10000+INDEX(编号表!$D:$D,MATCH(AG3475,编号表!$C:$C,0))*1000+F3475</f>
        <v>11947122</v>
      </c>
      <c r="C3475" s="14" t="s">
        <v>6614</v>
      </c>
      <c r="D3475" s="14" t="s">
        <v>104</v>
      </c>
      <c r="E3475" s="14" t="s">
        <v>101</v>
      </c>
      <c r="F3475" s="14">
        <v>122</v>
      </c>
      <c r="G3475" s="14">
        <v>60</v>
      </c>
      <c r="H3475" s="14" t="s">
        <v>1400</v>
      </c>
      <c r="I3475" s="14" t="s">
        <v>75</v>
      </c>
      <c r="J3475" s="14" t="s">
        <v>201</v>
      </c>
      <c r="K3475" s="14">
        <v>1</v>
      </c>
      <c r="L3475" s="14" t="s">
        <v>1400</v>
      </c>
      <c r="N3475" s="14">
        <v>0</v>
      </c>
      <c r="O3475" s="14" t="b">
        <v>1</v>
      </c>
      <c r="Q3475" s="14" t="b">
        <v>0</v>
      </c>
      <c r="R3475" s="14">
        <v>1</v>
      </c>
      <c r="S3475" s="14" t="s">
        <v>77</v>
      </c>
      <c r="T3475" s="14">
        <v>999</v>
      </c>
      <c r="U3475" s="14" t="s">
        <v>1401</v>
      </c>
      <c r="V3475" s="14">
        <v>31947122</v>
      </c>
      <c r="X3475" s="14" t="s">
        <v>6619</v>
      </c>
      <c r="Y3475" s="14" t="s">
        <v>215</v>
      </c>
      <c r="Z3475" s="14">
        <v>22238</v>
      </c>
      <c r="AA3475" s="14" t="s">
        <v>6620</v>
      </c>
      <c r="AB3475" s="14">
        <v>40001</v>
      </c>
      <c r="AE3475" s="14" t="s">
        <v>1400</v>
      </c>
      <c r="AF3475" s="14" t="s">
        <v>1400</v>
      </c>
      <c r="AG3475" s="14" t="s">
        <v>101</v>
      </c>
    </row>
    <row r="3476" spans="2:33">
      <c r="B3476" s="14">
        <f>10000000+INDEX(编号表!$B:$B,MATCH(H3476,编号表!$A:$A,0))*100000+INDEX(编号表!$F:$F,MATCH(D3476,编号表!$E:$E,0))*10000+INDEX(编号表!$D:$D,MATCH(AG3476,编号表!$C:$C,0))*1000+F3476</f>
        <v>11927121</v>
      </c>
      <c r="C3476" s="14" t="s">
        <v>6621</v>
      </c>
      <c r="D3476" s="14" t="s">
        <v>112</v>
      </c>
      <c r="E3476" s="14" t="s">
        <v>101</v>
      </c>
      <c r="F3476" s="14">
        <v>121</v>
      </c>
      <c r="G3476" s="14">
        <v>60</v>
      </c>
      <c r="H3476" s="14" t="s">
        <v>1400</v>
      </c>
      <c r="I3476" s="14" t="s">
        <v>75</v>
      </c>
      <c r="J3476" s="14" t="s">
        <v>201</v>
      </c>
      <c r="K3476" s="14">
        <v>1</v>
      </c>
      <c r="L3476" s="14" t="s">
        <v>1400</v>
      </c>
      <c r="N3476" s="14">
        <v>0</v>
      </c>
      <c r="O3476" s="14" t="b">
        <v>1</v>
      </c>
      <c r="Q3476" s="14" t="b">
        <v>0</v>
      </c>
      <c r="R3476" s="14">
        <v>1</v>
      </c>
      <c r="S3476" s="14" t="s">
        <v>77</v>
      </c>
      <c r="T3476" s="14">
        <v>999</v>
      </c>
      <c r="U3476" s="14" t="s">
        <v>1401</v>
      </c>
      <c r="V3476" s="14">
        <v>31927121</v>
      </c>
      <c r="X3476" s="14" t="s">
        <v>6622</v>
      </c>
      <c r="Y3476" s="14" t="s">
        <v>215</v>
      </c>
      <c r="Z3476" s="14">
        <v>22239</v>
      </c>
      <c r="AA3476" s="14" t="s">
        <v>6623</v>
      </c>
      <c r="AB3476" s="14">
        <v>40001</v>
      </c>
      <c r="AE3476" s="14" t="s">
        <v>1400</v>
      </c>
      <c r="AF3476" s="14" t="s">
        <v>1400</v>
      </c>
      <c r="AG3476" s="14" t="s">
        <v>101</v>
      </c>
    </row>
    <row r="3477" spans="2:33">
      <c r="B3477" s="14">
        <f>10000000+INDEX(编号表!$B:$B,MATCH(H3477,编号表!$A:$A,0))*100000+INDEX(编号表!$F:$F,MATCH(D3477,编号表!$E:$E,0))*10000+INDEX(编号表!$D:$D,MATCH(AG3477,编号表!$C:$C,0))*1000+F3477</f>
        <v>11937122</v>
      </c>
      <c r="C3477" s="14" t="s">
        <v>6621</v>
      </c>
      <c r="D3477" s="14" t="s">
        <v>276</v>
      </c>
      <c r="E3477" s="14" t="s">
        <v>101</v>
      </c>
      <c r="F3477" s="14">
        <v>122</v>
      </c>
      <c r="G3477" s="14">
        <v>60</v>
      </c>
      <c r="H3477" s="14" t="s">
        <v>1400</v>
      </c>
      <c r="I3477" s="14" t="s">
        <v>75</v>
      </c>
      <c r="J3477" s="14" t="s">
        <v>201</v>
      </c>
      <c r="K3477" s="14">
        <v>1</v>
      </c>
      <c r="L3477" s="14" t="s">
        <v>1400</v>
      </c>
      <c r="N3477" s="14">
        <v>0</v>
      </c>
      <c r="O3477" s="14" t="b">
        <v>1</v>
      </c>
      <c r="Q3477" s="14" t="b">
        <v>0</v>
      </c>
      <c r="R3477" s="14">
        <v>1</v>
      </c>
      <c r="S3477" s="14" t="s">
        <v>77</v>
      </c>
      <c r="T3477" s="14">
        <v>999</v>
      </c>
      <c r="U3477" s="14" t="s">
        <v>1401</v>
      </c>
      <c r="V3477" s="14">
        <v>31937122</v>
      </c>
      <c r="X3477" s="14" t="s">
        <v>6624</v>
      </c>
      <c r="Y3477" s="14" t="s">
        <v>215</v>
      </c>
      <c r="Z3477" s="14">
        <v>22240</v>
      </c>
      <c r="AA3477" s="14" t="s">
        <v>6625</v>
      </c>
      <c r="AB3477" s="14">
        <v>40001</v>
      </c>
      <c r="AE3477" s="14" t="s">
        <v>1400</v>
      </c>
      <c r="AF3477" s="14" t="s">
        <v>1400</v>
      </c>
      <c r="AG3477" s="14" t="s">
        <v>101</v>
      </c>
    </row>
    <row r="3478" spans="2:33">
      <c r="B3478" s="14">
        <f>10000000+INDEX(编号表!$B:$B,MATCH(H3478,编号表!$A:$A,0))*100000+INDEX(编号表!$F:$F,MATCH(D3478,编号表!$E:$E,0))*10000+INDEX(编号表!$D:$D,MATCH(AG3478,编号表!$C:$C,0))*1000+F3478</f>
        <v>11947123</v>
      </c>
      <c r="C3478" s="14" t="s">
        <v>6621</v>
      </c>
      <c r="D3478" s="14" t="s">
        <v>104</v>
      </c>
      <c r="E3478" s="14" t="s">
        <v>101</v>
      </c>
      <c r="F3478" s="14">
        <v>123</v>
      </c>
      <c r="G3478" s="14">
        <v>60</v>
      </c>
      <c r="H3478" s="14" t="s">
        <v>1400</v>
      </c>
      <c r="I3478" s="14" t="s">
        <v>75</v>
      </c>
      <c r="J3478" s="14" t="s">
        <v>201</v>
      </c>
      <c r="K3478" s="14">
        <v>1</v>
      </c>
      <c r="L3478" s="14" t="s">
        <v>1400</v>
      </c>
      <c r="N3478" s="14">
        <v>0</v>
      </c>
      <c r="O3478" s="14" t="b">
        <v>1</v>
      </c>
      <c r="Q3478" s="14" t="b">
        <v>0</v>
      </c>
      <c r="R3478" s="14">
        <v>1</v>
      </c>
      <c r="S3478" s="14" t="s">
        <v>77</v>
      </c>
      <c r="T3478" s="14">
        <v>999</v>
      </c>
      <c r="U3478" s="14" t="s">
        <v>1401</v>
      </c>
      <c r="V3478" s="14">
        <v>31947123</v>
      </c>
      <c r="X3478" s="14" t="s">
        <v>6626</v>
      </c>
      <c r="Y3478" s="14" t="s">
        <v>215</v>
      </c>
      <c r="Z3478" s="14">
        <v>22241</v>
      </c>
      <c r="AA3478" s="14" t="s">
        <v>6627</v>
      </c>
      <c r="AB3478" s="14">
        <v>40001</v>
      </c>
      <c r="AE3478" s="14" t="s">
        <v>1400</v>
      </c>
      <c r="AF3478" s="14" t="s">
        <v>1400</v>
      </c>
      <c r="AG3478" s="14" t="s">
        <v>101</v>
      </c>
    </row>
    <row r="3479" spans="2:33">
      <c r="B3479" s="14">
        <f>10000000+INDEX(编号表!$B:$B,MATCH(H3479,编号表!$A:$A,0))*100000+INDEX(编号表!$F:$F,MATCH(D3479,编号表!$E:$E,0))*10000+INDEX(编号表!$D:$D,MATCH(AG3479,编号表!$C:$C,0))*1000+F3479</f>
        <v>11927122</v>
      </c>
      <c r="C3479" s="14" t="s">
        <v>6628</v>
      </c>
      <c r="D3479" s="14" t="s">
        <v>112</v>
      </c>
      <c r="E3479" s="14" t="s">
        <v>101</v>
      </c>
      <c r="F3479" s="14">
        <v>122</v>
      </c>
      <c r="G3479" s="14">
        <v>60</v>
      </c>
      <c r="H3479" s="14" t="s">
        <v>1400</v>
      </c>
      <c r="I3479" s="14" t="s">
        <v>75</v>
      </c>
      <c r="J3479" s="14" t="s">
        <v>201</v>
      </c>
      <c r="K3479" s="14">
        <v>1</v>
      </c>
      <c r="L3479" s="14" t="s">
        <v>1400</v>
      </c>
      <c r="N3479" s="14">
        <v>0</v>
      </c>
      <c r="O3479" s="14" t="b">
        <v>1</v>
      </c>
      <c r="Q3479" s="14" t="b">
        <v>0</v>
      </c>
      <c r="R3479" s="14">
        <v>1</v>
      </c>
      <c r="S3479" s="14" t="s">
        <v>77</v>
      </c>
      <c r="T3479" s="14">
        <v>999</v>
      </c>
      <c r="U3479" s="14" t="s">
        <v>1401</v>
      </c>
      <c r="V3479" s="14">
        <v>31927122</v>
      </c>
      <c r="X3479" s="14" t="s">
        <v>6629</v>
      </c>
      <c r="Y3479" s="14" t="s">
        <v>215</v>
      </c>
      <c r="Z3479" s="14">
        <v>22242</v>
      </c>
      <c r="AA3479" s="14" t="s">
        <v>6630</v>
      </c>
      <c r="AB3479" s="14">
        <v>40001</v>
      </c>
      <c r="AE3479" s="14" t="s">
        <v>1400</v>
      </c>
      <c r="AF3479" s="14" t="s">
        <v>1400</v>
      </c>
      <c r="AG3479" s="14" t="s">
        <v>101</v>
      </c>
    </row>
    <row r="3480" spans="2:33">
      <c r="B3480" s="14">
        <f>10000000+INDEX(编号表!$B:$B,MATCH(H3480,编号表!$A:$A,0))*100000+INDEX(编号表!$F:$F,MATCH(D3480,编号表!$E:$E,0))*10000+INDEX(编号表!$D:$D,MATCH(AG3480,编号表!$C:$C,0))*1000+F3480</f>
        <v>11937123</v>
      </c>
      <c r="C3480" s="14" t="s">
        <v>6628</v>
      </c>
      <c r="D3480" s="14" t="s">
        <v>276</v>
      </c>
      <c r="E3480" s="14" t="s">
        <v>101</v>
      </c>
      <c r="F3480" s="14">
        <v>123</v>
      </c>
      <c r="G3480" s="14">
        <v>60</v>
      </c>
      <c r="H3480" s="14" t="s">
        <v>1400</v>
      </c>
      <c r="I3480" s="14" t="s">
        <v>75</v>
      </c>
      <c r="J3480" s="14" t="s">
        <v>201</v>
      </c>
      <c r="K3480" s="14">
        <v>1</v>
      </c>
      <c r="L3480" s="14" t="s">
        <v>1400</v>
      </c>
      <c r="N3480" s="14">
        <v>0</v>
      </c>
      <c r="O3480" s="14" t="b">
        <v>1</v>
      </c>
      <c r="Q3480" s="14" t="b">
        <v>0</v>
      </c>
      <c r="R3480" s="14">
        <v>1</v>
      </c>
      <c r="S3480" s="14" t="s">
        <v>77</v>
      </c>
      <c r="T3480" s="14">
        <v>999</v>
      </c>
      <c r="U3480" s="14" t="s">
        <v>1401</v>
      </c>
      <c r="V3480" s="14">
        <v>31937123</v>
      </c>
      <c r="X3480" s="14" t="s">
        <v>6631</v>
      </c>
      <c r="Y3480" s="14" t="s">
        <v>215</v>
      </c>
      <c r="Z3480" s="14">
        <v>22243</v>
      </c>
      <c r="AA3480" s="14" t="s">
        <v>6632</v>
      </c>
      <c r="AB3480" s="14">
        <v>40001</v>
      </c>
      <c r="AE3480" s="14" t="s">
        <v>1400</v>
      </c>
      <c r="AF3480" s="14" t="s">
        <v>1400</v>
      </c>
      <c r="AG3480" s="14" t="s">
        <v>101</v>
      </c>
    </row>
    <row r="3481" spans="2:33">
      <c r="B3481" s="14">
        <f>10000000+INDEX(编号表!$B:$B,MATCH(H3481,编号表!$A:$A,0))*100000+INDEX(编号表!$F:$F,MATCH(D3481,编号表!$E:$E,0))*10000+INDEX(编号表!$D:$D,MATCH(AG3481,编号表!$C:$C,0))*1000+F3481</f>
        <v>11947124</v>
      </c>
      <c r="C3481" s="14" t="s">
        <v>6628</v>
      </c>
      <c r="D3481" s="14" t="s">
        <v>104</v>
      </c>
      <c r="E3481" s="14" t="s">
        <v>101</v>
      </c>
      <c r="F3481" s="14">
        <v>124</v>
      </c>
      <c r="G3481" s="14">
        <v>60</v>
      </c>
      <c r="H3481" s="14" t="s">
        <v>1400</v>
      </c>
      <c r="I3481" s="14" t="s">
        <v>75</v>
      </c>
      <c r="J3481" s="14" t="s">
        <v>201</v>
      </c>
      <c r="K3481" s="14">
        <v>1</v>
      </c>
      <c r="L3481" s="14" t="s">
        <v>1400</v>
      </c>
      <c r="N3481" s="14">
        <v>0</v>
      </c>
      <c r="O3481" s="14" t="b">
        <v>1</v>
      </c>
      <c r="Q3481" s="14" t="b">
        <v>0</v>
      </c>
      <c r="R3481" s="14">
        <v>1</v>
      </c>
      <c r="S3481" s="14" t="s">
        <v>77</v>
      </c>
      <c r="T3481" s="14">
        <v>999</v>
      </c>
      <c r="U3481" s="14" t="s">
        <v>1401</v>
      </c>
      <c r="V3481" s="14">
        <v>31947124</v>
      </c>
      <c r="X3481" s="14" t="s">
        <v>6633</v>
      </c>
      <c r="Y3481" s="14" t="s">
        <v>215</v>
      </c>
      <c r="Z3481" s="14">
        <v>22244</v>
      </c>
      <c r="AA3481" s="14" t="s">
        <v>6634</v>
      </c>
      <c r="AB3481" s="14">
        <v>40001</v>
      </c>
      <c r="AE3481" s="14" t="s">
        <v>1400</v>
      </c>
      <c r="AF3481" s="14" t="s">
        <v>1400</v>
      </c>
      <c r="AG3481" s="14" t="s">
        <v>101</v>
      </c>
    </row>
    <row r="3482" spans="2:33">
      <c r="B3482" s="14">
        <f>10000000+INDEX(编号表!$B:$B,MATCH(H3482,编号表!$A:$A,0))*100000+INDEX(编号表!$F:$F,MATCH(D3482,编号表!$E:$E,0))*10000+INDEX(编号表!$D:$D,MATCH(AG3482,编号表!$C:$C,0))*1000+F3482</f>
        <v>11927123</v>
      </c>
      <c r="C3482" s="14" t="s">
        <v>6635</v>
      </c>
      <c r="D3482" s="14" t="s">
        <v>112</v>
      </c>
      <c r="E3482" s="14" t="s">
        <v>101</v>
      </c>
      <c r="F3482" s="14">
        <v>123</v>
      </c>
      <c r="G3482" s="14">
        <v>60</v>
      </c>
      <c r="H3482" s="14" t="s">
        <v>1400</v>
      </c>
      <c r="I3482" s="14" t="s">
        <v>75</v>
      </c>
      <c r="J3482" s="14" t="s">
        <v>201</v>
      </c>
      <c r="K3482" s="14">
        <v>1</v>
      </c>
      <c r="L3482" s="14" t="s">
        <v>1400</v>
      </c>
      <c r="N3482" s="14">
        <v>0</v>
      </c>
      <c r="O3482" s="14" t="b">
        <v>1</v>
      </c>
      <c r="Q3482" s="14" t="b">
        <v>0</v>
      </c>
      <c r="R3482" s="14">
        <v>1</v>
      </c>
      <c r="S3482" s="14" t="s">
        <v>77</v>
      </c>
      <c r="T3482" s="14">
        <v>999</v>
      </c>
      <c r="U3482" s="14" t="s">
        <v>1401</v>
      </c>
      <c r="V3482" s="14">
        <v>31927123</v>
      </c>
      <c r="X3482" s="14" t="s">
        <v>6636</v>
      </c>
      <c r="Y3482" s="14" t="s">
        <v>215</v>
      </c>
      <c r="Z3482" s="14">
        <v>22245</v>
      </c>
      <c r="AA3482" s="14" t="s">
        <v>6637</v>
      </c>
      <c r="AB3482" s="14">
        <v>40001</v>
      </c>
      <c r="AE3482" s="14" t="s">
        <v>1400</v>
      </c>
      <c r="AF3482" s="14" t="s">
        <v>1400</v>
      </c>
      <c r="AG3482" s="14" t="s">
        <v>101</v>
      </c>
    </row>
    <row r="3483" spans="2:33">
      <c r="B3483" s="14">
        <f>10000000+INDEX(编号表!$B:$B,MATCH(H3483,编号表!$A:$A,0))*100000+INDEX(编号表!$F:$F,MATCH(D3483,编号表!$E:$E,0))*10000+INDEX(编号表!$D:$D,MATCH(AG3483,编号表!$C:$C,0))*1000+F3483</f>
        <v>11937124</v>
      </c>
      <c r="C3483" s="14" t="s">
        <v>6635</v>
      </c>
      <c r="D3483" s="14" t="s">
        <v>276</v>
      </c>
      <c r="E3483" s="14" t="s">
        <v>101</v>
      </c>
      <c r="F3483" s="14">
        <v>124</v>
      </c>
      <c r="G3483" s="14">
        <v>60</v>
      </c>
      <c r="H3483" s="14" t="s">
        <v>1400</v>
      </c>
      <c r="I3483" s="14" t="s">
        <v>75</v>
      </c>
      <c r="J3483" s="14" t="s">
        <v>201</v>
      </c>
      <c r="K3483" s="14">
        <v>1</v>
      </c>
      <c r="L3483" s="14" t="s">
        <v>1400</v>
      </c>
      <c r="N3483" s="14">
        <v>0</v>
      </c>
      <c r="O3483" s="14" t="b">
        <v>1</v>
      </c>
      <c r="Q3483" s="14" t="b">
        <v>0</v>
      </c>
      <c r="R3483" s="14">
        <v>1</v>
      </c>
      <c r="S3483" s="14" t="s">
        <v>77</v>
      </c>
      <c r="T3483" s="14">
        <v>999</v>
      </c>
      <c r="U3483" s="14" t="s">
        <v>1401</v>
      </c>
      <c r="V3483" s="14">
        <v>31937124</v>
      </c>
      <c r="X3483" s="14" t="s">
        <v>6638</v>
      </c>
      <c r="Y3483" s="14" t="s">
        <v>215</v>
      </c>
      <c r="Z3483" s="14">
        <v>22246</v>
      </c>
      <c r="AA3483" s="14" t="s">
        <v>6639</v>
      </c>
      <c r="AB3483" s="14">
        <v>40001</v>
      </c>
      <c r="AE3483" s="14" t="s">
        <v>1400</v>
      </c>
      <c r="AF3483" s="14" t="s">
        <v>1400</v>
      </c>
      <c r="AG3483" s="14" t="s">
        <v>101</v>
      </c>
    </row>
    <row r="3484" spans="2:33">
      <c r="B3484" s="14">
        <f>10000000+INDEX(编号表!$B:$B,MATCH(H3484,编号表!$A:$A,0))*100000+INDEX(编号表!$F:$F,MATCH(D3484,编号表!$E:$E,0))*10000+INDEX(编号表!$D:$D,MATCH(AG3484,编号表!$C:$C,0))*1000+F3484</f>
        <v>11947125</v>
      </c>
      <c r="C3484" s="14" t="s">
        <v>6635</v>
      </c>
      <c r="D3484" s="14" t="s">
        <v>104</v>
      </c>
      <c r="E3484" s="14" t="s">
        <v>101</v>
      </c>
      <c r="F3484" s="14">
        <v>125</v>
      </c>
      <c r="G3484" s="14">
        <v>60</v>
      </c>
      <c r="H3484" s="14" t="s">
        <v>1400</v>
      </c>
      <c r="I3484" s="14" t="s">
        <v>75</v>
      </c>
      <c r="J3484" s="14" t="s">
        <v>201</v>
      </c>
      <c r="K3484" s="14">
        <v>1</v>
      </c>
      <c r="L3484" s="14" t="s">
        <v>1400</v>
      </c>
      <c r="N3484" s="14">
        <v>0</v>
      </c>
      <c r="O3484" s="14" t="b">
        <v>1</v>
      </c>
      <c r="Q3484" s="14" t="b">
        <v>0</v>
      </c>
      <c r="R3484" s="14">
        <v>1</v>
      </c>
      <c r="S3484" s="14" t="s">
        <v>77</v>
      </c>
      <c r="T3484" s="14">
        <v>999</v>
      </c>
      <c r="U3484" s="14" t="s">
        <v>1401</v>
      </c>
      <c r="V3484" s="14">
        <v>31947125</v>
      </c>
      <c r="X3484" s="14" t="s">
        <v>6640</v>
      </c>
      <c r="Y3484" s="14" t="s">
        <v>215</v>
      </c>
      <c r="Z3484" s="14">
        <v>22247</v>
      </c>
      <c r="AA3484" s="14" t="s">
        <v>6641</v>
      </c>
      <c r="AB3484" s="14">
        <v>40001</v>
      </c>
      <c r="AE3484" s="14" t="s">
        <v>1400</v>
      </c>
      <c r="AF3484" s="14" t="s">
        <v>1400</v>
      </c>
      <c r="AG3484" s="14" t="s">
        <v>101</v>
      </c>
    </row>
    <row r="3485" spans="2:33">
      <c r="B3485" s="14">
        <f>10000000+INDEX(编号表!$B:$B,MATCH(H3485,编号表!$A:$A,0))*100000+INDEX(编号表!$F:$F,MATCH(D3485,编号表!$E:$E,0))*10000+INDEX(编号表!$D:$D,MATCH(AG3485,编号表!$C:$C,0))*1000+F3485</f>
        <v>11927124</v>
      </c>
      <c r="C3485" s="14" t="s">
        <v>6642</v>
      </c>
      <c r="D3485" s="14" t="s">
        <v>112</v>
      </c>
      <c r="E3485" s="14" t="s">
        <v>101</v>
      </c>
      <c r="F3485" s="14">
        <v>124</v>
      </c>
      <c r="G3485" s="14">
        <v>60</v>
      </c>
      <c r="H3485" s="14" t="s">
        <v>1400</v>
      </c>
      <c r="I3485" s="14" t="s">
        <v>75</v>
      </c>
      <c r="J3485" s="14" t="s">
        <v>201</v>
      </c>
      <c r="K3485" s="14">
        <v>1</v>
      </c>
      <c r="L3485" s="14" t="s">
        <v>1400</v>
      </c>
      <c r="N3485" s="14">
        <v>0</v>
      </c>
      <c r="O3485" s="14" t="b">
        <v>1</v>
      </c>
      <c r="Q3485" s="14" t="b">
        <v>0</v>
      </c>
      <c r="R3485" s="14">
        <v>1</v>
      </c>
      <c r="S3485" s="14" t="s">
        <v>77</v>
      </c>
      <c r="T3485" s="14">
        <v>999</v>
      </c>
      <c r="U3485" s="14" t="s">
        <v>1401</v>
      </c>
      <c r="V3485" s="14">
        <v>31927124</v>
      </c>
      <c r="X3485" s="14" t="s">
        <v>6643</v>
      </c>
      <c r="Y3485" s="14" t="s">
        <v>215</v>
      </c>
      <c r="Z3485" s="14">
        <v>22248</v>
      </c>
      <c r="AA3485" s="14" t="s">
        <v>6644</v>
      </c>
      <c r="AB3485" s="14">
        <v>40001</v>
      </c>
      <c r="AE3485" s="14" t="s">
        <v>1400</v>
      </c>
      <c r="AF3485" s="14" t="s">
        <v>1400</v>
      </c>
      <c r="AG3485" s="14" t="s">
        <v>101</v>
      </c>
    </row>
    <row r="3486" spans="2:33">
      <c r="B3486" s="14">
        <f>10000000+INDEX(编号表!$B:$B,MATCH(H3486,编号表!$A:$A,0))*100000+INDEX(编号表!$F:$F,MATCH(D3486,编号表!$E:$E,0))*10000+INDEX(编号表!$D:$D,MATCH(AG3486,编号表!$C:$C,0))*1000+F3486</f>
        <v>11937125</v>
      </c>
      <c r="C3486" s="14" t="s">
        <v>6642</v>
      </c>
      <c r="D3486" s="14" t="s">
        <v>276</v>
      </c>
      <c r="E3486" s="14" t="s">
        <v>101</v>
      </c>
      <c r="F3486" s="14">
        <v>125</v>
      </c>
      <c r="G3486" s="14">
        <v>60</v>
      </c>
      <c r="H3486" s="14" t="s">
        <v>1400</v>
      </c>
      <c r="I3486" s="14" t="s">
        <v>75</v>
      </c>
      <c r="J3486" s="14" t="s">
        <v>201</v>
      </c>
      <c r="K3486" s="14">
        <v>1</v>
      </c>
      <c r="L3486" s="14" t="s">
        <v>1400</v>
      </c>
      <c r="N3486" s="14">
        <v>0</v>
      </c>
      <c r="O3486" s="14" t="b">
        <v>1</v>
      </c>
      <c r="Q3486" s="14" t="b">
        <v>0</v>
      </c>
      <c r="R3486" s="14">
        <v>1</v>
      </c>
      <c r="S3486" s="14" t="s">
        <v>77</v>
      </c>
      <c r="T3486" s="14">
        <v>999</v>
      </c>
      <c r="U3486" s="14" t="s">
        <v>1401</v>
      </c>
      <c r="V3486" s="14">
        <v>31937125</v>
      </c>
      <c r="X3486" s="14" t="s">
        <v>6645</v>
      </c>
      <c r="Y3486" s="14" t="s">
        <v>215</v>
      </c>
      <c r="Z3486" s="14">
        <v>22249</v>
      </c>
      <c r="AA3486" s="14" t="s">
        <v>6646</v>
      </c>
      <c r="AB3486" s="14">
        <v>40001</v>
      </c>
      <c r="AE3486" s="14" t="s">
        <v>1400</v>
      </c>
      <c r="AF3486" s="14" t="s">
        <v>1400</v>
      </c>
      <c r="AG3486" s="14" t="s">
        <v>101</v>
      </c>
    </row>
    <row r="3487" spans="2:33">
      <c r="B3487" s="14">
        <f>10000000+INDEX(编号表!$B:$B,MATCH(H3487,编号表!$A:$A,0))*100000+INDEX(编号表!$F:$F,MATCH(D3487,编号表!$E:$E,0))*10000+INDEX(编号表!$D:$D,MATCH(AG3487,编号表!$C:$C,0))*1000+F3487</f>
        <v>11947126</v>
      </c>
      <c r="C3487" s="14" t="s">
        <v>6642</v>
      </c>
      <c r="D3487" s="14" t="s">
        <v>104</v>
      </c>
      <c r="E3487" s="14" t="s">
        <v>101</v>
      </c>
      <c r="F3487" s="14">
        <v>126</v>
      </c>
      <c r="G3487" s="14">
        <v>60</v>
      </c>
      <c r="H3487" s="14" t="s">
        <v>1400</v>
      </c>
      <c r="I3487" s="14" t="s">
        <v>75</v>
      </c>
      <c r="J3487" s="14" t="s">
        <v>201</v>
      </c>
      <c r="K3487" s="14">
        <v>1</v>
      </c>
      <c r="L3487" s="14" t="s">
        <v>1400</v>
      </c>
      <c r="N3487" s="14">
        <v>0</v>
      </c>
      <c r="O3487" s="14" t="b">
        <v>1</v>
      </c>
      <c r="Q3487" s="14" t="b">
        <v>0</v>
      </c>
      <c r="R3487" s="14">
        <v>1</v>
      </c>
      <c r="S3487" s="14" t="s">
        <v>77</v>
      </c>
      <c r="T3487" s="14">
        <v>999</v>
      </c>
      <c r="U3487" s="14" t="s">
        <v>1401</v>
      </c>
      <c r="V3487" s="14">
        <v>31947126</v>
      </c>
      <c r="X3487" s="14" t="s">
        <v>6647</v>
      </c>
      <c r="Y3487" s="14" t="s">
        <v>215</v>
      </c>
      <c r="Z3487" s="14">
        <v>22250</v>
      </c>
      <c r="AA3487" s="14" t="s">
        <v>6648</v>
      </c>
      <c r="AB3487" s="14">
        <v>40001</v>
      </c>
      <c r="AE3487" s="14" t="s">
        <v>1400</v>
      </c>
      <c r="AF3487" s="14" t="s">
        <v>1400</v>
      </c>
      <c r="AG3487" s="14" t="s">
        <v>101</v>
      </c>
    </row>
    <row r="3488" spans="2:33">
      <c r="B3488" s="14">
        <f>10000000+INDEX(编号表!$B:$B,MATCH(H3488,编号表!$A:$A,0))*100000+INDEX(编号表!$F:$F,MATCH(D3488,编号表!$E:$E,0))*10000+INDEX(编号表!$D:$D,MATCH(AG3488,编号表!$C:$C,0))*1000+F3488</f>
        <v>11938000</v>
      </c>
      <c r="C3488" s="14" t="s">
        <v>6649</v>
      </c>
      <c r="D3488" s="14" t="s">
        <v>276</v>
      </c>
      <c r="E3488" s="14" t="s">
        <v>1231</v>
      </c>
      <c r="F3488" s="14">
        <v>0</v>
      </c>
      <c r="G3488" s="14">
        <v>60</v>
      </c>
      <c r="H3488" s="14" t="s">
        <v>1400</v>
      </c>
      <c r="I3488" s="14" t="s">
        <v>75</v>
      </c>
      <c r="J3488" s="14" t="s">
        <v>201</v>
      </c>
      <c r="K3488" s="14">
        <v>1</v>
      </c>
      <c r="L3488" s="14" t="s">
        <v>1400</v>
      </c>
      <c r="N3488" s="14">
        <v>0</v>
      </c>
      <c r="O3488" s="14" t="b">
        <v>1</v>
      </c>
      <c r="Q3488" s="14" t="b">
        <v>0</v>
      </c>
      <c r="R3488" s="14">
        <v>1</v>
      </c>
      <c r="S3488" s="14" t="s">
        <v>77</v>
      </c>
      <c r="T3488" s="14">
        <v>999</v>
      </c>
      <c r="U3488" s="14" t="s">
        <v>1401</v>
      </c>
      <c r="V3488" s="14">
        <v>31938000</v>
      </c>
      <c r="X3488" s="14" t="s">
        <v>6650</v>
      </c>
      <c r="Y3488" s="14" t="s">
        <v>215</v>
      </c>
      <c r="Z3488" s="14">
        <v>22251</v>
      </c>
      <c r="AA3488" s="14" t="s">
        <v>6651</v>
      </c>
      <c r="AB3488" s="14">
        <v>40001</v>
      </c>
      <c r="AE3488" s="14" t="s">
        <v>1400</v>
      </c>
      <c r="AF3488" s="14" t="s">
        <v>1400</v>
      </c>
      <c r="AG3488" s="14" t="s">
        <v>1231</v>
      </c>
    </row>
    <row r="3489" spans="2:33">
      <c r="B3489" s="14">
        <f>10000000+INDEX(编号表!$B:$B,MATCH(H3489,编号表!$A:$A,0))*100000+INDEX(编号表!$F:$F,MATCH(D3489,编号表!$E:$E,0))*10000+INDEX(编号表!$D:$D,MATCH(AG3489,编号表!$C:$C,0))*1000+F3489</f>
        <v>11948001</v>
      </c>
      <c r="C3489" s="14" t="s">
        <v>6649</v>
      </c>
      <c r="D3489" s="14" t="s">
        <v>104</v>
      </c>
      <c r="E3489" s="14" t="s">
        <v>1231</v>
      </c>
      <c r="F3489" s="14">
        <v>1</v>
      </c>
      <c r="G3489" s="14">
        <v>60</v>
      </c>
      <c r="H3489" s="14" t="s">
        <v>1400</v>
      </c>
      <c r="I3489" s="14" t="s">
        <v>75</v>
      </c>
      <c r="J3489" s="14" t="s">
        <v>201</v>
      </c>
      <c r="K3489" s="14">
        <v>1</v>
      </c>
      <c r="L3489" s="14" t="s">
        <v>1400</v>
      </c>
      <c r="N3489" s="14">
        <v>0</v>
      </c>
      <c r="O3489" s="14" t="b">
        <v>1</v>
      </c>
      <c r="Q3489" s="14" t="b">
        <v>0</v>
      </c>
      <c r="R3489" s="14">
        <v>1</v>
      </c>
      <c r="S3489" s="14" t="s">
        <v>77</v>
      </c>
      <c r="T3489" s="14">
        <v>999</v>
      </c>
      <c r="U3489" s="14" t="s">
        <v>1401</v>
      </c>
      <c r="V3489" s="14">
        <v>31948001</v>
      </c>
      <c r="X3489" s="14" t="s">
        <v>6652</v>
      </c>
      <c r="Y3489" s="14" t="s">
        <v>215</v>
      </c>
      <c r="Z3489" s="14">
        <v>22252</v>
      </c>
      <c r="AA3489" s="14" t="s">
        <v>6653</v>
      </c>
      <c r="AB3489" s="14">
        <v>40001</v>
      </c>
      <c r="AE3489" s="14" t="s">
        <v>1400</v>
      </c>
      <c r="AF3489" s="14" t="s">
        <v>1400</v>
      </c>
      <c r="AG3489" s="14" t="s">
        <v>1231</v>
      </c>
    </row>
    <row r="3490" spans="2:33">
      <c r="B3490" s="14">
        <f>10000000+INDEX(编号表!$B:$B,MATCH(H3490,编号表!$A:$A,0))*100000+INDEX(编号表!$F:$F,MATCH(D3490,编号表!$E:$E,0))*10000+INDEX(编号表!$D:$D,MATCH(AG3490,编号表!$C:$C,0))*1000+F3490</f>
        <v>11958002</v>
      </c>
      <c r="C3490" s="14" t="s">
        <v>6649</v>
      </c>
      <c r="D3490" s="14" t="s">
        <v>333</v>
      </c>
      <c r="E3490" s="14" t="s">
        <v>1231</v>
      </c>
      <c r="F3490" s="14">
        <v>2</v>
      </c>
      <c r="G3490" s="14">
        <v>60</v>
      </c>
      <c r="H3490" s="14" t="s">
        <v>1400</v>
      </c>
      <c r="I3490" s="14" t="s">
        <v>75</v>
      </c>
      <c r="J3490" s="14" t="s">
        <v>201</v>
      </c>
      <c r="K3490" s="14">
        <v>1</v>
      </c>
      <c r="L3490" s="14" t="s">
        <v>1400</v>
      </c>
      <c r="N3490" s="14">
        <v>0</v>
      </c>
      <c r="O3490" s="14" t="b">
        <v>1</v>
      </c>
      <c r="Q3490" s="14" t="b">
        <v>0</v>
      </c>
      <c r="R3490" s="14">
        <v>1</v>
      </c>
      <c r="S3490" s="14" t="s">
        <v>77</v>
      </c>
      <c r="T3490" s="14">
        <v>999</v>
      </c>
      <c r="U3490" s="14" t="s">
        <v>1401</v>
      </c>
      <c r="V3490" s="14">
        <v>31958002</v>
      </c>
      <c r="X3490" s="14" t="s">
        <v>6654</v>
      </c>
      <c r="Y3490" s="14" t="s">
        <v>215</v>
      </c>
      <c r="Z3490" s="14">
        <v>22253</v>
      </c>
      <c r="AA3490" s="14" t="s">
        <v>6655</v>
      </c>
      <c r="AB3490" s="14">
        <v>40001</v>
      </c>
      <c r="AE3490" s="14" t="s">
        <v>1400</v>
      </c>
      <c r="AF3490" s="14" t="s">
        <v>1400</v>
      </c>
      <c r="AG3490" s="14" t="s">
        <v>1231</v>
      </c>
    </row>
    <row r="3491" spans="2:33">
      <c r="B3491" s="14">
        <f>10000000+INDEX(编号表!$B:$B,MATCH(H3491,编号表!$A:$A,0))*100000+INDEX(编号表!$F:$F,MATCH(D3491,编号表!$E:$E,0))*10000+INDEX(编号表!$D:$D,MATCH(AG3491,编号表!$C:$C,0))*1000+F3491</f>
        <v>11938001</v>
      </c>
      <c r="C3491" s="14" t="s">
        <v>6656</v>
      </c>
      <c r="D3491" s="14" t="s">
        <v>276</v>
      </c>
      <c r="E3491" s="14" t="s">
        <v>1231</v>
      </c>
      <c r="F3491" s="14">
        <v>1</v>
      </c>
      <c r="G3491" s="14">
        <v>60</v>
      </c>
      <c r="H3491" s="14" t="s">
        <v>1400</v>
      </c>
      <c r="I3491" s="14" t="s">
        <v>75</v>
      </c>
      <c r="J3491" s="14" t="s">
        <v>201</v>
      </c>
      <c r="K3491" s="14">
        <v>1</v>
      </c>
      <c r="L3491" s="14" t="s">
        <v>1400</v>
      </c>
      <c r="N3491" s="14">
        <v>0</v>
      </c>
      <c r="O3491" s="14" t="b">
        <v>1</v>
      </c>
      <c r="Q3491" s="14" t="b">
        <v>0</v>
      </c>
      <c r="R3491" s="14">
        <v>1</v>
      </c>
      <c r="S3491" s="14" t="s">
        <v>77</v>
      </c>
      <c r="T3491" s="14">
        <v>999</v>
      </c>
      <c r="U3491" s="14" t="s">
        <v>1401</v>
      </c>
      <c r="V3491" s="14">
        <v>31938001</v>
      </c>
      <c r="X3491" s="14" t="s">
        <v>6657</v>
      </c>
      <c r="Y3491" s="14" t="s">
        <v>215</v>
      </c>
      <c r="Z3491" s="14">
        <v>22254</v>
      </c>
      <c r="AA3491" s="14" t="s">
        <v>6658</v>
      </c>
      <c r="AB3491" s="14">
        <v>40001</v>
      </c>
      <c r="AE3491" s="14" t="s">
        <v>1400</v>
      </c>
      <c r="AF3491" s="14" t="s">
        <v>1400</v>
      </c>
      <c r="AG3491" s="14" t="s">
        <v>1231</v>
      </c>
    </row>
    <row r="3492" spans="2:33">
      <c r="B3492" s="14">
        <f>10000000+INDEX(编号表!$B:$B,MATCH(H3492,编号表!$A:$A,0))*100000+INDEX(编号表!$F:$F,MATCH(D3492,编号表!$E:$E,0))*10000+INDEX(编号表!$D:$D,MATCH(AG3492,编号表!$C:$C,0))*1000+F3492</f>
        <v>11948002</v>
      </c>
      <c r="C3492" s="14" t="s">
        <v>6656</v>
      </c>
      <c r="D3492" s="14" t="s">
        <v>104</v>
      </c>
      <c r="E3492" s="14" t="s">
        <v>1231</v>
      </c>
      <c r="F3492" s="14">
        <v>2</v>
      </c>
      <c r="G3492" s="14">
        <v>60</v>
      </c>
      <c r="H3492" s="14" t="s">
        <v>1400</v>
      </c>
      <c r="I3492" s="14" t="s">
        <v>75</v>
      </c>
      <c r="J3492" s="14" t="s">
        <v>201</v>
      </c>
      <c r="K3492" s="14">
        <v>1</v>
      </c>
      <c r="L3492" s="14" t="s">
        <v>1400</v>
      </c>
      <c r="N3492" s="14">
        <v>0</v>
      </c>
      <c r="O3492" s="14" t="b">
        <v>1</v>
      </c>
      <c r="Q3492" s="14" t="b">
        <v>0</v>
      </c>
      <c r="R3492" s="14">
        <v>1</v>
      </c>
      <c r="S3492" s="14" t="s">
        <v>77</v>
      </c>
      <c r="T3492" s="14">
        <v>999</v>
      </c>
      <c r="U3492" s="14" t="s">
        <v>1401</v>
      </c>
      <c r="V3492" s="14">
        <v>31948002</v>
      </c>
      <c r="X3492" s="14" t="s">
        <v>6659</v>
      </c>
      <c r="Y3492" s="14" t="s">
        <v>215</v>
      </c>
      <c r="Z3492" s="14">
        <v>22255</v>
      </c>
      <c r="AA3492" s="14" t="s">
        <v>6660</v>
      </c>
      <c r="AB3492" s="14">
        <v>40001</v>
      </c>
      <c r="AE3492" s="14" t="s">
        <v>1400</v>
      </c>
      <c r="AF3492" s="14" t="s">
        <v>1400</v>
      </c>
      <c r="AG3492" s="14" t="s">
        <v>1231</v>
      </c>
    </row>
    <row r="3493" spans="2:33">
      <c r="B3493" s="14">
        <f>10000000+INDEX(编号表!$B:$B,MATCH(H3493,编号表!$A:$A,0))*100000+INDEX(编号表!$F:$F,MATCH(D3493,编号表!$E:$E,0))*10000+INDEX(编号表!$D:$D,MATCH(AG3493,编号表!$C:$C,0))*1000+F3493</f>
        <v>11958003</v>
      </c>
      <c r="C3493" s="14" t="s">
        <v>6656</v>
      </c>
      <c r="D3493" s="14" t="s">
        <v>333</v>
      </c>
      <c r="E3493" s="14" t="s">
        <v>1231</v>
      </c>
      <c r="F3493" s="14">
        <v>3</v>
      </c>
      <c r="G3493" s="14">
        <v>60</v>
      </c>
      <c r="H3493" s="14" t="s">
        <v>1400</v>
      </c>
      <c r="I3493" s="14" t="s">
        <v>75</v>
      </c>
      <c r="J3493" s="14" t="s">
        <v>201</v>
      </c>
      <c r="K3493" s="14">
        <v>1</v>
      </c>
      <c r="L3493" s="14" t="s">
        <v>1400</v>
      </c>
      <c r="N3493" s="14">
        <v>0</v>
      </c>
      <c r="O3493" s="14" t="b">
        <v>1</v>
      </c>
      <c r="Q3493" s="14" t="b">
        <v>0</v>
      </c>
      <c r="R3493" s="14">
        <v>1</v>
      </c>
      <c r="S3493" s="14" t="s">
        <v>77</v>
      </c>
      <c r="T3493" s="14">
        <v>999</v>
      </c>
      <c r="U3493" s="14" t="s">
        <v>1401</v>
      </c>
      <c r="V3493" s="14">
        <v>31958003</v>
      </c>
      <c r="X3493" s="14" t="s">
        <v>6661</v>
      </c>
      <c r="Y3493" s="14" t="s">
        <v>215</v>
      </c>
      <c r="Z3493" s="14">
        <v>22256</v>
      </c>
      <c r="AA3493" s="14" t="s">
        <v>6662</v>
      </c>
      <c r="AB3493" s="14">
        <v>40001</v>
      </c>
      <c r="AE3493" s="14" t="s">
        <v>1400</v>
      </c>
      <c r="AF3493" s="14" t="s">
        <v>1400</v>
      </c>
      <c r="AG3493" s="14" t="s">
        <v>1231</v>
      </c>
    </row>
    <row r="3494" spans="2:33">
      <c r="B3494" s="14">
        <f>10000000+INDEX(编号表!$B:$B,MATCH(H3494,编号表!$A:$A,0))*100000+INDEX(编号表!$F:$F,MATCH(D3494,编号表!$E:$E,0))*10000+INDEX(编号表!$D:$D,MATCH(AG3494,编号表!$C:$C,0))*1000+F3494</f>
        <v>11938002</v>
      </c>
      <c r="C3494" s="14" t="s">
        <v>6663</v>
      </c>
      <c r="D3494" s="14" t="s">
        <v>276</v>
      </c>
      <c r="E3494" s="14" t="s">
        <v>1231</v>
      </c>
      <c r="F3494" s="14">
        <v>2</v>
      </c>
      <c r="G3494" s="14">
        <v>60</v>
      </c>
      <c r="H3494" s="14" t="s">
        <v>1400</v>
      </c>
      <c r="I3494" s="14" t="s">
        <v>75</v>
      </c>
      <c r="J3494" s="14" t="s">
        <v>201</v>
      </c>
      <c r="K3494" s="14">
        <v>1</v>
      </c>
      <c r="L3494" s="14" t="s">
        <v>1400</v>
      </c>
      <c r="N3494" s="14">
        <v>0</v>
      </c>
      <c r="O3494" s="14" t="b">
        <v>1</v>
      </c>
      <c r="Q3494" s="14" t="b">
        <v>0</v>
      </c>
      <c r="R3494" s="14">
        <v>1</v>
      </c>
      <c r="S3494" s="14" t="s">
        <v>77</v>
      </c>
      <c r="T3494" s="14">
        <v>999</v>
      </c>
      <c r="U3494" s="14" t="s">
        <v>1401</v>
      </c>
      <c r="V3494" s="14">
        <v>31938002</v>
      </c>
      <c r="X3494" s="14" t="s">
        <v>6664</v>
      </c>
      <c r="Y3494" s="14" t="s">
        <v>215</v>
      </c>
      <c r="Z3494" s="14">
        <v>22257</v>
      </c>
      <c r="AA3494" s="14" t="s">
        <v>6665</v>
      </c>
      <c r="AB3494" s="14">
        <v>40001</v>
      </c>
      <c r="AE3494" s="14" t="s">
        <v>1400</v>
      </c>
      <c r="AF3494" s="14" t="s">
        <v>1400</v>
      </c>
      <c r="AG3494" s="14" t="s">
        <v>1231</v>
      </c>
    </row>
    <row r="3495" spans="2:33">
      <c r="B3495" s="14">
        <f>10000000+INDEX(编号表!$B:$B,MATCH(H3495,编号表!$A:$A,0))*100000+INDEX(编号表!$F:$F,MATCH(D3495,编号表!$E:$E,0))*10000+INDEX(编号表!$D:$D,MATCH(AG3495,编号表!$C:$C,0))*1000+F3495</f>
        <v>11948003</v>
      </c>
      <c r="C3495" s="14" t="s">
        <v>6663</v>
      </c>
      <c r="D3495" s="14" t="s">
        <v>104</v>
      </c>
      <c r="E3495" s="14" t="s">
        <v>1231</v>
      </c>
      <c r="F3495" s="14">
        <v>3</v>
      </c>
      <c r="G3495" s="14">
        <v>60</v>
      </c>
      <c r="H3495" s="14" t="s">
        <v>1400</v>
      </c>
      <c r="I3495" s="14" t="s">
        <v>75</v>
      </c>
      <c r="J3495" s="14" t="s">
        <v>201</v>
      </c>
      <c r="K3495" s="14">
        <v>1</v>
      </c>
      <c r="L3495" s="14" t="s">
        <v>1400</v>
      </c>
      <c r="N3495" s="14">
        <v>0</v>
      </c>
      <c r="O3495" s="14" t="b">
        <v>1</v>
      </c>
      <c r="Q3495" s="14" t="b">
        <v>0</v>
      </c>
      <c r="R3495" s="14">
        <v>1</v>
      </c>
      <c r="S3495" s="14" t="s">
        <v>77</v>
      </c>
      <c r="T3495" s="14">
        <v>999</v>
      </c>
      <c r="U3495" s="14" t="s">
        <v>1401</v>
      </c>
      <c r="V3495" s="14">
        <v>31948003</v>
      </c>
      <c r="X3495" s="14" t="s">
        <v>6666</v>
      </c>
      <c r="Y3495" s="14" t="s">
        <v>215</v>
      </c>
      <c r="Z3495" s="14">
        <v>22258</v>
      </c>
      <c r="AA3495" s="14" t="s">
        <v>6667</v>
      </c>
      <c r="AB3495" s="14">
        <v>40001</v>
      </c>
      <c r="AE3495" s="14" t="s">
        <v>1400</v>
      </c>
      <c r="AF3495" s="14" t="s">
        <v>1400</v>
      </c>
      <c r="AG3495" s="14" t="s">
        <v>1231</v>
      </c>
    </row>
    <row r="3496" spans="2:33">
      <c r="B3496" s="14">
        <f>10000000+INDEX(编号表!$B:$B,MATCH(H3496,编号表!$A:$A,0))*100000+INDEX(编号表!$F:$F,MATCH(D3496,编号表!$E:$E,0))*10000+INDEX(编号表!$D:$D,MATCH(AG3496,编号表!$C:$C,0))*1000+F3496</f>
        <v>11958004</v>
      </c>
      <c r="C3496" s="14" t="s">
        <v>6663</v>
      </c>
      <c r="D3496" s="14" t="s">
        <v>333</v>
      </c>
      <c r="E3496" s="14" t="s">
        <v>1231</v>
      </c>
      <c r="F3496" s="14">
        <v>4</v>
      </c>
      <c r="G3496" s="14">
        <v>60</v>
      </c>
      <c r="H3496" s="14" t="s">
        <v>1400</v>
      </c>
      <c r="I3496" s="14" t="s">
        <v>75</v>
      </c>
      <c r="J3496" s="14" t="s">
        <v>201</v>
      </c>
      <c r="K3496" s="14">
        <v>1</v>
      </c>
      <c r="L3496" s="14" t="s">
        <v>1400</v>
      </c>
      <c r="N3496" s="14">
        <v>0</v>
      </c>
      <c r="O3496" s="14" t="b">
        <v>1</v>
      </c>
      <c r="Q3496" s="14" t="b">
        <v>0</v>
      </c>
      <c r="R3496" s="14">
        <v>1</v>
      </c>
      <c r="S3496" s="14" t="s">
        <v>77</v>
      </c>
      <c r="T3496" s="14">
        <v>999</v>
      </c>
      <c r="U3496" s="14" t="s">
        <v>1401</v>
      </c>
      <c r="V3496" s="14">
        <v>31958004</v>
      </c>
      <c r="X3496" s="14" t="s">
        <v>6668</v>
      </c>
      <c r="Y3496" s="14" t="s">
        <v>215</v>
      </c>
      <c r="Z3496" s="14">
        <v>22259</v>
      </c>
      <c r="AA3496" s="14" t="s">
        <v>6669</v>
      </c>
      <c r="AB3496" s="14">
        <v>40001</v>
      </c>
      <c r="AE3496" s="14" t="s">
        <v>1400</v>
      </c>
      <c r="AF3496" s="14" t="s">
        <v>1400</v>
      </c>
      <c r="AG3496" s="14" t="s">
        <v>1231</v>
      </c>
    </row>
    <row r="3497" spans="2:33">
      <c r="B3497" s="14">
        <f>10000000+INDEX(编号表!$B:$B,MATCH(H3497,编号表!$A:$A,0))*100000+INDEX(编号表!$F:$F,MATCH(D3497,编号表!$E:$E,0))*10000+INDEX(编号表!$D:$D,MATCH(AG3497,编号表!$C:$C,0))*1000+F3497</f>
        <v>11938003</v>
      </c>
      <c r="C3497" s="14" t="s">
        <v>6670</v>
      </c>
      <c r="D3497" s="14" t="s">
        <v>276</v>
      </c>
      <c r="E3497" s="14" t="s">
        <v>1231</v>
      </c>
      <c r="F3497" s="14">
        <v>3</v>
      </c>
      <c r="G3497" s="14">
        <v>60</v>
      </c>
      <c r="H3497" s="14" t="s">
        <v>1400</v>
      </c>
      <c r="I3497" s="14" t="s">
        <v>75</v>
      </c>
      <c r="J3497" s="14" t="s">
        <v>201</v>
      </c>
      <c r="K3497" s="14">
        <v>1</v>
      </c>
      <c r="L3497" s="14" t="s">
        <v>1400</v>
      </c>
      <c r="N3497" s="14">
        <v>0</v>
      </c>
      <c r="O3497" s="14" t="b">
        <v>1</v>
      </c>
      <c r="Q3497" s="14" t="b">
        <v>0</v>
      </c>
      <c r="R3497" s="14">
        <v>1</v>
      </c>
      <c r="S3497" s="14" t="s">
        <v>77</v>
      </c>
      <c r="T3497" s="14">
        <v>999</v>
      </c>
      <c r="U3497" s="14" t="s">
        <v>1401</v>
      </c>
      <c r="V3497" s="14">
        <v>31938003</v>
      </c>
      <c r="X3497" s="14" t="s">
        <v>6671</v>
      </c>
      <c r="Y3497" s="14" t="s">
        <v>215</v>
      </c>
      <c r="Z3497" s="14">
        <v>22260</v>
      </c>
      <c r="AA3497" s="14" t="s">
        <v>6672</v>
      </c>
      <c r="AB3497" s="14">
        <v>40001</v>
      </c>
      <c r="AE3497" s="14" t="s">
        <v>1400</v>
      </c>
      <c r="AF3497" s="14" t="s">
        <v>1400</v>
      </c>
      <c r="AG3497" s="14" t="s">
        <v>1231</v>
      </c>
    </row>
    <row r="3498" spans="2:33">
      <c r="B3498" s="14">
        <f>10000000+INDEX(编号表!$B:$B,MATCH(H3498,编号表!$A:$A,0))*100000+INDEX(编号表!$F:$F,MATCH(D3498,编号表!$E:$E,0))*10000+INDEX(编号表!$D:$D,MATCH(AG3498,编号表!$C:$C,0))*1000+F3498</f>
        <v>11948004</v>
      </c>
      <c r="C3498" s="14" t="s">
        <v>6670</v>
      </c>
      <c r="D3498" s="14" t="s">
        <v>104</v>
      </c>
      <c r="E3498" s="14" t="s">
        <v>1231</v>
      </c>
      <c r="F3498" s="14">
        <v>4</v>
      </c>
      <c r="G3498" s="14">
        <v>60</v>
      </c>
      <c r="H3498" s="14" t="s">
        <v>1400</v>
      </c>
      <c r="I3498" s="14" t="s">
        <v>75</v>
      </c>
      <c r="J3498" s="14" t="s">
        <v>201</v>
      </c>
      <c r="K3498" s="14">
        <v>1</v>
      </c>
      <c r="L3498" s="14" t="s">
        <v>1400</v>
      </c>
      <c r="N3498" s="14">
        <v>0</v>
      </c>
      <c r="O3498" s="14" t="b">
        <v>1</v>
      </c>
      <c r="Q3498" s="14" t="b">
        <v>0</v>
      </c>
      <c r="R3498" s="14">
        <v>1</v>
      </c>
      <c r="S3498" s="14" t="s">
        <v>77</v>
      </c>
      <c r="T3498" s="14">
        <v>999</v>
      </c>
      <c r="U3498" s="14" t="s">
        <v>1401</v>
      </c>
      <c r="V3498" s="14">
        <v>31948004</v>
      </c>
      <c r="X3498" s="14" t="s">
        <v>6673</v>
      </c>
      <c r="Y3498" s="14" t="s">
        <v>215</v>
      </c>
      <c r="Z3498" s="14">
        <v>22261</v>
      </c>
      <c r="AA3498" s="14" t="s">
        <v>6674</v>
      </c>
      <c r="AB3498" s="14">
        <v>40001</v>
      </c>
      <c r="AE3498" s="14" t="s">
        <v>1400</v>
      </c>
      <c r="AF3498" s="14" t="s">
        <v>1400</v>
      </c>
      <c r="AG3498" s="14" t="s">
        <v>1231</v>
      </c>
    </row>
    <row r="3499" spans="2:33">
      <c r="B3499" s="14">
        <f>10000000+INDEX(编号表!$B:$B,MATCH(H3499,编号表!$A:$A,0))*100000+INDEX(编号表!$F:$F,MATCH(D3499,编号表!$E:$E,0))*10000+INDEX(编号表!$D:$D,MATCH(AG3499,编号表!$C:$C,0))*1000+F3499</f>
        <v>11958005</v>
      </c>
      <c r="C3499" s="14" t="s">
        <v>6670</v>
      </c>
      <c r="D3499" s="14" t="s">
        <v>333</v>
      </c>
      <c r="E3499" s="14" t="s">
        <v>1231</v>
      </c>
      <c r="F3499" s="14">
        <v>5</v>
      </c>
      <c r="G3499" s="14">
        <v>60</v>
      </c>
      <c r="H3499" s="14" t="s">
        <v>1400</v>
      </c>
      <c r="I3499" s="14" t="s">
        <v>75</v>
      </c>
      <c r="J3499" s="14" t="s">
        <v>201</v>
      </c>
      <c r="K3499" s="14">
        <v>1</v>
      </c>
      <c r="L3499" s="14" t="s">
        <v>1400</v>
      </c>
      <c r="N3499" s="14">
        <v>0</v>
      </c>
      <c r="O3499" s="14" t="b">
        <v>1</v>
      </c>
      <c r="Q3499" s="14" t="b">
        <v>0</v>
      </c>
      <c r="R3499" s="14">
        <v>1</v>
      </c>
      <c r="S3499" s="14" t="s">
        <v>77</v>
      </c>
      <c r="T3499" s="14">
        <v>999</v>
      </c>
      <c r="U3499" s="14" t="s">
        <v>1401</v>
      </c>
      <c r="V3499" s="14">
        <v>31958005</v>
      </c>
      <c r="X3499" s="14" t="s">
        <v>6675</v>
      </c>
      <c r="Y3499" s="14" t="s">
        <v>215</v>
      </c>
      <c r="Z3499" s="14">
        <v>22262</v>
      </c>
      <c r="AA3499" s="14" t="s">
        <v>6676</v>
      </c>
      <c r="AB3499" s="14">
        <v>40001</v>
      </c>
      <c r="AE3499" s="14" t="s">
        <v>1400</v>
      </c>
      <c r="AF3499" s="14" t="s">
        <v>1400</v>
      </c>
      <c r="AG3499" s="14" t="s">
        <v>1231</v>
      </c>
    </row>
    <row r="3500" spans="2:33">
      <c r="B3500" s="14">
        <f>10000000+INDEX(编号表!$B:$B,MATCH(H3500,编号表!$A:$A,0))*100000+INDEX(编号表!$F:$F,MATCH(D3500,编号表!$E:$E,0))*10000+INDEX(编号表!$D:$D,MATCH(AG3500,编号表!$C:$C,0))*1000+F3500</f>
        <v>11938004</v>
      </c>
      <c r="C3500" s="14" t="s">
        <v>6677</v>
      </c>
      <c r="D3500" s="14" t="s">
        <v>276</v>
      </c>
      <c r="E3500" s="14" t="s">
        <v>1231</v>
      </c>
      <c r="F3500" s="14">
        <v>4</v>
      </c>
      <c r="G3500" s="14">
        <v>60</v>
      </c>
      <c r="H3500" s="14" t="s">
        <v>1400</v>
      </c>
      <c r="I3500" s="14" t="s">
        <v>75</v>
      </c>
      <c r="J3500" s="14" t="s">
        <v>201</v>
      </c>
      <c r="K3500" s="14">
        <v>1</v>
      </c>
      <c r="L3500" s="14" t="s">
        <v>1400</v>
      </c>
      <c r="N3500" s="14">
        <v>0</v>
      </c>
      <c r="O3500" s="14" t="b">
        <v>1</v>
      </c>
      <c r="Q3500" s="14" t="b">
        <v>0</v>
      </c>
      <c r="R3500" s="14">
        <v>1</v>
      </c>
      <c r="S3500" s="14" t="s">
        <v>77</v>
      </c>
      <c r="T3500" s="14">
        <v>999</v>
      </c>
      <c r="U3500" s="14" t="s">
        <v>1401</v>
      </c>
      <c r="V3500" s="14">
        <v>31938004</v>
      </c>
      <c r="X3500" s="14" t="s">
        <v>6678</v>
      </c>
      <c r="Y3500" s="14" t="s">
        <v>215</v>
      </c>
      <c r="Z3500" s="14">
        <v>22263</v>
      </c>
      <c r="AA3500" s="14" t="s">
        <v>6679</v>
      </c>
      <c r="AB3500" s="14">
        <v>40001</v>
      </c>
      <c r="AE3500" s="14" t="s">
        <v>1400</v>
      </c>
      <c r="AF3500" s="14" t="s">
        <v>1400</v>
      </c>
      <c r="AG3500" s="14" t="s">
        <v>1231</v>
      </c>
    </row>
    <row r="3501" spans="2:33">
      <c r="B3501" s="14">
        <f>10000000+INDEX(编号表!$B:$B,MATCH(H3501,编号表!$A:$A,0))*100000+INDEX(编号表!$F:$F,MATCH(D3501,编号表!$E:$E,0))*10000+INDEX(编号表!$D:$D,MATCH(AG3501,编号表!$C:$C,0))*1000+F3501</f>
        <v>11948005</v>
      </c>
      <c r="C3501" s="14" t="s">
        <v>6677</v>
      </c>
      <c r="D3501" s="14" t="s">
        <v>104</v>
      </c>
      <c r="E3501" s="14" t="s">
        <v>1231</v>
      </c>
      <c r="F3501" s="14">
        <v>5</v>
      </c>
      <c r="G3501" s="14">
        <v>60</v>
      </c>
      <c r="H3501" s="14" t="s">
        <v>1400</v>
      </c>
      <c r="I3501" s="14" t="s">
        <v>75</v>
      </c>
      <c r="J3501" s="14" t="s">
        <v>201</v>
      </c>
      <c r="K3501" s="14">
        <v>1</v>
      </c>
      <c r="L3501" s="14" t="s">
        <v>1400</v>
      </c>
      <c r="N3501" s="14">
        <v>0</v>
      </c>
      <c r="O3501" s="14" t="b">
        <v>1</v>
      </c>
      <c r="Q3501" s="14" t="b">
        <v>0</v>
      </c>
      <c r="R3501" s="14">
        <v>1</v>
      </c>
      <c r="S3501" s="14" t="s">
        <v>77</v>
      </c>
      <c r="T3501" s="14">
        <v>999</v>
      </c>
      <c r="U3501" s="14" t="s">
        <v>1401</v>
      </c>
      <c r="V3501" s="14">
        <v>31948005</v>
      </c>
      <c r="X3501" s="14" t="s">
        <v>6680</v>
      </c>
      <c r="Y3501" s="14" t="s">
        <v>215</v>
      </c>
      <c r="Z3501" s="14">
        <v>22264</v>
      </c>
      <c r="AA3501" s="14" t="s">
        <v>6681</v>
      </c>
      <c r="AB3501" s="14">
        <v>40001</v>
      </c>
      <c r="AE3501" s="14" t="s">
        <v>1400</v>
      </c>
      <c r="AF3501" s="14" t="s">
        <v>1400</v>
      </c>
      <c r="AG3501" s="14" t="s">
        <v>1231</v>
      </c>
    </row>
    <row r="3502" spans="2:33">
      <c r="B3502" s="14">
        <f>10000000+INDEX(编号表!$B:$B,MATCH(H3502,编号表!$A:$A,0))*100000+INDEX(编号表!$F:$F,MATCH(D3502,编号表!$E:$E,0))*10000+INDEX(编号表!$D:$D,MATCH(AG3502,编号表!$C:$C,0))*1000+F3502</f>
        <v>11958006</v>
      </c>
      <c r="C3502" s="14" t="s">
        <v>6677</v>
      </c>
      <c r="D3502" s="14" t="s">
        <v>333</v>
      </c>
      <c r="E3502" s="14" t="s">
        <v>1231</v>
      </c>
      <c r="F3502" s="14">
        <v>6</v>
      </c>
      <c r="G3502" s="14">
        <v>60</v>
      </c>
      <c r="H3502" s="14" t="s">
        <v>1400</v>
      </c>
      <c r="I3502" s="14" t="s">
        <v>75</v>
      </c>
      <c r="J3502" s="14" t="s">
        <v>201</v>
      </c>
      <c r="K3502" s="14">
        <v>1</v>
      </c>
      <c r="L3502" s="14" t="s">
        <v>1400</v>
      </c>
      <c r="N3502" s="14">
        <v>0</v>
      </c>
      <c r="O3502" s="14" t="b">
        <v>1</v>
      </c>
      <c r="Q3502" s="14" t="b">
        <v>0</v>
      </c>
      <c r="R3502" s="14">
        <v>1</v>
      </c>
      <c r="S3502" s="14" t="s">
        <v>77</v>
      </c>
      <c r="T3502" s="14">
        <v>999</v>
      </c>
      <c r="U3502" s="14" t="s">
        <v>1401</v>
      </c>
      <c r="V3502" s="14">
        <v>31958006</v>
      </c>
      <c r="X3502" s="14" t="s">
        <v>6682</v>
      </c>
      <c r="Y3502" s="14" t="s">
        <v>215</v>
      </c>
      <c r="Z3502" s="14">
        <v>22265</v>
      </c>
      <c r="AA3502" s="14" t="s">
        <v>6683</v>
      </c>
      <c r="AB3502" s="14">
        <v>40001</v>
      </c>
      <c r="AE3502" s="14" t="s">
        <v>1400</v>
      </c>
      <c r="AF3502" s="14" t="s">
        <v>1400</v>
      </c>
      <c r="AG3502" s="14" t="s">
        <v>1231</v>
      </c>
    </row>
    <row r="3503" spans="2:33">
      <c r="B3503" s="14">
        <f>10000000+INDEX(编号表!$B:$B,MATCH(H3503,编号表!$A:$A,0))*100000+INDEX(编号表!$F:$F,MATCH(D3503,编号表!$E:$E,0))*10000+INDEX(编号表!$D:$D,MATCH(AG3503,编号表!$C:$C,0))*1000+F3503</f>
        <v>11938005</v>
      </c>
      <c r="C3503" s="14" t="s">
        <v>6684</v>
      </c>
      <c r="D3503" s="14" t="s">
        <v>276</v>
      </c>
      <c r="E3503" s="14" t="s">
        <v>1231</v>
      </c>
      <c r="F3503" s="14">
        <v>5</v>
      </c>
      <c r="G3503" s="14">
        <v>60</v>
      </c>
      <c r="H3503" s="14" t="s">
        <v>1400</v>
      </c>
      <c r="I3503" s="14" t="s">
        <v>75</v>
      </c>
      <c r="J3503" s="14" t="s">
        <v>201</v>
      </c>
      <c r="K3503" s="14">
        <v>1</v>
      </c>
      <c r="L3503" s="14" t="s">
        <v>1400</v>
      </c>
      <c r="N3503" s="14">
        <v>0</v>
      </c>
      <c r="O3503" s="14" t="b">
        <v>1</v>
      </c>
      <c r="Q3503" s="14" t="b">
        <v>0</v>
      </c>
      <c r="R3503" s="14">
        <v>1</v>
      </c>
      <c r="S3503" s="14" t="s">
        <v>77</v>
      </c>
      <c r="T3503" s="14">
        <v>999</v>
      </c>
      <c r="U3503" s="14" t="s">
        <v>1401</v>
      </c>
      <c r="V3503" s="14">
        <v>31938005</v>
      </c>
      <c r="X3503" s="14" t="s">
        <v>6685</v>
      </c>
      <c r="Y3503" s="14" t="s">
        <v>215</v>
      </c>
      <c r="Z3503" s="14">
        <v>22266</v>
      </c>
      <c r="AA3503" s="14" t="s">
        <v>6686</v>
      </c>
      <c r="AB3503" s="14">
        <v>40001</v>
      </c>
      <c r="AE3503" s="14" t="s">
        <v>1400</v>
      </c>
      <c r="AF3503" s="14" t="s">
        <v>1400</v>
      </c>
      <c r="AG3503" s="14" t="s">
        <v>1231</v>
      </c>
    </row>
    <row r="3504" spans="2:33">
      <c r="B3504" s="14">
        <f>10000000+INDEX(编号表!$B:$B,MATCH(H3504,编号表!$A:$A,0))*100000+INDEX(编号表!$F:$F,MATCH(D3504,编号表!$E:$E,0))*10000+INDEX(编号表!$D:$D,MATCH(AG3504,编号表!$C:$C,0))*1000+F3504</f>
        <v>11948006</v>
      </c>
      <c r="C3504" s="14" t="s">
        <v>6684</v>
      </c>
      <c r="D3504" s="14" t="s">
        <v>104</v>
      </c>
      <c r="E3504" s="14" t="s">
        <v>1231</v>
      </c>
      <c r="F3504" s="14">
        <v>6</v>
      </c>
      <c r="G3504" s="14">
        <v>60</v>
      </c>
      <c r="H3504" s="14" t="s">
        <v>1400</v>
      </c>
      <c r="I3504" s="14" t="s">
        <v>75</v>
      </c>
      <c r="J3504" s="14" t="s">
        <v>201</v>
      </c>
      <c r="K3504" s="14">
        <v>1</v>
      </c>
      <c r="L3504" s="14" t="s">
        <v>1400</v>
      </c>
      <c r="N3504" s="14">
        <v>0</v>
      </c>
      <c r="O3504" s="14" t="b">
        <v>1</v>
      </c>
      <c r="Q3504" s="14" t="b">
        <v>0</v>
      </c>
      <c r="R3504" s="14">
        <v>1</v>
      </c>
      <c r="S3504" s="14" t="s">
        <v>77</v>
      </c>
      <c r="T3504" s="14">
        <v>999</v>
      </c>
      <c r="U3504" s="14" t="s">
        <v>1401</v>
      </c>
      <c r="V3504" s="14">
        <v>31948006</v>
      </c>
      <c r="X3504" s="14" t="s">
        <v>6687</v>
      </c>
      <c r="Y3504" s="14" t="s">
        <v>215</v>
      </c>
      <c r="Z3504" s="14">
        <v>22267</v>
      </c>
      <c r="AA3504" s="14" t="s">
        <v>6688</v>
      </c>
      <c r="AB3504" s="14">
        <v>40001</v>
      </c>
      <c r="AE3504" s="14" t="s">
        <v>1400</v>
      </c>
      <c r="AF3504" s="14" t="s">
        <v>1400</v>
      </c>
      <c r="AG3504" s="14" t="s">
        <v>1231</v>
      </c>
    </row>
    <row r="3505" spans="2:33">
      <c r="B3505" s="14">
        <f>10000000+INDEX(编号表!$B:$B,MATCH(H3505,编号表!$A:$A,0))*100000+INDEX(编号表!$F:$F,MATCH(D3505,编号表!$E:$E,0))*10000+INDEX(编号表!$D:$D,MATCH(AG3505,编号表!$C:$C,0))*1000+F3505</f>
        <v>11958007</v>
      </c>
      <c r="C3505" s="14" t="s">
        <v>6684</v>
      </c>
      <c r="D3505" s="14" t="s">
        <v>333</v>
      </c>
      <c r="E3505" s="14" t="s">
        <v>1231</v>
      </c>
      <c r="F3505" s="14">
        <v>7</v>
      </c>
      <c r="G3505" s="14">
        <v>60</v>
      </c>
      <c r="H3505" s="14" t="s">
        <v>1400</v>
      </c>
      <c r="I3505" s="14" t="s">
        <v>75</v>
      </c>
      <c r="J3505" s="14" t="s">
        <v>201</v>
      </c>
      <c r="K3505" s="14">
        <v>1</v>
      </c>
      <c r="L3505" s="14" t="s">
        <v>1400</v>
      </c>
      <c r="N3505" s="14">
        <v>0</v>
      </c>
      <c r="O3505" s="14" t="b">
        <v>1</v>
      </c>
      <c r="Q3505" s="14" t="b">
        <v>0</v>
      </c>
      <c r="R3505" s="14">
        <v>1</v>
      </c>
      <c r="S3505" s="14" t="s">
        <v>77</v>
      </c>
      <c r="T3505" s="14">
        <v>999</v>
      </c>
      <c r="U3505" s="14" t="s">
        <v>1401</v>
      </c>
      <c r="V3505" s="14">
        <v>31958007</v>
      </c>
      <c r="X3505" s="14" t="s">
        <v>6689</v>
      </c>
      <c r="Y3505" s="14" t="s">
        <v>215</v>
      </c>
      <c r="Z3505" s="14">
        <v>22268</v>
      </c>
      <c r="AA3505" s="14" t="s">
        <v>6690</v>
      </c>
      <c r="AB3505" s="14">
        <v>40001</v>
      </c>
      <c r="AE3505" s="14" t="s">
        <v>1400</v>
      </c>
      <c r="AF3505" s="14" t="s">
        <v>1400</v>
      </c>
      <c r="AG3505" s="14" t="s">
        <v>1231</v>
      </c>
    </row>
    <row r="3506" spans="2:33">
      <c r="B3506" s="14">
        <f>10000000+INDEX(编号表!$B:$B,MATCH(H3506,编号表!$A:$A,0))*100000+INDEX(编号表!$F:$F,MATCH(D3506,编号表!$E:$E,0))*10000+INDEX(编号表!$D:$D,MATCH(AG3506,编号表!$C:$C,0))*1000+F3506</f>
        <v>11938006</v>
      </c>
      <c r="C3506" s="14" t="s">
        <v>6691</v>
      </c>
      <c r="D3506" s="14" t="s">
        <v>276</v>
      </c>
      <c r="E3506" s="14" t="s">
        <v>1231</v>
      </c>
      <c r="F3506" s="14">
        <v>6</v>
      </c>
      <c r="G3506" s="14">
        <v>60</v>
      </c>
      <c r="H3506" s="14" t="s">
        <v>1400</v>
      </c>
      <c r="I3506" s="14" t="s">
        <v>75</v>
      </c>
      <c r="J3506" s="14" t="s">
        <v>201</v>
      </c>
      <c r="K3506" s="14">
        <v>1</v>
      </c>
      <c r="L3506" s="14" t="s">
        <v>1400</v>
      </c>
      <c r="N3506" s="14">
        <v>0</v>
      </c>
      <c r="O3506" s="14" t="b">
        <v>1</v>
      </c>
      <c r="Q3506" s="14" t="b">
        <v>0</v>
      </c>
      <c r="R3506" s="14">
        <v>1</v>
      </c>
      <c r="S3506" s="14" t="s">
        <v>77</v>
      </c>
      <c r="T3506" s="14">
        <v>999</v>
      </c>
      <c r="U3506" s="14" t="s">
        <v>1401</v>
      </c>
      <c r="V3506" s="14">
        <v>31938006</v>
      </c>
      <c r="X3506" s="14" t="s">
        <v>6692</v>
      </c>
      <c r="Y3506" s="14" t="s">
        <v>215</v>
      </c>
      <c r="Z3506" s="14">
        <v>22269</v>
      </c>
      <c r="AA3506" s="14" t="s">
        <v>6693</v>
      </c>
      <c r="AB3506" s="14">
        <v>40001</v>
      </c>
      <c r="AE3506" s="14" t="s">
        <v>1400</v>
      </c>
      <c r="AF3506" s="14" t="s">
        <v>1400</v>
      </c>
      <c r="AG3506" s="14" t="s">
        <v>1231</v>
      </c>
    </row>
    <row r="3507" spans="2:33">
      <c r="B3507" s="14">
        <f>10000000+INDEX(编号表!$B:$B,MATCH(H3507,编号表!$A:$A,0))*100000+INDEX(编号表!$F:$F,MATCH(D3507,编号表!$E:$E,0))*10000+INDEX(编号表!$D:$D,MATCH(AG3507,编号表!$C:$C,0))*1000+F3507</f>
        <v>11948007</v>
      </c>
      <c r="C3507" s="14" t="s">
        <v>6691</v>
      </c>
      <c r="D3507" s="14" t="s">
        <v>104</v>
      </c>
      <c r="E3507" s="14" t="s">
        <v>1231</v>
      </c>
      <c r="F3507" s="14">
        <v>7</v>
      </c>
      <c r="G3507" s="14">
        <v>60</v>
      </c>
      <c r="H3507" s="14" t="s">
        <v>1400</v>
      </c>
      <c r="I3507" s="14" t="s">
        <v>75</v>
      </c>
      <c r="J3507" s="14" t="s">
        <v>201</v>
      </c>
      <c r="K3507" s="14">
        <v>1</v>
      </c>
      <c r="L3507" s="14" t="s">
        <v>1400</v>
      </c>
      <c r="N3507" s="14">
        <v>0</v>
      </c>
      <c r="O3507" s="14" t="b">
        <v>1</v>
      </c>
      <c r="Q3507" s="14" t="b">
        <v>0</v>
      </c>
      <c r="R3507" s="14">
        <v>1</v>
      </c>
      <c r="S3507" s="14" t="s">
        <v>77</v>
      </c>
      <c r="T3507" s="14">
        <v>999</v>
      </c>
      <c r="U3507" s="14" t="s">
        <v>1401</v>
      </c>
      <c r="V3507" s="14">
        <v>31948007</v>
      </c>
      <c r="X3507" s="14" t="s">
        <v>6694</v>
      </c>
      <c r="Y3507" s="14" t="s">
        <v>215</v>
      </c>
      <c r="Z3507" s="14">
        <v>22270</v>
      </c>
      <c r="AA3507" s="14" t="s">
        <v>6695</v>
      </c>
      <c r="AB3507" s="14">
        <v>40001</v>
      </c>
      <c r="AE3507" s="14" t="s">
        <v>1400</v>
      </c>
      <c r="AF3507" s="14" t="s">
        <v>1400</v>
      </c>
      <c r="AG3507" s="14" t="s">
        <v>1231</v>
      </c>
    </row>
    <row r="3508" spans="2:33">
      <c r="B3508" s="14">
        <f>10000000+INDEX(编号表!$B:$B,MATCH(H3508,编号表!$A:$A,0))*100000+INDEX(编号表!$F:$F,MATCH(D3508,编号表!$E:$E,0))*10000+INDEX(编号表!$D:$D,MATCH(AG3508,编号表!$C:$C,0))*1000+F3508</f>
        <v>11958008</v>
      </c>
      <c r="C3508" s="14" t="s">
        <v>6691</v>
      </c>
      <c r="D3508" s="14" t="s">
        <v>333</v>
      </c>
      <c r="E3508" s="14" t="s">
        <v>1231</v>
      </c>
      <c r="F3508" s="14">
        <v>8</v>
      </c>
      <c r="G3508" s="14">
        <v>60</v>
      </c>
      <c r="H3508" s="14" t="s">
        <v>1400</v>
      </c>
      <c r="I3508" s="14" t="s">
        <v>75</v>
      </c>
      <c r="J3508" s="14" t="s">
        <v>201</v>
      </c>
      <c r="K3508" s="14">
        <v>1</v>
      </c>
      <c r="L3508" s="14" t="s">
        <v>1400</v>
      </c>
      <c r="N3508" s="14">
        <v>0</v>
      </c>
      <c r="O3508" s="14" t="b">
        <v>1</v>
      </c>
      <c r="Q3508" s="14" t="b">
        <v>0</v>
      </c>
      <c r="R3508" s="14">
        <v>1</v>
      </c>
      <c r="S3508" s="14" t="s">
        <v>77</v>
      </c>
      <c r="T3508" s="14">
        <v>999</v>
      </c>
      <c r="U3508" s="14" t="s">
        <v>1401</v>
      </c>
      <c r="V3508" s="14">
        <v>31958008</v>
      </c>
      <c r="X3508" s="14" t="s">
        <v>6696</v>
      </c>
      <c r="Y3508" s="14" t="s">
        <v>215</v>
      </c>
      <c r="Z3508" s="14">
        <v>22271</v>
      </c>
      <c r="AA3508" s="14" t="s">
        <v>6697</v>
      </c>
      <c r="AB3508" s="14">
        <v>40001</v>
      </c>
      <c r="AE3508" s="14" t="s">
        <v>1400</v>
      </c>
      <c r="AF3508" s="14" t="s">
        <v>1400</v>
      </c>
      <c r="AG3508" s="14" t="s">
        <v>1231</v>
      </c>
    </row>
    <row r="3509" spans="2:33">
      <c r="B3509" s="14">
        <f>10000000+INDEX(编号表!$B:$B,MATCH(H3509,编号表!$A:$A,0))*100000+INDEX(编号表!$F:$F,MATCH(D3509,编号表!$E:$E,0))*10000+INDEX(编号表!$D:$D,MATCH(AG3509,编号表!$C:$C,0))*1000+F3509</f>
        <v>11938007</v>
      </c>
      <c r="C3509" s="14" t="s">
        <v>6698</v>
      </c>
      <c r="D3509" s="14" t="s">
        <v>276</v>
      </c>
      <c r="E3509" s="14" t="s">
        <v>1231</v>
      </c>
      <c r="F3509" s="14">
        <v>7</v>
      </c>
      <c r="G3509" s="14">
        <v>60</v>
      </c>
      <c r="H3509" s="14" t="s">
        <v>1400</v>
      </c>
      <c r="I3509" s="14" t="s">
        <v>75</v>
      </c>
      <c r="J3509" s="14" t="s">
        <v>201</v>
      </c>
      <c r="K3509" s="14">
        <v>1</v>
      </c>
      <c r="L3509" s="14" t="s">
        <v>1400</v>
      </c>
      <c r="N3509" s="14">
        <v>0</v>
      </c>
      <c r="O3509" s="14" t="b">
        <v>1</v>
      </c>
      <c r="Q3509" s="14" t="b">
        <v>0</v>
      </c>
      <c r="R3509" s="14">
        <v>1</v>
      </c>
      <c r="S3509" s="14" t="s">
        <v>77</v>
      </c>
      <c r="T3509" s="14">
        <v>999</v>
      </c>
      <c r="U3509" s="14" t="s">
        <v>1401</v>
      </c>
      <c r="V3509" s="14">
        <v>31938007</v>
      </c>
      <c r="X3509" s="14" t="s">
        <v>6699</v>
      </c>
      <c r="Y3509" s="14" t="s">
        <v>215</v>
      </c>
      <c r="Z3509" s="14">
        <v>22272</v>
      </c>
      <c r="AA3509" s="14" t="s">
        <v>6700</v>
      </c>
      <c r="AB3509" s="14">
        <v>40001</v>
      </c>
      <c r="AE3509" s="14" t="s">
        <v>1400</v>
      </c>
      <c r="AF3509" s="14" t="s">
        <v>1400</v>
      </c>
      <c r="AG3509" s="14" t="s">
        <v>1231</v>
      </c>
    </row>
    <row r="3510" spans="2:33">
      <c r="B3510" s="14">
        <f>10000000+INDEX(编号表!$B:$B,MATCH(H3510,编号表!$A:$A,0))*100000+INDEX(编号表!$F:$F,MATCH(D3510,编号表!$E:$E,0))*10000+INDEX(编号表!$D:$D,MATCH(AG3510,编号表!$C:$C,0))*1000+F3510</f>
        <v>11948008</v>
      </c>
      <c r="C3510" s="14" t="s">
        <v>6698</v>
      </c>
      <c r="D3510" s="14" t="s">
        <v>104</v>
      </c>
      <c r="E3510" s="14" t="s">
        <v>1231</v>
      </c>
      <c r="F3510" s="14">
        <v>8</v>
      </c>
      <c r="G3510" s="14">
        <v>60</v>
      </c>
      <c r="H3510" s="14" t="s">
        <v>1400</v>
      </c>
      <c r="I3510" s="14" t="s">
        <v>75</v>
      </c>
      <c r="J3510" s="14" t="s">
        <v>201</v>
      </c>
      <c r="K3510" s="14">
        <v>1</v>
      </c>
      <c r="L3510" s="14" t="s">
        <v>1400</v>
      </c>
      <c r="N3510" s="14">
        <v>0</v>
      </c>
      <c r="O3510" s="14" t="b">
        <v>1</v>
      </c>
      <c r="Q3510" s="14" t="b">
        <v>0</v>
      </c>
      <c r="R3510" s="14">
        <v>1</v>
      </c>
      <c r="S3510" s="14" t="s">
        <v>77</v>
      </c>
      <c r="T3510" s="14">
        <v>999</v>
      </c>
      <c r="U3510" s="14" t="s">
        <v>1401</v>
      </c>
      <c r="V3510" s="14">
        <v>31948008</v>
      </c>
      <c r="X3510" s="14" t="s">
        <v>6701</v>
      </c>
      <c r="Y3510" s="14" t="s">
        <v>215</v>
      </c>
      <c r="Z3510" s="14">
        <v>22273</v>
      </c>
      <c r="AA3510" s="14" t="s">
        <v>6702</v>
      </c>
      <c r="AB3510" s="14">
        <v>40001</v>
      </c>
      <c r="AE3510" s="14" t="s">
        <v>1400</v>
      </c>
      <c r="AF3510" s="14" t="s">
        <v>1400</v>
      </c>
      <c r="AG3510" s="14" t="s">
        <v>1231</v>
      </c>
    </row>
    <row r="3511" spans="2:33">
      <c r="B3511" s="14">
        <f>10000000+INDEX(编号表!$B:$B,MATCH(H3511,编号表!$A:$A,0))*100000+INDEX(编号表!$F:$F,MATCH(D3511,编号表!$E:$E,0))*10000+INDEX(编号表!$D:$D,MATCH(AG3511,编号表!$C:$C,0))*1000+F3511</f>
        <v>11958009</v>
      </c>
      <c r="C3511" s="14" t="s">
        <v>6698</v>
      </c>
      <c r="D3511" s="14" t="s">
        <v>333</v>
      </c>
      <c r="E3511" s="14" t="s">
        <v>1231</v>
      </c>
      <c r="F3511" s="14">
        <v>9</v>
      </c>
      <c r="G3511" s="14">
        <v>60</v>
      </c>
      <c r="H3511" s="14" t="s">
        <v>1400</v>
      </c>
      <c r="I3511" s="14" t="s">
        <v>75</v>
      </c>
      <c r="J3511" s="14" t="s">
        <v>201</v>
      </c>
      <c r="K3511" s="14">
        <v>1</v>
      </c>
      <c r="L3511" s="14" t="s">
        <v>1400</v>
      </c>
      <c r="N3511" s="14">
        <v>0</v>
      </c>
      <c r="O3511" s="14" t="b">
        <v>1</v>
      </c>
      <c r="Q3511" s="14" t="b">
        <v>0</v>
      </c>
      <c r="R3511" s="14">
        <v>1</v>
      </c>
      <c r="S3511" s="14" t="s">
        <v>77</v>
      </c>
      <c r="T3511" s="14">
        <v>999</v>
      </c>
      <c r="U3511" s="14" t="s">
        <v>1401</v>
      </c>
      <c r="V3511" s="14">
        <v>31958009</v>
      </c>
      <c r="X3511" s="14" t="s">
        <v>6703</v>
      </c>
      <c r="Y3511" s="14" t="s">
        <v>215</v>
      </c>
      <c r="Z3511" s="14">
        <v>22274</v>
      </c>
      <c r="AA3511" s="14" t="s">
        <v>6704</v>
      </c>
      <c r="AB3511" s="14">
        <v>40001</v>
      </c>
      <c r="AE3511" s="14" t="s">
        <v>1400</v>
      </c>
      <c r="AF3511" s="14" t="s">
        <v>1400</v>
      </c>
      <c r="AG3511" s="14" t="s">
        <v>1231</v>
      </c>
    </row>
    <row r="3512" spans="2:33">
      <c r="B3512" s="14">
        <f>10000000+INDEX(编号表!$B:$B,MATCH(H3512,编号表!$A:$A,0))*100000+INDEX(编号表!$F:$F,MATCH(D3512,编号表!$E:$E,0))*10000+INDEX(编号表!$D:$D,MATCH(AG3512,编号表!$C:$C,0))*1000+F3512</f>
        <v>11938008</v>
      </c>
      <c r="C3512" s="14" t="s">
        <v>6705</v>
      </c>
      <c r="D3512" s="14" t="s">
        <v>276</v>
      </c>
      <c r="E3512" s="14" t="s">
        <v>1231</v>
      </c>
      <c r="F3512" s="14">
        <v>8</v>
      </c>
      <c r="G3512" s="14">
        <v>60</v>
      </c>
      <c r="H3512" s="14" t="s">
        <v>1400</v>
      </c>
      <c r="I3512" s="14" t="s">
        <v>75</v>
      </c>
      <c r="J3512" s="14" t="s">
        <v>201</v>
      </c>
      <c r="K3512" s="14">
        <v>1</v>
      </c>
      <c r="L3512" s="14" t="s">
        <v>1400</v>
      </c>
      <c r="N3512" s="14">
        <v>0</v>
      </c>
      <c r="O3512" s="14" t="b">
        <v>1</v>
      </c>
      <c r="Q3512" s="14" t="b">
        <v>0</v>
      </c>
      <c r="R3512" s="14">
        <v>1</v>
      </c>
      <c r="S3512" s="14" t="s">
        <v>77</v>
      </c>
      <c r="T3512" s="14">
        <v>999</v>
      </c>
      <c r="U3512" s="14" t="s">
        <v>1401</v>
      </c>
      <c r="V3512" s="14">
        <v>31938008</v>
      </c>
      <c r="X3512" s="14" t="s">
        <v>6706</v>
      </c>
      <c r="Y3512" s="14" t="s">
        <v>215</v>
      </c>
      <c r="Z3512" s="14">
        <v>22275</v>
      </c>
      <c r="AA3512" s="14" t="s">
        <v>6707</v>
      </c>
      <c r="AB3512" s="14">
        <v>40001</v>
      </c>
      <c r="AE3512" s="14" t="s">
        <v>1400</v>
      </c>
      <c r="AF3512" s="14" t="s">
        <v>1400</v>
      </c>
      <c r="AG3512" s="14" t="s">
        <v>1231</v>
      </c>
    </row>
    <row r="3513" spans="2:33">
      <c r="B3513" s="14">
        <f>10000000+INDEX(编号表!$B:$B,MATCH(H3513,编号表!$A:$A,0))*100000+INDEX(编号表!$F:$F,MATCH(D3513,编号表!$E:$E,0))*10000+INDEX(编号表!$D:$D,MATCH(AG3513,编号表!$C:$C,0))*1000+F3513</f>
        <v>11948009</v>
      </c>
      <c r="C3513" s="14" t="s">
        <v>6705</v>
      </c>
      <c r="D3513" s="14" t="s">
        <v>104</v>
      </c>
      <c r="E3513" s="14" t="s">
        <v>1231</v>
      </c>
      <c r="F3513" s="14">
        <v>9</v>
      </c>
      <c r="G3513" s="14">
        <v>60</v>
      </c>
      <c r="H3513" s="14" t="s">
        <v>1400</v>
      </c>
      <c r="I3513" s="14" t="s">
        <v>75</v>
      </c>
      <c r="J3513" s="14" t="s">
        <v>201</v>
      </c>
      <c r="K3513" s="14">
        <v>1</v>
      </c>
      <c r="L3513" s="14" t="s">
        <v>1400</v>
      </c>
      <c r="N3513" s="14">
        <v>0</v>
      </c>
      <c r="O3513" s="14" t="b">
        <v>1</v>
      </c>
      <c r="Q3513" s="14" t="b">
        <v>0</v>
      </c>
      <c r="R3513" s="14">
        <v>1</v>
      </c>
      <c r="S3513" s="14" t="s">
        <v>77</v>
      </c>
      <c r="T3513" s="14">
        <v>999</v>
      </c>
      <c r="U3513" s="14" t="s">
        <v>1401</v>
      </c>
      <c r="V3513" s="14">
        <v>31948009</v>
      </c>
      <c r="X3513" s="14" t="s">
        <v>6708</v>
      </c>
      <c r="Y3513" s="14" t="s">
        <v>215</v>
      </c>
      <c r="Z3513" s="14">
        <v>22276</v>
      </c>
      <c r="AA3513" s="14" t="s">
        <v>6709</v>
      </c>
      <c r="AB3513" s="14">
        <v>40001</v>
      </c>
      <c r="AE3513" s="14" t="s">
        <v>1400</v>
      </c>
      <c r="AF3513" s="14" t="s">
        <v>1400</v>
      </c>
      <c r="AG3513" s="14" t="s">
        <v>1231</v>
      </c>
    </row>
    <row r="3514" spans="2:33">
      <c r="B3514" s="14">
        <f>10000000+INDEX(编号表!$B:$B,MATCH(H3514,编号表!$A:$A,0))*100000+INDEX(编号表!$F:$F,MATCH(D3514,编号表!$E:$E,0))*10000+INDEX(编号表!$D:$D,MATCH(AG3514,编号表!$C:$C,0))*1000+F3514</f>
        <v>11958010</v>
      </c>
      <c r="C3514" s="14" t="s">
        <v>6705</v>
      </c>
      <c r="D3514" s="14" t="s">
        <v>333</v>
      </c>
      <c r="E3514" s="14" t="s">
        <v>1231</v>
      </c>
      <c r="F3514" s="14">
        <v>10</v>
      </c>
      <c r="G3514" s="14">
        <v>60</v>
      </c>
      <c r="H3514" s="14" t="s">
        <v>1400</v>
      </c>
      <c r="I3514" s="14" t="s">
        <v>75</v>
      </c>
      <c r="J3514" s="14" t="s">
        <v>201</v>
      </c>
      <c r="K3514" s="14">
        <v>1</v>
      </c>
      <c r="L3514" s="14" t="s">
        <v>1400</v>
      </c>
      <c r="N3514" s="14">
        <v>0</v>
      </c>
      <c r="O3514" s="14" t="b">
        <v>1</v>
      </c>
      <c r="Q3514" s="14" t="b">
        <v>0</v>
      </c>
      <c r="R3514" s="14">
        <v>1</v>
      </c>
      <c r="S3514" s="14" t="s">
        <v>77</v>
      </c>
      <c r="T3514" s="14">
        <v>999</v>
      </c>
      <c r="U3514" s="14" t="s">
        <v>1401</v>
      </c>
      <c r="V3514" s="14">
        <v>31958010</v>
      </c>
      <c r="X3514" s="14" t="s">
        <v>6710</v>
      </c>
      <c r="Y3514" s="14" t="s">
        <v>215</v>
      </c>
      <c r="Z3514" s="14">
        <v>22277</v>
      </c>
      <c r="AA3514" s="14" t="s">
        <v>6711</v>
      </c>
      <c r="AB3514" s="14">
        <v>40001</v>
      </c>
      <c r="AE3514" s="14" t="s">
        <v>1400</v>
      </c>
      <c r="AF3514" s="14" t="s">
        <v>1400</v>
      </c>
      <c r="AG3514" s="14" t="s">
        <v>1231</v>
      </c>
    </row>
    <row r="3515" spans="2:33">
      <c r="B3515" s="14">
        <f>10000000+INDEX(编号表!$B:$B,MATCH(H3515,编号表!$A:$A,0))*100000+INDEX(编号表!$F:$F,MATCH(D3515,编号表!$E:$E,0))*10000+INDEX(编号表!$D:$D,MATCH(AG3515,编号表!$C:$C,0))*1000+F3515</f>
        <v>11938009</v>
      </c>
      <c r="C3515" s="14" t="s">
        <v>6712</v>
      </c>
      <c r="D3515" s="14" t="s">
        <v>276</v>
      </c>
      <c r="E3515" s="14" t="s">
        <v>1231</v>
      </c>
      <c r="F3515" s="14">
        <v>9</v>
      </c>
      <c r="G3515" s="14">
        <v>60</v>
      </c>
      <c r="H3515" s="14" t="s">
        <v>1400</v>
      </c>
      <c r="I3515" s="14" t="s">
        <v>75</v>
      </c>
      <c r="J3515" s="14" t="s">
        <v>201</v>
      </c>
      <c r="K3515" s="14">
        <v>1</v>
      </c>
      <c r="L3515" s="14" t="s">
        <v>1400</v>
      </c>
      <c r="N3515" s="14">
        <v>0</v>
      </c>
      <c r="O3515" s="14" t="b">
        <v>1</v>
      </c>
      <c r="Q3515" s="14" t="b">
        <v>0</v>
      </c>
      <c r="R3515" s="14">
        <v>1</v>
      </c>
      <c r="S3515" s="14" t="s">
        <v>77</v>
      </c>
      <c r="T3515" s="14">
        <v>999</v>
      </c>
      <c r="U3515" s="14" t="s">
        <v>1401</v>
      </c>
      <c r="V3515" s="14">
        <v>31938009</v>
      </c>
      <c r="X3515" s="14" t="s">
        <v>6713</v>
      </c>
      <c r="Y3515" s="14" t="s">
        <v>215</v>
      </c>
      <c r="Z3515" s="14">
        <v>22278</v>
      </c>
      <c r="AA3515" s="14" t="s">
        <v>6714</v>
      </c>
      <c r="AB3515" s="14">
        <v>40001</v>
      </c>
      <c r="AE3515" s="14" t="s">
        <v>1400</v>
      </c>
      <c r="AF3515" s="14" t="s">
        <v>1400</v>
      </c>
      <c r="AG3515" s="14" t="s">
        <v>1231</v>
      </c>
    </row>
    <row r="3516" spans="2:33">
      <c r="B3516" s="14">
        <f>10000000+INDEX(编号表!$B:$B,MATCH(H3516,编号表!$A:$A,0))*100000+INDEX(编号表!$F:$F,MATCH(D3516,编号表!$E:$E,0))*10000+INDEX(编号表!$D:$D,MATCH(AG3516,编号表!$C:$C,0))*1000+F3516</f>
        <v>11948010</v>
      </c>
      <c r="C3516" s="14" t="s">
        <v>6712</v>
      </c>
      <c r="D3516" s="14" t="s">
        <v>104</v>
      </c>
      <c r="E3516" s="14" t="s">
        <v>1231</v>
      </c>
      <c r="F3516" s="14">
        <v>10</v>
      </c>
      <c r="G3516" s="14">
        <v>60</v>
      </c>
      <c r="H3516" s="14" t="s">
        <v>1400</v>
      </c>
      <c r="I3516" s="14" t="s">
        <v>75</v>
      </c>
      <c r="J3516" s="14" t="s">
        <v>201</v>
      </c>
      <c r="K3516" s="14">
        <v>1</v>
      </c>
      <c r="L3516" s="14" t="s">
        <v>1400</v>
      </c>
      <c r="N3516" s="14">
        <v>0</v>
      </c>
      <c r="O3516" s="14" t="b">
        <v>1</v>
      </c>
      <c r="Q3516" s="14" t="b">
        <v>0</v>
      </c>
      <c r="R3516" s="14">
        <v>1</v>
      </c>
      <c r="S3516" s="14" t="s">
        <v>77</v>
      </c>
      <c r="T3516" s="14">
        <v>999</v>
      </c>
      <c r="U3516" s="14" t="s">
        <v>1401</v>
      </c>
      <c r="V3516" s="14">
        <v>31948010</v>
      </c>
      <c r="X3516" s="14" t="s">
        <v>6715</v>
      </c>
      <c r="Y3516" s="14" t="s">
        <v>215</v>
      </c>
      <c r="Z3516" s="14">
        <v>22279</v>
      </c>
      <c r="AA3516" s="14" t="s">
        <v>6716</v>
      </c>
      <c r="AB3516" s="14">
        <v>40001</v>
      </c>
      <c r="AE3516" s="14" t="s">
        <v>1400</v>
      </c>
      <c r="AF3516" s="14" t="s">
        <v>1400</v>
      </c>
      <c r="AG3516" s="14" t="s">
        <v>1231</v>
      </c>
    </row>
    <row r="3517" spans="2:33">
      <c r="B3517" s="14">
        <f>10000000+INDEX(编号表!$B:$B,MATCH(H3517,编号表!$A:$A,0))*100000+INDEX(编号表!$F:$F,MATCH(D3517,编号表!$E:$E,0))*10000+INDEX(编号表!$D:$D,MATCH(AG3517,编号表!$C:$C,0))*1000+F3517</f>
        <v>11958011</v>
      </c>
      <c r="C3517" s="14" t="s">
        <v>6712</v>
      </c>
      <c r="D3517" s="14" t="s">
        <v>333</v>
      </c>
      <c r="E3517" s="14" t="s">
        <v>1231</v>
      </c>
      <c r="F3517" s="14">
        <v>11</v>
      </c>
      <c r="G3517" s="14">
        <v>60</v>
      </c>
      <c r="H3517" s="14" t="s">
        <v>1400</v>
      </c>
      <c r="I3517" s="14" t="s">
        <v>75</v>
      </c>
      <c r="J3517" s="14" t="s">
        <v>201</v>
      </c>
      <c r="K3517" s="14">
        <v>1</v>
      </c>
      <c r="L3517" s="14" t="s">
        <v>1400</v>
      </c>
      <c r="N3517" s="14">
        <v>0</v>
      </c>
      <c r="O3517" s="14" t="b">
        <v>1</v>
      </c>
      <c r="Q3517" s="14" t="b">
        <v>0</v>
      </c>
      <c r="R3517" s="14">
        <v>1</v>
      </c>
      <c r="S3517" s="14" t="s">
        <v>77</v>
      </c>
      <c r="T3517" s="14">
        <v>999</v>
      </c>
      <c r="U3517" s="14" t="s">
        <v>1401</v>
      </c>
      <c r="V3517" s="14">
        <v>31958011</v>
      </c>
      <c r="X3517" s="14" t="s">
        <v>6717</v>
      </c>
      <c r="Y3517" s="14" t="s">
        <v>215</v>
      </c>
      <c r="Z3517" s="14">
        <v>22280</v>
      </c>
      <c r="AA3517" s="14" t="s">
        <v>6718</v>
      </c>
      <c r="AB3517" s="14">
        <v>40001</v>
      </c>
      <c r="AE3517" s="14" t="s">
        <v>1400</v>
      </c>
      <c r="AF3517" s="14" t="s">
        <v>1400</v>
      </c>
      <c r="AG3517" s="14" t="s">
        <v>1231</v>
      </c>
    </row>
    <row r="3518" spans="2:33">
      <c r="B3518" s="14">
        <f>10000000+INDEX(编号表!$B:$B,MATCH(H3518,编号表!$A:$A,0))*100000+INDEX(编号表!$F:$F,MATCH(D3518,编号表!$E:$E,0))*10000+INDEX(编号表!$D:$D,MATCH(AG3518,编号表!$C:$C,0))*1000+F3518</f>
        <v>11938010</v>
      </c>
      <c r="C3518" s="14" t="s">
        <v>6719</v>
      </c>
      <c r="D3518" s="14" t="s">
        <v>276</v>
      </c>
      <c r="E3518" s="14" t="s">
        <v>1231</v>
      </c>
      <c r="F3518" s="14">
        <v>10</v>
      </c>
      <c r="G3518" s="14">
        <v>60</v>
      </c>
      <c r="H3518" s="14" t="s">
        <v>1400</v>
      </c>
      <c r="I3518" s="14" t="s">
        <v>75</v>
      </c>
      <c r="J3518" s="14" t="s">
        <v>201</v>
      </c>
      <c r="K3518" s="14">
        <v>1</v>
      </c>
      <c r="L3518" s="14" t="s">
        <v>1400</v>
      </c>
      <c r="N3518" s="14">
        <v>0</v>
      </c>
      <c r="O3518" s="14" t="b">
        <v>1</v>
      </c>
      <c r="Q3518" s="14" t="b">
        <v>0</v>
      </c>
      <c r="R3518" s="14">
        <v>1</v>
      </c>
      <c r="S3518" s="14" t="s">
        <v>77</v>
      </c>
      <c r="T3518" s="14">
        <v>999</v>
      </c>
      <c r="U3518" s="14" t="s">
        <v>1401</v>
      </c>
      <c r="V3518" s="14">
        <v>31938010</v>
      </c>
      <c r="X3518" s="14" t="s">
        <v>6720</v>
      </c>
      <c r="Y3518" s="14" t="s">
        <v>215</v>
      </c>
      <c r="Z3518" s="14">
        <v>22281</v>
      </c>
      <c r="AA3518" s="14" t="s">
        <v>6721</v>
      </c>
      <c r="AB3518" s="14">
        <v>40001</v>
      </c>
      <c r="AE3518" s="14" t="s">
        <v>1400</v>
      </c>
      <c r="AF3518" s="14" t="s">
        <v>1400</v>
      </c>
      <c r="AG3518" s="14" t="s">
        <v>1231</v>
      </c>
    </row>
    <row r="3519" spans="2:33">
      <c r="B3519" s="14">
        <f>10000000+INDEX(编号表!$B:$B,MATCH(H3519,编号表!$A:$A,0))*100000+INDEX(编号表!$F:$F,MATCH(D3519,编号表!$E:$E,0))*10000+INDEX(编号表!$D:$D,MATCH(AG3519,编号表!$C:$C,0))*1000+F3519</f>
        <v>11948011</v>
      </c>
      <c r="C3519" s="14" t="s">
        <v>6719</v>
      </c>
      <c r="D3519" s="14" t="s">
        <v>104</v>
      </c>
      <c r="E3519" s="14" t="s">
        <v>1231</v>
      </c>
      <c r="F3519" s="14">
        <v>11</v>
      </c>
      <c r="G3519" s="14">
        <v>60</v>
      </c>
      <c r="H3519" s="14" t="s">
        <v>1400</v>
      </c>
      <c r="I3519" s="14" t="s">
        <v>75</v>
      </c>
      <c r="J3519" s="14" t="s">
        <v>201</v>
      </c>
      <c r="K3519" s="14">
        <v>1</v>
      </c>
      <c r="L3519" s="14" t="s">
        <v>1400</v>
      </c>
      <c r="N3519" s="14">
        <v>0</v>
      </c>
      <c r="O3519" s="14" t="b">
        <v>1</v>
      </c>
      <c r="Q3519" s="14" t="b">
        <v>0</v>
      </c>
      <c r="R3519" s="14">
        <v>1</v>
      </c>
      <c r="S3519" s="14" t="s">
        <v>77</v>
      </c>
      <c r="T3519" s="14">
        <v>999</v>
      </c>
      <c r="U3519" s="14" t="s">
        <v>1401</v>
      </c>
      <c r="V3519" s="14">
        <v>31948011</v>
      </c>
      <c r="X3519" s="14" t="s">
        <v>6722</v>
      </c>
      <c r="Y3519" s="14" t="s">
        <v>215</v>
      </c>
      <c r="Z3519" s="14">
        <v>22282</v>
      </c>
      <c r="AA3519" s="14" t="s">
        <v>6723</v>
      </c>
      <c r="AB3519" s="14">
        <v>40001</v>
      </c>
      <c r="AE3519" s="14" t="s">
        <v>1400</v>
      </c>
      <c r="AF3519" s="14" t="s">
        <v>1400</v>
      </c>
      <c r="AG3519" s="14" t="s">
        <v>1231</v>
      </c>
    </row>
    <row r="3520" spans="2:33">
      <c r="B3520" s="14">
        <f>10000000+INDEX(编号表!$B:$B,MATCH(H3520,编号表!$A:$A,0))*100000+INDEX(编号表!$F:$F,MATCH(D3520,编号表!$E:$E,0))*10000+INDEX(编号表!$D:$D,MATCH(AG3520,编号表!$C:$C,0))*1000+F3520</f>
        <v>11958012</v>
      </c>
      <c r="C3520" s="14" t="s">
        <v>6719</v>
      </c>
      <c r="D3520" s="14" t="s">
        <v>333</v>
      </c>
      <c r="E3520" s="14" t="s">
        <v>1231</v>
      </c>
      <c r="F3520" s="14">
        <v>12</v>
      </c>
      <c r="G3520" s="14">
        <v>60</v>
      </c>
      <c r="H3520" s="14" t="s">
        <v>1400</v>
      </c>
      <c r="I3520" s="14" t="s">
        <v>75</v>
      </c>
      <c r="J3520" s="14" t="s">
        <v>201</v>
      </c>
      <c r="K3520" s="14">
        <v>1</v>
      </c>
      <c r="L3520" s="14" t="s">
        <v>1400</v>
      </c>
      <c r="N3520" s="14">
        <v>0</v>
      </c>
      <c r="O3520" s="14" t="b">
        <v>1</v>
      </c>
      <c r="Q3520" s="14" t="b">
        <v>0</v>
      </c>
      <c r="R3520" s="14">
        <v>1</v>
      </c>
      <c r="S3520" s="14" t="s">
        <v>77</v>
      </c>
      <c r="T3520" s="14">
        <v>999</v>
      </c>
      <c r="U3520" s="14" t="s">
        <v>1401</v>
      </c>
      <c r="V3520" s="14">
        <v>31958012</v>
      </c>
      <c r="X3520" s="14" t="s">
        <v>6724</v>
      </c>
      <c r="Y3520" s="14" t="s">
        <v>215</v>
      </c>
      <c r="Z3520" s="14">
        <v>22283</v>
      </c>
      <c r="AA3520" s="14" t="s">
        <v>6725</v>
      </c>
      <c r="AB3520" s="14">
        <v>40001</v>
      </c>
      <c r="AE3520" s="14" t="s">
        <v>1400</v>
      </c>
      <c r="AF3520" s="14" t="s">
        <v>1400</v>
      </c>
      <c r="AG3520" s="14" t="s">
        <v>1231</v>
      </c>
    </row>
    <row r="3521" spans="2:33">
      <c r="B3521" s="14">
        <f>10000000+INDEX(编号表!$B:$B,MATCH(H3521,编号表!$A:$A,0))*100000+INDEX(编号表!$F:$F,MATCH(D3521,编号表!$E:$E,0))*10000+INDEX(编号表!$D:$D,MATCH(AG3521,编号表!$C:$C,0))*1000+F3521</f>
        <v>11938011</v>
      </c>
      <c r="C3521" s="14" t="s">
        <v>6726</v>
      </c>
      <c r="D3521" s="14" t="s">
        <v>276</v>
      </c>
      <c r="E3521" s="14" t="s">
        <v>1231</v>
      </c>
      <c r="F3521" s="14">
        <v>11</v>
      </c>
      <c r="G3521" s="14">
        <v>60</v>
      </c>
      <c r="H3521" s="14" t="s">
        <v>1400</v>
      </c>
      <c r="I3521" s="14" t="s">
        <v>75</v>
      </c>
      <c r="J3521" s="14" t="s">
        <v>201</v>
      </c>
      <c r="K3521" s="14">
        <v>1</v>
      </c>
      <c r="L3521" s="14" t="s">
        <v>1400</v>
      </c>
      <c r="N3521" s="14">
        <v>0</v>
      </c>
      <c r="O3521" s="14" t="b">
        <v>1</v>
      </c>
      <c r="Q3521" s="14" t="b">
        <v>0</v>
      </c>
      <c r="R3521" s="14">
        <v>1</v>
      </c>
      <c r="S3521" s="14" t="s">
        <v>77</v>
      </c>
      <c r="T3521" s="14">
        <v>999</v>
      </c>
      <c r="U3521" s="14" t="s">
        <v>1401</v>
      </c>
      <c r="V3521" s="14">
        <v>31938011</v>
      </c>
      <c r="X3521" s="14" t="s">
        <v>6727</v>
      </c>
      <c r="Y3521" s="14" t="s">
        <v>215</v>
      </c>
      <c r="Z3521" s="14">
        <v>22284</v>
      </c>
      <c r="AA3521" s="14" t="s">
        <v>6728</v>
      </c>
      <c r="AB3521" s="14">
        <v>40001</v>
      </c>
      <c r="AE3521" s="14" t="s">
        <v>1400</v>
      </c>
      <c r="AF3521" s="14" t="s">
        <v>1400</v>
      </c>
      <c r="AG3521" s="14" t="s">
        <v>1231</v>
      </c>
    </row>
    <row r="3522" spans="2:33">
      <c r="B3522" s="14">
        <f>10000000+INDEX(编号表!$B:$B,MATCH(H3522,编号表!$A:$A,0))*100000+INDEX(编号表!$F:$F,MATCH(D3522,编号表!$E:$E,0))*10000+INDEX(编号表!$D:$D,MATCH(AG3522,编号表!$C:$C,0))*1000+F3522</f>
        <v>11948012</v>
      </c>
      <c r="C3522" s="14" t="s">
        <v>6726</v>
      </c>
      <c r="D3522" s="14" t="s">
        <v>104</v>
      </c>
      <c r="E3522" s="14" t="s">
        <v>1231</v>
      </c>
      <c r="F3522" s="14">
        <v>12</v>
      </c>
      <c r="G3522" s="14">
        <v>60</v>
      </c>
      <c r="H3522" s="14" t="s">
        <v>1400</v>
      </c>
      <c r="I3522" s="14" t="s">
        <v>75</v>
      </c>
      <c r="J3522" s="14" t="s">
        <v>201</v>
      </c>
      <c r="K3522" s="14">
        <v>1</v>
      </c>
      <c r="L3522" s="14" t="s">
        <v>1400</v>
      </c>
      <c r="N3522" s="14">
        <v>0</v>
      </c>
      <c r="O3522" s="14" t="b">
        <v>1</v>
      </c>
      <c r="Q3522" s="14" t="b">
        <v>0</v>
      </c>
      <c r="R3522" s="14">
        <v>1</v>
      </c>
      <c r="S3522" s="14" t="s">
        <v>77</v>
      </c>
      <c r="T3522" s="14">
        <v>999</v>
      </c>
      <c r="U3522" s="14" t="s">
        <v>1401</v>
      </c>
      <c r="V3522" s="14">
        <v>31948012</v>
      </c>
      <c r="X3522" s="14" t="s">
        <v>6729</v>
      </c>
      <c r="Y3522" s="14" t="s">
        <v>215</v>
      </c>
      <c r="Z3522" s="14">
        <v>22285</v>
      </c>
      <c r="AA3522" s="14" t="s">
        <v>6730</v>
      </c>
      <c r="AB3522" s="14">
        <v>40001</v>
      </c>
      <c r="AE3522" s="14" t="s">
        <v>1400</v>
      </c>
      <c r="AF3522" s="14" t="s">
        <v>1400</v>
      </c>
      <c r="AG3522" s="14" t="s">
        <v>1231</v>
      </c>
    </row>
    <row r="3523" spans="2:33">
      <c r="B3523" s="14">
        <f>10000000+INDEX(编号表!$B:$B,MATCH(H3523,编号表!$A:$A,0))*100000+INDEX(编号表!$F:$F,MATCH(D3523,编号表!$E:$E,0))*10000+INDEX(编号表!$D:$D,MATCH(AG3523,编号表!$C:$C,0))*1000+F3523</f>
        <v>11958013</v>
      </c>
      <c r="C3523" s="14" t="s">
        <v>6726</v>
      </c>
      <c r="D3523" s="14" t="s">
        <v>333</v>
      </c>
      <c r="E3523" s="14" t="s">
        <v>1231</v>
      </c>
      <c r="F3523" s="14">
        <v>13</v>
      </c>
      <c r="G3523" s="14">
        <v>60</v>
      </c>
      <c r="H3523" s="14" t="s">
        <v>1400</v>
      </c>
      <c r="I3523" s="14" t="s">
        <v>75</v>
      </c>
      <c r="J3523" s="14" t="s">
        <v>201</v>
      </c>
      <c r="K3523" s="14">
        <v>1</v>
      </c>
      <c r="L3523" s="14" t="s">
        <v>1400</v>
      </c>
      <c r="N3523" s="14">
        <v>0</v>
      </c>
      <c r="O3523" s="14" t="b">
        <v>1</v>
      </c>
      <c r="Q3523" s="14" t="b">
        <v>0</v>
      </c>
      <c r="R3523" s="14">
        <v>1</v>
      </c>
      <c r="S3523" s="14" t="s">
        <v>77</v>
      </c>
      <c r="T3523" s="14">
        <v>999</v>
      </c>
      <c r="U3523" s="14" t="s">
        <v>1401</v>
      </c>
      <c r="V3523" s="14">
        <v>31958013</v>
      </c>
      <c r="X3523" s="14" t="s">
        <v>6731</v>
      </c>
      <c r="Y3523" s="14" t="s">
        <v>215</v>
      </c>
      <c r="Z3523" s="14">
        <v>22286</v>
      </c>
      <c r="AA3523" s="14" t="s">
        <v>6732</v>
      </c>
      <c r="AB3523" s="14">
        <v>40001</v>
      </c>
      <c r="AE3523" s="14" t="s">
        <v>1400</v>
      </c>
      <c r="AF3523" s="14" t="s">
        <v>1400</v>
      </c>
      <c r="AG3523" s="14" t="s">
        <v>1231</v>
      </c>
    </row>
    <row r="3524" spans="2:33">
      <c r="B3524" s="14">
        <f>10000000+INDEX(编号表!$B:$B,MATCH(H3524,编号表!$A:$A,0))*100000+INDEX(编号表!$F:$F,MATCH(D3524,编号表!$E:$E,0))*10000+INDEX(编号表!$D:$D,MATCH(AG3524,编号表!$C:$C,0))*1000+F3524</f>
        <v>11938012</v>
      </c>
      <c r="C3524" s="14" t="s">
        <v>6733</v>
      </c>
      <c r="D3524" s="14" t="s">
        <v>276</v>
      </c>
      <c r="E3524" s="14" t="s">
        <v>1231</v>
      </c>
      <c r="F3524" s="14">
        <v>12</v>
      </c>
      <c r="G3524" s="14">
        <v>60</v>
      </c>
      <c r="H3524" s="14" t="s">
        <v>1400</v>
      </c>
      <c r="I3524" s="14" t="s">
        <v>75</v>
      </c>
      <c r="J3524" s="14" t="s">
        <v>201</v>
      </c>
      <c r="K3524" s="14">
        <v>1</v>
      </c>
      <c r="L3524" s="14" t="s">
        <v>1400</v>
      </c>
      <c r="N3524" s="14">
        <v>0</v>
      </c>
      <c r="O3524" s="14" t="b">
        <v>1</v>
      </c>
      <c r="Q3524" s="14" t="b">
        <v>0</v>
      </c>
      <c r="R3524" s="14">
        <v>1</v>
      </c>
      <c r="S3524" s="14" t="s">
        <v>77</v>
      </c>
      <c r="T3524" s="14">
        <v>999</v>
      </c>
      <c r="U3524" s="14" t="s">
        <v>1401</v>
      </c>
      <c r="V3524" s="14">
        <v>31938012</v>
      </c>
      <c r="X3524" s="14" t="s">
        <v>6734</v>
      </c>
      <c r="Y3524" s="14" t="s">
        <v>215</v>
      </c>
      <c r="Z3524" s="14">
        <v>22287</v>
      </c>
      <c r="AA3524" s="14" t="s">
        <v>6735</v>
      </c>
      <c r="AB3524" s="14">
        <v>40001</v>
      </c>
      <c r="AE3524" s="14" t="s">
        <v>1400</v>
      </c>
      <c r="AF3524" s="14" t="s">
        <v>1400</v>
      </c>
      <c r="AG3524" s="14" t="s">
        <v>1231</v>
      </c>
    </row>
    <row r="3525" spans="2:33">
      <c r="B3525" s="14">
        <f>10000000+INDEX(编号表!$B:$B,MATCH(H3525,编号表!$A:$A,0))*100000+INDEX(编号表!$F:$F,MATCH(D3525,编号表!$E:$E,0))*10000+INDEX(编号表!$D:$D,MATCH(AG3525,编号表!$C:$C,0))*1000+F3525</f>
        <v>11948013</v>
      </c>
      <c r="C3525" s="14" t="s">
        <v>6733</v>
      </c>
      <c r="D3525" s="14" t="s">
        <v>104</v>
      </c>
      <c r="E3525" s="14" t="s">
        <v>1231</v>
      </c>
      <c r="F3525" s="14">
        <v>13</v>
      </c>
      <c r="G3525" s="14">
        <v>60</v>
      </c>
      <c r="H3525" s="14" t="s">
        <v>1400</v>
      </c>
      <c r="I3525" s="14" t="s">
        <v>75</v>
      </c>
      <c r="J3525" s="14" t="s">
        <v>201</v>
      </c>
      <c r="K3525" s="14">
        <v>1</v>
      </c>
      <c r="L3525" s="14" t="s">
        <v>1400</v>
      </c>
      <c r="N3525" s="14">
        <v>0</v>
      </c>
      <c r="O3525" s="14" t="b">
        <v>1</v>
      </c>
      <c r="Q3525" s="14" t="b">
        <v>0</v>
      </c>
      <c r="R3525" s="14">
        <v>1</v>
      </c>
      <c r="S3525" s="14" t="s">
        <v>77</v>
      </c>
      <c r="T3525" s="14">
        <v>999</v>
      </c>
      <c r="U3525" s="14" t="s">
        <v>1401</v>
      </c>
      <c r="V3525" s="14">
        <v>31948013</v>
      </c>
      <c r="X3525" s="14" t="s">
        <v>6736</v>
      </c>
      <c r="Y3525" s="14" t="s">
        <v>215</v>
      </c>
      <c r="Z3525" s="14">
        <v>22288</v>
      </c>
      <c r="AA3525" s="14" t="s">
        <v>6737</v>
      </c>
      <c r="AB3525" s="14">
        <v>40001</v>
      </c>
      <c r="AE3525" s="14" t="s">
        <v>1400</v>
      </c>
      <c r="AF3525" s="14" t="s">
        <v>1400</v>
      </c>
      <c r="AG3525" s="14" t="s">
        <v>1231</v>
      </c>
    </row>
    <row r="3526" spans="2:33">
      <c r="B3526" s="14">
        <f>10000000+INDEX(编号表!$B:$B,MATCH(H3526,编号表!$A:$A,0))*100000+INDEX(编号表!$F:$F,MATCH(D3526,编号表!$E:$E,0))*10000+INDEX(编号表!$D:$D,MATCH(AG3526,编号表!$C:$C,0))*1000+F3526</f>
        <v>11958014</v>
      </c>
      <c r="C3526" s="14" t="s">
        <v>6733</v>
      </c>
      <c r="D3526" s="14" t="s">
        <v>333</v>
      </c>
      <c r="E3526" s="14" t="s">
        <v>1231</v>
      </c>
      <c r="F3526" s="14">
        <v>14</v>
      </c>
      <c r="G3526" s="14">
        <v>60</v>
      </c>
      <c r="H3526" s="14" t="s">
        <v>1400</v>
      </c>
      <c r="I3526" s="14" t="s">
        <v>75</v>
      </c>
      <c r="J3526" s="14" t="s">
        <v>201</v>
      </c>
      <c r="K3526" s="14">
        <v>1</v>
      </c>
      <c r="L3526" s="14" t="s">
        <v>1400</v>
      </c>
      <c r="N3526" s="14">
        <v>0</v>
      </c>
      <c r="O3526" s="14" t="b">
        <v>1</v>
      </c>
      <c r="Q3526" s="14" t="b">
        <v>0</v>
      </c>
      <c r="R3526" s="14">
        <v>1</v>
      </c>
      <c r="S3526" s="14" t="s">
        <v>77</v>
      </c>
      <c r="T3526" s="14">
        <v>999</v>
      </c>
      <c r="U3526" s="14" t="s">
        <v>1401</v>
      </c>
      <c r="V3526" s="14">
        <v>31958014</v>
      </c>
      <c r="X3526" s="14" t="s">
        <v>6738</v>
      </c>
      <c r="Y3526" s="14" t="s">
        <v>215</v>
      </c>
      <c r="Z3526" s="14">
        <v>22289</v>
      </c>
      <c r="AA3526" s="14" t="s">
        <v>6739</v>
      </c>
      <c r="AB3526" s="14">
        <v>40001</v>
      </c>
      <c r="AE3526" s="14" t="s">
        <v>1400</v>
      </c>
      <c r="AF3526" s="14" t="s">
        <v>1400</v>
      </c>
      <c r="AG3526" s="14" t="s">
        <v>1231</v>
      </c>
    </row>
    <row r="3527" spans="2:33">
      <c r="B3527" s="14">
        <f>10000000+INDEX(编号表!$B:$B,MATCH(H3527,编号表!$A:$A,0))*100000+INDEX(编号表!$F:$F,MATCH(D3527,编号表!$E:$E,0))*10000+INDEX(编号表!$D:$D,MATCH(AG3527,编号表!$C:$C,0))*1000+F3527</f>
        <v>11938013</v>
      </c>
      <c r="C3527" s="14" t="s">
        <v>6740</v>
      </c>
      <c r="D3527" s="14" t="s">
        <v>276</v>
      </c>
      <c r="E3527" s="14" t="s">
        <v>1231</v>
      </c>
      <c r="F3527" s="14">
        <v>13</v>
      </c>
      <c r="G3527" s="14">
        <v>60</v>
      </c>
      <c r="H3527" s="14" t="s">
        <v>1400</v>
      </c>
      <c r="I3527" s="14" t="s">
        <v>75</v>
      </c>
      <c r="J3527" s="14" t="s">
        <v>201</v>
      </c>
      <c r="K3527" s="14">
        <v>1</v>
      </c>
      <c r="L3527" s="14" t="s">
        <v>1400</v>
      </c>
      <c r="N3527" s="14">
        <v>0</v>
      </c>
      <c r="O3527" s="14" t="b">
        <v>1</v>
      </c>
      <c r="Q3527" s="14" t="b">
        <v>0</v>
      </c>
      <c r="R3527" s="14">
        <v>1</v>
      </c>
      <c r="S3527" s="14" t="s">
        <v>77</v>
      </c>
      <c r="T3527" s="14">
        <v>999</v>
      </c>
      <c r="U3527" s="14" t="s">
        <v>1401</v>
      </c>
      <c r="V3527" s="14">
        <v>31938013</v>
      </c>
      <c r="X3527" s="14" t="s">
        <v>6741</v>
      </c>
      <c r="Y3527" s="14" t="s">
        <v>215</v>
      </c>
      <c r="Z3527" s="14">
        <v>22290</v>
      </c>
      <c r="AA3527" s="14" t="s">
        <v>6742</v>
      </c>
      <c r="AB3527" s="14">
        <v>40001</v>
      </c>
      <c r="AE3527" s="14" t="s">
        <v>1400</v>
      </c>
      <c r="AF3527" s="14" t="s">
        <v>1400</v>
      </c>
      <c r="AG3527" s="14" t="s">
        <v>1231</v>
      </c>
    </row>
    <row r="3528" spans="2:33">
      <c r="B3528" s="14">
        <f>10000000+INDEX(编号表!$B:$B,MATCH(H3528,编号表!$A:$A,0))*100000+INDEX(编号表!$F:$F,MATCH(D3528,编号表!$E:$E,0))*10000+INDEX(编号表!$D:$D,MATCH(AG3528,编号表!$C:$C,0))*1000+F3528</f>
        <v>11948014</v>
      </c>
      <c r="C3528" s="14" t="s">
        <v>6740</v>
      </c>
      <c r="D3528" s="14" t="s">
        <v>104</v>
      </c>
      <c r="E3528" s="14" t="s">
        <v>1231</v>
      </c>
      <c r="F3528" s="14">
        <v>14</v>
      </c>
      <c r="G3528" s="14">
        <v>60</v>
      </c>
      <c r="H3528" s="14" t="s">
        <v>1400</v>
      </c>
      <c r="I3528" s="14" t="s">
        <v>75</v>
      </c>
      <c r="J3528" s="14" t="s">
        <v>201</v>
      </c>
      <c r="K3528" s="14">
        <v>1</v>
      </c>
      <c r="L3528" s="14" t="s">
        <v>1400</v>
      </c>
      <c r="N3528" s="14">
        <v>0</v>
      </c>
      <c r="O3528" s="14" t="b">
        <v>1</v>
      </c>
      <c r="Q3528" s="14" t="b">
        <v>0</v>
      </c>
      <c r="R3528" s="14">
        <v>1</v>
      </c>
      <c r="S3528" s="14" t="s">
        <v>77</v>
      </c>
      <c r="T3528" s="14">
        <v>999</v>
      </c>
      <c r="U3528" s="14" t="s">
        <v>1401</v>
      </c>
      <c r="V3528" s="14">
        <v>31948014</v>
      </c>
      <c r="X3528" s="14" t="s">
        <v>6743</v>
      </c>
      <c r="Y3528" s="14" t="s">
        <v>215</v>
      </c>
      <c r="Z3528" s="14">
        <v>22291</v>
      </c>
      <c r="AA3528" s="14" t="s">
        <v>6744</v>
      </c>
      <c r="AB3528" s="14">
        <v>40001</v>
      </c>
      <c r="AE3528" s="14" t="s">
        <v>1400</v>
      </c>
      <c r="AF3528" s="14" t="s">
        <v>1400</v>
      </c>
      <c r="AG3528" s="14" t="s">
        <v>1231</v>
      </c>
    </row>
    <row r="3529" spans="2:33">
      <c r="B3529" s="14">
        <f>10000000+INDEX(编号表!$B:$B,MATCH(H3529,编号表!$A:$A,0))*100000+INDEX(编号表!$F:$F,MATCH(D3529,编号表!$E:$E,0))*10000+INDEX(编号表!$D:$D,MATCH(AG3529,编号表!$C:$C,0))*1000+F3529</f>
        <v>11958015</v>
      </c>
      <c r="C3529" s="14" t="s">
        <v>6740</v>
      </c>
      <c r="D3529" s="14" t="s">
        <v>333</v>
      </c>
      <c r="E3529" s="14" t="s">
        <v>1231</v>
      </c>
      <c r="F3529" s="14">
        <v>15</v>
      </c>
      <c r="G3529" s="14">
        <v>60</v>
      </c>
      <c r="H3529" s="14" t="s">
        <v>1400</v>
      </c>
      <c r="I3529" s="14" t="s">
        <v>75</v>
      </c>
      <c r="J3529" s="14" t="s">
        <v>201</v>
      </c>
      <c r="K3529" s="14">
        <v>1</v>
      </c>
      <c r="L3529" s="14" t="s">
        <v>1400</v>
      </c>
      <c r="N3529" s="14">
        <v>0</v>
      </c>
      <c r="O3529" s="14" t="b">
        <v>1</v>
      </c>
      <c r="Q3529" s="14" t="b">
        <v>0</v>
      </c>
      <c r="R3529" s="14">
        <v>1</v>
      </c>
      <c r="S3529" s="14" t="s">
        <v>77</v>
      </c>
      <c r="T3529" s="14">
        <v>999</v>
      </c>
      <c r="U3529" s="14" t="s">
        <v>1401</v>
      </c>
      <c r="V3529" s="14">
        <v>31958015</v>
      </c>
      <c r="X3529" s="14" t="s">
        <v>6745</v>
      </c>
      <c r="Y3529" s="14" t="s">
        <v>215</v>
      </c>
      <c r="Z3529" s="14">
        <v>22292</v>
      </c>
      <c r="AA3529" s="14" t="s">
        <v>6746</v>
      </c>
      <c r="AB3529" s="14">
        <v>40001</v>
      </c>
      <c r="AE3529" s="14" t="s">
        <v>1400</v>
      </c>
      <c r="AF3529" s="14" t="s">
        <v>1400</v>
      </c>
      <c r="AG3529" s="14" t="s">
        <v>1231</v>
      </c>
    </row>
    <row r="3530" spans="2:33">
      <c r="B3530" s="14">
        <f>10000000+INDEX(编号表!$B:$B,MATCH(H3530,编号表!$A:$A,0))*100000+INDEX(编号表!$F:$F,MATCH(D3530,编号表!$E:$E,0))*10000+INDEX(编号表!$D:$D,MATCH(AG3530,编号表!$C:$C,0))*1000+F3530</f>
        <v>11938014</v>
      </c>
      <c r="C3530" s="14" t="s">
        <v>6747</v>
      </c>
      <c r="D3530" s="14" t="s">
        <v>276</v>
      </c>
      <c r="E3530" s="14" t="s">
        <v>1231</v>
      </c>
      <c r="F3530" s="14">
        <v>14</v>
      </c>
      <c r="G3530" s="14">
        <v>60</v>
      </c>
      <c r="H3530" s="14" t="s">
        <v>1400</v>
      </c>
      <c r="I3530" s="14" t="s">
        <v>75</v>
      </c>
      <c r="J3530" s="14" t="s">
        <v>201</v>
      </c>
      <c r="K3530" s="14">
        <v>1</v>
      </c>
      <c r="L3530" s="14" t="s">
        <v>1400</v>
      </c>
      <c r="N3530" s="14">
        <v>0</v>
      </c>
      <c r="O3530" s="14" t="b">
        <v>1</v>
      </c>
      <c r="Q3530" s="14" t="b">
        <v>0</v>
      </c>
      <c r="R3530" s="14">
        <v>1</v>
      </c>
      <c r="S3530" s="14" t="s">
        <v>77</v>
      </c>
      <c r="T3530" s="14">
        <v>999</v>
      </c>
      <c r="U3530" s="14" t="s">
        <v>1401</v>
      </c>
      <c r="V3530" s="14">
        <v>31938014</v>
      </c>
      <c r="X3530" s="14" t="s">
        <v>6748</v>
      </c>
      <c r="Y3530" s="14" t="s">
        <v>215</v>
      </c>
      <c r="Z3530" s="14">
        <v>22293</v>
      </c>
      <c r="AA3530" s="14" t="s">
        <v>6749</v>
      </c>
      <c r="AB3530" s="14">
        <v>40001</v>
      </c>
      <c r="AE3530" s="14" t="s">
        <v>1400</v>
      </c>
      <c r="AF3530" s="14" t="s">
        <v>1400</v>
      </c>
      <c r="AG3530" s="14" t="s">
        <v>1231</v>
      </c>
    </row>
    <row r="3531" spans="2:33">
      <c r="B3531" s="14">
        <f>10000000+INDEX(编号表!$B:$B,MATCH(H3531,编号表!$A:$A,0))*100000+INDEX(编号表!$F:$F,MATCH(D3531,编号表!$E:$E,0))*10000+INDEX(编号表!$D:$D,MATCH(AG3531,编号表!$C:$C,0))*1000+F3531</f>
        <v>11948015</v>
      </c>
      <c r="C3531" s="14" t="s">
        <v>6747</v>
      </c>
      <c r="D3531" s="14" t="s">
        <v>104</v>
      </c>
      <c r="E3531" s="14" t="s">
        <v>1231</v>
      </c>
      <c r="F3531" s="14">
        <v>15</v>
      </c>
      <c r="G3531" s="14">
        <v>60</v>
      </c>
      <c r="H3531" s="14" t="s">
        <v>1400</v>
      </c>
      <c r="I3531" s="14" t="s">
        <v>75</v>
      </c>
      <c r="J3531" s="14" t="s">
        <v>201</v>
      </c>
      <c r="K3531" s="14">
        <v>1</v>
      </c>
      <c r="L3531" s="14" t="s">
        <v>1400</v>
      </c>
      <c r="N3531" s="14">
        <v>0</v>
      </c>
      <c r="O3531" s="14" t="b">
        <v>1</v>
      </c>
      <c r="Q3531" s="14" t="b">
        <v>0</v>
      </c>
      <c r="R3531" s="14">
        <v>1</v>
      </c>
      <c r="S3531" s="14" t="s">
        <v>77</v>
      </c>
      <c r="T3531" s="14">
        <v>999</v>
      </c>
      <c r="U3531" s="14" t="s">
        <v>1401</v>
      </c>
      <c r="V3531" s="14">
        <v>31948015</v>
      </c>
      <c r="X3531" s="14" t="s">
        <v>6750</v>
      </c>
      <c r="Y3531" s="14" t="s">
        <v>215</v>
      </c>
      <c r="Z3531" s="14">
        <v>22294</v>
      </c>
      <c r="AA3531" s="14" t="s">
        <v>6751</v>
      </c>
      <c r="AB3531" s="14">
        <v>40001</v>
      </c>
      <c r="AE3531" s="14" t="s">
        <v>1400</v>
      </c>
      <c r="AF3531" s="14" t="s">
        <v>1400</v>
      </c>
      <c r="AG3531" s="14" t="s">
        <v>1231</v>
      </c>
    </row>
    <row r="3532" spans="2:33">
      <c r="B3532" s="14">
        <f>10000000+INDEX(编号表!$B:$B,MATCH(H3532,编号表!$A:$A,0))*100000+INDEX(编号表!$F:$F,MATCH(D3532,编号表!$E:$E,0))*10000+INDEX(编号表!$D:$D,MATCH(AG3532,编号表!$C:$C,0))*1000+F3532</f>
        <v>11958016</v>
      </c>
      <c r="C3532" s="14" t="s">
        <v>6747</v>
      </c>
      <c r="D3532" s="14" t="s">
        <v>333</v>
      </c>
      <c r="E3532" s="14" t="s">
        <v>1231</v>
      </c>
      <c r="F3532" s="14">
        <v>16</v>
      </c>
      <c r="G3532" s="14">
        <v>60</v>
      </c>
      <c r="H3532" s="14" t="s">
        <v>1400</v>
      </c>
      <c r="I3532" s="14" t="s">
        <v>75</v>
      </c>
      <c r="J3532" s="14" t="s">
        <v>201</v>
      </c>
      <c r="K3532" s="14">
        <v>1</v>
      </c>
      <c r="L3532" s="14" t="s">
        <v>1400</v>
      </c>
      <c r="N3532" s="14">
        <v>0</v>
      </c>
      <c r="O3532" s="14" t="b">
        <v>1</v>
      </c>
      <c r="Q3532" s="14" t="b">
        <v>0</v>
      </c>
      <c r="R3532" s="14">
        <v>1</v>
      </c>
      <c r="S3532" s="14" t="s">
        <v>77</v>
      </c>
      <c r="T3532" s="14">
        <v>999</v>
      </c>
      <c r="U3532" s="14" t="s">
        <v>1401</v>
      </c>
      <c r="V3532" s="14">
        <v>31958016</v>
      </c>
      <c r="X3532" s="14" t="s">
        <v>6752</v>
      </c>
      <c r="Y3532" s="14" t="s">
        <v>215</v>
      </c>
      <c r="Z3532" s="14">
        <v>22295</v>
      </c>
      <c r="AA3532" s="14" t="s">
        <v>6753</v>
      </c>
      <c r="AB3532" s="14">
        <v>40001</v>
      </c>
      <c r="AE3532" s="14" t="s">
        <v>1400</v>
      </c>
      <c r="AF3532" s="14" t="s">
        <v>1400</v>
      </c>
      <c r="AG3532" s="14" t="s">
        <v>1231</v>
      </c>
    </row>
    <row r="3533" spans="2:33">
      <c r="B3533" s="14">
        <f>10000000+INDEX(编号表!$B:$B,MATCH(H3533,编号表!$A:$A,0))*100000+INDEX(编号表!$F:$F,MATCH(D3533,编号表!$E:$E,0))*10000+INDEX(编号表!$D:$D,MATCH(AG3533,编号表!$C:$C,0))*1000+F3533</f>
        <v>11938015</v>
      </c>
      <c r="C3533" s="14" t="s">
        <v>6754</v>
      </c>
      <c r="D3533" s="14" t="s">
        <v>276</v>
      </c>
      <c r="E3533" s="14" t="s">
        <v>1231</v>
      </c>
      <c r="F3533" s="14">
        <v>15</v>
      </c>
      <c r="G3533" s="14">
        <v>60</v>
      </c>
      <c r="H3533" s="14" t="s">
        <v>1400</v>
      </c>
      <c r="I3533" s="14" t="s">
        <v>75</v>
      </c>
      <c r="J3533" s="14" t="s">
        <v>201</v>
      </c>
      <c r="K3533" s="14">
        <v>1</v>
      </c>
      <c r="L3533" s="14" t="s">
        <v>1400</v>
      </c>
      <c r="N3533" s="14">
        <v>0</v>
      </c>
      <c r="O3533" s="14" t="b">
        <v>1</v>
      </c>
      <c r="Q3533" s="14" t="b">
        <v>0</v>
      </c>
      <c r="R3533" s="14">
        <v>1</v>
      </c>
      <c r="S3533" s="14" t="s">
        <v>77</v>
      </c>
      <c r="T3533" s="14">
        <v>999</v>
      </c>
      <c r="U3533" s="14" t="s">
        <v>1401</v>
      </c>
      <c r="V3533" s="14">
        <v>31938015</v>
      </c>
      <c r="X3533" s="14" t="s">
        <v>6755</v>
      </c>
      <c r="Y3533" s="14" t="s">
        <v>215</v>
      </c>
      <c r="Z3533" s="14">
        <v>22296</v>
      </c>
      <c r="AA3533" s="14" t="s">
        <v>6756</v>
      </c>
      <c r="AB3533" s="14">
        <v>40001</v>
      </c>
      <c r="AE3533" s="14" t="s">
        <v>1400</v>
      </c>
      <c r="AF3533" s="14" t="s">
        <v>1400</v>
      </c>
      <c r="AG3533" s="14" t="s">
        <v>1231</v>
      </c>
    </row>
    <row r="3534" spans="2:33">
      <c r="B3534" s="14">
        <f>10000000+INDEX(编号表!$B:$B,MATCH(H3534,编号表!$A:$A,0))*100000+INDEX(编号表!$F:$F,MATCH(D3534,编号表!$E:$E,0))*10000+INDEX(编号表!$D:$D,MATCH(AG3534,编号表!$C:$C,0))*1000+F3534</f>
        <v>11948016</v>
      </c>
      <c r="C3534" s="14" t="s">
        <v>6754</v>
      </c>
      <c r="D3534" s="14" t="s">
        <v>104</v>
      </c>
      <c r="E3534" s="14" t="s">
        <v>1231</v>
      </c>
      <c r="F3534" s="14">
        <v>16</v>
      </c>
      <c r="G3534" s="14">
        <v>60</v>
      </c>
      <c r="H3534" s="14" t="s">
        <v>1400</v>
      </c>
      <c r="I3534" s="14" t="s">
        <v>75</v>
      </c>
      <c r="J3534" s="14" t="s">
        <v>201</v>
      </c>
      <c r="K3534" s="14">
        <v>1</v>
      </c>
      <c r="L3534" s="14" t="s">
        <v>1400</v>
      </c>
      <c r="N3534" s="14">
        <v>0</v>
      </c>
      <c r="O3534" s="14" t="b">
        <v>1</v>
      </c>
      <c r="Q3534" s="14" t="b">
        <v>0</v>
      </c>
      <c r="R3534" s="14">
        <v>1</v>
      </c>
      <c r="S3534" s="14" t="s">
        <v>77</v>
      </c>
      <c r="T3534" s="14">
        <v>999</v>
      </c>
      <c r="U3534" s="14" t="s">
        <v>1401</v>
      </c>
      <c r="V3534" s="14">
        <v>31948016</v>
      </c>
      <c r="X3534" s="14" t="s">
        <v>6757</v>
      </c>
      <c r="Y3534" s="14" t="s">
        <v>215</v>
      </c>
      <c r="Z3534" s="14">
        <v>22297</v>
      </c>
      <c r="AA3534" s="14" t="s">
        <v>6758</v>
      </c>
      <c r="AB3534" s="14">
        <v>40001</v>
      </c>
      <c r="AE3534" s="14" t="s">
        <v>1400</v>
      </c>
      <c r="AF3534" s="14" t="s">
        <v>1400</v>
      </c>
      <c r="AG3534" s="14" t="s">
        <v>1231</v>
      </c>
    </row>
    <row r="3535" spans="2:33">
      <c r="B3535" s="14">
        <f>10000000+INDEX(编号表!$B:$B,MATCH(H3535,编号表!$A:$A,0))*100000+INDEX(编号表!$F:$F,MATCH(D3535,编号表!$E:$E,0))*10000+INDEX(编号表!$D:$D,MATCH(AG3535,编号表!$C:$C,0))*1000+F3535</f>
        <v>11958017</v>
      </c>
      <c r="C3535" s="14" t="s">
        <v>6754</v>
      </c>
      <c r="D3535" s="14" t="s">
        <v>333</v>
      </c>
      <c r="E3535" s="14" t="s">
        <v>1231</v>
      </c>
      <c r="F3535" s="14">
        <v>17</v>
      </c>
      <c r="G3535" s="14">
        <v>60</v>
      </c>
      <c r="H3535" s="14" t="s">
        <v>1400</v>
      </c>
      <c r="I3535" s="14" t="s">
        <v>75</v>
      </c>
      <c r="J3535" s="14" t="s">
        <v>201</v>
      </c>
      <c r="K3535" s="14">
        <v>1</v>
      </c>
      <c r="L3535" s="14" t="s">
        <v>1400</v>
      </c>
      <c r="N3535" s="14">
        <v>0</v>
      </c>
      <c r="O3535" s="14" t="b">
        <v>1</v>
      </c>
      <c r="Q3535" s="14" t="b">
        <v>0</v>
      </c>
      <c r="R3535" s="14">
        <v>1</v>
      </c>
      <c r="S3535" s="14" t="s">
        <v>77</v>
      </c>
      <c r="T3535" s="14">
        <v>999</v>
      </c>
      <c r="U3535" s="14" t="s">
        <v>1401</v>
      </c>
      <c r="V3535" s="14">
        <v>31958017</v>
      </c>
      <c r="X3535" s="14" t="s">
        <v>6759</v>
      </c>
      <c r="Y3535" s="14" t="s">
        <v>215</v>
      </c>
      <c r="Z3535" s="14">
        <v>22298</v>
      </c>
      <c r="AA3535" s="14" t="s">
        <v>6760</v>
      </c>
      <c r="AB3535" s="14">
        <v>40001</v>
      </c>
      <c r="AE3535" s="14" t="s">
        <v>1400</v>
      </c>
      <c r="AF3535" s="14" t="s">
        <v>1400</v>
      </c>
      <c r="AG3535" s="14" t="s">
        <v>1231</v>
      </c>
    </row>
    <row r="3536" spans="2:33">
      <c r="B3536" s="14">
        <f>10000000+INDEX(编号表!$B:$B,MATCH(H3536,编号表!$A:$A,0))*100000+INDEX(编号表!$F:$F,MATCH(D3536,编号表!$E:$E,0))*10000+INDEX(编号表!$D:$D,MATCH(AG3536,编号表!$C:$C,0))*1000+F3536</f>
        <v>11938016</v>
      </c>
      <c r="C3536" s="14" t="s">
        <v>6761</v>
      </c>
      <c r="D3536" s="14" t="s">
        <v>276</v>
      </c>
      <c r="E3536" s="14" t="s">
        <v>1231</v>
      </c>
      <c r="F3536" s="14">
        <v>16</v>
      </c>
      <c r="G3536" s="14">
        <v>60</v>
      </c>
      <c r="H3536" s="14" t="s">
        <v>1400</v>
      </c>
      <c r="I3536" s="14" t="s">
        <v>75</v>
      </c>
      <c r="J3536" s="14" t="s">
        <v>201</v>
      </c>
      <c r="K3536" s="14">
        <v>1</v>
      </c>
      <c r="L3536" s="14" t="s">
        <v>1400</v>
      </c>
      <c r="N3536" s="14">
        <v>0</v>
      </c>
      <c r="O3536" s="14" t="b">
        <v>1</v>
      </c>
      <c r="Q3536" s="14" t="b">
        <v>0</v>
      </c>
      <c r="R3536" s="14">
        <v>1</v>
      </c>
      <c r="S3536" s="14" t="s">
        <v>77</v>
      </c>
      <c r="T3536" s="14">
        <v>999</v>
      </c>
      <c r="U3536" s="14" t="s">
        <v>1401</v>
      </c>
      <c r="V3536" s="14">
        <v>31938016</v>
      </c>
      <c r="X3536" s="14" t="s">
        <v>6762</v>
      </c>
      <c r="Y3536" s="14" t="s">
        <v>215</v>
      </c>
      <c r="Z3536" s="14">
        <v>22299</v>
      </c>
      <c r="AA3536" s="14" t="s">
        <v>6763</v>
      </c>
      <c r="AB3536" s="14">
        <v>40001</v>
      </c>
      <c r="AE3536" s="14" t="s">
        <v>1400</v>
      </c>
      <c r="AF3536" s="14" t="s">
        <v>1400</v>
      </c>
      <c r="AG3536" s="14" t="s">
        <v>1231</v>
      </c>
    </row>
    <row r="3537" spans="2:33">
      <c r="B3537" s="14">
        <f>10000000+INDEX(编号表!$B:$B,MATCH(H3537,编号表!$A:$A,0))*100000+INDEX(编号表!$F:$F,MATCH(D3537,编号表!$E:$E,0))*10000+INDEX(编号表!$D:$D,MATCH(AG3537,编号表!$C:$C,0))*1000+F3537</f>
        <v>11948017</v>
      </c>
      <c r="C3537" s="14" t="s">
        <v>6761</v>
      </c>
      <c r="D3537" s="14" t="s">
        <v>104</v>
      </c>
      <c r="E3537" s="14" t="s">
        <v>1231</v>
      </c>
      <c r="F3537" s="14">
        <v>17</v>
      </c>
      <c r="G3537" s="14">
        <v>60</v>
      </c>
      <c r="H3537" s="14" t="s">
        <v>1400</v>
      </c>
      <c r="I3537" s="14" t="s">
        <v>75</v>
      </c>
      <c r="J3537" s="14" t="s">
        <v>201</v>
      </c>
      <c r="K3537" s="14">
        <v>1</v>
      </c>
      <c r="L3537" s="14" t="s">
        <v>1400</v>
      </c>
      <c r="N3537" s="14">
        <v>0</v>
      </c>
      <c r="O3537" s="14" t="b">
        <v>1</v>
      </c>
      <c r="Q3537" s="14" t="b">
        <v>0</v>
      </c>
      <c r="R3537" s="14">
        <v>1</v>
      </c>
      <c r="S3537" s="14" t="s">
        <v>77</v>
      </c>
      <c r="T3537" s="14">
        <v>999</v>
      </c>
      <c r="U3537" s="14" t="s">
        <v>1401</v>
      </c>
      <c r="V3537" s="14">
        <v>31948017</v>
      </c>
      <c r="X3537" s="14" t="s">
        <v>6764</v>
      </c>
      <c r="Y3537" s="14" t="s">
        <v>215</v>
      </c>
      <c r="Z3537" s="14">
        <v>22300</v>
      </c>
      <c r="AA3537" s="14" t="s">
        <v>6765</v>
      </c>
      <c r="AB3537" s="14">
        <v>40001</v>
      </c>
      <c r="AE3537" s="14" t="s">
        <v>1400</v>
      </c>
      <c r="AF3537" s="14" t="s">
        <v>1400</v>
      </c>
      <c r="AG3537" s="14" t="s">
        <v>1231</v>
      </c>
    </row>
    <row r="3538" spans="2:33">
      <c r="B3538" s="14">
        <f>10000000+INDEX(编号表!$B:$B,MATCH(H3538,编号表!$A:$A,0))*100000+INDEX(编号表!$F:$F,MATCH(D3538,编号表!$E:$E,0))*10000+INDEX(编号表!$D:$D,MATCH(AG3538,编号表!$C:$C,0))*1000+F3538</f>
        <v>11958018</v>
      </c>
      <c r="C3538" s="14" t="s">
        <v>6761</v>
      </c>
      <c r="D3538" s="14" t="s">
        <v>333</v>
      </c>
      <c r="E3538" s="14" t="s">
        <v>1231</v>
      </c>
      <c r="F3538" s="14">
        <v>18</v>
      </c>
      <c r="G3538" s="14">
        <v>60</v>
      </c>
      <c r="H3538" s="14" t="s">
        <v>1400</v>
      </c>
      <c r="I3538" s="14" t="s">
        <v>75</v>
      </c>
      <c r="J3538" s="14" t="s">
        <v>201</v>
      </c>
      <c r="K3538" s="14">
        <v>1</v>
      </c>
      <c r="L3538" s="14" t="s">
        <v>1400</v>
      </c>
      <c r="N3538" s="14">
        <v>0</v>
      </c>
      <c r="O3538" s="14" t="b">
        <v>1</v>
      </c>
      <c r="Q3538" s="14" t="b">
        <v>0</v>
      </c>
      <c r="R3538" s="14">
        <v>1</v>
      </c>
      <c r="S3538" s="14" t="s">
        <v>77</v>
      </c>
      <c r="T3538" s="14">
        <v>999</v>
      </c>
      <c r="U3538" s="14" t="s">
        <v>1401</v>
      </c>
      <c r="V3538" s="14">
        <v>31958018</v>
      </c>
      <c r="X3538" s="14" t="s">
        <v>6766</v>
      </c>
      <c r="Y3538" s="14" t="s">
        <v>215</v>
      </c>
      <c r="Z3538" s="14">
        <v>22301</v>
      </c>
      <c r="AA3538" s="14" t="s">
        <v>6767</v>
      </c>
      <c r="AB3538" s="14">
        <v>40001</v>
      </c>
      <c r="AE3538" s="14" t="s">
        <v>1400</v>
      </c>
      <c r="AF3538" s="14" t="s">
        <v>1400</v>
      </c>
      <c r="AG3538" s="14" t="s">
        <v>1231</v>
      </c>
    </row>
    <row r="3539" spans="2:33">
      <c r="B3539" s="14">
        <f>10000000+INDEX(编号表!$B:$B,MATCH(H3539,编号表!$A:$A,0))*100000+INDEX(编号表!$F:$F,MATCH(D3539,编号表!$E:$E,0))*10000+INDEX(编号表!$D:$D,MATCH(AG3539,编号表!$C:$C,0))*1000+F3539</f>
        <v>11938017</v>
      </c>
      <c r="C3539" s="14" t="s">
        <v>6768</v>
      </c>
      <c r="D3539" s="14" t="s">
        <v>276</v>
      </c>
      <c r="E3539" s="14" t="s">
        <v>1231</v>
      </c>
      <c r="F3539" s="14">
        <v>17</v>
      </c>
      <c r="G3539" s="14">
        <v>60</v>
      </c>
      <c r="H3539" s="14" t="s">
        <v>1400</v>
      </c>
      <c r="I3539" s="14" t="s">
        <v>75</v>
      </c>
      <c r="J3539" s="14" t="s">
        <v>201</v>
      </c>
      <c r="K3539" s="14">
        <v>1</v>
      </c>
      <c r="L3539" s="14" t="s">
        <v>1400</v>
      </c>
      <c r="N3539" s="14">
        <v>0</v>
      </c>
      <c r="O3539" s="14" t="b">
        <v>1</v>
      </c>
      <c r="Q3539" s="14" t="b">
        <v>0</v>
      </c>
      <c r="R3539" s="14">
        <v>1</v>
      </c>
      <c r="S3539" s="14" t="s">
        <v>77</v>
      </c>
      <c r="T3539" s="14">
        <v>999</v>
      </c>
      <c r="U3539" s="14" t="s">
        <v>1401</v>
      </c>
      <c r="V3539" s="14">
        <v>31938017</v>
      </c>
      <c r="X3539" s="14" t="s">
        <v>6769</v>
      </c>
      <c r="Y3539" s="14" t="s">
        <v>215</v>
      </c>
      <c r="Z3539" s="14">
        <v>22302</v>
      </c>
      <c r="AA3539" s="14" t="s">
        <v>6770</v>
      </c>
      <c r="AB3539" s="14">
        <v>40001</v>
      </c>
      <c r="AE3539" s="14" t="s">
        <v>1400</v>
      </c>
      <c r="AF3539" s="14" t="s">
        <v>1400</v>
      </c>
      <c r="AG3539" s="14" t="s">
        <v>1231</v>
      </c>
    </row>
    <row r="3540" spans="2:33">
      <c r="B3540" s="14">
        <f>10000000+INDEX(编号表!$B:$B,MATCH(H3540,编号表!$A:$A,0))*100000+INDEX(编号表!$F:$F,MATCH(D3540,编号表!$E:$E,0))*10000+INDEX(编号表!$D:$D,MATCH(AG3540,编号表!$C:$C,0))*1000+F3540</f>
        <v>11948018</v>
      </c>
      <c r="C3540" s="14" t="s">
        <v>6768</v>
      </c>
      <c r="D3540" s="14" t="s">
        <v>104</v>
      </c>
      <c r="E3540" s="14" t="s">
        <v>1231</v>
      </c>
      <c r="F3540" s="14">
        <v>18</v>
      </c>
      <c r="G3540" s="14">
        <v>60</v>
      </c>
      <c r="H3540" s="14" t="s">
        <v>1400</v>
      </c>
      <c r="I3540" s="14" t="s">
        <v>75</v>
      </c>
      <c r="J3540" s="14" t="s">
        <v>201</v>
      </c>
      <c r="K3540" s="14">
        <v>1</v>
      </c>
      <c r="L3540" s="14" t="s">
        <v>1400</v>
      </c>
      <c r="N3540" s="14">
        <v>0</v>
      </c>
      <c r="O3540" s="14" t="b">
        <v>1</v>
      </c>
      <c r="Q3540" s="14" t="b">
        <v>0</v>
      </c>
      <c r="R3540" s="14">
        <v>1</v>
      </c>
      <c r="S3540" s="14" t="s">
        <v>77</v>
      </c>
      <c r="T3540" s="14">
        <v>999</v>
      </c>
      <c r="U3540" s="14" t="s">
        <v>1401</v>
      </c>
      <c r="V3540" s="14">
        <v>31948018</v>
      </c>
      <c r="X3540" s="14" t="s">
        <v>6771</v>
      </c>
      <c r="Y3540" s="14" t="s">
        <v>215</v>
      </c>
      <c r="Z3540" s="14">
        <v>22303</v>
      </c>
      <c r="AA3540" s="14" t="s">
        <v>6772</v>
      </c>
      <c r="AB3540" s="14">
        <v>40001</v>
      </c>
      <c r="AE3540" s="14" t="s">
        <v>1400</v>
      </c>
      <c r="AF3540" s="14" t="s">
        <v>1400</v>
      </c>
      <c r="AG3540" s="14" t="s">
        <v>1231</v>
      </c>
    </row>
    <row r="3541" spans="2:33">
      <c r="B3541" s="14">
        <f>10000000+INDEX(编号表!$B:$B,MATCH(H3541,编号表!$A:$A,0))*100000+INDEX(编号表!$F:$F,MATCH(D3541,编号表!$E:$E,0))*10000+INDEX(编号表!$D:$D,MATCH(AG3541,编号表!$C:$C,0))*1000+F3541</f>
        <v>11958019</v>
      </c>
      <c r="C3541" s="14" t="s">
        <v>6768</v>
      </c>
      <c r="D3541" s="14" t="s">
        <v>333</v>
      </c>
      <c r="E3541" s="14" t="s">
        <v>1231</v>
      </c>
      <c r="F3541" s="14">
        <v>19</v>
      </c>
      <c r="G3541" s="14">
        <v>60</v>
      </c>
      <c r="H3541" s="14" t="s">
        <v>1400</v>
      </c>
      <c r="I3541" s="14" t="s">
        <v>75</v>
      </c>
      <c r="J3541" s="14" t="s">
        <v>201</v>
      </c>
      <c r="K3541" s="14">
        <v>1</v>
      </c>
      <c r="L3541" s="14" t="s">
        <v>1400</v>
      </c>
      <c r="N3541" s="14">
        <v>0</v>
      </c>
      <c r="O3541" s="14" t="b">
        <v>1</v>
      </c>
      <c r="Q3541" s="14" t="b">
        <v>0</v>
      </c>
      <c r="R3541" s="14">
        <v>1</v>
      </c>
      <c r="S3541" s="14" t="s">
        <v>77</v>
      </c>
      <c r="T3541" s="14">
        <v>999</v>
      </c>
      <c r="U3541" s="14" t="s">
        <v>1401</v>
      </c>
      <c r="V3541" s="14">
        <v>31958019</v>
      </c>
      <c r="X3541" s="14" t="s">
        <v>6773</v>
      </c>
      <c r="Y3541" s="14" t="s">
        <v>215</v>
      </c>
      <c r="Z3541" s="14">
        <v>22304</v>
      </c>
      <c r="AA3541" s="14" t="s">
        <v>6774</v>
      </c>
      <c r="AB3541" s="14">
        <v>40001</v>
      </c>
      <c r="AE3541" s="14" t="s">
        <v>1400</v>
      </c>
      <c r="AF3541" s="14" t="s">
        <v>1400</v>
      </c>
      <c r="AG3541" s="14" t="s">
        <v>1231</v>
      </c>
    </row>
    <row r="3542" spans="2:33">
      <c r="B3542" s="14">
        <f>10000000+INDEX(编号表!$B:$B,MATCH(H3542,编号表!$A:$A,0))*100000+INDEX(编号表!$F:$F,MATCH(D3542,编号表!$E:$E,0))*10000+INDEX(编号表!$D:$D,MATCH(AG3542,编号表!$C:$C,0))*1000+F3542</f>
        <v>11938018</v>
      </c>
      <c r="C3542" s="14" t="s">
        <v>6775</v>
      </c>
      <c r="D3542" s="14" t="s">
        <v>276</v>
      </c>
      <c r="E3542" s="14" t="s">
        <v>1231</v>
      </c>
      <c r="F3542" s="14">
        <v>18</v>
      </c>
      <c r="G3542" s="14">
        <v>60</v>
      </c>
      <c r="H3542" s="14" t="s">
        <v>1400</v>
      </c>
      <c r="I3542" s="14" t="s">
        <v>75</v>
      </c>
      <c r="J3542" s="14" t="s">
        <v>201</v>
      </c>
      <c r="K3542" s="14">
        <v>1</v>
      </c>
      <c r="L3542" s="14" t="s">
        <v>1400</v>
      </c>
      <c r="N3542" s="14">
        <v>0</v>
      </c>
      <c r="O3542" s="14" t="b">
        <v>1</v>
      </c>
      <c r="Q3542" s="14" t="b">
        <v>0</v>
      </c>
      <c r="R3542" s="14">
        <v>1</v>
      </c>
      <c r="S3542" s="14" t="s">
        <v>77</v>
      </c>
      <c r="T3542" s="14">
        <v>999</v>
      </c>
      <c r="U3542" s="14" t="s">
        <v>1401</v>
      </c>
      <c r="V3542" s="14">
        <v>31938018</v>
      </c>
      <c r="X3542" s="14" t="s">
        <v>6776</v>
      </c>
      <c r="Y3542" s="14" t="s">
        <v>215</v>
      </c>
      <c r="Z3542" s="14">
        <v>22305</v>
      </c>
      <c r="AA3542" s="14" t="s">
        <v>6777</v>
      </c>
      <c r="AB3542" s="14">
        <v>40001</v>
      </c>
      <c r="AE3542" s="14" t="s">
        <v>1400</v>
      </c>
      <c r="AF3542" s="14" t="s">
        <v>1400</v>
      </c>
      <c r="AG3542" s="14" t="s">
        <v>1231</v>
      </c>
    </row>
    <row r="3543" spans="2:33">
      <c r="B3543" s="14">
        <f>10000000+INDEX(编号表!$B:$B,MATCH(H3543,编号表!$A:$A,0))*100000+INDEX(编号表!$F:$F,MATCH(D3543,编号表!$E:$E,0))*10000+INDEX(编号表!$D:$D,MATCH(AG3543,编号表!$C:$C,0))*1000+F3543</f>
        <v>11948019</v>
      </c>
      <c r="C3543" s="14" t="s">
        <v>6775</v>
      </c>
      <c r="D3543" s="14" t="s">
        <v>104</v>
      </c>
      <c r="E3543" s="14" t="s">
        <v>1231</v>
      </c>
      <c r="F3543" s="14">
        <v>19</v>
      </c>
      <c r="G3543" s="14">
        <v>60</v>
      </c>
      <c r="H3543" s="14" t="s">
        <v>1400</v>
      </c>
      <c r="I3543" s="14" t="s">
        <v>75</v>
      </c>
      <c r="J3543" s="14" t="s">
        <v>201</v>
      </c>
      <c r="K3543" s="14">
        <v>1</v>
      </c>
      <c r="L3543" s="14" t="s">
        <v>1400</v>
      </c>
      <c r="N3543" s="14">
        <v>0</v>
      </c>
      <c r="O3543" s="14" t="b">
        <v>1</v>
      </c>
      <c r="Q3543" s="14" t="b">
        <v>0</v>
      </c>
      <c r="R3543" s="14">
        <v>1</v>
      </c>
      <c r="S3543" s="14" t="s">
        <v>77</v>
      </c>
      <c r="T3543" s="14">
        <v>999</v>
      </c>
      <c r="U3543" s="14" t="s">
        <v>1401</v>
      </c>
      <c r="V3543" s="14">
        <v>31948019</v>
      </c>
      <c r="X3543" s="14" t="s">
        <v>6778</v>
      </c>
      <c r="Y3543" s="14" t="s">
        <v>215</v>
      </c>
      <c r="Z3543" s="14">
        <v>22306</v>
      </c>
      <c r="AA3543" s="14" t="s">
        <v>6779</v>
      </c>
      <c r="AB3543" s="14">
        <v>40001</v>
      </c>
      <c r="AE3543" s="14" t="s">
        <v>1400</v>
      </c>
      <c r="AF3543" s="14" t="s">
        <v>1400</v>
      </c>
      <c r="AG3543" s="14" t="s">
        <v>1231</v>
      </c>
    </row>
    <row r="3544" spans="2:33">
      <c r="B3544" s="14">
        <f>10000000+INDEX(编号表!$B:$B,MATCH(H3544,编号表!$A:$A,0))*100000+INDEX(编号表!$F:$F,MATCH(D3544,编号表!$E:$E,0))*10000+INDEX(编号表!$D:$D,MATCH(AG3544,编号表!$C:$C,0))*1000+F3544</f>
        <v>11958020</v>
      </c>
      <c r="C3544" s="14" t="s">
        <v>6775</v>
      </c>
      <c r="D3544" s="14" t="s">
        <v>333</v>
      </c>
      <c r="E3544" s="14" t="s">
        <v>1231</v>
      </c>
      <c r="F3544" s="14">
        <v>20</v>
      </c>
      <c r="G3544" s="14">
        <v>60</v>
      </c>
      <c r="H3544" s="14" t="s">
        <v>1400</v>
      </c>
      <c r="I3544" s="14" t="s">
        <v>75</v>
      </c>
      <c r="J3544" s="14" t="s">
        <v>201</v>
      </c>
      <c r="K3544" s="14">
        <v>1</v>
      </c>
      <c r="L3544" s="14" t="s">
        <v>1400</v>
      </c>
      <c r="N3544" s="14">
        <v>0</v>
      </c>
      <c r="O3544" s="14" t="b">
        <v>1</v>
      </c>
      <c r="Q3544" s="14" t="b">
        <v>0</v>
      </c>
      <c r="R3544" s="14">
        <v>1</v>
      </c>
      <c r="S3544" s="14" t="s">
        <v>77</v>
      </c>
      <c r="T3544" s="14">
        <v>999</v>
      </c>
      <c r="U3544" s="14" t="s">
        <v>1401</v>
      </c>
      <c r="V3544" s="14">
        <v>31958020</v>
      </c>
      <c r="X3544" s="14" t="s">
        <v>6780</v>
      </c>
      <c r="Y3544" s="14" t="s">
        <v>215</v>
      </c>
      <c r="Z3544" s="14">
        <v>22307</v>
      </c>
      <c r="AA3544" s="14" t="s">
        <v>6781</v>
      </c>
      <c r="AB3544" s="14">
        <v>40001</v>
      </c>
      <c r="AE3544" s="14" t="s">
        <v>1400</v>
      </c>
      <c r="AF3544" s="14" t="s">
        <v>1400</v>
      </c>
      <c r="AG3544" s="14" t="s">
        <v>1231</v>
      </c>
    </row>
    <row r="3545" spans="2:33">
      <c r="B3545" s="14">
        <f>10000000+INDEX(编号表!$B:$B,MATCH(H3545,编号表!$A:$A,0))*100000+INDEX(编号表!$F:$F,MATCH(D3545,编号表!$E:$E,0))*10000+INDEX(编号表!$D:$D,MATCH(AG3545,编号表!$C:$C,0))*1000+F3545</f>
        <v>11938019</v>
      </c>
      <c r="C3545" s="14" t="s">
        <v>6782</v>
      </c>
      <c r="D3545" s="14" t="s">
        <v>276</v>
      </c>
      <c r="E3545" s="14" t="s">
        <v>1231</v>
      </c>
      <c r="F3545" s="14">
        <v>19</v>
      </c>
      <c r="G3545" s="14">
        <v>60</v>
      </c>
      <c r="H3545" s="14" t="s">
        <v>1400</v>
      </c>
      <c r="I3545" s="14" t="s">
        <v>75</v>
      </c>
      <c r="J3545" s="14" t="s">
        <v>201</v>
      </c>
      <c r="K3545" s="14">
        <v>1</v>
      </c>
      <c r="L3545" s="14" t="s">
        <v>1400</v>
      </c>
      <c r="N3545" s="14">
        <v>0</v>
      </c>
      <c r="O3545" s="14" t="b">
        <v>1</v>
      </c>
      <c r="Q3545" s="14" t="b">
        <v>0</v>
      </c>
      <c r="R3545" s="14">
        <v>1</v>
      </c>
      <c r="S3545" s="14" t="s">
        <v>77</v>
      </c>
      <c r="T3545" s="14">
        <v>999</v>
      </c>
      <c r="U3545" s="14" t="s">
        <v>1401</v>
      </c>
      <c r="V3545" s="14">
        <v>31938019</v>
      </c>
      <c r="X3545" s="14" t="s">
        <v>6783</v>
      </c>
      <c r="Y3545" s="14" t="s">
        <v>215</v>
      </c>
      <c r="Z3545" s="14">
        <v>22308</v>
      </c>
      <c r="AA3545" s="14" t="s">
        <v>6784</v>
      </c>
      <c r="AB3545" s="14">
        <v>40001</v>
      </c>
      <c r="AE3545" s="14" t="s">
        <v>1400</v>
      </c>
      <c r="AF3545" s="14" t="s">
        <v>1400</v>
      </c>
      <c r="AG3545" s="14" t="s">
        <v>1231</v>
      </c>
    </row>
    <row r="3546" spans="2:33">
      <c r="B3546" s="14">
        <f>10000000+INDEX(编号表!$B:$B,MATCH(H3546,编号表!$A:$A,0))*100000+INDEX(编号表!$F:$F,MATCH(D3546,编号表!$E:$E,0))*10000+INDEX(编号表!$D:$D,MATCH(AG3546,编号表!$C:$C,0))*1000+F3546</f>
        <v>11948020</v>
      </c>
      <c r="C3546" s="14" t="s">
        <v>6782</v>
      </c>
      <c r="D3546" s="14" t="s">
        <v>104</v>
      </c>
      <c r="E3546" s="14" t="s">
        <v>1231</v>
      </c>
      <c r="F3546" s="14">
        <v>20</v>
      </c>
      <c r="G3546" s="14">
        <v>60</v>
      </c>
      <c r="H3546" s="14" t="s">
        <v>1400</v>
      </c>
      <c r="I3546" s="14" t="s">
        <v>75</v>
      </c>
      <c r="J3546" s="14" t="s">
        <v>201</v>
      </c>
      <c r="K3546" s="14">
        <v>1</v>
      </c>
      <c r="L3546" s="14" t="s">
        <v>1400</v>
      </c>
      <c r="N3546" s="14">
        <v>0</v>
      </c>
      <c r="O3546" s="14" t="b">
        <v>1</v>
      </c>
      <c r="Q3546" s="14" t="b">
        <v>0</v>
      </c>
      <c r="R3546" s="14">
        <v>1</v>
      </c>
      <c r="S3546" s="14" t="s">
        <v>77</v>
      </c>
      <c r="T3546" s="14">
        <v>999</v>
      </c>
      <c r="U3546" s="14" t="s">
        <v>1401</v>
      </c>
      <c r="V3546" s="14">
        <v>31948020</v>
      </c>
      <c r="X3546" s="14" t="s">
        <v>6785</v>
      </c>
      <c r="Y3546" s="14" t="s">
        <v>215</v>
      </c>
      <c r="Z3546" s="14">
        <v>22309</v>
      </c>
      <c r="AA3546" s="14" t="s">
        <v>6786</v>
      </c>
      <c r="AB3546" s="14">
        <v>40001</v>
      </c>
      <c r="AE3546" s="14" t="s">
        <v>1400</v>
      </c>
      <c r="AF3546" s="14" t="s">
        <v>1400</v>
      </c>
      <c r="AG3546" s="14" t="s">
        <v>1231</v>
      </c>
    </row>
    <row r="3547" spans="2:33">
      <c r="B3547" s="14">
        <f>10000000+INDEX(编号表!$B:$B,MATCH(H3547,编号表!$A:$A,0))*100000+INDEX(编号表!$F:$F,MATCH(D3547,编号表!$E:$E,0))*10000+INDEX(编号表!$D:$D,MATCH(AG3547,编号表!$C:$C,0))*1000+F3547</f>
        <v>11958021</v>
      </c>
      <c r="C3547" s="14" t="s">
        <v>6782</v>
      </c>
      <c r="D3547" s="14" t="s">
        <v>333</v>
      </c>
      <c r="E3547" s="14" t="s">
        <v>1231</v>
      </c>
      <c r="F3547" s="14">
        <v>21</v>
      </c>
      <c r="G3547" s="14">
        <v>60</v>
      </c>
      <c r="H3547" s="14" t="s">
        <v>1400</v>
      </c>
      <c r="I3547" s="14" t="s">
        <v>75</v>
      </c>
      <c r="J3547" s="14" t="s">
        <v>201</v>
      </c>
      <c r="K3547" s="14">
        <v>1</v>
      </c>
      <c r="L3547" s="14" t="s">
        <v>1400</v>
      </c>
      <c r="N3547" s="14">
        <v>0</v>
      </c>
      <c r="O3547" s="14" t="b">
        <v>1</v>
      </c>
      <c r="Q3547" s="14" t="b">
        <v>0</v>
      </c>
      <c r="R3547" s="14">
        <v>1</v>
      </c>
      <c r="S3547" s="14" t="s">
        <v>77</v>
      </c>
      <c r="T3547" s="14">
        <v>999</v>
      </c>
      <c r="U3547" s="14" t="s">
        <v>1401</v>
      </c>
      <c r="V3547" s="14">
        <v>31958021</v>
      </c>
      <c r="X3547" s="14" t="s">
        <v>6787</v>
      </c>
      <c r="Y3547" s="14" t="s">
        <v>215</v>
      </c>
      <c r="Z3547" s="14">
        <v>22310</v>
      </c>
      <c r="AA3547" s="14" t="s">
        <v>6788</v>
      </c>
      <c r="AB3547" s="14">
        <v>40001</v>
      </c>
      <c r="AE3547" s="14" t="s">
        <v>1400</v>
      </c>
      <c r="AF3547" s="14" t="s">
        <v>1400</v>
      </c>
      <c r="AG3547" s="14" t="s">
        <v>1231</v>
      </c>
    </row>
    <row r="3548" spans="2:33">
      <c r="B3548" s="14">
        <f>10000000+INDEX(编号表!$B:$B,MATCH(H3548,编号表!$A:$A,0))*100000+INDEX(编号表!$F:$F,MATCH(D3548,编号表!$E:$E,0))*10000+INDEX(编号表!$D:$D,MATCH(AG3548,编号表!$C:$C,0))*1000+F3548</f>
        <v>11938020</v>
      </c>
      <c r="C3548" s="14" t="s">
        <v>6789</v>
      </c>
      <c r="D3548" s="14" t="s">
        <v>276</v>
      </c>
      <c r="E3548" s="14" t="s">
        <v>1231</v>
      </c>
      <c r="F3548" s="14">
        <v>20</v>
      </c>
      <c r="G3548" s="14">
        <v>60</v>
      </c>
      <c r="H3548" s="14" t="s">
        <v>1400</v>
      </c>
      <c r="I3548" s="14" t="s">
        <v>75</v>
      </c>
      <c r="J3548" s="14" t="s">
        <v>201</v>
      </c>
      <c r="K3548" s="14">
        <v>1</v>
      </c>
      <c r="L3548" s="14" t="s">
        <v>1400</v>
      </c>
      <c r="N3548" s="14">
        <v>0</v>
      </c>
      <c r="O3548" s="14" t="b">
        <v>1</v>
      </c>
      <c r="Q3548" s="14" t="b">
        <v>0</v>
      </c>
      <c r="R3548" s="14">
        <v>1</v>
      </c>
      <c r="S3548" s="14" t="s">
        <v>77</v>
      </c>
      <c r="T3548" s="14">
        <v>999</v>
      </c>
      <c r="U3548" s="14" t="s">
        <v>1401</v>
      </c>
      <c r="V3548" s="14">
        <v>31938020</v>
      </c>
      <c r="X3548" s="14" t="s">
        <v>6790</v>
      </c>
      <c r="Y3548" s="14" t="s">
        <v>215</v>
      </c>
      <c r="Z3548" s="14">
        <v>22311</v>
      </c>
      <c r="AA3548" s="14" t="s">
        <v>6791</v>
      </c>
      <c r="AB3548" s="14">
        <v>40001</v>
      </c>
      <c r="AE3548" s="14" t="s">
        <v>1400</v>
      </c>
      <c r="AF3548" s="14" t="s">
        <v>1400</v>
      </c>
      <c r="AG3548" s="14" t="s">
        <v>1231</v>
      </c>
    </row>
    <row r="3549" spans="2:33">
      <c r="B3549" s="14">
        <f>10000000+INDEX(编号表!$B:$B,MATCH(H3549,编号表!$A:$A,0))*100000+INDEX(编号表!$F:$F,MATCH(D3549,编号表!$E:$E,0))*10000+INDEX(编号表!$D:$D,MATCH(AG3549,编号表!$C:$C,0))*1000+F3549</f>
        <v>11948021</v>
      </c>
      <c r="C3549" s="14" t="s">
        <v>6789</v>
      </c>
      <c r="D3549" s="14" t="s">
        <v>104</v>
      </c>
      <c r="E3549" s="14" t="s">
        <v>1231</v>
      </c>
      <c r="F3549" s="14">
        <v>21</v>
      </c>
      <c r="G3549" s="14">
        <v>60</v>
      </c>
      <c r="H3549" s="14" t="s">
        <v>1400</v>
      </c>
      <c r="I3549" s="14" t="s">
        <v>75</v>
      </c>
      <c r="J3549" s="14" t="s">
        <v>201</v>
      </c>
      <c r="K3549" s="14">
        <v>1</v>
      </c>
      <c r="L3549" s="14" t="s">
        <v>1400</v>
      </c>
      <c r="N3549" s="14">
        <v>0</v>
      </c>
      <c r="O3549" s="14" t="b">
        <v>1</v>
      </c>
      <c r="Q3549" s="14" t="b">
        <v>0</v>
      </c>
      <c r="R3549" s="14">
        <v>1</v>
      </c>
      <c r="S3549" s="14" t="s">
        <v>77</v>
      </c>
      <c r="T3549" s="14">
        <v>999</v>
      </c>
      <c r="U3549" s="14" t="s">
        <v>1401</v>
      </c>
      <c r="V3549" s="14">
        <v>31948021</v>
      </c>
      <c r="X3549" s="14" t="s">
        <v>6792</v>
      </c>
      <c r="Y3549" s="14" t="s">
        <v>215</v>
      </c>
      <c r="Z3549" s="14">
        <v>22312</v>
      </c>
      <c r="AA3549" s="14" t="s">
        <v>6793</v>
      </c>
      <c r="AB3549" s="14">
        <v>40001</v>
      </c>
      <c r="AE3549" s="14" t="s">
        <v>1400</v>
      </c>
      <c r="AF3549" s="14" t="s">
        <v>1400</v>
      </c>
      <c r="AG3549" s="14" t="s">
        <v>1231</v>
      </c>
    </row>
    <row r="3550" spans="2:33">
      <c r="B3550" s="14">
        <f>10000000+INDEX(编号表!$B:$B,MATCH(H3550,编号表!$A:$A,0))*100000+INDEX(编号表!$F:$F,MATCH(D3550,编号表!$E:$E,0))*10000+INDEX(编号表!$D:$D,MATCH(AG3550,编号表!$C:$C,0))*1000+F3550</f>
        <v>11958022</v>
      </c>
      <c r="C3550" s="14" t="s">
        <v>6789</v>
      </c>
      <c r="D3550" s="14" t="s">
        <v>333</v>
      </c>
      <c r="E3550" s="14" t="s">
        <v>1231</v>
      </c>
      <c r="F3550" s="14">
        <v>22</v>
      </c>
      <c r="G3550" s="14">
        <v>60</v>
      </c>
      <c r="H3550" s="14" t="s">
        <v>1400</v>
      </c>
      <c r="I3550" s="14" t="s">
        <v>75</v>
      </c>
      <c r="J3550" s="14" t="s">
        <v>201</v>
      </c>
      <c r="K3550" s="14">
        <v>1</v>
      </c>
      <c r="L3550" s="14" t="s">
        <v>1400</v>
      </c>
      <c r="N3550" s="14">
        <v>0</v>
      </c>
      <c r="O3550" s="14" t="b">
        <v>1</v>
      </c>
      <c r="Q3550" s="14" t="b">
        <v>0</v>
      </c>
      <c r="R3550" s="14">
        <v>1</v>
      </c>
      <c r="S3550" s="14" t="s">
        <v>77</v>
      </c>
      <c r="T3550" s="14">
        <v>999</v>
      </c>
      <c r="U3550" s="14" t="s">
        <v>1401</v>
      </c>
      <c r="V3550" s="14">
        <v>31958022</v>
      </c>
      <c r="X3550" s="14" t="s">
        <v>6794</v>
      </c>
      <c r="Y3550" s="14" t="s">
        <v>215</v>
      </c>
      <c r="Z3550" s="14">
        <v>22313</v>
      </c>
      <c r="AA3550" s="14" t="s">
        <v>6795</v>
      </c>
      <c r="AB3550" s="14">
        <v>40001</v>
      </c>
      <c r="AE3550" s="14" t="s">
        <v>1400</v>
      </c>
      <c r="AF3550" s="14" t="s">
        <v>1400</v>
      </c>
      <c r="AG3550" s="14" t="s">
        <v>1231</v>
      </c>
    </row>
    <row r="3551" spans="2:33">
      <c r="B3551" s="14">
        <f>10000000+INDEX(编号表!$B:$B,MATCH(H3551,编号表!$A:$A,0))*100000+INDEX(编号表!$F:$F,MATCH(D3551,编号表!$E:$E,0))*10000+INDEX(编号表!$D:$D,MATCH(AG3551,编号表!$C:$C,0))*1000+F3551</f>
        <v>11938021</v>
      </c>
      <c r="C3551" s="14" t="s">
        <v>6796</v>
      </c>
      <c r="D3551" s="14" t="s">
        <v>276</v>
      </c>
      <c r="E3551" s="14" t="s">
        <v>1231</v>
      </c>
      <c r="F3551" s="14">
        <v>21</v>
      </c>
      <c r="G3551" s="14">
        <v>60</v>
      </c>
      <c r="H3551" s="14" t="s">
        <v>1400</v>
      </c>
      <c r="I3551" s="14" t="s">
        <v>75</v>
      </c>
      <c r="J3551" s="14" t="s">
        <v>201</v>
      </c>
      <c r="K3551" s="14">
        <v>1</v>
      </c>
      <c r="L3551" s="14" t="s">
        <v>1400</v>
      </c>
      <c r="N3551" s="14">
        <v>0</v>
      </c>
      <c r="O3551" s="14" t="b">
        <v>1</v>
      </c>
      <c r="Q3551" s="14" t="b">
        <v>0</v>
      </c>
      <c r="R3551" s="14">
        <v>1</v>
      </c>
      <c r="S3551" s="14" t="s">
        <v>77</v>
      </c>
      <c r="T3551" s="14">
        <v>999</v>
      </c>
      <c r="U3551" s="14" t="s">
        <v>1401</v>
      </c>
      <c r="V3551" s="14">
        <v>31938021</v>
      </c>
      <c r="X3551" s="14" t="s">
        <v>6797</v>
      </c>
      <c r="Y3551" s="14" t="s">
        <v>215</v>
      </c>
      <c r="Z3551" s="14">
        <v>22314</v>
      </c>
      <c r="AA3551" s="14" t="s">
        <v>6798</v>
      </c>
      <c r="AB3551" s="14">
        <v>40001</v>
      </c>
      <c r="AE3551" s="14" t="s">
        <v>1400</v>
      </c>
      <c r="AF3551" s="14" t="s">
        <v>1400</v>
      </c>
      <c r="AG3551" s="14" t="s">
        <v>1231</v>
      </c>
    </row>
    <row r="3552" spans="2:33">
      <c r="B3552" s="14">
        <f>10000000+INDEX(编号表!$B:$B,MATCH(H3552,编号表!$A:$A,0))*100000+INDEX(编号表!$F:$F,MATCH(D3552,编号表!$E:$E,0))*10000+INDEX(编号表!$D:$D,MATCH(AG3552,编号表!$C:$C,0))*1000+F3552</f>
        <v>11948022</v>
      </c>
      <c r="C3552" s="14" t="s">
        <v>6796</v>
      </c>
      <c r="D3552" s="14" t="s">
        <v>104</v>
      </c>
      <c r="E3552" s="14" t="s">
        <v>1231</v>
      </c>
      <c r="F3552" s="14">
        <v>22</v>
      </c>
      <c r="G3552" s="14">
        <v>60</v>
      </c>
      <c r="H3552" s="14" t="s">
        <v>1400</v>
      </c>
      <c r="I3552" s="14" t="s">
        <v>75</v>
      </c>
      <c r="J3552" s="14" t="s">
        <v>201</v>
      </c>
      <c r="K3552" s="14">
        <v>1</v>
      </c>
      <c r="L3552" s="14" t="s">
        <v>1400</v>
      </c>
      <c r="N3552" s="14">
        <v>0</v>
      </c>
      <c r="O3552" s="14" t="b">
        <v>1</v>
      </c>
      <c r="Q3552" s="14" t="b">
        <v>0</v>
      </c>
      <c r="R3552" s="14">
        <v>1</v>
      </c>
      <c r="S3552" s="14" t="s">
        <v>77</v>
      </c>
      <c r="T3552" s="14">
        <v>999</v>
      </c>
      <c r="U3552" s="14" t="s">
        <v>1401</v>
      </c>
      <c r="V3552" s="14">
        <v>31948022</v>
      </c>
      <c r="X3552" s="14" t="s">
        <v>6799</v>
      </c>
      <c r="Y3552" s="14" t="s">
        <v>215</v>
      </c>
      <c r="Z3552" s="14">
        <v>22315</v>
      </c>
      <c r="AA3552" s="14" t="s">
        <v>6800</v>
      </c>
      <c r="AB3552" s="14">
        <v>40001</v>
      </c>
      <c r="AE3552" s="14" t="s">
        <v>1400</v>
      </c>
      <c r="AF3552" s="14" t="s">
        <v>1400</v>
      </c>
      <c r="AG3552" s="14" t="s">
        <v>1231</v>
      </c>
    </row>
    <row r="3553" spans="2:33">
      <c r="B3553" s="14">
        <f>10000000+INDEX(编号表!$B:$B,MATCH(H3553,编号表!$A:$A,0))*100000+INDEX(编号表!$F:$F,MATCH(D3553,编号表!$E:$E,0))*10000+INDEX(编号表!$D:$D,MATCH(AG3553,编号表!$C:$C,0))*1000+F3553</f>
        <v>11958023</v>
      </c>
      <c r="C3553" s="14" t="s">
        <v>6796</v>
      </c>
      <c r="D3553" s="14" t="s">
        <v>333</v>
      </c>
      <c r="E3553" s="14" t="s">
        <v>1231</v>
      </c>
      <c r="F3553" s="14">
        <v>23</v>
      </c>
      <c r="G3553" s="14">
        <v>60</v>
      </c>
      <c r="H3553" s="14" t="s">
        <v>1400</v>
      </c>
      <c r="I3553" s="14" t="s">
        <v>75</v>
      </c>
      <c r="J3553" s="14" t="s">
        <v>201</v>
      </c>
      <c r="K3553" s="14">
        <v>1</v>
      </c>
      <c r="L3553" s="14" t="s">
        <v>1400</v>
      </c>
      <c r="N3553" s="14">
        <v>0</v>
      </c>
      <c r="O3553" s="14" t="b">
        <v>1</v>
      </c>
      <c r="Q3553" s="14" t="b">
        <v>0</v>
      </c>
      <c r="R3553" s="14">
        <v>1</v>
      </c>
      <c r="S3553" s="14" t="s">
        <v>77</v>
      </c>
      <c r="T3553" s="14">
        <v>999</v>
      </c>
      <c r="U3553" s="14" t="s">
        <v>1401</v>
      </c>
      <c r="V3553" s="14">
        <v>31958023</v>
      </c>
      <c r="X3553" s="14" t="s">
        <v>6801</v>
      </c>
      <c r="Y3553" s="14" t="s">
        <v>215</v>
      </c>
      <c r="Z3553" s="14">
        <v>22316</v>
      </c>
      <c r="AA3553" s="14" t="s">
        <v>6802</v>
      </c>
      <c r="AB3553" s="14">
        <v>40001</v>
      </c>
      <c r="AE3553" s="14" t="s">
        <v>1400</v>
      </c>
      <c r="AF3553" s="14" t="s">
        <v>1400</v>
      </c>
      <c r="AG3553" s="14" t="s">
        <v>1231</v>
      </c>
    </row>
    <row r="3554" spans="2:33">
      <c r="B3554" s="14">
        <f>10000000+INDEX(编号表!$B:$B,MATCH(H3554,编号表!$A:$A,0))*100000+INDEX(编号表!$F:$F,MATCH(D3554,编号表!$E:$E,0))*10000+INDEX(编号表!$D:$D,MATCH(AG3554,编号表!$C:$C,0))*1000+F3554</f>
        <v>11938022</v>
      </c>
      <c r="C3554" s="14" t="s">
        <v>6803</v>
      </c>
      <c r="D3554" s="14" t="s">
        <v>276</v>
      </c>
      <c r="E3554" s="14" t="s">
        <v>1231</v>
      </c>
      <c r="F3554" s="14">
        <v>22</v>
      </c>
      <c r="G3554" s="14">
        <v>60</v>
      </c>
      <c r="H3554" s="14" t="s">
        <v>1400</v>
      </c>
      <c r="I3554" s="14" t="s">
        <v>75</v>
      </c>
      <c r="J3554" s="14" t="s">
        <v>201</v>
      </c>
      <c r="K3554" s="14">
        <v>1</v>
      </c>
      <c r="L3554" s="14" t="s">
        <v>1400</v>
      </c>
      <c r="N3554" s="14">
        <v>0</v>
      </c>
      <c r="O3554" s="14" t="b">
        <v>1</v>
      </c>
      <c r="Q3554" s="14" t="b">
        <v>0</v>
      </c>
      <c r="R3554" s="14">
        <v>1</v>
      </c>
      <c r="S3554" s="14" t="s">
        <v>77</v>
      </c>
      <c r="T3554" s="14">
        <v>999</v>
      </c>
      <c r="U3554" s="14" t="s">
        <v>1401</v>
      </c>
      <c r="V3554" s="14">
        <v>31938022</v>
      </c>
      <c r="X3554" s="14" t="s">
        <v>6804</v>
      </c>
      <c r="Y3554" s="14" t="s">
        <v>215</v>
      </c>
      <c r="Z3554" s="14">
        <v>22317</v>
      </c>
      <c r="AA3554" s="14" t="s">
        <v>6805</v>
      </c>
      <c r="AB3554" s="14">
        <v>40001</v>
      </c>
      <c r="AE3554" s="14" t="s">
        <v>1400</v>
      </c>
      <c r="AF3554" s="14" t="s">
        <v>1400</v>
      </c>
      <c r="AG3554" s="14" t="s">
        <v>1231</v>
      </c>
    </row>
    <row r="3555" spans="2:33">
      <c r="B3555" s="14">
        <f>10000000+INDEX(编号表!$B:$B,MATCH(H3555,编号表!$A:$A,0))*100000+INDEX(编号表!$F:$F,MATCH(D3555,编号表!$E:$E,0))*10000+INDEX(编号表!$D:$D,MATCH(AG3555,编号表!$C:$C,0))*1000+F3555</f>
        <v>11948023</v>
      </c>
      <c r="C3555" s="14" t="s">
        <v>6803</v>
      </c>
      <c r="D3555" s="14" t="s">
        <v>104</v>
      </c>
      <c r="E3555" s="14" t="s">
        <v>1231</v>
      </c>
      <c r="F3555" s="14">
        <v>23</v>
      </c>
      <c r="G3555" s="14">
        <v>60</v>
      </c>
      <c r="H3555" s="14" t="s">
        <v>1400</v>
      </c>
      <c r="I3555" s="14" t="s">
        <v>75</v>
      </c>
      <c r="J3555" s="14" t="s">
        <v>201</v>
      </c>
      <c r="K3555" s="14">
        <v>1</v>
      </c>
      <c r="L3555" s="14" t="s">
        <v>1400</v>
      </c>
      <c r="N3555" s="14">
        <v>0</v>
      </c>
      <c r="O3555" s="14" t="b">
        <v>1</v>
      </c>
      <c r="Q3555" s="14" t="b">
        <v>0</v>
      </c>
      <c r="R3555" s="14">
        <v>1</v>
      </c>
      <c r="S3555" s="14" t="s">
        <v>77</v>
      </c>
      <c r="T3555" s="14">
        <v>999</v>
      </c>
      <c r="U3555" s="14" t="s">
        <v>1401</v>
      </c>
      <c r="V3555" s="14">
        <v>31948023</v>
      </c>
      <c r="X3555" s="14" t="s">
        <v>6806</v>
      </c>
      <c r="Y3555" s="14" t="s">
        <v>215</v>
      </c>
      <c r="Z3555" s="14">
        <v>22318</v>
      </c>
      <c r="AA3555" s="14" t="s">
        <v>6807</v>
      </c>
      <c r="AB3555" s="14">
        <v>40001</v>
      </c>
      <c r="AE3555" s="14" t="s">
        <v>1400</v>
      </c>
      <c r="AF3555" s="14" t="s">
        <v>1400</v>
      </c>
      <c r="AG3555" s="14" t="s">
        <v>1231</v>
      </c>
    </row>
    <row r="3556" spans="2:33">
      <c r="B3556" s="14">
        <f>10000000+INDEX(编号表!$B:$B,MATCH(H3556,编号表!$A:$A,0))*100000+INDEX(编号表!$F:$F,MATCH(D3556,编号表!$E:$E,0))*10000+INDEX(编号表!$D:$D,MATCH(AG3556,编号表!$C:$C,0))*1000+F3556</f>
        <v>11958024</v>
      </c>
      <c r="C3556" s="14" t="s">
        <v>6803</v>
      </c>
      <c r="D3556" s="14" t="s">
        <v>333</v>
      </c>
      <c r="E3556" s="14" t="s">
        <v>1231</v>
      </c>
      <c r="F3556" s="14">
        <v>24</v>
      </c>
      <c r="G3556" s="14">
        <v>60</v>
      </c>
      <c r="H3556" s="14" t="s">
        <v>1400</v>
      </c>
      <c r="I3556" s="14" t="s">
        <v>75</v>
      </c>
      <c r="J3556" s="14" t="s">
        <v>201</v>
      </c>
      <c r="K3556" s="14">
        <v>1</v>
      </c>
      <c r="L3556" s="14" t="s">
        <v>1400</v>
      </c>
      <c r="N3556" s="14">
        <v>0</v>
      </c>
      <c r="O3556" s="14" t="b">
        <v>1</v>
      </c>
      <c r="Q3556" s="14" t="b">
        <v>0</v>
      </c>
      <c r="R3556" s="14">
        <v>1</v>
      </c>
      <c r="S3556" s="14" t="s">
        <v>77</v>
      </c>
      <c r="T3556" s="14">
        <v>999</v>
      </c>
      <c r="U3556" s="14" t="s">
        <v>1401</v>
      </c>
      <c r="V3556" s="14">
        <v>31958024</v>
      </c>
      <c r="X3556" s="14" t="s">
        <v>6808</v>
      </c>
      <c r="Y3556" s="14" t="s">
        <v>215</v>
      </c>
      <c r="Z3556" s="14">
        <v>22319</v>
      </c>
      <c r="AA3556" s="14" t="s">
        <v>6809</v>
      </c>
      <c r="AB3556" s="14">
        <v>40001</v>
      </c>
      <c r="AE3556" s="14" t="s">
        <v>1400</v>
      </c>
      <c r="AF3556" s="14" t="s">
        <v>1400</v>
      </c>
      <c r="AG3556" s="14" t="s">
        <v>1231</v>
      </c>
    </row>
    <row r="3557" spans="2:33">
      <c r="B3557" s="14">
        <f>10000000+INDEX(编号表!$B:$B,MATCH(H3557,编号表!$A:$A,0))*100000+INDEX(编号表!$F:$F,MATCH(D3557,编号表!$E:$E,0))*10000+INDEX(编号表!$D:$D,MATCH(AG3557,编号表!$C:$C,0))*1000+F3557</f>
        <v>11938023</v>
      </c>
      <c r="C3557" s="14" t="s">
        <v>6810</v>
      </c>
      <c r="D3557" s="14" t="s">
        <v>276</v>
      </c>
      <c r="E3557" s="14" t="s">
        <v>1231</v>
      </c>
      <c r="F3557" s="14">
        <v>23</v>
      </c>
      <c r="G3557" s="14">
        <v>60</v>
      </c>
      <c r="H3557" s="14" t="s">
        <v>1400</v>
      </c>
      <c r="I3557" s="14" t="s">
        <v>75</v>
      </c>
      <c r="J3557" s="14" t="s">
        <v>201</v>
      </c>
      <c r="K3557" s="14">
        <v>1</v>
      </c>
      <c r="L3557" s="14" t="s">
        <v>1400</v>
      </c>
      <c r="N3557" s="14">
        <v>0</v>
      </c>
      <c r="O3557" s="14" t="b">
        <v>1</v>
      </c>
      <c r="Q3557" s="14" t="b">
        <v>0</v>
      </c>
      <c r="R3557" s="14">
        <v>1</v>
      </c>
      <c r="S3557" s="14" t="s">
        <v>77</v>
      </c>
      <c r="T3557" s="14">
        <v>999</v>
      </c>
      <c r="U3557" s="14" t="s">
        <v>1401</v>
      </c>
      <c r="V3557" s="14">
        <v>31938023</v>
      </c>
      <c r="X3557" s="14" t="s">
        <v>6811</v>
      </c>
      <c r="Y3557" s="14" t="s">
        <v>215</v>
      </c>
      <c r="Z3557" s="14">
        <v>22320</v>
      </c>
      <c r="AA3557" s="14" t="s">
        <v>6812</v>
      </c>
      <c r="AB3557" s="14">
        <v>40001</v>
      </c>
      <c r="AE3557" s="14" t="s">
        <v>1400</v>
      </c>
      <c r="AF3557" s="14" t="s">
        <v>1400</v>
      </c>
      <c r="AG3557" s="14" t="s">
        <v>1231</v>
      </c>
    </row>
    <row r="3558" spans="2:33">
      <c r="B3558" s="14">
        <f>10000000+INDEX(编号表!$B:$B,MATCH(H3558,编号表!$A:$A,0))*100000+INDEX(编号表!$F:$F,MATCH(D3558,编号表!$E:$E,0))*10000+INDEX(编号表!$D:$D,MATCH(AG3558,编号表!$C:$C,0))*1000+F3558</f>
        <v>11948024</v>
      </c>
      <c r="C3558" s="14" t="s">
        <v>6810</v>
      </c>
      <c r="D3558" s="14" t="s">
        <v>104</v>
      </c>
      <c r="E3558" s="14" t="s">
        <v>1231</v>
      </c>
      <c r="F3558" s="14">
        <v>24</v>
      </c>
      <c r="G3558" s="14">
        <v>60</v>
      </c>
      <c r="H3558" s="14" t="s">
        <v>1400</v>
      </c>
      <c r="I3558" s="14" t="s">
        <v>75</v>
      </c>
      <c r="J3558" s="14" t="s">
        <v>201</v>
      </c>
      <c r="K3558" s="14">
        <v>1</v>
      </c>
      <c r="L3558" s="14" t="s">
        <v>1400</v>
      </c>
      <c r="N3558" s="14">
        <v>0</v>
      </c>
      <c r="O3558" s="14" t="b">
        <v>1</v>
      </c>
      <c r="Q3558" s="14" t="b">
        <v>0</v>
      </c>
      <c r="R3558" s="14">
        <v>1</v>
      </c>
      <c r="S3558" s="14" t="s">
        <v>77</v>
      </c>
      <c r="T3558" s="14">
        <v>999</v>
      </c>
      <c r="U3558" s="14" t="s">
        <v>1401</v>
      </c>
      <c r="V3558" s="14">
        <v>31948024</v>
      </c>
      <c r="X3558" s="14" t="s">
        <v>6813</v>
      </c>
      <c r="Y3558" s="14" t="s">
        <v>215</v>
      </c>
      <c r="Z3558" s="14">
        <v>22321</v>
      </c>
      <c r="AA3558" s="14" t="s">
        <v>6814</v>
      </c>
      <c r="AB3558" s="14">
        <v>40001</v>
      </c>
      <c r="AE3558" s="14" t="s">
        <v>1400</v>
      </c>
      <c r="AF3558" s="14" t="s">
        <v>1400</v>
      </c>
      <c r="AG3558" s="14" t="s">
        <v>1231</v>
      </c>
    </row>
    <row r="3559" spans="2:33">
      <c r="B3559" s="14">
        <f>10000000+INDEX(编号表!$B:$B,MATCH(H3559,编号表!$A:$A,0))*100000+INDEX(编号表!$F:$F,MATCH(D3559,编号表!$E:$E,0))*10000+INDEX(编号表!$D:$D,MATCH(AG3559,编号表!$C:$C,0))*1000+F3559</f>
        <v>11958025</v>
      </c>
      <c r="C3559" s="14" t="s">
        <v>6810</v>
      </c>
      <c r="D3559" s="14" t="s">
        <v>333</v>
      </c>
      <c r="E3559" s="14" t="s">
        <v>1231</v>
      </c>
      <c r="F3559" s="14">
        <v>25</v>
      </c>
      <c r="G3559" s="14">
        <v>60</v>
      </c>
      <c r="H3559" s="14" t="s">
        <v>1400</v>
      </c>
      <c r="I3559" s="14" t="s">
        <v>75</v>
      </c>
      <c r="J3559" s="14" t="s">
        <v>201</v>
      </c>
      <c r="K3559" s="14">
        <v>1</v>
      </c>
      <c r="L3559" s="14" t="s">
        <v>1400</v>
      </c>
      <c r="N3559" s="14">
        <v>0</v>
      </c>
      <c r="O3559" s="14" t="b">
        <v>1</v>
      </c>
      <c r="Q3559" s="14" t="b">
        <v>0</v>
      </c>
      <c r="R3559" s="14">
        <v>1</v>
      </c>
      <c r="S3559" s="14" t="s">
        <v>77</v>
      </c>
      <c r="T3559" s="14">
        <v>999</v>
      </c>
      <c r="U3559" s="14" t="s">
        <v>1401</v>
      </c>
      <c r="V3559" s="14">
        <v>31958025</v>
      </c>
      <c r="X3559" s="14" t="s">
        <v>6815</v>
      </c>
      <c r="Y3559" s="14" t="s">
        <v>215</v>
      </c>
      <c r="Z3559" s="14">
        <v>22322</v>
      </c>
      <c r="AA3559" s="14" t="s">
        <v>6816</v>
      </c>
      <c r="AB3559" s="14">
        <v>40001</v>
      </c>
      <c r="AE3559" s="14" t="s">
        <v>1400</v>
      </c>
      <c r="AF3559" s="14" t="s">
        <v>1400</v>
      </c>
      <c r="AG3559" s="14" t="s">
        <v>1231</v>
      </c>
    </row>
    <row r="3560" spans="2:33">
      <c r="B3560" s="14">
        <f>10000000+INDEX(编号表!$B:$B,MATCH(H3560,编号表!$A:$A,0))*100000+INDEX(编号表!$F:$F,MATCH(D3560,编号表!$E:$E,0))*10000+INDEX(编号表!$D:$D,MATCH(AG3560,编号表!$C:$C,0))*1000+F3560</f>
        <v>11938024</v>
      </c>
      <c r="C3560" s="14" t="s">
        <v>6817</v>
      </c>
      <c r="D3560" s="14" t="s">
        <v>276</v>
      </c>
      <c r="E3560" s="14" t="s">
        <v>1231</v>
      </c>
      <c r="F3560" s="14">
        <v>24</v>
      </c>
      <c r="G3560" s="14">
        <v>60</v>
      </c>
      <c r="H3560" s="14" t="s">
        <v>1400</v>
      </c>
      <c r="I3560" s="14" t="s">
        <v>75</v>
      </c>
      <c r="J3560" s="14" t="s">
        <v>201</v>
      </c>
      <c r="K3560" s="14">
        <v>1</v>
      </c>
      <c r="L3560" s="14" t="s">
        <v>1400</v>
      </c>
      <c r="N3560" s="14">
        <v>0</v>
      </c>
      <c r="O3560" s="14" t="b">
        <v>1</v>
      </c>
      <c r="Q3560" s="14" t="b">
        <v>0</v>
      </c>
      <c r="R3560" s="14">
        <v>1</v>
      </c>
      <c r="S3560" s="14" t="s">
        <v>77</v>
      </c>
      <c r="T3560" s="14">
        <v>999</v>
      </c>
      <c r="U3560" s="14" t="s">
        <v>1401</v>
      </c>
      <c r="V3560" s="14">
        <v>31938024</v>
      </c>
      <c r="X3560" s="14" t="s">
        <v>6818</v>
      </c>
      <c r="Y3560" s="14" t="s">
        <v>215</v>
      </c>
      <c r="Z3560" s="14">
        <v>22323</v>
      </c>
      <c r="AA3560" s="14" t="s">
        <v>6819</v>
      </c>
      <c r="AB3560" s="14">
        <v>40001</v>
      </c>
      <c r="AE3560" s="14" t="s">
        <v>1400</v>
      </c>
      <c r="AF3560" s="14" t="s">
        <v>1400</v>
      </c>
      <c r="AG3560" s="14" t="s">
        <v>1231</v>
      </c>
    </row>
    <row r="3561" spans="2:33">
      <c r="B3561" s="14">
        <f>10000000+INDEX(编号表!$B:$B,MATCH(H3561,编号表!$A:$A,0))*100000+INDEX(编号表!$F:$F,MATCH(D3561,编号表!$E:$E,0))*10000+INDEX(编号表!$D:$D,MATCH(AG3561,编号表!$C:$C,0))*1000+F3561</f>
        <v>11948025</v>
      </c>
      <c r="C3561" s="14" t="s">
        <v>6817</v>
      </c>
      <c r="D3561" s="14" t="s">
        <v>104</v>
      </c>
      <c r="E3561" s="14" t="s">
        <v>1231</v>
      </c>
      <c r="F3561" s="14">
        <v>25</v>
      </c>
      <c r="G3561" s="14">
        <v>60</v>
      </c>
      <c r="H3561" s="14" t="s">
        <v>1400</v>
      </c>
      <c r="I3561" s="14" t="s">
        <v>75</v>
      </c>
      <c r="J3561" s="14" t="s">
        <v>201</v>
      </c>
      <c r="K3561" s="14">
        <v>1</v>
      </c>
      <c r="L3561" s="14" t="s">
        <v>1400</v>
      </c>
      <c r="N3561" s="14">
        <v>0</v>
      </c>
      <c r="O3561" s="14" t="b">
        <v>1</v>
      </c>
      <c r="Q3561" s="14" t="b">
        <v>0</v>
      </c>
      <c r="R3561" s="14">
        <v>1</v>
      </c>
      <c r="S3561" s="14" t="s">
        <v>77</v>
      </c>
      <c r="T3561" s="14">
        <v>999</v>
      </c>
      <c r="U3561" s="14" t="s">
        <v>1401</v>
      </c>
      <c r="V3561" s="14">
        <v>31948025</v>
      </c>
      <c r="X3561" s="14" t="s">
        <v>6820</v>
      </c>
      <c r="Y3561" s="14" t="s">
        <v>215</v>
      </c>
      <c r="Z3561" s="14">
        <v>22324</v>
      </c>
      <c r="AA3561" s="14" t="s">
        <v>6821</v>
      </c>
      <c r="AB3561" s="14">
        <v>40001</v>
      </c>
      <c r="AE3561" s="14" t="s">
        <v>1400</v>
      </c>
      <c r="AF3561" s="14" t="s">
        <v>1400</v>
      </c>
      <c r="AG3561" s="14" t="s">
        <v>1231</v>
      </c>
    </row>
    <row r="3562" spans="2:33">
      <c r="B3562" s="14">
        <f>10000000+INDEX(编号表!$B:$B,MATCH(H3562,编号表!$A:$A,0))*100000+INDEX(编号表!$F:$F,MATCH(D3562,编号表!$E:$E,0))*10000+INDEX(编号表!$D:$D,MATCH(AG3562,编号表!$C:$C,0))*1000+F3562</f>
        <v>11958026</v>
      </c>
      <c r="C3562" s="14" t="s">
        <v>6817</v>
      </c>
      <c r="D3562" s="14" t="s">
        <v>333</v>
      </c>
      <c r="E3562" s="14" t="s">
        <v>1231</v>
      </c>
      <c r="F3562" s="14">
        <v>26</v>
      </c>
      <c r="G3562" s="14">
        <v>60</v>
      </c>
      <c r="H3562" s="14" t="s">
        <v>1400</v>
      </c>
      <c r="I3562" s="14" t="s">
        <v>75</v>
      </c>
      <c r="J3562" s="14" t="s">
        <v>201</v>
      </c>
      <c r="K3562" s="14">
        <v>1</v>
      </c>
      <c r="L3562" s="14" t="s">
        <v>1400</v>
      </c>
      <c r="N3562" s="14">
        <v>0</v>
      </c>
      <c r="O3562" s="14" t="b">
        <v>1</v>
      </c>
      <c r="Q3562" s="14" t="b">
        <v>0</v>
      </c>
      <c r="R3562" s="14">
        <v>1</v>
      </c>
      <c r="S3562" s="14" t="s">
        <v>77</v>
      </c>
      <c r="T3562" s="14">
        <v>999</v>
      </c>
      <c r="U3562" s="14" t="s">
        <v>1401</v>
      </c>
      <c r="V3562" s="14">
        <v>31958026</v>
      </c>
      <c r="X3562" s="14" t="s">
        <v>6822</v>
      </c>
      <c r="Y3562" s="14" t="s">
        <v>215</v>
      </c>
      <c r="Z3562" s="14">
        <v>22325</v>
      </c>
      <c r="AA3562" s="14" t="s">
        <v>6823</v>
      </c>
      <c r="AB3562" s="14">
        <v>40001</v>
      </c>
      <c r="AE3562" s="14" t="s">
        <v>1400</v>
      </c>
      <c r="AF3562" s="14" t="s">
        <v>1400</v>
      </c>
      <c r="AG3562" s="14" t="s">
        <v>1231</v>
      </c>
    </row>
    <row r="3563" spans="2:33">
      <c r="B3563" s="14">
        <f>10000000+INDEX(编号表!$B:$B,MATCH(H3563,编号表!$A:$A,0))*100000+INDEX(编号表!$F:$F,MATCH(D3563,编号表!$E:$E,0))*10000+INDEX(编号表!$D:$D,MATCH(AG3563,编号表!$C:$C,0))*1000+F3563</f>
        <v>11938025</v>
      </c>
      <c r="C3563" s="14" t="s">
        <v>6824</v>
      </c>
      <c r="D3563" s="14" t="s">
        <v>276</v>
      </c>
      <c r="E3563" s="14" t="s">
        <v>1231</v>
      </c>
      <c r="F3563" s="14">
        <v>25</v>
      </c>
      <c r="G3563" s="14">
        <v>60</v>
      </c>
      <c r="H3563" s="14" t="s">
        <v>1400</v>
      </c>
      <c r="I3563" s="14" t="s">
        <v>75</v>
      </c>
      <c r="J3563" s="14" t="s">
        <v>201</v>
      </c>
      <c r="K3563" s="14">
        <v>1</v>
      </c>
      <c r="L3563" s="14" t="s">
        <v>1400</v>
      </c>
      <c r="N3563" s="14">
        <v>0</v>
      </c>
      <c r="O3563" s="14" t="b">
        <v>1</v>
      </c>
      <c r="Q3563" s="14" t="b">
        <v>0</v>
      </c>
      <c r="R3563" s="14">
        <v>1</v>
      </c>
      <c r="S3563" s="14" t="s">
        <v>77</v>
      </c>
      <c r="T3563" s="14">
        <v>999</v>
      </c>
      <c r="U3563" s="14" t="s">
        <v>1401</v>
      </c>
      <c r="V3563" s="14">
        <v>31938025</v>
      </c>
      <c r="X3563" s="14" t="s">
        <v>6825</v>
      </c>
      <c r="Y3563" s="14" t="s">
        <v>215</v>
      </c>
      <c r="Z3563" s="14">
        <v>22326</v>
      </c>
      <c r="AA3563" s="14" t="s">
        <v>6826</v>
      </c>
      <c r="AB3563" s="14">
        <v>40001</v>
      </c>
      <c r="AE3563" s="14" t="s">
        <v>1400</v>
      </c>
      <c r="AF3563" s="14" t="s">
        <v>1400</v>
      </c>
      <c r="AG3563" s="14" t="s">
        <v>1231</v>
      </c>
    </row>
    <row r="3564" spans="2:33">
      <c r="B3564" s="14">
        <f>10000000+INDEX(编号表!$B:$B,MATCH(H3564,编号表!$A:$A,0))*100000+INDEX(编号表!$F:$F,MATCH(D3564,编号表!$E:$E,0))*10000+INDEX(编号表!$D:$D,MATCH(AG3564,编号表!$C:$C,0))*1000+F3564</f>
        <v>11948026</v>
      </c>
      <c r="C3564" s="14" t="s">
        <v>6824</v>
      </c>
      <c r="D3564" s="14" t="s">
        <v>104</v>
      </c>
      <c r="E3564" s="14" t="s">
        <v>1231</v>
      </c>
      <c r="F3564" s="14">
        <v>26</v>
      </c>
      <c r="G3564" s="14">
        <v>60</v>
      </c>
      <c r="H3564" s="14" t="s">
        <v>1400</v>
      </c>
      <c r="I3564" s="14" t="s">
        <v>75</v>
      </c>
      <c r="J3564" s="14" t="s">
        <v>201</v>
      </c>
      <c r="K3564" s="14">
        <v>1</v>
      </c>
      <c r="L3564" s="14" t="s">
        <v>1400</v>
      </c>
      <c r="N3564" s="14">
        <v>0</v>
      </c>
      <c r="O3564" s="14" t="b">
        <v>1</v>
      </c>
      <c r="Q3564" s="14" t="b">
        <v>0</v>
      </c>
      <c r="R3564" s="14">
        <v>1</v>
      </c>
      <c r="S3564" s="14" t="s">
        <v>77</v>
      </c>
      <c r="T3564" s="14">
        <v>999</v>
      </c>
      <c r="U3564" s="14" t="s">
        <v>1401</v>
      </c>
      <c r="V3564" s="14">
        <v>31948026</v>
      </c>
      <c r="X3564" s="14" t="s">
        <v>6827</v>
      </c>
      <c r="Y3564" s="14" t="s">
        <v>215</v>
      </c>
      <c r="Z3564" s="14">
        <v>22327</v>
      </c>
      <c r="AA3564" s="14" t="s">
        <v>6828</v>
      </c>
      <c r="AB3564" s="14">
        <v>40001</v>
      </c>
      <c r="AE3564" s="14" t="s">
        <v>1400</v>
      </c>
      <c r="AF3564" s="14" t="s">
        <v>1400</v>
      </c>
      <c r="AG3564" s="14" t="s">
        <v>1231</v>
      </c>
    </row>
    <row r="3565" spans="2:33">
      <c r="B3565" s="14">
        <f>10000000+INDEX(编号表!$B:$B,MATCH(H3565,编号表!$A:$A,0))*100000+INDEX(编号表!$F:$F,MATCH(D3565,编号表!$E:$E,0))*10000+INDEX(编号表!$D:$D,MATCH(AG3565,编号表!$C:$C,0))*1000+F3565</f>
        <v>11958027</v>
      </c>
      <c r="C3565" s="14" t="s">
        <v>6824</v>
      </c>
      <c r="D3565" s="14" t="s">
        <v>333</v>
      </c>
      <c r="E3565" s="14" t="s">
        <v>1231</v>
      </c>
      <c r="F3565" s="14">
        <v>27</v>
      </c>
      <c r="G3565" s="14">
        <v>60</v>
      </c>
      <c r="H3565" s="14" t="s">
        <v>1400</v>
      </c>
      <c r="I3565" s="14" t="s">
        <v>75</v>
      </c>
      <c r="J3565" s="14" t="s">
        <v>201</v>
      </c>
      <c r="K3565" s="14">
        <v>1</v>
      </c>
      <c r="L3565" s="14" t="s">
        <v>1400</v>
      </c>
      <c r="N3565" s="14">
        <v>0</v>
      </c>
      <c r="O3565" s="14" t="b">
        <v>1</v>
      </c>
      <c r="Q3565" s="14" t="b">
        <v>0</v>
      </c>
      <c r="R3565" s="14">
        <v>1</v>
      </c>
      <c r="S3565" s="14" t="s">
        <v>77</v>
      </c>
      <c r="T3565" s="14">
        <v>999</v>
      </c>
      <c r="U3565" s="14" t="s">
        <v>1401</v>
      </c>
      <c r="V3565" s="14">
        <v>31958027</v>
      </c>
      <c r="X3565" s="14" t="s">
        <v>6829</v>
      </c>
      <c r="Y3565" s="14" t="s">
        <v>215</v>
      </c>
      <c r="Z3565" s="14">
        <v>22328</v>
      </c>
      <c r="AA3565" s="14" t="s">
        <v>6830</v>
      </c>
      <c r="AB3565" s="14">
        <v>40001</v>
      </c>
      <c r="AE3565" s="14" t="s">
        <v>1400</v>
      </c>
      <c r="AF3565" s="14" t="s">
        <v>1400</v>
      </c>
      <c r="AG3565" s="14" t="s">
        <v>1231</v>
      </c>
    </row>
    <row r="3566" spans="2:33">
      <c r="B3566" s="14">
        <f>10000000+INDEX(编号表!$B:$B,MATCH(H3566,编号表!$A:$A,0))*100000+INDEX(编号表!$F:$F,MATCH(D3566,编号表!$E:$E,0))*10000+INDEX(编号表!$D:$D,MATCH(AG3566,编号表!$C:$C,0))*1000+F3566</f>
        <v>11938026</v>
      </c>
      <c r="C3566" s="14" t="s">
        <v>6831</v>
      </c>
      <c r="D3566" s="14" t="s">
        <v>276</v>
      </c>
      <c r="E3566" s="14" t="s">
        <v>1231</v>
      </c>
      <c r="F3566" s="14">
        <v>26</v>
      </c>
      <c r="G3566" s="14">
        <v>60</v>
      </c>
      <c r="H3566" s="14" t="s">
        <v>1400</v>
      </c>
      <c r="I3566" s="14" t="s">
        <v>75</v>
      </c>
      <c r="J3566" s="14" t="s">
        <v>201</v>
      </c>
      <c r="K3566" s="14">
        <v>1</v>
      </c>
      <c r="L3566" s="14" t="s">
        <v>1400</v>
      </c>
      <c r="N3566" s="14">
        <v>0</v>
      </c>
      <c r="O3566" s="14" t="b">
        <v>1</v>
      </c>
      <c r="Q3566" s="14" t="b">
        <v>0</v>
      </c>
      <c r="R3566" s="14">
        <v>1</v>
      </c>
      <c r="S3566" s="14" t="s">
        <v>77</v>
      </c>
      <c r="T3566" s="14">
        <v>999</v>
      </c>
      <c r="U3566" s="14" t="s">
        <v>1401</v>
      </c>
      <c r="V3566" s="14">
        <v>31938026</v>
      </c>
      <c r="X3566" s="14" t="s">
        <v>6832</v>
      </c>
      <c r="Y3566" s="14" t="s">
        <v>215</v>
      </c>
      <c r="Z3566" s="14">
        <v>22329</v>
      </c>
      <c r="AA3566" s="14" t="s">
        <v>6833</v>
      </c>
      <c r="AB3566" s="14">
        <v>40001</v>
      </c>
      <c r="AE3566" s="14" t="s">
        <v>1400</v>
      </c>
      <c r="AF3566" s="14" t="s">
        <v>1400</v>
      </c>
      <c r="AG3566" s="14" t="s">
        <v>1231</v>
      </c>
    </row>
    <row r="3567" spans="2:33">
      <c r="B3567" s="14">
        <f>10000000+INDEX(编号表!$B:$B,MATCH(H3567,编号表!$A:$A,0))*100000+INDEX(编号表!$F:$F,MATCH(D3567,编号表!$E:$E,0))*10000+INDEX(编号表!$D:$D,MATCH(AG3567,编号表!$C:$C,0))*1000+F3567</f>
        <v>11948027</v>
      </c>
      <c r="C3567" s="14" t="s">
        <v>6831</v>
      </c>
      <c r="D3567" s="14" t="s">
        <v>104</v>
      </c>
      <c r="E3567" s="14" t="s">
        <v>1231</v>
      </c>
      <c r="F3567" s="14">
        <v>27</v>
      </c>
      <c r="G3567" s="14">
        <v>60</v>
      </c>
      <c r="H3567" s="14" t="s">
        <v>1400</v>
      </c>
      <c r="I3567" s="14" t="s">
        <v>75</v>
      </c>
      <c r="J3567" s="14" t="s">
        <v>201</v>
      </c>
      <c r="K3567" s="14">
        <v>1</v>
      </c>
      <c r="L3567" s="14" t="s">
        <v>1400</v>
      </c>
      <c r="N3567" s="14">
        <v>0</v>
      </c>
      <c r="O3567" s="14" t="b">
        <v>1</v>
      </c>
      <c r="Q3567" s="14" t="b">
        <v>0</v>
      </c>
      <c r="R3567" s="14">
        <v>1</v>
      </c>
      <c r="S3567" s="14" t="s">
        <v>77</v>
      </c>
      <c r="T3567" s="14">
        <v>999</v>
      </c>
      <c r="U3567" s="14" t="s">
        <v>1401</v>
      </c>
      <c r="V3567" s="14">
        <v>31948027</v>
      </c>
      <c r="X3567" s="14" t="s">
        <v>6834</v>
      </c>
      <c r="Y3567" s="14" t="s">
        <v>215</v>
      </c>
      <c r="Z3567" s="14">
        <v>22330</v>
      </c>
      <c r="AA3567" s="14" t="s">
        <v>6835</v>
      </c>
      <c r="AB3567" s="14">
        <v>40001</v>
      </c>
      <c r="AE3567" s="14" t="s">
        <v>1400</v>
      </c>
      <c r="AF3567" s="14" t="s">
        <v>1400</v>
      </c>
      <c r="AG3567" s="14" t="s">
        <v>1231</v>
      </c>
    </row>
    <row r="3568" spans="2:33">
      <c r="B3568" s="14">
        <f>10000000+INDEX(编号表!$B:$B,MATCH(H3568,编号表!$A:$A,0))*100000+INDEX(编号表!$F:$F,MATCH(D3568,编号表!$E:$E,0))*10000+INDEX(编号表!$D:$D,MATCH(AG3568,编号表!$C:$C,0))*1000+F3568</f>
        <v>11958028</v>
      </c>
      <c r="C3568" s="14" t="s">
        <v>6831</v>
      </c>
      <c r="D3568" s="14" t="s">
        <v>333</v>
      </c>
      <c r="E3568" s="14" t="s">
        <v>1231</v>
      </c>
      <c r="F3568" s="14">
        <v>28</v>
      </c>
      <c r="G3568" s="14">
        <v>60</v>
      </c>
      <c r="H3568" s="14" t="s">
        <v>1400</v>
      </c>
      <c r="I3568" s="14" t="s">
        <v>75</v>
      </c>
      <c r="J3568" s="14" t="s">
        <v>201</v>
      </c>
      <c r="K3568" s="14">
        <v>1</v>
      </c>
      <c r="L3568" s="14" t="s">
        <v>1400</v>
      </c>
      <c r="N3568" s="14">
        <v>0</v>
      </c>
      <c r="O3568" s="14" t="b">
        <v>1</v>
      </c>
      <c r="Q3568" s="14" t="b">
        <v>0</v>
      </c>
      <c r="R3568" s="14">
        <v>1</v>
      </c>
      <c r="S3568" s="14" t="s">
        <v>77</v>
      </c>
      <c r="T3568" s="14">
        <v>999</v>
      </c>
      <c r="U3568" s="14" t="s">
        <v>1401</v>
      </c>
      <c r="V3568" s="14">
        <v>31958028</v>
      </c>
      <c r="X3568" s="14" t="s">
        <v>6836</v>
      </c>
      <c r="Y3568" s="14" t="s">
        <v>215</v>
      </c>
      <c r="Z3568" s="14">
        <v>22331</v>
      </c>
      <c r="AA3568" s="14" t="s">
        <v>6837</v>
      </c>
      <c r="AB3568" s="14">
        <v>40001</v>
      </c>
      <c r="AE3568" s="14" t="s">
        <v>1400</v>
      </c>
      <c r="AF3568" s="14" t="s">
        <v>1400</v>
      </c>
      <c r="AG3568" s="14" t="s">
        <v>1231</v>
      </c>
    </row>
    <row r="3569" spans="2:33">
      <c r="B3569" s="14">
        <f>10000000+INDEX(编号表!$B:$B,MATCH(H3569,编号表!$A:$A,0))*100000+INDEX(编号表!$F:$F,MATCH(D3569,编号表!$E:$E,0))*10000+INDEX(编号表!$D:$D,MATCH(AG3569,编号表!$C:$C,0))*1000+F3569</f>
        <v>11938027</v>
      </c>
      <c r="C3569" s="14" t="s">
        <v>6838</v>
      </c>
      <c r="D3569" s="14" t="s">
        <v>276</v>
      </c>
      <c r="E3569" s="14" t="s">
        <v>1231</v>
      </c>
      <c r="F3569" s="14">
        <v>27</v>
      </c>
      <c r="G3569" s="14">
        <v>60</v>
      </c>
      <c r="H3569" s="14" t="s">
        <v>1400</v>
      </c>
      <c r="I3569" s="14" t="s">
        <v>75</v>
      </c>
      <c r="J3569" s="14" t="s">
        <v>201</v>
      </c>
      <c r="K3569" s="14">
        <v>1</v>
      </c>
      <c r="L3569" s="14" t="s">
        <v>1400</v>
      </c>
      <c r="N3569" s="14">
        <v>0</v>
      </c>
      <c r="O3569" s="14" t="b">
        <v>1</v>
      </c>
      <c r="Q3569" s="14" t="b">
        <v>0</v>
      </c>
      <c r="R3569" s="14">
        <v>1</v>
      </c>
      <c r="S3569" s="14" t="s">
        <v>77</v>
      </c>
      <c r="T3569" s="14">
        <v>999</v>
      </c>
      <c r="U3569" s="14" t="s">
        <v>1401</v>
      </c>
      <c r="V3569" s="14">
        <v>31938027</v>
      </c>
      <c r="X3569" s="14" t="s">
        <v>6839</v>
      </c>
      <c r="Y3569" s="14" t="s">
        <v>215</v>
      </c>
      <c r="Z3569" s="14">
        <v>22332</v>
      </c>
      <c r="AA3569" s="14" t="s">
        <v>6840</v>
      </c>
      <c r="AB3569" s="14">
        <v>40001</v>
      </c>
      <c r="AE3569" s="14" t="s">
        <v>1400</v>
      </c>
      <c r="AF3569" s="14" t="s">
        <v>1400</v>
      </c>
      <c r="AG3569" s="14" t="s">
        <v>1231</v>
      </c>
    </row>
    <row r="3570" spans="2:33">
      <c r="B3570" s="14">
        <f>10000000+INDEX(编号表!$B:$B,MATCH(H3570,编号表!$A:$A,0))*100000+INDEX(编号表!$F:$F,MATCH(D3570,编号表!$E:$E,0))*10000+INDEX(编号表!$D:$D,MATCH(AG3570,编号表!$C:$C,0))*1000+F3570</f>
        <v>11948028</v>
      </c>
      <c r="C3570" s="14" t="s">
        <v>6838</v>
      </c>
      <c r="D3570" s="14" t="s">
        <v>104</v>
      </c>
      <c r="E3570" s="14" t="s">
        <v>1231</v>
      </c>
      <c r="F3570" s="14">
        <v>28</v>
      </c>
      <c r="G3570" s="14">
        <v>60</v>
      </c>
      <c r="H3570" s="14" t="s">
        <v>1400</v>
      </c>
      <c r="I3570" s="14" t="s">
        <v>75</v>
      </c>
      <c r="J3570" s="14" t="s">
        <v>201</v>
      </c>
      <c r="K3570" s="14">
        <v>1</v>
      </c>
      <c r="L3570" s="14" t="s">
        <v>1400</v>
      </c>
      <c r="N3570" s="14">
        <v>0</v>
      </c>
      <c r="O3570" s="14" t="b">
        <v>1</v>
      </c>
      <c r="Q3570" s="14" t="b">
        <v>0</v>
      </c>
      <c r="R3570" s="14">
        <v>1</v>
      </c>
      <c r="S3570" s="14" t="s">
        <v>77</v>
      </c>
      <c r="T3570" s="14">
        <v>999</v>
      </c>
      <c r="U3570" s="14" t="s">
        <v>1401</v>
      </c>
      <c r="V3570" s="14">
        <v>31948028</v>
      </c>
      <c r="X3570" s="14" t="s">
        <v>6841</v>
      </c>
      <c r="Y3570" s="14" t="s">
        <v>215</v>
      </c>
      <c r="Z3570" s="14">
        <v>22333</v>
      </c>
      <c r="AA3570" s="14" t="s">
        <v>6842</v>
      </c>
      <c r="AB3570" s="14">
        <v>40001</v>
      </c>
      <c r="AE3570" s="14" t="s">
        <v>1400</v>
      </c>
      <c r="AF3570" s="14" t="s">
        <v>1400</v>
      </c>
      <c r="AG3570" s="14" t="s">
        <v>1231</v>
      </c>
    </row>
    <row r="3571" spans="2:33">
      <c r="B3571" s="14">
        <f>10000000+INDEX(编号表!$B:$B,MATCH(H3571,编号表!$A:$A,0))*100000+INDEX(编号表!$F:$F,MATCH(D3571,编号表!$E:$E,0))*10000+INDEX(编号表!$D:$D,MATCH(AG3571,编号表!$C:$C,0))*1000+F3571</f>
        <v>11958029</v>
      </c>
      <c r="C3571" s="14" t="s">
        <v>6838</v>
      </c>
      <c r="D3571" s="14" t="s">
        <v>333</v>
      </c>
      <c r="E3571" s="14" t="s">
        <v>1231</v>
      </c>
      <c r="F3571" s="14">
        <v>29</v>
      </c>
      <c r="G3571" s="14">
        <v>60</v>
      </c>
      <c r="H3571" s="14" t="s">
        <v>1400</v>
      </c>
      <c r="I3571" s="14" t="s">
        <v>75</v>
      </c>
      <c r="J3571" s="14" t="s">
        <v>201</v>
      </c>
      <c r="K3571" s="14">
        <v>1</v>
      </c>
      <c r="L3571" s="14" t="s">
        <v>1400</v>
      </c>
      <c r="N3571" s="14">
        <v>0</v>
      </c>
      <c r="O3571" s="14" t="b">
        <v>1</v>
      </c>
      <c r="Q3571" s="14" t="b">
        <v>0</v>
      </c>
      <c r="R3571" s="14">
        <v>1</v>
      </c>
      <c r="S3571" s="14" t="s">
        <v>77</v>
      </c>
      <c r="T3571" s="14">
        <v>999</v>
      </c>
      <c r="U3571" s="14" t="s">
        <v>1401</v>
      </c>
      <c r="V3571" s="14">
        <v>31958029</v>
      </c>
      <c r="X3571" s="14" t="s">
        <v>6843</v>
      </c>
      <c r="Y3571" s="14" t="s">
        <v>215</v>
      </c>
      <c r="Z3571" s="14">
        <v>22334</v>
      </c>
      <c r="AA3571" s="14" t="s">
        <v>6844</v>
      </c>
      <c r="AB3571" s="14">
        <v>40001</v>
      </c>
      <c r="AE3571" s="14" t="s">
        <v>1400</v>
      </c>
      <c r="AF3571" s="14" t="s">
        <v>1400</v>
      </c>
      <c r="AG3571" s="14" t="s">
        <v>1231</v>
      </c>
    </row>
    <row r="3572" spans="2:33">
      <c r="B3572" s="14">
        <f>10000000+INDEX(编号表!$B:$B,MATCH(H3572,编号表!$A:$A,0))*100000+INDEX(编号表!$F:$F,MATCH(D3572,编号表!$E:$E,0))*10000+INDEX(编号表!$D:$D,MATCH(AG3572,编号表!$C:$C,0))*1000+F3572</f>
        <v>11938028</v>
      </c>
      <c r="C3572" s="14" t="s">
        <v>6845</v>
      </c>
      <c r="D3572" s="14" t="s">
        <v>276</v>
      </c>
      <c r="E3572" s="14" t="s">
        <v>1231</v>
      </c>
      <c r="F3572" s="14">
        <v>28</v>
      </c>
      <c r="G3572" s="14">
        <v>60</v>
      </c>
      <c r="H3572" s="14" t="s">
        <v>1400</v>
      </c>
      <c r="I3572" s="14" t="s">
        <v>75</v>
      </c>
      <c r="J3572" s="14" t="s">
        <v>201</v>
      </c>
      <c r="K3572" s="14">
        <v>1</v>
      </c>
      <c r="L3572" s="14" t="s">
        <v>1400</v>
      </c>
      <c r="N3572" s="14">
        <v>0</v>
      </c>
      <c r="O3572" s="14" t="b">
        <v>1</v>
      </c>
      <c r="Q3572" s="14" t="b">
        <v>0</v>
      </c>
      <c r="R3572" s="14">
        <v>1</v>
      </c>
      <c r="S3572" s="14" t="s">
        <v>77</v>
      </c>
      <c r="T3572" s="14">
        <v>999</v>
      </c>
      <c r="U3572" s="14" t="s">
        <v>1401</v>
      </c>
      <c r="V3572" s="14">
        <v>31938028</v>
      </c>
      <c r="X3572" s="14" t="s">
        <v>6846</v>
      </c>
      <c r="Y3572" s="14" t="s">
        <v>215</v>
      </c>
      <c r="Z3572" s="14">
        <v>22335</v>
      </c>
      <c r="AA3572" s="14" t="s">
        <v>6847</v>
      </c>
      <c r="AB3572" s="14">
        <v>40001</v>
      </c>
      <c r="AE3572" s="14" t="s">
        <v>1400</v>
      </c>
      <c r="AF3572" s="14" t="s">
        <v>1400</v>
      </c>
      <c r="AG3572" s="14" t="s">
        <v>1231</v>
      </c>
    </row>
    <row r="3573" spans="2:33">
      <c r="B3573" s="14">
        <f>10000000+INDEX(编号表!$B:$B,MATCH(H3573,编号表!$A:$A,0))*100000+INDEX(编号表!$F:$F,MATCH(D3573,编号表!$E:$E,0))*10000+INDEX(编号表!$D:$D,MATCH(AG3573,编号表!$C:$C,0))*1000+F3573</f>
        <v>11948029</v>
      </c>
      <c r="C3573" s="14" t="s">
        <v>6845</v>
      </c>
      <c r="D3573" s="14" t="s">
        <v>104</v>
      </c>
      <c r="E3573" s="14" t="s">
        <v>1231</v>
      </c>
      <c r="F3573" s="14">
        <v>29</v>
      </c>
      <c r="G3573" s="14">
        <v>60</v>
      </c>
      <c r="H3573" s="14" t="s">
        <v>1400</v>
      </c>
      <c r="I3573" s="14" t="s">
        <v>75</v>
      </c>
      <c r="J3573" s="14" t="s">
        <v>201</v>
      </c>
      <c r="K3573" s="14">
        <v>1</v>
      </c>
      <c r="L3573" s="14" t="s">
        <v>1400</v>
      </c>
      <c r="N3573" s="14">
        <v>0</v>
      </c>
      <c r="O3573" s="14" t="b">
        <v>1</v>
      </c>
      <c r="Q3573" s="14" t="b">
        <v>0</v>
      </c>
      <c r="R3573" s="14">
        <v>1</v>
      </c>
      <c r="S3573" s="14" t="s">
        <v>77</v>
      </c>
      <c r="T3573" s="14">
        <v>999</v>
      </c>
      <c r="U3573" s="14" t="s">
        <v>1401</v>
      </c>
      <c r="V3573" s="14">
        <v>31948029</v>
      </c>
      <c r="X3573" s="14" t="s">
        <v>6848</v>
      </c>
      <c r="Y3573" s="14" t="s">
        <v>215</v>
      </c>
      <c r="Z3573" s="14">
        <v>22336</v>
      </c>
      <c r="AA3573" s="14" t="s">
        <v>6849</v>
      </c>
      <c r="AB3573" s="14">
        <v>40001</v>
      </c>
      <c r="AE3573" s="14" t="s">
        <v>1400</v>
      </c>
      <c r="AF3573" s="14" t="s">
        <v>1400</v>
      </c>
      <c r="AG3573" s="14" t="s">
        <v>1231</v>
      </c>
    </row>
    <row r="3574" spans="2:33">
      <c r="B3574" s="14">
        <f>10000000+INDEX(编号表!$B:$B,MATCH(H3574,编号表!$A:$A,0))*100000+INDEX(编号表!$F:$F,MATCH(D3574,编号表!$E:$E,0))*10000+INDEX(编号表!$D:$D,MATCH(AG3574,编号表!$C:$C,0))*1000+F3574</f>
        <v>11958030</v>
      </c>
      <c r="C3574" s="14" t="s">
        <v>6845</v>
      </c>
      <c r="D3574" s="14" t="s">
        <v>333</v>
      </c>
      <c r="E3574" s="14" t="s">
        <v>1231</v>
      </c>
      <c r="F3574" s="14">
        <v>30</v>
      </c>
      <c r="G3574" s="14">
        <v>60</v>
      </c>
      <c r="H3574" s="14" t="s">
        <v>1400</v>
      </c>
      <c r="I3574" s="14" t="s">
        <v>75</v>
      </c>
      <c r="J3574" s="14" t="s">
        <v>201</v>
      </c>
      <c r="K3574" s="14">
        <v>1</v>
      </c>
      <c r="L3574" s="14" t="s">
        <v>1400</v>
      </c>
      <c r="N3574" s="14">
        <v>0</v>
      </c>
      <c r="O3574" s="14" t="b">
        <v>1</v>
      </c>
      <c r="Q3574" s="14" t="b">
        <v>0</v>
      </c>
      <c r="R3574" s="14">
        <v>1</v>
      </c>
      <c r="S3574" s="14" t="s">
        <v>77</v>
      </c>
      <c r="T3574" s="14">
        <v>999</v>
      </c>
      <c r="U3574" s="14" t="s">
        <v>1401</v>
      </c>
      <c r="V3574" s="14">
        <v>31958030</v>
      </c>
      <c r="X3574" s="14" t="s">
        <v>6850</v>
      </c>
      <c r="Y3574" s="14" t="s">
        <v>215</v>
      </c>
      <c r="Z3574" s="14">
        <v>22337</v>
      </c>
      <c r="AA3574" s="14" t="s">
        <v>6851</v>
      </c>
      <c r="AB3574" s="14">
        <v>40001</v>
      </c>
      <c r="AE3574" s="14" t="s">
        <v>1400</v>
      </c>
      <c r="AF3574" s="14" t="s">
        <v>1400</v>
      </c>
      <c r="AG3574" s="14" t="s">
        <v>1231</v>
      </c>
    </row>
    <row r="3575" spans="2:33">
      <c r="B3575" s="14">
        <f>10000000+INDEX(编号表!$B:$B,MATCH(H3575,编号表!$A:$A,0))*100000+INDEX(编号表!$F:$F,MATCH(D3575,编号表!$E:$E,0))*10000+INDEX(编号表!$D:$D,MATCH(AG3575,编号表!$C:$C,0))*1000+F3575</f>
        <v>11938029</v>
      </c>
      <c r="C3575" s="14" t="s">
        <v>6852</v>
      </c>
      <c r="D3575" s="14" t="s">
        <v>276</v>
      </c>
      <c r="E3575" s="14" t="s">
        <v>1231</v>
      </c>
      <c r="F3575" s="14">
        <v>29</v>
      </c>
      <c r="G3575" s="14">
        <v>60</v>
      </c>
      <c r="H3575" s="14" t="s">
        <v>1400</v>
      </c>
      <c r="I3575" s="14" t="s">
        <v>75</v>
      </c>
      <c r="J3575" s="14" t="s">
        <v>201</v>
      </c>
      <c r="K3575" s="14">
        <v>1</v>
      </c>
      <c r="L3575" s="14" t="s">
        <v>1400</v>
      </c>
      <c r="N3575" s="14">
        <v>0</v>
      </c>
      <c r="O3575" s="14" t="b">
        <v>1</v>
      </c>
      <c r="Q3575" s="14" t="b">
        <v>0</v>
      </c>
      <c r="R3575" s="14">
        <v>1</v>
      </c>
      <c r="S3575" s="14" t="s">
        <v>77</v>
      </c>
      <c r="T3575" s="14">
        <v>999</v>
      </c>
      <c r="U3575" s="14" t="s">
        <v>1401</v>
      </c>
      <c r="V3575" s="14">
        <v>31938029</v>
      </c>
      <c r="X3575" s="14" t="s">
        <v>6853</v>
      </c>
      <c r="Y3575" s="14" t="s">
        <v>215</v>
      </c>
      <c r="Z3575" s="14">
        <v>22338</v>
      </c>
      <c r="AA3575" s="14" t="s">
        <v>6854</v>
      </c>
      <c r="AB3575" s="14">
        <v>40001</v>
      </c>
      <c r="AE3575" s="14" t="s">
        <v>1400</v>
      </c>
      <c r="AF3575" s="14" t="s">
        <v>1400</v>
      </c>
      <c r="AG3575" s="14" t="s">
        <v>1231</v>
      </c>
    </row>
    <row r="3576" spans="2:33">
      <c r="B3576" s="14">
        <f>10000000+INDEX(编号表!$B:$B,MATCH(H3576,编号表!$A:$A,0))*100000+INDEX(编号表!$F:$F,MATCH(D3576,编号表!$E:$E,0))*10000+INDEX(编号表!$D:$D,MATCH(AG3576,编号表!$C:$C,0))*1000+F3576</f>
        <v>11948030</v>
      </c>
      <c r="C3576" s="14" t="s">
        <v>6852</v>
      </c>
      <c r="D3576" s="14" t="s">
        <v>104</v>
      </c>
      <c r="E3576" s="14" t="s">
        <v>1231</v>
      </c>
      <c r="F3576" s="14">
        <v>30</v>
      </c>
      <c r="G3576" s="14">
        <v>60</v>
      </c>
      <c r="H3576" s="14" t="s">
        <v>1400</v>
      </c>
      <c r="I3576" s="14" t="s">
        <v>75</v>
      </c>
      <c r="J3576" s="14" t="s">
        <v>201</v>
      </c>
      <c r="K3576" s="14">
        <v>1</v>
      </c>
      <c r="L3576" s="14" t="s">
        <v>1400</v>
      </c>
      <c r="N3576" s="14">
        <v>0</v>
      </c>
      <c r="O3576" s="14" t="b">
        <v>1</v>
      </c>
      <c r="Q3576" s="14" t="b">
        <v>0</v>
      </c>
      <c r="R3576" s="14">
        <v>1</v>
      </c>
      <c r="S3576" s="14" t="s">
        <v>77</v>
      </c>
      <c r="T3576" s="14">
        <v>999</v>
      </c>
      <c r="U3576" s="14" t="s">
        <v>1401</v>
      </c>
      <c r="V3576" s="14">
        <v>31948030</v>
      </c>
      <c r="X3576" s="14" t="s">
        <v>6855</v>
      </c>
      <c r="Y3576" s="14" t="s">
        <v>215</v>
      </c>
      <c r="Z3576" s="14">
        <v>22339</v>
      </c>
      <c r="AA3576" s="14" t="s">
        <v>6856</v>
      </c>
      <c r="AB3576" s="14">
        <v>40001</v>
      </c>
      <c r="AE3576" s="14" t="s">
        <v>1400</v>
      </c>
      <c r="AF3576" s="14" t="s">
        <v>1400</v>
      </c>
      <c r="AG3576" s="14" t="s">
        <v>1231</v>
      </c>
    </row>
    <row r="3577" spans="2:33">
      <c r="B3577" s="14">
        <f>10000000+INDEX(编号表!$B:$B,MATCH(H3577,编号表!$A:$A,0))*100000+INDEX(编号表!$F:$F,MATCH(D3577,编号表!$E:$E,0))*10000+INDEX(编号表!$D:$D,MATCH(AG3577,编号表!$C:$C,0))*1000+F3577</f>
        <v>11958031</v>
      </c>
      <c r="C3577" s="14" t="s">
        <v>6852</v>
      </c>
      <c r="D3577" s="14" t="s">
        <v>333</v>
      </c>
      <c r="E3577" s="14" t="s">
        <v>1231</v>
      </c>
      <c r="F3577" s="14">
        <v>31</v>
      </c>
      <c r="G3577" s="14">
        <v>60</v>
      </c>
      <c r="H3577" s="14" t="s">
        <v>1400</v>
      </c>
      <c r="I3577" s="14" t="s">
        <v>75</v>
      </c>
      <c r="J3577" s="14" t="s">
        <v>201</v>
      </c>
      <c r="K3577" s="14">
        <v>1</v>
      </c>
      <c r="L3577" s="14" t="s">
        <v>1400</v>
      </c>
      <c r="N3577" s="14">
        <v>0</v>
      </c>
      <c r="O3577" s="14" t="b">
        <v>1</v>
      </c>
      <c r="Q3577" s="14" t="b">
        <v>0</v>
      </c>
      <c r="R3577" s="14">
        <v>1</v>
      </c>
      <c r="S3577" s="14" t="s">
        <v>77</v>
      </c>
      <c r="T3577" s="14">
        <v>999</v>
      </c>
      <c r="U3577" s="14" t="s">
        <v>1401</v>
      </c>
      <c r="V3577" s="14">
        <v>31958031</v>
      </c>
      <c r="X3577" s="14" t="s">
        <v>6857</v>
      </c>
      <c r="Y3577" s="14" t="s">
        <v>215</v>
      </c>
      <c r="Z3577" s="14">
        <v>22340</v>
      </c>
      <c r="AA3577" s="14" t="s">
        <v>6858</v>
      </c>
      <c r="AB3577" s="14">
        <v>40001</v>
      </c>
      <c r="AE3577" s="14" t="s">
        <v>1400</v>
      </c>
      <c r="AF3577" s="14" t="s">
        <v>1400</v>
      </c>
      <c r="AG3577" s="14" t="s">
        <v>1231</v>
      </c>
    </row>
    <row r="3578" spans="2:33">
      <c r="B3578" s="14">
        <f>10000000+INDEX(编号表!$B:$B,MATCH(H3578,编号表!$A:$A,0))*100000+INDEX(编号表!$F:$F,MATCH(D3578,编号表!$E:$E,0))*10000+INDEX(编号表!$D:$D,MATCH(AG3578,编号表!$C:$C,0))*1000+F3578</f>
        <v>11938030</v>
      </c>
      <c r="C3578" s="14" t="s">
        <v>6859</v>
      </c>
      <c r="D3578" s="14" t="s">
        <v>276</v>
      </c>
      <c r="E3578" s="14" t="s">
        <v>1231</v>
      </c>
      <c r="F3578" s="14">
        <v>30</v>
      </c>
      <c r="G3578" s="14">
        <v>60</v>
      </c>
      <c r="H3578" s="14" t="s">
        <v>1400</v>
      </c>
      <c r="I3578" s="14" t="s">
        <v>75</v>
      </c>
      <c r="J3578" s="14" t="s">
        <v>201</v>
      </c>
      <c r="K3578" s="14">
        <v>1</v>
      </c>
      <c r="L3578" s="14" t="s">
        <v>1400</v>
      </c>
      <c r="N3578" s="14">
        <v>0</v>
      </c>
      <c r="O3578" s="14" t="b">
        <v>1</v>
      </c>
      <c r="Q3578" s="14" t="b">
        <v>0</v>
      </c>
      <c r="R3578" s="14">
        <v>1</v>
      </c>
      <c r="S3578" s="14" t="s">
        <v>77</v>
      </c>
      <c r="T3578" s="14">
        <v>999</v>
      </c>
      <c r="U3578" s="14" t="s">
        <v>1401</v>
      </c>
      <c r="V3578" s="14">
        <v>31938030</v>
      </c>
      <c r="X3578" s="14" t="s">
        <v>6860</v>
      </c>
      <c r="Y3578" s="14" t="s">
        <v>215</v>
      </c>
      <c r="Z3578" s="14">
        <v>22341</v>
      </c>
      <c r="AA3578" s="14" t="s">
        <v>6861</v>
      </c>
      <c r="AB3578" s="14">
        <v>40001</v>
      </c>
      <c r="AE3578" s="14" t="s">
        <v>1400</v>
      </c>
      <c r="AF3578" s="14" t="s">
        <v>1400</v>
      </c>
      <c r="AG3578" s="14" t="s">
        <v>1231</v>
      </c>
    </row>
    <row r="3579" spans="2:33">
      <c r="B3579" s="14">
        <f>10000000+INDEX(编号表!$B:$B,MATCH(H3579,编号表!$A:$A,0))*100000+INDEX(编号表!$F:$F,MATCH(D3579,编号表!$E:$E,0))*10000+INDEX(编号表!$D:$D,MATCH(AG3579,编号表!$C:$C,0))*1000+F3579</f>
        <v>11948031</v>
      </c>
      <c r="C3579" s="14" t="s">
        <v>6859</v>
      </c>
      <c r="D3579" s="14" t="s">
        <v>104</v>
      </c>
      <c r="E3579" s="14" t="s">
        <v>1231</v>
      </c>
      <c r="F3579" s="14">
        <v>31</v>
      </c>
      <c r="G3579" s="14">
        <v>60</v>
      </c>
      <c r="H3579" s="14" t="s">
        <v>1400</v>
      </c>
      <c r="I3579" s="14" t="s">
        <v>75</v>
      </c>
      <c r="J3579" s="14" t="s">
        <v>201</v>
      </c>
      <c r="K3579" s="14">
        <v>1</v>
      </c>
      <c r="L3579" s="14" t="s">
        <v>1400</v>
      </c>
      <c r="N3579" s="14">
        <v>0</v>
      </c>
      <c r="O3579" s="14" t="b">
        <v>1</v>
      </c>
      <c r="Q3579" s="14" t="b">
        <v>0</v>
      </c>
      <c r="R3579" s="14">
        <v>1</v>
      </c>
      <c r="S3579" s="14" t="s">
        <v>77</v>
      </c>
      <c r="T3579" s="14">
        <v>999</v>
      </c>
      <c r="U3579" s="14" t="s">
        <v>1401</v>
      </c>
      <c r="V3579" s="14">
        <v>31948031</v>
      </c>
      <c r="X3579" s="14" t="s">
        <v>6862</v>
      </c>
      <c r="Y3579" s="14" t="s">
        <v>215</v>
      </c>
      <c r="Z3579" s="14">
        <v>22342</v>
      </c>
      <c r="AA3579" s="14" t="s">
        <v>6863</v>
      </c>
      <c r="AB3579" s="14">
        <v>40001</v>
      </c>
      <c r="AE3579" s="14" t="s">
        <v>1400</v>
      </c>
      <c r="AF3579" s="14" t="s">
        <v>1400</v>
      </c>
      <c r="AG3579" s="14" t="s">
        <v>1231</v>
      </c>
    </row>
    <row r="3580" spans="2:33">
      <c r="B3580" s="14">
        <f>10000000+INDEX(编号表!$B:$B,MATCH(H3580,编号表!$A:$A,0))*100000+INDEX(编号表!$F:$F,MATCH(D3580,编号表!$E:$E,0))*10000+INDEX(编号表!$D:$D,MATCH(AG3580,编号表!$C:$C,0))*1000+F3580</f>
        <v>11958032</v>
      </c>
      <c r="C3580" s="14" t="s">
        <v>6859</v>
      </c>
      <c r="D3580" s="14" t="s">
        <v>333</v>
      </c>
      <c r="E3580" s="14" t="s">
        <v>1231</v>
      </c>
      <c r="F3580" s="14">
        <v>32</v>
      </c>
      <c r="G3580" s="14">
        <v>60</v>
      </c>
      <c r="H3580" s="14" t="s">
        <v>1400</v>
      </c>
      <c r="I3580" s="14" t="s">
        <v>75</v>
      </c>
      <c r="J3580" s="14" t="s">
        <v>201</v>
      </c>
      <c r="K3580" s="14">
        <v>1</v>
      </c>
      <c r="L3580" s="14" t="s">
        <v>1400</v>
      </c>
      <c r="N3580" s="14">
        <v>0</v>
      </c>
      <c r="O3580" s="14" t="b">
        <v>1</v>
      </c>
      <c r="Q3580" s="14" t="b">
        <v>0</v>
      </c>
      <c r="R3580" s="14">
        <v>1</v>
      </c>
      <c r="S3580" s="14" t="s">
        <v>77</v>
      </c>
      <c r="T3580" s="14">
        <v>999</v>
      </c>
      <c r="U3580" s="14" t="s">
        <v>1401</v>
      </c>
      <c r="V3580" s="14">
        <v>31958032</v>
      </c>
      <c r="X3580" s="14" t="s">
        <v>6864</v>
      </c>
      <c r="Y3580" s="14" t="s">
        <v>215</v>
      </c>
      <c r="Z3580" s="14">
        <v>22343</v>
      </c>
      <c r="AA3580" s="14" t="s">
        <v>6865</v>
      </c>
      <c r="AB3580" s="14">
        <v>40001</v>
      </c>
      <c r="AE3580" s="14" t="s">
        <v>1400</v>
      </c>
      <c r="AF3580" s="14" t="s">
        <v>1400</v>
      </c>
      <c r="AG3580" s="14" t="s">
        <v>1231</v>
      </c>
    </row>
    <row r="3581" spans="2:33">
      <c r="B3581" s="14">
        <f>10000000+INDEX(编号表!$B:$B,MATCH(H3581,编号表!$A:$A,0))*100000+INDEX(编号表!$F:$F,MATCH(D3581,编号表!$E:$E,0))*10000+INDEX(编号表!$D:$D,MATCH(AG3581,编号表!$C:$C,0))*1000+F3581</f>
        <v>11938031</v>
      </c>
      <c r="C3581" s="14" t="s">
        <v>6866</v>
      </c>
      <c r="D3581" s="14" t="s">
        <v>276</v>
      </c>
      <c r="E3581" s="14" t="s">
        <v>1231</v>
      </c>
      <c r="F3581" s="14">
        <v>31</v>
      </c>
      <c r="G3581" s="14">
        <v>60</v>
      </c>
      <c r="H3581" s="14" t="s">
        <v>1400</v>
      </c>
      <c r="I3581" s="14" t="s">
        <v>75</v>
      </c>
      <c r="J3581" s="14" t="s">
        <v>201</v>
      </c>
      <c r="K3581" s="14">
        <v>1</v>
      </c>
      <c r="L3581" s="14" t="s">
        <v>1400</v>
      </c>
      <c r="N3581" s="14">
        <v>0</v>
      </c>
      <c r="O3581" s="14" t="b">
        <v>1</v>
      </c>
      <c r="Q3581" s="14" t="b">
        <v>0</v>
      </c>
      <c r="R3581" s="14">
        <v>1</v>
      </c>
      <c r="S3581" s="14" t="s">
        <v>77</v>
      </c>
      <c r="T3581" s="14">
        <v>999</v>
      </c>
      <c r="U3581" s="14" t="s">
        <v>1401</v>
      </c>
      <c r="V3581" s="14">
        <v>31938031</v>
      </c>
      <c r="X3581" s="14" t="s">
        <v>6867</v>
      </c>
      <c r="Y3581" s="14" t="s">
        <v>215</v>
      </c>
      <c r="Z3581" s="14">
        <v>22344</v>
      </c>
      <c r="AA3581" s="14" t="s">
        <v>6868</v>
      </c>
      <c r="AB3581" s="14">
        <v>40001</v>
      </c>
      <c r="AE3581" s="14" t="s">
        <v>1400</v>
      </c>
      <c r="AF3581" s="14" t="s">
        <v>1400</v>
      </c>
      <c r="AG3581" s="14" t="s">
        <v>1231</v>
      </c>
    </row>
    <row r="3582" spans="2:33">
      <c r="B3582" s="14">
        <f>10000000+INDEX(编号表!$B:$B,MATCH(H3582,编号表!$A:$A,0))*100000+INDEX(编号表!$F:$F,MATCH(D3582,编号表!$E:$E,0))*10000+INDEX(编号表!$D:$D,MATCH(AG3582,编号表!$C:$C,0))*1000+F3582</f>
        <v>11948032</v>
      </c>
      <c r="C3582" s="14" t="s">
        <v>6866</v>
      </c>
      <c r="D3582" s="14" t="s">
        <v>104</v>
      </c>
      <c r="E3582" s="14" t="s">
        <v>1231</v>
      </c>
      <c r="F3582" s="14">
        <v>32</v>
      </c>
      <c r="G3582" s="14">
        <v>60</v>
      </c>
      <c r="H3582" s="14" t="s">
        <v>1400</v>
      </c>
      <c r="I3582" s="14" t="s">
        <v>75</v>
      </c>
      <c r="J3582" s="14" t="s">
        <v>201</v>
      </c>
      <c r="K3582" s="14">
        <v>1</v>
      </c>
      <c r="L3582" s="14" t="s">
        <v>1400</v>
      </c>
      <c r="N3582" s="14">
        <v>0</v>
      </c>
      <c r="O3582" s="14" t="b">
        <v>1</v>
      </c>
      <c r="Q3582" s="14" t="b">
        <v>0</v>
      </c>
      <c r="R3582" s="14">
        <v>1</v>
      </c>
      <c r="S3582" s="14" t="s">
        <v>77</v>
      </c>
      <c r="T3582" s="14">
        <v>999</v>
      </c>
      <c r="U3582" s="14" t="s">
        <v>1401</v>
      </c>
      <c r="V3582" s="14">
        <v>31948032</v>
      </c>
      <c r="X3582" s="14" t="s">
        <v>6869</v>
      </c>
      <c r="Y3582" s="14" t="s">
        <v>215</v>
      </c>
      <c r="Z3582" s="14">
        <v>22345</v>
      </c>
      <c r="AA3582" s="14" t="s">
        <v>6870</v>
      </c>
      <c r="AB3582" s="14">
        <v>40001</v>
      </c>
      <c r="AE3582" s="14" t="s">
        <v>1400</v>
      </c>
      <c r="AF3582" s="14" t="s">
        <v>1400</v>
      </c>
      <c r="AG3582" s="14" t="s">
        <v>1231</v>
      </c>
    </row>
    <row r="3583" spans="2:33">
      <c r="B3583" s="14">
        <f>10000000+INDEX(编号表!$B:$B,MATCH(H3583,编号表!$A:$A,0))*100000+INDEX(编号表!$F:$F,MATCH(D3583,编号表!$E:$E,0))*10000+INDEX(编号表!$D:$D,MATCH(AG3583,编号表!$C:$C,0))*1000+F3583</f>
        <v>11958033</v>
      </c>
      <c r="C3583" s="14" t="s">
        <v>6866</v>
      </c>
      <c r="D3583" s="14" t="s">
        <v>333</v>
      </c>
      <c r="E3583" s="14" t="s">
        <v>1231</v>
      </c>
      <c r="F3583" s="14">
        <v>33</v>
      </c>
      <c r="G3583" s="14">
        <v>60</v>
      </c>
      <c r="H3583" s="14" t="s">
        <v>1400</v>
      </c>
      <c r="I3583" s="14" t="s">
        <v>75</v>
      </c>
      <c r="J3583" s="14" t="s">
        <v>201</v>
      </c>
      <c r="K3583" s="14">
        <v>1</v>
      </c>
      <c r="L3583" s="14" t="s">
        <v>1400</v>
      </c>
      <c r="N3583" s="14">
        <v>0</v>
      </c>
      <c r="O3583" s="14" t="b">
        <v>1</v>
      </c>
      <c r="Q3583" s="14" t="b">
        <v>0</v>
      </c>
      <c r="R3583" s="14">
        <v>1</v>
      </c>
      <c r="S3583" s="14" t="s">
        <v>77</v>
      </c>
      <c r="T3583" s="14">
        <v>999</v>
      </c>
      <c r="U3583" s="14" t="s">
        <v>1401</v>
      </c>
      <c r="V3583" s="14">
        <v>31958033</v>
      </c>
      <c r="X3583" s="14" t="s">
        <v>6871</v>
      </c>
      <c r="Y3583" s="14" t="s">
        <v>215</v>
      </c>
      <c r="Z3583" s="14">
        <v>22346</v>
      </c>
      <c r="AA3583" s="14" t="s">
        <v>6872</v>
      </c>
      <c r="AB3583" s="14">
        <v>40001</v>
      </c>
      <c r="AE3583" s="14" t="s">
        <v>1400</v>
      </c>
      <c r="AF3583" s="14" t="s">
        <v>1400</v>
      </c>
      <c r="AG3583" s="14" t="s">
        <v>1231</v>
      </c>
    </row>
    <row r="3584" spans="2:33">
      <c r="B3584" s="14">
        <f>10000000+INDEX(编号表!$B:$B,MATCH(H3584,编号表!$A:$A,0))*100000+INDEX(编号表!$F:$F,MATCH(D3584,编号表!$E:$E,0))*10000+INDEX(编号表!$D:$D,MATCH(AG3584,编号表!$C:$C,0))*1000+F3584</f>
        <v>11938032</v>
      </c>
      <c r="C3584" s="14" t="s">
        <v>6873</v>
      </c>
      <c r="D3584" s="14" t="s">
        <v>276</v>
      </c>
      <c r="E3584" s="14" t="s">
        <v>1231</v>
      </c>
      <c r="F3584" s="14">
        <v>32</v>
      </c>
      <c r="G3584" s="14">
        <v>60</v>
      </c>
      <c r="H3584" s="14" t="s">
        <v>1400</v>
      </c>
      <c r="I3584" s="14" t="s">
        <v>75</v>
      </c>
      <c r="J3584" s="14" t="s">
        <v>201</v>
      </c>
      <c r="K3584" s="14">
        <v>1</v>
      </c>
      <c r="L3584" s="14" t="s">
        <v>1400</v>
      </c>
      <c r="N3584" s="14">
        <v>0</v>
      </c>
      <c r="O3584" s="14" t="b">
        <v>1</v>
      </c>
      <c r="Q3584" s="14" t="b">
        <v>0</v>
      </c>
      <c r="R3584" s="14">
        <v>1</v>
      </c>
      <c r="S3584" s="14" t="s">
        <v>77</v>
      </c>
      <c r="T3584" s="14">
        <v>999</v>
      </c>
      <c r="U3584" s="14" t="s">
        <v>1401</v>
      </c>
      <c r="V3584" s="14">
        <v>31938032</v>
      </c>
      <c r="X3584" s="14" t="s">
        <v>6874</v>
      </c>
      <c r="Y3584" s="14" t="s">
        <v>215</v>
      </c>
      <c r="Z3584" s="14">
        <v>22347</v>
      </c>
      <c r="AA3584" s="14" t="s">
        <v>6875</v>
      </c>
      <c r="AB3584" s="14">
        <v>40001</v>
      </c>
      <c r="AE3584" s="14" t="s">
        <v>1400</v>
      </c>
      <c r="AF3584" s="14" t="s">
        <v>1400</v>
      </c>
      <c r="AG3584" s="14" t="s">
        <v>1231</v>
      </c>
    </row>
    <row r="3585" spans="2:33">
      <c r="B3585" s="14">
        <f>10000000+INDEX(编号表!$B:$B,MATCH(H3585,编号表!$A:$A,0))*100000+INDEX(编号表!$F:$F,MATCH(D3585,编号表!$E:$E,0))*10000+INDEX(编号表!$D:$D,MATCH(AG3585,编号表!$C:$C,0))*1000+F3585</f>
        <v>11948033</v>
      </c>
      <c r="C3585" s="14" t="s">
        <v>6873</v>
      </c>
      <c r="D3585" s="14" t="s">
        <v>104</v>
      </c>
      <c r="E3585" s="14" t="s">
        <v>1231</v>
      </c>
      <c r="F3585" s="14">
        <v>33</v>
      </c>
      <c r="G3585" s="14">
        <v>60</v>
      </c>
      <c r="H3585" s="14" t="s">
        <v>1400</v>
      </c>
      <c r="I3585" s="14" t="s">
        <v>75</v>
      </c>
      <c r="J3585" s="14" t="s">
        <v>201</v>
      </c>
      <c r="K3585" s="14">
        <v>1</v>
      </c>
      <c r="L3585" s="14" t="s">
        <v>1400</v>
      </c>
      <c r="N3585" s="14">
        <v>0</v>
      </c>
      <c r="O3585" s="14" t="b">
        <v>1</v>
      </c>
      <c r="Q3585" s="14" t="b">
        <v>0</v>
      </c>
      <c r="R3585" s="14">
        <v>1</v>
      </c>
      <c r="S3585" s="14" t="s">
        <v>77</v>
      </c>
      <c r="T3585" s="14">
        <v>999</v>
      </c>
      <c r="U3585" s="14" t="s">
        <v>1401</v>
      </c>
      <c r="V3585" s="14">
        <v>31948033</v>
      </c>
      <c r="X3585" s="14" t="s">
        <v>6876</v>
      </c>
      <c r="Y3585" s="14" t="s">
        <v>215</v>
      </c>
      <c r="Z3585" s="14">
        <v>22348</v>
      </c>
      <c r="AA3585" s="14" t="s">
        <v>6877</v>
      </c>
      <c r="AB3585" s="14">
        <v>40001</v>
      </c>
      <c r="AE3585" s="14" t="s">
        <v>1400</v>
      </c>
      <c r="AF3585" s="14" t="s">
        <v>1400</v>
      </c>
      <c r="AG3585" s="14" t="s">
        <v>1231</v>
      </c>
    </row>
    <row r="3586" spans="2:33">
      <c r="B3586" s="14">
        <f>10000000+INDEX(编号表!$B:$B,MATCH(H3586,编号表!$A:$A,0))*100000+INDEX(编号表!$F:$F,MATCH(D3586,编号表!$E:$E,0))*10000+INDEX(编号表!$D:$D,MATCH(AG3586,编号表!$C:$C,0))*1000+F3586</f>
        <v>11958034</v>
      </c>
      <c r="C3586" s="14" t="s">
        <v>6873</v>
      </c>
      <c r="D3586" s="14" t="s">
        <v>333</v>
      </c>
      <c r="E3586" s="14" t="s">
        <v>1231</v>
      </c>
      <c r="F3586" s="14">
        <v>34</v>
      </c>
      <c r="G3586" s="14">
        <v>60</v>
      </c>
      <c r="H3586" s="14" t="s">
        <v>1400</v>
      </c>
      <c r="I3586" s="14" t="s">
        <v>75</v>
      </c>
      <c r="J3586" s="14" t="s">
        <v>201</v>
      </c>
      <c r="K3586" s="14">
        <v>1</v>
      </c>
      <c r="L3586" s="14" t="s">
        <v>1400</v>
      </c>
      <c r="N3586" s="14">
        <v>0</v>
      </c>
      <c r="O3586" s="14" t="b">
        <v>1</v>
      </c>
      <c r="Q3586" s="14" t="b">
        <v>0</v>
      </c>
      <c r="R3586" s="14">
        <v>1</v>
      </c>
      <c r="S3586" s="14" t="s">
        <v>77</v>
      </c>
      <c r="T3586" s="14">
        <v>999</v>
      </c>
      <c r="U3586" s="14" t="s">
        <v>1401</v>
      </c>
      <c r="V3586" s="14">
        <v>31958034</v>
      </c>
      <c r="X3586" s="14" t="s">
        <v>6878</v>
      </c>
      <c r="Y3586" s="14" t="s">
        <v>215</v>
      </c>
      <c r="Z3586" s="14">
        <v>22349</v>
      </c>
      <c r="AA3586" s="14" t="s">
        <v>6879</v>
      </c>
      <c r="AB3586" s="14">
        <v>40001</v>
      </c>
      <c r="AE3586" s="14" t="s">
        <v>1400</v>
      </c>
      <c r="AF3586" s="14" t="s">
        <v>1400</v>
      </c>
      <c r="AG3586" s="14" t="s">
        <v>1231</v>
      </c>
    </row>
    <row r="3587" spans="2:33">
      <c r="B3587" s="14">
        <f>10000000+INDEX(编号表!$B:$B,MATCH(H3587,编号表!$A:$A,0))*100000+INDEX(编号表!$F:$F,MATCH(D3587,编号表!$E:$E,0))*10000+INDEX(编号表!$D:$D,MATCH(AG3587,编号表!$C:$C,0))*1000+F3587</f>
        <v>11938033</v>
      </c>
      <c r="C3587" s="14" t="s">
        <v>6880</v>
      </c>
      <c r="D3587" s="14" t="s">
        <v>276</v>
      </c>
      <c r="E3587" s="14" t="s">
        <v>1231</v>
      </c>
      <c r="F3587" s="14">
        <v>33</v>
      </c>
      <c r="G3587" s="14">
        <v>60</v>
      </c>
      <c r="H3587" s="14" t="s">
        <v>1400</v>
      </c>
      <c r="I3587" s="14" t="s">
        <v>75</v>
      </c>
      <c r="J3587" s="14" t="s">
        <v>201</v>
      </c>
      <c r="K3587" s="14">
        <v>1</v>
      </c>
      <c r="L3587" s="14" t="s">
        <v>1400</v>
      </c>
      <c r="N3587" s="14">
        <v>0</v>
      </c>
      <c r="O3587" s="14" t="b">
        <v>1</v>
      </c>
      <c r="Q3587" s="14" t="b">
        <v>0</v>
      </c>
      <c r="R3587" s="14">
        <v>1</v>
      </c>
      <c r="S3587" s="14" t="s">
        <v>77</v>
      </c>
      <c r="T3587" s="14">
        <v>999</v>
      </c>
      <c r="U3587" s="14" t="s">
        <v>1401</v>
      </c>
      <c r="V3587" s="14">
        <v>31938033</v>
      </c>
      <c r="X3587" s="14" t="s">
        <v>6881</v>
      </c>
      <c r="Y3587" s="14" t="s">
        <v>215</v>
      </c>
      <c r="Z3587" s="14">
        <v>22350</v>
      </c>
      <c r="AA3587" s="14" t="s">
        <v>6882</v>
      </c>
      <c r="AB3587" s="14">
        <v>40001</v>
      </c>
      <c r="AE3587" s="14" t="s">
        <v>1400</v>
      </c>
      <c r="AF3587" s="14" t="s">
        <v>1400</v>
      </c>
      <c r="AG3587" s="14" t="s">
        <v>1231</v>
      </c>
    </row>
    <row r="3588" spans="2:33">
      <c r="B3588" s="14">
        <f>10000000+INDEX(编号表!$B:$B,MATCH(H3588,编号表!$A:$A,0))*100000+INDEX(编号表!$F:$F,MATCH(D3588,编号表!$E:$E,0))*10000+INDEX(编号表!$D:$D,MATCH(AG3588,编号表!$C:$C,0))*1000+F3588</f>
        <v>11948034</v>
      </c>
      <c r="C3588" s="14" t="s">
        <v>6880</v>
      </c>
      <c r="D3588" s="14" t="s">
        <v>104</v>
      </c>
      <c r="E3588" s="14" t="s">
        <v>1231</v>
      </c>
      <c r="F3588" s="14">
        <v>34</v>
      </c>
      <c r="G3588" s="14">
        <v>60</v>
      </c>
      <c r="H3588" s="14" t="s">
        <v>1400</v>
      </c>
      <c r="I3588" s="14" t="s">
        <v>75</v>
      </c>
      <c r="J3588" s="14" t="s">
        <v>201</v>
      </c>
      <c r="K3588" s="14">
        <v>1</v>
      </c>
      <c r="L3588" s="14" t="s">
        <v>1400</v>
      </c>
      <c r="N3588" s="14">
        <v>0</v>
      </c>
      <c r="O3588" s="14" t="b">
        <v>1</v>
      </c>
      <c r="Q3588" s="14" t="b">
        <v>0</v>
      </c>
      <c r="R3588" s="14">
        <v>1</v>
      </c>
      <c r="S3588" s="14" t="s">
        <v>77</v>
      </c>
      <c r="T3588" s="14">
        <v>999</v>
      </c>
      <c r="U3588" s="14" t="s">
        <v>1401</v>
      </c>
      <c r="V3588" s="14">
        <v>31948034</v>
      </c>
      <c r="X3588" s="14" t="s">
        <v>6883</v>
      </c>
      <c r="Y3588" s="14" t="s">
        <v>215</v>
      </c>
      <c r="Z3588" s="14">
        <v>22351</v>
      </c>
      <c r="AA3588" s="14" t="s">
        <v>6884</v>
      </c>
      <c r="AB3588" s="14">
        <v>40001</v>
      </c>
      <c r="AE3588" s="14" t="s">
        <v>1400</v>
      </c>
      <c r="AF3588" s="14" t="s">
        <v>1400</v>
      </c>
      <c r="AG3588" s="14" t="s">
        <v>1231</v>
      </c>
    </row>
    <row r="3589" spans="2:33">
      <c r="B3589" s="14">
        <f>10000000+INDEX(编号表!$B:$B,MATCH(H3589,编号表!$A:$A,0))*100000+INDEX(编号表!$F:$F,MATCH(D3589,编号表!$E:$E,0))*10000+INDEX(编号表!$D:$D,MATCH(AG3589,编号表!$C:$C,0))*1000+F3589</f>
        <v>11958035</v>
      </c>
      <c r="C3589" s="14" t="s">
        <v>6880</v>
      </c>
      <c r="D3589" s="14" t="s">
        <v>333</v>
      </c>
      <c r="E3589" s="14" t="s">
        <v>1231</v>
      </c>
      <c r="F3589" s="14">
        <v>35</v>
      </c>
      <c r="G3589" s="14">
        <v>60</v>
      </c>
      <c r="H3589" s="14" t="s">
        <v>1400</v>
      </c>
      <c r="I3589" s="14" t="s">
        <v>75</v>
      </c>
      <c r="J3589" s="14" t="s">
        <v>201</v>
      </c>
      <c r="K3589" s="14">
        <v>1</v>
      </c>
      <c r="L3589" s="14" t="s">
        <v>1400</v>
      </c>
      <c r="N3589" s="14">
        <v>0</v>
      </c>
      <c r="O3589" s="14" t="b">
        <v>1</v>
      </c>
      <c r="Q3589" s="14" t="b">
        <v>0</v>
      </c>
      <c r="R3589" s="14">
        <v>1</v>
      </c>
      <c r="S3589" s="14" t="s">
        <v>77</v>
      </c>
      <c r="T3589" s="14">
        <v>999</v>
      </c>
      <c r="U3589" s="14" t="s">
        <v>1401</v>
      </c>
      <c r="V3589" s="14">
        <v>31958035</v>
      </c>
      <c r="X3589" s="14" t="s">
        <v>6885</v>
      </c>
      <c r="Y3589" s="14" t="s">
        <v>215</v>
      </c>
      <c r="Z3589" s="14">
        <v>22352</v>
      </c>
      <c r="AA3589" s="14" t="s">
        <v>6886</v>
      </c>
      <c r="AB3589" s="14">
        <v>40001</v>
      </c>
      <c r="AE3589" s="14" t="s">
        <v>1400</v>
      </c>
      <c r="AF3589" s="14" t="s">
        <v>1400</v>
      </c>
      <c r="AG3589" s="14" t="s">
        <v>1231</v>
      </c>
    </row>
    <row r="3590" spans="2:33">
      <c r="B3590" s="14">
        <f>10000000+INDEX(编号表!$B:$B,MATCH(H3590,编号表!$A:$A,0))*100000+INDEX(编号表!$F:$F,MATCH(D3590,编号表!$E:$E,0))*10000+INDEX(编号表!$D:$D,MATCH(AG3590,编号表!$C:$C,0))*1000+F3590</f>
        <v>11938034</v>
      </c>
      <c r="C3590" s="14" t="s">
        <v>6887</v>
      </c>
      <c r="D3590" s="14" t="s">
        <v>276</v>
      </c>
      <c r="E3590" s="14" t="s">
        <v>1231</v>
      </c>
      <c r="F3590" s="14">
        <v>34</v>
      </c>
      <c r="G3590" s="14">
        <v>60</v>
      </c>
      <c r="H3590" s="14" t="s">
        <v>1400</v>
      </c>
      <c r="I3590" s="14" t="s">
        <v>75</v>
      </c>
      <c r="J3590" s="14" t="s">
        <v>201</v>
      </c>
      <c r="K3590" s="14">
        <v>1</v>
      </c>
      <c r="L3590" s="14" t="s">
        <v>1400</v>
      </c>
      <c r="N3590" s="14">
        <v>0</v>
      </c>
      <c r="O3590" s="14" t="b">
        <v>1</v>
      </c>
      <c r="Q3590" s="14" t="b">
        <v>0</v>
      </c>
      <c r="R3590" s="14">
        <v>1</v>
      </c>
      <c r="S3590" s="14" t="s">
        <v>77</v>
      </c>
      <c r="T3590" s="14">
        <v>999</v>
      </c>
      <c r="U3590" s="14" t="s">
        <v>1401</v>
      </c>
      <c r="V3590" s="14">
        <v>31938034</v>
      </c>
      <c r="X3590" s="14" t="s">
        <v>6888</v>
      </c>
      <c r="Y3590" s="14" t="s">
        <v>215</v>
      </c>
      <c r="Z3590" s="14">
        <v>22353</v>
      </c>
      <c r="AA3590" s="14" t="s">
        <v>6889</v>
      </c>
      <c r="AB3590" s="14">
        <v>40001</v>
      </c>
      <c r="AE3590" s="14" t="s">
        <v>1400</v>
      </c>
      <c r="AF3590" s="14" t="s">
        <v>1400</v>
      </c>
      <c r="AG3590" s="14" t="s">
        <v>1231</v>
      </c>
    </row>
    <row r="3591" spans="2:33">
      <c r="B3591" s="14">
        <f>10000000+INDEX(编号表!$B:$B,MATCH(H3591,编号表!$A:$A,0))*100000+INDEX(编号表!$F:$F,MATCH(D3591,编号表!$E:$E,0))*10000+INDEX(编号表!$D:$D,MATCH(AG3591,编号表!$C:$C,0))*1000+F3591</f>
        <v>11948035</v>
      </c>
      <c r="C3591" s="14" t="s">
        <v>6887</v>
      </c>
      <c r="D3591" s="14" t="s">
        <v>104</v>
      </c>
      <c r="E3591" s="14" t="s">
        <v>1231</v>
      </c>
      <c r="F3591" s="14">
        <v>35</v>
      </c>
      <c r="G3591" s="14">
        <v>60</v>
      </c>
      <c r="H3591" s="14" t="s">
        <v>1400</v>
      </c>
      <c r="I3591" s="14" t="s">
        <v>75</v>
      </c>
      <c r="J3591" s="14" t="s">
        <v>201</v>
      </c>
      <c r="K3591" s="14">
        <v>1</v>
      </c>
      <c r="L3591" s="14" t="s">
        <v>1400</v>
      </c>
      <c r="N3591" s="14">
        <v>0</v>
      </c>
      <c r="O3591" s="14" t="b">
        <v>1</v>
      </c>
      <c r="Q3591" s="14" t="b">
        <v>0</v>
      </c>
      <c r="R3591" s="14">
        <v>1</v>
      </c>
      <c r="S3591" s="14" t="s">
        <v>77</v>
      </c>
      <c r="T3591" s="14">
        <v>999</v>
      </c>
      <c r="U3591" s="14" t="s">
        <v>1401</v>
      </c>
      <c r="V3591" s="14">
        <v>31948035</v>
      </c>
      <c r="X3591" s="14" t="s">
        <v>6890</v>
      </c>
      <c r="Y3591" s="14" t="s">
        <v>215</v>
      </c>
      <c r="Z3591" s="14">
        <v>22354</v>
      </c>
      <c r="AA3591" s="14" t="s">
        <v>6891</v>
      </c>
      <c r="AB3591" s="14">
        <v>40001</v>
      </c>
      <c r="AE3591" s="14" t="s">
        <v>1400</v>
      </c>
      <c r="AF3591" s="14" t="s">
        <v>1400</v>
      </c>
      <c r="AG3591" s="14" t="s">
        <v>1231</v>
      </c>
    </row>
    <row r="3592" spans="2:33">
      <c r="B3592" s="14">
        <f>10000000+INDEX(编号表!$B:$B,MATCH(H3592,编号表!$A:$A,0))*100000+INDEX(编号表!$F:$F,MATCH(D3592,编号表!$E:$E,0))*10000+INDEX(编号表!$D:$D,MATCH(AG3592,编号表!$C:$C,0))*1000+F3592</f>
        <v>11958036</v>
      </c>
      <c r="C3592" s="14" t="s">
        <v>6887</v>
      </c>
      <c r="D3592" s="14" t="s">
        <v>333</v>
      </c>
      <c r="E3592" s="14" t="s">
        <v>1231</v>
      </c>
      <c r="F3592" s="14">
        <v>36</v>
      </c>
      <c r="G3592" s="14">
        <v>60</v>
      </c>
      <c r="H3592" s="14" t="s">
        <v>1400</v>
      </c>
      <c r="I3592" s="14" t="s">
        <v>75</v>
      </c>
      <c r="J3592" s="14" t="s">
        <v>201</v>
      </c>
      <c r="K3592" s="14">
        <v>1</v>
      </c>
      <c r="L3592" s="14" t="s">
        <v>1400</v>
      </c>
      <c r="N3592" s="14">
        <v>0</v>
      </c>
      <c r="O3592" s="14" t="b">
        <v>1</v>
      </c>
      <c r="Q3592" s="14" t="b">
        <v>0</v>
      </c>
      <c r="R3592" s="14">
        <v>1</v>
      </c>
      <c r="S3592" s="14" t="s">
        <v>77</v>
      </c>
      <c r="T3592" s="14">
        <v>999</v>
      </c>
      <c r="U3592" s="14" t="s">
        <v>1401</v>
      </c>
      <c r="V3592" s="14">
        <v>31958036</v>
      </c>
      <c r="X3592" s="14" t="s">
        <v>6892</v>
      </c>
      <c r="Y3592" s="14" t="s">
        <v>215</v>
      </c>
      <c r="Z3592" s="14">
        <v>22355</v>
      </c>
      <c r="AA3592" s="14" t="s">
        <v>6893</v>
      </c>
      <c r="AB3592" s="14">
        <v>40001</v>
      </c>
      <c r="AE3592" s="14" t="s">
        <v>1400</v>
      </c>
      <c r="AF3592" s="14" t="s">
        <v>1400</v>
      </c>
      <c r="AG3592" s="14" t="s">
        <v>1231</v>
      </c>
    </row>
    <row r="3593" spans="2:33">
      <c r="B3593" s="14">
        <f>10000000+INDEX(编号表!$B:$B,MATCH(H3593,编号表!$A:$A,0))*100000+INDEX(编号表!$F:$F,MATCH(D3593,编号表!$E:$E,0))*10000+INDEX(编号表!$D:$D,MATCH(AG3593,编号表!$C:$C,0))*1000+F3593</f>
        <v>11938035</v>
      </c>
      <c r="C3593" s="14" t="s">
        <v>6894</v>
      </c>
      <c r="D3593" s="14" t="s">
        <v>276</v>
      </c>
      <c r="E3593" s="14" t="s">
        <v>1231</v>
      </c>
      <c r="F3593" s="14">
        <v>35</v>
      </c>
      <c r="G3593" s="14">
        <v>60</v>
      </c>
      <c r="H3593" s="14" t="s">
        <v>1400</v>
      </c>
      <c r="I3593" s="14" t="s">
        <v>75</v>
      </c>
      <c r="J3593" s="14" t="s">
        <v>201</v>
      </c>
      <c r="K3593" s="14">
        <v>1</v>
      </c>
      <c r="L3593" s="14" t="s">
        <v>1400</v>
      </c>
      <c r="N3593" s="14">
        <v>0</v>
      </c>
      <c r="O3593" s="14" t="b">
        <v>1</v>
      </c>
      <c r="Q3593" s="14" t="b">
        <v>0</v>
      </c>
      <c r="R3593" s="14">
        <v>1</v>
      </c>
      <c r="S3593" s="14" t="s">
        <v>77</v>
      </c>
      <c r="T3593" s="14">
        <v>999</v>
      </c>
      <c r="U3593" s="14" t="s">
        <v>1401</v>
      </c>
      <c r="V3593" s="14">
        <v>31938035</v>
      </c>
      <c r="X3593" s="14" t="s">
        <v>6895</v>
      </c>
      <c r="Y3593" s="14" t="s">
        <v>215</v>
      </c>
      <c r="Z3593" s="14">
        <v>22356</v>
      </c>
      <c r="AA3593" s="14" t="s">
        <v>6896</v>
      </c>
      <c r="AB3593" s="14">
        <v>40001</v>
      </c>
      <c r="AE3593" s="14" t="s">
        <v>1400</v>
      </c>
      <c r="AF3593" s="14" t="s">
        <v>1400</v>
      </c>
      <c r="AG3593" s="14" t="s">
        <v>1231</v>
      </c>
    </row>
    <row r="3594" spans="2:33">
      <c r="B3594" s="14">
        <f>10000000+INDEX(编号表!$B:$B,MATCH(H3594,编号表!$A:$A,0))*100000+INDEX(编号表!$F:$F,MATCH(D3594,编号表!$E:$E,0))*10000+INDEX(编号表!$D:$D,MATCH(AG3594,编号表!$C:$C,0))*1000+F3594</f>
        <v>11948036</v>
      </c>
      <c r="C3594" s="14" t="s">
        <v>6894</v>
      </c>
      <c r="D3594" s="14" t="s">
        <v>104</v>
      </c>
      <c r="E3594" s="14" t="s">
        <v>1231</v>
      </c>
      <c r="F3594" s="14">
        <v>36</v>
      </c>
      <c r="G3594" s="14">
        <v>60</v>
      </c>
      <c r="H3594" s="14" t="s">
        <v>1400</v>
      </c>
      <c r="I3594" s="14" t="s">
        <v>75</v>
      </c>
      <c r="J3594" s="14" t="s">
        <v>201</v>
      </c>
      <c r="K3594" s="14">
        <v>1</v>
      </c>
      <c r="L3594" s="14" t="s">
        <v>1400</v>
      </c>
      <c r="N3594" s="14">
        <v>0</v>
      </c>
      <c r="O3594" s="14" t="b">
        <v>1</v>
      </c>
      <c r="Q3594" s="14" t="b">
        <v>0</v>
      </c>
      <c r="R3594" s="14">
        <v>1</v>
      </c>
      <c r="S3594" s="14" t="s">
        <v>77</v>
      </c>
      <c r="T3594" s="14">
        <v>999</v>
      </c>
      <c r="U3594" s="14" t="s">
        <v>1401</v>
      </c>
      <c r="V3594" s="14">
        <v>31948036</v>
      </c>
      <c r="X3594" s="14" t="s">
        <v>6897</v>
      </c>
      <c r="Y3594" s="14" t="s">
        <v>215</v>
      </c>
      <c r="Z3594" s="14">
        <v>22357</v>
      </c>
      <c r="AA3594" s="14" t="s">
        <v>6898</v>
      </c>
      <c r="AB3594" s="14">
        <v>40001</v>
      </c>
      <c r="AE3594" s="14" t="s">
        <v>1400</v>
      </c>
      <c r="AF3594" s="14" t="s">
        <v>1400</v>
      </c>
      <c r="AG3594" s="14" t="s">
        <v>1231</v>
      </c>
    </row>
    <row r="3595" spans="2:33">
      <c r="B3595" s="14">
        <f>10000000+INDEX(编号表!$B:$B,MATCH(H3595,编号表!$A:$A,0))*100000+INDEX(编号表!$F:$F,MATCH(D3595,编号表!$E:$E,0))*10000+INDEX(编号表!$D:$D,MATCH(AG3595,编号表!$C:$C,0))*1000+F3595</f>
        <v>11958037</v>
      </c>
      <c r="C3595" s="14" t="s">
        <v>6894</v>
      </c>
      <c r="D3595" s="14" t="s">
        <v>333</v>
      </c>
      <c r="E3595" s="14" t="s">
        <v>1231</v>
      </c>
      <c r="F3595" s="14">
        <v>37</v>
      </c>
      <c r="G3595" s="14">
        <v>60</v>
      </c>
      <c r="H3595" s="14" t="s">
        <v>1400</v>
      </c>
      <c r="I3595" s="14" t="s">
        <v>75</v>
      </c>
      <c r="J3595" s="14" t="s">
        <v>201</v>
      </c>
      <c r="K3595" s="14">
        <v>1</v>
      </c>
      <c r="L3595" s="14" t="s">
        <v>1400</v>
      </c>
      <c r="N3595" s="14">
        <v>0</v>
      </c>
      <c r="O3595" s="14" t="b">
        <v>1</v>
      </c>
      <c r="Q3595" s="14" t="b">
        <v>0</v>
      </c>
      <c r="R3595" s="14">
        <v>1</v>
      </c>
      <c r="S3595" s="14" t="s">
        <v>77</v>
      </c>
      <c r="T3595" s="14">
        <v>999</v>
      </c>
      <c r="U3595" s="14" t="s">
        <v>1401</v>
      </c>
      <c r="V3595" s="14">
        <v>31958037</v>
      </c>
      <c r="X3595" s="14" t="s">
        <v>6899</v>
      </c>
      <c r="Y3595" s="14" t="s">
        <v>215</v>
      </c>
      <c r="Z3595" s="14">
        <v>22358</v>
      </c>
      <c r="AA3595" s="14" t="s">
        <v>6900</v>
      </c>
      <c r="AB3595" s="14">
        <v>40001</v>
      </c>
      <c r="AE3595" s="14" t="s">
        <v>1400</v>
      </c>
      <c r="AF3595" s="14" t="s">
        <v>1400</v>
      </c>
      <c r="AG3595" s="14" t="s">
        <v>1231</v>
      </c>
    </row>
    <row r="3596" spans="2:33">
      <c r="B3596" s="14">
        <f>10000000+INDEX(编号表!$B:$B,MATCH(H3596,编号表!$A:$A,0))*100000+INDEX(编号表!$F:$F,MATCH(D3596,编号表!$E:$E,0))*10000+INDEX(编号表!$D:$D,MATCH(AG3596,编号表!$C:$C,0))*1000+F3596</f>
        <v>11938036</v>
      </c>
      <c r="C3596" s="14" t="s">
        <v>6901</v>
      </c>
      <c r="D3596" s="14" t="s">
        <v>276</v>
      </c>
      <c r="E3596" s="14" t="s">
        <v>1231</v>
      </c>
      <c r="F3596" s="14">
        <v>36</v>
      </c>
      <c r="G3596" s="14">
        <v>60</v>
      </c>
      <c r="H3596" s="14" t="s">
        <v>1400</v>
      </c>
      <c r="I3596" s="14" t="s">
        <v>75</v>
      </c>
      <c r="J3596" s="14" t="s">
        <v>201</v>
      </c>
      <c r="K3596" s="14">
        <v>1</v>
      </c>
      <c r="L3596" s="14" t="s">
        <v>1400</v>
      </c>
      <c r="N3596" s="14">
        <v>0</v>
      </c>
      <c r="O3596" s="14" t="b">
        <v>1</v>
      </c>
      <c r="Q3596" s="14" t="b">
        <v>0</v>
      </c>
      <c r="R3596" s="14">
        <v>1</v>
      </c>
      <c r="S3596" s="14" t="s">
        <v>77</v>
      </c>
      <c r="T3596" s="14">
        <v>999</v>
      </c>
      <c r="U3596" s="14" t="s">
        <v>1401</v>
      </c>
      <c r="V3596" s="14">
        <v>31938036</v>
      </c>
      <c r="X3596" s="14" t="s">
        <v>6902</v>
      </c>
      <c r="Y3596" s="14" t="s">
        <v>215</v>
      </c>
      <c r="Z3596" s="14">
        <v>22359</v>
      </c>
      <c r="AA3596" s="14" t="s">
        <v>6903</v>
      </c>
      <c r="AB3596" s="14">
        <v>40001</v>
      </c>
      <c r="AE3596" s="14" t="s">
        <v>1400</v>
      </c>
      <c r="AF3596" s="14" t="s">
        <v>1400</v>
      </c>
      <c r="AG3596" s="14" t="s">
        <v>1231</v>
      </c>
    </row>
    <row r="3597" spans="2:33">
      <c r="B3597" s="14">
        <f>10000000+INDEX(编号表!$B:$B,MATCH(H3597,编号表!$A:$A,0))*100000+INDEX(编号表!$F:$F,MATCH(D3597,编号表!$E:$E,0))*10000+INDEX(编号表!$D:$D,MATCH(AG3597,编号表!$C:$C,0))*1000+F3597</f>
        <v>11948037</v>
      </c>
      <c r="C3597" s="14" t="s">
        <v>6901</v>
      </c>
      <c r="D3597" s="14" t="s">
        <v>104</v>
      </c>
      <c r="E3597" s="14" t="s">
        <v>1231</v>
      </c>
      <c r="F3597" s="14">
        <v>37</v>
      </c>
      <c r="G3597" s="14">
        <v>60</v>
      </c>
      <c r="H3597" s="14" t="s">
        <v>1400</v>
      </c>
      <c r="I3597" s="14" t="s">
        <v>75</v>
      </c>
      <c r="J3597" s="14" t="s">
        <v>201</v>
      </c>
      <c r="K3597" s="14">
        <v>1</v>
      </c>
      <c r="L3597" s="14" t="s">
        <v>1400</v>
      </c>
      <c r="N3597" s="14">
        <v>0</v>
      </c>
      <c r="O3597" s="14" t="b">
        <v>1</v>
      </c>
      <c r="Q3597" s="14" t="b">
        <v>0</v>
      </c>
      <c r="R3597" s="14">
        <v>1</v>
      </c>
      <c r="S3597" s="14" t="s">
        <v>77</v>
      </c>
      <c r="T3597" s="14">
        <v>999</v>
      </c>
      <c r="U3597" s="14" t="s">
        <v>1401</v>
      </c>
      <c r="V3597" s="14">
        <v>31948037</v>
      </c>
      <c r="X3597" s="14" t="s">
        <v>6904</v>
      </c>
      <c r="Y3597" s="14" t="s">
        <v>215</v>
      </c>
      <c r="Z3597" s="14">
        <v>22360</v>
      </c>
      <c r="AA3597" s="14" t="s">
        <v>6905</v>
      </c>
      <c r="AB3597" s="14">
        <v>40001</v>
      </c>
      <c r="AE3597" s="14" t="s">
        <v>1400</v>
      </c>
      <c r="AF3597" s="14" t="s">
        <v>1400</v>
      </c>
      <c r="AG3597" s="14" t="s">
        <v>1231</v>
      </c>
    </row>
    <row r="3598" spans="2:33">
      <c r="B3598" s="14">
        <f>10000000+INDEX(编号表!$B:$B,MATCH(H3598,编号表!$A:$A,0))*100000+INDEX(编号表!$F:$F,MATCH(D3598,编号表!$E:$E,0))*10000+INDEX(编号表!$D:$D,MATCH(AG3598,编号表!$C:$C,0))*1000+F3598</f>
        <v>11958038</v>
      </c>
      <c r="C3598" s="14" t="s">
        <v>6901</v>
      </c>
      <c r="D3598" s="14" t="s">
        <v>333</v>
      </c>
      <c r="E3598" s="14" t="s">
        <v>1231</v>
      </c>
      <c r="F3598" s="14">
        <v>38</v>
      </c>
      <c r="G3598" s="14">
        <v>60</v>
      </c>
      <c r="H3598" s="14" t="s">
        <v>1400</v>
      </c>
      <c r="I3598" s="14" t="s">
        <v>75</v>
      </c>
      <c r="J3598" s="14" t="s">
        <v>201</v>
      </c>
      <c r="K3598" s="14">
        <v>1</v>
      </c>
      <c r="L3598" s="14" t="s">
        <v>1400</v>
      </c>
      <c r="N3598" s="14">
        <v>0</v>
      </c>
      <c r="O3598" s="14" t="b">
        <v>1</v>
      </c>
      <c r="Q3598" s="14" t="b">
        <v>0</v>
      </c>
      <c r="R3598" s="14">
        <v>1</v>
      </c>
      <c r="S3598" s="14" t="s">
        <v>77</v>
      </c>
      <c r="T3598" s="14">
        <v>999</v>
      </c>
      <c r="U3598" s="14" t="s">
        <v>1401</v>
      </c>
      <c r="V3598" s="14">
        <v>31958038</v>
      </c>
      <c r="X3598" s="14" t="s">
        <v>6906</v>
      </c>
      <c r="Y3598" s="14" t="s">
        <v>215</v>
      </c>
      <c r="Z3598" s="14">
        <v>22361</v>
      </c>
      <c r="AA3598" s="14" t="s">
        <v>6907</v>
      </c>
      <c r="AB3598" s="14">
        <v>40001</v>
      </c>
      <c r="AE3598" s="14" t="s">
        <v>1400</v>
      </c>
      <c r="AF3598" s="14" t="s">
        <v>1400</v>
      </c>
      <c r="AG3598" s="14" t="s">
        <v>1231</v>
      </c>
    </row>
    <row r="3599" spans="2:33">
      <c r="B3599" s="14">
        <f>10000000+INDEX(编号表!$B:$B,MATCH(H3599,编号表!$A:$A,0))*100000+INDEX(编号表!$F:$F,MATCH(D3599,编号表!$E:$E,0))*10000+INDEX(编号表!$D:$D,MATCH(AG3599,编号表!$C:$C,0))*1000+F3599</f>
        <v>11938037</v>
      </c>
      <c r="C3599" s="14" t="s">
        <v>6908</v>
      </c>
      <c r="D3599" s="14" t="s">
        <v>276</v>
      </c>
      <c r="E3599" s="14" t="s">
        <v>1231</v>
      </c>
      <c r="F3599" s="14">
        <v>37</v>
      </c>
      <c r="G3599" s="14">
        <v>60</v>
      </c>
      <c r="H3599" s="14" t="s">
        <v>1400</v>
      </c>
      <c r="I3599" s="14" t="s">
        <v>75</v>
      </c>
      <c r="J3599" s="14" t="s">
        <v>201</v>
      </c>
      <c r="K3599" s="14">
        <v>1</v>
      </c>
      <c r="L3599" s="14" t="s">
        <v>1400</v>
      </c>
      <c r="N3599" s="14">
        <v>0</v>
      </c>
      <c r="O3599" s="14" t="b">
        <v>1</v>
      </c>
      <c r="Q3599" s="14" t="b">
        <v>0</v>
      </c>
      <c r="R3599" s="14">
        <v>1</v>
      </c>
      <c r="S3599" s="14" t="s">
        <v>77</v>
      </c>
      <c r="T3599" s="14">
        <v>999</v>
      </c>
      <c r="U3599" s="14" t="s">
        <v>1401</v>
      </c>
      <c r="V3599" s="14">
        <v>31938037</v>
      </c>
      <c r="X3599" s="14" t="s">
        <v>6909</v>
      </c>
      <c r="Y3599" s="14" t="s">
        <v>215</v>
      </c>
      <c r="Z3599" s="14">
        <v>22362</v>
      </c>
      <c r="AA3599" s="14" t="s">
        <v>6910</v>
      </c>
      <c r="AB3599" s="14">
        <v>40001</v>
      </c>
      <c r="AE3599" s="14" t="s">
        <v>1400</v>
      </c>
      <c r="AF3599" s="14" t="s">
        <v>1400</v>
      </c>
      <c r="AG3599" s="14" t="s">
        <v>1231</v>
      </c>
    </row>
    <row r="3600" spans="2:33">
      <c r="B3600" s="14">
        <f>10000000+INDEX(编号表!$B:$B,MATCH(H3600,编号表!$A:$A,0))*100000+INDEX(编号表!$F:$F,MATCH(D3600,编号表!$E:$E,0))*10000+INDEX(编号表!$D:$D,MATCH(AG3600,编号表!$C:$C,0))*1000+F3600</f>
        <v>11948038</v>
      </c>
      <c r="C3600" s="14" t="s">
        <v>6908</v>
      </c>
      <c r="D3600" s="14" t="s">
        <v>104</v>
      </c>
      <c r="E3600" s="14" t="s">
        <v>1231</v>
      </c>
      <c r="F3600" s="14">
        <v>38</v>
      </c>
      <c r="G3600" s="14">
        <v>60</v>
      </c>
      <c r="H3600" s="14" t="s">
        <v>1400</v>
      </c>
      <c r="I3600" s="14" t="s">
        <v>75</v>
      </c>
      <c r="J3600" s="14" t="s">
        <v>201</v>
      </c>
      <c r="K3600" s="14">
        <v>1</v>
      </c>
      <c r="L3600" s="14" t="s">
        <v>1400</v>
      </c>
      <c r="N3600" s="14">
        <v>0</v>
      </c>
      <c r="O3600" s="14" t="b">
        <v>1</v>
      </c>
      <c r="Q3600" s="14" t="b">
        <v>0</v>
      </c>
      <c r="R3600" s="14">
        <v>1</v>
      </c>
      <c r="S3600" s="14" t="s">
        <v>77</v>
      </c>
      <c r="T3600" s="14">
        <v>999</v>
      </c>
      <c r="U3600" s="14" t="s">
        <v>1401</v>
      </c>
      <c r="V3600" s="14">
        <v>31948038</v>
      </c>
      <c r="X3600" s="14" t="s">
        <v>6911</v>
      </c>
      <c r="Y3600" s="14" t="s">
        <v>215</v>
      </c>
      <c r="Z3600" s="14">
        <v>22363</v>
      </c>
      <c r="AA3600" s="14" t="s">
        <v>6912</v>
      </c>
      <c r="AB3600" s="14">
        <v>40001</v>
      </c>
      <c r="AE3600" s="14" t="s">
        <v>1400</v>
      </c>
      <c r="AF3600" s="14" t="s">
        <v>1400</v>
      </c>
      <c r="AG3600" s="14" t="s">
        <v>1231</v>
      </c>
    </row>
    <row r="3601" spans="2:33">
      <c r="B3601" s="14">
        <f>10000000+INDEX(编号表!$B:$B,MATCH(H3601,编号表!$A:$A,0))*100000+INDEX(编号表!$F:$F,MATCH(D3601,编号表!$E:$E,0))*10000+INDEX(编号表!$D:$D,MATCH(AG3601,编号表!$C:$C,0))*1000+F3601</f>
        <v>11958039</v>
      </c>
      <c r="C3601" s="14" t="s">
        <v>6908</v>
      </c>
      <c r="D3601" s="14" t="s">
        <v>333</v>
      </c>
      <c r="E3601" s="14" t="s">
        <v>1231</v>
      </c>
      <c r="F3601" s="14">
        <v>39</v>
      </c>
      <c r="G3601" s="14">
        <v>60</v>
      </c>
      <c r="H3601" s="14" t="s">
        <v>1400</v>
      </c>
      <c r="I3601" s="14" t="s">
        <v>75</v>
      </c>
      <c r="J3601" s="14" t="s">
        <v>201</v>
      </c>
      <c r="K3601" s="14">
        <v>1</v>
      </c>
      <c r="L3601" s="14" t="s">
        <v>1400</v>
      </c>
      <c r="N3601" s="14">
        <v>0</v>
      </c>
      <c r="O3601" s="14" t="b">
        <v>1</v>
      </c>
      <c r="Q3601" s="14" t="b">
        <v>0</v>
      </c>
      <c r="R3601" s="14">
        <v>1</v>
      </c>
      <c r="S3601" s="14" t="s">
        <v>77</v>
      </c>
      <c r="T3601" s="14">
        <v>999</v>
      </c>
      <c r="U3601" s="14" t="s">
        <v>1401</v>
      </c>
      <c r="V3601" s="14">
        <v>31958039</v>
      </c>
      <c r="X3601" s="14" t="s">
        <v>6913</v>
      </c>
      <c r="Y3601" s="14" t="s">
        <v>215</v>
      </c>
      <c r="Z3601" s="14">
        <v>22364</v>
      </c>
      <c r="AA3601" s="14" t="s">
        <v>6914</v>
      </c>
      <c r="AB3601" s="14">
        <v>40001</v>
      </c>
      <c r="AE3601" s="14" t="s">
        <v>1400</v>
      </c>
      <c r="AF3601" s="14" t="s">
        <v>1400</v>
      </c>
      <c r="AG3601" s="14" t="s">
        <v>1231</v>
      </c>
    </row>
    <row r="3602" spans="2:33">
      <c r="B3602" s="14">
        <f>10000000+INDEX(编号表!$B:$B,MATCH(H3602,编号表!$A:$A,0))*100000+INDEX(编号表!$F:$F,MATCH(D3602,编号表!$E:$E,0))*10000+INDEX(编号表!$D:$D,MATCH(AG3602,编号表!$C:$C,0))*1000+F3602</f>
        <v>11938038</v>
      </c>
      <c r="C3602" s="14" t="s">
        <v>6915</v>
      </c>
      <c r="D3602" s="14" t="s">
        <v>276</v>
      </c>
      <c r="E3602" s="14" t="s">
        <v>1231</v>
      </c>
      <c r="F3602" s="14">
        <v>38</v>
      </c>
      <c r="G3602" s="14">
        <v>60</v>
      </c>
      <c r="H3602" s="14" t="s">
        <v>1400</v>
      </c>
      <c r="I3602" s="14" t="s">
        <v>75</v>
      </c>
      <c r="J3602" s="14" t="s">
        <v>201</v>
      </c>
      <c r="K3602" s="14">
        <v>1</v>
      </c>
      <c r="L3602" s="14" t="s">
        <v>1400</v>
      </c>
      <c r="N3602" s="14">
        <v>0</v>
      </c>
      <c r="O3602" s="14" t="b">
        <v>1</v>
      </c>
      <c r="Q3602" s="14" t="b">
        <v>0</v>
      </c>
      <c r="R3602" s="14">
        <v>1</v>
      </c>
      <c r="S3602" s="14" t="s">
        <v>77</v>
      </c>
      <c r="T3602" s="14">
        <v>999</v>
      </c>
      <c r="U3602" s="14" t="s">
        <v>1401</v>
      </c>
      <c r="V3602" s="14">
        <v>31938038</v>
      </c>
      <c r="X3602" s="14" t="s">
        <v>6916</v>
      </c>
      <c r="Y3602" s="14" t="s">
        <v>215</v>
      </c>
      <c r="Z3602" s="14">
        <v>22365</v>
      </c>
      <c r="AA3602" s="14" t="s">
        <v>6917</v>
      </c>
      <c r="AB3602" s="14">
        <v>40001</v>
      </c>
      <c r="AE3602" s="14" t="s">
        <v>1400</v>
      </c>
      <c r="AF3602" s="14" t="s">
        <v>1400</v>
      </c>
      <c r="AG3602" s="14" t="s">
        <v>1231</v>
      </c>
    </row>
    <row r="3603" spans="2:33">
      <c r="B3603" s="14">
        <f>10000000+INDEX(编号表!$B:$B,MATCH(H3603,编号表!$A:$A,0))*100000+INDEX(编号表!$F:$F,MATCH(D3603,编号表!$E:$E,0))*10000+INDEX(编号表!$D:$D,MATCH(AG3603,编号表!$C:$C,0))*1000+F3603</f>
        <v>11948039</v>
      </c>
      <c r="C3603" s="14" t="s">
        <v>6915</v>
      </c>
      <c r="D3603" s="14" t="s">
        <v>104</v>
      </c>
      <c r="E3603" s="14" t="s">
        <v>1231</v>
      </c>
      <c r="F3603" s="14">
        <v>39</v>
      </c>
      <c r="G3603" s="14">
        <v>60</v>
      </c>
      <c r="H3603" s="14" t="s">
        <v>1400</v>
      </c>
      <c r="I3603" s="14" t="s">
        <v>75</v>
      </c>
      <c r="J3603" s="14" t="s">
        <v>201</v>
      </c>
      <c r="K3603" s="14">
        <v>1</v>
      </c>
      <c r="L3603" s="14" t="s">
        <v>1400</v>
      </c>
      <c r="N3603" s="14">
        <v>0</v>
      </c>
      <c r="O3603" s="14" t="b">
        <v>1</v>
      </c>
      <c r="Q3603" s="14" t="b">
        <v>0</v>
      </c>
      <c r="R3603" s="14">
        <v>1</v>
      </c>
      <c r="S3603" s="14" t="s">
        <v>77</v>
      </c>
      <c r="T3603" s="14">
        <v>999</v>
      </c>
      <c r="U3603" s="14" t="s">
        <v>1401</v>
      </c>
      <c r="V3603" s="14">
        <v>31948039</v>
      </c>
      <c r="X3603" s="14" t="s">
        <v>6918</v>
      </c>
      <c r="Y3603" s="14" t="s">
        <v>215</v>
      </c>
      <c r="Z3603" s="14">
        <v>22366</v>
      </c>
      <c r="AA3603" s="14" t="s">
        <v>6919</v>
      </c>
      <c r="AB3603" s="14">
        <v>40001</v>
      </c>
      <c r="AE3603" s="14" t="s">
        <v>1400</v>
      </c>
      <c r="AF3603" s="14" t="s">
        <v>1400</v>
      </c>
      <c r="AG3603" s="14" t="s">
        <v>1231</v>
      </c>
    </row>
    <row r="3604" spans="2:33">
      <c r="B3604" s="14">
        <f>10000000+INDEX(编号表!$B:$B,MATCH(H3604,编号表!$A:$A,0))*100000+INDEX(编号表!$F:$F,MATCH(D3604,编号表!$E:$E,0))*10000+INDEX(编号表!$D:$D,MATCH(AG3604,编号表!$C:$C,0))*1000+F3604</f>
        <v>11958040</v>
      </c>
      <c r="C3604" s="14" t="s">
        <v>6915</v>
      </c>
      <c r="D3604" s="14" t="s">
        <v>333</v>
      </c>
      <c r="E3604" s="14" t="s">
        <v>1231</v>
      </c>
      <c r="F3604" s="14">
        <v>40</v>
      </c>
      <c r="G3604" s="14">
        <v>60</v>
      </c>
      <c r="H3604" s="14" t="s">
        <v>1400</v>
      </c>
      <c r="I3604" s="14" t="s">
        <v>75</v>
      </c>
      <c r="J3604" s="14" t="s">
        <v>201</v>
      </c>
      <c r="K3604" s="14">
        <v>1</v>
      </c>
      <c r="L3604" s="14" t="s">
        <v>1400</v>
      </c>
      <c r="N3604" s="14">
        <v>0</v>
      </c>
      <c r="O3604" s="14" t="b">
        <v>1</v>
      </c>
      <c r="Q3604" s="14" t="b">
        <v>0</v>
      </c>
      <c r="R3604" s="14">
        <v>1</v>
      </c>
      <c r="S3604" s="14" t="s">
        <v>77</v>
      </c>
      <c r="T3604" s="14">
        <v>999</v>
      </c>
      <c r="U3604" s="14" t="s">
        <v>1401</v>
      </c>
      <c r="V3604" s="14">
        <v>31958040</v>
      </c>
      <c r="X3604" s="14" t="s">
        <v>6920</v>
      </c>
      <c r="Y3604" s="14" t="s">
        <v>215</v>
      </c>
      <c r="Z3604" s="14">
        <v>22367</v>
      </c>
      <c r="AA3604" s="14" t="s">
        <v>6921</v>
      </c>
      <c r="AB3604" s="14">
        <v>40001</v>
      </c>
      <c r="AE3604" s="14" t="s">
        <v>1400</v>
      </c>
      <c r="AF3604" s="14" t="s">
        <v>1400</v>
      </c>
      <c r="AG3604" s="14" t="s">
        <v>1231</v>
      </c>
    </row>
    <row r="3605" spans="2:33">
      <c r="B3605" s="14">
        <f>10000000+INDEX(编号表!$B:$B,MATCH(H3605,编号表!$A:$A,0))*100000+INDEX(编号表!$F:$F,MATCH(D3605,编号表!$E:$E,0))*10000+INDEX(编号表!$D:$D,MATCH(AG3605,编号表!$C:$C,0))*1000+F3605</f>
        <v>11938039</v>
      </c>
      <c r="C3605" s="14" t="s">
        <v>6922</v>
      </c>
      <c r="D3605" s="14" t="s">
        <v>276</v>
      </c>
      <c r="E3605" s="14" t="s">
        <v>1231</v>
      </c>
      <c r="F3605" s="14">
        <v>39</v>
      </c>
      <c r="G3605" s="14">
        <v>60</v>
      </c>
      <c r="H3605" s="14" t="s">
        <v>1400</v>
      </c>
      <c r="I3605" s="14" t="s">
        <v>75</v>
      </c>
      <c r="J3605" s="14" t="s">
        <v>201</v>
      </c>
      <c r="K3605" s="14">
        <v>1</v>
      </c>
      <c r="L3605" s="14" t="s">
        <v>1400</v>
      </c>
      <c r="N3605" s="14">
        <v>0</v>
      </c>
      <c r="O3605" s="14" t="b">
        <v>1</v>
      </c>
      <c r="Q3605" s="14" t="b">
        <v>0</v>
      </c>
      <c r="R3605" s="14">
        <v>1</v>
      </c>
      <c r="S3605" s="14" t="s">
        <v>77</v>
      </c>
      <c r="T3605" s="14">
        <v>999</v>
      </c>
      <c r="U3605" s="14" t="s">
        <v>1401</v>
      </c>
      <c r="V3605" s="14">
        <v>31938039</v>
      </c>
      <c r="X3605" s="14" t="s">
        <v>6923</v>
      </c>
      <c r="Y3605" s="14" t="s">
        <v>215</v>
      </c>
      <c r="Z3605" s="14">
        <v>22368</v>
      </c>
      <c r="AA3605" s="14" t="s">
        <v>6924</v>
      </c>
      <c r="AB3605" s="14">
        <v>40001</v>
      </c>
      <c r="AE3605" s="14" t="s">
        <v>1400</v>
      </c>
      <c r="AF3605" s="14" t="s">
        <v>1400</v>
      </c>
      <c r="AG3605" s="14" t="s">
        <v>1231</v>
      </c>
    </row>
    <row r="3606" spans="2:33">
      <c r="B3606" s="14">
        <f>10000000+INDEX(编号表!$B:$B,MATCH(H3606,编号表!$A:$A,0))*100000+INDEX(编号表!$F:$F,MATCH(D3606,编号表!$E:$E,0))*10000+INDEX(编号表!$D:$D,MATCH(AG3606,编号表!$C:$C,0))*1000+F3606</f>
        <v>11948040</v>
      </c>
      <c r="C3606" s="14" t="s">
        <v>6922</v>
      </c>
      <c r="D3606" s="14" t="s">
        <v>104</v>
      </c>
      <c r="E3606" s="14" t="s">
        <v>1231</v>
      </c>
      <c r="F3606" s="14">
        <v>40</v>
      </c>
      <c r="G3606" s="14">
        <v>60</v>
      </c>
      <c r="H3606" s="14" t="s">
        <v>1400</v>
      </c>
      <c r="I3606" s="14" t="s">
        <v>75</v>
      </c>
      <c r="J3606" s="14" t="s">
        <v>201</v>
      </c>
      <c r="K3606" s="14">
        <v>1</v>
      </c>
      <c r="L3606" s="14" t="s">
        <v>1400</v>
      </c>
      <c r="N3606" s="14">
        <v>0</v>
      </c>
      <c r="O3606" s="14" t="b">
        <v>1</v>
      </c>
      <c r="Q3606" s="14" t="b">
        <v>0</v>
      </c>
      <c r="R3606" s="14">
        <v>1</v>
      </c>
      <c r="S3606" s="14" t="s">
        <v>77</v>
      </c>
      <c r="T3606" s="14">
        <v>999</v>
      </c>
      <c r="U3606" s="14" t="s">
        <v>1401</v>
      </c>
      <c r="V3606" s="14">
        <v>31948040</v>
      </c>
      <c r="X3606" s="14" t="s">
        <v>6925</v>
      </c>
      <c r="Y3606" s="14" t="s">
        <v>215</v>
      </c>
      <c r="Z3606" s="14">
        <v>22369</v>
      </c>
      <c r="AA3606" s="14" t="s">
        <v>6926</v>
      </c>
      <c r="AB3606" s="14">
        <v>40001</v>
      </c>
      <c r="AE3606" s="14" t="s">
        <v>1400</v>
      </c>
      <c r="AF3606" s="14" t="s">
        <v>1400</v>
      </c>
      <c r="AG3606" s="14" t="s">
        <v>1231</v>
      </c>
    </row>
    <row r="3607" spans="2:33">
      <c r="B3607" s="14">
        <f>10000000+INDEX(编号表!$B:$B,MATCH(H3607,编号表!$A:$A,0))*100000+INDEX(编号表!$F:$F,MATCH(D3607,编号表!$E:$E,0))*10000+INDEX(编号表!$D:$D,MATCH(AG3607,编号表!$C:$C,0))*1000+F3607</f>
        <v>11958041</v>
      </c>
      <c r="C3607" s="14" t="s">
        <v>6922</v>
      </c>
      <c r="D3607" s="14" t="s">
        <v>333</v>
      </c>
      <c r="E3607" s="14" t="s">
        <v>1231</v>
      </c>
      <c r="F3607" s="14">
        <v>41</v>
      </c>
      <c r="G3607" s="14">
        <v>60</v>
      </c>
      <c r="H3607" s="14" t="s">
        <v>1400</v>
      </c>
      <c r="I3607" s="14" t="s">
        <v>75</v>
      </c>
      <c r="J3607" s="14" t="s">
        <v>201</v>
      </c>
      <c r="K3607" s="14">
        <v>1</v>
      </c>
      <c r="L3607" s="14" t="s">
        <v>1400</v>
      </c>
      <c r="N3607" s="14">
        <v>0</v>
      </c>
      <c r="O3607" s="14" t="b">
        <v>1</v>
      </c>
      <c r="Q3607" s="14" t="b">
        <v>0</v>
      </c>
      <c r="R3607" s="14">
        <v>1</v>
      </c>
      <c r="S3607" s="14" t="s">
        <v>77</v>
      </c>
      <c r="T3607" s="14">
        <v>999</v>
      </c>
      <c r="U3607" s="14" t="s">
        <v>1401</v>
      </c>
      <c r="V3607" s="14">
        <v>31958041</v>
      </c>
      <c r="X3607" s="14" t="s">
        <v>6927</v>
      </c>
      <c r="Y3607" s="14" t="s">
        <v>215</v>
      </c>
      <c r="Z3607" s="14">
        <v>22370</v>
      </c>
      <c r="AA3607" s="14" t="s">
        <v>6928</v>
      </c>
      <c r="AB3607" s="14">
        <v>40001</v>
      </c>
      <c r="AE3607" s="14" t="s">
        <v>1400</v>
      </c>
      <c r="AF3607" s="14" t="s">
        <v>1400</v>
      </c>
      <c r="AG3607" s="14" t="s">
        <v>1231</v>
      </c>
    </row>
    <row r="3608" spans="2:33">
      <c r="B3608" s="14">
        <f>10000000+INDEX(编号表!$B:$B,MATCH(H3608,编号表!$A:$A,0))*100000+INDEX(编号表!$F:$F,MATCH(D3608,编号表!$E:$E,0))*10000+INDEX(编号表!$D:$D,MATCH(AG3608,编号表!$C:$C,0))*1000+F3608</f>
        <v>11938040</v>
      </c>
      <c r="C3608" s="14" t="s">
        <v>6929</v>
      </c>
      <c r="D3608" s="14" t="s">
        <v>276</v>
      </c>
      <c r="E3608" s="14" t="s">
        <v>1231</v>
      </c>
      <c r="F3608" s="14">
        <v>40</v>
      </c>
      <c r="G3608" s="14">
        <v>60</v>
      </c>
      <c r="H3608" s="14" t="s">
        <v>1400</v>
      </c>
      <c r="I3608" s="14" t="s">
        <v>75</v>
      </c>
      <c r="J3608" s="14" t="s">
        <v>201</v>
      </c>
      <c r="K3608" s="14">
        <v>1</v>
      </c>
      <c r="L3608" s="14" t="s">
        <v>1400</v>
      </c>
      <c r="N3608" s="14">
        <v>0</v>
      </c>
      <c r="O3608" s="14" t="b">
        <v>1</v>
      </c>
      <c r="Q3608" s="14" t="b">
        <v>0</v>
      </c>
      <c r="R3608" s="14">
        <v>1</v>
      </c>
      <c r="S3608" s="14" t="s">
        <v>77</v>
      </c>
      <c r="T3608" s="14">
        <v>999</v>
      </c>
      <c r="U3608" s="14" t="s">
        <v>1401</v>
      </c>
      <c r="V3608" s="14">
        <v>31938040</v>
      </c>
      <c r="X3608" s="14" t="s">
        <v>6930</v>
      </c>
      <c r="Y3608" s="14" t="s">
        <v>215</v>
      </c>
      <c r="Z3608" s="14">
        <v>22371</v>
      </c>
      <c r="AA3608" s="14" t="s">
        <v>6931</v>
      </c>
      <c r="AB3608" s="14">
        <v>40001</v>
      </c>
      <c r="AE3608" s="14" t="s">
        <v>1400</v>
      </c>
      <c r="AF3608" s="14" t="s">
        <v>1400</v>
      </c>
      <c r="AG3608" s="14" t="s">
        <v>1231</v>
      </c>
    </row>
    <row r="3609" spans="2:33">
      <c r="B3609" s="14">
        <f>10000000+INDEX(编号表!$B:$B,MATCH(H3609,编号表!$A:$A,0))*100000+INDEX(编号表!$F:$F,MATCH(D3609,编号表!$E:$E,0))*10000+INDEX(编号表!$D:$D,MATCH(AG3609,编号表!$C:$C,0))*1000+F3609</f>
        <v>11948041</v>
      </c>
      <c r="C3609" s="14" t="s">
        <v>6929</v>
      </c>
      <c r="D3609" s="14" t="s">
        <v>104</v>
      </c>
      <c r="E3609" s="14" t="s">
        <v>1231</v>
      </c>
      <c r="F3609" s="14">
        <v>41</v>
      </c>
      <c r="G3609" s="14">
        <v>60</v>
      </c>
      <c r="H3609" s="14" t="s">
        <v>1400</v>
      </c>
      <c r="I3609" s="14" t="s">
        <v>75</v>
      </c>
      <c r="J3609" s="14" t="s">
        <v>201</v>
      </c>
      <c r="K3609" s="14">
        <v>1</v>
      </c>
      <c r="L3609" s="14" t="s">
        <v>1400</v>
      </c>
      <c r="N3609" s="14">
        <v>0</v>
      </c>
      <c r="O3609" s="14" t="b">
        <v>1</v>
      </c>
      <c r="Q3609" s="14" t="b">
        <v>0</v>
      </c>
      <c r="R3609" s="14">
        <v>1</v>
      </c>
      <c r="S3609" s="14" t="s">
        <v>77</v>
      </c>
      <c r="T3609" s="14">
        <v>999</v>
      </c>
      <c r="U3609" s="14" t="s">
        <v>1401</v>
      </c>
      <c r="V3609" s="14">
        <v>31948041</v>
      </c>
      <c r="X3609" s="14" t="s">
        <v>6932</v>
      </c>
      <c r="Y3609" s="14" t="s">
        <v>215</v>
      </c>
      <c r="Z3609" s="14">
        <v>22372</v>
      </c>
      <c r="AA3609" s="14" t="s">
        <v>6933</v>
      </c>
      <c r="AB3609" s="14">
        <v>40001</v>
      </c>
      <c r="AE3609" s="14" t="s">
        <v>1400</v>
      </c>
      <c r="AF3609" s="14" t="s">
        <v>1400</v>
      </c>
      <c r="AG3609" s="14" t="s">
        <v>1231</v>
      </c>
    </row>
    <row r="3610" spans="2:33">
      <c r="B3610" s="14">
        <f>10000000+INDEX(编号表!$B:$B,MATCH(H3610,编号表!$A:$A,0))*100000+INDEX(编号表!$F:$F,MATCH(D3610,编号表!$E:$E,0))*10000+INDEX(编号表!$D:$D,MATCH(AG3610,编号表!$C:$C,0))*1000+F3610</f>
        <v>11958042</v>
      </c>
      <c r="C3610" s="14" t="s">
        <v>6929</v>
      </c>
      <c r="D3610" s="14" t="s">
        <v>333</v>
      </c>
      <c r="E3610" s="14" t="s">
        <v>1231</v>
      </c>
      <c r="F3610" s="14">
        <v>42</v>
      </c>
      <c r="G3610" s="14">
        <v>60</v>
      </c>
      <c r="H3610" s="14" t="s">
        <v>1400</v>
      </c>
      <c r="I3610" s="14" t="s">
        <v>75</v>
      </c>
      <c r="J3610" s="14" t="s">
        <v>201</v>
      </c>
      <c r="K3610" s="14">
        <v>1</v>
      </c>
      <c r="L3610" s="14" t="s">
        <v>1400</v>
      </c>
      <c r="N3610" s="14">
        <v>0</v>
      </c>
      <c r="O3610" s="14" t="b">
        <v>1</v>
      </c>
      <c r="Q3610" s="14" t="b">
        <v>0</v>
      </c>
      <c r="R3610" s="14">
        <v>1</v>
      </c>
      <c r="S3610" s="14" t="s">
        <v>77</v>
      </c>
      <c r="T3610" s="14">
        <v>999</v>
      </c>
      <c r="U3610" s="14" t="s">
        <v>1401</v>
      </c>
      <c r="V3610" s="14">
        <v>31958042</v>
      </c>
      <c r="X3610" s="14" t="s">
        <v>6934</v>
      </c>
      <c r="Y3610" s="14" t="s">
        <v>215</v>
      </c>
      <c r="Z3610" s="14">
        <v>22373</v>
      </c>
      <c r="AA3610" s="14" t="s">
        <v>6935</v>
      </c>
      <c r="AB3610" s="14">
        <v>40001</v>
      </c>
      <c r="AE3610" s="14" t="s">
        <v>1400</v>
      </c>
      <c r="AF3610" s="14" t="s">
        <v>1400</v>
      </c>
      <c r="AG3610" s="14" t="s">
        <v>1231</v>
      </c>
    </row>
    <row r="3611" spans="2:33">
      <c r="B3611" s="14">
        <f>10000000+INDEX(编号表!$B:$B,MATCH(H3611,编号表!$A:$A,0))*100000+INDEX(编号表!$F:$F,MATCH(D3611,编号表!$E:$E,0))*10000+INDEX(编号表!$D:$D,MATCH(AG3611,编号表!$C:$C,0))*1000+F3611</f>
        <v>11938041</v>
      </c>
      <c r="C3611" s="14" t="s">
        <v>6936</v>
      </c>
      <c r="D3611" s="14" t="s">
        <v>276</v>
      </c>
      <c r="E3611" s="14" t="s">
        <v>1231</v>
      </c>
      <c r="F3611" s="14">
        <v>41</v>
      </c>
      <c r="G3611" s="14">
        <v>60</v>
      </c>
      <c r="H3611" s="14" t="s">
        <v>1400</v>
      </c>
      <c r="I3611" s="14" t="s">
        <v>75</v>
      </c>
      <c r="J3611" s="14" t="s">
        <v>201</v>
      </c>
      <c r="K3611" s="14">
        <v>1</v>
      </c>
      <c r="L3611" s="14" t="s">
        <v>1400</v>
      </c>
      <c r="N3611" s="14">
        <v>0</v>
      </c>
      <c r="O3611" s="14" t="b">
        <v>1</v>
      </c>
      <c r="Q3611" s="14" t="b">
        <v>0</v>
      </c>
      <c r="R3611" s="14">
        <v>1</v>
      </c>
      <c r="S3611" s="14" t="s">
        <v>77</v>
      </c>
      <c r="T3611" s="14">
        <v>999</v>
      </c>
      <c r="U3611" s="14" t="s">
        <v>1401</v>
      </c>
      <c r="V3611" s="14">
        <v>31938041</v>
      </c>
      <c r="X3611" s="14" t="s">
        <v>6937</v>
      </c>
      <c r="Y3611" s="14" t="s">
        <v>215</v>
      </c>
      <c r="Z3611" s="14">
        <v>22374</v>
      </c>
      <c r="AA3611" s="14" t="s">
        <v>6938</v>
      </c>
      <c r="AB3611" s="14">
        <v>40001</v>
      </c>
      <c r="AE3611" s="14" t="s">
        <v>1400</v>
      </c>
      <c r="AF3611" s="14" t="s">
        <v>1400</v>
      </c>
      <c r="AG3611" s="14" t="s">
        <v>1231</v>
      </c>
    </row>
    <row r="3612" spans="2:33">
      <c r="B3612" s="14">
        <f>10000000+INDEX(编号表!$B:$B,MATCH(H3612,编号表!$A:$A,0))*100000+INDEX(编号表!$F:$F,MATCH(D3612,编号表!$E:$E,0))*10000+INDEX(编号表!$D:$D,MATCH(AG3612,编号表!$C:$C,0))*1000+F3612</f>
        <v>11948042</v>
      </c>
      <c r="C3612" s="14" t="s">
        <v>6936</v>
      </c>
      <c r="D3612" s="14" t="s">
        <v>104</v>
      </c>
      <c r="E3612" s="14" t="s">
        <v>1231</v>
      </c>
      <c r="F3612" s="14">
        <v>42</v>
      </c>
      <c r="G3612" s="14">
        <v>60</v>
      </c>
      <c r="H3612" s="14" t="s">
        <v>1400</v>
      </c>
      <c r="I3612" s="14" t="s">
        <v>75</v>
      </c>
      <c r="J3612" s="14" t="s">
        <v>201</v>
      </c>
      <c r="K3612" s="14">
        <v>1</v>
      </c>
      <c r="L3612" s="14" t="s">
        <v>1400</v>
      </c>
      <c r="N3612" s="14">
        <v>0</v>
      </c>
      <c r="O3612" s="14" t="b">
        <v>1</v>
      </c>
      <c r="Q3612" s="14" t="b">
        <v>0</v>
      </c>
      <c r="R3612" s="14">
        <v>1</v>
      </c>
      <c r="S3612" s="14" t="s">
        <v>77</v>
      </c>
      <c r="T3612" s="14">
        <v>999</v>
      </c>
      <c r="U3612" s="14" t="s">
        <v>1401</v>
      </c>
      <c r="V3612" s="14">
        <v>31948042</v>
      </c>
      <c r="X3612" s="14" t="s">
        <v>6939</v>
      </c>
      <c r="Y3612" s="14" t="s">
        <v>215</v>
      </c>
      <c r="Z3612" s="14">
        <v>22375</v>
      </c>
      <c r="AA3612" s="14" t="s">
        <v>6940</v>
      </c>
      <c r="AB3612" s="14">
        <v>40001</v>
      </c>
      <c r="AE3612" s="14" t="s">
        <v>1400</v>
      </c>
      <c r="AF3612" s="14" t="s">
        <v>1400</v>
      </c>
      <c r="AG3612" s="14" t="s">
        <v>1231</v>
      </c>
    </row>
    <row r="3613" spans="2:33">
      <c r="B3613" s="14">
        <f>10000000+INDEX(编号表!$B:$B,MATCH(H3613,编号表!$A:$A,0))*100000+INDEX(编号表!$F:$F,MATCH(D3613,编号表!$E:$E,0))*10000+INDEX(编号表!$D:$D,MATCH(AG3613,编号表!$C:$C,0))*1000+F3613</f>
        <v>11958043</v>
      </c>
      <c r="C3613" s="14" t="s">
        <v>6936</v>
      </c>
      <c r="D3613" s="14" t="s">
        <v>333</v>
      </c>
      <c r="E3613" s="14" t="s">
        <v>1231</v>
      </c>
      <c r="F3613" s="14">
        <v>43</v>
      </c>
      <c r="G3613" s="14">
        <v>60</v>
      </c>
      <c r="H3613" s="14" t="s">
        <v>1400</v>
      </c>
      <c r="I3613" s="14" t="s">
        <v>75</v>
      </c>
      <c r="J3613" s="14" t="s">
        <v>201</v>
      </c>
      <c r="K3613" s="14">
        <v>1</v>
      </c>
      <c r="L3613" s="14" t="s">
        <v>1400</v>
      </c>
      <c r="N3613" s="14">
        <v>0</v>
      </c>
      <c r="O3613" s="14" t="b">
        <v>1</v>
      </c>
      <c r="Q3613" s="14" t="b">
        <v>0</v>
      </c>
      <c r="R3613" s="14">
        <v>1</v>
      </c>
      <c r="S3613" s="14" t="s">
        <v>77</v>
      </c>
      <c r="T3613" s="14">
        <v>999</v>
      </c>
      <c r="U3613" s="14" t="s">
        <v>1401</v>
      </c>
      <c r="V3613" s="14">
        <v>31958043</v>
      </c>
      <c r="X3613" s="14" t="s">
        <v>6941</v>
      </c>
      <c r="Y3613" s="14" t="s">
        <v>215</v>
      </c>
      <c r="Z3613" s="14">
        <v>22376</v>
      </c>
      <c r="AA3613" s="14" t="s">
        <v>6942</v>
      </c>
      <c r="AB3613" s="14">
        <v>40001</v>
      </c>
      <c r="AE3613" s="14" t="s">
        <v>1400</v>
      </c>
      <c r="AF3613" s="14" t="s">
        <v>1400</v>
      </c>
      <c r="AG3613" s="14" t="s">
        <v>1231</v>
      </c>
    </row>
    <row r="3614" spans="2:33">
      <c r="B3614" s="14">
        <f>10000000+INDEX(编号表!$B:$B,MATCH(H3614,编号表!$A:$A,0))*100000+INDEX(编号表!$F:$F,MATCH(D3614,编号表!$E:$E,0))*10000+INDEX(编号表!$D:$D,MATCH(AG3614,编号表!$C:$C,0))*1000+F3614</f>
        <v>11938042</v>
      </c>
      <c r="C3614" s="14" t="s">
        <v>6943</v>
      </c>
      <c r="D3614" s="14" t="s">
        <v>276</v>
      </c>
      <c r="E3614" s="14" t="s">
        <v>1231</v>
      </c>
      <c r="F3614" s="14">
        <v>42</v>
      </c>
      <c r="G3614" s="14">
        <v>60</v>
      </c>
      <c r="H3614" s="14" t="s">
        <v>1400</v>
      </c>
      <c r="I3614" s="14" t="s">
        <v>75</v>
      </c>
      <c r="J3614" s="14" t="s">
        <v>201</v>
      </c>
      <c r="K3614" s="14">
        <v>1</v>
      </c>
      <c r="L3614" s="14" t="s">
        <v>1400</v>
      </c>
      <c r="N3614" s="14">
        <v>0</v>
      </c>
      <c r="O3614" s="14" t="b">
        <v>1</v>
      </c>
      <c r="Q3614" s="14" t="b">
        <v>0</v>
      </c>
      <c r="R3614" s="14">
        <v>1</v>
      </c>
      <c r="S3614" s="14" t="s">
        <v>77</v>
      </c>
      <c r="T3614" s="14">
        <v>999</v>
      </c>
      <c r="U3614" s="14" t="s">
        <v>1401</v>
      </c>
      <c r="V3614" s="14">
        <v>31938042</v>
      </c>
      <c r="X3614" s="14" t="s">
        <v>6944</v>
      </c>
      <c r="Y3614" s="14" t="s">
        <v>215</v>
      </c>
      <c r="Z3614" s="14">
        <v>22377</v>
      </c>
      <c r="AA3614" s="14" t="s">
        <v>6945</v>
      </c>
      <c r="AB3614" s="14">
        <v>40001</v>
      </c>
      <c r="AE3614" s="14" t="s">
        <v>1400</v>
      </c>
      <c r="AF3614" s="14" t="s">
        <v>1400</v>
      </c>
      <c r="AG3614" s="14" t="s">
        <v>1231</v>
      </c>
    </row>
    <row r="3615" spans="2:33">
      <c r="B3615" s="14">
        <f>10000000+INDEX(编号表!$B:$B,MATCH(H3615,编号表!$A:$A,0))*100000+INDEX(编号表!$F:$F,MATCH(D3615,编号表!$E:$E,0))*10000+INDEX(编号表!$D:$D,MATCH(AG3615,编号表!$C:$C,0))*1000+F3615</f>
        <v>11948043</v>
      </c>
      <c r="C3615" s="14" t="s">
        <v>6943</v>
      </c>
      <c r="D3615" s="14" t="s">
        <v>104</v>
      </c>
      <c r="E3615" s="14" t="s">
        <v>1231</v>
      </c>
      <c r="F3615" s="14">
        <v>43</v>
      </c>
      <c r="G3615" s="14">
        <v>60</v>
      </c>
      <c r="H3615" s="14" t="s">
        <v>1400</v>
      </c>
      <c r="I3615" s="14" t="s">
        <v>75</v>
      </c>
      <c r="J3615" s="14" t="s">
        <v>201</v>
      </c>
      <c r="K3615" s="14">
        <v>1</v>
      </c>
      <c r="L3615" s="14" t="s">
        <v>1400</v>
      </c>
      <c r="N3615" s="14">
        <v>0</v>
      </c>
      <c r="O3615" s="14" t="b">
        <v>1</v>
      </c>
      <c r="Q3615" s="14" t="b">
        <v>0</v>
      </c>
      <c r="R3615" s="14">
        <v>1</v>
      </c>
      <c r="S3615" s="14" t="s">
        <v>77</v>
      </c>
      <c r="T3615" s="14">
        <v>999</v>
      </c>
      <c r="U3615" s="14" t="s">
        <v>1401</v>
      </c>
      <c r="V3615" s="14">
        <v>31948043</v>
      </c>
      <c r="X3615" s="14" t="s">
        <v>6946</v>
      </c>
      <c r="Y3615" s="14" t="s">
        <v>215</v>
      </c>
      <c r="Z3615" s="14">
        <v>22378</v>
      </c>
      <c r="AA3615" s="14" t="s">
        <v>6947</v>
      </c>
      <c r="AB3615" s="14">
        <v>40001</v>
      </c>
      <c r="AE3615" s="14" t="s">
        <v>1400</v>
      </c>
      <c r="AF3615" s="14" t="s">
        <v>1400</v>
      </c>
      <c r="AG3615" s="14" t="s">
        <v>1231</v>
      </c>
    </row>
    <row r="3616" spans="2:33">
      <c r="B3616" s="14">
        <f>10000000+INDEX(编号表!$B:$B,MATCH(H3616,编号表!$A:$A,0))*100000+INDEX(编号表!$F:$F,MATCH(D3616,编号表!$E:$E,0))*10000+INDEX(编号表!$D:$D,MATCH(AG3616,编号表!$C:$C,0))*1000+F3616</f>
        <v>11958044</v>
      </c>
      <c r="C3616" s="14" t="s">
        <v>6943</v>
      </c>
      <c r="D3616" s="14" t="s">
        <v>333</v>
      </c>
      <c r="E3616" s="14" t="s">
        <v>1231</v>
      </c>
      <c r="F3616" s="14">
        <v>44</v>
      </c>
      <c r="G3616" s="14">
        <v>60</v>
      </c>
      <c r="H3616" s="14" t="s">
        <v>1400</v>
      </c>
      <c r="I3616" s="14" t="s">
        <v>75</v>
      </c>
      <c r="J3616" s="14" t="s">
        <v>201</v>
      </c>
      <c r="K3616" s="14">
        <v>1</v>
      </c>
      <c r="L3616" s="14" t="s">
        <v>1400</v>
      </c>
      <c r="N3616" s="14">
        <v>0</v>
      </c>
      <c r="O3616" s="14" t="b">
        <v>1</v>
      </c>
      <c r="Q3616" s="14" t="b">
        <v>0</v>
      </c>
      <c r="R3616" s="14">
        <v>1</v>
      </c>
      <c r="S3616" s="14" t="s">
        <v>77</v>
      </c>
      <c r="T3616" s="14">
        <v>999</v>
      </c>
      <c r="U3616" s="14" t="s">
        <v>1401</v>
      </c>
      <c r="V3616" s="14">
        <v>31958044</v>
      </c>
      <c r="X3616" s="14" t="s">
        <v>6948</v>
      </c>
      <c r="Y3616" s="14" t="s">
        <v>215</v>
      </c>
      <c r="Z3616" s="14">
        <v>22379</v>
      </c>
      <c r="AA3616" s="14" t="s">
        <v>6949</v>
      </c>
      <c r="AB3616" s="14">
        <v>40001</v>
      </c>
      <c r="AE3616" s="14" t="s">
        <v>1400</v>
      </c>
      <c r="AF3616" s="14" t="s">
        <v>1400</v>
      </c>
      <c r="AG3616" s="14" t="s">
        <v>1231</v>
      </c>
    </row>
    <row r="3617" spans="2:33">
      <c r="B3617" s="14">
        <f>10000000+INDEX(编号表!$B:$B,MATCH(H3617,编号表!$A:$A,0))*100000+INDEX(编号表!$F:$F,MATCH(D3617,编号表!$E:$E,0))*10000+INDEX(编号表!$D:$D,MATCH(AG3617,编号表!$C:$C,0))*1000+F3617</f>
        <v>11938043</v>
      </c>
      <c r="C3617" s="14" t="s">
        <v>6950</v>
      </c>
      <c r="D3617" s="14" t="s">
        <v>276</v>
      </c>
      <c r="E3617" s="14" t="s">
        <v>1231</v>
      </c>
      <c r="F3617" s="14">
        <v>43</v>
      </c>
      <c r="G3617" s="14">
        <v>60</v>
      </c>
      <c r="H3617" s="14" t="s">
        <v>1400</v>
      </c>
      <c r="I3617" s="14" t="s">
        <v>75</v>
      </c>
      <c r="J3617" s="14" t="s">
        <v>201</v>
      </c>
      <c r="K3617" s="14">
        <v>1</v>
      </c>
      <c r="L3617" s="14" t="s">
        <v>1400</v>
      </c>
      <c r="N3617" s="14">
        <v>0</v>
      </c>
      <c r="O3617" s="14" t="b">
        <v>1</v>
      </c>
      <c r="Q3617" s="14" t="b">
        <v>0</v>
      </c>
      <c r="R3617" s="14">
        <v>1</v>
      </c>
      <c r="S3617" s="14" t="s">
        <v>77</v>
      </c>
      <c r="T3617" s="14">
        <v>999</v>
      </c>
      <c r="U3617" s="14" t="s">
        <v>1401</v>
      </c>
      <c r="V3617" s="14">
        <v>31938043</v>
      </c>
      <c r="X3617" s="14" t="s">
        <v>6951</v>
      </c>
      <c r="Y3617" s="14" t="s">
        <v>215</v>
      </c>
      <c r="Z3617" s="14">
        <v>22380</v>
      </c>
      <c r="AA3617" s="14" t="s">
        <v>6952</v>
      </c>
      <c r="AB3617" s="14">
        <v>40001</v>
      </c>
      <c r="AE3617" s="14" t="s">
        <v>1400</v>
      </c>
      <c r="AF3617" s="14" t="s">
        <v>1400</v>
      </c>
      <c r="AG3617" s="14" t="s">
        <v>1231</v>
      </c>
    </row>
    <row r="3618" spans="2:33">
      <c r="B3618" s="14">
        <f>10000000+INDEX(编号表!$B:$B,MATCH(H3618,编号表!$A:$A,0))*100000+INDEX(编号表!$F:$F,MATCH(D3618,编号表!$E:$E,0))*10000+INDEX(编号表!$D:$D,MATCH(AG3618,编号表!$C:$C,0))*1000+F3618</f>
        <v>11948044</v>
      </c>
      <c r="C3618" s="14" t="s">
        <v>6950</v>
      </c>
      <c r="D3618" s="14" t="s">
        <v>104</v>
      </c>
      <c r="E3618" s="14" t="s">
        <v>1231</v>
      </c>
      <c r="F3618" s="14">
        <v>44</v>
      </c>
      <c r="G3618" s="14">
        <v>60</v>
      </c>
      <c r="H3618" s="14" t="s">
        <v>1400</v>
      </c>
      <c r="I3618" s="14" t="s">
        <v>75</v>
      </c>
      <c r="J3618" s="14" t="s">
        <v>201</v>
      </c>
      <c r="K3618" s="14">
        <v>1</v>
      </c>
      <c r="L3618" s="14" t="s">
        <v>1400</v>
      </c>
      <c r="N3618" s="14">
        <v>0</v>
      </c>
      <c r="O3618" s="14" t="b">
        <v>1</v>
      </c>
      <c r="Q3618" s="14" t="b">
        <v>0</v>
      </c>
      <c r="R3618" s="14">
        <v>1</v>
      </c>
      <c r="S3618" s="14" t="s">
        <v>77</v>
      </c>
      <c r="T3618" s="14">
        <v>999</v>
      </c>
      <c r="U3618" s="14" t="s">
        <v>1401</v>
      </c>
      <c r="V3618" s="14">
        <v>31948044</v>
      </c>
      <c r="X3618" s="14" t="s">
        <v>6953</v>
      </c>
      <c r="Y3618" s="14" t="s">
        <v>215</v>
      </c>
      <c r="Z3618" s="14">
        <v>22381</v>
      </c>
      <c r="AA3618" s="14" t="s">
        <v>6954</v>
      </c>
      <c r="AB3618" s="14">
        <v>40001</v>
      </c>
      <c r="AE3618" s="14" t="s">
        <v>1400</v>
      </c>
      <c r="AF3618" s="14" t="s">
        <v>1400</v>
      </c>
      <c r="AG3618" s="14" t="s">
        <v>1231</v>
      </c>
    </row>
    <row r="3619" spans="2:33">
      <c r="B3619" s="14">
        <f>10000000+INDEX(编号表!$B:$B,MATCH(H3619,编号表!$A:$A,0))*100000+INDEX(编号表!$F:$F,MATCH(D3619,编号表!$E:$E,0))*10000+INDEX(编号表!$D:$D,MATCH(AG3619,编号表!$C:$C,0))*1000+F3619</f>
        <v>11958045</v>
      </c>
      <c r="C3619" s="14" t="s">
        <v>6950</v>
      </c>
      <c r="D3619" s="14" t="s">
        <v>333</v>
      </c>
      <c r="E3619" s="14" t="s">
        <v>1231</v>
      </c>
      <c r="F3619" s="14">
        <v>45</v>
      </c>
      <c r="G3619" s="14">
        <v>60</v>
      </c>
      <c r="H3619" s="14" t="s">
        <v>1400</v>
      </c>
      <c r="I3619" s="14" t="s">
        <v>75</v>
      </c>
      <c r="J3619" s="14" t="s">
        <v>201</v>
      </c>
      <c r="K3619" s="14">
        <v>1</v>
      </c>
      <c r="L3619" s="14" t="s">
        <v>1400</v>
      </c>
      <c r="N3619" s="14">
        <v>0</v>
      </c>
      <c r="O3619" s="14" t="b">
        <v>1</v>
      </c>
      <c r="Q3619" s="14" t="b">
        <v>0</v>
      </c>
      <c r="R3619" s="14">
        <v>1</v>
      </c>
      <c r="S3619" s="14" t="s">
        <v>77</v>
      </c>
      <c r="T3619" s="14">
        <v>999</v>
      </c>
      <c r="U3619" s="14" t="s">
        <v>1401</v>
      </c>
      <c r="V3619" s="14">
        <v>31958045</v>
      </c>
      <c r="X3619" s="14" t="s">
        <v>6955</v>
      </c>
      <c r="Y3619" s="14" t="s">
        <v>215</v>
      </c>
      <c r="Z3619" s="14">
        <v>22382</v>
      </c>
      <c r="AA3619" s="14" t="s">
        <v>6956</v>
      </c>
      <c r="AB3619" s="14">
        <v>40001</v>
      </c>
      <c r="AE3619" s="14" t="s">
        <v>1400</v>
      </c>
      <c r="AF3619" s="14" t="s">
        <v>1400</v>
      </c>
      <c r="AG3619" s="14" t="s">
        <v>1231</v>
      </c>
    </row>
    <row r="3620" spans="2:33">
      <c r="B3620" s="14">
        <f>10000000+INDEX(编号表!$B:$B,MATCH(H3620,编号表!$A:$A,0))*100000+INDEX(编号表!$F:$F,MATCH(D3620,编号表!$E:$E,0))*10000+INDEX(编号表!$D:$D,MATCH(AG3620,编号表!$C:$C,0))*1000+F3620</f>
        <v>11938044</v>
      </c>
      <c r="C3620" s="14" t="s">
        <v>6957</v>
      </c>
      <c r="D3620" s="14" t="s">
        <v>276</v>
      </c>
      <c r="E3620" s="14" t="s">
        <v>1231</v>
      </c>
      <c r="F3620" s="14">
        <v>44</v>
      </c>
      <c r="G3620" s="14">
        <v>60</v>
      </c>
      <c r="H3620" s="14" t="s">
        <v>1400</v>
      </c>
      <c r="I3620" s="14" t="s">
        <v>75</v>
      </c>
      <c r="J3620" s="14" t="s">
        <v>201</v>
      </c>
      <c r="K3620" s="14">
        <v>1</v>
      </c>
      <c r="L3620" s="14" t="s">
        <v>1400</v>
      </c>
      <c r="N3620" s="14">
        <v>0</v>
      </c>
      <c r="O3620" s="14" t="b">
        <v>1</v>
      </c>
      <c r="Q3620" s="14" t="b">
        <v>0</v>
      </c>
      <c r="R3620" s="14">
        <v>1</v>
      </c>
      <c r="S3620" s="14" t="s">
        <v>77</v>
      </c>
      <c r="T3620" s="14">
        <v>999</v>
      </c>
      <c r="U3620" s="14" t="s">
        <v>1401</v>
      </c>
      <c r="V3620" s="14">
        <v>31938044</v>
      </c>
      <c r="X3620" s="14" t="s">
        <v>6958</v>
      </c>
      <c r="Y3620" s="14" t="s">
        <v>215</v>
      </c>
      <c r="Z3620" s="14">
        <v>22383</v>
      </c>
      <c r="AA3620" s="14" t="s">
        <v>6959</v>
      </c>
      <c r="AB3620" s="14">
        <v>40001</v>
      </c>
      <c r="AE3620" s="14" t="s">
        <v>1400</v>
      </c>
      <c r="AF3620" s="14" t="s">
        <v>1400</v>
      </c>
      <c r="AG3620" s="14" t="s">
        <v>1231</v>
      </c>
    </row>
    <row r="3621" spans="2:33">
      <c r="B3621" s="14">
        <f>10000000+INDEX(编号表!$B:$B,MATCH(H3621,编号表!$A:$A,0))*100000+INDEX(编号表!$F:$F,MATCH(D3621,编号表!$E:$E,0))*10000+INDEX(编号表!$D:$D,MATCH(AG3621,编号表!$C:$C,0))*1000+F3621</f>
        <v>11948045</v>
      </c>
      <c r="C3621" s="14" t="s">
        <v>6957</v>
      </c>
      <c r="D3621" s="14" t="s">
        <v>104</v>
      </c>
      <c r="E3621" s="14" t="s">
        <v>1231</v>
      </c>
      <c r="F3621" s="14">
        <v>45</v>
      </c>
      <c r="G3621" s="14">
        <v>60</v>
      </c>
      <c r="H3621" s="14" t="s">
        <v>1400</v>
      </c>
      <c r="I3621" s="14" t="s">
        <v>75</v>
      </c>
      <c r="J3621" s="14" t="s">
        <v>201</v>
      </c>
      <c r="K3621" s="14">
        <v>1</v>
      </c>
      <c r="L3621" s="14" t="s">
        <v>1400</v>
      </c>
      <c r="N3621" s="14">
        <v>0</v>
      </c>
      <c r="O3621" s="14" t="b">
        <v>1</v>
      </c>
      <c r="Q3621" s="14" t="b">
        <v>0</v>
      </c>
      <c r="R3621" s="14">
        <v>1</v>
      </c>
      <c r="S3621" s="14" t="s">
        <v>77</v>
      </c>
      <c r="T3621" s="14">
        <v>999</v>
      </c>
      <c r="U3621" s="14" t="s">
        <v>1401</v>
      </c>
      <c r="V3621" s="14">
        <v>31948045</v>
      </c>
      <c r="X3621" s="14" t="s">
        <v>6960</v>
      </c>
      <c r="Y3621" s="14" t="s">
        <v>215</v>
      </c>
      <c r="Z3621" s="14">
        <v>22384</v>
      </c>
      <c r="AA3621" s="14" t="s">
        <v>6961</v>
      </c>
      <c r="AB3621" s="14">
        <v>40001</v>
      </c>
      <c r="AE3621" s="14" t="s">
        <v>1400</v>
      </c>
      <c r="AF3621" s="14" t="s">
        <v>1400</v>
      </c>
      <c r="AG3621" s="14" t="s">
        <v>1231</v>
      </c>
    </row>
    <row r="3622" spans="2:33">
      <c r="B3622" s="14">
        <f>10000000+INDEX(编号表!$B:$B,MATCH(H3622,编号表!$A:$A,0))*100000+INDEX(编号表!$F:$F,MATCH(D3622,编号表!$E:$E,0))*10000+INDEX(编号表!$D:$D,MATCH(AG3622,编号表!$C:$C,0))*1000+F3622</f>
        <v>11958046</v>
      </c>
      <c r="C3622" s="14" t="s">
        <v>6957</v>
      </c>
      <c r="D3622" s="14" t="s">
        <v>333</v>
      </c>
      <c r="E3622" s="14" t="s">
        <v>1231</v>
      </c>
      <c r="F3622" s="14">
        <v>46</v>
      </c>
      <c r="G3622" s="14">
        <v>60</v>
      </c>
      <c r="H3622" s="14" t="s">
        <v>1400</v>
      </c>
      <c r="I3622" s="14" t="s">
        <v>75</v>
      </c>
      <c r="J3622" s="14" t="s">
        <v>201</v>
      </c>
      <c r="K3622" s="14">
        <v>1</v>
      </c>
      <c r="L3622" s="14" t="s">
        <v>1400</v>
      </c>
      <c r="N3622" s="14">
        <v>0</v>
      </c>
      <c r="O3622" s="14" t="b">
        <v>1</v>
      </c>
      <c r="Q3622" s="14" t="b">
        <v>0</v>
      </c>
      <c r="R3622" s="14">
        <v>1</v>
      </c>
      <c r="S3622" s="14" t="s">
        <v>77</v>
      </c>
      <c r="T3622" s="14">
        <v>999</v>
      </c>
      <c r="U3622" s="14" t="s">
        <v>1401</v>
      </c>
      <c r="V3622" s="14">
        <v>31958046</v>
      </c>
      <c r="X3622" s="14" t="s">
        <v>6962</v>
      </c>
      <c r="Y3622" s="14" t="s">
        <v>215</v>
      </c>
      <c r="Z3622" s="14">
        <v>22385</v>
      </c>
      <c r="AA3622" s="14" t="s">
        <v>6963</v>
      </c>
      <c r="AB3622" s="14">
        <v>40001</v>
      </c>
      <c r="AE3622" s="14" t="s">
        <v>1400</v>
      </c>
      <c r="AF3622" s="14" t="s">
        <v>1400</v>
      </c>
      <c r="AG3622" s="14" t="s">
        <v>1231</v>
      </c>
    </row>
    <row r="3623" spans="2:33">
      <c r="B3623" s="14">
        <f>10000000+INDEX(编号表!$B:$B,MATCH(H3623,编号表!$A:$A,0))*100000+INDEX(编号表!$F:$F,MATCH(D3623,编号表!$E:$E,0))*10000+INDEX(编号表!$D:$D,MATCH(AG3623,编号表!$C:$C,0))*1000+F3623</f>
        <v>11938045</v>
      </c>
      <c r="C3623" s="14" t="s">
        <v>6964</v>
      </c>
      <c r="D3623" s="14" t="s">
        <v>276</v>
      </c>
      <c r="E3623" s="14" t="s">
        <v>1231</v>
      </c>
      <c r="F3623" s="14">
        <v>45</v>
      </c>
      <c r="G3623" s="14">
        <v>60</v>
      </c>
      <c r="H3623" s="14" t="s">
        <v>1400</v>
      </c>
      <c r="I3623" s="14" t="s">
        <v>75</v>
      </c>
      <c r="J3623" s="14" t="s">
        <v>201</v>
      </c>
      <c r="K3623" s="14">
        <v>1</v>
      </c>
      <c r="L3623" s="14" t="s">
        <v>1400</v>
      </c>
      <c r="N3623" s="14">
        <v>0</v>
      </c>
      <c r="O3623" s="14" t="b">
        <v>1</v>
      </c>
      <c r="Q3623" s="14" t="b">
        <v>0</v>
      </c>
      <c r="R3623" s="14">
        <v>1</v>
      </c>
      <c r="S3623" s="14" t="s">
        <v>77</v>
      </c>
      <c r="T3623" s="14">
        <v>999</v>
      </c>
      <c r="U3623" s="14" t="s">
        <v>1401</v>
      </c>
      <c r="V3623" s="14">
        <v>31938045</v>
      </c>
      <c r="X3623" s="14" t="s">
        <v>6965</v>
      </c>
      <c r="Y3623" s="14" t="s">
        <v>215</v>
      </c>
      <c r="Z3623" s="14">
        <v>22386</v>
      </c>
      <c r="AA3623" s="14" t="s">
        <v>6966</v>
      </c>
      <c r="AB3623" s="14">
        <v>40001</v>
      </c>
      <c r="AE3623" s="14" t="s">
        <v>1400</v>
      </c>
      <c r="AF3623" s="14" t="s">
        <v>1400</v>
      </c>
      <c r="AG3623" s="14" t="s">
        <v>1231</v>
      </c>
    </row>
    <row r="3624" spans="2:33">
      <c r="B3624" s="14">
        <f>10000000+INDEX(编号表!$B:$B,MATCH(H3624,编号表!$A:$A,0))*100000+INDEX(编号表!$F:$F,MATCH(D3624,编号表!$E:$E,0))*10000+INDEX(编号表!$D:$D,MATCH(AG3624,编号表!$C:$C,0))*1000+F3624</f>
        <v>11948046</v>
      </c>
      <c r="C3624" s="14" t="s">
        <v>6964</v>
      </c>
      <c r="D3624" s="14" t="s">
        <v>104</v>
      </c>
      <c r="E3624" s="14" t="s">
        <v>1231</v>
      </c>
      <c r="F3624" s="14">
        <v>46</v>
      </c>
      <c r="G3624" s="14">
        <v>60</v>
      </c>
      <c r="H3624" s="14" t="s">
        <v>1400</v>
      </c>
      <c r="I3624" s="14" t="s">
        <v>75</v>
      </c>
      <c r="J3624" s="14" t="s">
        <v>201</v>
      </c>
      <c r="K3624" s="14">
        <v>1</v>
      </c>
      <c r="L3624" s="14" t="s">
        <v>1400</v>
      </c>
      <c r="N3624" s="14">
        <v>0</v>
      </c>
      <c r="O3624" s="14" t="b">
        <v>1</v>
      </c>
      <c r="Q3624" s="14" t="b">
        <v>0</v>
      </c>
      <c r="R3624" s="14">
        <v>1</v>
      </c>
      <c r="S3624" s="14" t="s">
        <v>77</v>
      </c>
      <c r="T3624" s="14">
        <v>999</v>
      </c>
      <c r="U3624" s="14" t="s">
        <v>1401</v>
      </c>
      <c r="V3624" s="14">
        <v>31948046</v>
      </c>
      <c r="X3624" s="14" t="s">
        <v>6967</v>
      </c>
      <c r="Y3624" s="14" t="s">
        <v>215</v>
      </c>
      <c r="Z3624" s="14">
        <v>22387</v>
      </c>
      <c r="AA3624" s="14" t="s">
        <v>6968</v>
      </c>
      <c r="AB3624" s="14">
        <v>40001</v>
      </c>
      <c r="AE3624" s="14" t="s">
        <v>1400</v>
      </c>
      <c r="AF3624" s="14" t="s">
        <v>1400</v>
      </c>
      <c r="AG3624" s="14" t="s">
        <v>1231</v>
      </c>
    </row>
    <row r="3625" spans="2:33">
      <c r="B3625" s="14">
        <f>10000000+INDEX(编号表!$B:$B,MATCH(H3625,编号表!$A:$A,0))*100000+INDEX(编号表!$F:$F,MATCH(D3625,编号表!$E:$E,0))*10000+INDEX(编号表!$D:$D,MATCH(AG3625,编号表!$C:$C,0))*1000+F3625</f>
        <v>11958047</v>
      </c>
      <c r="C3625" s="14" t="s">
        <v>6964</v>
      </c>
      <c r="D3625" s="14" t="s">
        <v>333</v>
      </c>
      <c r="E3625" s="14" t="s">
        <v>1231</v>
      </c>
      <c r="F3625" s="14">
        <v>47</v>
      </c>
      <c r="G3625" s="14">
        <v>60</v>
      </c>
      <c r="H3625" s="14" t="s">
        <v>1400</v>
      </c>
      <c r="I3625" s="14" t="s">
        <v>75</v>
      </c>
      <c r="J3625" s="14" t="s">
        <v>201</v>
      </c>
      <c r="K3625" s="14">
        <v>1</v>
      </c>
      <c r="L3625" s="14" t="s">
        <v>1400</v>
      </c>
      <c r="N3625" s="14">
        <v>0</v>
      </c>
      <c r="O3625" s="14" t="b">
        <v>1</v>
      </c>
      <c r="Q3625" s="14" t="b">
        <v>0</v>
      </c>
      <c r="R3625" s="14">
        <v>1</v>
      </c>
      <c r="S3625" s="14" t="s">
        <v>77</v>
      </c>
      <c r="T3625" s="14">
        <v>999</v>
      </c>
      <c r="U3625" s="14" t="s">
        <v>1401</v>
      </c>
      <c r="V3625" s="14">
        <v>31958047</v>
      </c>
      <c r="X3625" s="14" t="s">
        <v>6969</v>
      </c>
      <c r="Y3625" s="14" t="s">
        <v>215</v>
      </c>
      <c r="Z3625" s="14">
        <v>22388</v>
      </c>
      <c r="AA3625" s="14" t="s">
        <v>6970</v>
      </c>
      <c r="AB3625" s="14">
        <v>40001</v>
      </c>
      <c r="AE3625" s="14" t="s">
        <v>1400</v>
      </c>
      <c r="AF3625" s="14" t="s">
        <v>1400</v>
      </c>
      <c r="AG3625" s="14" t="s">
        <v>1231</v>
      </c>
    </row>
    <row r="3626" spans="2:33">
      <c r="B3626" s="14">
        <f>10000000+INDEX(编号表!$B:$B,MATCH(H3626,编号表!$A:$A,0))*100000+INDEX(编号表!$F:$F,MATCH(D3626,编号表!$E:$E,0))*10000+INDEX(编号表!$D:$D,MATCH(AG3626,编号表!$C:$C,0))*1000+F3626</f>
        <v>11938046</v>
      </c>
      <c r="C3626" s="14" t="s">
        <v>6971</v>
      </c>
      <c r="D3626" s="14" t="s">
        <v>276</v>
      </c>
      <c r="E3626" s="14" t="s">
        <v>1231</v>
      </c>
      <c r="F3626" s="14">
        <v>46</v>
      </c>
      <c r="G3626" s="14">
        <v>60</v>
      </c>
      <c r="H3626" s="14" t="s">
        <v>1400</v>
      </c>
      <c r="I3626" s="14" t="s">
        <v>75</v>
      </c>
      <c r="J3626" s="14" t="s">
        <v>201</v>
      </c>
      <c r="K3626" s="14">
        <v>1</v>
      </c>
      <c r="L3626" s="14" t="s">
        <v>1400</v>
      </c>
      <c r="N3626" s="14">
        <v>0</v>
      </c>
      <c r="O3626" s="14" t="b">
        <v>1</v>
      </c>
      <c r="Q3626" s="14" t="b">
        <v>0</v>
      </c>
      <c r="R3626" s="14">
        <v>1</v>
      </c>
      <c r="S3626" s="14" t="s">
        <v>77</v>
      </c>
      <c r="T3626" s="14">
        <v>999</v>
      </c>
      <c r="U3626" s="14" t="s">
        <v>1401</v>
      </c>
      <c r="V3626" s="14">
        <v>31938046</v>
      </c>
      <c r="X3626" s="14" t="s">
        <v>6972</v>
      </c>
      <c r="Y3626" s="14" t="s">
        <v>215</v>
      </c>
      <c r="Z3626" s="14">
        <v>22389</v>
      </c>
      <c r="AA3626" s="14" t="s">
        <v>6973</v>
      </c>
      <c r="AB3626" s="14">
        <v>40001</v>
      </c>
      <c r="AE3626" s="14" t="s">
        <v>1400</v>
      </c>
      <c r="AF3626" s="14" t="s">
        <v>1400</v>
      </c>
      <c r="AG3626" s="14" t="s">
        <v>1231</v>
      </c>
    </row>
    <row r="3627" spans="2:33">
      <c r="B3627" s="14">
        <f>10000000+INDEX(编号表!$B:$B,MATCH(H3627,编号表!$A:$A,0))*100000+INDEX(编号表!$F:$F,MATCH(D3627,编号表!$E:$E,0))*10000+INDEX(编号表!$D:$D,MATCH(AG3627,编号表!$C:$C,0))*1000+F3627</f>
        <v>11948047</v>
      </c>
      <c r="C3627" s="14" t="s">
        <v>6971</v>
      </c>
      <c r="D3627" s="14" t="s">
        <v>104</v>
      </c>
      <c r="E3627" s="14" t="s">
        <v>1231</v>
      </c>
      <c r="F3627" s="14">
        <v>47</v>
      </c>
      <c r="G3627" s="14">
        <v>60</v>
      </c>
      <c r="H3627" s="14" t="s">
        <v>1400</v>
      </c>
      <c r="I3627" s="14" t="s">
        <v>75</v>
      </c>
      <c r="J3627" s="14" t="s">
        <v>201</v>
      </c>
      <c r="K3627" s="14">
        <v>1</v>
      </c>
      <c r="L3627" s="14" t="s">
        <v>1400</v>
      </c>
      <c r="N3627" s="14">
        <v>0</v>
      </c>
      <c r="O3627" s="14" t="b">
        <v>1</v>
      </c>
      <c r="Q3627" s="14" t="b">
        <v>0</v>
      </c>
      <c r="R3627" s="14">
        <v>1</v>
      </c>
      <c r="S3627" s="14" t="s">
        <v>77</v>
      </c>
      <c r="T3627" s="14">
        <v>999</v>
      </c>
      <c r="U3627" s="14" t="s">
        <v>1401</v>
      </c>
      <c r="V3627" s="14">
        <v>31948047</v>
      </c>
      <c r="X3627" s="14" t="s">
        <v>6974</v>
      </c>
      <c r="Y3627" s="14" t="s">
        <v>215</v>
      </c>
      <c r="Z3627" s="14">
        <v>22390</v>
      </c>
      <c r="AA3627" s="14" t="s">
        <v>6975</v>
      </c>
      <c r="AB3627" s="14">
        <v>40001</v>
      </c>
      <c r="AE3627" s="14" t="s">
        <v>1400</v>
      </c>
      <c r="AF3627" s="14" t="s">
        <v>1400</v>
      </c>
      <c r="AG3627" s="14" t="s">
        <v>1231</v>
      </c>
    </row>
    <row r="3628" spans="2:33">
      <c r="B3628" s="14">
        <f>10000000+INDEX(编号表!$B:$B,MATCH(H3628,编号表!$A:$A,0))*100000+INDEX(编号表!$F:$F,MATCH(D3628,编号表!$E:$E,0))*10000+INDEX(编号表!$D:$D,MATCH(AG3628,编号表!$C:$C,0))*1000+F3628</f>
        <v>11958048</v>
      </c>
      <c r="C3628" s="14" t="s">
        <v>6971</v>
      </c>
      <c r="D3628" s="14" t="s">
        <v>333</v>
      </c>
      <c r="E3628" s="14" t="s">
        <v>1231</v>
      </c>
      <c r="F3628" s="14">
        <v>48</v>
      </c>
      <c r="G3628" s="14">
        <v>60</v>
      </c>
      <c r="H3628" s="14" t="s">
        <v>1400</v>
      </c>
      <c r="I3628" s="14" t="s">
        <v>75</v>
      </c>
      <c r="J3628" s="14" t="s">
        <v>201</v>
      </c>
      <c r="K3628" s="14">
        <v>1</v>
      </c>
      <c r="L3628" s="14" t="s">
        <v>1400</v>
      </c>
      <c r="N3628" s="14">
        <v>0</v>
      </c>
      <c r="O3628" s="14" t="b">
        <v>1</v>
      </c>
      <c r="Q3628" s="14" t="b">
        <v>0</v>
      </c>
      <c r="R3628" s="14">
        <v>1</v>
      </c>
      <c r="S3628" s="14" t="s">
        <v>77</v>
      </c>
      <c r="T3628" s="14">
        <v>999</v>
      </c>
      <c r="U3628" s="14" t="s">
        <v>1401</v>
      </c>
      <c r="V3628" s="14">
        <v>31958048</v>
      </c>
      <c r="X3628" s="14" t="s">
        <v>6976</v>
      </c>
      <c r="Y3628" s="14" t="s">
        <v>215</v>
      </c>
      <c r="Z3628" s="14">
        <v>22391</v>
      </c>
      <c r="AA3628" s="14" t="s">
        <v>6977</v>
      </c>
      <c r="AB3628" s="14">
        <v>40001</v>
      </c>
      <c r="AE3628" s="14" t="s">
        <v>1400</v>
      </c>
      <c r="AF3628" s="14" t="s">
        <v>1400</v>
      </c>
      <c r="AG3628" s="14" t="s">
        <v>1231</v>
      </c>
    </row>
    <row r="3629" spans="2:33">
      <c r="B3629" s="14">
        <f>10000000+INDEX(编号表!$B:$B,MATCH(H3629,编号表!$A:$A,0))*100000+INDEX(编号表!$F:$F,MATCH(D3629,编号表!$E:$E,0))*10000+INDEX(编号表!$D:$D,MATCH(AG3629,编号表!$C:$C,0))*1000+F3629</f>
        <v>11938047</v>
      </c>
      <c r="C3629" s="14" t="s">
        <v>6978</v>
      </c>
      <c r="D3629" s="14" t="s">
        <v>276</v>
      </c>
      <c r="E3629" s="14" t="s">
        <v>1231</v>
      </c>
      <c r="F3629" s="14">
        <v>47</v>
      </c>
      <c r="G3629" s="14">
        <v>60</v>
      </c>
      <c r="H3629" s="14" t="s">
        <v>1400</v>
      </c>
      <c r="I3629" s="14" t="s">
        <v>75</v>
      </c>
      <c r="J3629" s="14" t="s">
        <v>201</v>
      </c>
      <c r="K3629" s="14">
        <v>1</v>
      </c>
      <c r="L3629" s="14" t="s">
        <v>1400</v>
      </c>
      <c r="N3629" s="14">
        <v>0</v>
      </c>
      <c r="O3629" s="14" t="b">
        <v>1</v>
      </c>
      <c r="Q3629" s="14" t="b">
        <v>0</v>
      </c>
      <c r="R3629" s="14">
        <v>1</v>
      </c>
      <c r="S3629" s="14" t="s">
        <v>77</v>
      </c>
      <c r="T3629" s="14">
        <v>999</v>
      </c>
      <c r="U3629" s="14" t="s">
        <v>1401</v>
      </c>
      <c r="V3629" s="14">
        <v>31938047</v>
      </c>
      <c r="X3629" s="14" t="s">
        <v>6979</v>
      </c>
      <c r="Y3629" s="14" t="s">
        <v>215</v>
      </c>
      <c r="Z3629" s="14">
        <v>22392</v>
      </c>
      <c r="AA3629" s="14" t="s">
        <v>6980</v>
      </c>
      <c r="AB3629" s="14">
        <v>40001</v>
      </c>
      <c r="AE3629" s="14" t="s">
        <v>1400</v>
      </c>
      <c r="AF3629" s="14" t="s">
        <v>1400</v>
      </c>
      <c r="AG3629" s="14" t="s">
        <v>1231</v>
      </c>
    </row>
    <row r="3630" spans="2:33">
      <c r="B3630" s="14">
        <f>10000000+INDEX(编号表!$B:$B,MATCH(H3630,编号表!$A:$A,0))*100000+INDEX(编号表!$F:$F,MATCH(D3630,编号表!$E:$E,0))*10000+INDEX(编号表!$D:$D,MATCH(AG3630,编号表!$C:$C,0))*1000+F3630</f>
        <v>11948048</v>
      </c>
      <c r="C3630" s="14" t="s">
        <v>6978</v>
      </c>
      <c r="D3630" s="14" t="s">
        <v>104</v>
      </c>
      <c r="E3630" s="14" t="s">
        <v>1231</v>
      </c>
      <c r="F3630" s="14">
        <v>48</v>
      </c>
      <c r="G3630" s="14">
        <v>60</v>
      </c>
      <c r="H3630" s="14" t="s">
        <v>1400</v>
      </c>
      <c r="I3630" s="14" t="s">
        <v>75</v>
      </c>
      <c r="J3630" s="14" t="s">
        <v>201</v>
      </c>
      <c r="K3630" s="14">
        <v>1</v>
      </c>
      <c r="L3630" s="14" t="s">
        <v>1400</v>
      </c>
      <c r="N3630" s="14">
        <v>0</v>
      </c>
      <c r="O3630" s="14" t="b">
        <v>1</v>
      </c>
      <c r="Q3630" s="14" t="b">
        <v>0</v>
      </c>
      <c r="R3630" s="14">
        <v>1</v>
      </c>
      <c r="S3630" s="14" t="s">
        <v>77</v>
      </c>
      <c r="T3630" s="14">
        <v>999</v>
      </c>
      <c r="U3630" s="14" t="s">
        <v>1401</v>
      </c>
      <c r="V3630" s="14">
        <v>31948048</v>
      </c>
      <c r="X3630" s="14" t="s">
        <v>6981</v>
      </c>
      <c r="Y3630" s="14" t="s">
        <v>215</v>
      </c>
      <c r="Z3630" s="14">
        <v>22393</v>
      </c>
      <c r="AA3630" s="14" t="s">
        <v>6982</v>
      </c>
      <c r="AB3630" s="14">
        <v>40001</v>
      </c>
      <c r="AE3630" s="14" t="s">
        <v>1400</v>
      </c>
      <c r="AF3630" s="14" t="s">
        <v>1400</v>
      </c>
      <c r="AG3630" s="14" t="s">
        <v>1231</v>
      </c>
    </row>
    <row r="3631" spans="2:33">
      <c r="B3631" s="14">
        <f>10000000+INDEX(编号表!$B:$B,MATCH(H3631,编号表!$A:$A,0))*100000+INDEX(编号表!$F:$F,MATCH(D3631,编号表!$E:$E,0))*10000+INDEX(编号表!$D:$D,MATCH(AG3631,编号表!$C:$C,0))*1000+F3631</f>
        <v>11958049</v>
      </c>
      <c r="C3631" s="14" t="s">
        <v>6978</v>
      </c>
      <c r="D3631" s="14" t="s">
        <v>333</v>
      </c>
      <c r="E3631" s="14" t="s">
        <v>1231</v>
      </c>
      <c r="F3631" s="14">
        <v>49</v>
      </c>
      <c r="G3631" s="14">
        <v>60</v>
      </c>
      <c r="H3631" s="14" t="s">
        <v>1400</v>
      </c>
      <c r="I3631" s="14" t="s">
        <v>75</v>
      </c>
      <c r="J3631" s="14" t="s">
        <v>201</v>
      </c>
      <c r="K3631" s="14">
        <v>1</v>
      </c>
      <c r="L3631" s="14" t="s">
        <v>1400</v>
      </c>
      <c r="N3631" s="14">
        <v>0</v>
      </c>
      <c r="O3631" s="14" t="b">
        <v>1</v>
      </c>
      <c r="Q3631" s="14" t="b">
        <v>0</v>
      </c>
      <c r="R3631" s="14">
        <v>1</v>
      </c>
      <c r="S3631" s="14" t="s">
        <v>77</v>
      </c>
      <c r="T3631" s="14">
        <v>999</v>
      </c>
      <c r="U3631" s="14" t="s">
        <v>1401</v>
      </c>
      <c r="V3631" s="14">
        <v>31958049</v>
      </c>
      <c r="X3631" s="14" t="s">
        <v>6983</v>
      </c>
      <c r="Y3631" s="14" t="s">
        <v>215</v>
      </c>
      <c r="Z3631" s="14">
        <v>22394</v>
      </c>
      <c r="AA3631" s="14" t="s">
        <v>6984</v>
      </c>
      <c r="AB3631" s="14">
        <v>40001</v>
      </c>
      <c r="AE3631" s="14" t="s">
        <v>1400</v>
      </c>
      <c r="AF3631" s="14" t="s">
        <v>1400</v>
      </c>
      <c r="AG3631" s="14" t="s">
        <v>1231</v>
      </c>
    </row>
    <row r="3632" spans="2:33">
      <c r="B3632" s="14">
        <f>10000000+INDEX(编号表!$B:$B,MATCH(H3632,编号表!$A:$A,0))*100000+INDEX(编号表!$F:$F,MATCH(D3632,编号表!$E:$E,0))*10000+INDEX(编号表!$D:$D,MATCH(AG3632,编号表!$C:$C,0))*1000+F3632</f>
        <v>11938048</v>
      </c>
      <c r="C3632" s="14" t="s">
        <v>6985</v>
      </c>
      <c r="D3632" s="14" t="s">
        <v>276</v>
      </c>
      <c r="E3632" s="14" t="s">
        <v>1231</v>
      </c>
      <c r="F3632" s="14">
        <v>48</v>
      </c>
      <c r="G3632" s="14">
        <v>60</v>
      </c>
      <c r="H3632" s="14" t="s">
        <v>1400</v>
      </c>
      <c r="I3632" s="14" t="s">
        <v>75</v>
      </c>
      <c r="J3632" s="14" t="s">
        <v>201</v>
      </c>
      <c r="K3632" s="14">
        <v>1</v>
      </c>
      <c r="L3632" s="14" t="s">
        <v>1400</v>
      </c>
      <c r="N3632" s="14">
        <v>0</v>
      </c>
      <c r="O3632" s="14" t="b">
        <v>1</v>
      </c>
      <c r="Q3632" s="14" t="b">
        <v>0</v>
      </c>
      <c r="R3632" s="14">
        <v>1</v>
      </c>
      <c r="S3632" s="14" t="s">
        <v>77</v>
      </c>
      <c r="T3632" s="14">
        <v>999</v>
      </c>
      <c r="U3632" s="14" t="s">
        <v>1401</v>
      </c>
      <c r="V3632" s="14">
        <v>31938048</v>
      </c>
      <c r="X3632" s="14" t="s">
        <v>6986</v>
      </c>
      <c r="Y3632" s="14" t="s">
        <v>215</v>
      </c>
      <c r="Z3632" s="14">
        <v>22395</v>
      </c>
      <c r="AA3632" s="14" t="s">
        <v>6987</v>
      </c>
      <c r="AB3632" s="14">
        <v>40001</v>
      </c>
      <c r="AE3632" s="14" t="s">
        <v>1400</v>
      </c>
      <c r="AF3632" s="14" t="s">
        <v>1400</v>
      </c>
      <c r="AG3632" s="14" t="s">
        <v>1231</v>
      </c>
    </row>
    <row r="3633" spans="2:33">
      <c r="B3633" s="14">
        <f>10000000+INDEX(编号表!$B:$B,MATCH(H3633,编号表!$A:$A,0))*100000+INDEX(编号表!$F:$F,MATCH(D3633,编号表!$E:$E,0))*10000+INDEX(编号表!$D:$D,MATCH(AG3633,编号表!$C:$C,0))*1000+F3633</f>
        <v>11948049</v>
      </c>
      <c r="C3633" s="14" t="s">
        <v>6985</v>
      </c>
      <c r="D3633" s="14" t="s">
        <v>104</v>
      </c>
      <c r="E3633" s="14" t="s">
        <v>1231</v>
      </c>
      <c r="F3633" s="14">
        <v>49</v>
      </c>
      <c r="G3633" s="14">
        <v>60</v>
      </c>
      <c r="H3633" s="14" t="s">
        <v>1400</v>
      </c>
      <c r="I3633" s="14" t="s">
        <v>75</v>
      </c>
      <c r="J3633" s="14" t="s">
        <v>201</v>
      </c>
      <c r="K3633" s="14">
        <v>1</v>
      </c>
      <c r="L3633" s="14" t="s">
        <v>1400</v>
      </c>
      <c r="N3633" s="14">
        <v>0</v>
      </c>
      <c r="O3633" s="14" t="b">
        <v>1</v>
      </c>
      <c r="Q3633" s="14" t="b">
        <v>0</v>
      </c>
      <c r="R3633" s="14">
        <v>1</v>
      </c>
      <c r="S3633" s="14" t="s">
        <v>77</v>
      </c>
      <c r="T3633" s="14">
        <v>999</v>
      </c>
      <c r="U3633" s="14" t="s">
        <v>1401</v>
      </c>
      <c r="V3633" s="14">
        <v>31948049</v>
      </c>
      <c r="X3633" s="14" t="s">
        <v>6988</v>
      </c>
      <c r="Y3633" s="14" t="s">
        <v>215</v>
      </c>
      <c r="Z3633" s="14">
        <v>22396</v>
      </c>
      <c r="AA3633" s="14" t="s">
        <v>6989</v>
      </c>
      <c r="AB3633" s="14">
        <v>40001</v>
      </c>
      <c r="AE3633" s="14" t="s">
        <v>1400</v>
      </c>
      <c r="AF3633" s="14" t="s">
        <v>1400</v>
      </c>
      <c r="AG3633" s="14" t="s">
        <v>1231</v>
      </c>
    </row>
    <row r="3634" spans="2:33">
      <c r="B3634" s="14">
        <f>10000000+INDEX(编号表!$B:$B,MATCH(H3634,编号表!$A:$A,0))*100000+INDEX(编号表!$F:$F,MATCH(D3634,编号表!$E:$E,0))*10000+INDEX(编号表!$D:$D,MATCH(AG3634,编号表!$C:$C,0))*1000+F3634</f>
        <v>11958050</v>
      </c>
      <c r="C3634" s="14" t="s">
        <v>6985</v>
      </c>
      <c r="D3634" s="14" t="s">
        <v>333</v>
      </c>
      <c r="E3634" s="14" t="s">
        <v>1231</v>
      </c>
      <c r="F3634" s="14">
        <v>50</v>
      </c>
      <c r="G3634" s="14">
        <v>60</v>
      </c>
      <c r="H3634" s="14" t="s">
        <v>1400</v>
      </c>
      <c r="I3634" s="14" t="s">
        <v>75</v>
      </c>
      <c r="J3634" s="14" t="s">
        <v>201</v>
      </c>
      <c r="K3634" s="14">
        <v>1</v>
      </c>
      <c r="L3634" s="14" t="s">
        <v>1400</v>
      </c>
      <c r="N3634" s="14">
        <v>0</v>
      </c>
      <c r="O3634" s="14" t="b">
        <v>1</v>
      </c>
      <c r="Q3634" s="14" t="b">
        <v>0</v>
      </c>
      <c r="R3634" s="14">
        <v>1</v>
      </c>
      <c r="S3634" s="14" t="s">
        <v>77</v>
      </c>
      <c r="T3634" s="14">
        <v>999</v>
      </c>
      <c r="U3634" s="14" t="s">
        <v>1401</v>
      </c>
      <c r="V3634" s="14">
        <v>31958050</v>
      </c>
      <c r="X3634" s="14" t="s">
        <v>6990</v>
      </c>
      <c r="Y3634" s="14" t="s">
        <v>215</v>
      </c>
      <c r="Z3634" s="14">
        <v>22397</v>
      </c>
      <c r="AA3634" s="14" t="s">
        <v>6991</v>
      </c>
      <c r="AB3634" s="14">
        <v>40001</v>
      </c>
      <c r="AE3634" s="14" t="s">
        <v>1400</v>
      </c>
      <c r="AF3634" s="14" t="s">
        <v>1400</v>
      </c>
      <c r="AG3634" s="14" t="s">
        <v>1231</v>
      </c>
    </row>
    <row r="3635" spans="2:33">
      <c r="B3635" s="14">
        <f>10000000+INDEX(编号表!$B:$B,MATCH(H3635,编号表!$A:$A,0))*100000+INDEX(编号表!$F:$F,MATCH(D3635,编号表!$E:$E,0))*10000+INDEX(编号表!$D:$D,MATCH(AG3635,编号表!$C:$C,0))*1000+F3635</f>
        <v>11938049</v>
      </c>
      <c r="C3635" s="14" t="s">
        <v>6992</v>
      </c>
      <c r="D3635" s="14" t="s">
        <v>276</v>
      </c>
      <c r="E3635" s="14" t="s">
        <v>1231</v>
      </c>
      <c r="F3635" s="14">
        <v>49</v>
      </c>
      <c r="G3635" s="14">
        <v>60</v>
      </c>
      <c r="H3635" s="14" t="s">
        <v>1400</v>
      </c>
      <c r="I3635" s="14" t="s">
        <v>75</v>
      </c>
      <c r="J3635" s="14" t="s">
        <v>201</v>
      </c>
      <c r="K3635" s="14">
        <v>1</v>
      </c>
      <c r="L3635" s="14" t="s">
        <v>1400</v>
      </c>
      <c r="N3635" s="14">
        <v>0</v>
      </c>
      <c r="O3635" s="14" t="b">
        <v>1</v>
      </c>
      <c r="Q3635" s="14" t="b">
        <v>0</v>
      </c>
      <c r="R3635" s="14">
        <v>1</v>
      </c>
      <c r="S3635" s="14" t="s">
        <v>77</v>
      </c>
      <c r="T3635" s="14">
        <v>999</v>
      </c>
      <c r="U3635" s="14" t="s">
        <v>1401</v>
      </c>
      <c r="V3635" s="14">
        <v>31938049</v>
      </c>
      <c r="X3635" s="14" t="s">
        <v>6993</v>
      </c>
      <c r="Y3635" s="14" t="s">
        <v>215</v>
      </c>
      <c r="Z3635" s="14">
        <v>22398</v>
      </c>
      <c r="AA3635" s="14" t="s">
        <v>6994</v>
      </c>
      <c r="AB3635" s="14">
        <v>40001</v>
      </c>
      <c r="AE3635" s="14" t="s">
        <v>1400</v>
      </c>
      <c r="AF3635" s="14" t="s">
        <v>1400</v>
      </c>
      <c r="AG3635" s="14" t="s">
        <v>1231</v>
      </c>
    </row>
    <row r="3636" spans="2:33">
      <c r="B3636" s="14">
        <f>10000000+INDEX(编号表!$B:$B,MATCH(H3636,编号表!$A:$A,0))*100000+INDEX(编号表!$F:$F,MATCH(D3636,编号表!$E:$E,0))*10000+INDEX(编号表!$D:$D,MATCH(AG3636,编号表!$C:$C,0))*1000+F3636</f>
        <v>11948050</v>
      </c>
      <c r="C3636" s="14" t="s">
        <v>6992</v>
      </c>
      <c r="D3636" s="14" t="s">
        <v>104</v>
      </c>
      <c r="E3636" s="14" t="s">
        <v>1231</v>
      </c>
      <c r="F3636" s="14">
        <v>50</v>
      </c>
      <c r="G3636" s="14">
        <v>60</v>
      </c>
      <c r="H3636" s="14" t="s">
        <v>1400</v>
      </c>
      <c r="I3636" s="14" t="s">
        <v>75</v>
      </c>
      <c r="J3636" s="14" t="s">
        <v>201</v>
      </c>
      <c r="K3636" s="14">
        <v>1</v>
      </c>
      <c r="L3636" s="14" t="s">
        <v>1400</v>
      </c>
      <c r="N3636" s="14">
        <v>0</v>
      </c>
      <c r="O3636" s="14" t="b">
        <v>1</v>
      </c>
      <c r="Q3636" s="14" t="b">
        <v>0</v>
      </c>
      <c r="R3636" s="14">
        <v>1</v>
      </c>
      <c r="S3636" s="14" t="s">
        <v>77</v>
      </c>
      <c r="T3636" s="14">
        <v>999</v>
      </c>
      <c r="U3636" s="14" t="s">
        <v>1401</v>
      </c>
      <c r="V3636" s="14">
        <v>31948050</v>
      </c>
      <c r="X3636" s="14" t="s">
        <v>6995</v>
      </c>
      <c r="Y3636" s="14" t="s">
        <v>215</v>
      </c>
      <c r="Z3636" s="14">
        <v>22399</v>
      </c>
      <c r="AA3636" s="14" t="s">
        <v>6996</v>
      </c>
      <c r="AB3636" s="14">
        <v>40001</v>
      </c>
      <c r="AE3636" s="14" t="s">
        <v>1400</v>
      </c>
      <c r="AF3636" s="14" t="s">
        <v>1400</v>
      </c>
      <c r="AG3636" s="14" t="s">
        <v>1231</v>
      </c>
    </row>
    <row r="3637" spans="2:33">
      <c r="B3637" s="14">
        <f>10000000+INDEX(编号表!$B:$B,MATCH(H3637,编号表!$A:$A,0))*100000+INDEX(编号表!$F:$F,MATCH(D3637,编号表!$E:$E,0))*10000+INDEX(编号表!$D:$D,MATCH(AG3637,编号表!$C:$C,0))*1000+F3637</f>
        <v>11958051</v>
      </c>
      <c r="C3637" s="14" t="s">
        <v>6992</v>
      </c>
      <c r="D3637" s="14" t="s">
        <v>333</v>
      </c>
      <c r="E3637" s="14" t="s">
        <v>1231</v>
      </c>
      <c r="F3637" s="14">
        <v>51</v>
      </c>
      <c r="G3637" s="14">
        <v>60</v>
      </c>
      <c r="H3637" s="14" t="s">
        <v>1400</v>
      </c>
      <c r="I3637" s="14" t="s">
        <v>75</v>
      </c>
      <c r="J3637" s="14" t="s">
        <v>201</v>
      </c>
      <c r="K3637" s="14">
        <v>1</v>
      </c>
      <c r="L3637" s="14" t="s">
        <v>1400</v>
      </c>
      <c r="N3637" s="14">
        <v>0</v>
      </c>
      <c r="O3637" s="14" t="b">
        <v>1</v>
      </c>
      <c r="Q3637" s="14" t="b">
        <v>0</v>
      </c>
      <c r="R3637" s="14">
        <v>1</v>
      </c>
      <c r="S3637" s="14" t="s">
        <v>77</v>
      </c>
      <c r="T3637" s="14">
        <v>999</v>
      </c>
      <c r="U3637" s="14" t="s">
        <v>1401</v>
      </c>
      <c r="V3637" s="14">
        <v>31958051</v>
      </c>
      <c r="X3637" s="14" t="s">
        <v>6997</v>
      </c>
      <c r="Y3637" s="14" t="s">
        <v>215</v>
      </c>
      <c r="Z3637" s="14">
        <v>22400</v>
      </c>
      <c r="AA3637" s="14" t="s">
        <v>6998</v>
      </c>
      <c r="AB3637" s="14">
        <v>40001</v>
      </c>
      <c r="AE3637" s="14" t="s">
        <v>1400</v>
      </c>
      <c r="AF3637" s="14" t="s">
        <v>1400</v>
      </c>
      <c r="AG3637" s="14" t="s">
        <v>1231</v>
      </c>
    </row>
    <row r="3638" spans="2:33">
      <c r="B3638" s="14">
        <f>10000000+INDEX(编号表!$B:$B,MATCH(H3638,编号表!$A:$A,0))*100000+INDEX(编号表!$F:$F,MATCH(D3638,编号表!$E:$E,0))*10000+INDEX(编号表!$D:$D,MATCH(AG3638,编号表!$C:$C,0))*1000+F3638</f>
        <v>11938050</v>
      </c>
      <c r="C3638" s="14" t="s">
        <v>6999</v>
      </c>
      <c r="D3638" s="14" t="s">
        <v>276</v>
      </c>
      <c r="E3638" s="14" t="s">
        <v>1231</v>
      </c>
      <c r="F3638" s="14">
        <v>50</v>
      </c>
      <c r="G3638" s="14">
        <v>60</v>
      </c>
      <c r="H3638" s="14" t="s">
        <v>1400</v>
      </c>
      <c r="I3638" s="14" t="s">
        <v>75</v>
      </c>
      <c r="J3638" s="14" t="s">
        <v>201</v>
      </c>
      <c r="K3638" s="14">
        <v>1</v>
      </c>
      <c r="L3638" s="14" t="s">
        <v>1400</v>
      </c>
      <c r="N3638" s="14">
        <v>0</v>
      </c>
      <c r="O3638" s="14" t="b">
        <v>1</v>
      </c>
      <c r="Q3638" s="14" t="b">
        <v>0</v>
      </c>
      <c r="R3638" s="14">
        <v>1</v>
      </c>
      <c r="S3638" s="14" t="s">
        <v>77</v>
      </c>
      <c r="T3638" s="14">
        <v>999</v>
      </c>
      <c r="U3638" s="14" t="s">
        <v>1401</v>
      </c>
      <c r="V3638" s="14">
        <v>31938050</v>
      </c>
      <c r="X3638" s="14" t="s">
        <v>7000</v>
      </c>
      <c r="Y3638" s="14" t="s">
        <v>215</v>
      </c>
      <c r="Z3638" s="14">
        <v>22401</v>
      </c>
      <c r="AA3638" s="14" t="s">
        <v>7001</v>
      </c>
      <c r="AB3638" s="14">
        <v>40001</v>
      </c>
      <c r="AE3638" s="14" t="s">
        <v>1400</v>
      </c>
      <c r="AF3638" s="14" t="s">
        <v>1400</v>
      </c>
      <c r="AG3638" s="14" t="s">
        <v>1231</v>
      </c>
    </row>
    <row r="3639" spans="2:33">
      <c r="B3639" s="14">
        <f>10000000+INDEX(编号表!$B:$B,MATCH(H3639,编号表!$A:$A,0))*100000+INDEX(编号表!$F:$F,MATCH(D3639,编号表!$E:$E,0))*10000+INDEX(编号表!$D:$D,MATCH(AG3639,编号表!$C:$C,0))*1000+F3639</f>
        <v>11948051</v>
      </c>
      <c r="C3639" s="14" t="s">
        <v>6999</v>
      </c>
      <c r="D3639" s="14" t="s">
        <v>104</v>
      </c>
      <c r="E3639" s="14" t="s">
        <v>1231</v>
      </c>
      <c r="F3639" s="14">
        <v>51</v>
      </c>
      <c r="G3639" s="14">
        <v>60</v>
      </c>
      <c r="H3639" s="14" t="s">
        <v>1400</v>
      </c>
      <c r="I3639" s="14" t="s">
        <v>75</v>
      </c>
      <c r="J3639" s="14" t="s">
        <v>201</v>
      </c>
      <c r="K3639" s="14">
        <v>1</v>
      </c>
      <c r="L3639" s="14" t="s">
        <v>1400</v>
      </c>
      <c r="N3639" s="14">
        <v>0</v>
      </c>
      <c r="O3639" s="14" t="b">
        <v>1</v>
      </c>
      <c r="Q3639" s="14" t="b">
        <v>0</v>
      </c>
      <c r="R3639" s="14">
        <v>1</v>
      </c>
      <c r="S3639" s="14" t="s">
        <v>77</v>
      </c>
      <c r="T3639" s="14">
        <v>999</v>
      </c>
      <c r="U3639" s="14" t="s">
        <v>1401</v>
      </c>
      <c r="V3639" s="14">
        <v>31948051</v>
      </c>
      <c r="X3639" s="14" t="s">
        <v>7002</v>
      </c>
      <c r="Y3639" s="14" t="s">
        <v>215</v>
      </c>
      <c r="Z3639" s="14">
        <v>22402</v>
      </c>
      <c r="AA3639" s="14" t="s">
        <v>7003</v>
      </c>
      <c r="AB3639" s="14">
        <v>40001</v>
      </c>
      <c r="AE3639" s="14" t="s">
        <v>1400</v>
      </c>
      <c r="AF3639" s="14" t="s">
        <v>1400</v>
      </c>
      <c r="AG3639" s="14" t="s">
        <v>1231</v>
      </c>
    </row>
    <row r="3640" spans="2:33">
      <c r="B3640" s="14">
        <f>10000000+INDEX(编号表!$B:$B,MATCH(H3640,编号表!$A:$A,0))*100000+INDEX(编号表!$F:$F,MATCH(D3640,编号表!$E:$E,0))*10000+INDEX(编号表!$D:$D,MATCH(AG3640,编号表!$C:$C,0))*1000+F3640</f>
        <v>11958052</v>
      </c>
      <c r="C3640" s="14" t="s">
        <v>6999</v>
      </c>
      <c r="D3640" s="14" t="s">
        <v>333</v>
      </c>
      <c r="E3640" s="14" t="s">
        <v>1231</v>
      </c>
      <c r="F3640" s="14">
        <v>52</v>
      </c>
      <c r="G3640" s="14">
        <v>60</v>
      </c>
      <c r="H3640" s="14" t="s">
        <v>1400</v>
      </c>
      <c r="I3640" s="14" t="s">
        <v>75</v>
      </c>
      <c r="J3640" s="14" t="s">
        <v>201</v>
      </c>
      <c r="K3640" s="14">
        <v>1</v>
      </c>
      <c r="L3640" s="14" t="s">
        <v>1400</v>
      </c>
      <c r="N3640" s="14">
        <v>0</v>
      </c>
      <c r="O3640" s="14" t="b">
        <v>1</v>
      </c>
      <c r="Q3640" s="14" t="b">
        <v>0</v>
      </c>
      <c r="R3640" s="14">
        <v>1</v>
      </c>
      <c r="S3640" s="14" t="s">
        <v>77</v>
      </c>
      <c r="T3640" s="14">
        <v>999</v>
      </c>
      <c r="U3640" s="14" t="s">
        <v>1401</v>
      </c>
      <c r="V3640" s="14">
        <v>31958052</v>
      </c>
      <c r="X3640" s="14" t="s">
        <v>7004</v>
      </c>
      <c r="Y3640" s="14" t="s">
        <v>215</v>
      </c>
      <c r="Z3640" s="14">
        <v>22403</v>
      </c>
      <c r="AA3640" s="14" t="s">
        <v>7005</v>
      </c>
      <c r="AB3640" s="14">
        <v>40001</v>
      </c>
      <c r="AE3640" s="14" t="s">
        <v>1400</v>
      </c>
      <c r="AF3640" s="14" t="s">
        <v>1400</v>
      </c>
      <c r="AG3640" s="14" t="s">
        <v>1231</v>
      </c>
    </row>
    <row r="3641" spans="2:33">
      <c r="B3641" s="14">
        <f>10000000+INDEX(编号表!$B:$B,MATCH(H3641,编号表!$A:$A,0))*100000+INDEX(编号表!$F:$F,MATCH(D3641,编号表!$E:$E,0))*10000+INDEX(编号表!$D:$D,MATCH(AG3641,编号表!$C:$C,0))*1000+F3641</f>
        <v>11938051</v>
      </c>
      <c r="C3641" s="14" t="s">
        <v>7006</v>
      </c>
      <c r="D3641" s="14" t="s">
        <v>276</v>
      </c>
      <c r="E3641" s="14" t="s">
        <v>1231</v>
      </c>
      <c r="F3641" s="14">
        <v>51</v>
      </c>
      <c r="G3641" s="14">
        <v>60</v>
      </c>
      <c r="H3641" s="14" t="s">
        <v>1400</v>
      </c>
      <c r="I3641" s="14" t="s">
        <v>75</v>
      </c>
      <c r="J3641" s="14" t="s">
        <v>201</v>
      </c>
      <c r="K3641" s="14">
        <v>1</v>
      </c>
      <c r="L3641" s="14" t="s">
        <v>1400</v>
      </c>
      <c r="N3641" s="14">
        <v>0</v>
      </c>
      <c r="O3641" s="14" t="b">
        <v>1</v>
      </c>
      <c r="Q3641" s="14" t="b">
        <v>0</v>
      </c>
      <c r="R3641" s="14">
        <v>1</v>
      </c>
      <c r="S3641" s="14" t="s">
        <v>77</v>
      </c>
      <c r="T3641" s="14">
        <v>999</v>
      </c>
      <c r="U3641" s="14" t="s">
        <v>1401</v>
      </c>
      <c r="V3641" s="14">
        <v>31938051</v>
      </c>
      <c r="X3641" s="14" t="s">
        <v>7007</v>
      </c>
      <c r="Y3641" s="14" t="s">
        <v>215</v>
      </c>
      <c r="Z3641" s="14">
        <v>22404</v>
      </c>
      <c r="AA3641" s="14" t="s">
        <v>7008</v>
      </c>
      <c r="AB3641" s="14">
        <v>40001</v>
      </c>
      <c r="AE3641" s="14" t="s">
        <v>1400</v>
      </c>
      <c r="AF3641" s="14" t="s">
        <v>1400</v>
      </c>
      <c r="AG3641" s="14" t="s">
        <v>1231</v>
      </c>
    </row>
    <row r="3642" spans="2:33">
      <c r="B3642" s="14">
        <f>10000000+INDEX(编号表!$B:$B,MATCH(H3642,编号表!$A:$A,0))*100000+INDEX(编号表!$F:$F,MATCH(D3642,编号表!$E:$E,0))*10000+INDEX(编号表!$D:$D,MATCH(AG3642,编号表!$C:$C,0))*1000+F3642</f>
        <v>11948052</v>
      </c>
      <c r="C3642" s="14" t="s">
        <v>7006</v>
      </c>
      <c r="D3642" s="14" t="s">
        <v>104</v>
      </c>
      <c r="E3642" s="14" t="s">
        <v>1231</v>
      </c>
      <c r="F3642" s="14">
        <v>52</v>
      </c>
      <c r="G3642" s="14">
        <v>60</v>
      </c>
      <c r="H3642" s="14" t="s">
        <v>1400</v>
      </c>
      <c r="I3642" s="14" t="s">
        <v>75</v>
      </c>
      <c r="J3642" s="14" t="s">
        <v>201</v>
      </c>
      <c r="K3642" s="14">
        <v>1</v>
      </c>
      <c r="L3642" s="14" t="s">
        <v>1400</v>
      </c>
      <c r="N3642" s="14">
        <v>0</v>
      </c>
      <c r="O3642" s="14" t="b">
        <v>1</v>
      </c>
      <c r="Q3642" s="14" t="b">
        <v>0</v>
      </c>
      <c r="R3642" s="14">
        <v>1</v>
      </c>
      <c r="S3642" s="14" t="s">
        <v>77</v>
      </c>
      <c r="T3642" s="14">
        <v>999</v>
      </c>
      <c r="U3642" s="14" t="s">
        <v>1401</v>
      </c>
      <c r="V3642" s="14">
        <v>31948052</v>
      </c>
      <c r="X3642" s="14" t="s">
        <v>7009</v>
      </c>
      <c r="Y3642" s="14" t="s">
        <v>215</v>
      </c>
      <c r="Z3642" s="14">
        <v>22405</v>
      </c>
      <c r="AA3642" s="14" t="s">
        <v>7010</v>
      </c>
      <c r="AB3642" s="14">
        <v>40001</v>
      </c>
      <c r="AE3642" s="14" t="s">
        <v>1400</v>
      </c>
      <c r="AF3642" s="14" t="s">
        <v>1400</v>
      </c>
      <c r="AG3642" s="14" t="s">
        <v>1231</v>
      </c>
    </row>
    <row r="3643" spans="2:33">
      <c r="B3643" s="14">
        <f>10000000+INDEX(编号表!$B:$B,MATCH(H3643,编号表!$A:$A,0))*100000+INDEX(编号表!$F:$F,MATCH(D3643,编号表!$E:$E,0))*10000+INDEX(编号表!$D:$D,MATCH(AG3643,编号表!$C:$C,0))*1000+F3643</f>
        <v>11958053</v>
      </c>
      <c r="C3643" s="14" t="s">
        <v>7006</v>
      </c>
      <c r="D3643" s="14" t="s">
        <v>333</v>
      </c>
      <c r="E3643" s="14" t="s">
        <v>1231</v>
      </c>
      <c r="F3643" s="14">
        <v>53</v>
      </c>
      <c r="G3643" s="14">
        <v>60</v>
      </c>
      <c r="H3643" s="14" t="s">
        <v>1400</v>
      </c>
      <c r="I3643" s="14" t="s">
        <v>75</v>
      </c>
      <c r="J3643" s="14" t="s">
        <v>201</v>
      </c>
      <c r="K3643" s="14">
        <v>1</v>
      </c>
      <c r="L3643" s="14" t="s">
        <v>1400</v>
      </c>
      <c r="N3643" s="14">
        <v>0</v>
      </c>
      <c r="O3643" s="14" t="b">
        <v>1</v>
      </c>
      <c r="Q3643" s="14" t="b">
        <v>0</v>
      </c>
      <c r="R3643" s="14">
        <v>1</v>
      </c>
      <c r="S3643" s="14" t="s">
        <v>77</v>
      </c>
      <c r="T3643" s="14">
        <v>999</v>
      </c>
      <c r="U3643" s="14" t="s">
        <v>1401</v>
      </c>
      <c r="V3643" s="14">
        <v>31958053</v>
      </c>
      <c r="X3643" s="14" t="s">
        <v>7011</v>
      </c>
      <c r="Y3643" s="14" t="s">
        <v>215</v>
      </c>
      <c r="Z3643" s="14">
        <v>22406</v>
      </c>
      <c r="AA3643" s="14" t="s">
        <v>7012</v>
      </c>
      <c r="AB3643" s="14">
        <v>40001</v>
      </c>
      <c r="AE3643" s="14" t="s">
        <v>1400</v>
      </c>
      <c r="AF3643" s="14" t="s">
        <v>1400</v>
      </c>
      <c r="AG3643" s="14" t="s">
        <v>1231</v>
      </c>
    </row>
    <row r="3644" spans="2:33">
      <c r="B3644" s="14">
        <f>10000000+INDEX(编号表!$B:$B,MATCH(H3644,编号表!$A:$A,0))*100000+INDEX(编号表!$F:$F,MATCH(D3644,编号表!$E:$E,0))*10000+INDEX(编号表!$D:$D,MATCH(AG3644,编号表!$C:$C,0))*1000+F3644</f>
        <v>11938052</v>
      </c>
      <c r="C3644" s="14" t="s">
        <v>7013</v>
      </c>
      <c r="D3644" s="14" t="s">
        <v>276</v>
      </c>
      <c r="E3644" s="14" t="s">
        <v>1231</v>
      </c>
      <c r="F3644" s="14">
        <v>52</v>
      </c>
      <c r="G3644" s="14">
        <v>60</v>
      </c>
      <c r="H3644" s="14" t="s">
        <v>1400</v>
      </c>
      <c r="I3644" s="14" t="s">
        <v>75</v>
      </c>
      <c r="J3644" s="14" t="s">
        <v>201</v>
      </c>
      <c r="K3644" s="14">
        <v>1</v>
      </c>
      <c r="L3644" s="14" t="s">
        <v>1400</v>
      </c>
      <c r="N3644" s="14">
        <v>0</v>
      </c>
      <c r="O3644" s="14" t="b">
        <v>1</v>
      </c>
      <c r="Q3644" s="14" t="b">
        <v>0</v>
      </c>
      <c r="R3644" s="14">
        <v>1</v>
      </c>
      <c r="S3644" s="14" t="s">
        <v>77</v>
      </c>
      <c r="T3644" s="14">
        <v>999</v>
      </c>
      <c r="U3644" s="14" t="s">
        <v>1401</v>
      </c>
      <c r="V3644" s="14">
        <v>31938052</v>
      </c>
      <c r="X3644" s="14" t="s">
        <v>7014</v>
      </c>
      <c r="Y3644" s="14" t="s">
        <v>215</v>
      </c>
      <c r="Z3644" s="14">
        <v>22407</v>
      </c>
      <c r="AA3644" s="14" t="s">
        <v>7015</v>
      </c>
      <c r="AB3644" s="14">
        <v>40001</v>
      </c>
      <c r="AE3644" s="14" t="s">
        <v>1400</v>
      </c>
      <c r="AF3644" s="14" t="s">
        <v>1400</v>
      </c>
      <c r="AG3644" s="14" t="s">
        <v>1231</v>
      </c>
    </row>
    <row r="3645" spans="2:33">
      <c r="B3645" s="14">
        <f>10000000+INDEX(编号表!$B:$B,MATCH(H3645,编号表!$A:$A,0))*100000+INDEX(编号表!$F:$F,MATCH(D3645,编号表!$E:$E,0))*10000+INDEX(编号表!$D:$D,MATCH(AG3645,编号表!$C:$C,0))*1000+F3645</f>
        <v>11948053</v>
      </c>
      <c r="C3645" s="14" t="s">
        <v>7013</v>
      </c>
      <c r="D3645" s="14" t="s">
        <v>104</v>
      </c>
      <c r="E3645" s="14" t="s">
        <v>1231</v>
      </c>
      <c r="F3645" s="14">
        <v>53</v>
      </c>
      <c r="G3645" s="14">
        <v>60</v>
      </c>
      <c r="H3645" s="14" t="s">
        <v>1400</v>
      </c>
      <c r="I3645" s="14" t="s">
        <v>75</v>
      </c>
      <c r="J3645" s="14" t="s">
        <v>201</v>
      </c>
      <c r="K3645" s="14">
        <v>1</v>
      </c>
      <c r="L3645" s="14" t="s">
        <v>1400</v>
      </c>
      <c r="N3645" s="14">
        <v>0</v>
      </c>
      <c r="O3645" s="14" t="b">
        <v>1</v>
      </c>
      <c r="Q3645" s="14" t="b">
        <v>0</v>
      </c>
      <c r="R3645" s="14">
        <v>1</v>
      </c>
      <c r="S3645" s="14" t="s">
        <v>77</v>
      </c>
      <c r="T3645" s="14">
        <v>999</v>
      </c>
      <c r="U3645" s="14" t="s">
        <v>1401</v>
      </c>
      <c r="V3645" s="14">
        <v>31948053</v>
      </c>
      <c r="X3645" s="14" t="s">
        <v>7016</v>
      </c>
      <c r="Y3645" s="14" t="s">
        <v>215</v>
      </c>
      <c r="Z3645" s="14">
        <v>22408</v>
      </c>
      <c r="AA3645" s="14" t="s">
        <v>7017</v>
      </c>
      <c r="AB3645" s="14">
        <v>40001</v>
      </c>
      <c r="AE3645" s="14" t="s">
        <v>1400</v>
      </c>
      <c r="AF3645" s="14" t="s">
        <v>1400</v>
      </c>
      <c r="AG3645" s="14" t="s">
        <v>1231</v>
      </c>
    </row>
    <row r="3646" spans="2:33">
      <c r="B3646" s="14">
        <f>10000000+INDEX(编号表!$B:$B,MATCH(H3646,编号表!$A:$A,0))*100000+INDEX(编号表!$F:$F,MATCH(D3646,编号表!$E:$E,0))*10000+INDEX(编号表!$D:$D,MATCH(AG3646,编号表!$C:$C,0))*1000+F3646</f>
        <v>11958054</v>
      </c>
      <c r="C3646" s="14" t="s">
        <v>7013</v>
      </c>
      <c r="D3646" s="14" t="s">
        <v>333</v>
      </c>
      <c r="E3646" s="14" t="s">
        <v>1231</v>
      </c>
      <c r="F3646" s="14">
        <v>54</v>
      </c>
      <c r="G3646" s="14">
        <v>60</v>
      </c>
      <c r="H3646" s="14" t="s">
        <v>1400</v>
      </c>
      <c r="I3646" s="14" t="s">
        <v>75</v>
      </c>
      <c r="J3646" s="14" t="s">
        <v>201</v>
      </c>
      <c r="K3646" s="14">
        <v>1</v>
      </c>
      <c r="L3646" s="14" t="s">
        <v>1400</v>
      </c>
      <c r="N3646" s="14">
        <v>0</v>
      </c>
      <c r="O3646" s="14" t="b">
        <v>1</v>
      </c>
      <c r="Q3646" s="14" t="b">
        <v>0</v>
      </c>
      <c r="R3646" s="14">
        <v>1</v>
      </c>
      <c r="S3646" s="14" t="s">
        <v>77</v>
      </c>
      <c r="T3646" s="14">
        <v>999</v>
      </c>
      <c r="U3646" s="14" t="s">
        <v>1401</v>
      </c>
      <c r="V3646" s="14">
        <v>31958054</v>
      </c>
      <c r="X3646" s="14" t="s">
        <v>7018</v>
      </c>
      <c r="Y3646" s="14" t="s">
        <v>215</v>
      </c>
      <c r="Z3646" s="14">
        <v>22409</v>
      </c>
      <c r="AA3646" s="14" t="s">
        <v>7019</v>
      </c>
      <c r="AB3646" s="14">
        <v>40001</v>
      </c>
      <c r="AE3646" s="14" t="s">
        <v>1400</v>
      </c>
      <c r="AF3646" s="14" t="s">
        <v>1400</v>
      </c>
      <c r="AG3646" s="14" t="s">
        <v>1231</v>
      </c>
    </row>
    <row r="3647" spans="2:33">
      <c r="B3647" s="14">
        <f>10000000+INDEX(编号表!$B:$B,MATCH(H3647,编号表!$A:$A,0))*100000+INDEX(编号表!$F:$F,MATCH(D3647,编号表!$E:$E,0))*10000+INDEX(编号表!$D:$D,MATCH(AG3647,编号表!$C:$C,0))*1000+F3647</f>
        <v>11938053</v>
      </c>
      <c r="C3647" s="14" t="s">
        <v>7020</v>
      </c>
      <c r="D3647" s="14" t="s">
        <v>276</v>
      </c>
      <c r="E3647" s="14" t="s">
        <v>1231</v>
      </c>
      <c r="F3647" s="14">
        <v>53</v>
      </c>
      <c r="G3647" s="14">
        <v>60</v>
      </c>
      <c r="H3647" s="14" t="s">
        <v>1400</v>
      </c>
      <c r="I3647" s="14" t="s">
        <v>75</v>
      </c>
      <c r="J3647" s="14" t="s">
        <v>201</v>
      </c>
      <c r="K3647" s="14">
        <v>1</v>
      </c>
      <c r="L3647" s="14" t="s">
        <v>1400</v>
      </c>
      <c r="N3647" s="14">
        <v>0</v>
      </c>
      <c r="O3647" s="14" t="b">
        <v>1</v>
      </c>
      <c r="Q3647" s="14" t="b">
        <v>0</v>
      </c>
      <c r="R3647" s="14">
        <v>1</v>
      </c>
      <c r="S3647" s="14" t="s">
        <v>77</v>
      </c>
      <c r="T3647" s="14">
        <v>999</v>
      </c>
      <c r="U3647" s="14" t="s">
        <v>1401</v>
      </c>
      <c r="V3647" s="14">
        <v>31938053</v>
      </c>
      <c r="X3647" s="14" t="s">
        <v>7021</v>
      </c>
      <c r="Y3647" s="14" t="s">
        <v>215</v>
      </c>
      <c r="Z3647" s="14">
        <v>22410</v>
      </c>
      <c r="AA3647" s="14" t="s">
        <v>7022</v>
      </c>
      <c r="AB3647" s="14">
        <v>40001</v>
      </c>
      <c r="AE3647" s="14" t="s">
        <v>1400</v>
      </c>
      <c r="AF3647" s="14" t="s">
        <v>1400</v>
      </c>
      <c r="AG3647" s="14" t="s">
        <v>1231</v>
      </c>
    </row>
    <row r="3648" spans="2:33">
      <c r="B3648" s="14">
        <f>10000000+INDEX(编号表!$B:$B,MATCH(H3648,编号表!$A:$A,0))*100000+INDEX(编号表!$F:$F,MATCH(D3648,编号表!$E:$E,0))*10000+INDEX(编号表!$D:$D,MATCH(AG3648,编号表!$C:$C,0))*1000+F3648</f>
        <v>11948054</v>
      </c>
      <c r="C3648" s="14" t="s">
        <v>7020</v>
      </c>
      <c r="D3648" s="14" t="s">
        <v>104</v>
      </c>
      <c r="E3648" s="14" t="s">
        <v>1231</v>
      </c>
      <c r="F3648" s="14">
        <v>54</v>
      </c>
      <c r="G3648" s="14">
        <v>60</v>
      </c>
      <c r="H3648" s="14" t="s">
        <v>1400</v>
      </c>
      <c r="I3648" s="14" t="s">
        <v>75</v>
      </c>
      <c r="J3648" s="14" t="s">
        <v>201</v>
      </c>
      <c r="K3648" s="14">
        <v>1</v>
      </c>
      <c r="L3648" s="14" t="s">
        <v>1400</v>
      </c>
      <c r="N3648" s="14">
        <v>0</v>
      </c>
      <c r="O3648" s="14" t="b">
        <v>1</v>
      </c>
      <c r="Q3648" s="14" t="b">
        <v>0</v>
      </c>
      <c r="R3648" s="14">
        <v>1</v>
      </c>
      <c r="S3648" s="14" t="s">
        <v>77</v>
      </c>
      <c r="T3648" s="14">
        <v>999</v>
      </c>
      <c r="U3648" s="14" t="s">
        <v>1401</v>
      </c>
      <c r="V3648" s="14">
        <v>31948054</v>
      </c>
      <c r="X3648" s="14" t="s">
        <v>7023</v>
      </c>
      <c r="Y3648" s="14" t="s">
        <v>215</v>
      </c>
      <c r="Z3648" s="14">
        <v>22411</v>
      </c>
      <c r="AA3648" s="14" t="s">
        <v>7024</v>
      </c>
      <c r="AB3648" s="14">
        <v>40001</v>
      </c>
      <c r="AE3648" s="14" t="s">
        <v>1400</v>
      </c>
      <c r="AF3648" s="14" t="s">
        <v>1400</v>
      </c>
      <c r="AG3648" s="14" t="s">
        <v>1231</v>
      </c>
    </row>
    <row r="3649" spans="2:33">
      <c r="B3649" s="14">
        <f>10000000+INDEX(编号表!$B:$B,MATCH(H3649,编号表!$A:$A,0))*100000+INDEX(编号表!$F:$F,MATCH(D3649,编号表!$E:$E,0))*10000+INDEX(编号表!$D:$D,MATCH(AG3649,编号表!$C:$C,0))*1000+F3649</f>
        <v>11958055</v>
      </c>
      <c r="C3649" s="14" t="s">
        <v>7020</v>
      </c>
      <c r="D3649" s="14" t="s">
        <v>333</v>
      </c>
      <c r="E3649" s="14" t="s">
        <v>1231</v>
      </c>
      <c r="F3649" s="14">
        <v>55</v>
      </c>
      <c r="G3649" s="14">
        <v>60</v>
      </c>
      <c r="H3649" s="14" t="s">
        <v>1400</v>
      </c>
      <c r="I3649" s="14" t="s">
        <v>75</v>
      </c>
      <c r="J3649" s="14" t="s">
        <v>201</v>
      </c>
      <c r="K3649" s="14">
        <v>1</v>
      </c>
      <c r="L3649" s="14" t="s">
        <v>1400</v>
      </c>
      <c r="N3649" s="14">
        <v>0</v>
      </c>
      <c r="O3649" s="14" t="b">
        <v>1</v>
      </c>
      <c r="Q3649" s="14" t="b">
        <v>0</v>
      </c>
      <c r="R3649" s="14">
        <v>1</v>
      </c>
      <c r="S3649" s="14" t="s">
        <v>77</v>
      </c>
      <c r="T3649" s="14">
        <v>999</v>
      </c>
      <c r="U3649" s="14" t="s">
        <v>1401</v>
      </c>
      <c r="V3649" s="14">
        <v>31958055</v>
      </c>
      <c r="X3649" s="14" t="s">
        <v>7025</v>
      </c>
      <c r="Y3649" s="14" t="s">
        <v>215</v>
      </c>
      <c r="Z3649" s="14">
        <v>22412</v>
      </c>
      <c r="AA3649" s="14" t="s">
        <v>7026</v>
      </c>
      <c r="AB3649" s="14">
        <v>40001</v>
      </c>
      <c r="AE3649" s="14" t="s">
        <v>1400</v>
      </c>
      <c r="AF3649" s="14" t="s">
        <v>1400</v>
      </c>
      <c r="AG3649" s="14" t="s">
        <v>1231</v>
      </c>
    </row>
    <row r="3650" spans="2:33">
      <c r="B3650" s="14">
        <f>10000000+INDEX(编号表!$B:$B,MATCH(H3650,编号表!$A:$A,0))*100000+INDEX(编号表!$F:$F,MATCH(D3650,编号表!$E:$E,0))*10000+INDEX(编号表!$D:$D,MATCH(AG3650,编号表!$C:$C,0))*1000+F3650</f>
        <v>11938054</v>
      </c>
      <c r="C3650" s="14" t="s">
        <v>7027</v>
      </c>
      <c r="D3650" s="14" t="s">
        <v>276</v>
      </c>
      <c r="E3650" s="14" t="s">
        <v>1231</v>
      </c>
      <c r="F3650" s="14">
        <v>54</v>
      </c>
      <c r="G3650" s="14">
        <v>60</v>
      </c>
      <c r="H3650" s="14" t="s">
        <v>1400</v>
      </c>
      <c r="I3650" s="14" t="s">
        <v>75</v>
      </c>
      <c r="J3650" s="14" t="s">
        <v>201</v>
      </c>
      <c r="K3650" s="14">
        <v>1</v>
      </c>
      <c r="L3650" s="14" t="s">
        <v>1400</v>
      </c>
      <c r="N3650" s="14">
        <v>0</v>
      </c>
      <c r="O3650" s="14" t="b">
        <v>1</v>
      </c>
      <c r="Q3650" s="14" t="b">
        <v>0</v>
      </c>
      <c r="R3650" s="14">
        <v>1</v>
      </c>
      <c r="S3650" s="14" t="s">
        <v>77</v>
      </c>
      <c r="T3650" s="14">
        <v>999</v>
      </c>
      <c r="U3650" s="14" t="s">
        <v>1401</v>
      </c>
      <c r="V3650" s="14">
        <v>31938054</v>
      </c>
      <c r="X3650" s="14" t="s">
        <v>7028</v>
      </c>
      <c r="Y3650" s="14" t="s">
        <v>215</v>
      </c>
      <c r="Z3650" s="14">
        <v>22413</v>
      </c>
      <c r="AA3650" s="14" t="s">
        <v>7029</v>
      </c>
      <c r="AB3650" s="14">
        <v>40001</v>
      </c>
      <c r="AE3650" s="14" t="s">
        <v>1400</v>
      </c>
      <c r="AF3650" s="14" t="s">
        <v>1400</v>
      </c>
      <c r="AG3650" s="14" t="s">
        <v>1231</v>
      </c>
    </row>
    <row r="3651" spans="2:33">
      <c r="B3651" s="14">
        <f>10000000+INDEX(编号表!$B:$B,MATCH(H3651,编号表!$A:$A,0))*100000+INDEX(编号表!$F:$F,MATCH(D3651,编号表!$E:$E,0))*10000+INDEX(编号表!$D:$D,MATCH(AG3651,编号表!$C:$C,0))*1000+F3651</f>
        <v>11948055</v>
      </c>
      <c r="C3651" s="14" t="s">
        <v>7027</v>
      </c>
      <c r="D3651" s="14" t="s">
        <v>104</v>
      </c>
      <c r="E3651" s="14" t="s">
        <v>1231</v>
      </c>
      <c r="F3651" s="14">
        <v>55</v>
      </c>
      <c r="G3651" s="14">
        <v>60</v>
      </c>
      <c r="H3651" s="14" t="s">
        <v>1400</v>
      </c>
      <c r="I3651" s="14" t="s">
        <v>75</v>
      </c>
      <c r="J3651" s="14" t="s">
        <v>201</v>
      </c>
      <c r="K3651" s="14">
        <v>1</v>
      </c>
      <c r="L3651" s="14" t="s">
        <v>1400</v>
      </c>
      <c r="N3651" s="14">
        <v>0</v>
      </c>
      <c r="O3651" s="14" t="b">
        <v>1</v>
      </c>
      <c r="Q3651" s="14" t="b">
        <v>0</v>
      </c>
      <c r="R3651" s="14">
        <v>1</v>
      </c>
      <c r="S3651" s="14" t="s">
        <v>77</v>
      </c>
      <c r="T3651" s="14">
        <v>999</v>
      </c>
      <c r="U3651" s="14" t="s">
        <v>1401</v>
      </c>
      <c r="V3651" s="14">
        <v>31948055</v>
      </c>
      <c r="X3651" s="14" t="s">
        <v>7030</v>
      </c>
      <c r="Y3651" s="14" t="s">
        <v>215</v>
      </c>
      <c r="Z3651" s="14">
        <v>22414</v>
      </c>
      <c r="AA3651" s="14" t="s">
        <v>7031</v>
      </c>
      <c r="AB3651" s="14">
        <v>40001</v>
      </c>
      <c r="AE3651" s="14" t="s">
        <v>1400</v>
      </c>
      <c r="AF3651" s="14" t="s">
        <v>1400</v>
      </c>
      <c r="AG3651" s="14" t="s">
        <v>1231</v>
      </c>
    </row>
    <row r="3652" spans="2:33">
      <c r="B3652" s="14">
        <f>10000000+INDEX(编号表!$B:$B,MATCH(H3652,编号表!$A:$A,0))*100000+INDEX(编号表!$F:$F,MATCH(D3652,编号表!$E:$E,0))*10000+INDEX(编号表!$D:$D,MATCH(AG3652,编号表!$C:$C,0))*1000+F3652</f>
        <v>11958056</v>
      </c>
      <c r="C3652" s="14" t="s">
        <v>7027</v>
      </c>
      <c r="D3652" s="14" t="s">
        <v>333</v>
      </c>
      <c r="E3652" s="14" t="s">
        <v>1231</v>
      </c>
      <c r="F3652" s="14">
        <v>56</v>
      </c>
      <c r="G3652" s="14">
        <v>60</v>
      </c>
      <c r="H3652" s="14" t="s">
        <v>1400</v>
      </c>
      <c r="I3652" s="14" t="s">
        <v>75</v>
      </c>
      <c r="J3652" s="14" t="s">
        <v>201</v>
      </c>
      <c r="K3652" s="14">
        <v>1</v>
      </c>
      <c r="L3652" s="14" t="s">
        <v>1400</v>
      </c>
      <c r="N3652" s="14">
        <v>0</v>
      </c>
      <c r="O3652" s="14" t="b">
        <v>1</v>
      </c>
      <c r="Q3652" s="14" t="b">
        <v>0</v>
      </c>
      <c r="R3652" s="14">
        <v>1</v>
      </c>
      <c r="S3652" s="14" t="s">
        <v>77</v>
      </c>
      <c r="T3652" s="14">
        <v>999</v>
      </c>
      <c r="U3652" s="14" t="s">
        <v>1401</v>
      </c>
      <c r="V3652" s="14">
        <v>31958056</v>
      </c>
      <c r="X3652" s="14" t="s">
        <v>7032</v>
      </c>
      <c r="Y3652" s="14" t="s">
        <v>215</v>
      </c>
      <c r="Z3652" s="14">
        <v>22415</v>
      </c>
      <c r="AA3652" s="14" t="s">
        <v>7033</v>
      </c>
      <c r="AB3652" s="14">
        <v>40001</v>
      </c>
      <c r="AE3652" s="14" t="s">
        <v>1400</v>
      </c>
      <c r="AF3652" s="14" t="s">
        <v>1400</v>
      </c>
      <c r="AG3652" s="14" t="s">
        <v>1231</v>
      </c>
    </row>
    <row r="3653" spans="2:33">
      <c r="B3653" s="14">
        <f>10000000+INDEX(编号表!$B:$B,MATCH(H3653,编号表!$A:$A,0))*100000+INDEX(编号表!$F:$F,MATCH(D3653,编号表!$E:$E,0))*10000+INDEX(编号表!$D:$D,MATCH(AG3653,编号表!$C:$C,0))*1000+F3653</f>
        <v>11938055</v>
      </c>
      <c r="C3653" s="14" t="s">
        <v>7034</v>
      </c>
      <c r="D3653" s="14" t="s">
        <v>276</v>
      </c>
      <c r="E3653" s="14" t="s">
        <v>1231</v>
      </c>
      <c r="F3653" s="14">
        <v>55</v>
      </c>
      <c r="G3653" s="14">
        <v>60</v>
      </c>
      <c r="H3653" s="14" t="s">
        <v>1400</v>
      </c>
      <c r="I3653" s="14" t="s">
        <v>75</v>
      </c>
      <c r="J3653" s="14" t="s">
        <v>201</v>
      </c>
      <c r="K3653" s="14">
        <v>1</v>
      </c>
      <c r="L3653" s="14" t="s">
        <v>1400</v>
      </c>
      <c r="N3653" s="14">
        <v>0</v>
      </c>
      <c r="O3653" s="14" t="b">
        <v>1</v>
      </c>
      <c r="Q3653" s="14" t="b">
        <v>0</v>
      </c>
      <c r="R3653" s="14">
        <v>1</v>
      </c>
      <c r="S3653" s="14" t="s">
        <v>77</v>
      </c>
      <c r="T3653" s="14">
        <v>999</v>
      </c>
      <c r="U3653" s="14" t="s">
        <v>1401</v>
      </c>
      <c r="V3653" s="14">
        <v>31938055</v>
      </c>
      <c r="X3653" s="14" t="s">
        <v>7035</v>
      </c>
      <c r="Y3653" s="14" t="s">
        <v>215</v>
      </c>
      <c r="Z3653" s="14">
        <v>22416</v>
      </c>
      <c r="AA3653" s="14" t="s">
        <v>7036</v>
      </c>
      <c r="AB3653" s="14">
        <v>40001</v>
      </c>
      <c r="AE3653" s="14" t="s">
        <v>1400</v>
      </c>
      <c r="AF3653" s="14" t="s">
        <v>1400</v>
      </c>
      <c r="AG3653" s="14" t="s">
        <v>1231</v>
      </c>
    </row>
    <row r="3654" spans="2:33">
      <c r="B3654" s="14">
        <f>10000000+INDEX(编号表!$B:$B,MATCH(H3654,编号表!$A:$A,0))*100000+INDEX(编号表!$F:$F,MATCH(D3654,编号表!$E:$E,0))*10000+INDEX(编号表!$D:$D,MATCH(AG3654,编号表!$C:$C,0))*1000+F3654</f>
        <v>11948056</v>
      </c>
      <c r="C3654" s="14" t="s">
        <v>7034</v>
      </c>
      <c r="D3654" s="14" t="s">
        <v>104</v>
      </c>
      <c r="E3654" s="14" t="s">
        <v>1231</v>
      </c>
      <c r="F3654" s="14">
        <v>56</v>
      </c>
      <c r="G3654" s="14">
        <v>60</v>
      </c>
      <c r="H3654" s="14" t="s">
        <v>1400</v>
      </c>
      <c r="I3654" s="14" t="s">
        <v>75</v>
      </c>
      <c r="J3654" s="14" t="s">
        <v>201</v>
      </c>
      <c r="K3654" s="14">
        <v>1</v>
      </c>
      <c r="L3654" s="14" t="s">
        <v>1400</v>
      </c>
      <c r="N3654" s="14">
        <v>0</v>
      </c>
      <c r="O3654" s="14" t="b">
        <v>1</v>
      </c>
      <c r="Q3654" s="14" t="b">
        <v>0</v>
      </c>
      <c r="R3654" s="14">
        <v>1</v>
      </c>
      <c r="S3654" s="14" t="s">
        <v>77</v>
      </c>
      <c r="T3654" s="14">
        <v>999</v>
      </c>
      <c r="U3654" s="14" t="s">
        <v>1401</v>
      </c>
      <c r="V3654" s="14">
        <v>31948056</v>
      </c>
      <c r="X3654" s="14" t="s">
        <v>7037</v>
      </c>
      <c r="Y3654" s="14" t="s">
        <v>215</v>
      </c>
      <c r="Z3654" s="14">
        <v>22417</v>
      </c>
      <c r="AA3654" s="14" t="s">
        <v>7038</v>
      </c>
      <c r="AB3654" s="14">
        <v>40001</v>
      </c>
      <c r="AE3654" s="14" t="s">
        <v>1400</v>
      </c>
      <c r="AF3654" s="14" t="s">
        <v>1400</v>
      </c>
      <c r="AG3654" s="14" t="s">
        <v>1231</v>
      </c>
    </row>
    <row r="3655" spans="2:33">
      <c r="B3655" s="14">
        <f>10000000+INDEX(编号表!$B:$B,MATCH(H3655,编号表!$A:$A,0))*100000+INDEX(编号表!$F:$F,MATCH(D3655,编号表!$E:$E,0))*10000+INDEX(编号表!$D:$D,MATCH(AG3655,编号表!$C:$C,0))*1000+F3655</f>
        <v>11958057</v>
      </c>
      <c r="C3655" s="14" t="s">
        <v>7034</v>
      </c>
      <c r="D3655" s="14" t="s">
        <v>333</v>
      </c>
      <c r="E3655" s="14" t="s">
        <v>1231</v>
      </c>
      <c r="F3655" s="14">
        <v>57</v>
      </c>
      <c r="G3655" s="14">
        <v>60</v>
      </c>
      <c r="H3655" s="14" t="s">
        <v>1400</v>
      </c>
      <c r="I3655" s="14" t="s">
        <v>75</v>
      </c>
      <c r="J3655" s="14" t="s">
        <v>201</v>
      </c>
      <c r="K3655" s="14">
        <v>1</v>
      </c>
      <c r="L3655" s="14" t="s">
        <v>1400</v>
      </c>
      <c r="N3655" s="14">
        <v>0</v>
      </c>
      <c r="O3655" s="14" t="b">
        <v>1</v>
      </c>
      <c r="Q3655" s="14" t="b">
        <v>0</v>
      </c>
      <c r="R3655" s="14">
        <v>1</v>
      </c>
      <c r="S3655" s="14" t="s">
        <v>77</v>
      </c>
      <c r="T3655" s="14">
        <v>999</v>
      </c>
      <c r="U3655" s="14" t="s">
        <v>1401</v>
      </c>
      <c r="V3655" s="14">
        <v>31958057</v>
      </c>
      <c r="X3655" s="14" t="s">
        <v>7039</v>
      </c>
      <c r="Y3655" s="14" t="s">
        <v>215</v>
      </c>
      <c r="Z3655" s="14">
        <v>22418</v>
      </c>
      <c r="AA3655" s="14" t="s">
        <v>7040</v>
      </c>
      <c r="AB3655" s="14">
        <v>40001</v>
      </c>
      <c r="AE3655" s="14" t="s">
        <v>1400</v>
      </c>
      <c r="AF3655" s="14" t="s">
        <v>1400</v>
      </c>
      <c r="AG3655" s="14" t="s">
        <v>1231</v>
      </c>
    </row>
    <row r="3656" spans="2:33">
      <c r="B3656" s="14">
        <f>10000000+INDEX(编号表!$B:$B,MATCH(H3656,编号表!$A:$A,0))*100000+INDEX(编号表!$F:$F,MATCH(D3656,编号表!$E:$E,0))*10000+INDEX(编号表!$D:$D,MATCH(AG3656,编号表!$C:$C,0))*1000+F3656</f>
        <v>11938056</v>
      </c>
      <c r="C3656" s="14" t="s">
        <v>7041</v>
      </c>
      <c r="D3656" s="14" t="s">
        <v>276</v>
      </c>
      <c r="E3656" s="14" t="s">
        <v>1231</v>
      </c>
      <c r="F3656" s="14">
        <v>56</v>
      </c>
      <c r="G3656" s="14">
        <v>60</v>
      </c>
      <c r="H3656" s="14" t="s">
        <v>1400</v>
      </c>
      <c r="I3656" s="14" t="s">
        <v>75</v>
      </c>
      <c r="J3656" s="14" t="s">
        <v>201</v>
      </c>
      <c r="K3656" s="14">
        <v>1</v>
      </c>
      <c r="L3656" s="14" t="s">
        <v>1400</v>
      </c>
      <c r="N3656" s="14">
        <v>0</v>
      </c>
      <c r="O3656" s="14" t="b">
        <v>1</v>
      </c>
      <c r="Q3656" s="14" t="b">
        <v>0</v>
      </c>
      <c r="R3656" s="14">
        <v>1</v>
      </c>
      <c r="S3656" s="14" t="s">
        <v>77</v>
      </c>
      <c r="T3656" s="14">
        <v>999</v>
      </c>
      <c r="U3656" s="14" t="s">
        <v>1401</v>
      </c>
      <c r="V3656" s="14">
        <v>31938056</v>
      </c>
      <c r="X3656" s="14" t="s">
        <v>7042</v>
      </c>
      <c r="Y3656" s="14" t="s">
        <v>215</v>
      </c>
      <c r="Z3656" s="14">
        <v>22419</v>
      </c>
      <c r="AA3656" s="14" t="s">
        <v>7043</v>
      </c>
      <c r="AB3656" s="14">
        <v>40001</v>
      </c>
      <c r="AE3656" s="14" t="s">
        <v>1400</v>
      </c>
      <c r="AF3656" s="14" t="s">
        <v>1400</v>
      </c>
      <c r="AG3656" s="14" t="s">
        <v>1231</v>
      </c>
    </row>
    <row r="3657" spans="2:33">
      <c r="B3657" s="14">
        <f>10000000+INDEX(编号表!$B:$B,MATCH(H3657,编号表!$A:$A,0))*100000+INDEX(编号表!$F:$F,MATCH(D3657,编号表!$E:$E,0))*10000+INDEX(编号表!$D:$D,MATCH(AG3657,编号表!$C:$C,0))*1000+F3657</f>
        <v>11948057</v>
      </c>
      <c r="C3657" s="14" t="s">
        <v>7041</v>
      </c>
      <c r="D3657" s="14" t="s">
        <v>104</v>
      </c>
      <c r="E3657" s="14" t="s">
        <v>1231</v>
      </c>
      <c r="F3657" s="14">
        <v>57</v>
      </c>
      <c r="G3657" s="14">
        <v>60</v>
      </c>
      <c r="H3657" s="14" t="s">
        <v>1400</v>
      </c>
      <c r="I3657" s="14" t="s">
        <v>75</v>
      </c>
      <c r="J3657" s="14" t="s">
        <v>201</v>
      </c>
      <c r="K3657" s="14">
        <v>1</v>
      </c>
      <c r="L3657" s="14" t="s">
        <v>1400</v>
      </c>
      <c r="N3657" s="14">
        <v>0</v>
      </c>
      <c r="O3657" s="14" t="b">
        <v>1</v>
      </c>
      <c r="Q3657" s="14" t="b">
        <v>0</v>
      </c>
      <c r="R3657" s="14">
        <v>1</v>
      </c>
      <c r="S3657" s="14" t="s">
        <v>77</v>
      </c>
      <c r="T3657" s="14">
        <v>999</v>
      </c>
      <c r="U3657" s="14" t="s">
        <v>1401</v>
      </c>
      <c r="V3657" s="14">
        <v>31948057</v>
      </c>
      <c r="X3657" s="14" t="s">
        <v>7044</v>
      </c>
      <c r="Y3657" s="14" t="s">
        <v>215</v>
      </c>
      <c r="Z3657" s="14">
        <v>22420</v>
      </c>
      <c r="AA3657" s="14" t="s">
        <v>7045</v>
      </c>
      <c r="AB3657" s="14">
        <v>40001</v>
      </c>
      <c r="AE3657" s="14" t="s">
        <v>1400</v>
      </c>
      <c r="AF3657" s="14" t="s">
        <v>1400</v>
      </c>
      <c r="AG3657" s="14" t="s">
        <v>1231</v>
      </c>
    </row>
    <row r="3658" spans="2:33">
      <c r="B3658" s="14">
        <f>10000000+INDEX(编号表!$B:$B,MATCH(H3658,编号表!$A:$A,0))*100000+INDEX(编号表!$F:$F,MATCH(D3658,编号表!$E:$E,0))*10000+INDEX(编号表!$D:$D,MATCH(AG3658,编号表!$C:$C,0))*1000+F3658</f>
        <v>11958058</v>
      </c>
      <c r="C3658" s="14" t="s">
        <v>7041</v>
      </c>
      <c r="D3658" s="14" t="s">
        <v>333</v>
      </c>
      <c r="E3658" s="14" t="s">
        <v>1231</v>
      </c>
      <c r="F3658" s="14">
        <v>58</v>
      </c>
      <c r="G3658" s="14">
        <v>60</v>
      </c>
      <c r="H3658" s="14" t="s">
        <v>1400</v>
      </c>
      <c r="I3658" s="14" t="s">
        <v>75</v>
      </c>
      <c r="J3658" s="14" t="s">
        <v>201</v>
      </c>
      <c r="K3658" s="14">
        <v>1</v>
      </c>
      <c r="L3658" s="14" t="s">
        <v>1400</v>
      </c>
      <c r="N3658" s="14">
        <v>0</v>
      </c>
      <c r="O3658" s="14" t="b">
        <v>1</v>
      </c>
      <c r="Q3658" s="14" t="b">
        <v>0</v>
      </c>
      <c r="R3658" s="14">
        <v>1</v>
      </c>
      <c r="S3658" s="14" t="s">
        <v>77</v>
      </c>
      <c r="T3658" s="14">
        <v>999</v>
      </c>
      <c r="U3658" s="14" t="s">
        <v>1401</v>
      </c>
      <c r="V3658" s="14">
        <v>31958058</v>
      </c>
      <c r="X3658" s="14" t="s">
        <v>7046</v>
      </c>
      <c r="Y3658" s="14" t="s">
        <v>215</v>
      </c>
      <c r="Z3658" s="14">
        <v>22421</v>
      </c>
      <c r="AA3658" s="14" t="s">
        <v>7047</v>
      </c>
      <c r="AB3658" s="14">
        <v>40001</v>
      </c>
      <c r="AE3658" s="14" t="s">
        <v>1400</v>
      </c>
      <c r="AF3658" s="14" t="s">
        <v>1400</v>
      </c>
      <c r="AG3658" s="14" t="s">
        <v>1231</v>
      </c>
    </row>
    <row r="3659" spans="2:33">
      <c r="B3659" s="14">
        <f>10000000+INDEX(编号表!$B:$B,MATCH(H3659,编号表!$A:$A,0))*100000+INDEX(编号表!$F:$F,MATCH(D3659,编号表!$E:$E,0))*10000+INDEX(编号表!$D:$D,MATCH(AG3659,编号表!$C:$C,0))*1000+F3659</f>
        <v>11938057</v>
      </c>
      <c r="C3659" s="14" t="s">
        <v>7048</v>
      </c>
      <c r="D3659" s="14" t="s">
        <v>276</v>
      </c>
      <c r="E3659" s="14" t="s">
        <v>1231</v>
      </c>
      <c r="F3659" s="14">
        <v>57</v>
      </c>
      <c r="G3659" s="14">
        <v>60</v>
      </c>
      <c r="H3659" s="14" t="s">
        <v>1400</v>
      </c>
      <c r="I3659" s="14" t="s">
        <v>75</v>
      </c>
      <c r="J3659" s="14" t="s">
        <v>201</v>
      </c>
      <c r="K3659" s="14">
        <v>1</v>
      </c>
      <c r="L3659" s="14" t="s">
        <v>1400</v>
      </c>
      <c r="N3659" s="14">
        <v>0</v>
      </c>
      <c r="O3659" s="14" t="b">
        <v>1</v>
      </c>
      <c r="Q3659" s="14" t="b">
        <v>0</v>
      </c>
      <c r="R3659" s="14">
        <v>1</v>
      </c>
      <c r="S3659" s="14" t="s">
        <v>77</v>
      </c>
      <c r="T3659" s="14">
        <v>999</v>
      </c>
      <c r="U3659" s="14" t="s">
        <v>1401</v>
      </c>
      <c r="V3659" s="14">
        <v>31938057</v>
      </c>
      <c r="X3659" s="14" t="s">
        <v>7049</v>
      </c>
      <c r="Y3659" s="14" t="s">
        <v>215</v>
      </c>
      <c r="Z3659" s="14">
        <v>22422</v>
      </c>
      <c r="AA3659" s="14" t="s">
        <v>7050</v>
      </c>
      <c r="AB3659" s="14">
        <v>40001</v>
      </c>
      <c r="AE3659" s="14" t="s">
        <v>1400</v>
      </c>
      <c r="AF3659" s="14" t="s">
        <v>1400</v>
      </c>
      <c r="AG3659" s="14" t="s">
        <v>1231</v>
      </c>
    </row>
    <row r="3660" spans="2:33">
      <c r="B3660" s="14">
        <f>10000000+INDEX(编号表!$B:$B,MATCH(H3660,编号表!$A:$A,0))*100000+INDEX(编号表!$F:$F,MATCH(D3660,编号表!$E:$E,0))*10000+INDEX(编号表!$D:$D,MATCH(AG3660,编号表!$C:$C,0))*1000+F3660</f>
        <v>11948058</v>
      </c>
      <c r="C3660" s="14" t="s">
        <v>7048</v>
      </c>
      <c r="D3660" s="14" t="s">
        <v>104</v>
      </c>
      <c r="E3660" s="14" t="s">
        <v>1231</v>
      </c>
      <c r="F3660" s="14">
        <v>58</v>
      </c>
      <c r="G3660" s="14">
        <v>60</v>
      </c>
      <c r="H3660" s="14" t="s">
        <v>1400</v>
      </c>
      <c r="I3660" s="14" t="s">
        <v>75</v>
      </c>
      <c r="J3660" s="14" t="s">
        <v>201</v>
      </c>
      <c r="K3660" s="14">
        <v>1</v>
      </c>
      <c r="L3660" s="14" t="s">
        <v>1400</v>
      </c>
      <c r="N3660" s="14">
        <v>0</v>
      </c>
      <c r="O3660" s="14" t="b">
        <v>1</v>
      </c>
      <c r="Q3660" s="14" t="b">
        <v>0</v>
      </c>
      <c r="R3660" s="14">
        <v>1</v>
      </c>
      <c r="S3660" s="14" t="s">
        <v>77</v>
      </c>
      <c r="T3660" s="14">
        <v>999</v>
      </c>
      <c r="U3660" s="14" t="s">
        <v>1401</v>
      </c>
      <c r="V3660" s="14">
        <v>31948058</v>
      </c>
      <c r="X3660" s="14" t="s">
        <v>7051</v>
      </c>
      <c r="Y3660" s="14" t="s">
        <v>215</v>
      </c>
      <c r="Z3660" s="14">
        <v>22423</v>
      </c>
      <c r="AA3660" s="14" t="s">
        <v>7052</v>
      </c>
      <c r="AB3660" s="14">
        <v>40001</v>
      </c>
      <c r="AE3660" s="14" t="s">
        <v>1400</v>
      </c>
      <c r="AF3660" s="14" t="s">
        <v>1400</v>
      </c>
      <c r="AG3660" s="14" t="s">
        <v>1231</v>
      </c>
    </row>
    <row r="3661" spans="2:33">
      <c r="B3661" s="14">
        <f>10000000+INDEX(编号表!$B:$B,MATCH(H3661,编号表!$A:$A,0))*100000+INDEX(编号表!$F:$F,MATCH(D3661,编号表!$E:$E,0))*10000+INDEX(编号表!$D:$D,MATCH(AG3661,编号表!$C:$C,0))*1000+F3661</f>
        <v>11958059</v>
      </c>
      <c r="C3661" s="14" t="s">
        <v>7048</v>
      </c>
      <c r="D3661" s="14" t="s">
        <v>333</v>
      </c>
      <c r="E3661" s="14" t="s">
        <v>1231</v>
      </c>
      <c r="F3661" s="14">
        <v>59</v>
      </c>
      <c r="G3661" s="14">
        <v>60</v>
      </c>
      <c r="H3661" s="14" t="s">
        <v>1400</v>
      </c>
      <c r="I3661" s="14" t="s">
        <v>75</v>
      </c>
      <c r="J3661" s="14" t="s">
        <v>201</v>
      </c>
      <c r="K3661" s="14">
        <v>1</v>
      </c>
      <c r="L3661" s="14" t="s">
        <v>1400</v>
      </c>
      <c r="N3661" s="14">
        <v>0</v>
      </c>
      <c r="O3661" s="14" t="b">
        <v>1</v>
      </c>
      <c r="Q3661" s="14" t="b">
        <v>0</v>
      </c>
      <c r="R3661" s="14">
        <v>1</v>
      </c>
      <c r="S3661" s="14" t="s">
        <v>77</v>
      </c>
      <c r="T3661" s="14">
        <v>999</v>
      </c>
      <c r="U3661" s="14" t="s">
        <v>1401</v>
      </c>
      <c r="V3661" s="14">
        <v>31958059</v>
      </c>
      <c r="X3661" s="14" t="s">
        <v>7053</v>
      </c>
      <c r="Y3661" s="14" t="s">
        <v>215</v>
      </c>
      <c r="Z3661" s="14">
        <v>22424</v>
      </c>
      <c r="AA3661" s="14" t="s">
        <v>7054</v>
      </c>
      <c r="AB3661" s="14">
        <v>40001</v>
      </c>
      <c r="AE3661" s="14" t="s">
        <v>1400</v>
      </c>
      <c r="AF3661" s="14" t="s">
        <v>1400</v>
      </c>
      <c r="AG3661" s="14" t="s">
        <v>1231</v>
      </c>
    </row>
    <row r="3662" spans="2:33">
      <c r="B3662" s="14">
        <f>10000000+INDEX(编号表!$B:$B,MATCH(H3662,编号表!$A:$A,0))*100000+INDEX(编号表!$F:$F,MATCH(D3662,编号表!$E:$E,0))*10000+INDEX(编号表!$D:$D,MATCH(AG3662,编号表!$C:$C,0))*1000+F3662</f>
        <v>11938058</v>
      </c>
      <c r="C3662" s="14" t="s">
        <v>7055</v>
      </c>
      <c r="D3662" s="14" t="s">
        <v>276</v>
      </c>
      <c r="E3662" s="14" t="s">
        <v>1231</v>
      </c>
      <c r="F3662" s="14">
        <v>58</v>
      </c>
      <c r="G3662" s="14">
        <v>60</v>
      </c>
      <c r="H3662" s="14" t="s">
        <v>1400</v>
      </c>
      <c r="I3662" s="14" t="s">
        <v>75</v>
      </c>
      <c r="J3662" s="14" t="s">
        <v>201</v>
      </c>
      <c r="K3662" s="14">
        <v>1</v>
      </c>
      <c r="L3662" s="14" t="s">
        <v>1400</v>
      </c>
      <c r="N3662" s="14">
        <v>0</v>
      </c>
      <c r="O3662" s="14" t="b">
        <v>1</v>
      </c>
      <c r="Q3662" s="14" t="b">
        <v>0</v>
      </c>
      <c r="R3662" s="14">
        <v>1</v>
      </c>
      <c r="S3662" s="14" t="s">
        <v>77</v>
      </c>
      <c r="T3662" s="14">
        <v>999</v>
      </c>
      <c r="U3662" s="14" t="s">
        <v>1401</v>
      </c>
      <c r="V3662" s="14">
        <v>31938058</v>
      </c>
      <c r="X3662" s="14" t="s">
        <v>7056</v>
      </c>
      <c r="Y3662" s="14" t="s">
        <v>215</v>
      </c>
      <c r="Z3662" s="14">
        <v>22425</v>
      </c>
      <c r="AA3662" s="14" t="s">
        <v>7057</v>
      </c>
      <c r="AB3662" s="14">
        <v>40001</v>
      </c>
      <c r="AE3662" s="14" t="s">
        <v>1400</v>
      </c>
      <c r="AF3662" s="14" t="s">
        <v>1400</v>
      </c>
      <c r="AG3662" s="14" t="s">
        <v>1231</v>
      </c>
    </row>
    <row r="3663" spans="2:33">
      <c r="B3663" s="14">
        <f>10000000+INDEX(编号表!$B:$B,MATCH(H3663,编号表!$A:$A,0))*100000+INDEX(编号表!$F:$F,MATCH(D3663,编号表!$E:$E,0))*10000+INDEX(编号表!$D:$D,MATCH(AG3663,编号表!$C:$C,0))*1000+F3663</f>
        <v>11948059</v>
      </c>
      <c r="C3663" s="14" t="s">
        <v>7055</v>
      </c>
      <c r="D3663" s="14" t="s">
        <v>104</v>
      </c>
      <c r="E3663" s="14" t="s">
        <v>1231</v>
      </c>
      <c r="F3663" s="14">
        <v>59</v>
      </c>
      <c r="G3663" s="14">
        <v>60</v>
      </c>
      <c r="H3663" s="14" t="s">
        <v>1400</v>
      </c>
      <c r="I3663" s="14" t="s">
        <v>75</v>
      </c>
      <c r="J3663" s="14" t="s">
        <v>201</v>
      </c>
      <c r="K3663" s="14">
        <v>1</v>
      </c>
      <c r="L3663" s="14" t="s">
        <v>1400</v>
      </c>
      <c r="N3663" s="14">
        <v>0</v>
      </c>
      <c r="O3663" s="14" t="b">
        <v>1</v>
      </c>
      <c r="Q3663" s="14" t="b">
        <v>0</v>
      </c>
      <c r="R3663" s="14">
        <v>1</v>
      </c>
      <c r="S3663" s="14" t="s">
        <v>77</v>
      </c>
      <c r="T3663" s="14">
        <v>999</v>
      </c>
      <c r="U3663" s="14" t="s">
        <v>1401</v>
      </c>
      <c r="V3663" s="14">
        <v>31948059</v>
      </c>
      <c r="X3663" s="14" t="s">
        <v>7058</v>
      </c>
      <c r="Y3663" s="14" t="s">
        <v>215</v>
      </c>
      <c r="Z3663" s="14">
        <v>22426</v>
      </c>
      <c r="AA3663" s="14" t="s">
        <v>7059</v>
      </c>
      <c r="AB3663" s="14">
        <v>40001</v>
      </c>
      <c r="AE3663" s="14" t="s">
        <v>1400</v>
      </c>
      <c r="AF3663" s="14" t="s">
        <v>1400</v>
      </c>
      <c r="AG3663" s="14" t="s">
        <v>1231</v>
      </c>
    </row>
    <row r="3664" spans="2:33">
      <c r="B3664" s="14">
        <f>10000000+INDEX(编号表!$B:$B,MATCH(H3664,编号表!$A:$A,0))*100000+INDEX(编号表!$F:$F,MATCH(D3664,编号表!$E:$E,0))*10000+INDEX(编号表!$D:$D,MATCH(AG3664,编号表!$C:$C,0))*1000+F3664</f>
        <v>11958060</v>
      </c>
      <c r="C3664" s="14" t="s">
        <v>7055</v>
      </c>
      <c r="D3664" s="14" t="s">
        <v>333</v>
      </c>
      <c r="E3664" s="14" t="s">
        <v>1231</v>
      </c>
      <c r="F3664" s="14">
        <v>60</v>
      </c>
      <c r="G3664" s="14">
        <v>60</v>
      </c>
      <c r="H3664" s="14" t="s">
        <v>1400</v>
      </c>
      <c r="I3664" s="14" t="s">
        <v>75</v>
      </c>
      <c r="J3664" s="14" t="s">
        <v>201</v>
      </c>
      <c r="K3664" s="14">
        <v>1</v>
      </c>
      <c r="L3664" s="14" t="s">
        <v>1400</v>
      </c>
      <c r="N3664" s="14">
        <v>0</v>
      </c>
      <c r="O3664" s="14" t="b">
        <v>1</v>
      </c>
      <c r="Q3664" s="14" t="b">
        <v>0</v>
      </c>
      <c r="R3664" s="14">
        <v>1</v>
      </c>
      <c r="S3664" s="14" t="s">
        <v>77</v>
      </c>
      <c r="T3664" s="14">
        <v>999</v>
      </c>
      <c r="U3664" s="14" t="s">
        <v>1401</v>
      </c>
      <c r="V3664" s="14">
        <v>31958060</v>
      </c>
      <c r="X3664" s="14" t="s">
        <v>7060</v>
      </c>
      <c r="Y3664" s="14" t="s">
        <v>215</v>
      </c>
      <c r="Z3664" s="14">
        <v>22427</v>
      </c>
      <c r="AA3664" s="14" t="s">
        <v>7061</v>
      </c>
      <c r="AB3664" s="14">
        <v>40001</v>
      </c>
      <c r="AE3664" s="14" t="s">
        <v>1400</v>
      </c>
      <c r="AF3664" s="14" t="s">
        <v>1400</v>
      </c>
      <c r="AG3664" s="14" t="s">
        <v>1231</v>
      </c>
    </row>
    <row r="3665" spans="2:33">
      <c r="B3665" s="14">
        <f>10000000+INDEX(编号表!$B:$B,MATCH(H3665,编号表!$A:$A,0))*100000+INDEX(编号表!$F:$F,MATCH(D3665,编号表!$E:$E,0))*10000+INDEX(编号表!$D:$D,MATCH(AG3665,编号表!$C:$C,0))*1000+F3665</f>
        <v>11938059</v>
      </c>
      <c r="C3665" s="14" t="s">
        <v>7062</v>
      </c>
      <c r="D3665" s="14" t="s">
        <v>276</v>
      </c>
      <c r="E3665" s="14" t="s">
        <v>1231</v>
      </c>
      <c r="F3665" s="14">
        <v>59</v>
      </c>
      <c r="G3665" s="14">
        <v>60</v>
      </c>
      <c r="H3665" s="14" t="s">
        <v>1400</v>
      </c>
      <c r="I3665" s="14" t="s">
        <v>75</v>
      </c>
      <c r="J3665" s="14" t="s">
        <v>201</v>
      </c>
      <c r="K3665" s="14">
        <v>1</v>
      </c>
      <c r="L3665" s="14" t="s">
        <v>1400</v>
      </c>
      <c r="N3665" s="14">
        <v>0</v>
      </c>
      <c r="O3665" s="14" t="b">
        <v>1</v>
      </c>
      <c r="Q3665" s="14" t="b">
        <v>0</v>
      </c>
      <c r="R3665" s="14">
        <v>1</v>
      </c>
      <c r="S3665" s="14" t="s">
        <v>77</v>
      </c>
      <c r="T3665" s="14">
        <v>999</v>
      </c>
      <c r="U3665" s="14" t="s">
        <v>1401</v>
      </c>
      <c r="V3665" s="14">
        <v>31938059</v>
      </c>
      <c r="X3665" s="14" t="s">
        <v>7063</v>
      </c>
      <c r="Y3665" s="14" t="s">
        <v>215</v>
      </c>
      <c r="Z3665" s="14">
        <v>22428</v>
      </c>
      <c r="AA3665" s="14" t="s">
        <v>7064</v>
      </c>
      <c r="AB3665" s="14">
        <v>40001</v>
      </c>
      <c r="AE3665" s="14" t="s">
        <v>1400</v>
      </c>
      <c r="AF3665" s="14" t="s">
        <v>1400</v>
      </c>
      <c r="AG3665" s="14" t="s">
        <v>1231</v>
      </c>
    </row>
    <row r="3666" spans="2:33">
      <c r="B3666" s="14">
        <f>10000000+INDEX(编号表!$B:$B,MATCH(H3666,编号表!$A:$A,0))*100000+INDEX(编号表!$F:$F,MATCH(D3666,编号表!$E:$E,0))*10000+INDEX(编号表!$D:$D,MATCH(AG3666,编号表!$C:$C,0))*1000+F3666</f>
        <v>11948060</v>
      </c>
      <c r="C3666" s="14" t="s">
        <v>7062</v>
      </c>
      <c r="D3666" s="14" t="s">
        <v>104</v>
      </c>
      <c r="E3666" s="14" t="s">
        <v>1231</v>
      </c>
      <c r="F3666" s="14">
        <v>60</v>
      </c>
      <c r="G3666" s="14">
        <v>60</v>
      </c>
      <c r="H3666" s="14" t="s">
        <v>1400</v>
      </c>
      <c r="I3666" s="14" t="s">
        <v>75</v>
      </c>
      <c r="J3666" s="14" t="s">
        <v>201</v>
      </c>
      <c r="K3666" s="14">
        <v>1</v>
      </c>
      <c r="L3666" s="14" t="s">
        <v>1400</v>
      </c>
      <c r="N3666" s="14">
        <v>0</v>
      </c>
      <c r="O3666" s="14" t="b">
        <v>1</v>
      </c>
      <c r="Q3666" s="14" t="b">
        <v>0</v>
      </c>
      <c r="R3666" s="14">
        <v>1</v>
      </c>
      <c r="S3666" s="14" t="s">
        <v>77</v>
      </c>
      <c r="T3666" s="14">
        <v>999</v>
      </c>
      <c r="U3666" s="14" t="s">
        <v>1401</v>
      </c>
      <c r="V3666" s="14">
        <v>31948060</v>
      </c>
      <c r="X3666" s="14" t="s">
        <v>7065</v>
      </c>
      <c r="Y3666" s="14" t="s">
        <v>215</v>
      </c>
      <c r="Z3666" s="14">
        <v>22429</v>
      </c>
      <c r="AA3666" s="14" t="s">
        <v>7066</v>
      </c>
      <c r="AB3666" s="14">
        <v>40001</v>
      </c>
      <c r="AE3666" s="14" t="s">
        <v>1400</v>
      </c>
      <c r="AF3666" s="14" t="s">
        <v>1400</v>
      </c>
      <c r="AG3666" s="14" t="s">
        <v>1231</v>
      </c>
    </row>
    <row r="3667" spans="2:33">
      <c r="B3667" s="14">
        <f>10000000+INDEX(编号表!$B:$B,MATCH(H3667,编号表!$A:$A,0))*100000+INDEX(编号表!$F:$F,MATCH(D3667,编号表!$E:$E,0))*10000+INDEX(编号表!$D:$D,MATCH(AG3667,编号表!$C:$C,0))*1000+F3667</f>
        <v>11958061</v>
      </c>
      <c r="C3667" s="14" t="s">
        <v>7062</v>
      </c>
      <c r="D3667" s="14" t="s">
        <v>333</v>
      </c>
      <c r="E3667" s="14" t="s">
        <v>1231</v>
      </c>
      <c r="F3667" s="14">
        <v>61</v>
      </c>
      <c r="G3667" s="14">
        <v>60</v>
      </c>
      <c r="H3667" s="14" t="s">
        <v>1400</v>
      </c>
      <c r="I3667" s="14" t="s">
        <v>75</v>
      </c>
      <c r="J3667" s="14" t="s">
        <v>201</v>
      </c>
      <c r="K3667" s="14">
        <v>1</v>
      </c>
      <c r="L3667" s="14" t="s">
        <v>1400</v>
      </c>
      <c r="N3667" s="14">
        <v>0</v>
      </c>
      <c r="O3667" s="14" t="b">
        <v>1</v>
      </c>
      <c r="Q3667" s="14" t="b">
        <v>0</v>
      </c>
      <c r="R3667" s="14">
        <v>1</v>
      </c>
      <c r="S3667" s="14" t="s">
        <v>77</v>
      </c>
      <c r="T3667" s="14">
        <v>999</v>
      </c>
      <c r="U3667" s="14" t="s">
        <v>1401</v>
      </c>
      <c r="V3667" s="14">
        <v>31958061</v>
      </c>
      <c r="X3667" s="14" t="s">
        <v>7067</v>
      </c>
      <c r="Y3667" s="14" t="s">
        <v>215</v>
      </c>
      <c r="Z3667" s="14">
        <v>22430</v>
      </c>
      <c r="AA3667" s="14" t="s">
        <v>7068</v>
      </c>
      <c r="AB3667" s="14">
        <v>40001</v>
      </c>
      <c r="AE3667" s="14" t="s">
        <v>1400</v>
      </c>
      <c r="AF3667" s="14" t="s">
        <v>1400</v>
      </c>
      <c r="AG3667" s="14" t="s">
        <v>1231</v>
      </c>
    </row>
    <row r="3668" spans="2:33">
      <c r="B3668" s="14">
        <f>10000000+INDEX(编号表!$B:$B,MATCH(H3668,编号表!$A:$A,0))*100000+INDEX(编号表!$F:$F,MATCH(D3668,编号表!$E:$E,0))*10000+INDEX(编号表!$D:$D,MATCH(AG3668,编号表!$C:$C,0))*1000+F3668</f>
        <v>11938060</v>
      </c>
      <c r="C3668" s="14" t="s">
        <v>7069</v>
      </c>
      <c r="D3668" s="14" t="s">
        <v>276</v>
      </c>
      <c r="E3668" s="14" t="s">
        <v>1231</v>
      </c>
      <c r="F3668" s="14">
        <v>60</v>
      </c>
      <c r="G3668" s="14">
        <v>60</v>
      </c>
      <c r="H3668" s="14" t="s">
        <v>1400</v>
      </c>
      <c r="I3668" s="14" t="s">
        <v>75</v>
      </c>
      <c r="J3668" s="14" t="s">
        <v>201</v>
      </c>
      <c r="K3668" s="14">
        <v>1</v>
      </c>
      <c r="L3668" s="14" t="s">
        <v>1400</v>
      </c>
      <c r="N3668" s="14">
        <v>0</v>
      </c>
      <c r="O3668" s="14" t="b">
        <v>1</v>
      </c>
      <c r="Q3668" s="14" t="b">
        <v>0</v>
      </c>
      <c r="R3668" s="14">
        <v>1</v>
      </c>
      <c r="S3668" s="14" t="s">
        <v>77</v>
      </c>
      <c r="T3668" s="14">
        <v>999</v>
      </c>
      <c r="U3668" s="14" t="s">
        <v>1401</v>
      </c>
      <c r="V3668" s="14">
        <v>31938060</v>
      </c>
      <c r="X3668" s="14" t="s">
        <v>7070</v>
      </c>
      <c r="Y3668" s="14" t="s">
        <v>215</v>
      </c>
      <c r="Z3668" s="14">
        <v>22431</v>
      </c>
      <c r="AA3668" s="14" t="s">
        <v>7071</v>
      </c>
      <c r="AB3668" s="14">
        <v>40001</v>
      </c>
      <c r="AE3668" s="14" t="s">
        <v>1400</v>
      </c>
      <c r="AF3668" s="14" t="s">
        <v>1400</v>
      </c>
      <c r="AG3668" s="14" t="s">
        <v>1231</v>
      </c>
    </row>
    <row r="3669" spans="2:33">
      <c r="B3669" s="14">
        <f>10000000+INDEX(编号表!$B:$B,MATCH(H3669,编号表!$A:$A,0))*100000+INDEX(编号表!$F:$F,MATCH(D3669,编号表!$E:$E,0))*10000+INDEX(编号表!$D:$D,MATCH(AG3669,编号表!$C:$C,0))*1000+F3669</f>
        <v>11948061</v>
      </c>
      <c r="C3669" s="14" t="s">
        <v>7069</v>
      </c>
      <c r="D3669" s="14" t="s">
        <v>104</v>
      </c>
      <c r="E3669" s="14" t="s">
        <v>1231</v>
      </c>
      <c r="F3669" s="14">
        <v>61</v>
      </c>
      <c r="G3669" s="14">
        <v>60</v>
      </c>
      <c r="H3669" s="14" t="s">
        <v>1400</v>
      </c>
      <c r="I3669" s="14" t="s">
        <v>75</v>
      </c>
      <c r="J3669" s="14" t="s">
        <v>201</v>
      </c>
      <c r="K3669" s="14">
        <v>1</v>
      </c>
      <c r="L3669" s="14" t="s">
        <v>1400</v>
      </c>
      <c r="N3669" s="14">
        <v>0</v>
      </c>
      <c r="O3669" s="14" t="b">
        <v>1</v>
      </c>
      <c r="Q3669" s="14" t="b">
        <v>0</v>
      </c>
      <c r="R3669" s="14">
        <v>1</v>
      </c>
      <c r="S3669" s="14" t="s">
        <v>77</v>
      </c>
      <c r="T3669" s="14">
        <v>999</v>
      </c>
      <c r="U3669" s="14" t="s">
        <v>1401</v>
      </c>
      <c r="V3669" s="14">
        <v>31948061</v>
      </c>
      <c r="X3669" s="14" t="s">
        <v>7072</v>
      </c>
      <c r="Y3669" s="14" t="s">
        <v>215</v>
      </c>
      <c r="Z3669" s="14">
        <v>22432</v>
      </c>
      <c r="AA3669" s="14" t="s">
        <v>7073</v>
      </c>
      <c r="AB3669" s="14">
        <v>40001</v>
      </c>
      <c r="AE3669" s="14" t="s">
        <v>1400</v>
      </c>
      <c r="AF3669" s="14" t="s">
        <v>1400</v>
      </c>
      <c r="AG3669" s="14" t="s">
        <v>1231</v>
      </c>
    </row>
    <row r="3670" spans="2:33">
      <c r="B3670" s="14">
        <f>10000000+INDEX(编号表!$B:$B,MATCH(H3670,编号表!$A:$A,0))*100000+INDEX(编号表!$F:$F,MATCH(D3670,编号表!$E:$E,0))*10000+INDEX(编号表!$D:$D,MATCH(AG3670,编号表!$C:$C,0))*1000+F3670</f>
        <v>11958062</v>
      </c>
      <c r="C3670" s="14" t="s">
        <v>7069</v>
      </c>
      <c r="D3670" s="14" t="s">
        <v>333</v>
      </c>
      <c r="E3670" s="14" t="s">
        <v>1231</v>
      </c>
      <c r="F3670" s="14">
        <v>62</v>
      </c>
      <c r="G3670" s="14">
        <v>60</v>
      </c>
      <c r="H3670" s="14" t="s">
        <v>1400</v>
      </c>
      <c r="I3670" s="14" t="s">
        <v>75</v>
      </c>
      <c r="J3670" s="14" t="s">
        <v>201</v>
      </c>
      <c r="K3670" s="14">
        <v>1</v>
      </c>
      <c r="L3670" s="14" t="s">
        <v>1400</v>
      </c>
      <c r="N3670" s="14">
        <v>0</v>
      </c>
      <c r="O3670" s="14" t="b">
        <v>1</v>
      </c>
      <c r="Q3670" s="14" t="b">
        <v>0</v>
      </c>
      <c r="R3670" s="14">
        <v>1</v>
      </c>
      <c r="S3670" s="14" t="s">
        <v>77</v>
      </c>
      <c r="T3670" s="14">
        <v>999</v>
      </c>
      <c r="U3670" s="14" t="s">
        <v>1401</v>
      </c>
      <c r="V3670" s="14">
        <v>31958062</v>
      </c>
      <c r="X3670" s="14" t="s">
        <v>7074</v>
      </c>
      <c r="Y3670" s="14" t="s">
        <v>215</v>
      </c>
      <c r="Z3670" s="14">
        <v>22433</v>
      </c>
      <c r="AA3670" s="14" t="s">
        <v>7075</v>
      </c>
      <c r="AB3670" s="14">
        <v>40001</v>
      </c>
      <c r="AE3670" s="14" t="s">
        <v>1400</v>
      </c>
      <c r="AF3670" s="14" t="s">
        <v>1400</v>
      </c>
      <c r="AG3670" s="14" t="s">
        <v>1231</v>
      </c>
    </row>
    <row r="3671" spans="2:33">
      <c r="B3671" s="14">
        <f>10000000+INDEX(编号表!$B:$B,MATCH(H3671,编号表!$A:$A,0))*100000+INDEX(编号表!$F:$F,MATCH(D3671,编号表!$E:$E,0))*10000+INDEX(编号表!$D:$D,MATCH(AG3671,编号表!$C:$C,0))*1000+F3671</f>
        <v>11938061</v>
      </c>
      <c r="C3671" s="14" t="s">
        <v>7076</v>
      </c>
      <c r="D3671" s="14" t="s">
        <v>276</v>
      </c>
      <c r="E3671" s="14" t="s">
        <v>1231</v>
      </c>
      <c r="F3671" s="14">
        <v>61</v>
      </c>
      <c r="G3671" s="14">
        <v>60</v>
      </c>
      <c r="H3671" s="14" t="s">
        <v>1400</v>
      </c>
      <c r="I3671" s="14" t="s">
        <v>75</v>
      </c>
      <c r="J3671" s="14" t="s">
        <v>201</v>
      </c>
      <c r="K3671" s="14">
        <v>1</v>
      </c>
      <c r="L3671" s="14" t="s">
        <v>1400</v>
      </c>
      <c r="N3671" s="14">
        <v>0</v>
      </c>
      <c r="O3671" s="14" t="b">
        <v>1</v>
      </c>
      <c r="Q3671" s="14" t="b">
        <v>0</v>
      </c>
      <c r="R3671" s="14">
        <v>1</v>
      </c>
      <c r="S3671" s="14" t="s">
        <v>77</v>
      </c>
      <c r="T3671" s="14">
        <v>999</v>
      </c>
      <c r="U3671" s="14" t="s">
        <v>1401</v>
      </c>
      <c r="V3671" s="14">
        <v>31938061</v>
      </c>
      <c r="X3671" s="14" t="s">
        <v>7077</v>
      </c>
      <c r="Y3671" s="14" t="s">
        <v>215</v>
      </c>
      <c r="Z3671" s="14">
        <v>22434</v>
      </c>
      <c r="AA3671" s="14" t="s">
        <v>7078</v>
      </c>
      <c r="AB3671" s="14">
        <v>40001</v>
      </c>
      <c r="AE3671" s="14" t="s">
        <v>1400</v>
      </c>
      <c r="AF3671" s="14" t="s">
        <v>1400</v>
      </c>
      <c r="AG3671" s="14" t="s">
        <v>1231</v>
      </c>
    </row>
    <row r="3672" spans="2:33">
      <c r="B3672" s="14">
        <f>10000000+INDEX(编号表!$B:$B,MATCH(H3672,编号表!$A:$A,0))*100000+INDEX(编号表!$F:$F,MATCH(D3672,编号表!$E:$E,0))*10000+INDEX(编号表!$D:$D,MATCH(AG3672,编号表!$C:$C,0))*1000+F3672</f>
        <v>11948062</v>
      </c>
      <c r="C3672" s="14" t="s">
        <v>7076</v>
      </c>
      <c r="D3672" s="14" t="s">
        <v>104</v>
      </c>
      <c r="E3672" s="14" t="s">
        <v>1231</v>
      </c>
      <c r="F3672" s="14">
        <v>62</v>
      </c>
      <c r="G3672" s="14">
        <v>60</v>
      </c>
      <c r="H3672" s="14" t="s">
        <v>1400</v>
      </c>
      <c r="I3672" s="14" t="s">
        <v>75</v>
      </c>
      <c r="J3672" s="14" t="s">
        <v>201</v>
      </c>
      <c r="K3672" s="14">
        <v>1</v>
      </c>
      <c r="L3672" s="14" t="s">
        <v>1400</v>
      </c>
      <c r="N3672" s="14">
        <v>0</v>
      </c>
      <c r="O3672" s="14" t="b">
        <v>1</v>
      </c>
      <c r="Q3672" s="14" t="b">
        <v>0</v>
      </c>
      <c r="R3672" s="14">
        <v>1</v>
      </c>
      <c r="S3672" s="14" t="s">
        <v>77</v>
      </c>
      <c r="T3672" s="14">
        <v>999</v>
      </c>
      <c r="U3672" s="14" t="s">
        <v>1401</v>
      </c>
      <c r="V3672" s="14">
        <v>31948062</v>
      </c>
      <c r="X3672" s="14" t="s">
        <v>7079</v>
      </c>
      <c r="Y3672" s="14" t="s">
        <v>215</v>
      </c>
      <c r="Z3672" s="14">
        <v>22435</v>
      </c>
      <c r="AA3672" s="14" t="s">
        <v>7080</v>
      </c>
      <c r="AB3672" s="14">
        <v>40001</v>
      </c>
      <c r="AE3672" s="14" t="s">
        <v>1400</v>
      </c>
      <c r="AF3672" s="14" t="s">
        <v>1400</v>
      </c>
      <c r="AG3672" s="14" t="s">
        <v>1231</v>
      </c>
    </row>
    <row r="3673" spans="2:33">
      <c r="B3673" s="14">
        <f>10000000+INDEX(编号表!$B:$B,MATCH(H3673,编号表!$A:$A,0))*100000+INDEX(编号表!$F:$F,MATCH(D3673,编号表!$E:$E,0))*10000+INDEX(编号表!$D:$D,MATCH(AG3673,编号表!$C:$C,0))*1000+F3673</f>
        <v>11958063</v>
      </c>
      <c r="C3673" s="14" t="s">
        <v>7076</v>
      </c>
      <c r="D3673" s="14" t="s">
        <v>333</v>
      </c>
      <c r="E3673" s="14" t="s">
        <v>1231</v>
      </c>
      <c r="F3673" s="14">
        <v>63</v>
      </c>
      <c r="G3673" s="14">
        <v>60</v>
      </c>
      <c r="H3673" s="14" t="s">
        <v>1400</v>
      </c>
      <c r="I3673" s="14" t="s">
        <v>75</v>
      </c>
      <c r="J3673" s="14" t="s">
        <v>201</v>
      </c>
      <c r="K3673" s="14">
        <v>1</v>
      </c>
      <c r="L3673" s="14" t="s">
        <v>1400</v>
      </c>
      <c r="N3673" s="14">
        <v>0</v>
      </c>
      <c r="O3673" s="14" t="b">
        <v>1</v>
      </c>
      <c r="Q3673" s="14" t="b">
        <v>0</v>
      </c>
      <c r="R3673" s="14">
        <v>1</v>
      </c>
      <c r="S3673" s="14" t="s">
        <v>77</v>
      </c>
      <c r="T3673" s="14">
        <v>999</v>
      </c>
      <c r="U3673" s="14" t="s">
        <v>1401</v>
      </c>
      <c r="V3673" s="14">
        <v>31958063</v>
      </c>
      <c r="X3673" s="14" t="s">
        <v>7081</v>
      </c>
      <c r="Y3673" s="14" t="s">
        <v>215</v>
      </c>
      <c r="Z3673" s="14">
        <v>22436</v>
      </c>
      <c r="AA3673" s="14" t="s">
        <v>7082</v>
      </c>
      <c r="AB3673" s="14">
        <v>40001</v>
      </c>
      <c r="AE3673" s="14" t="s">
        <v>1400</v>
      </c>
      <c r="AF3673" s="14" t="s">
        <v>1400</v>
      </c>
      <c r="AG3673" s="14" t="s">
        <v>1231</v>
      </c>
    </row>
    <row r="3674" spans="2:33">
      <c r="B3674" s="14">
        <f>10000000+INDEX(编号表!$B:$B,MATCH(H3674,编号表!$A:$A,0))*100000+INDEX(编号表!$F:$F,MATCH(D3674,编号表!$E:$E,0))*10000+INDEX(编号表!$D:$D,MATCH(AG3674,编号表!$C:$C,0))*1000+F3674</f>
        <v>11938062</v>
      </c>
      <c r="C3674" s="14" t="s">
        <v>7083</v>
      </c>
      <c r="D3674" s="14" t="s">
        <v>276</v>
      </c>
      <c r="E3674" s="14" t="s">
        <v>1231</v>
      </c>
      <c r="F3674" s="14">
        <v>62</v>
      </c>
      <c r="G3674" s="14">
        <v>60</v>
      </c>
      <c r="H3674" s="14" t="s">
        <v>1400</v>
      </c>
      <c r="I3674" s="14" t="s">
        <v>75</v>
      </c>
      <c r="J3674" s="14" t="s">
        <v>201</v>
      </c>
      <c r="K3674" s="14">
        <v>1</v>
      </c>
      <c r="L3674" s="14" t="s">
        <v>1400</v>
      </c>
      <c r="N3674" s="14">
        <v>0</v>
      </c>
      <c r="O3674" s="14" t="b">
        <v>1</v>
      </c>
      <c r="Q3674" s="14" t="b">
        <v>0</v>
      </c>
      <c r="R3674" s="14">
        <v>1</v>
      </c>
      <c r="S3674" s="14" t="s">
        <v>77</v>
      </c>
      <c r="T3674" s="14">
        <v>999</v>
      </c>
      <c r="U3674" s="14" t="s">
        <v>1401</v>
      </c>
      <c r="V3674" s="14">
        <v>31938062</v>
      </c>
      <c r="X3674" s="14" t="s">
        <v>7084</v>
      </c>
      <c r="Y3674" s="14" t="s">
        <v>215</v>
      </c>
      <c r="Z3674" s="14">
        <v>22437</v>
      </c>
      <c r="AA3674" s="14" t="s">
        <v>7085</v>
      </c>
      <c r="AB3674" s="14">
        <v>40001</v>
      </c>
      <c r="AE3674" s="14" t="s">
        <v>1400</v>
      </c>
      <c r="AF3674" s="14" t="s">
        <v>1400</v>
      </c>
      <c r="AG3674" s="14" t="s">
        <v>1231</v>
      </c>
    </row>
    <row r="3675" spans="2:33">
      <c r="B3675" s="14">
        <f>10000000+INDEX(编号表!$B:$B,MATCH(H3675,编号表!$A:$A,0))*100000+INDEX(编号表!$F:$F,MATCH(D3675,编号表!$E:$E,0))*10000+INDEX(编号表!$D:$D,MATCH(AG3675,编号表!$C:$C,0))*1000+F3675</f>
        <v>11948063</v>
      </c>
      <c r="C3675" s="14" t="s">
        <v>7083</v>
      </c>
      <c r="D3675" s="14" t="s">
        <v>104</v>
      </c>
      <c r="E3675" s="14" t="s">
        <v>1231</v>
      </c>
      <c r="F3675" s="14">
        <v>63</v>
      </c>
      <c r="G3675" s="14">
        <v>60</v>
      </c>
      <c r="H3675" s="14" t="s">
        <v>1400</v>
      </c>
      <c r="I3675" s="14" t="s">
        <v>75</v>
      </c>
      <c r="J3675" s="14" t="s">
        <v>201</v>
      </c>
      <c r="K3675" s="14">
        <v>1</v>
      </c>
      <c r="L3675" s="14" t="s">
        <v>1400</v>
      </c>
      <c r="N3675" s="14">
        <v>0</v>
      </c>
      <c r="O3675" s="14" t="b">
        <v>1</v>
      </c>
      <c r="Q3675" s="14" t="b">
        <v>0</v>
      </c>
      <c r="R3675" s="14">
        <v>1</v>
      </c>
      <c r="S3675" s="14" t="s">
        <v>77</v>
      </c>
      <c r="T3675" s="14">
        <v>999</v>
      </c>
      <c r="U3675" s="14" t="s">
        <v>1401</v>
      </c>
      <c r="V3675" s="14">
        <v>31948063</v>
      </c>
      <c r="X3675" s="14" t="s">
        <v>7086</v>
      </c>
      <c r="Y3675" s="14" t="s">
        <v>215</v>
      </c>
      <c r="Z3675" s="14">
        <v>22438</v>
      </c>
      <c r="AA3675" s="14" t="s">
        <v>7087</v>
      </c>
      <c r="AB3675" s="14">
        <v>40001</v>
      </c>
      <c r="AE3675" s="14" t="s">
        <v>1400</v>
      </c>
      <c r="AF3675" s="14" t="s">
        <v>1400</v>
      </c>
      <c r="AG3675" s="14" t="s">
        <v>1231</v>
      </c>
    </row>
    <row r="3676" spans="2:33">
      <c r="B3676" s="14">
        <f>10000000+INDEX(编号表!$B:$B,MATCH(H3676,编号表!$A:$A,0))*100000+INDEX(编号表!$F:$F,MATCH(D3676,编号表!$E:$E,0))*10000+INDEX(编号表!$D:$D,MATCH(AG3676,编号表!$C:$C,0))*1000+F3676</f>
        <v>11958064</v>
      </c>
      <c r="C3676" s="14" t="s">
        <v>7083</v>
      </c>
      <c r="D3676" s="14" t="s">
        <v>333</v>
      </c>
      <c r="E3676" s="14" t="s">
        <v>1231</v>
      </c>
      <c r="F3676" s="14">
        <v>64</v>
      </c>
      <c r="G3676" s="14">
        <v>60</v>
      </c>
      <c r="H3676" s="14" t="s">
        <v>1400</v>
      </c>
      <c r="I3676" s="14" t="s">
        <v>75</v>
      </c>
      <c r="J3676" s="14" t="s">
        <v>201</v>
      </c>
      <c r="K3676" s="14">
        <v>1</v>
      </c>
      <c r="L3676" s="14" t="s">
        <v>1400</v>
      </c>
      <c r="N3676" s="14">
        <v>0</v>
      </c>
      <c r="O3676" s="14" t="b">
        <v>1</v>
      </c>
      <c r="Q3676" s="14" t="b">
        <v>0</v>
      </c>
      <c r="R3676" s="14">
        <v>1</v>
      </c>
      <c r="S3676" s="14" t="s">
        <v>77</v>
      </c>
      <c r="T3676" s="14">
        <v>999</v>
      </c>
      <c r="U3676" s="14" t="s">
        <v>1401</v>
      </c>
      <c r="V3676" s="14">
        <v>31958064</v>
      </c>
      <c r="X3676" s="14" t="s">
        <v>7088</v>
      </c>
      <c r="Y3676" s="14" t="s">
        <v>215</v>
      </c>
      <c r="Z3676" s="14">
        <v>22439</v>
      </c>
      <c r="AA3676" s="14" t="s">
        <v>7089</v>
      </c>
      <c r="AB3676" s="14">
        <v>40001</v>
      </c>
      <c r="AE3676" s="14" t="s">
        <v>1400</v>
      </c>
      <c r="AF3676" s="14" t="s">
        <v>1400</v>
      </c>
      <c r="AG3676" s="14" t="s">
        <v>1231</v>
      </c>
    </row>
    <row r="3677" spans="2:33">
      <c r="B3677" s="14">
        <f>10000000+INDEX(编号表!$B:$B,MATCH(H3677,编号表!$A:$A,0))*100000+INDEX(编号表!$F:$F,MATCH(D3677,编号表!$E:$E,0))*10000+INDEX(编号表!$D:$D,MATCH(AG3677,编号表!$C:$C,0))*1000+F3677</f>
        <v>11938063</v>
      </c>
      <c r="C3677" s="14" t="s">
        <v>7090</v>
      </c>
      <c r="D3677" s="14" t="s">
        <v>276</v>
      </c>
      <c r="E3677" s="14" t="s">
        <v>1231</v>
      </c>
      <c r="F3677" s="14">
        <v>63</v>
      </c>
      <c r="G3677" s="14">
        <v>60</v>
      </c>
      <c r="H3677" s="14" t="s">
        <v>1400</v>
      </c>
      <c r="I3677" s="14" t="s">
        <v>75</v>
      </c>
      <c r="J3677" s="14" t="s">
        <v>201</v>
      </c>
      <c r="K3677" s="14">
        <v>1</v>
      </c>
      <c r="L3677" s="14" t="s">
        <v>1400</v>
      </c>
      <c r="N3677" s="14">
        <v>0</v>
      </c>
      <c r="O3677" s="14" t="b">
        <v>1</v>
      </c>
      <c r="Q3677" s="14" t="b">
        <v>0</v>
      </c>
      <c r="R3677" s="14">
        <v>1</v>
      </c>
      <c r="S3677" s="14" t="s">
        <v>77</v>
      </c>
      <c r="T3677" s="14">
        <v>999</v>
      </c>
      <c r="U3677" s="14" t="s">
        <v>1401</v>
      </c>
      <c r="V3677" s="14">
        <v>31938063</v>
      </c>
      <c r="X3677" s="14" t="s">
        <v>7091</v>
      </c>
      <c r="Y3677" s="14" t="s">
        <v>215</v>
      </c>
      <c r="Z3677" s="14">
        <v>22440</v>
      </c>
      <c r="AA3677" s="14" t="s">
        <v>7092</v>
      </c>
      <c r="AB3677" s="14">
        <v>40001</v>
      </c>
      <c r="AE3677" s="14" t="s">
        <v>1400</v>
      </c>
      <c r="AF3677" s="14" t="s">
        <v>1400</v>
      </c>
      <c r="AG3677" s="14" t="s">
        <v>1231</v>
      </c>
    </row>
    <row r="3678" spans="2:33">
      <c r="B3678" s="14">
        <f>10000000+INDEX(编号表!$B:$B,MATCH(H3678,编号表!$A:$A,0))*100000+INDEX(编号表!$F:$F,MATCH(D3678,编号表!$E:$E,0))*10000+INDEX(编号表!$D:$D,MATCH(AG3678,编号表!$C:$C,0))*1000+F3678</f>
        <v>11948064</v>
      </c>
      <c r="C3678" s="14" t="s">
        <v>7090</v>
      </c>
      <c r="D3678" s="14" t="s">
        <v>104</v>
      </c>
      <c r="E3678" s="14" t="s">
        <v>1231</v>
      </c>
      <c r="F3678" s="14">
        <v>64</v>
      </c>
      <c r="G3678" s="14">
        <v>60</v>
      </c>
      <c r="H3678" s="14" t="s">
        <v>1400</v>
      </c>
      <c r="I3678" s="14" t="s">
        <v>75</v>
      </c>
      <c r="J3678" s="14" t="s">
        <v>201</v>
      </c>
      <c r="K3678" s="14">
        <v>1</v>
      </c>
      <c r="L3678" s="14" t="s">
        <v>1400</v>
      </c>
      <c r="N3678" s="14">
        <v>0</v>
      </c>
      <c r="O3678" s="14" t="b">
        <v>1</v>
      </c>
      <c r="Q3678" s="14" t="b">
        <v>0</v>
      </c>
      <c r="R3678" s="14">
        <v>1</v>
      </c>
      <c r="S3678" s="14" t="s">
        <v>77</v>
      </c>
      <c r="T3678" s="14">
        <v>999</v>
      </c>
      <c r="U3678" s="14" t="s">
        <v>1401</v>
      </c>
      <c r="V3678" s="14">
        <v>31948064</v>
      </c>
      <c r="X3678" s="14" t="s">
        <v>7093</v>
      </c>
      <c r="Y3678" s="14" t="s">
        <v>215</v>
      </c>
      <c r="Z3678" s="14">
        <v>22441</v>
      </c>
      <c r="AA3678" s="14" t="s">
        <v>7094</v>
      </c>
      <c r="AB3678" s="14">
        <v>40001</v>
      </c>
      <c r="AE3678" s="14" t="s">
        <v>1400</v>
      </c>
      <c r="AF3678" s="14" t="s">
        <v>1400</v>
      </c>
      <c r="AG3678" s="14" t="s">
        <v>1231</v>
      </c>
    </row>
    <row r="3679" spans="2:33">
      <c r="B3679" s="14">
        <f>10000000+INDEX(编号表!$B:$B,MATCH(H3679,编号表!$A:$A,0))*100000+INDEX(编号表!$F:$F,MATCH(D3679,编号表!$E:$E,0))*10000+INDEX(编号表!$D:$D,MATCH(AG3679,编号表!$C:$C,0))*1000+F3679</f>
        <v>11958065</v>
      </c>
      <c r="C3679" s="14" t="s">
        <v>7090</v>
      </c>
      <c r="D3679" s="14" t="s">
        <v>333</v>
      </c>
      <c r="E3679" s="14" t="s">
        <v>1231</v>
      </c>
      <c r="F3679" s="14">
        <v>65</v>
      </c>
      <c r="G3679" s="14">
        <v>60</v>
      </c>
      <c r="H3679" s="14" t="s">
        <v>1400</v>
      </c>
      <c r="I3679" s="14" t="s">
        <v>75</v>
      </c>
      <c r="J3679" s="14" t="s">
        <v>201</v>
      </c>
      <c r="K3679" s="14">
        <v>1</v>
      </c>
      <c r="L3679" s="14" t="s">
        <v>1400</v>
      </c>
      <c r="N3679" s="14">
        <v>0</v>
      </c>
      <c r="O3679" s="14" t="b">
        <v>1</v>
      </c>
      <c r="Q3679" s="14" t="b">
        <v>0</v>
      </c>
      <c r="R3679" s="14">
        <v>1</v>
      </c>
      <c r="S3679" s="14" t="s">
        <v>77</v>
      </c>
      <c r="T3679" s="14">
        <v>999</v>
      </c>
      <c r="U3679" s="14" t="s">
        <v>1401</v>
      </c>
      <c r="V3679" s="14">
        <v>31958065</v>
      </c>
      <c r="X3679" s="14" t="s">
        <v>7095</v>
      </c>
      <c r="Y3679" s="14" t="s">
        <v>215</v>
      </c>
      <c r="Z3679" s="14">
        <v>22442</v>
      </c>
      <c r="AA3679" s="14" t="s">
        <v>7096</v>
      </c>
      <c r="AB3679" s="14">
        <v>40001</v>
      </c>
      <c r="AE3679" s="14" t="s">
        <v>1400</v>
      </c>
      <c r="AF3679" s="14" t="s">
        <v>1400</v>
      </c>
      <c r="AG3679" s="14" t="s">
        <v>1231</v>
      </c>
    </row>
    <row r="3680" spans="2:33">
      <c r="B3680" s="14">
        <f>10000000+INDEX(编号表!$B:$B,MATCH(H3680,编号表!$A:$A,0))*100000+INDEX(编号表!$F:$F,MATCH(D3680,编号表!$E:$E,0))*10000+INDEX(编号表!$D:$D,MATCH(AG3680,编号表!$C:$C,0))*1000+F3680</f>
        <v>11938064</v>
      </c>
      <c r="C3680" s="14" t="s">
        <v>7097</v>
      </c>
      <c r="D3680" s="14" t="s">
        <v>276</v>
      </c>
      <c r="E3680" s="14" t="s">
        <v>1231</v>
      </c>
      <c r="F3680" s="14">
        <v>64</v>
      </c>
      <c r="G3680" s="14">
        <v>60</v>
      </c>
      <c r="H3680" s="14" t="s">
        <v>1400</v>
      </c>
      <c r="I3680" s="14" t="s">
        <v>75</v>
      </c>
      <c r="J3680" s="14" t="s">
        <v>201</v>
      </c>
      <c r="K3680" s="14">
        <v>1</v>
      </c>
      <c r="L3680" s="14" t="s">
        <v>1400</v>
      </c>
      <c r="N3680" s="14">
        <v>0</v>
      </c>
      <c r="O3680" s="14" t="b">
        <v>1</v>
      </c>
      <c r="Q3680" s="14" t="b">
        <v>0</v>
      </c>
      <c r="R3680" s="14">
        <v>1</v>
      </c>
      <c r="S3680" s="14" t="s">
        <v>77</v>
      </c>
      <c r="T3680" s="14">
        <v>999</v>
      </c>
      <c r="U3680" s="14" t="s">
        <v>1401</v>
      </c>
      <c r="V3680" s="14">
        <v>31938064</v>
      </c>
      <c r="X3680" s="14" t="s">
        <v>7098</v>
      </c>
      <c r="Y3680" s="14" t="s">
        <v>215</v>
      </c>
      <c r="Z3680" s="14">
        <v>22443</v>
      </c>
      <c r="AA3680" s="14" t="s">
        <v>7099</v>
      </c>
      <c r="AB3680" s="14">
        <v>40001</v>
      </c>
      <c r="AE3680" s="14" t="s">
        <v>1400</v>
      </c>
      <c r="AF3680" s="14" t="s">
        <v>1400</v>
      </c>
      <c r="AG3680" s="14" t="s">
        <v>1231</v>
      </c>
    </row>
    <row r="3681" spans="2:33">
      <c r="B3681" s="14">
        <f>10000000+INDEX(编号表!$B:$B,MATCH(H3681,编号表!$A:$A,0))*100000+INDEX(编号表!$F:$F,MATCH(D3681,编号表!$E:$E,0))*10000+INDEX(编号表!$D:$D,MATCH(AG3681,编号表!$C:$C,0))*1000+F3681</f>
        <v>11948065</v>
      </c>
      <c r="C3681" s="14" t="s">
        <v>7097</v>
      </c>
      <c r="D3681" s="14" t="s">
        <v>104</v>
      </c>
      <c r="E3681" s="14" t="s">
        <v>1231</v>
      </c>
      <c r="F3681" s="14">
        <v>65</v>
      </c>
      <c r="G3681" s="14">
        <v>60</v>
      </c>
      <c r="H3681" s="14" t="s">
        <v>1400</v>
      </c>
      <c r="I3681" s="14" t="s">
        <v>75</v>
      </c>
      <c r="J3681" s="14" t="s">
        <v>201</v>
      </c>
      <c r="K3681" s="14">
        <v>1</v>
      </c>
      <c r="L3681" s="14" t="s">
        <v>1400</v>
      </c>
      <c r="N3681" s="14">
        <v>0</v>
      </c>
      <c r="O3681" s="14" t="b">
        <v>1</v>
      </c>
      <c r="Q3681" s="14" t="b">
        <v>0</v>
      </c>
      <c r="R3681" s="14">
        <v>1</v>
      </c>
      <c r="S3681" s="14" t="s">
        <v>77</v>
      </c>
      <c r="T3681" s="14">
        <v>999</v>
      </c>
      <c r="U3681" s="14" t="s">
        <v>1401</v>
      </c>
      <c r="V3681" s="14">
        <v>31948065</v>
      </c>
      <c r="X3681" s="14" t="s">
        <v>7100</v>
      </c>
      <c r="Y3681" s="14" t="s">
        <v>215</v>
      </c>
      <c r="Z3681" s="14">
        <v>22444</v>
      </c>
      <c r="AA3681" s="14" t="s">
        <v>7101</v>
      </c>
      <c r="AB3681" s="14">
        <v>40001</v>
      </c>
      <c r="AE3681" s="14" t="s">
        <v>1400</v>
      </c>
      <c r="AF3681" s="14" t="s">
        <v>1400</v>
      </c>
      <c r="AG3681" s="14" t="s">
        <v>1231</v>
      </c>
    </row>
    <row r="3682" spans="2:33">
      <c r="B3682" s="14">
        <f>10000000+INDEX(编号表!$B:$B,MATCH(H3682,编号表!$A:$A,0))*100000+INDEX(编号表!$F:$F,MATCH(D3682,编号表!$E:$E,0))*10000+INDEX(编号表!$D:$D,MATCH(AG3682,编号表!$C:$C,0))*1000+F3682</f>
        <v>11958066</v>
      </c>
      <c r="C3682" s="14" t="s">
        <v>7097</v>
      </c>
      <c r="D3682" s="14" t="s">
        <v>333</v>
      </c>
      <c r="E3682" s="14" t="s">
        <v>1231</v>
      </c>
      <c r="F3682" s="14">
        <v>66</v>
      </c>
      <c r="G3682" s="14">
        <v>60</v>
      </c>
      <c r="H3682" s="14" t="s">
        <v>1400</v>
      </c>
      <c r="I3682" s="14" t="s">
        <v>75</v>
      </c>
      <c r="J3682" s="14" t="s">
        <v>201</v>
      </c>
      <c r="K3682" s="14">
        <v>1</v>
      </c>
      <c r="L3682" s="14" t="s">
        <v>1400</v>
      </c>
      <c r="N3682" s="14">
        <v>0</v>
      </c>
      <c r="O3682" s="14" t="b">
        <v>1</v>
      </c>
      <c r="Q3682" s="14" t="b">
        <v>0</v>
      </c>
      <c r="R3682" s="14">
        <v>1</v>
      </c>
      <c r="S3682" s="14" t="s">
        <v>77</v>
      </c>
      <c r="T3682" s="14">
        <v>999</v>
      </c>
      <c r="U3682" s="14" t="s">
        <v>1401</v>
      </c>
      <c r="V3682" s="14">
        <v>31958066</v>
      </c>
      <c r="X3682" s="14" t="s">
        <v>7102</v>
      </c>
      <c r="Y3682" s="14" t="s">
        <v>215</v>
      </c>
      <c r="Z3682" s="14">
        <v>22445</v>
      </c>
      <c r="AA3682" s="14" t="s">
        <v>7103</v>
      </c>
      <c r="AB3682" s="14">
        <v>40001</v>
      </c>
      <c r="AE3682" s="14" t="s">
        <v>1400</v>
      </c>
      <c r="AF3682" s="14" t="s">
        <v>1400</v>
      </c>
      <c r="AG3682" s="14" t="s">
        <v>1231</v>
      </c>
    </row>
    <row r="3683" spans="2:33">
      <c r="B3683" s="14">
        <f>10000000+INDEX(编号表!$B:$B,MATCH(H3683,编号表!$A:$A,0))*100000+INDEX(编号表!$F:$F,MATCH(D3683,编号表!$E:$E,0))*10000+INDEX(编号表!$D:$D,MATCH(AG3683,编号表!$C:$C,0))*1000+F3683</f>
        <v>11938065</v>
      </c>
      <c r="C3683" s="14" t="s">
        <v>7104</v>
      </c>
      <c r="D3683" s="14" t="s">
        <v>276</v>
      </c>
      <c r="E3683" s="14" t="s">
        <v>1231</v>
      </c>
      <c r="F3683" s="14">
        <v>65</v>
      </c>
      <c r="G3683" s="14">
        <v>60</v>
      </c>
      <c r="H3683" s="14" t="s">
        <v>1400</v>
      </c>
      <c r="I3683" s="14" t="s">
        <v>75</v>
      </c>
      <c r="J3683" s="14" t="s">
        <v>201</v>
      </c>
      <c r="K3683" s="14">
        <v>1</v>
      </c>
      <c r="L3683" s="14" t="s">
        <v>1400</v>
      </c>
      <c r="N3683" s="14">
        <v>0</v>
      </c>
      <c r="O3683" s="14" t="b">
        <v>1</v>
      </c>
      <c r="Q3683" s="14" t="b">
        <v>0</v>
      </c>
      <c r="R3683" s="14">
        <v>1</v>
      </c>
      <c r="S3683" s="14" t="s">
        <v>77</v>
      </c>
      <c r="T3683" s="14">
        <v>999</v>
      </c>
      <c r="U3683" s="14" t="s">
        <v>1401</v>
      </c>
      <c r="V3683" s="14">
        <v>31938065</v>
      </c>
      <c r="X3683" s="14" t="s">
        <v>7105</v>
      </c>
      <c r="Y3683" s="14" t="s">
        <v>215</v>
      </c>
      <c r="Z3683" s="14">
        <v>22446</v>
      </c>
      <c r="AA3683" s="14" t="s">
        <v>7106</v>
      </c>
      <c r="AB3683" s="14">
        <v>40001</v>
      </c>
      <c r="AE3683" s="14" t="s">
        <v>1400</v>
      </c>
      <c r="AF3683" s="14" t="s">
        <v>1400</v>
      </c>
      <c r="AG3683" s="14" t="s">
        <v>1231</v>
      </c>
    </row>
    <row r="3684" spans="2:33">
      <c r="B3684" s="14">
        <f>10000000+INDEX(编号表!$B:$B,MATCH(H3684,编号表!$A:$A,0))*100000+INDEX(编号表!$F:$F,MATCH(D3684,编号表!$E:$E,0))*10000+INDEX(编号表!$D:$D,MATCH(AG3684,编号表!$C:$C,0))*1000+F3684</f>
        <v>11948066</v>
      </c>
      <c r="C3684" s="14" t="s">
        <v>7104</v>
      </c>
      <c r="D3684" s="14" t="s">
        <v>104</v>
      </c>
      <c r="E3684" s="14" t="s">
        <v>1231</v>
      </c>
      <c r="F3684" s="14">
        <v>66</v>
      </c>
      <c r="G3684" s="14">
        <v>60</v>
      </c>
      <c r="H3684" s="14" t="s">
        <v>1400</v>
      </c>
      <c r="I3684" s="14" t="s">
        <v>75</v>
      </c>
      <c r="J3684" s="14" t="s">
        <v>201</v>
      </c>
      <c r="K3684" s="14">
        <v>1</v>
      </c>
      <c r="L3684" s="14" t="s">
        <v>1400</v>
      </c>
      <c r="N3684" s="14">
        <v>0</v>
      </c>
      <c r="O3684" s="14" t="b">
        <v>1</v>
      </c>
      <c r="Q3684" s="14" t="b">
        <v>0</v>
      </c>
      <c r="R3684" s="14">
        <v>1</v>
      </c>
      <c r="S3684" s="14" t="s">
        <v>77</v>
      </c>
      <c r="T3684" s="14">
        <v>999</v>
      </c>
      <c r="U3684" s="14" t="s">
        <v>1401</v>
      </c>
      <c r="V3684" s="14">
        <v>31948066</v>
      </c>
      <c r="X3684" s="14" t="s">
        <v>7107</v>
      </c>
      <c r="Y3684" s="14" t="s">
        <v>215</v>
      </c>
      <c r="Z3684" s="14">
        <v>22447</v>
      </c>
      <c r="AA3684" s="14" t="s">
        <v>7108</v>
      </c>
      <c r="AB3684" s="14">
        <v>40001</v>
      </c>
      <c r="AE3684" s="14" t="s">
        <v>1400</v>
      </c>
      <c r="AF3684" s="14" t="s">
        <v>1400</v>
      </c>
      <c r="AG3684" s="14" t="s">
        <v>1231</v>
      </c>
    </row>
    <row r="3685" spans="2:33">
      <c r="B3685" s="14">
        <f>10000000+INDEX(编号表!$B:$B,MATCH(H3685,编号表!$A:$A,0))*100000+INDEX(编号表!$F:$F,MATCH(D3685,编号表!$E:$E,0))*10000+INDEX(编号表!$D:$D,MATCH(AG3685,编号表!$C:$C,0))*1000+F3685</f>
        <v>11958067</v>
      </c>
      <c r="C3685" s="14" t="s">
        <v>7104</v>
      </c>
      <c r="D3685" s="14" t="s">
        <v>333</v>
      </c>
      <c r="E3685" s="14" t="s">
        <v>1231</v>
      </c>
      <c r="F3685" s="14">
        <v>67</v>
      </c>
      <c r="G3685" s="14">
        <v>60</v>
      </c>
      <c r="H3685" s="14" t="s">
        <v>1400</v>
      </c>
      <c r="I3685" s="14" t="s">
        <v>75</v>
      </c>
      <c r="J3685" s="14" t="s">
        <v>201</v>
      </c>
      <c r="K3685" s="14">
        <v>1</v>
      </c>
      <c r="L3685" s="14" t="s">
        <v>1400</v>
      </c>
      <c r="N3685" s="14">
        <v>0</v>
      </c>
      <c r="O3685" s="14" t="b">
        <v>1</v>
      </c>
      <c r="Q3685" s="14" t="b">
        <v>0</v>
      </c>
      <c r="R3685" s="14">
        <v>1</v>
      </c>
      <c r="S3685" s="14" t="s">
        <v>77</v>
      </c>
      <c r="T3685" s="14">
        <v>999</v>
      </c>
      <c r="U3685" s="14" t="s">
        <v>1401</v>
      </c>
      <c r="V3685" s="14">
        <v>31958067</v>
      </c>
      <c r="X3685" s="14" t="s">
        <v>7109</v>
      </c>
      <c r="Y3685" s="14" t="s">
        <v>215</v>
      </c>
      <c r="Z3685" s="14">
        <v>22448</v>
      </c>
      <c r="AA3685" s="14" t="s">
        <v>7110</v>
      </c>
      <c r="AB3685" s="14">
        <v>40001</v>
      </c>
      <c r="AE3685" s="14" t="s">
        <v>1400</v>
      </c>
      <c r="AF3685" s="14" t="s">
        <v>1400</v>
      </c>
      <c r="AG3685" s="14" t="s">
        <v>1231</v>
      </c>
    </row>
    <row r="3686" spans="2:33">
      <c r="B3686" s="14">
        <f>10000000+INDEX(编号表!$B:$B,MATCH(H3686,编号表!$A:$A,0))*100000+INDEX(编号表!$F:$F,MATCH(D3686,编号表!$E:$E,0))*10000+INDEX(编号表!$D:$D,MATCH(AG3686,编号表!$C:$C,0))*1000+F3686</f>
        <v>11938066</v>
      </c>
      <c r="C3686" s="14" t="s">
        <v>7111</v>
      </c>
      <c r="D3686" s="14" t="s">
        <v>276</v>
      </c>
      <c r="E3686" s="14" t="s">
        <v>1231</v>
      </c>
      <c r="F3686" s="14">
        <v>66</v>
      </c>
      <c r="G3686" s="14">
        <v>60</v>
      </c>
      <c r="H3686" s="14" t="s">
        <v>1400</v>
      </c>
      <c r="I3686" s="14" t="s">
        <v>75</v>
      </c>
      <c r="J3686" s="14" t="s">
        <v>201</v>
      </c>
      <c r="K3686" s="14">
        <v>1</v>
      </c>
      <c r="L3686" s="14" t="s">
        <v>1400</v>
      </c>
      <c r="N3686" s="14">
        <v>0</v>
      </c>
      <c r="O3686" s="14" t="b">
        <v>1</v>
      </c>
      <c r="Q3686" s="14" t="b">
        <v>0</v>
      </c>
      <c r="R3686" s="14">
        <v>1</v>
      </c>
      <c r="S3686" s="14" t="s">
        <v>77</v>
      </c>
      <c r="T3686" s="14">
        <v>999</v>
      </c>
      <c r="U3686" s="14" t="s">
        <v>1401</v>
      </c>
      <c r="V3686" s="14">
        <v>31938066</v>
      </c>
      <c r="X3686" s="14" t="s">
        <v>7112</v>
      </c>
      <c r="Y3686" s="14" t="s">
        <v>215</v>
      </c>
      <c r="Z3686" s="14">
        <v>22449</v>
      </c>
      <c r="AA3686" s="14" t="s">
        <v>7113</v>
      </c>
      <c r="AB3686" s="14">
        <v>40001</v>
      </c>
      <c r="AE3686" s="14" t="s">
        <v>1400</v>
      </c>
      <c r="AF3686" s="14" t="s">
        <v>1400</v>
      </c>
      <c r="AG3686" s="14" t="s">
        <v>1231</v>
      </c>
    </row>
    <row r="3687" spans="2:33">
      <c r="B3687" s="14">
        <f>10000000+INDEX(编号表!$B:$B,MATCH(H3687,编号表!$A:$A,0))*100000+INDEX(编号表!$F:$F,MATCH(D3687,编号表!$E:$E,0))*10000+INDEX(编号表!$D:$D,MATCH(AG3687,编号表!$C:$C,0))*1000+F3687</f>
        <v>11948067</v>
      </c>
      <c r="C3687" s="14" t="s">
        <v>7111</v>
      </c>
      <c r="D3687" s="14" t="s">
        <v>104</v>
      </c>
      <c r="E3687" s="14" t="s">
        <v>1231</v>
      </c>
      <c r="F3687" s="14">
        <v>67</v>
      </c>
      <c r="G3687" s="14">
        <v>60</v>
      </c>
      <c r="H3687" s="14" t="s">
        <v>1400</v>
      </c>
      <c r="I3687" s="14" t="s">
        <v>75</v>
      </c>
      <c r="J3687" s="14" t="s">
        <v>201</v>
      </c>
      <c r="K3687" s="14">
        <v>1</v>
      </c>
      <c r="L3687" s="14" t="s">
        <v>1400</v>
      </c>
      <c r="N3687" s="14">
        <v>0</v>
      </c>
      <c r="O3687" s="14" t="b">
        <v>1</v>
      </c>
      <c r="Q3687" s="14" t="b">
        <v>0</v>
      </c>
      <c r="R3687" s="14">
        <v>1</v>
      </c>
      <c r="S3687" s="14" t="s">
        <v>77</v>
      </c>
      <c r="T3687" s="14">
        <v>999</v>
      </c>
      <c r="U3687" s="14" t="s">
        <v>1401</v>
      </c>
      <c r="V3687" s="14">
        <v>31948067</v>
      </c>
      <c r="X3687" s="14" t="s">
        <v>7114</v>
      </c>
      <c r="Y3687" s="14" t="s">
        <v>215</v>
      </c>
      <c r="Z3687" s="14">
        <v>22450</v>
      </c>
      <c r="AA3687" s="14" t="s">
        <v>7115</v>
      </c>
      <c r="AB3687" s="14">
        <v>40001</v>
      </c>
      <c r="AE3687" s="14" t="s">
        <v>1400</v>
      </c>
      <c r="AF3687" s="14" t="s">
        <v>1400</v>
      </c>
      <c r="AG3687" s="14" t="s">
        <v>1231</v>
      </c>
    </row>
    <row r="3688" spans="2:33">
      <c r="B3688" s="14">
        <f>10000000+INDEX(编号表!$B:$B,MATCH(H3688,编号表!$A:$A,0))*100000+INDEX(编号表!$F:$F,MATCH(D3688,编号表!$E:$E,0))*10000+INDEX(编号表!$D:$D,MATCH(AG3688,编号表!$C:$C,0))*1000+F3688</f>
        <v>11958068</v>
      </c>
      <c r="C3688" s="14" t="s">
        <v>7111</v>
      </c>
      <c r="D3688" s="14" t="s">
        <v>333</v>
      </c>
      <c r="E3688" s="14" t="s">
        <v>1231</v>
      </c>
      <c r="F3688" s="14">
        <v>68</v>
      </c>
      <c r="G3688" s="14">
        <v>60</v>
      </c>
      <c r="H3688" s="14" t="s">
        <v>1400</v>
      </c>
      <c r="I3688" s="14" t="s">
        <v>75</v>
      </c>
      <c r="J3688" s="14" t="s">
        <v>201</v>
      </c>
      <c r="K3688" s="14">
        <v>1</v>
      </c>
      <c r="L3688" s="14" t="s">
        <v>1400</v>
      </c>
      <c r="N3688" s="14">
        <v>0</v>
      </c>
      <c r="O3688" s="14" t="b">
        <v>1</v>
      </c>
      <c r="Q3688" s="14" t="b">
        <v>0</v>
      </c>
      <c r="R3688" s="14">
        <v>1</v>
      </c>
      <c r="S3688" s="14" t="s">
        <v>77</v>
      </c>
      <c r="T3688" s="14">
        <v>999</v>
      </c>
      <c r="U3688" s="14" t="s">
        <v>1401</v>
      </c>
      <c r="V3688" s="14">
        <v>31958068</v>
      </c>
      <c r="X3688" s="14" t="s">
        <v>7116</v>
      </c>
      <c r="Y3688" s="14" t="s">
        <v>215</v>
      </c>
      <c r="Z3688" s="14">
        <v>22451</v>
      </c>
      <c r="AA3688" s="14" t="s">
        <v>7117</v>
      </c>
      <c r="AB3688" s="14">
        <v>40001</v>
      </c>
      <c r="AE3688" s="14" t="s">
        <v>1400</v>
      </c>
      <c r="AF3688" s="14" t="s">
        <v>1400</v>
      </c>
      <c r="AG3688" s="14" t="s">
        <v>1231</v>
      </c>
    </row>
    <row r="3689" spans="2:33">
      <c r="B3689" s="14">
        <f>10000000+INDEX(编号表!$B:$B,MATCH(H3689,编号表!$A:$A,0))*100000+INDEX(编号表!$F:$F,MATCH(D3689,编号表!$E:$E,0))*10000+INDEX(编号表!$D:$D,MATCH(AG3689,编号表!$C:$C,0))*1000+F3689</f>
        <v>11938067</v>
      </c>
      <c r="C3689" s="14" t="s">
        <v>7118</v>
      </c>
      <c r="D3689" s="14" t="s">
        <v>276</v>
      </c>
      <c r="E3689" s="14" t="s">
        <v>1231</v>
      </c>
      <c r="F3689" s="14">
        <v>67</v>
      </c>
      <c r="G3689" s="14">
        <v>60</v>
      </c>
      <c r="H3689" s="14" t="s">
        <v>1400</v>
      </c>
      <c r="I3689" s="14" t="s">
        <v>75</v>
      </c>
      <c r="J3689" s="14" t="s">
        <v>201</v>
      </c>
      <c r="K3689" s="14">
        <v>1</v>
      </c>
      <c r="L3689" s="14" t="s">
        <v>1400</v>
      </c>
      <c r="N3689" s="14">
        <v>0</v>
      </c>
      <c r="O3689" s="14" t="b">
        <v>1</v>
      </c>
      <c r="Q3689" s="14" t="b">
        <v>0</v>
      </c>
      <c r="R3689" s="14">
        <v>1</v>
      </c>
      <c r="S3689" s="14" t="s">
        <v>77</v>
      </c>
      <c r="T3689" s="14">
        <v>999</v>
      </c>
      <c r="U3689" s="14" t="s">
        <v>1401</v>
      </c>
      <c r="V3689" s="14">
        <v>31938067</v>
      </c>
      <c r="X3689" s="14" t="s">
        <v>7119</v>
      </c>
      <c r="Y3689" s="14" t="s">
        <v>215</v>
      </c>
      <c r="Z3689" s="14">
        <v>22452</v>
      </c>
      <c r="AA3689" s="14" t="s">
        <v>7120</v>
      </c>
      <c r="AB3689" s="14">
        <v>40001</v>
      </c>
      <c r="AE3689" s="14" t="s">
        <v>1400</v>
      </c>
      <c r="AF3689" s="14" t="s">
        <v>1400</v>
      </c>
      <c r="AG3689" s="14" t="s">
        <v>1231</v>
      </c>
    </row>
    <row r="3690" spans="2:33">
      <c r="B3690" s="14">
        <f>10000000+INDEX(编号表!$B:$B,MATCH(H3690,编号表!$A:$A,0))*100000+INDEX(编号表!$F:$F,MATCH(D3690,编号表!$E:$E,0))*10000+INDEX(编号表!$D:$D,MATCH(AG3690,编号表!$C:$C,0))*1000+F3690</f>
        <v>11948068</v>
      </c>
      <c r="C3690" s="14" t="s">
        <v>7118</v>
      </c>
      <c r="D3690" s="14" t="s">
        <v>104</v>
      </c>
      <c r="E3690" s="14" t="s">
        <v>1231</v>
      </c>
      <c r="F3690" s="14">
        <v>68</v>
      </c>
      <c r="G3690" s="14">
        <v>60</v>
      </c>
      <c r="H3690" s="14" t="s">
        <v>1400</v>
      </c>
      <c r="I3690" s="14" t="s">
        <v>75</v>
      </c>
      <c r="J3690" s="14" t="s">
        <v>201</v>
      </c>
      <c r="K3690" s="14">
        <v>1</v>
      </c>
      <c r="L3690" s="14" t="s">
        <v>1400</v>
      </c>
      <c r="N3690" s="14">
        <v>0</v>
      </c>
      <c r="O3690" s="14" t="b">
        <v>1</v>
      </c>
      <c r="Q3690" s="14" t="b">
        <v>0</v>
      </c>
      <c r="R3690" s="14">
        <v>1</v>
      </c>
      <c r="S3690" s="14" t="s">
        <v>77</v>
      </c>
      <c r="T3690" s="14">
        <v>999</v>
      </c>
      <c r="U3690" s="14" t="s">
        <v>1401</v>
      </c>
      <c r="V3690" s="14">
        <v>31948068</v>
      </c>
      <c r="X3690" s="14" t="s">
        <v>7121</v>
      </c>
      <c r="Y3690" s="14" t="s">
        <v>215</v>
      </c>
      <c r="Z3690" s="14">
        <v>22453</v>
      </c>
      <c r="AA3690" s="14" t="s">
        <v>7122</v>
      </c>
      <c r="AB3690" s="14">
        <v>40001</v>
      </c>
      <c r="AE3690" s="14" t="s">
        <v>1400</v>
      </c>
      <c r="AF3690" s="14" t="s">
        <v>1400</v>
      </c>
      <c r="AG3690" s="14" t="s">
        <v>1231</v>
      </c>
    </row>
    <row r="3691" spans="2:33">
      <c r="B3691" s="14">
        <f>10000000+INDEX(编号表!$B:$B,MATCH(H3691,编号表!$A:$A,0))*100000+INDEX(编号表!$F:$F,MATCH(D3691,编号表!$E:$E,0))*10000+INDEX(编号表!$D:$D,MATCH(AG3691,编号表!$C:$C,0))*1000+F3691</f>
        <v>11958069</v>
      </c>
      <c r="C3691" s="14" t="s">
        <v>7118</v>
      </c>
      <c r="D3691" s="14" t="s">
        <v>333</v>
      </c>
      <c r="E3691" s="14" t="s">
        <v>1231</v>
      </c>
      <c r="F3691" s="14">
        <v>69</v>
      </c>
      <c r="G3691" s="14">
        <v>60</v>
      </c>
      <c r="H3691" s="14" t="s">
        <v>1400</v>
      </c>
      <c r="I3691" s="14" t="s">
        <v>75</v>
      </c>
      <c r="J3691" s="14" t="s">
        <v>201</v>
      </c>
      <c r="K3691" s="14">
        <v>1</v>
      </c>
      <c r="L3691" s="14" t="s">
        <v>1400</v>
      </c>
      <c r="N3691" s="14">
        <v>0</v>
      </c>
      <c r="O3691" s="14" t="b">
        <v>1</v>
      </c>
      <c r="Q3691" s="14" t="b">
        <v>0</v>
      </c>
      <c r="R3691" s="14">
        <v>1</v>
      </c>
      <c r="S3691" s="14" t="s">
        <v>77</v>
      </c>
      <c r="T3691" s="14">
        <v>999</v>
      </c>
      <c r="U3691" s="14" t="s">
        <v>1401</v>
      </c>
      <c r="V3691" s="14">
        <v>31958069</v>
      </c>
      <c r="X3691" s="14" t="s">
        <v>7123</v>
      </c>
      <c r="Y3691" s="14" t="s">
        <v>215</v>
      </c>
      <c r="Z3691" s="14">
        <v>22454</v>
      </c>
      <c r="AA3691" s="14" t="s">
        <v>7124</v>
      </c>
      <c r="AB3691" s="14">
        <v>40001</v>
      </c>
      <c r="AE3691" s="14" t="s">
        <v>1400</v>
      </c>
      <c r="AF3691" s="14" t="s">
        <v>1400</v>
      </c>
      <c r="AG3691" s="14" t="s">
        <v>1231</v>
      </c>
    </row>
    <row r="3692" spans="2:33">
      <c r="B3692" s="14">
        <f>10000000+INDEX(编号表!$B:$B,MATCH(H3692,编号表!$A:$A,0))*100000+INDEX(编号表!$F:$F,MATCH(D3692,编号表!$E:$E,0))*10000+INDEX(编号表!$D:$D,MATCH(AG3692,编号表!$C:$C,0))*1000+F3692</f>
        <v>11938068</v>
      </c>
      <c r="C3692" s="14" t="s">
        <v>7125</v>
      </c>
      <c r="D3692" s="14" t="s">
        <v>276</v>
      </c>
      <c r="E3692" s="14" t="s">
        <v>1231</v>
      </c>
      <c r="F3692" s="14">
        <v>68</v>
      </c>
      <c r="G3692" s="14">
        <v>60</v>
      </c>
      <c r="H3692" s="14" t="s">
        <v>1400</v>
      </c>
      <c r="I3692" s="14" t="s">
        <v>75</v>
      </c>
      <c r="J3692" s="14" t="s">
        <v>201</v>
      </c>
      <c r="K3692" s="14">
        <v>1</v>
      </c>
      <c r="L3692" s="14" t="s">
        <v>1400</v>
      </c>
      <c r="N3692" s="14">
        <v>0</v>
      </c>
      <c r="O3692" s="14" t="b">
        <v>1</v>
      </c>
      <c r="Q3692" s="14" t="b">
        <v>0</v>
      </c>
      <c r="R3692" s="14">
        <v>1</v>
      </c>
      <c r="S3692" s="14" t="s">
        <v>77</v>
      </c>
      <c r="T3692" s="14">
        <v>999</v>
      </c>
      <c r="U3692" s="14" t="s">
        <v>1401</v>
      </c>
      <c r="V3692" s="14">
        <v>31938068</v>
      </c>
      <c r="X3692" s="14" t="s">
        <v>7126</v>
      </c>
      <c r="Y3692" s="14" t="s">
        <v>215</v>
      </c>
      <c r="Z3692" s="14">
        <v>22455</v>
      </c>
      <c r="AA3692" s="14" t="s">
        <v>7127</v>
      </c>
      <c r="AB3692" s="14">
        <v>40001</v>
      </c>
      <c r="AE3692" s="14" t="s">
        <v>1400</v>
      </c>
      <c r="AF3692" s="14" t="s">
        <v>1400</v>
      </c>
      <c r="AG3692" s="14" t="s">
        <v>1231</v>
      </c>
    </row>
    <row r="3693" spans="2:33">
      <c r="B3693" s="14">
        <f>10000000+INDEX(编号表!$B:$B,MATCH(H3693,编号表!$A:$A,0))*100000+INDEX(编号表!$F:$F,MATCH(D3693,编号表!$E:$E,0))*10000+INDEX(编号表!$D:$D,MATCH(AG3693,编号表!$C:$C,0))*1000+F3693</f>
        <v>11948069</v>
      </c>
      <c r="C3693" s="14" t="s">
        <v>7125</v>
      </c>
      <c r="D3693" s="14" t="s">
        <v>104</v>
      </c>
      <c r="E3693" s="14" t="s">
        <v>1231</v>
      </c>
      <c r="F3693" s="14">
        <v>69</v>
      </c>
      <c r="G3693" s="14">
        <v>60</v>
      </c>
      <c r="H3693" s="14" t="s">
        <v>1400</v>
      </c>
      <c r="I3693" s="14" t="s">
        <v>75</v>
      </c>
      <c r="J3693" s="14" t="s">
        <v>201</v>
      </c>
      <c r="K3693" s="14">
        <v>1</v>
      </c>
      <c r="L3693" s="14" t="s">
        <v>1400</v>
      </c>
      <c r="N3693" s="14">
        <v>0</v>
      </c>
      <c r="O3693" s="14" t="b">
        <v>1</v>
      </c>
      <c r="Q3693" s="14" t="b">
        <v>0</v>
      </c>
      <c r="R3693" s="14">
        <v>1</v>
      </c>
      <c r="S3693" s="14" t="s">
        <v>77</v>
      </c>
      <c r="T3693" s="14">
        <v>999</v>
      </c>
      <c r="U3693" s="14" t="s">
        <v>1401</v>
      </c>
      <c r="V3693" s="14">
        <v>31948069</v>
      </c>
      <c r="X3693" s="14" t="s">
        <v>7128</v>
      </c>
      <c r="Y3693" s="14" t="s">
        <v>215</v>
      </c>
      <c r="Z3693" s="14">
        <v>22456</v>
      </c>
      <c r="AA3693" s="14" t="s">
        <v>7129</v>
      </c>
      <c r="AB3693" s="14">
        <v>40001</v>
      </c>
      <c r="AE3693" s="14" t="s">
        <v>1400</v>
      </c>
      <c r="AF3693" s="14" t="s">
        <v>1400</v>
      </c>
      <c r="AG3693" s="14" t="s">
        <v>1231</v>
      </c>
    </row>
    <row r="3694" spans="2:33">
      <c r="B3694" s="14">
        <f>10000000+INDEX(编号表!$B:$B,MATCH(H3694,编号表!$A:$A,0))*100000+INDEX(编号表!$F:$F,MATCH(D3694,编号表!$E:$E,0))*10000+INDEX(编号表!$D:$D,MATCH(AG3694,编号表!$C:$C,0))*1000+F3694</f>
        <v>11958070</v>
      </c>
      <c r="C3694" s="14" t="s">
        <v>7125</v>
      </c>
      <c r="D3694" s="14" t="s">
        <v>333</v>
      </c>
      <c r="E3694" s="14" t="s">
        <v>1231</v>
      </c>
      <c r="F3694" s="14">
        <v>70</v>
      </c>
      <c r="G3694" s="14">
        <v>60</v>
      </c>
      <c r="H3694" s="14" t="s">
        <v>1400</v>
      </c>
      <c r="I3694" s="14" t="s">
        <v>75</v>
      </c>
      <c r="J3694" s="14" t="s">
        <v>201</v>
      </c>
      <c r="K3694" s="14">
        <v>1</v>
      </c>
      <c r="L3694" s="14" t="s">
        <v>1400</v>
      </c>
      <c r="N3694" s="14">
        <v>0</v>
      </c>
      <c r="O3694" s="14" t="b">
        <v>1</v>
      </c>
      <c r="Q3694" s="14" t="b">
        <v>0</v>
      </c>
      <c r="R3694" s="14">
        <v>1</v>
      </c>
      <c r="S3694" s="14" t="s">
        <v>77</v>
      </c>
      <c r="T3694" s="14">
        <v>999</v>
      </c>
      <c r="U3694" s="14" t="s">
        <v>1401</v>
      </c>
      <c r="V3694" s="14">
        <v>31958070</v>
      </c>
      <c r="X3694" s="14" t="s">
        <v>7130</v>
      </c>
      <c r="Y3694" s="14" t="s">
        <v>215</v>
      </c>
      <c r="Z3694" s="14">
        <v>22457</v>
      </c>
      <c r="AA3694" s="14" t="s">
        <v>7131</v>
      </c>
      <c r="AB3694" s="14">
        <v>40001</v>
      </c>
      <c r="AE3694" s="14" t="s">
        <v>1400</v>
      </c>
      <c r="AF3694" s="14" t="s">
        <v>1400</v>
      </c>
      <c r="AG3694" s="14" t="s">
        <v>1231</v>
      </c>
    </row>
    <row r="3695" spans="2:33">
      <c r="B3695" s="14">
        <f>10000000+INDEX(编号表!$B:$B,MATCH(H3695,编号表!$A:$A,0))*100000+INDEX(编号表!$F:$F,MATCH(D3695,编号表!$E:$E,0))*10000+INDEX(编号表!$D:$D,MATCH(AG3695,编号表!$C:$C,0))*1000+F3695</f>
        <v>11938069</v>
      </c>
      <c r="C3695" s="14" t="s">
        <v>7132</v>
      </c>
      <c r="D3695" s="14" t="s">
        <v>276</v>
      </c>
      <c r="E3695" s="14" t="s">
        <v>1231</v>
      </c>
      <c r="F3695" s="14">
        <v>69</v>
      </c>
      <c r="G3695" s="14">
        <v>60</v>
      </c>
      <c r="H3695" s="14" t="s">
        <v>1400</v>
      </c>
      <c r="I3695" s="14" t="s">
        <v>75</v>
      </c>
      <c r="J3695" s="14" t="s">
        <v>201</v>
      </c>
      <c r="K3695" s="14">
        <v>1</v>
      </c>
      <c r="L3695" s="14" t="s">
        <v>1400</v>
      </c>
      <c r="N3695" s="14">
        <v>0</v>
      </c>
      <c r="O3695" s="14" t="b">
        <v>1</v>
      </c>
      <c r="Q3695" s="14" t="b">
        <v>0</v>
      </c>
      <c r="R3695" s="14">
        <v>1</v>
      </c>
      <c r="S3695" s="14" t="s">
        <v>77</v>
      </c>
      <c r="T3695" s="14">
        <v>999</v>
      </c>
      <c r="U3695" s="14" t="s">
        <v>1401</v>
      </c>
      <c r="V3695" s="14">
        <v>31938069</v>
      </c>
      <c r="X3695" s="14" t="s">
        <v>7133</v>
      </c>
      <c r="Y3695" s="14" t="s">
        <v>215</v>
      </c>
      <c r="Z3695" s="14">
        <v>22458</v>
      </c>
      <c r="AA3695" s="14" t="s">
        <v>7134</v>
      </c>
      <c r="AB3695" s="14">
        <v>40001</v>
      </c>
      <c r="AE3695" s="14" t="s">
        <v>1400</v>
      </c>
      <c r="AF3695" s="14" t="s">
        <v>1400</v>
      </c>
      <c r="AG3695" s="14" t="s">
        <v>1231</v>
      </c>
    </row>
    <row r="3696" spans="2:33">
      <c r="B3696" s="14">
        <f>10000000+INDEX(编号表!$B:$B,MATCH(H3696,编号表!$A:$A,0))*100000+INDEX(编号表!$F:$F,MATCH(D3696,编号表!$E:$E,0))*10000+INDEX(编号表!$D:$D,MATCH(AG3696,编号表!$C:$C,0))*1000+F3696</f>
        <v>11948070</v>
      </c>
      <c r="C3696" s="14" t="s">
        <v>7132</v>
      </c>
      <c r="D3696" s="14" t="s">
        <v>104</v>
      </c>
      <c r="E3696" s="14" t="s">
        <v>1231</v>
      </c>
      <c r="F3696" s="14">
        <v>70</v>
      </c>
      <c r="G3696" s="14">
        <v>60</v>
      </c>
      <c r="H3696" s="14" t="s">
        <v>1400</v>
      </c>
      <c r="I3696" s="14" t="s">
        <v>75</v>
      </c>
      <c r="J3696" s="14" t="s">
        <v>201</v>
      </c>
      <c r="K3696" s="14">
        <v>1</v>
      </c>
      <c r="L3696" s="14" t="s">
        <v>1400</v>
      </c>
      <c r="N3696" s="14">
        <v>0</v>
      </c>
      <c r="O3696" s="14" t="b">
        <v>1</v>
      </c>
      <c r="Q3696" s="14" t="b">
        <v>0</v>
      </c>
      <c r="R3696" s="14">
        <v>1</v>
      </c>
      <c r="S3696" s="14" t="s">
        <v>77</v>
      </c>
      <c r="T3696" s="14">
        <v>999</v>
      </c>
      <c r="U3696" s="14" t="s">
        <v>1401</v>
      </c>
      <c r="V3696" s="14">
        <v>31948070</v>
      </c>
      <c r="X3696" s="14" t="s">
        <v>7135</v>
      </c>
      <c r="Y3696" s="14" t="s">
        <v>215</v>
      </c>
      <c r="Z3696" s="14">
        <v>22459</v>
      </c>
      <c r="AA3696" s="14" t="s">
        <v>7136</v>
      </c>
      <c r="AB3696" s="14">
        <v>40001</v>
      </c>
      <c r="AE3696" s="14" t="s">
        <v>1400</v>
      </c>
      <c r="AF3696" s="14" t="s">
        <v>1400</v>
      </c>
      <c r="AG3696" s="14" t="s">
        <v>1231</v>
      </c>
    </row>
    <row r="3697" spans="2:33">
      <c r="B3697" s="14">
        <f>10000000+INDEX(编号表!$B:$B,MATCH(H3697,编号表!$A:$A,0))*100000+INDEX(编号表!$F:$F,MATCH(D3697,编号表!$E:$E,0))*10000+INDEX(编号表!$D:$D,MATCH(AG3697,编号表!$C:$C,0))*1000+F3697</f>
        <v>11958071</v>
      </c>
      <c r="C3697" s="14" t="s">
        <v>7132</v>
      </c>
      <c r="D3697" s="14" t="s">
        <v>333</v>
      </c>
      <c r="E3697" s="14" t="s">
        <v>1231</v>
      </c>
      <c r="F3697" s="14">
        <v>71</v>
      </c>
      <c r="G3697" s="14">
        <v>60</v>
      </c>
      <c r="H3697" s="14" t="s">
        <v>1400</v>
      </c>
      <c r="I3697" s="14" t="s">
        <v>75</v>
      </c>
      <c r="J3697" s="14" t="s">
        <v>201</v>
      </c>
      <c r="K3697" s="14">
        <v>1</v>
      </c>
      <c r="L3697" s="14" t="s">
        <v>1400</v>
      </c>
      <c r="N3697" s="14">
        <v>0</v>
      </c>
      <c r="O3697" s="14" t="b">
        <v>1</v>
      </c>
      <c r="Q3697" s="14" t="b">
        <v>0</v>
      </c>
      <c r="R3697" s="14">
        <v>1</v>
      </c>
      <c r="S3697" s="14" t="s">
        <v>77</v>
      </c>
      <c r="T3697" s="14">
        <v>999</v>
      </c>
      <c r="U3697" s="14" t="s">
        <v>1401</v>
      </c>
      <c r="V3697" s="14">
        <v>31958071</v>
      </c>
      <c r="X3697" s="14" t="s">
        <v>7137</v>
      </c>
      <c r="Y3697" s="14" t="s">
        <v>215</v>
      </c>
      <c r="Z3697" s="14">
        <v>22460</v>
      </c>
      <c r="AA3697" s="14" t="s">
        <v>7138</v>
      </c>
      <c r="AB3697" s="14">
        <v>40001</v>
      </c>
      <c r="AE3697" s="14" t="s">
        <v>1400</v>
      </c>
      <c r="AF3697" s="14" t="s">
        <v>1400</v>
      </c>
      <c r="AG3697" s="14" t="s">
        <v>1231</v>
      </c>
    </row>
    <row r="3698" spans="2:33">
      <c r="B3698" s="14">
        <f>10000000+INDEX(编号表!$B:$B,MATCH(H3698,编号表!$A:$A,0))*100000+INDEX(编号表!$F:$F,MATCH(D3698,编号表!$E:$E,0))*10000+INDEX(编号表!$D:$D,MATCH(AG3698,编号表!$C:$C,0))*1000+F3698</f>
        <v>11938070</v>
      </c>
      <c r="C3698" s="14" t="s">
        <v>7139</v>
      </c>
      <c r="D3698" s="14" t="s">
        <v>276</v>
      </c>
      <c r="E3698" s="14" t="s">
        <v>1231</v>
      </c>
      <c r="F3698" s="14">
        <v>70</v>
      </c>
      <c r="G3698" s="14">
        <v>60</v>
      </c>
      <c r="H3698" s="14" t="s">
        <v>1400</v>
      </c>
      <c r="I3698" s="14" t="s">
        <v>75</v>
      </c>
      <c r="J3698" s="14" t="s">
        <v>201</v>
      </c>
      <c r="K3698" s="14">
        <v>1</v>
      </c>
      <c r="L3698" s="14" t="s">
        <v>1400</v>
      </c>
      <c r="N3698" s="14">
        <v>0</v>
      </c>
      <c r="O3698" s="14" t="b">
        <v>1</v>
      </c>
      <c r="Q3698" s="14" t="b">
        <v>0</v>
      </c>
      <c r="R3698" s="14">
        <v>1</v>
      </c>
      <c r="S3698" s="14" t="s">
        <v>77</v>
      </c>
      <c r="T3698" s="14">
        <v>999</v>
      </c>
      <c r="U3698" s="14" t="s">
        <v>1401</v>
      </c>
      <c r="V3698" s="14">
        <v>31938070</v>
      </c>
      <c r="X3698" s="14" t="s">
        <v>7140</v>
      </c>
      <c r="Y3698" s="14" t="s">
        <v>215</v>
      </c>
      <c r="Z3698" s="14">
        <v>22461</v>
      </c>
      <c r="AA3698" s="14" t="s">
        <v>7141</v>
      </c>
      <c r="AB3698" s="14">
        <v>40001</v>
      </c>
      <c r="AE3698" s="14" t="s">
        <v>1400</v>
      </c>
      <c r="AF3698" s="14" t="s">
        <v>1400</v>
      </c>
      <c r="AG3698" s="14" t="s">
        <v>1231</v>
      </c>
    </row>
    <row r="3699" spans="2:33">
      <c r="B3699" s="14">
        <f>10000000+INDEX(编号表!$B:$B,MATCH(H3699,编号表!$A:$A,0))*100000+INDEX(编号表!$F:$F,MATCH(D3699,编号表!$E:$E,0))*10000+INDEX(编号表!$D:$D,MATCH(AG3699,编号表!$C:$C,0))*1000+F3699</f>
        <v>11948071</v>
      </c>
      <c r="C3699" s="14" t="s">
        <v>7139</v>
      </c>
      <c r="D3699" s="14" t="s">
        <v>104</v>
      </c>
      <c r="E3699" s="14" t="s">
        <v>1231</v>
      </c>
      <c r="F3699" s="14">
        <v>71</v>
      </c>
      <c r="G3699" s="14">
        <v>60</v>
      </c>
      <c r="H3699" s="14" t="s">
        <v>1400</v>
      </c>
      <c r="I3699" s="14" t="s">
        <v>75</v>
      </c>
      <c r="J3699" s="14" t="s">
        <v>201</v>
      </c>
      <c r="K3699" s="14">
        <v>1</v>
      </c>
      <c r="L3699" s="14" t="s">
        <v>1400</v>
      </c>
      <c r="N3699" s="14">
        <v>0</v>
      </c>
      <c r="O3699" s="14" t="b">
        <v>1</v>
      </c>
      <c r="Q3699" s="14" t="b">
        <v>0</v>
      </c>
      <c r="R3699" s="14">
        <v>1</v>
      </c>
      <c r="S3699" s="14" t="s">
        <v>77</v>
      </c>
      <c r="T3699" s="14">
        <v>999</v>
      </c>
      <c r="U3699" s="14" t="s">
        <v>1401</v>
      </c>
      <c r="V3699" s="14">
        <v>31948071</v>
      </c>
      <c r="X3699" s="14" t="s">
        <v>7142</v>
      </c>
      <c r="Y3699" s="14" t="s">
        <v>215</v>
      </c>
      <c r="Z3699" s="14">
        <v>22462</v>
      </c>
      <c r="AA3699" s="14" t="s">
        <v>7143</v>
      </c>
      <c r="AB3699" s="14">
        <v>40001</v>
      </c>
      <c r="AE3699" s="14" t="s">
        <v>1400</v>
      </c>
      <c r="AF3699" s="14" t="s">
        <v>1400</v>
      </c>
      <c r="AG3699" s="14" t="s">
        <v>1231</v>
      </c>
    </row>
    <row r="3700" spans="2:33">
      <c r="B3700" s="14">
        <f>10000000+INDEX(编号表!$B:$B,MATCH(H3700,编号表!$A:$A,0))*100000+INDEX(编号表!$F:$F,MATCH(D3700,编号表!$E:$E,0))*10000+INDEX(编号表!$D:$D,MATCH(AG3700,编号表!$C:$C,0))*1000+F3700</f>
        <v>11958072</v>
      </c>
      <c r="C3700" s="14" t="s">
        <v>7139</v>
      </c>
      <c r="D3700" s="14" t="s">
        <v>333</v>
      </c>
      <c r="E3700" s="14" t="s">
        <v>1231</v>
      </c>
      <c r="F3700" s="14">
        <v>72</v>
      </c>
      <c r="G3700" s="14">
        <v>60</v>
      </c>
      <c r="H3700" s="14" t="s">
        <v>1400</v>
      </c>
      <c r="I3700" s="14" t="s">
        <v>75</v>
      </c>
      <c r="J3700" s="14" t="s">
        <v>201</v>
      </c>
      <c r="K3700" s="14">
        <v>1</v>
      </c>
      <c r="L3700" s="14" t="s">
        <v>1400</v>
      </c>
      <c r="N3700" s="14">
        <v>0</v>
      </c>
      <c r="O3700" s="14" t="b">
        <v>1</v>
      </c>
      <c r="Q3700" s="14" t="b">
        <v>0</v>
      </c>
      <c r="R3700" s="14">
        <v>1</v>
      </c>
      <c r="S3700" s="14" t="s">
        <v>77</v>
      </c>
      <c r="T3700" s="14">
        <v>999</v>
      </c>
      <c r="U3700" s="14" t="s">
        <v>1401</v>
      </c>
      <c r="V3700" s="14">
        <v>31958072</v>
      </c>
      <c r="X3700" s="14" t="s">
        <v>7144</v>
      </c>
      <c r="Y3700" s="14" t="s">
        <v>215</v>
      </c>
      <c r="Z3700" s="14">
        <v>22463</v>
      </c>
      <c r="AA3700" s="14" t="s">
        <v>7145</v>
      </c>
      <c r="AB3700" s="14">
        <v>40001</v>
      </c>
      <c r="AE3700" s="14" t="s">
        <v>1400</v>
      </c>
      <c r="AF3700" s="14" t="s">
        <v>1400</v>
      </c>
      <c r="AG3700" s="14" t="s">
        <v>1231</v>
      </c>
    </row>
    <row r="3701" spans="2:33">
      <c r="B3701" s="14">
        <f>10000000+INDEX(编号表!$B:$B,MATCH(H3701,编号表!$A:$A,0))*100000+INDEX(编号表!$F:$F,MATCH(D3701,编号表!$E:$E,0))*10000+INDEX(编号表!$D:$D,MATCH(AG3701,编号表!$C:$C,0))*1000+F3701</f>
        <v>11938071</v>
      </c>
      <c r="C3701" s="14" t="s">
        <v>7146</v>
      </c>
      <c r="D3701" s="14" t="s">
        <v>276</v>
      </c>
      <c r="E3701" s="14" t="s">
        <v>1231</v>
      </c>
      <c r="F3701" s="14">
        <v>71</v>
      </c>
      <c r="G3701" s="14">
        <v>60</v>
      </c>
      <c r="H3701" s="14" t="s">
        <v>1400</v>
      </c>
      <c r="I3701" s="14" t="s">
        <v>75</v>
      </c>
      <c r="J3701" s="14" t="s">
        <v>201</v>
      </c>
      <c r="K3701" s="14">
        <v>1</v>
      </c>
      <c r="L3701" s="14" t="s">
        <v>1400</v>
      </c>
      <c r="N3701" s="14">
        <v>0</v>
      </c>
      <c r="O3701" s="14" t="b">
        <v>1</v>
      </c>
      <c r="Q3701" s="14" t="b">
        <v>0</v>
      </c>
      <c r="R3701" s="14">
        <v>1</v>
      </c>
      <c r="S3701" s="14" t="s">
        <v>77</v>
      </c>
      <c r="T3701" s="14">
        <v>999</v>
      </c>
      <c r="U3701" s="14" t="s">
        <v>1401</v>
      </c>
      <c r="V3701" s="14">
        <v>31938071</v>
      </c>
      <c r="X3701" s="14" t="s">
        <v>7147</v>
      </c>
      <c r="Y3701" s="14" t="s">
        <v>215</v>
      </c>
      <c r="Z3701" s="14">
        <v>22464</v>
      </c>
      <c r="AA3701" s="14" t="s">
        <v>7148</v>
      </c>
      <c r="AB3701" s="14">
        <v>40001</v>
      </c>
      <c r="AE3701" s="14" t="s">
        <v>1400</v>
      </c>
      <c r="AF3701" s="14" t="s">
        <v>1400</v>
      </c>
      <c r="AG3701" s="14" t="s">
        <v>1231</v>
      </c>
    </row>
    <row r="3702" spans="2:33">
      <c r="B3702" s="14">
        <f>10000000+INDEX(编号表!$B:$B,MATCH(H3702,编号表!$A:$A,0))*100000+INDEX(编号表!$F:$F,MATCH(D3702,编号表!$E:$E,0))*10000+INDEX(编号表!$D:$D,MATCH(AG3702,编号表!$C:$C,0))*1000+F3702</f>
        <v>11948072</v>
      </c>
      <c r="C3702" s="14" t="s">
        <v>7146</v>
      </c>
      <c r="D3702" s="14" t="s">
        <v>104</v>
      </c>
      <c r="E3702" s="14" t="s">
        <v>1231</v>
      </c>
      <c r="F3702" s="14">
        <v>72</v>
      </c>
      <c r="G3702" s="14">
        <v>60</v>
      </c>
      <c r="H3702" s="14" t="s">
        <v>1400</v>
      </c>
      <c r="I3702" s="14" t="s">
        <v>75</v>
      </c>
      <c r="J3702" s="14" t="s">
        <v>201</v>
      </c>
      <c r="K3702" s="14">
        <v>1</v>
      </c>
      <c r="L3702" s="14" t="s">
        <v>1400</v>
      </c>
      <c r="N3702" s="14">
        <v>0</v>
      </c>
      <c r="O3702" s="14" t="b">
        <v>1</v>
      </c>
      <c r="Q3702" s="14" t="b">
        <v>0</v>
      </c>
      <c r="R3702" s="14">
        <v>1</v>
      </c>
      <c r="S3702" s="14" t="s">
        <v>77</v>
      </c>
      <c r="T3702" s="14">
        <v>999</v>
      </c>
      <c r="U3702" s="14" t="s">
        <v>1401</v>
      </c>
      <c r="V3702" s="14">
        <v>31948072</v>
      </c>
      <c r="X3702" s="14" t="s">
        <v>7149</v>
      </c>
      <c r="Y3702" s="14" t="s">
        <v>215</v>
      </c>
      <c r="Z3702" s="14">
        <v>22465</v>
      </c>
      <c r="AA3702" s="14" t="s">
        <v>7150</v>
      </c>
      <c r="AB3702" s="14">
        <v>40001</v>
      </c>
      <c r="AE3702" s="14" t="s">
        <v>1400</v>
      </c>
      <c r="AF3702" s="14" t="s">
        <v>1400</v>
      </c>
      <c r="AG3702" s="14" t="s">
        <v>1231</v>
      </c>
    </row>
    <row r="3703" spans="2:33">
      <c r="B3703" s="14">
        <f>10000000+INDEX(编号表!$B:$B,MATCH(H3703,编号表!$A:$A,0))*100000+INDEX(编号表!$F:$F,MATCH(D3703,编号表!$E:$E,0))*10000+INDEX(编号表!$D:$D,MATCH(AG3703,编号表!$C:$C,0))*1000+F3703</f>
        <v>11958073</v>
      </c>
      <c r="C3703" s="14" t="s">
        <v>7146</v>
      </c>
      <c r="D3703" s="14" t="s">
        <v>333</v>
      </c>
      <c r="E3703" s="14" t="s">
        <v>1231</v>
      </c>
      <c r="F3703" s="14">
        <v>73</v>
      </c>
      <c r="G3703" s="14">
        <v>60</v>
      </c>
      <c r="H3703" s="14" t="s">
        <v>1400</v>
      </c>
      <c r="I3703" s="14" t="s">
        <v>75</v>
      </c>
      <c r="J3703" s="14" t="s">
        <v>201</v>
      </c>
      <c r="K3703" s="14">
        <v>1</v>
      </c>
      <c r="L3703" s="14" t="s">
        <v>1400</v>
      </c>
      <c r="N3703" s="14">
        <v>0</v>
      </c>
      <c r="O3703" s="14" t="b">
        <v>1</v>
      </c>
      <c r="Q3703" s="14" t="b">
        <v>0</v>
      </c>
      <c r="R3703" s="14">
        <v>1</v>
      </c>
      <c r="S3703" s="14" t="s">
        <v>77</v>
      </c>
      <c r="T3703" s="14">
        <v>999</v>
      </c>
      <c r="U3703" s="14" t="s">
        <v>1401</v>
      </c>
      <c r="V3703" s="14">
        <v>31958073</v>
      </c>
      <c r="X3703" s="14" t="s">
        <v>7151</v>
      </c>
      <c r="Y3703" s="14" t="s">
        <v>215</v>
      </c>
      <c r="Z3703" s="14">
        <v>22466</v>
      </c>
      <c r="AA3703" s="14" t="s">
        <v>7152</v>
      </c>
      <c r="AB3703" s="14">
        <v>40001</v>
      </c>
      <c r="AE3703" s="14" t="s">
        <v>1400</v>
      </c>
      <c r="AF3703" s="14" t="s">
        <v>1400</v>
      </c>
      <c r="AG3703" s="14" t="s">
        <v>1231</v>
      </c>
    </row>
    <row r="3704" spans="2:33">
      <c r="B3704" s="14">
        <f>10000000+INDEX(编号表!$B:$B,MATCH(H3704,编号表!$A:$A,0))*100000+INDEX(编号表!$F:$F,MATCH(D3704,编号表!$E:$E,0))*10000+INDEX(编号表!$D:$D,MATCH(AG3704,编号表!$C:$C,0))*1000+F3704</f>
        <v>11938072</v>
      </c>
      <c r="C3704" s="14" t="s">
        <v>7153</v>
      </c>
      <c r="D3704" s="14" t="s">
        <v>276</v>
      </c>
      <c r="E3704" s="14" t="s">
        <v>1231</v>
      </c>
      <c r="F3704" s="14">
        <v>72</v>
      </c>
      <c r="G3704" s="14">
        <v>60</v>
      </c>
      <c r="H3704" s="14" t="s">
        <v>1400</v>
      </c>
      <c r="I3704" s="14" t="s">
        <v>75</v>
      </c>
      <c r="J3704" s="14" t="s">
        <v>201</v>
      </c>
      <c r="K3704" s="14">
        <v>1</v>
      </c>
      <c r="L3704" s="14" t="s">
        <v>1400</v>
      </c>
      <c r="N3704" s="14">
        <v>0</v>
      </c>
      <c r="O3704" s="14" t="b">
        <v>1</v>
      </c>
      <c r="Q3704" s="14" t="b">
        <v>0</v>
      </c>
      <c r="R3704" s="14">
        <v>1</v>
      </c>
      <c r="S3704" s="14" t="s">
        <v>77</v>
      </c>
      <c r="T3704" s="14">
        <v>999</v>
      </c>
      <c r="U3704" s="14" t="s">
        <v>1401</v>
      </c>
      <c r="V3704" s="14">
        <v>31938072</v>
      </c>
      <c r="X3704" s="14" t="s">
        <v>7154</v>
      </c>
      <c r="Y3704" s="14" t="s">
        <v>215</v>
      </c>
      <c r="Z3704" s="14">
        <v>22467</v>
      </c>
      <c r="AA3704" s="14" t="s">
        <v>7155</v>
      </c>
      <c r="AB3704" s="14">
        <v>40001</v>
      </c>
      <c r="AE3704" s="14" t="s">
        <v>1400</v>
      </c>
      <c r="AF3704" s="14" t="s">
        <v>1400</v>
      </c>
      <c r="AG3704" s="14" t="s">
        <v>1231</v>
      </c>
    </row>
    <row r="3705" spans="2:33">
      <c r="B3705" s="14">
        <f>10000000+INDEX(编号表!$B:$B,MATCH(H3705,编号表!$A:$A,0))*100000+INDEX(编号表!$F:$F,MATCH(D3705,编号表!$E:$E,0))*10000+INDEX(编号表!$D:$D,MATCH(AG3705,编号表!$C:$C,0))*1000+F3705</f>
        <v>11948073</v>
      </c>
      <c r="C3705" s="14" t="s">
        <v>7153</v>
      </c>
      <c r="D3705" s="14" t="s">
        <v>104</v>
      </c>
      <c r="E3705" s="14" t="s">
        <v>1231</v>
      </c>
      <c r="F3705" s="14">
        <v>73</v>
      </c>
      <c r="G3705" s="14">
        <v>60</v>
      </c>
      <c r="H3705" s="14" t="s">
        <v>1400</v>
      </c>
      <c r="I3705" s="14" t="s">
        <v>75</v>
      </c>
      <c r="J3705" s="14" t="s">
        <v>201</v>
      </c>
      <c r="K3705" s="14">
        <v>1</v>
      </c>
      <c r="L3705" s="14" t="s">
        <v>1400</v>
      </c>
      <c r="N3705" s="14">
        <v>0</v>
      </c>
      <c r="O3705" s="14" t="b">
        <v>1</v>
      </c>
      <c r="Q3705" s="14" t="b">
        <v>0</v>
      </c>
      <c r="R3705" s="14">
        <v>1</v>
      </c>
      <c r="S3705" s="14" t="s">
        <v>77</v>
      </c>
      <c r="T3705" s="14">
        <v>999</v>
      </c>
      <c r="U3705" s="14" t="s">
        <v>1401</v>
      </c>
      <c r="V3705" s="14">
        <v>31948073</v>
      </c>
      <c r="X3705" s="14" t="s">
        <v>7156</v>
      </c>
      <c r="Y3705" s="14" t="s">
        <v>215</v>
      </c>
      <c r="Z3705" s="14">
        <v>22468</v>
      </c>
      <c r="AA3705" s="14" t="s">
        <v>7157</v>
      </c>
      <c r="AB3705" s="14">
        <v>40001</v>
      </c>
      <c r="AE3705" s="14" t="s">
        <v>1400</v>
      </c>
      <c r="AF3705" s="14" t="s">
        <v>1400</v>
      </c>
      <c r="AG3705" s="14" t="s">
        <v>1231</v>
      </c>
    </row>
    <row r="3706" spans="2:33">
      <c r="B3706" s="14">
        <f>10000000+INDEX(编号表!$B:$B,MATCH(H3706,编号表!$A:$A,0))*100000+INDEX(编号表!$F:$F,MATCH(D3706,编号表!$E:$E,0))*10000+INDEX(编号表!$D:$D,MATCH(AG3706,编号表!$C:$C,0))*1000+F3706</f>
        <v>11958074</v>
      </c>
      <c r="C3706" s="14" t="s">
        <v>7153</v>
      </c>
      <c r="D3706" s="14" t="s">
        <v>333</v>
      </c>
      <c r="E3706" s="14" t="s">
        <v>1231</v>
      </c>
      <c r="F3706" s="14">
        <v>74</v>
      </c>
      <c r="G3706" s="14">
        <v>60</v>
      </c>
      <c r="H3706" s="14" t="s">
        <v>1400</v>
      </c>
      <c r="I3706" s="14" t="s">
        <v>75</v>
      </c>
      <c r="J3706" s="14" t="s">
        <v>201</v>
      </c>
      <c r="K3706" s="14">
        <v>1</v>
      </c>
      <c r="L3706" s="14" t="s">
        <v>1400</v>
      </c>
      <c r="N3706" s="14">
        <v>0</v>
      </c>
      <c r="O3706" s="14" t="b">
        <v>1</v>
      </c>
      <c r="Q3706" s="14" t="b">
        <v>0</v>
      </c>
      <c r="R3706" s="14">
        <v>1</v>
      </c>
      <c r="S3706" s="14" t="s">
        <v>77</v>
      </c>
      <c r="T3706" s="14">
        <v>999</v>
      </c>
      <c r="U3706" s="14" t="s">
        <v>1401</v>
      </c>
      <c r="V3706" s="14">
        <v>31958074</v>
      </c>
      <c r="X3706" s="14" t="s">
        <v>7158</v>
      </c>
      <c r="Y3706" s="14" t="s">
        <v>215</v>
      </c>
      <c r="Z3706" s="14">
        <v>22469</v>
      </c>
      <c r="AA3706" s="14" t="s">
        <v>7159</v>
      </c>
      <c r="AB3706" s="14">
        <v>40001</v>
      </c>
      <c r="AE3706" s="14" t="s">
        <v>1400</v>
      </c>
      <c r="AF3706" s="14" t="s">
        <v>1400</v>
      </c>
      <c r="AG3706" s="14" t="s">
        <v>1231</v>
      </c>
    </row>
    <row r="3707" spans="2:33">
      <c r="B3707" s="14">
        <f>10000000+INDEX(编号表!$B:$B,MATCH(H3707,编号表!$A:$A,0))*100000+INDEX(编号表!$F:$F,MATCH(D3707,编号表!$E:$E,0))*10000+INDEX(编号表!$D:$D,MATCH(AG3707,编号表!$C:$C,0))*1000+F3707</f>
        <v>11938073</v>
      </c>
      <c r="C3707" s="14" t="s">
        <v>7160</v>
      </c>
      <c r="D3707" s="14" t="s">
        <v>276</v>
      </c>
      <c r="E3707" s="14" t="s">
        <v>1231</v>
      </c>
      <c r="F3707" s="14">
        <v>73</v>
      </c>
      <c r="G3707" s="14">
        <v>60</v>
      </c>
      <c r="H3707" s="14" t="s">
        <v>1400</v>
      </c>
      <c r="I3707" s="14" t="s">
        <v>75</v>
      </c>
      <c r="J3707" s="14" t="s">
        <v>201</v>
      </c>
      <c r="K3707" s="14">
        <v>1</v>
      </c>
      <c r="L3707" s="14" t="s">
        <v>1400</v>
      </c>
      <c r="N3707" s="14">
        <v>0</v>
      </c>
      <c r="O3707" s="14" t="b">
        <v>1</v>
      </c>
      <c r="Q3707" s="14" t="b">
        <v>0</v>
      </c>
      <c r="R3707" s="14">
        <v>1</v>
      </c>
      <c r="S3707" s="14" t="s">
        <v>77</v>
      </c>
      <c r="T3707" s="14">
        <v>999</v>
      </c>
      <c r="U3707" s="14" t="s">
        <v>1401</v>
      </c>
      <c r="V3707" s="14">
        <v>31938073</v>
      </c>
      <c r="X3707" s="14" t="s">
        <v>7161</v>
      </c>
      <c r="Y3707" s="14" t="s">
        <v>215</v>
      </c>
      <c r="Z3707" s="14">
        <v>22470</v>
      </c>
      <c r="AA3707" s="14" t="s">
        <v>7162</v>
      </c>
      <c r="AB3707" s="14">
        <v>40001</v>
      </c>
      <c r="AE3707" s="14" t="s">
        <v>1400</v>
      </c>
      <c r="AF3707" s="14" t="s">
        <v>1400</v>
      </c>
      <c r="AG3707" s="14" t="s">
        <v>1231</v>
      </c>
    </row>
    <row r="3708" spans="2:33">
      <c r="B3708" s="14">
        <f>10000000+INDEX(编号表!$B:$B,MATCH(H3708,编号表!$A:$A,0))*100000+INDEX(编号表!$F:$F,MATCH(D3708,编号表!$E:$E,0))*10000+INDEX(编号表!$D:$D,MATCH(AG3708,编号表!$C:$C,0))*1000+F3708</f>
        <v>11948074</v>
      </c>
      <c r="C3708" s="14" t="s">
        <v>7160</v>
      </c>
      <c r="D3708" s="14" t="s">
        <v>104</v>
      </c>
      <c r="E3708" s="14" t="s">
        <v>1231</v>
      </c>
      <c r="F3708" s="14">
        <v>74</v>
      </c>
      <c r="G3708" s="14">
        <v>60</v>
      </c>
      <c r="H3708" s="14" t="s">
        <v>1400</v>
      </c>
      <c r="I3708" s="14" t="s">
        <v>75</v>
      </c>
      <c r="J3708" s="14" t="s">
        <v>201</v>
      </c>
      <c r="K3708" s="14">
        <v>1</v>
      </c>
      <c r="L3708" s="14" t="s">
        <v>1400</v>
      </c>
      <c r="N3708" s="14">
        <v>0</v>
      </c>
      <c r="O3708" s="14" t="b">
        <v>1</v>
      </c>
      <c r="Q3708" s="14" t="b">
        <v>0</v>
      </c>
      <c r="R3708" s="14">
        <v>1</v>
      </c>
      <c r="S3708" s="14" t="s">
        <v>77</v>
      </c>
      <c r="T3708" s="14">
        <v>999</v>
      </c>
      <c r="U3708" s="14" t="s">
        <v>1401</v>
      </c>
      <c r="V3708" s="14">
        <v>31948074</v>
      </c>
      <c r="X3708" s="14" t="s">
        <v>7163</v>
      </c>
      <c r="Y3708" s="14" t="s">
        <v>215</v>
      </c>
      <c r="Z3708" s="14">
        <v>22471</v>
      </c>
      <c r="AA3708" s="14" t="s">
        <v>7164</v>
      </c>
      <c r="AB3708" s="14">
        <v>40001</v>
      </c>
      <c r="AE3708" s="14" t="s">
        <v>1400</v>
      </c>
      <c r="AF3708" s="14" t="s">
        <v>1400</v>
      </c>
      <c r="AG3708" s="14" t="s">
        <v>1231</v>
      </c>
    </row>
    <row r="3709" spans="2:33">
      <c r="B3709" s="14">
        <f>10000000+INDEX(编号表!$B:$B,MATCH(H3709,编号表!$A:$A,0))*100000+INDEX(编号表!$F:$F,MATCH(D3709,编号表!$E:$E,0))*10000+INDEX(编号表!$D:$D,MATCH(AG3709,编号表!$C:$C,0))*1000+F3709</f>
        <v>11958075</v>
      </c>
      <c r="C3709" s="14" t="s">
        <v>7160</v>
      </c>
      <c r="D3709" s="14" t="s">
        <v>333</v>
      </c>
      <c r="E3709" s="14" t="s">
        <v>1231</v>
      </c>
      <c r="F3709" s="14">
        <v>75</v>
      </c>
      <c r="G3709" s="14">
        <v>60</v>
      </c>
      <c r="H3709" s="14" t="s">
        <v>1400</v>
      </c>
      <c r="I3709" s="14" t="s">
        <v>75</v>
      </c>
      <c r="J3709" s="14" t="s">
        <v>201</v>
      </c>
      <c r="K3709" s="14">
        <v>1</v>
      </c>
      <c r="L3709" s="14" t="s">
        <v>1400</v>
      </c>
      <c r="N3709" s="14">
        <v>0</v>
      </c>
      <c r="O3709" s="14" t="b">
        <v>1</v>
      </c>
      <c r="Q3709" s="14" t="b">
        <v>0</v>
      </c>
      <c r="R3709" s="14">
        <v>1</v>
      </c>
      <c r="S3709" s="14" t="s">
        <v>77</v>
      </c>
      <c r="T3709" s="14">
        <v>999</v>
      </c>
      <c r="U3709" s="14" t="s">
        <v>1401</v>
      </c>
      <c r="V3709" s="14">
        <v>31958075</v>
      </c>
      <c r="X3709" s="14" t="s">
        <v>7165</v>
      </c>
      <c r="Y3709" s="14" t="s">
        <v>215</v>
      </c>
      <c r="Z3709" s="14">
        <v>22472</v>
      </c>
      <c r="AA3709" s="14" t="s">
        <v>7166</v>
      </c>
      <c r="AB3709" s="14">
        <v>40001</v>
      </c>
      <c r="AE3709" s="14" t="s">
        <v>1400</v>
      </c>
      <c r="AF3709" s="14" t="s">
        <v>1400</v>
      </c>
      <c r="AG3709" s="14" t="s">
        <v>1231</v>
      </c>
    </row>
    <row r="3710" spans="2:33">
      <c r="B3710" s="14">
        <f>10000000+INDEX(编号表!$B:$B,MATCH(H3710,编号表!$A:$A,0))*100000+INDEX(编号表!$F:$F,MATCH(D3710,编号表!$E:$E,0))*10000+INDEX(编号表!$D:$D,MATCH(AG3710,编号表!$C:$C,0))*1000+F3710</f>
        <v>11938074</v>
      </c>
      <c r="C3710" s="14" t="s">
        <v>7167</v>
      </c>
      <c r="D3710" s="14" t="s">
        <v>276</v>
      </c>
      <c r="E3710" s="14" t="s">
        <v>1231</v>
      </c>
      <c r="F3710" s="14">
        <v>74</v>
      </c>
      <c r="G3710" s="14">
        <v>60</v>
      </c>
      <c r="H3710" s="14" t="s">
        <v>1400</v>
      </c>
      <c r="I3710" s="14" t="s">
        <v>75</v>
      </c>
      <c r="J3710" s="14" t="s">
        <v>201</v>
      </c>
      <c r="K3710" s="14">
        <v>1</v>
      </c>
      <c r="L3710" s="14" t="s">
        <v>1400</v>
      </c>
      <c r="N3710" s="14">
        <v>0</v>
      </c>
      <c r="O3710" s="14" t="b">
        <v>1</v>
      </c>
      <c r="Q3710" s="14" t="b">
        <v>0</v>
      </c>
      <c r="R3710" s="14">
        <v>1</v>
      </c>
      <c r="S3710" s="14" t="s">
        <v>77</v>
      </c>
      <c r="T3710" s="14">
        <v>999</v>
      </c>
      <c r="U3710" s="14" t="s">
        <v>1401</v>
      </c>
      <c r="V3710" s="14">
        <v>31938074</v>
      </c>
      <c r="X3710" s="14" t="s">
        <v>7168</v>
      </c>
      <c r="Y3710" s="14" t="s">
        <v>215</v>
      </c>
      <c r="Z3710" s="14">
        <v>22473</v>
      </c>
      <c r="AA3710" s="14" t="s">
        <v>7169</v>
      </c>
      <c r="AB3710" s="14">
        <v>40001</v>
      </c>
      <c r="AE3710" s="14" t="s">
        <v>1400</v>
      </c>
      <c r="AF3710" s="14" t="s">
        <v>1400</v>
      </c>
      <c r="AG3710" s="14" t="s">
        <v>1231</v>
      </c>
    </row>
    <row r="3711" spans="2:33">
      <c r="B3711" s="14">
        <f>10000000+INDEX(编号表!$B:$B,MATCH(H3711,编号表!$A:$A,0))*100000+INDEX(编号表!$F:$F,MATCH(D3711,编号表!$E:$E,0))*10000+INDEX(编号表!$D:$D,MATCH(AG3711,编号表!$C:$C,0))*1000+F3711</f>
        <v>11948075</v>
      </c>
      <c r="C3711" s="14" t="s">
        <v>7167</v>
      </c>
      <c r="D3711" s="14" t="s">
        <v>104</v>
      </c>
      <c r="E3711" s="14" t="s">
        <v>1231</v>
      </c>
      <c r="F3711" s="14">
        <v>75</v>
      </c>
      <c r="G3711" s="14">
        <v>60</v>
      </c>
      <c r="H3711" s="14" t="s">
        <v>1400</v>
      </c>
      <c r="I3711" s="14" t="s">
        <v>75</v>
      </c>
      <c r="J3711" s="14" t="s">
        <v>201</v>
      </c>
      <c r="K3711" s="14">
        <v>1</v>
      </c>
      <c r="L3711" s="14" t="s">
        <v>1400</v>
      </c>
      <c r="N3711" s="14">
        <v>0</v>
      </c>
      <c r="O3711" s="14" t="b">
        <v>1</v>
      </c>
      <c r="Q3711" s="14" t="b">
        <v>0</v>
      </c>
      <c r="R3711" s="14">
        <v>1</v>
      </c>
      <c r="S3711" s="14" t="s">
        <v>77</v>
      </c>
      <c r="T3711" s="14">
        <v>999</v>
      </c>
      <c r="U3711" s="14" t="s">
        <v>1401</v>
      </c>
      <c r="V3711" s="14">
        <v>31948075</v>
      </c>
      <c r="X3711" s="14" t="s">
        <v>7170</v>
      </c>
      <c r="Y3711" s="14" t="s">
        <v>215</v>
      </c>
      <c r="Z3711" s="14">
        <v>22474</v>
      </c>
      <c r="AA3711" s="14" t="s">
        <v>7171</v>
      </c>
      <c r="AB3711" s="14">
        <v>40001</v>
      </c>
      <c r="AE3711" s="14" t="s">
        <v>1400</v>
      </c>
      <c r="AF3711" s="14" t="s">
        <v>1400</v>
      </c>
      <c r="AG3711" s="14" t="s">
        <v>1231</v>
      </c>
    </row>
    <row r="3712" spans="2:33">
      <c r="B3712" s="14">
        <f>10000000+INDEX(编号表!$B:$B,MATCH(H3712,编号表!$A:$A,0))*100000+INDEX(编号表!$F:$F,MATCH(D3712,编号表!$E:$E,0))*10000+INDEX(编号表!$D:$D,MATCH(AG3712,编号表!$C:$C,0))*1000+F3712</f>
        <v>11958076</v>
      </c>
      <c r="C3712" s="14" t="s">
        <v>7167</v>
      </c>
      <c r="D3712" s="14" t="s">
        <v>333</v>
      </c>
      <c r="E3712" s="14" t="s">
        <v>1231</v>
      </c>
      <c r="F3712" s="14">
        <v>76</v>
      </c>
      <c r="G3712" s="14">
        <v>60</v>
      </c>
      <c r="H3712" s="14" t="s">
        <v>1400</v>
      </c>
      <c r="I3712" s="14" t="s">
        <v>75</v>
      </c>
      <c r="J3712" s="14" t="s">
        <v>201</v>
      </c>
      <c r="K3712" s="14">
        <v>1</v>
      </c>
      <c r="L3712" s="14" t="s">
        <v>1400</v>
      </c>
      <c r="N3712" s="14">
        <v>0</v>
      </c>
      <c r="O3712" s="14" t="b">
        <v>1</v>
      </c>
      <c r="Q3712" s="14" t="b">
        <v>0</v>
      </c>
      <c r="R3712" s="14">
        <v>1</v>
      </c>
      <c r="S3712" s="14" t="s">
        <v>77</v>
      </c>
      <c r="T3712" s="14">
        <v>999</v>
      </c>
      <c r="U3712" s="14" t="s">
        <v>1401</v>
      </c>
      <c r="V3712" s="14">
        <v>31958076</v>
      </c>
      <c r="X3712" s="14" t="s">
        <v>7172</v>
      </c>
      <c r="Y3712" s="14" t="s">
        <v>215</v>
      </c>
      <c r="Z3712" s="14">
        <v>22475</v>
      </c>
      <c r="AA3712" s="14" t="s">
        <v>7173</v>
      </c>
      <c r="AB3712" s="14">
        <v>40001</v>
      </c>
      <c r="AE3712" s="14" t="s">
        <v>1400</v>
      </c>
      <c r="AF3712" s="14" t="s">
        <v>1400</v>
      </c>
      <c r="AG3712" s="14" t="s">
        <v>1231</v>
      </c>
    </row>
    <row r="3713" spans="2:33">
      <c r="B3713" s="14">
        <f>10000000+INDEX(编号表!$B:$B,MATCH(H3713,编号表!$A:$A,0))*100000+INDEX(编号表!$F:$F,MATCH(D3713,编号表!$E:$E,0))*10000+INDEX(编号表!$D:$D,MATCH(AG3713,编号表!$C:$C,0))*1000+F3713</f>
        <v>11938075</v>
      </c>
      <c r="C3713" s="14" t="s">
        <v>7174</v>
      </c>
      <c r="D3713" s="14" t="s">
        <v>276</v>
      </c>
      <c r="E3713" s="14" t="s">
        <v>1231</v>
      </c>
      <c r="F3713" s="14">
        <v>75</v>
      </c>
      <c r="G3713" s="14">
        <v>60</v>
      </c>
      <c r="H3713" s="14" t="s">
        <v>1400</v>
      </c>
      <c r="I3713" s="14" t="s">
        <v>75</v>
      </c>
      <c r="J3713" s="14" t="s">
        <v>201</v>
      </c>
      <c r="K3713" s="14">
        <v>1</v>
      </c>
      <c r="L3713" s="14" t="s">
        <v>1400</v>
      </c>
      <c r="N3713" s="14">
        <v>0</v>
      </c>
      <c r="O3713" s="14" t="b">
        <v>1</v>
      </c>
      <c r="Q3713" s="14" t="b">
        <v>0</v>
      </c>
      <c r="R3713" s="14">
        <v>1</v>
      </c>
      <c r="S3713" s="14" t="s">
        <v>77</v>
      </c>
      <c r="T3713" s="14">
        <v>999</v>
      </c>
      <c r="U3713" s="14" t="s">
        <v>1401</v>
      </c>
      <c r="V3713" s="14">
        <v>31938075</v>
      </c>
      <c r="X3713" s="14" t="s">
        <v>7175</v>
      </c>
      <c r="Y3713" s="14" t="s">
        <v>215</v>
      </c>
      <c r="Z3713" s="14">
        <v>22476</v>
      </c>
      <c r="AA3713" s="14" t="s">
        <v>7176</v>
      </c>
      <c r="AB3713" s="14">
        <v>40001</v>
      </c>
      <c r="AE3713" s="14" t="s">
        <v>1400</v>
      </c>
      <c r="AF3713" s="14" t="s">
        <v>1400</v>
      </c>
      <c r="AG3713" s="14" t="s">
        <v>1231</v>
      </c>
    </row>
    <row r="3714" spans="2:33">
      <c r="B3714" s="14">
        <f>10000000+INDEX(编号表!$B:$B,MATCH(H3714,编号表!$A:$A,0))*100000+INDEX(编号表!$F:$F,MATCH(D3714,编号表!$E:$E,0))*10000+INDEX(编号表!$D:$D,MATCH(AG3714,编号表!$C:$C,0))*1000+F3714</f>
        <v>11948076</v>
      </c>
      <c r="C3714" s="14" t="s">
        <v>7174</v>
      </c>
      <c r="D3714" s="14" t="s">
        <v>104</v>
      </c>
      <c r="E3714" s="14" t="s">
        <v>1231</v>
      </c>
      <c r="F3714" s="14">
        <v>76</v>
      </c>
      <c r="G3714" s="14">
        <v>60</v>
      </c>
      <c r="H3714" s="14" t="s">
        <v>1400</v>
      </c>
      <c r="I3714" s="14" t="s">
        <v>75</v>
      </c>
      <c r="J3714" s="14" t="s">
        <v>201</v>
      </c>
      <c r="K3714" s="14">
        <v>1</v>
      </c>
      <c r="L3714" s="14" t="s">
        <v>1400</v>
      </c>
      <c r="N3714" s="14">
        <v>0</v>
      </c>
      <c r="O3714" s="14" t="b">
        <v>1</v>
      </c>
      <c r="Q3714" s="14" t="b">
        <v>0</v>
      </c>
      <c r="R3714" s="14">
        <v>1</v>
      </c>
      <c r="S3714" s="14" t="s">
        <v>77</v>
      </c>
      <c r="T3714" s="14">
        <v>999</v>
      </c>
      <c r="U3714" s="14" t="s">
        <v>1401</v>
      </c>
      <c r="V3714" s="14">
        <v>31948076</v>
      </c>
      <c r="X3714" s="14" t="s">
        <v>7177</v>
      </c>
      <c r="Y3714" s="14" t="s">
        <v>215</v>
      </c>
      <c r="Z3714" s="14">
        <v>22477</v>
      </c>
      <c r="AA3714" s="14" t="s">
        <v>7178</v>
      </c>
      <c r="AB3714" s="14">
        <v>40001</v>
      </c>
      <c r="AE3714" s="14" t="s">
        <v>1400</v>
      </c>
      <c r="AF3714" s="14" t="s">
        <v>1400</v>
      </c>
      <c r="AG3714" s="14" t="s">
        <v>1231</v>
      </c>
    </row>
    <row r="3715" spans="2:33">
      <c r="B3715" s="14">
        <f>10000000+INDEX(编号表!$B:$B,MATCH(H3715,编号表!$A:$A,0))*100000+INDEX(编号表!$F:$F,MATCH(D3715,编号表!$E:$E,0))*10000+INDEX(编号表!$D:$D,MATCH(AG3715,编号表!$C:$C,0))*1000+F3715</f>
        <v>11958077</v>
      </c>
      <c r="C3715" s="14" t="s">
        <v>7174</v>
      </c>
      <c r="D3715" s="14" t="s">
        <v>333</v>
      </c>
      <c r="E3715" s="14" t="s">
        <v>1231</v>
      </c>
      <c r="F3715" s="14">
        <v>77</v>
      </c>
      <c r="G3715" s="14">
        <v>60</v>
      </c>
      <c r="H3715" s="14" t="s">
        <v>1400</v>
      </c>
      <c r="I3715" s="14" t="s">
        <v>75</v>
      </c>
      <c r="J3715" s="14" t="s">
        <v>201</v>
      </c>
      <c r="K3715" s="14">
        <v>1</v>
      </c>
      <c r="L3715" s="14" t="s">
        <v>1400</v>
      </c>
      <c r="N3715" s="14">
        <v>0</v>
      </c>
      <c r="O3715" s="14" t="b">
        <v>1</v>
      </c>
      <c r="Q3715" s="14" t="b">
        <v>0</v>
      </c>
      <c r="R3715" s="14">
        <v>1</v>
      </c>
      <c r="S3715" s="14" t="s">
        <v>77</v>
      </c>
      <c r="T3715" s="14">
        <v>999</v>
      </c>
      <c r="U3715" s="14" t="s">
        <v>1401</v>
      </c>
      <c r="V3715" s="14">
        <v>31958077</v>
      </c>
      <c r="X3715" s="14" t="s">
        <v>7179</v>
      </c>
      <c r="Y3715" s="14" t="s">
        <v>215</v>
      </c>
      <c r="Z3715" s="14">
        <v>22478</v>
      </c>
      <c r="AA3715" s="14" t="s">
        <v>7180</v>
      </c>
      <c r="AB3715" s="14">
        <v>40001</v>
      </c>
      <c r="AE3715" s="14" t="s">
        <v>1400</v>
      </c>
      <c r="AF3715" s="14" t="s">
        <v>1400</v>
      </c>
      <c r="AG3715" s="14" t="s">
        <v>1231</v>
      </c>
    </row>
    <row r="3716" spans="2:33">
      <c r="B3716" s="14">
        <f>10000000+INDEX(编号表!$B:$B,MATCH(H3716,编号表!$A:$A,0))*100000+INDEX(编号表!$F:$F,MATCH(D3716,编号表!$E:$E,0))*10000+INDEX(编号表!$D:$D,MATCH(AG3716,编号表!$C:$C,0))*1000+F3716</f>
        <v>11938076</v>
      </c>
      <c r="C3716" s="14" t="s">
        <v>7181</v>
      </c>
      <c r="D3716" s="14" t="s">
        <v>276</v>
      </c>
      <c r="E3716" s="14" t="s">
        <v>1231</v>
      </c>
      <c r="F3716" s="14">
        <v>76</v>
      </c>
      <c r="G3716" s="14">
        <v>60</v>
      </c>
      <c r="H3716" s="14" t="s">
        <v>1400</v>
      </c>
      <c r="I3716" s="14" t="s">
        <v>75</v>
      </c>
      <c r="J3716" s="14" t="s">
        <v>201</v>
      </c>
      <c r="K3716" s="14">
        <v>1</v>
      </c>
      <c r="L3716" s="14" t="s">
        <v>1400</v>
      </c>
      <c r="N3716" s="14">
        <v>0</v>
      </c>
      <c r="O3716" s="14" t="b">
        <v>1</v>
      </c>
      <c r="Q3716" s="14" t="b">
        <v>0</v>
      </c>
      <c r="R3716" s="14">
        <v>1</v>
      </c>
      <c r="S3716" s="14" t="s">
        <v>77</v>
      </c>
      <c r="T3716" s="14">
        <v>999</v>
      </c>
      <c r="U3716" s="14" t="s">
        <v>1401</v>
      </c>
      <c r="V3716" s="14">
        <v>31938076</v>
      </c>
      <c r="X3716" s="14" t="s">
        <v>7182</v>
      </c>
      <c r="Y3716" s="14" t="s">
        <v>215</v>
      </c>
      <c r="Z3716" s="14">
        <v>22479</v>
      </c>
      <c r="AA3716" s="14" t="s">
        <v>7183</v>
      </c>
      <c r="AB3716" s="14">
        <v>40001</v>
      </c>
      <c r="AE3716" s="14" t="s">
        <v>1400</v>
      </c>
      <c r="AF3716" s="14" t="s">
        <v>1400</v>
      </c>
      <c r="AG3716" s="14" t="s">
        <v>1231</v>
      </c>
    </row>
    <row r="3717" spans="2:33">
      <c r="B3717" s="14">
        <f>10000000+INDEX(编号表!$B:$B,MATCH(H3717,编号表!$A:$A,0))*100000+INDEX(编号表!$F:$F,MATCH(D3717,编号表!$E:$E,0))*10000+INDEX(编号表!$D:$D,MATCH(AG3717,编号表!$C:$C,0))*1000+F3717</f>
        <v>11948077</v>
      </c>
      <c r="C3717" s="14" t="s">
        <v>7181</v>
      </c>
      <c r="D3717" s="14" t="s">
        <v>104</v>
      </c>
      <c r="E3717" s="14" t="s">
        <v>1231</v>
      </c>
      <c r="F3717" s="14">
        <v>77</v>
      </c>
      <c r="G3717" s="14">
        <v>60</v>
      </c>
      <c r="H3717" s="14" t="s">
        <v>1400</v>
      </c>
      <c r="I3717" s="14" t="s">
        <v>75</v>
      </c>
      <c r="J3717" s="14" t="s">
        <v>201</v>
      </c>
      <c r="K3717" s="14">
        <v>1</v>
      </c>
      <c r="L3717" s="14" t="s">
        <v>1400</v>
      </c>
      <c r="N3717" s="14">
        <v>0</v>
      </c>
      <c r="O3717" s="14" t="b">
        <v>1</v>
      </c>
      <c r="Q3717" s="14" t="b">
        <v>0</v>
      </c>
      <c r="R3717" s="14">
        <v>1</v>
      </c>
      <c r="S3717" s="14" t="s">
        <v>77</v>
      </c>
      <c r="T3717" s="14">
        <v>999</v>
      </c>
      <c r="U3717" s="14" t="s">
        <v>1401</v>
      </c>
      <c r="V3717" s="14">
        <v>31948077</v>
      </c>
      <c r="X3717" s="14" t="s">
        <v>7184</v>
      </c>
      <c r="Y3717" s="14" t="s">
        <v>215</v>
      </c>
      <c r="Z3717" s="14">
        <v>22480</v>
      </c>
      <c r="AA3717" s="14" t="s">
        <v>7185</v>
      </c>
      <c r="AB3717" s="14">
        <v>40001</v>
      </c>
      <c r="AE3717" s="14" t="s">
        <v>1400</v>
      </c>
      <c r="AF3717" s="14" t="s">
        <v>1400</v>
      </c>
      <c r="AG3717" s="14" t="s">
        <v>1231</v>
      </c>
    </row>
    <row r="3718" spans="2:33">
      <c r="B3718" s="14">
        <f>10000000+INDEX(编号表!$B:$B,MATCH(H3718,编号表!$A:$A,0))*100000+INDEX(编号表!$F:$F,MATCH(D3718,编号表!$E:$E,0))*10000+INDEX(编号表!$D:$D,MATCH(AG3718,编号表!$C:$C,0))*1000+F3718</f>
        <v>11958078</v>
      </c>
      <c r="C3718" s="14" t="s">
        <v>7181</v>
      </c>
      <c r="D3718" s="14" t="s">
        <v>333</v>
      </c>
      <c r="E3718" s="14" t="s">
        <v>1231</v>
      </c>
      <c r="F3718" s="14">
        <v>78</v>
      </c>
      <c r="G3718" s="14">
        <v>60</v>
      </c>
      <c r="H3718" s="14" t="s">
        <v>1400</v>
      </c>
      <c r="I3718" s="14" t="s">
        <v>75</v>
      </c>
      <c r="J3718" s="14" t="s">
        <v>201</v>
      </c>
      <c r="K3718" s="14">
        <v>1</v>
      </c>
      <c r="L3718" s="14" t="s">
        <v>1400</v>
      </c>
      <c r="N3718" s="14">
        <v>0</v>
      </c>
      <c r="O3718" s="14" t="b">
        <v>1</v>
      </c>
      <c r="Q3718" s="14" t="b">
        <v>0</v>
      </c>
      <c r="R3718" s="14">
        <v>1</v>
      </c>
      <c r="S3718" s="14" t="s">
        <v>77</v>
      </c>
      <c r="T3718" s="14">
        <v>999</v>
      </c>
      <c r="U3718" s="14" t="s">
        <v>1401</v>
      </c>
      <c r="V3718" s="14">
        <v>31958078</v>
      </c>
      <c r="X3718" s="14" t="s">
        <v>7186</v>
      </c>
      <c r="Y3718" s="14" t="s">
        <v>215</v>
      </c>
      <c r="Z3718" s="14">
        <v>22481</v>
      </c>
      <c r="AA3718" s="14" t="s">
        <v>7187</v>
      </c>
      <c r="AB3718" s="14">
        <v>40001</v>
      </c>
      <c r="AE3718" s="14" t="s">
        <v>1400</v>
      </c>
      <c r="AF3718" s="14" t="s">
        <v>1400</v>
      </c>
      <c r="AG3718" s="14" t="s">
        <v>1231</v>
      </c>
    </row>
    <row r="3719" spans="2:33">
      <c r="B3719" s="14">
        <f>10000000+INDEX(编号表!$B:$B,MATCH(H3719,编号表!$A:$A,0))*100000+INDEX(编号表!$F:$F,MATCH(D3719,编号表!$E:$E,0))*10000+INDEX(编号表!$D:$D,MATCH(AG3719,编号表!$C:$C,0))*1000+F3719</f>
        <v>11938077</v>
      </c>
      <c r="C3719" s="14" t="s">
        <v>7188</v>
      </c>
      <c r="D3719" s="14" t="s">
        <v>276</v>
      </c>
      <c r="E3719" s="14" t="s">
        <v>1231</v>
      </c>
      <c r="F3719" s="14">
        <v>77</v>
      </c>
      <c r="G3719" s="14">
        <v>60</v>
      </c>
      <c r="H3719" s="14" t="s">
        <v>1400</v>
      </c>
      <c r="I3719" s="14" t="s">
        <v>75</v>
      </c>
      <c r="J3719" s="14" t="s">
        <v>201</v>
      </c>
      <c r="K3719" s="14">
        <v>1</v>
      </c>
      <c r="L3719" s="14" t="s">
        <v>1400</v>
      </c>
      <c r="N3719" s="14">
        <v>0</v>
      </c>
      <c r="O3719" s="14" t="b">
        <v>1</v>
      </c>
      <c r="Q3719" s="14" t="b">
        <v>0</v>
      </c>
      <c r="R3719" s="14">
        <v>1</v>
      </c>
      <c r="S3719" s="14" t="s">
        <v>77</v>
      </c>
      <c r="T3719" s="14">
        <v>999</v>
      </c>
      <c r="U3719" s="14" t="s">
        <v>1401</v>
      </c>
      <c r="V3719" s="14">
        <v>31938077</v>
      </c>
      <c r="X3719" s="14" t="s">
        <v>7189</v>
      </c>
      <c r="Y3719" s="14" t="s">
        <v>215</v>
      </c>
      <c r="Z3719" s="14">
        <v>22482</v>
      </c>
      <c r="AA3719" s="14" t="s">
        <v>7190</v>
      </c>
      <c r="AB3719" s="14">
        <v>40001</v>
      </c>
      <c r="AE3719" s="14" t="s">
        <v>1400</v>
      </c>
      <c r="AF3719" s="14" t="s">
        <v>1400</v>
      </c>
      <c r="AG3719" s="14" t="s">
        <v>1231</v>
      </c>
    </row>
    <row r="3720" spans="2:33">
      <c r="B3720" s="14">
        <f>10000000+INDEX(编号表!$B:$B,MATCH(H3720,编号表!$A:$A,0))*100000+INDEX(编号表!$F:$F,MATCH(D3720,编号表!$E:$E,0))*10000+INDEX(编号表!$D:$D,MATCH(AG3720,编号表!$C:$C,0))*1000+F3720</f>
        <v>11948078</v>
      </c>
      <c r="C3720" s="14" t="s">
        <v>7188</v>
      </c>
      <c r="D3720" s="14" t="s">
        <v>104</v>
      </c>
      <c r="E3720" s="14" t="s">
        <v>1231</v>
      </c>
      <c r="F3720" s="14">
        <v>78</v>
      </c>
      <c r="G3720" s="14">
        <v>60</v>
      </c>
      <c r="H3720" s="14" t="s">
        <v>1400</v>
      </c>
      <c r="I3720" s="14" t="s">
        <v>75</v>
      </c>
      <c r="J3720" s="14" t="s">
        <v>201</v>
      </c>
      <c r="K3720" s="14">
        <v>1</v>
      </c>
      <c r="L3720" s="14" t="s">
        <v>1400</v>
      </c>
      <c r="N3720" s="14">
        <v>0</v>
      </c>
      <c r="O3720" s="14" t="b">
        <v>1</v>
      </c>
      <c r="Q3720" s="14" t="b">
        <v>0</v>
      </c>
      <c r="R3720" s="14">
        <v>1</v>
      </c>
      <c r="S3720" s="14" t="s">
        <v>77</v>
      </c>
      <c r="T3720" s="14">
        <v>999</v>
      </c>
      <c r="U3720" s="14" t="s">
        <v>1401</v>
      </c>
      <c r="V3720" s="14">
        <v>31948078</v>
      </c>
      <c r="X3720" s="14" t="s">
        <v>7191</v>
      </c>
      <c r="Y3720" s="14" t="s">
        <v>215</v>
      </c>
      <c r="Z3720" s="14">
        <v>22483</v>
      </c>
      <c r="AA3720" s="14" t="s">
        <v>7192</v>
      </c>
      <c r="AB3720" s="14">
        <v>40001</v>
      </c>
      <c r="AE3720" s="14" t="s">
        <v>1400</v>
      </c>
      <c r="AF3720" s="14" t="s">
        <v>1400</v>
      </c>
      <c r="AG3720" s="14" t="s">
        <v>1231</v>
      </c>
    </row>
    <row r="3721" spans="2:33">
      <c r="B3721" s="14">
        <f>10000000+INDEX(编号表!$B:$B,MATCH(H3721,编号表!$A:$A,0))*100000+INDEX(编号表!$F:$F,MATCH(D3721,编号表!$E:$E,0))*10000+INDEX(编号表!$D:$D,MATCH(AG3721,编号表!$C:$C,0))*1000+F3721</f>
        <v>11958079</v>
      </c>
      <c r="C3721" s="14" t="s">
        <v>7188</v>
      </c>
      <c r="D3721" s="14" t="s">
        <v>333</v>
      </c>
      <c r="E3721" s="14" t="s">
        <v>1231</v>
      </c>
      <c r="F3721" s="14">
        <v>79</v>
      </c>
      <c r="G3721" s="14">
        <v>60</v>
      </c>
      <c r="H3721" s="14" t="s">
        <v>1400</v>
      </c>
      <c r="I3721" s="14" t="s">
        <v>75</v>
      </c>
      <c r="J3721" s="14" t="s">
        <v>201</v>
      </c>
      <c r="K3721" s="14">
        <v>1</v>
      </c>
      <c r="L3721" s="14" t="s">
        <v>1400</v>
      </c>
      <c r="N3721" s="14">
        <v>0</v>
      </c>
      <c r="O3721" s="14" t="b">
        <v>1</v>
      </c>
      <c r="Q3721" s="14" t="b">
        <v>0</v>
      </c>
      <c r="R3721" s="14">
        <v>1</v>
      </c>
      <c r="S3721" s="14" t="s">
        <v>77</v>
      </c>
      <c r="T3721" s="14">
        <v>999</v>
      </c>
      <c r="U3721" s="14" t="s">
        <v>1401</v>
      </c>
      <c r="V3721" s="14">
        <v>31958079</v>
      </c>
      <c r="X3721" s="14" t="s">
        <v>7193</v>
      </c>
      <c r="Y3721" s="14" t="s">
        <v>215</v>
      </c>
      <c r="Z3721" s="14">
        <v>22484</v>
      </c>
      <c r="AA3721" s="14" t="s">
        <v>7194</v>
      </c>
      <c r="AB3721" s="14">
        <v>40001</v>
      </c>
      <c r="AE3721" s="14" t="s">
        <v>1400</v>
      </c>
      <c r="AF3721" s="14" t="s">
        <v>1400</v>
      </c>
      <c r="AG3721" s="14" t="s">
        <v>1231</v>
      </c>
    </row>
    <row r="3722" spans="2:33">
      <c r="B3722" s="14">
        <f>10000000+INDEX(编号表!$B:$B,MATCH(H3722,编号表!$A:$A,0))*100000+INDEX(编号表!$F:$F,MATCH(D3722,编号表!$E:$E,0))*10000+INDEX(编号表!$D:$D,MATCH(AG3722,编号表!$C:$C,0))*1000+F3722</f>
        <v>11938078</v>
      </c>
      <c r="C3722" s="14" t="s">
        <v>7195</v>
      </c>
      <c r="D3722" s="14" t="s">
        <v>276</v>
      </c>
      <c r="E3722" s="14" t="s">
        <v>1231</v>
      </c>
      <c r="F3722" s="14">
        <v>78</v>
      </c>
      <c r="G3722" s="14">
        <v>60</v>
      </c>
      <c r="H3722" s="14" t="s">
        <v>1400</v>
      </c>
      <c r="I3722" s="14" t="s">
        <v>75</v>
      </c>
      <c r="J3722" s="14" t="s">
        <v>201</v>
      </c>
      <c r="K3722" s="14">
        <v>1</v>
      </c>
      <c r="L3722" s="14" t="s">
        <v>1400</v>
      </c>
      <c r="N3722" s="14">
        <v>0</v>
      </c>
      <c r="O3722" s="14" t="b">
        <v>1</v>
      </c>
      <c r="Q3722" s="14" t="b">
        <v>0</v>
      </c>
      <c r="R3722" s="14">
        <v>1</v>
      </c>
      <c r="S3722" s="14" t="s">
        <v>77</v>
      </c>
      <c r="T3722" s="14">
        <v>999</v>
      </c>
      <c r="U3722" s="14" t="s">
        <v>1401</v>
      </c>
      <c r="V3722" s="14">
        <v>31938078</v>
      </c>
      <c r="X3722" s="14" t="s">
        <v>7196</v>
      </c>
      <c r="Y3722" s="14" t="s">
        <v>215</v>
      </c>
      <c r="Z3722" s="14">
        <v>22485</v>
      </c>
      <c r="AA3722" s="14" t="s">
        <v>7197</v>
      </c>
      <c r="AB3722" s="14">
        <v>40001</v>
      </c>
      <c r="AE3722" s="14" t="s">
        <v>1400</v>
      </c>
      <c r="AF3722" s="14" t="s">
        <v>1400</v>
      </c>
      <c r="AG3722" s="14" t="s">
        <v>1231</v>
      </c>
    </row>
    <row r="3723" spans="2:33">
      <c r="B3723" s="14">
        <f>10000000+INDEX(编号表!$B:$B,MATCH(H3723,编号表!$A:$A,0))*100000+INDEX(编号表!$F:$F,MATCH(D3723,编号表!$E:$E,0))*10000+INDEX(编号表!$D:$D,MATCH(AG3723,编号表!$C:$C,0))*1000+F3723</f>
        <v>11948079</v>
      </c>
      <c r="C3723" s="14" t="s">
        <v>7195</v>
      </c>
      <c r="D3723" s="14" t="s">
        <v>104</v>
      </c>
      <c r="E3723" s="14" t="s">
        <v>1231</v>
      </c>
      <c r="F3723" s="14">
        <v>79</v>
      </c>
      <c r="G3723" s="14">
        <v>60</v>
      </c>
      <c r="H3723" s="14" t="s">
        <v>1400</v>
      </c>
      <c r="I3723" s="14" t="s">
        <v>75</v>
      </c>
      <c r="J3723" s="14" t="s">
        <v>201</v>
      </c>
      <c r="K3723" s="14">
        <v>1</v>
      </c>
      <c r="L3723" s="14" t="s">
        <v>1400</v>
      </c>
      <c r="N3723" s="14">
        <v>0</v>
      </c>
      <c r="O3723" s="14" t="b">
        <v>1</v>
      </c>
      <c r="Q3723" s="14" t="b">
        <v>0</v>
      </c>
      <c r="R3723" s="14">
        <v>1</v>
      </c>
      <c r="S3723" s="14" t="s">
        <v>77</v>
      </c>
      <c r="T3723" s="14">
        <v>999</v>
      </c>
      <c r="U3723" s="14" t="s">
        <v>1401</v>
      </c>
      <c r="V3723" s="14">
        <v>31948079</v>
      </c>
      <c r="X3723" s="14" t="s">
        <v>7198</v>
      </c>
      <c r="Y3723" s="14" t="s">
        <v>215</v>
      </c>
      <c r="Z3723" s="14">
        <v>22486</v>
      </c>
      <c r="AA3723" s="14" t="s">
        <v>7199</v>
      </c>
      <c r="AB3723" s="14">
        <v>40001</v>
      </c>
      <c r="AE3723" s="14" t="s">
        <v>1400</v>
      </c>
      <c r="AF3723" s="14" t="s">
        <v>1400</v>
      </c>
      <c r="AG3723" s="14" t="s">
        <v>1231</v>
      </c>
    </row>
    <row r="3724" spans="2:33">
      <c r="B3724" s="14">
        <f>10000000+INDEX(编号表!$B:$B,MATCH(H3724,编号表!$A:$A,0))*100000+INDEX(编号表!$F:$F,MATCH(D3724,编号表!$E:$E,0))*10000+INDEX(编号表!$D:$D,MATCH(AG3724,编号表!$C:$C,0))*1000+F3724</f>
        <v>11958080</v>
      </c>
      <c r="C3724" s="14" t="s">
        <v>7195</v>
      </c>
      <c r="D3724" s="14" t="s">
        <v>333</v>
      </c>
      <c r="E3724" s="14" t="s">
        <v>1231</v>
      </c>
      <c r="F3724" s="14">
        <v>80</v>
      </c>
      <c r="G3724" s="14">
        <v>60</v>
      </c>
      <c r="H3724" s="14" t="s">
        <v>1400</v>
      </c>
      <c r="I3724" s="14" t="s">
        <v>75</v>
      </c>
      <c r="J3724" s="14" t="s">
        <v>201</v>
      </c>
      <c r="K3724" s="14">
        <v>1</v>
      </c>
      <c r="L3724" s="14" t="s">
        <v>1400</v>
      </c>
      <c r="N3724" s="14">
        <v>0</v>
      </c>
      <c r="O3724" s="14" t="b">
        <v>1</v>
      </c>
      <c r="Q3724" s="14" t="b">
        <v>0</v>
      </c>
      <c r="R3724" s="14">
        <v>1</v>
      </c>
      <c r="S3724" s="14" t="s">
        <v>77</v>
      </c>
      <c r="T3724" s="14">
        <v>999</v>
      </c>
      <c r="U3724" s="14" t="s">
        <v>1401</v>
      </c>
      <c r="V3724" s="14">
        <v>31958080</v>
      </c>
      <c r="X3724" s="14" t="s">
        <v>7200</v>
      </c>
      <c r="Y3724" s="14" t="s">
        <v>215</v>
      </c>
      <c r="Z3724" s="14">
        <v>22487</v>
      </c>
      <c r="AA3724" s="14" t="s">
        <v>7201</v>
      </c>
      <c r="AB3724" s="14">
        <v>40001</v>
      </c>
      <c r="AE3724" s="14" t="s">
        <v>1400</v>
      </c>
      <c r="AF3724" s="14" t="s">
        <v>1400</v>
      </c>
      <c r="AG3724" s="14" t="s">
        <v>1231</v>
      </c>
    </row>
    <row r="3725" spans="2:33">
      <c r="B3725" s="14">
        <f>10000000+INDEX(编号表!$B:$B,MATCH(H3725,编号表!$A:$A,0))*100000+INDEX(编号表!$F:$F,MATCH(D3725,编号表!$E:$E,0))*10000+INDEX(编号表!$D:$D,MATCH(AG3725,编号表!$C:$C,0))*1000+F3725</f>
        <v>11938079</v>
      </c>
      <c r="C3725" s="14" t="s">
        <v>7202</v>
      </c>
      <c r="D3725" s="14" t="s">
        <v>276</v>
      </c>
      <c r="E3725" s="14" t="s">
        <v>1231</v>
      </c>
      <c r="F3725" s="14">
        <v>79</v>
      </c>
      <c r="G3725" s="14">
        <v>60</v>
      </c>
      <c r="H3725" s="14" t="s">
        <v>1400</v>
      </c>
      <c r="I3725" s="14" t="s">
        <v>75</v>
      </c>
      <c r="J3725" s="14" t="s">
        <v>201</v>
      </c>
      <c r="K3725" s="14">
        <v>1</v>
      </c>
      <c r="L3725" s="14" t="s">
        <v>1400</v>
      </c>
      <c r="N3725" s="14">
        <v>0</v>
      </c>
      <c r="O3725" s="14" t="b">
        <v>1</v>
      </c>
      <c r="Q3725" s="14" t="b">
        <v>0</v>
      </c>
      <c r="R3725" s="14">
        <v>1</v>
      </c>
      <c r="S3725" s="14" t="s">
        <v>77</v>
      </c>
      <c r="T3725" s="14">
        <v>999</v>
      </c>
      <c r="U3725" s="14" t="s">
        <v>1401</v>
      </c>
      <c r="V3725" s="14">
        <v>31938079</v>
      </c>
      <c r="X3725" s="14" t="s">
        <v>7203</v>
      </c>
      <c r="Y3725" s="14" t="s">
        <v>215</v>
      </c>
      <c r="Z3725" s="14">
        <v>22488</v>
      </c>
      <c r="AA3725" s="14" t="s">
        <v>7204</v>
      </c>
      <c r="AB3725" s="14">
        <v>40001</v>
      </c>
      <c r="AE3725" s="14" t="s">
        <v>1400</v>
      </c>
      <c r="AF3725" s="14" t="s">
        <v>1400</v>
      </c>
      <c r="AG3725" s="14" t="s">
        <v>1231</v>
      </c>
    </row>
    <row r="3726" spans="2:33">
      <c r="B3726" s="14">
        <f>10000000+INDEX(编号表!$B:$B,MATCH(H3726,编号表!$A:$A,0))*100000+INDEX(编号表!$F:$F,MATCH(D3726,编号表!$E:$E,0))*10000+INDEX(编号表!$D:$D,MATCH(AG3726,编号表!$C:$C,0))*1000+F3726</f>
        <v>11948080</v>
      </c>
      <c r="C3726" s="14" t="s">
        <v>7202</v>
      </c>
      <c r="D3726" s="14" t="s">
        <v>104</v>
      </c>
      <c r="E3726" s="14" t="s">
        <v>1231</v>
      </c>
      <c r="F3726" s="14">
        <v>80</v>
      </c>
      <c r="G3726" s="14">
        <v>60</v>
      </c>
      <c r="H3726" s="14" t="s">
        <v>1400</v>
      </c>
      <c r="I3726" s="14" t="s">
        <v>75</v>
      </c>
      <c r="J3726" s="14" t="s">
        <v>201</v>
      </c>
      <c r="K3726" s="14">
        <v>1</v>
      </c>
      <c r="L3726" s="14" t="s">
        <v>1400</v>
      </c>
      <c r="N3726" s="14">
        <v>0</v>
      </c>
      <c r="O3726" s="14" t="b">
        <v>1</v>
      </c>
      <c r="Q3726" s="14" t="b">
        <v>0</v>
      </c>
      <c r="R3726" s="14">
        <v>1</v>
      </c>
      <c r="S3726" s="14" t="s">
        <v>77</v>
      </c>
      <c r="T3726" s="14">
        <v>999</v>
      </c>
      <c r="U3726" s="14" t="s">
        <v>1401</v>
      </c>
      <c r="V3726" s="14">
        <v>31948080</v>
      </c>
      <c r="X3726" s="14" t="s">
        <v>7205</v>
      </c>
      <c r="Y3726" s="14" t="s">
        <v>215</v>
      </c>
      <c r="Z3726" s="14">
        <v>22489</v>
      </c>
      <c r="AA3726" s="14" t="s">
        <v>7206</v>
      </c>
      <c r="AB3726" s="14">
        <v>40001</v>
      </c>
      <c r="AE3726" s="14" t="s">
        <v>1400</v>
      </c>
      <c r="AF3726" s="14" t="s">
        <v>1400</v>
      </c>
      <c r="AG3726" s="14" t="s">
        <v>1231</v>
      </c>
    </row>
    <row r="3727" spans="2:33">
      <c r="B3727" s="14">
        <f>10000000+INDEX(编号表!$B:$B,MATCH(H3727,编号表!$A:$A,0))*100000+INDEX(编号表!$F:$F,MATCH(D3727,编号表!$E:$E,0))*10000+INDEX(编号表!$D:$D,MATCH(AG3727,编号表!$C:$C,0))*1000+F3727</f>
        <v>11958081</v>
      </c>
      <c r="C3727" s="14" t="s">
        <v>7202</v>
      </c>
      <c r="D3727" s="14" t="s">
        <v>333</v>
      </c>
      <c r="E3727" s="14" t="s">
        <v>1231</v>
      </c>
      <c r="F3727" s="14">
        <v>81</v>
      </c>
      <c r="G3727" s="14">
        <v>60</v>
      </c>
      <c r="H3727" s="14" t="s">
        <v>1400</v>
      </c>
      <c r="I3727" s="14" t="s">
        <v>75</v>
      </c>
      <c r="J3727" s="14" t="s">
        <v>201</v>
      </c>
      <c r="K3727" s="14">
        <v>1</v>
      </c>
      <c r="L3727" s="14" t="s">
        <v>1400</v>
      </c>
      <c r="N3727" s="14">
        <v>0</v>
      </c>
      <c r="O3727" s="14" t="b">
        <v>1</v>
      </c>
      <c r="Q3727" s="14" t="b">
        <v>0</v>
      </c>
      <c r="R3727" s="14">
        <v>1</v>
      </c>
      <c r="S3727" s="14" t="s">
        <v>77</v>
      </c>
      <c r="T3727" s="14">
        <v>999</v>
      </c>
      <c r="U3727" s="14" t="s">
        <v>1401</v>
      </c>
      <c r="V3727" s="14">
        <v>31958081</v>
      </c>
      <c r="X3727" s="14" t="s">
        <v>7207</v>
      </c>
      <c r="Y3727" s="14" t="s">
        <v>215</v>
      </c>
      <c r="Z3727" s="14">
        <v>22490</v>
      </c>
      <c r="AA3727" s="14" t="s">
        <v>7208</v>
      </c>
      <c r="AB3727" s="14">
        <v>40001</v>
      </c>
      <c r="AE3727" s="14" t="s">
        <v>1400</v>
      </c>
      <c r="AF3727" s="14" t="s">
        <v>1400</v>
      </c>
      <c r="AG3727" s="14" t="s">
        <v>1231</v>
      </c>
    </row>
    <row r="3728" spans="2:33">
      <c r="B3728" s="14">
        <f>10000000+INDEX(编号表!$B:$B,MATCH(H3728,编号表!$A:$A,0))*100000+INDEX(编号表!$F:$F,MATCH(D3728,编号表!$E:$E,0))*10000+INDEX(编号表!$D:$D,MATCH(AG3728,编号表!$C:$C,0))*1000+F3728</f>
        <v>11938080</v>
      </c>
      <c r="C3728" s="14" t="s">
        <v>7209</v>
      </c>
      <c r="D3728" s="14" t="s">
        <v>276</v>
      </c>
      <c r="E3728" s="14" t="s">
        <v>1231</v>
      </c>
      <c r="F3728" s="14">
        <v>80</v>
      </c>
      <c r="G3728" s="14">
        <v>60</v>
      </c>
      <c r="H3728" s="14" t="s">
        <v>1400</v>
      </c>
      <c r="I3728" s="14" t="s">
        <v>75</v>
      </c>
      <c r="J3728" s="14" t="s">
        <v>201</v>
      </c>
      <c r="K3728" s="14">
        <v>1</v>
      </c>
      <c r="L3728" s="14" t="s">
        <v>1400</v>
      </c>
      <c r="N3728" s="14">
        <v>0</v>
      </c>
      <c r="O3728" s="14" t="b">
        <v>1</v>
      </c>
      <c r="Q3728" s="14" t="b">
        <v>0</v>
      </c>
      <c r="R3728" s="14">
        <v>1</v>
      </c>
      <c r="S3728" s="14" t="s">
        <v>77</v>
      </c>
      <c r="T3728" s="14">
        <v>999</v>
      </c>
      <c r="U3728" s="14" t="s">
        <v>1401</v>
      </c>
      <c r="V3728" s="14">
        <v>31938080</v>
      </c>
      <c r="X3728" s="14" t="s">
        <v>7210</v>
      </c>
      <c r="Y3728" s="14" t="s">
        <v>215</v>
      </c>
      <c r="Z3728" s="14">
        <v>22491</v>
      </c>
      <c r="AA3728" s="14" t="s">
        <v>7211</v>
      </c>
      <c r="AB3728" s="14">
        <v>40001</v>
      </c>
      <c r="AE3728" s="14" t="s">
        <v>1400</v>
      </c>
      <c r="AF3728" s="14" t="s">
        <v>1400</v>
      </c>
      <c r="AG3728" s="14" t="s">
        <v>1231</v>
      </c>
    </row>
    <row r="3729" spans="2:33">
      <c r="B3729" s="14">
        <f>10000000+INDEX(编号表!$B:$B,MATCH(H3729,编号表!$A:$A,0))*100000+INDEX(编号表!$F:$F,MATCH(D3729,编号表!$E:$E,0))*10000+INDEX(编号表!$D:$D,MATCH(AG3729,编号表!$C:$C,0))*1000+F3729</f>
        <v>11948081</v>
      </c>
      <c r="C3729" s="14" t="s">
        <v>7209</v>
      </c>
      <c r="D3729" s="14" t="s">
        <v>104</v>
      </c>
      <c r="E3729" s="14" t="s">
        <v>1231</v>
      </c>
      <c r="F3729" s="14">
        <v>81</v>
      </c>
      <c r="G3729" s="14">
        <v>60</v>
      </c>
      <c r="H3729" s="14" t="s">
        <v>1400</v>
      </c>
      <c r="I3729" s="14" t="s">
        <v>75</v>
      </c>
      <c r="J3729" s="14" t="s">
        <v>201</v>
      </c>
      <c r="K3729" s="14">
        <v>1</v>
      </c>
      <c r="L3729" s="14" t="s">
        <v>1400</v>
      </c>
      <c r="N3729" s="14">
        <v>0</v>
      </c>
      <c r="O3729" s="14" t="b">
        <v>1</v>
      </c>
      <c r="Q3729" s="14" t="b">
        <v>0</v>
      </c>
      <c r="R3729" s="14">
        <v>1</v>
      </c>
      <c r="S3729" s="14" t="s">
        <v>77</v>
      </c>
      <c r="T3729" s="14">
        <v>999</v>
      </c>
      <c r="U3729" s="14" t="s">
        <v>1401</v>
      </c>
      <c r="V3729" s="14">
        <v>31948081</v>
      </c>
      <c r="X3729" s="14" t="s">
        <v>7212</v>
      </c>
      <c r="Y3729" s="14" t="s">
        <v>215</v>
      </c>
      <c r="Z3729" s="14">
        <v>22492</v>
      </c>
      <c r="AA3729" s="14" t="s">
        <v>7213</v>
      </c>
      <c r="AB3729" s="14">
        <v>40001</v>
      </c>
      <c r="AE3729" s="14" t="s">
        <v>1400</v>
      </c>
      <c r="AF3729" s="14" t="s">
        <v>1400</v>
      </c>
      <c r="AG3729" s="14" t="s">
        <v>1231</v>
      </c>
    </row>
    <row r="3730" spans="2:33">
      <c r="B3730" s="14">
        <f>10000000+INDEX(编号表!$B:$B,MATCH(H3730,编号表!$A:$A,0))*100000+INDEX(编号表!$F:$F,MATCH(D3730,编号表!$E:$E,0))*10000+INDEX(编号表!$D:$D,MATCH(AG3730,编号表!$C:$C,0))*1000+F3730</f>
        <v>11958082</v>
      </c>
      <c r="C3730" s="14" t="s">
        <v>7209</v>
      </c>
      <c r="D3730" s="14" t="s">
        <v>333</v>
      </c>
      <c r="E3730" s="14" t="s">
        <v>1231</v>
      </c>
      <c r="F3730" s="14">
        <v>82</v>
      </c>
      <c r="G3730" s="14">
        <v>60</v>
      </c>
      <c r="H3730" s="14" t="s">
        <v>1400</v>
      </c>
      <c r="I3730" s="14" t="s">
        <v>75</v>
      </c>
      <c r="J3730" s="14" t="s">
        <v>201</v>
      </c>
      <c r="K3730" s="14">
        <v>1</v>
      </c>
      <c r="L3730" s="14" t="s">
        <v>1400</v>
      </c>
      <c r="N3730" s="14">
        <v>0</v>
      </c>
      <c r="O3730" s="14" t="b">
        <v>1</v>
      </c>
      <c r="Q3730" s="14" t="b">
        <v>0</v>
      </c>
      <c r="R3730" s="14">
        <v>1</v>
      </c>
      <c r="S3730" s="14" t="s">
        <v>77</v>
      </c>
      <c r="T3730" s="14">
        <v>999</v>
      </c>
      <c r="U3730" s="14" t="s">
        <v>1401</v>
      </c>
      <c r="V3730" s="14">
        <v>31958082</v>
      </c>
      <c r="X3730" s="14" t="s">
        <v>7214</v>
      </c>
      <c r="Y3730" s="14" t="s">
        <v>215</v>
      </c>
      <c r="Z3730" s="14">
        <v>22493</v>
      </c>
      <c r="AA3730" s="14" t="s">
        <v>7215</v>
      </c>
      <c r="AB3730" s="14">
        <v>40001</v>
      </c>
      <c r="AE3730" s="14" t="s">
        <v>1400</v>
      </c>
      <c r="AF3730" s="14" t="s">
        <v>1400</v>
      </c>
      <c r="AG3730" s="14" t="s">
        <v>1231</v>
      </c>
    </row>
    <row r="3731" spans="2:33">
      <c r="B3731" s="14">
        <f>10000000+INDEX(编号表!$B:$B,MATCH(H3731,编号表!$A:$A,0))*100000+INDEX(编号表!$F:$F,MATCH(D3731,编号表!$E:$E,0))*10000+INDEX(编号表!$D:$D,MATCH(AG3731,编号表!$C:$C,0))*1000+F3731</f>
        <v>11938081</v>
      </c>
      <c r="C3731" s="14" t="s">
        <v>7216</v>
      </c>
      <c r="D3731" s="14" t="s">
        <v>276</v>
      </c>
      <c r="E3731" s="14" t="s">
        <v>1231</v>
      </c>
      <c r="F3731" s="14">
        <v>81</v>
      </c>
      <c r="G3731" s="14">
        <v>60</v>
      </c>
      <c r="H3731" s="14" t="s">
        <v>1400</v>
      </c>
      <c r="I3731" s="14" t="s">
        <v>75</v>
      </c>
      <c r="J3731" s="14" t="s">
        <v>201</v>
      </c>
      <c r="K3731" s="14">
        <v>1</v>
      </c>
      <c r="L3731" s="14" t="s">
        <v>1400</v>
      </c>
      <c r="N3731" s="14">
        <v>0</v>
      </c>
      <c r="O3731" s="14" t="b">
        <v>1</v>
      </c>
      <c r="Q3731" s="14" t="b">
        <v>0</v>
      </c>
      <c r="R3731" s="14">
        <v>1</v>
      </c>
      <c r="S3731" s="14" t="s">
        <v>77</v>
      </c>
      <c r="T3731" s="14">
        <v>999</v>
      </c>
      <c r="U3731" s="14" t="s">
        <v>1401</v>
      </c>
      <c r="V3731" s="14">
        <v>31938081</v>
      </c>
      <c r="X3731" s="14" t="s">
        <v>7217</v>
      </c>
      <c r="Y3731" s="14" t="s">
        <v>215</v>
      </c>
      <c r="Z3731" s="14">
        <v>22494</v>
      </c>
      <c r="AA3731" s="14" t="s">
        <v>7218</v>
      </c>
      <c r="AB3731" s="14">
        <v>40001</v>
      </c>
      <c r="AE3731" s="14" t="s">
        <v>1400</v>
      </c>
      <c r="AF3731" s="14" t="s">
        <v>1400</v>
      </c>
      <c r="AG3731" s="14" t="s">
        <v>1231</v>
      </c>
    </row>
    <row r="3732" spans="2:33">
      <c r="B3732" s="14">
        <f>10000000+INDEX(编号表!$B:$B,MATCH(H3732,编号表!$A:$A,0))*100000+INDEX(编号表!$F:$F,MATCH(D3732,编号表!$E:$E,0))*10000+INDEX(编号表!$D:$D,MATCH(AG3732,编号表!$C:$C,0))*1000+F3732</f>
        <v>11948082</v>
      </c>
      <c r="C3732" s="14" t="s">
        <v>7216</v>
      </c>
      <c r="D3732" s="14" t="s">
        <v>104</v>
      </c>
      <c r="E3732" s="14" t="s">
        <v>1231</v>
      </c>
      <c r="F3732" s="14">
        <v>82</v>
      </c>
      <c r="G3732" s="14">
        <v>60</v>
      </c>
      <c r="H3732" s="14" t="s">
        <v>1400</v>
      </c>
      <c r="I3732" s="14" t="s">
        <v>75</v>
      </c>
      <c r="J3732" s="14" t="s">
        <v>201</v>
      </c>
      <c r="K3732" s="14">
        <v>1</v>
      </c>
      <c r="L3732" s="14" t="s">
        <v>1400</v>
      </c>
      <c r="N3732" s="14">
        <v>0</v>
      </c>
      <c r="O3732" s="14" t="b">
        <v>1</v>
      </c>
      <c r="Q3732" s="14" t="b">
        <v>0</v>
      </c>
      <c r="R3732" s="14">
        <v>1</v>
      </c>
      <c r="S3732" s="14" t="s">
        <v>77</v>
      </c>
      <c r="T3732" s="14">
        <v>999</v>
      </c>
      <c r="U3732" s="14" t="s">
        <v>1401</v>
      </c>
      <c r="V3732" s="14">
        <v>31948082</v>
      </c>
      <c r="X3732" s="14" t="s">
        <v>7219</v>
      </c>
      <c r="Y3732" s="14" t="s">
        <v>215</v>
      </c>
      <c r="Z3732" s="14">
        <v>22495</v>
      </c>
      <c r="AA3732" s="14" t="s">
        <v>7220</v>
      </c>
      <c r="AB3732" s="14">
        <v>40001</v>
      </c>
      <c r="AE3732" s="14" t="s">
        <v>1400</v>
      </c>
      <c r="AF3732" s="14" t="s">
        <v>1400</v>
      </c>
      <c r="AG3732" s="14" t="s">
        <v>1231</v>
      </c>
    </row>
    <row r="3733" spans="2:33">
      <c r="B3733" s="14">
        <f>10000000+INDEX(编号表!$B:$B,MATCH(H3733,编号表!$A:$A,0))*100000+INDEX(编号表!$F:$F,MATCH(D3733,编号表!$E:$E,0))*10000+INDEX(编号表!$D:$D,MATCH(AG3733,编号表!$C:$C,0))*1000+F3733</f>
        <v>11958083</v>
      </c>
      <c r="C3733" s="14" t="s">
        <v>7216</v>
      </c>
      <c r="D3733" s="14" t="s">
        <v>333</v>
      </c>
      <c r="E3733" s="14" t="s">
        <v>1231</v>
      </c>
      <c r="F3733" s="14">
        <v>83</v>
      </c>
      <c r="G3733" s="14">
        <v>60</v>
      </c>
      <c r="H3733" s="14" t="s">
        <v>1400</v>
      </c>
      <c r="I3733" s="14" t="s">
        <v>75</v>
      </c>
      <c r="J3733" s="14" t="s">
        <v>201</v>
      </c>
      <c r="K3733" s="14">
        <v>1</v>
      </c>
      <c r="L3733" s="14" t="s">
        <v>1400</v>
      </c>
      <c r="N3733" s="14">
        <v>0</v>
      </c>
      <c r="O3733" s="14" t="b">
        <v>1</v>
      </c>
      <c r="Q3733" s="14" t="b">
        <v>0</v>
      </c>
      <c r="R3733" s="14">
        <v>1</v>
      </c>
      <c r="S3733" s="14" t="s">
        <v>77</v>
      </c>
      <c r="T3733" s="14">
        <v>999</v>
      </c>
      <c r="U3733" s="14" t="s">
        <v>1401</v>
      </c>
      <c r="V3733" s="14">
        <v>31958083</v>
      </c>
      <c r="X3733" s="14" t="s">
        <v>7221</v>
      </c>
      <c r="Y3733" s="14" t="s">
        <v>215</v>
      </c>
      <c r="Z3733" s="14">
        <v>22496</v>
      </c>
      <c r="AA3733" s="14" t="s">
        <v>7222</v>
      </c>
      <c r="AB3733" s="14">
        <v>40001</v>
      </c>
      <c r="AE3733" s="14" t="s">
        <v>1400</v>
      </c>
      <c r="AF3733" s="14" t="s">
        <v>1400</v>
      </c>
      <c r="AG3733" s="14" t="s">
        <v>1231</v>
      </c>
    </row>
    <row r="3734" spans="2:33">
      <c r="B3734" s="14">
        <f>10000000+INDEX(编号表!$B:$B,MATCH(H3734,编号表!$A:$A,0))*100000+INDEX(编号表!$F:$F,MATCH(D3734,编号表!$E:$E,0))*10000+INDEX(编号表!$D:$D,MATCH(AG3734,编号表!$C:$C,0))*1000+F3734</f>
        <v>11938082</v>
      </c>
      <c r="C3734" s="14" t="s">
        <v>7223</v>
      </c>
      <c r="D3734" s="14" t="s">
        <v>276</v>
      </c>
      <c r="E3734" s="14" t="s">
        <v>1231</v>
      </c>
      <c r="F3734" s="14">
        <v>82</v>
      </c>
      <c r="G3734" s="14">
        <v>60</v>
      </c>
      <c r="H3734" s="14" t="s">
        <v>1400</v>
      </c>
      <c r="I3734" s="14" t="s">
        <v>75</v>
      </c>
      <c r="J3734" s="14" t="s">
        <v>201</v>
      </c>
      <c r="K3734" s="14">
        <v>1</v>
      </c>
      <c r="L3734" s="14" t="s">
        <v>1400</v>
      </c>
      <c r="N3734" s="14">
        <v>0</v>
      </c>
      <c r="O3734" s="14" t="b">
        <v>1</v>
      </c>
      <c r="Q3734" s="14" t="b">
        <v>0</v>
      </c>
      <c r="R3734" s="14">
        <v>1</v>
      </c>
      <c r="S3734" s="14" t="s">
        <v>77</v>
      </c>
      <c r="T3734" s="14">
        <v>999</v>
      </c>
      <c r="U3734" s="14" t="s">
        <v>1401</v>
      </c>
      <c r="V3734" s="14">
        <v>31938082</v>
      </c>
      <c r="X3734" s="14" t="s">
        <v>7224</v>
      </c>
      <c r="Y3734" s="14" t="s">
        <v>215</v>
      </c>
      <c r="Z3734" s="14">
        <v>22497</v>
      </c>
      <c r="AA3734" s="14" t="s">
        <v>7225</v>
      </c>
      <c r="AB3734" s="14">
        <v>40001</v>
      </c>
      <c r="AE3734" s="14" t="s">
        <v>1400</v>
      </c>
      <c r="AF3734" s="14" t="s">
        <v>1400</v>
      </c>
      <c r="AG3734" s="14" t="s">
        <v>1231</v>
      </c>
    </row>
    <row r="3735" spans="2:33">
      <c r="B3735" s="14">
        <f>10000000+INDEX(编号表!$B:$B,MATCH(H3735,编号表!$A:$A,0))*100000+INDEX(编号表!$F:$F,MATCH(D3735,编号表!$E:$E,0))*10000+INDEX(编号表!$D:$D,MATCH(AG3735,编号表!$C:$C,0))*1000+F3735</f>
        <v>11948083</v>
      </c>
      <c r="C3735" s="14" t="s">
        <v>7223</v>
      </c>
      <c r="D3735" s="14" t="s">
        <v>104</v>
      </c>
      <c r="E3735" s="14" t="s">
        <v>1231</v>
      </c>
      <c r="F3735" s="14">
        <v>83</v>
      </c>
      <c r="G3735" s="14">
        <v>60</v>
      </c>
      <c r="H3735" s="14" t="s">
        <v>1400</v>
      </c>
      <c r="I3735" s="14" t="s">
        <v>75</v>
      </c>
      <c r="J3735" s="14" t="s">
        <v>201</v>
      </c>
      <c r="K3735" s="14">
        <v>1</v>
      </c>
      <c r="L3735" s="14" t="s">
        <v>1400</v>
      </c>
      <c r="N3735" s="14">
        <v>0</v>
      </c>
      <c r="O3735" s="14" t="b">
        <v>1</v>
      </c>
      <c r="Q3735" s="14" t="b">
        <v>0</v>
      </c>
      <c r="R3735" s="14">
        <v>1</v>
      </c>
      <c r="S3735" s="14" t="s">
        <v>77</v>
      </c>
      <c r="T3735" s="14">
        <v>999</v>
      </c>
      <c r="U3735" s="14" t="s">
        <v>1401</v>
      </c>
      <c r="V3735" s="14">
        <v>31948083</v>
      </c>
      <c r="X3735" s="14" t="s">
        <v>7226</v>
      </c>
      <c r="Y3735" s="14" t="s">
        <v>215</v>
      </c>
      <c r="Z3735" s="14">
        <v>22498</v>
      </c>
      <c r="AA3735" s="14" t="s">
        <v>7227</v>
      </c>
      <c r="AB3735" s="14">
        <v>40001</v>
      </c>
      <c r="AE3735" s="14" t="s">
        <v>1400</v>
      </c>
      <c r="AF3735" s="14" t="s">
        <v>1400</v>
      </c>
      <c r="AG3735" s="14" t="s">
        <v>1231</v>
      </c>
    </row>
    <row r="3736" spans="2:33">
      <c r="B3736" s="14">
        <f>10000000+INDEX(编号表!$B:$B,MATCH(H3736,编号表!$A:$A,0))*100000+INDEX(编号表!$F:$F,MATCH(D3736,编号表!$E:$E,0))*10000+INDEX(编号表!$D:$D,MATCH(AG3736,编号表!$C:$C,0))*1000+F3736</f>
        <v>11958084</v>
      </c>
      <c r="C3736" s="14" t="s">
        <v>7223</v>
      </c>
      <c r="D3736" s="14" t="s">
        <v>333</v>
      </c>
      <c r="E3736" s="14" t="s">
        <v>1231</v>
      </c>
      <c r="F3736" s="14">
        <v>84</v>
      </c>
      <c r="G3736" s="14">
        <v>60</v>
      </c>
      <c r="H3736" s="14" t="s">
        <v>1400</v>
      </c>
      <c r="I3736" s="14" t="s">
        <v>75</v>
      </c>
      <c r="J3736" s="14" t="s">
        <v>201</v>
      </c>
      <c r="K3736" s="14">
        <v>1</v>
      </c>
      <c r="L3736" s="14" t="s">
        <v>1400</v>
      </c>
      <c r="N3736" s="14">
        <v>0</v>
      </c>
      <c r="O3736" s="14" t="b">
        <v>1</v>
      </c>
      <c r="Q3736" s="14" t="b">
        <v>0</v>
      </c>
      <c r="R3736" s="14">
        <v>1</v>
      </c>
      <c r="S3736" s="14" t="s">
        <v>77</v>
      </c>
      <c r="T3736" s="14">
        <v>999</v>
      </c>
      <c r="U3736" s="14" t="s">
        <v>1401</v>
      </c>
      <c r="V3736" s="14">
        <v>31958084</v>
      </c>
      <c r="X3736" s="14" t="s">
        <v>7228</v>
      </c>
      <c r="Y3736" s="14" t="s">
        <v>215</v>
      </c>
      <c r="Z3736" s="14">
        <v>22499</v>
      </c>
      <c r="AA3736" s="14" t="s">
        <v>7229</v>
      </c>
      <c r="AB3736" s="14">
        <v>40001</v>
      </c>
      <c r="AE3736" s="14" t="s">
        <v>1400</v>
      </c>
      <c r="AF3736" s="14" t="s">
        <v>1400</v>
      </c>
      <c r="AG3736" s="14" t="s">
        <v>1231</v>
      </c>
    </row>
    <row r="3737" spans="2:33">
      <c r="B3737" s="14">
        <f>10000000+INDEX(编号表!$B:$B,MATCH(H3737,编号表!$A:$A,0))*100000+INDEX(编号表!$F:$F,MATCH(D3737,编号表!$E:$E,0))*10000+INDEX(编号表!$D:$D,MATCH(AG3737,编号表!$C:$C,0))*1000+F3737</f>
        <v>11938083</v>
      </c>
      <c r="C3737" s="14" t="s">
        <v>7230</v>
      </c>
      <c r="D3737" s="14" t="s">
        <v>276</v>
      </c>
      <c r="E3737" s="14" t="s">
        <v>1231</v>
      </c>
      <c r="F3737" s="14">
        <v>83</v>
      </c>
      <c r="G3737" s="14">
        <v>60</v>
      </c>
      <c r="H3737" s="14" t="s">
        <v>1400</v>
      </c>
      <c r="I3737" s="14" t="s">
        <v>75</v>
      </c>
      <c r="J3737" s="14" t="s">
        <v>201</v>
      </c>
      <c r="K3737" s="14">
        <v>1</v>
      </c>
      <c r="L3737" s="14" t="s">
        <v>1400</v>
      </c>
      <c r="N3737" s="14">
        <v>0</v>
      </c>
      <c r="O3737" s="14" t="b">
        <v>1</v>
      </c>
      <c r="Q3737" s="14" t="b">
        <v>0</v>
      </c>
      <c r="R3737" s="14">
        <v>1</v>
      </c>
      <c r="S3737" s="14" t="s">
        <v>77</v>
      </c>
      <c r="T3737" s="14">
        <v>999</v>
      </c>
      <c r="U3737" s="14" t="s">
        <v>1401</v>
      </c>
      <c r="V3737" s="14">
        <v>31938083</v>
      </c>
      <c r="X3737" s="14" t="s">
        <v>7231</v>
      </c>
      <c r="Y3737" s="14" t="s">
        <v>215</v>
      </c>
      <c r="Z3737" s="14">
        <v>22500</v>
      </c>
      <c r="AA3737" s="14" t="s">
        <v>7232</v>
      </c>
      <c r="AB3737" s="14">
        <v>40001</v>
      </c>
      <c r="AE3737" s="14" t="s">
        <v>1400</v>
      </c>
      <c r="AF3737" s="14" t="s">
        <v>1400</v>
      </c>
      <c r="AG3737" s="14" t="s">
        <v>1231</v>
      </c>
    </row>
    <row r="3738" spans="2:33">
      <c r="B3738" s="14">
        <f>10000000+INDEX(编号表!$B:$B,MATCH(H3738,编号表!$A:$A,0))*100000+INDEX(编号表!$F:$F,MATCH(D3738,编号表!$E:$E,0))*10000+INDEX(编号表!$D:$D,MATCH(AG3738,编号表!$C:$C,0))*1000+F3738</f>
        <v>11948084</v>
      </c>
      <c r="C3738" s="14" t="s">
        <v>7230</v>
      </c>
      <c r="D3738" s="14" t="s">
        <v>104</v>
      </c>
      <c r="E3738" s="14" t="s">
        <v>1231</v>
      </c>
      <c r="F3738" s="14">
        <v>84</v>
      </c>
      <c r="G3738" s="14">
        <v>60</v>
      </c>
      <c r="H3738" s="14" t="s">
        <v>1400</v>
      </c>
      <c r="I3738" s="14" t="s">
        <v>75</v>
      </c>
      <c r="J3738" s="14" t="s">
        <v>201</v>
      </c>
      <c r="K3738" s="14">
        <v>1</v>
      </c>
      <c r="L3738" s="14" t="s">
        <v>1400</v>
      </c>
      <c r="N3738" s="14">
        <v>0</v>
      </c>
      <c r="O3738" s="14" t="b">
        <v>1</v>
      </c>
      <c r="Q3738" s="14" t="b">
        <v>0</v>
      </c>
      <c r="R3738" s="14">
        <v>1</v>
      </c>
      <c r="S3738" s="14" t="s">
        <v>77</v>
      </c>
      <c r="T3738" s="14">
        <v>999</v>
      </c>
      <c r="U3738" s="14" t="s">
        <v>1401</v>
      </c>
      <c r="V3738" s="14">
        <v>31948084</v>
      </c>
      <c r="X3738" s="14" t="s">
        <v>7233</v>
      </c>
      <c r="Y3738" s="14" t="s">
        <v>215</v>
      </c>
      <c r="Z3738" s="14">
        <v>22501</v>
      </c>
      <c r="AA3738" s="14" t="s">
        <v>7234</v>
      </c>
      <c r="AB3738" s="14">
        <v>40001</v>
      </c>
      <c r="AE3738" s="14" t="s">
        <v>1400</v>
      </c>
      <c r="AF3738" s="14" t="s">
        <v>1400</v>
      </c>
      <c r="AG3738" s="14" t="s">
        <v>1231</v>
      </c>
    </row>
    <row r="3739" spans="2:33">
      <c r="B3739" s="14">
        <f>10000000+INDEX(编号表!$B:$B,MATCH(H3739,编号表!$A:$A,0))*100000+INDEX(编号表!$F:$F,MATCH(D3739,编号表!$E:$E,0))*10000+INDEX(编号表!$D:$D,MATCH(AG3739,编号表!$C:$C,0))*1000+F3739</f>
        <v>11958085</v>
      </c>
      <c r="C3739" s="14" t="s">
        <v>7230</v>
      </c>
      <c r="D3739" s="14" t="s">
        <v>333</v>
      </c>
      <c r="E3739" s="14" t="s">
        <v>1231</v>
      </c>
      <c r="F3739" s="14">
        <v>85</v>
      </c>
      <c r="G3739" s="14">
        <v>60</v>
      </c>
      <c r="H3739" s="14" t="s">
        <v>1400</v>
      </c>
      <c r="I3739" s="14" t="s">
        <v>75</v>
      </c>
      <c r="J3739" s="14" t="s">
        <v>201</v>
      </c>
      <c r="K3739" s="14">
        <v>1</v>
      </c>
      <c r="L3739" s="14" t="s">
        <v>1400</v>
      </c>
      <c r="N3739" s="14">
        <v>0</v>
      </c>
      <c r="O3739" s="14" t="b">
        <v>1</v>
      </c>
      <c r="Q3739" s="14" t="b">
        <v>0</v>
      </c>
      <c r="R3739" s="14">
        <v>1</v>
      </c>
      <c r="S3739" s="14" t="s">
        <v>77</v>
      </c>
      <c r="T3739" s="14">
        <v>999</v>
      </c>
      <c r="U3739" s="14" t="s">
        <v>1401</v>
      </c>
      <c r="V3739" s="14">
        <v>31958085</v>
      </c>
      <c r="X3739" s="14" t="s">
        <v>7235</v>
      </c>
      <c r="Y3739" s="14" t="s">
        <v>215</v>
      </c>
      <c r="Z3739" s="14">
        <v>22502</v>
      </c>
      <c r="AA3739" s="14" t="s">
        <v>7236</v>
      </c>
      <c r="AB3739" s="14">
        <v>40001</v>
      </c>
      <c r="AE3739" s="14" t="s">
        <v>1400</v>
      </c>
      <c r="AF3739" s="14" t="s">
        <v>1400</v>
      </c>
      <c r="AG3739" s="14" t="s">
        <v>1231</v>
      </c>
    </row>
    <row r="3740" spans="2:33">
      <c r="B3740" s="14">
        <f>10000000+INDEX(编号表!$B:$B,MATCH(H3740,编号表!$A:$A,0))*100000+INDEX(编号表!$F:$F,MATCH(D3740,编号表!$E:$E,0))*10000+INDEX(编号表!$D:$D,MATCH(AG3740,编号表!$C:$C,0))*1000+F3740</f>
        <v>11938084</v>
      </c>
      <c r="C3740" s="14" t="s">
        <v>7237</v>
      </c>
      <c r="D3740" s="14" t="s">
        <v>276</v>
      </c>
      <c r="E3740" s="14" t="s">
        <v>1231</v>
      </c>
      <c r="F3740" s="14">
        <v>84</v>
      </c>
      <c r="G3740" s="14">
        <v>60</v>
      </c>
      <c r="H3740" s="14" t="s">
        <v>1400</v>
      </c>
      <c r="I3740" s="14" t="s">
        <v>75</v>
      </c>
      <c r="J3740" s="14" t="s">
        <v>201</v>
      </c>
      <c r="K3740" s="14">
        <v>1</v>
      </c>
      <c r="L3740" s="14" t="s">
        <v>1400</v>
      </c>
      <c r="N3740" s="14">
        <v>0</v>
      </c>
      <c r="O3740" s="14" t="b">
        <v>1</v>
      </c>
      <c r="Q3740" s="14" t="b">
        <v>0</v>
      </c>
      <c r="R3740" s="14">
        <v>1</v>
      </c>
      <c r="S3740" s="14" t="s">
        <v>77</v>
      </c>
      <c r="T3740" s="14">
        <v>999</v>
      </c>
      <c r="U3740" s="14" t="s">
        <v>1401</v>
      </c>
      <c r="V3740" s="14">
        <v>31938084</v>
      </c>
      <c r="X3740" s="14" t="s">
        <v>7238</v>
      </c>
      <c r="Y3740" s="14" t="s">
        <v>215</v>
      </c>
      <c r="Z3740" s="14">
        <v>22503</v>
      </c>
      <c r="AA3740" s="14" t="s">
        <v>7239</v>
      </c>
      <c r="AB3740" s="14">
        <v>40001</v>
      </c>
      <c r="AE3740" s="14" t="s">
        <v>1400</v>
      </c>
      <c r="AF3740" s="14" t="s">
        <v>1400</v>
      </c>
      <c r="AG3740" s="14" t="s">
        <v>1231</v>
      </c>
    </row>
    <row r="3741" spans="2:33">
      <c r="B3741" s="14">
        <f>10000000+INDEX(编号表!$B:$B,MATCH(H3741,编号表!$A:$A,0))*100000+INDEX(编号表!$F:$F,MATCH(D3741,编号表!$E:$E,0))*10000+INDEX(编号表!$D:$D,MATCH(AG3741,编号表!$C:$C,0))*1000+F3741</f>
        <v>11948085</v>
      </c>
      <c r="C3741" s="14" t="s">
        <v>7237</v>
      </c>
      <c r="D3741" s="14" t="s">
        <v>104</v>
      </c>
      <c r="E3741" s="14" t="s">
        <v>1231</v>
      </c>
      <c r="F3741" s="14">
        <v>85</v>
      </c>
      <c r="G3741" s="14">
        <v>60</v>
      </c>
      <c r="H3741" s="14" t="s">
        <v>1400</v>
      </c>
      <c r="I3741" s="14" t="s">
        <v>75</v>
      </c>
      <c r="J3741" s="14" t="s">
        <v>201</v>
      </c>
      <c r="K3741" s="14">
        <v>1</v>
      </c>
      <c r="L3741" s="14" t="s">
        <v>1400</v>
      </c>
      <c r="N3741" s="14">
        <v>0</v>
      </c>
      <c r="O3741" s="14" t="b">
        <v>1</v>
      </c>
      <c r="Q3741" s="14" t="b">
        <v>0</v>
      </c>
      <c r="R3741" s="14">
        <v>1</v>
      </c>
      <c r="S3741" s="14" t="s">
        <v>77</v>
      </c>
      <c r="T3741" s="14">
        <v>999</v>
      </c>
      <c r="U3741" s="14" t="s">
        <v>1401</v>
      </c>
      <c r="V3741" s="14">
        <v>31948085</v>
      </c>
      <c r="X3741" s="14" t="s">
        <v>7240</v>
      </c>
      <c r="Y3741" s="14" t="s">
        <v>215</v>
      </c>
      <c r="Z3741" s="14">
        <v>22504</v>
      </c>
      <c r="AA3741" s="14" t="s">
        <v>7241</v>
      </c>
      <c r="AB3741" s="14">
        <v>40001</v>
      </c>
      <c r="AE3741" s="14" t="s">
        <v>1400</v>
      </c>
      <c r="AF3741" s="14" t="s">
        <v>1400</v>
      </c>
      <c r="AG3741" s="14" t="s">
        <v>1231</v>
      </c>
    </row>
    <row r="3742" spans="2:33">
      <c r="B3742" s="14">
        <f>10000000+INDEX(编号表!$B:$B,MATCH(H3742,编号表!$A:$A,0))*100000+INDEX(编号表!$F:$F,MATCH(D3742,编号表!$E:$E,0))*10000+INDEX(编号表!$D:$D,MATCH(AG3742,编号表!$C:$C,0))*1000+F3742</f>
        <v>11958086</v>
      </c>
      <c r="C3742" s="14" t="s">
        <v>7237</v>
      </c>
      <c r="D3742" s="14" t="s">
        <v>333</v>
      </c>
      <c r="E3742" s="14" t="s">
        <v>1231</v>
      </c>
      <c r="F3742" s="14">
        <v>86</v>
      </c>
      <c r="G3742" s="14">
        <v>60</v>
      </c>
      <c r="H3742" s="14" t="s">
        <v>1400</v>
      </c>
      <c r="I3742" s="14" t="s">
        <v>75</v>
      </c>
      <c r="J3742" s="14" t="s">
        <v>201</v>
      </c>
      <c r="K3742" s="14">
        <v>1</v>
      </c>
      <c r="L3742" s="14" t="s">
        <v>1400</v>
      </c>
      <c r="N3742" s="14">
        <v>0</v>
      </c>
      <c r="O3742" s="14" t="b">
        <v>1</v>
      </c>
      <c r="Q3742" s="14" t="b">
        <v>0</v>
      </c>
      <c r="R3742" s="14">
        <v>1</v>
      </c>
      <c r="S3742" s="14" t="s">
        <v>77</v>
      </c>
      <c r="T3742" s="14">
        <v>999</v>
      </c>
      <c r="U3742" s="14" t="s">
        <v>1401</v>
      </c>
      <c r="V3742" s="14">
        <v>31958086</v>
      </c>
      <c r="X3742" s="14" t="s">
        <v>7242</v>
      </c>
      <c r="Y3742" s="14" t="s">
        <v>215</v>
      </c>
      <c r="Z3742" s="14">
        <v>22505</v>
      </c>
      <c r="AA3742" s="14" t="s">
        <v>7243</v>
      </c>
      <c r="AB3742" s="14">
        <v>40001</v>
      </c>
      <c r="AE3742" s="14" t="s">
        <v>1400</v>
      </c>
      <c r="AF3742" s="14" t="s">
        <v>1400</v>
      </c>
      <c r="AG3742" s="14" t="s">
        <v>1231</v>
      </c>
    </row>
    <row r="3743" spans="2:33">
      <c r="B3743" s="14">
        <f>10000000+INDEX(编号表!$B:$B,MATCH(H3743,编号表!$A:$A,0))*100000+INDEX(编号表!$F:$F,MATCH(D3743,编号表!$E:$E,0))*10000+INDEX(编号表!$D:$D,MATCH(AG3743,编号表!$C:$C,0))*1000+F3743</f>
        <v>11938085</v>
      </c>
      <c r="C3743" s="14" t="s">
        <v>7244</v>
      </c>
      <c r="D3743" s="14" t="s">
        <v>276</v>
      </c>
      <c r="E3743" s="14" t="s">
        <v>1231</v>
      </c>
      <c r="F3743" s="14">
        <v>85</v>
      </c>
      <c r="G3743" s="14">
        <v>60</v>
      </c>
      <c r="H3743" s="14" t="s">
        <v>1400</v>
      </c>
      <c r="I3743" s="14" t="s">
        <v>75</v>
      </c>
      <c r="J3743" s="14" t="s">
        <v>201</v>
      </c>
      <c r="K3743" s="14">
        <v>1</v>
      </c>
      <c r="L3743" s="14" t="s">
        <v>1400</v>
      </c>
      <c r="N3743" s="14">
        <v>0</v>
      </c>
      <c r="O3743" s="14" t="b">
        <v>1</v>
      </c>
      <c r="Q3743" s="14" t="b">
        <v>0</v>
      </c>
      <c r="R3743" s="14">
        <v>1</v>
      </c>
      <c r="S3743" s="14" t="s">
        <v>77</v>
      </c>
      <c r="T3743" s="14">
        <v>999</v>
      </c>
      <c r="U3743" s="14" t="s">
        <v>1401</v>
      </c>
      <c r="V3743" s="14">
        <v>31938085</v>
      </c>
      <c r="X3743" s="14" t="s">
        <v>7245</v>
      </c>
      <c r="Y3743" s="14" t="s">
        <v>215</v>
      </c>
      <c r="Z3743" s="14">
        <v>22506</v>
      </c>
      <c r="AA3743" s="14" t="s">
        <v>7246</v>
      </c>
      <c r="AB3743" s="14">
        <v>40001</v>
      </c>
      <c r="AE3743" s="14" t="s">
        <v>1400</v>
      </c>
      <c r="AF3743" s="14" t="s">
        <v>1400</v>
      </c>
      <c r="AG3743" s="14" t="s">
        <v>1231</v>
      </c>
    </row>
    <row r="3744" spans="2:33">
      <c r="B3744" s="14">
        <f>10000000+INDEX(编号表!$B:$B,MATCH(H3744,编号表!$A:$A,0))*100000+INDEX(编号表!$F:$F,MATCH(D3744,编号表!$E:$E,0))*10000+INDEX(编号表!$D:$D,MATCH(AG3744,编号表!$C:$C,0))*1000+F3744</f>
        <v>11948086</v>
      </c>
      <c r="C3744" s="14" t="s">
        <v>7244</v>
      </c>
      <c r="D3744" s="14" t="s">
        <v>104</v>
      </c>
      <c r="E3744" s="14" t="s">
        <v>1231</v>
      </c>
      <c r="F3744" s="14">
        <v>86</v>
      </c>
      <c r="G3744" s="14">
        <v>60</v>
      </c>
      <c r="H3744" s="14" t="s">
        <v>1400</v>
      </c>
      <c r="I3744" s="14" t="s">
        <v>75</v>
      </c>
      <c r="J3744" s="14" t="s">
        <v>201</v>
      </c>
      <c r="K3744" s="14">
        <v>1</v>
      </c>
      <c r="L3744" s="14" t="s">
        <v>1400</v>
      </c>
      <c r="N3744" s="14">
        <v>0</v>
      </c>
      <c r="O3744" s="14" t="b">
        <v>1</v>
      </c>
      <c r="Q3744" s="14" t="b">
        <v>0</v>
      </c>
      <c r="R3744" s="14">
        <v>1</v>
      </c>
      <c r="S3744" s="14" t="s">
        <v>77</v>
      </c>
      <c r="T3744" s="14">
        <v>999</v>
      </c>
      <c r="U3744" s="14" t="s">
        <v>1401</v>
      </c>
      <c r="V3744" s="14">
        <v>31948086</v>
      </c>
      <c r="X3744" s="14" t="s">
        <v>7247</v>
      </c>
      <c r="Y3744" s="14" t="s">
        <v>215</v>
      </c>
      <c r="Z3744" s="14">
        <v>22507</v>
      </c>
      <c r="AA3744" s="14" t="s">
        <v>7248</v>
      </c>
      <c r="AB3744" s="14">
        <v>40001</v>
      </c>
      <c r="AE3744" s="14" t="s">
        <v>1400</v>
      </c>
      <c r="AF3744" s="14" t="s">
        <v>1400</v>
      </c>
      <c r="AG3744" s="14" t="s">
        <v>1231</v>
      </c>
    </row>
    <row r="3745" spans="2:33">
      <c r="B3745" s="14">
        <f>10000000+INDEX(编号表!$B:$B,MATCH(H3745,编号表!$A:$A,0))*100000+INDEX(编号表!$F:$F,MATCH(D3745,编号表!$E:$E,0))*10000+INDEX(编号表!$D:$D,MATCH(AG3745,编号表!$C:$C,0))*1000+F3745</f>
        <v>11958087</v>
      </c>
      <c r="C3745" s="14" t="s">
        <v>7244</v>
      </c>
      <c r="D3745" s="14" t="s">
        <v>333</v>
      </c>
      <c r="E3745" s="14" t="s">
        <v>1231</v>
      </c>
      <c r="F3745" s="14">
        <v>87</v>
      </c>
      <c r="G3745" s="14">
        <v>60</v>
      </c>
      <c r="H3745" s="14" t="s">
        <v>1400</v>
      </c>
      <c r="I3745" s="14" t="s">
        <v>75</v>
      </c>
      <c r="J3745" s="14" t="s">
        <v>201</v>
      </c>
      <c r="K3745" s="14">
        <v>1</v>
      </c>
      <c r="L3745" s="14" t="s">
        <v>1400</v>
      </c>
      <c r="N3745" s="14">
        <v>0</v>
      </c>
      <c r="O3745" s="14" t="b">
        <v>1</v>
      </c>
      <c r="Q3745" s="14" t="b">
        <v>0</v>
      </c>
      <c r="R3745" s="14">
        <v>1</v>
      </c>
      <c r="S3745" s="14" t="s">
        <v>77</v>
      </c>
      <c r="T3745" s="14">
        <v>999</v>
      </c>
      <c r="U3745" s="14" t="s">
        <v>1401</v>
      </c>
      <c r="V3745" s="14">
        <v>31958087</v>
      </c>
      <c r="X3745" s="14" t="s">
        <v>7249</v>
      </c>
      <c r="Y3745" s="14" t="s">
        <v>215</v>
      </c>
      <c r="Z3745" s="14">
        <v>22508</v>
      </c>
      <c r="AA3745" s="14" t="s">
        <v>7250</v>
      </c>
      <c r="AB3745" s="14">
        <v>40001</v>
      </c>
      <c r="AE3745" s="14" t="s">
        <v>1400</v>
      </c>
      <c r="AF3745" s="14" t="s">
        <v>1400</v>
      </c>
      <c r="AG3745" s="14" t="s">
        <v>1231</v>
      </c>
    </row>
    <row r="3746" spans="2:33">
      <c r="B3746" s="14">
        <f>10000000+INDEX(编号表!$B:$B,MATCH(H3746,编号表!$A:$A,0))*100000+INDEX(编号表!$F:$F,MATCH(D3746,编号表!$E:$E,0))*10000+INDEX(编号表!$D:$D,MATCH(AG3746,编号表!$C:$C,0))*1000+F3746</f>
        <v>11938086</v>
      </c>
      <c r="C3746" s="14" t="s">
        <v>7251</v>
      </c>
      <c r="D3746" s="14" t="s">
        <v>276</v>
      </c>
      <c r="E3746" s="14" t="s">
        <v>1231</v>
      </c>
      <c r="F3746" s="14">
        <v>86</v>
      </c>
      <c r="G3746" s="14">
        <v>60</v>
      </c>
      <c r="H3746" s="14" t="s">
        <v>1400</v>
      </c>
      <c r="I3746" s="14" t="s">
        <v>75</v>
      </c>
      <c r="J3746" s="14" t="s">
        <v>201</v>
      </c>
      <c r="K3746" s="14">
        <v>1</v>
      </c>
      <c r="L3746" s="14" t="s">
        <v>1400</v>
      </c>
      <c r="N3746" s="14">
        <v>0</v>
      </c>
      <c r="O3746" s="14" t="b">
        <v>1</v>
      </c>
      <c r="Q3746" s="14" t="b">
        <v>0</v>
      </c>
      <c r="R3746" s="14">
        <v>1</v>
      </c>
      <c r="S3746" s="14" t="s">
        <v>77</v>
      </c>
      <c r="T3746" s="14">
        <v>999</v>
      </c>
      <c r="U3746" s="14" t="s">
        <v>1401</v>
      </c>
      <c r="V3746" s="14">
        <v>31938086</v>
      </c>
      <c r="X3746" s="14" t="s">
        <v>7252</v>
      </c>
      <c r="Y3746" s="14" t="s">
        <v>215</v>
      </c>
      <c r="Z3746" s="14">
        <v>22509</v>
      </c>
      <c r="AA3746" s="14" t="s">
        <v>7253</v>
      </c>
      <c r="AB3746" s="14">
        <v>40001</v>
      </c>
      <c r="AE3746" s="14" t="s">
        <v>1400</v>
      </c>
      <c r="AF3746" s="14" t="s">
        <v>1400</v>
      </c>
      <c r="AG3746" s="14" t="s">
        <v>1231</v>
      </c>
    </row>
    <row r="3747" spans="2:33">
      <c r="B3747" s="14">
        <f>10000000+INDEX(编号表!$B:$B,MATCH(H3747,编号表!$A:$A,0))*100000+INDEX(编号表!$F:$F,MATCH(D3747,编号表!$E:$E,0))*10000+INDEX(编号表!$D:$D,MATCH(AG3747,编号表!$C:$C,0))*1000+F3747</f>
        <v>11948087</v>
      </c>
      <c r="C3747" s="14" t="s">
        <v>7251</v>
      </c>
      <c r="D3747" s="14" t="s">
        <v>104</v>
      </c>
      <c r="E3747" s="14" t="s">
        <v>1231</v>
      </c>
      <c r="F3747" s="14">
        <v>87</v>
      </c>
      <c r="G3747" s="14">
        <v>60</v>
      </c>
      <c r="H3747" s="14" t="s">
        <v>1400</v>
      </c>
      <c r="I3747" s="14" t="s">
        <v>75</v>
      </c>
      <c r="J3747" s="14" t="s">
        <v>201</v>
      </c>
      <c r="K3747" s="14">
        <v>1</v>
      </c>
      <c r="L3747" s="14" t="s">
        <v>1400</v>
      </c>
      <c r="N3747" s="14">
        <v>0</v>
      </c>
      <c r="O3747" s="14" t="b">
        <v>1</v>
      </c>
      <c r="Q3747" s="14" t="b">
        <v>0</v>
      </c>
      <c r="R3747" s="14">
        <v>1</v>
      </c>
      <c r="S3747" s="14" t="s">
        <v>77</v>
      </c>
      <c r="T3747" s="14">
        <v>999</v>
      </c>
      <c r="U3747" s="14" t="s">
        <v>1401</v>
      </c>
      <c r="V3747" s="14">
        <v>31948087</v>
      </c>
      <c r="X3747" s="14" t="s">
        <v>7254</v>
      </c>
      <c r="Y3747" s="14" t="s">
        <v>215</v>
      </c>
      <c r="Z3747" s="14">
        <v>22510</v>
      </c>
      <c r="AA3747" s="14" t="s">
        <v>7255</v>
      </c>
      <c r="AB3747" s="14">
        <v>40001</v>
      </c>
      <c r="AE3747" s="14" t="s">
        <v>1400</v>
      </c>
      <c r="AF3747" s="14" t="s">
        <v>1400</v>
      </c>
      <c r="AG3747" s="14" t="s">
        <v>1231</v>
      </c>
    </row>
    <row r="3748" spans="2:33">
      <c r="B3748" s="14">
        <f>10000000+INDEX(编号表!$B:$B,MATCH(H3748,编号表!$A:$A,0))*100000+INDEX(编号表!$F:$F,MATCH(D3748,编号表!$E:$E,0))*10000+INDEX(编号表!$D:$D,MATCH(AG3748,编号表!$C:$C,0))*1000+F3748</f>
        <v>11958088</v>
      </c>
      <c r="C3748" s="14" t="s">
        <v>7251</v>
      </c>
      <c r="D3748" s="14" t="s">
        <v>333</v>
      </c>
      <c r="E3748" s="14" t="s">
        <v>1231</v>
      </c>
      <c r="F3748" s="14">
        <v>88</v>
      </c>
      <c r="G3748" s="14">
        <v>60</v>
      </c>
      <c r="H3748" s="14" t="s">
        <v>1400</v>
      </c>
      <c r="I3748" s="14" t="s">
        <v>75</v>
      </c>
      <c r="J3748" s="14" t="s">
        <v>201</v>
      </c>
      <c r="K3748" s="14">
        <v>1</v>
      </c>
      <c r="L3748" s="14" t="s">
        <v>1400</v>
      </c>
      <c r="N3748" s="14">
        <v>0</v>
      </c>
      <c r="O3748" s="14" t="b">
        <v>1</v>
      </c>
      <c r="Q3748" s="14" t="b">
        <v>0</v>
      </c>
      <c r="R3748" s="14">
        <v>1</v>
      </c>
      <c r="S3748" s="14" t="s">
        <v>77</v>
      </c>
      <c r="T3748" s="14">
        <v>999</v>
      </c>
      <c r="U3748" s="14" t="s">
        <v>1401</v>
      </c>
      <c r="V3748" s="14">
        <v>31958088</v>
      </c>
      <c r="X3748" s="14" t="s">
        <v>7256</v>
      </c>
      <c r="Y3748" s="14" t="s">
        <v>215</v>
      </c>
      <c r="Z3748" s="14">
        <v>22511</v>
      </c>
      <c r="AA3748" s="14" t="s">
        <v>7257</v>
      </c>
      <c r="AB3748" s="14">
        <v>40001</v>
      </c>
      <c r="AE3748" s="14" t="s">
        <v>1400</v>
      </c>
      <c r="AF3748" s="14" t="s">
        <v>1400</v>
      </c>
      <c r="AG3748" s="14" t="s">
        <v>1231</v>
      </c>
    </row>
    <row r="3749" spans="2:33">
      <c r="B3749" s="14">
        <f>10000000+INDEX(编号表!$B:$B,MATCH(H3749,编号表!$A:$A,0))*100000+INDEX(编号表!$F:$F,MATCH(D3749,编号表!$E:$E,0))*10000+INDEX(编号表!$D:$D,MATCH(AG3749,编号表!$C:$C,0))*1000+F3749</f>
        <v>11938087</v>
      </c>
      <c r="C3749" s="14" t="s">
        <v>7258</v>
      </c>
      <c r="D3749" s="14" t="s">
        <v>276</v>
      </c>
      <c r="E3749" s="14" t="s">
        <v>1231</v>
      </c>
      <c r="F3749" s="14">
        <v>87</v>
      </c>
      <c r="G3749" s="14">
        <v>60</v>
      </c>
      <c r="H3749" s="14" t="s">
        <v>1400</v>
      </c>
      <c r="I3749" s="14" t="s">
        <v>75</v>
      </c>
      <c r="J3749" s="14" t="s">
        <v>201</v>
      </c>
      <c r="K3749" s="14">
        <v>1</v>
      </c>
      <c r="L3749" s="14" t="s">
        <v>1400</v>
      </c>
      <c r="N3749" s="14">
        <v>0</v>
      </c>
      <c r="O3749" s="14" t="b">
        <v>1</v>
      </c>
      <c r="Q3749" s="14" t="b">
        <v>0</v>
      </c>
      <c r="R3749" s="14">
        <v>1</v>
      </c>
      <c r="S3749" s="14" t="s">
        <v>77</v>
      </c>
      <c r="T3749" s="14">
        <v>999</v>
      </c>
      <c r="U3749" s="14" t="s">
        <v>1401</v>
      </c>
      <c r="V3749" s="14">
        <v>31938087</v>
      </c>
      <c r="X3749" s="14" t="s">
        <v>7259</v>
      </c>
      <c r="Y3749" s="14" t="s">
        <v>215</v>
      </c>
      <c r="Z3749" s="14">
        <v>22512</v>
      </c>
      <c r="AA3749" s="14" t="s">
        <v>7260</v>
      </c>
      <c r="AB3749" s="14">
        <v>40001</v>
      </c>
      <c r="AE3749" s="14" t="s">
        <v>1400</v>
      </c>
      <c r="AF3749" s="14" t="s">
        <v>1400</v>
      </c>
      <c r="AG3749" s="14" t="s">
        <v>1231</v>
      </c>
    </row>
    <row r="3750" spans="2:33">
      <c r="B3750" s="14">
        <f>10000000+INDEX(编号表!$B:$B,MATCH(H3750,编号表!$A:$A,0))*100000+INDEX(编号表!$F:$F,MATCH(D3750,编号表!$E:$E,0))*10000+INDEX(编号表!$D:$D,MATCH(AG3750,编号表!$C:$C,0))*1000+F3750</f>
        <v>11948088</v>
      </c>
      <c r="C3750" s="14" t="s">
        <v>7258</v>
      </c>
      <c r="D3750" s="14" t="s">
        <v>104</v>
      </c>
      <c r="E3750" s="14" t="s">
        <v>1231</v>
      </c>
      <c r="F3750" s="14">
        <v>88</v>
      </c>
      <c r="G3750" s="14">
        <v>60</v>
      </c>
      <c r="H3750" s="14" t="s">
        <v>1400</v>
      </c>
      <c r="I3750" s="14" t="s">
        <v>75</v>
      </c>
      <c r="J3750" s="14" t="s">
        <v>201</v>
      </c>
      <c r="K3750" s="14">
        <v>1</v>
      </c>
      <c r="L3750" s="14" t="s">
        <v>1400</v>
      </c>
      <c r="N3750" s="14">
        <v>0</v>
      </c>
      <c r="O3750" s="14" t="b">
        <v>1</v>
      </c>
      <c r="Q3750" s="14" t="b">
        <v>0</v>
      </c>
      <c r="R3750" s="14">
        <v>1</v>
      </c>
      <c r="S3750" s="14" t="s">
        <v>77</v>
      </c>
      <c r="T3750" s="14">
        <v>999</v>
      </c>
      <c r="U3750" s="14" t="s">
        <v>1401</v>
      </c>
      <c r="V3750" s="14">
        <v>31948088</v>
      </c>
      <c r="X3750" s="14" t="s">
        <v>7261</v>
      </c>
      <c r="Y3750" s="14" t="s">
        <v>215</v>
      </c>
      <c r="Z3750" s="14">
        <v>22513</v>
      </c>
      <c r="AA3750" s="14" t="s">
        <v>7262</v>
      </c>
      <c r="AB3750" s="14">
        <v>40001</v>
      </c>
      <c r="AE3750" s="14" t="s">
        <v>1400</v>
      </c>
      <c r="AF3750" s="14" t="s">
        <v>1400</v>
      </c>
      <c r="AG3750" s="14" t="s">
        <v>1231</v>
      </c>
    </row>
    <row r="3751" spans="2:33">
      <c r="B3751" s="14">
        <f>10000000+INDEX(编号表!$B:$B,MATCH(H3751,编号表!$A:$A,0))*100000+INDEX(编号表!$F:$F,MATCH(D3751,编号表!$E:$E,0))*10000+INDEX(编号表!$D:$D,MATCH(AG3751,编号表!$C:$C,0))*1000+F3751</f>
        <v>11958089</v>
      </c>
      <c r="C3751" s="14" t="s">
        <v>7258</v>
      </c>
      <c r="D3751" s="14" t="s">
        <v>333</v>
      </c>
      <c r="E3751" s="14" t="s">
        <v>1231</v>
      </c>
      <c r="F3751" s="14">
        <v>89</v>
      </c>
      <c r="G3751" s="14">
        <v>60</v>
      </c>
      <c r="H3751" s="14" t="s">
        <v>1400</v>
      </c>
      <c r="I3751" s="14" t="s">
        <v>75</v>
      </c>
      <c r="J3751" s="14" t="s">
        <v>201</v>
      </c>
      <c r="K3751" s="14">
        <v>1</v>
      </c>
      <c r="L3751" s="14" t="s">
        <v>1400</v>
      </c>
      <c r="N3751" s="14">
        <v>0</v>
      </c>
      <c r="O3751" s="14" t="b">
        <v>1</v>
      </c>
      <c r="Q3751" s="14" t="b">
        <v>0</v>
      </c>
      <c r="R3751" s="14">
        <v>1</v>
      </c>
      <c r="S3751" s="14" t="s">
        <v>77</v>
      </c>
      <c r="T3751" s="14">
        <v>999</v>
      </c>
      <c r="U3751" s="14" t="s">
        <v>1401</v>
      </c>
      <c r="V3751" s="14">
        <v>31958089</v>
      </c>
      <c r="X3751" s="14" t="s">
        <v>7263</v>
      </c>
      <c r="Y3751" s="14" t="s">
        <v>215</v>
      </c>
      <c r="Z3751" s="14">
        <v>22514</v>
      </c>
      <c r="AA3751" s="14" t="s">
        <v>7264</v>
      </c>
      <c r="AB3751" s="14">
        <v>40001</v>
      </c>
      <c r="AE3751" s="14" t="s">
        <v>1400</v>
      </c>
      <c r="AF3751" s="14" t="s">
        <v>1400</v>
      </c>
      <c r="AG3751" s="14" t="s">
        <v>1231</v>
      </c>
    </row>
    <row r="3752" spans="2:33">
      <c r="B3752" s="14">
        <f>10000000+INDEX(编号表!$B:$B,MATCH(H3752,编号表!$A:$A,0))*100000+INDEX(编号表!$F:$F,MATCH(D3752,编号表!$E:$E,0))*10000+INDEX(编号表!$D:$D,MATCH(AG3752,编号表!$C:$C,0))*1000+F3752</f>
        <v>11938088</v>
      </c>
      <c r="C3752" s="14" t="s">
        <v>7265</v>
      </c>
      <c r="D3752" s="14" t="s">
        <v>276</v>
      </c>
      <c r="E3752" s="14" t="s">
        <v>1231</v>
      </c>
      <c r="F3752" s="14">
        <v>88</v>
      </c>
      <c r="G3752" s="14">
        <v>60</v>
      </c>
      <c r="H3752" s="14" t="s">
        <v>1400</v>
      </c>
      <c r="I3752" s="14" t="s">
        <v>75</v>
      </c>
      <c r="J3752" s="14" t="s">
        <v>201</v>
      </c>
      <c r="K3752" s="14">
        <v>1</v>
      </c>
      <c r="L3752" s="14" t="s">
        <v>1400</v>
      </c>
      <c r="N3752" s="14">
        <v>0</v>
      </c>
      <c r="O3752" s="14" t="b">
        <v>1</v>
      </c>
      <c r="Q3752" s="14" t="b">
        <v>0</v>
      </c>
      <c r="R3752" s="14">
        <v>1</v>
      </c>
      <c r="S3752" s="14" t="s">
        <v>77</v>
      </c>
      <c r="T3752" s="14">
        <v>999</v>
      </c>
      <c r="U3752" s="14" t="s">
        <v>1401</v>
      </c>
      <c r="V3752" s="14">
        <v>31938088</v>
      </c>
      <c r="X3752" s="14" t="s">
        <v>7266</v>
      </c>
      <c r="Y3752" s="14" t="s">
        <v>215</v>
      </c>
      <c r="Z3752" s="14">
        <v>22515</v>
      </c>
      <c r="AA3752" s="14" t="s">
        <v>7267</v>
      </c>
      <c r="AB3752" s="14">
        <v>40001</v>
      </c>
      <c r="AE3752" s="14" t="s">
        <v>1400</v>
      </c>
      <c r="AF3752" s="14" t="s">
        <v>1400</v>
      </c>
      <c r="AG3752" s="14" t="s">
        <v>1231</v>
      </c>
    </row>
    <row r="3753" spans="2:33">
      <c r="B3753" s="14">
        <f>10000000+INDEX(编号表!$B:$B,MATCH(H3753,编号表!$A:$A,0))*100000+INDEX(编号表!$F:$F,MATCH(D3753,编号表!$E:$E,0))*10000+INDEX(编号表!$D:$D,MATCH(AG3753,编号表!$C:$C,0))*1000+F3753</f>
        <v>11948089</v>
      </c>
      <c r="C3753" s="14" t="s">
        <v>7265</v>
      </c>
      <c r="D3753" s="14" t="s">
        <v>104</v>
      </c>
      <c r="E3753" s="14" t="s">
        <v>1231</v>
      </c>
      <c r="F3753" s="14">
        <v>89</v>
      </c>
      <c r="G3753" s="14">
        <v>60</v>
      </c>
      <c r="H3753" s="14" t="s">
        <v>1400</v>
      </c>
      <c r="I3753" s="14" t="s">
        <v>75</v>
      </c>
      <c r="J3753" s="14" t="s">
        <v>201</v>
      </c>
      <c r="K3753" s="14">
        <v>1</v>
      </c>
      <c r="L3753" s="14" t="s">
        <v>1400</v>
      </c>
      <c r="N3753" s="14">
        <v>0</v>
      </c>
      <c r="O3753" s="14" t="b">
        <v>1</v>
      </c>
      <c r="Q3753" s="14" t="b">
        <v>0</v>
      </c>
      <c r="R3753" s="14">
        <v>1</v>
      </c>
      <c r="S3753" s="14" t="s">
        <v>77</v>
      </c>
      <c r="T3753" s="14">
        <v>999</v>
      </c>
      <c r="U3753" s="14" t="s">
        <v>1401</v>
      </c>
      <c r="V3753" s="14">
        <v>31948089</v>
      </c>
      <c r="X3753" s="14" t="s">
        <v>7268</v>
      </c>
      <c r="Y3753" s="14" t="s">
        <v>215</v>
      </c>
      <c r="Z3753" s="14">
        <v>22516</v>
      </c>
      <c r="AA3753" s="14" t="s">
        <v>7269</v>
      </c>
      <c r="AB3753" s="14">
        <v>40001</v>
      </c>
      <c r="AE3753" s="14" t="s">
        <v>1400</v>
      </c>
      <c r="AF3753" s="14" t="s">
        <v>1400</v>
      </c>
      <c r="AG3753" s="14" t="s">
        <v>1231</v>
      </c>
    </row>
    <row r="3754" spans="2:33">
      <c r="B3754" s="14">
        <f>10000000+INDEX(编号表!$B:$B,MATCH(H3754,编号表!$A:$A,0))*100000+INDEX(编号表!$F:$F,MATCH(D3754,编号表!$E:$E,0))*10000+INDEX(编号表!$D:$D,MATCH(AG3754,编号表!$C:$C,0))*1000+F3754</f>
        <v>11958090</v>
      </c>
      <c r="C3754" s="14" t="s">
        <v>7265</v>
      </c>
      <c r="D3754" s="14" t="s">
        <v>333</v>
      </c>
      <c r="E3754" s="14" t="s">
        <v>1231</v>
      </c>
      <c r="F3754" s="14">
        <v>90</v>
      </c>
      <c r="G3754" s="14">
        <v>60</v>
      </c>
      <c r="H3754" s="14" t="s">
        <v>1400</v>
      </c>
      <c r="I3754" s="14" t="s">
        <v>75</v>
      </c>
      <c r="J3754" s="14" t="s">
        <v>201</v>
      </c>
      <c r="K3754" s="14">
        <v>1</v>
      </c>
      <c r="L3754" s="14" t="s">
        <v>1400</v>
      </c>
      <c r="N3754" s="14">
        <v>0</v>
      </c>
      <c r="O3754" s="14" t="b">
        <v>1</v>
      </c>
      <c r="Q3754" s="14" t="b">
        <v>0</v>
      </c>
      <c r="R3754" s="14">
        <v>1</v>
      </c>
      <c r="S3754" s="14" t="s">
        <v>77</v>
      </c>
      <c r="T3754" s="14">
        <v>999</v>
      </c>
      <c r="U3754" s="14" t="s">
        <v>1401</v>
      </c>
      <c r="V3754" s="14">
        <v>31958090</v>
      </c>
      <c r="X3754" s="14" t="s">
        <v>7270</v>
      </c>
      <c r="Y3754" s="14" t="s">
        <v>215</v>
      </c>
      <c r="Z3754" s="14">
        <v>22517</v>
      </c>
      <c r="AA3754" s="14" t="s">
        <v>7271</v>
      </c>
      <c r="AB3754" s="14">
        <v>40001</v>
      </c>
      <c r="AE3754" s="14" t="s">
        <v>1400</v>
      </c>
      <c r="AF3754" s="14" t="s">
        <v>1400</v>
      </c>
      <c r="AG3754" s="14" t="s">
        <v>1231</v>
      </c>
    </row>
    <row r="3755" spans="2:33">
      <c r="B3755" s="14">
        <f>10000000+INDEX(编号表!$B:$B,MATCH(H3755,编号表!$A:$A,0))*100000+INDEX(编号表!$F:$F,MATCH(D3755,编号表!$E:$E,0))*10000+INDEX(编号表!$D:$D,MATCH(AG3755,编号表!$C:$C,0))*1000+F3755</f>
        <v>11938089</v>
      </c>
      <c r="C3755" s="14" t="s">
        <v>7272</v>
      </c>
      <c r="D3755" s="14" t="s">
        <v>276</v>
      </c>
      <c r="E3755" s="14" t="s">
        <v>1231</v>
      </c>
      <c r="F3755" s="14">
        <v>89</v>
      </c>
      <c r="G3755" s="14">
        <v>60</v>
      </c>
      <c r="H3755" s="14" t="s">
        <v>1400</v>
      </c>
      <c r="I3755" s="14" t="s">
        <v>75</v>
      </c>
      <c r="J3755" s="14" t="s">
        <v>201</v>
      </c>
      <c r="K3755" s="14">
        <v>1</v>
      </c>
      <c r="L3755" s="14" t="s">
        <v>1400</v>
      </c>
      <c r="N3755" s="14">
        <v>0</v>
      </c>
      <c r="O3755" s="14" t="b">
        <v>1</v>
      </c>
      <c r="Q3755" s="14" t="b">
        <v>0</v>
      </c>
      <c r="R3755" s="14">
        <v>1</v>
      </c>
      <c r="S3755" s="14" t="s">
        <v>77</v>
      </c>
      <c r="T3755" s="14">
        <v>999</v>
      </c>
      <c r="U3755" s="14" t="s">
        <v>1401</v>
      </c>
      <c r="V3755" s="14">
        <v>31938089</v>
      </c>
      <c r="X3755" s="14" t="s">
        <v>7273</v>
      </c>
      <c r="Y3755" s="14" t="s">
        <v>215</v>
      </c>
      <c r="Z3755" s="14">
        <v>22518</v>
      </c>
      <c r="AA3755" s="14" t="s">
        <v>7274</v>
      </c>
      <c r="AB3755" s="14">
        <v>40001</v>
      </c>
      <c r="AE3755" s="14" t="s">
        <v>1400</v>
      </c>
      <c r="AF3755" s="14" t="s">
        <v>1400</v>
      </c>
      <c r="AG3755" s="14" t="s">
        <v>1231</v>
      </c>
    </row>
    <row r="3756" spans="2:33">
      <c r="B3756" s="14">
        <f>10000000+INDEX(编号表!$B:$B,MATCH(H3756,编号表!$A:$A,0))*100000+INDEX(编号表!$F:$F,MATCH(D3756,编号表!$E:$E,0))*10000+INDEX(编号表!$D:$D,MATCH(AG3756,编号表!$C:$C,0))*1000+F3756</f>
        <v>11948090</v>
      </c>
      <c r="C3756" s="14" t="s">
        <v>7272</v>
      </c>
      <c r="D3756" s="14" t="s">
        <v>104</v>
      </c>
      <c r="E3756" s="14" t="s">
        <v>1231</v>
      </c>
      <c r="F3756" s="14">
        <v>90</v>
      </c>
      <c r="G3756" s="14">
        <v>60</v>
      </c>
      <c r="H3756" s="14" t="s">
        <v>1400</v>
      </c>
      <c r="I3756" s="14" t="s">
        <v>75</v>
      </c>
      <c r="J3756" s="14" t="s">
        <v>201</v>
      </c>
      <c r="K3756" s="14">
        <v>1</v>
      </c>
      <c r="L3756" s="14" t="s">
        <v>1400</v>
      </c>
      <c r="N3756" s="14">
        <v>0</v>
      </c>
      <c r="O3756" s="14" t="b">
        <v>1</v>
      </c>
      <c r="Q3756" s="14" t="b">
        <v>0</v>
      </c>
      <c r="R3756" s="14">
        <v>1</v>
      </c>
      <c r="S3756" s="14" t="s">
        <v>77</v>
      </c>
      <c r="T3756" s="14">
        <v>999</v>
      </c>
      <c r="U3756" s="14" t="s">
        <v>1401</v>
      </c>
      <c r="V3756" s="14">
        <v>31948090</v>
      </c>
      <c r="X3756" s="14" t="s">
        <v>7275</v>
      </c>
      <c r="Y3756" s="14" t="s">
        <v>215</v>
      </c>
      <c r="Z3756" s="14">
        <v>22519</v>
      </c>
      <c r="AA3756" s="14" t="s">
        <v>7276</v>
      </c>
      <c r="AB3756" s="14">
        <v>40001</v>
      </c>
      <c r="AE3756" s="14" t="s">
        <v>1400</v>
      </c>
      <c r="AF3756" s="14" t="s">
        <v>1400</v>
      </c>
      <c r="AG3756" s="14" t="s">
        <v>1231</v>
      </c>
    </row>
    <row r="3757" spans="2:33">
      <c r="B3757" s="14">
        <f>10000000+INDEX(编号表!$B:$B,MATCH(H3757,编号表!$A:$A,0))*100000+INDEX(编号表!$F:$F,MATCH(D3757,编号表!$E:$E,0))*10000+INDEX(编号表!$D:$D,MATCH(AG3757,编号表!$C:$C,0))*1000+F3757</f>
        <v>11958091</v>
      </c>
      <c r="C3757" s="14" t="s">
        <v>7272</v>
      </c>
      <c r="D3757" s="14" t="s">
        <v>333</v>
      </c>
      <c r="E3757" s="14" t="s">
        <v>1231</v>
      </c>
      <c r="F3757" s="14">
        <v>91</v>
      </c>
      <c r="G3757" s="14">
        <v>60</v>
      </c>
      <c r="H3757" s="14" t="s">
        <v>1400</v>
      </c>
      <c r="I3757" s="14" t="s">
        <v>75</v>
      </c>
      <c r="J3757" s="14" t="s">
        <v>201</v>
      </c>
      <c r="K3757" s="14">
        <v>1</v>
      </c>
      <c r="L3757" s="14" t="s">
        <v>1400</v>
      </c>
      <c r="N3757" s="14">
        <v>0</v>
      </c>
      <c r="O3757" s="14" t="b">
        <v>1</v>
      </c>
      <c r="Q3757" s="14" t="b">
        <v>0</v>
      </c>
      <c r="R3757" s="14">
        <v>1</v>
      </c>
      <c r="S3757" s="14" t="s">
        <v>77</v>
      </c>
      <c r="T3757" s="14">
        <v>999</v>
      </c>
      <c r="U3757" s="14" t="s">
        <v>1401</v>
      </c>
      <c r="V3757" s="14">
        <v>31958091</v>
      </c>
      <c r="X3757" s="14" t="s">
        <v>7277</v>
      </c>
      <c r="Y3757" s="14" t="s">
        <v>215</v>
      </c>
      <c r="Z3757" s="14">
        <v>22520</v>
      </c>
      <c r="AA3757" s="14" t="s">
        <v>7278</v>
      </c>
      <c r="AB3757" s="14">
        <v>40001</v>
      </c>
      <c r="AE3757" s="14" t="s">
        <v>1400</v>
      </c>
      <c r="AF3757" s="14" t="s">
        <v>1400</v>
      </c>
      <c r="AG3757" s="14" t="s">
        <v>1231</v>
      </c>
    </row>
    <row r="3758" spans="2:33">
      <c r="B3758" s="14">
        <f>10000000+INDEX(编号表!$B:$B,MATCH(H3758,编号表!$A:$A,0))*100000+INDEX(编号表!$F:$F,MATCH(D3758,编号表!$E:$E,0))*10000+INDEX(编号表!$D:$D,MATCH(AG3758,编号表!$C:$C,0))*1000+F3758</f>
        <v>11938090</v>
      </c>
      <c r="C3758" s="14" t="s">
        <v>7279</v>
      </c>
      <c r="D3758" s="14" t="s">
        <v>276</v>
      </c>
      <c r="E3758" s="14" t="s">
        <v>1231</v>
      </c>
      <c r="F3758" s="14">
        <v>90</v>
      </c>
      <c r="G3758" s="14">
        <v>60</v>
      </c>
      <c r="H3758" s="14" t="s">
        <v>1400</v>
      </c>
      <c r="I3758" s="14" t="s">
        <v>75</v>
      </c>
      <c r="J3758" s="14" t="s">
        <v>201</v>
      </c>
      <c r="K3758" s="14">
        <v>1</v>
      </c>
      <c r="L3758" s="14" t="s">
        <v>1400</v>
      </c>
      <c r="N3758" s="14">
        <v>0</v>
      </c>
      <c r="O3758" s="14" t="b">
        <v>1</v>
      </c>
      <c r="Q3758" s="14" t="b">
        <v>0</v>
      </c>
      <c r="R3758" s="14">
        <v>1</v>
      </c>
      <c r="S3758" s="14" t="s">
        <v>77</v>
      </c>
      <c r="T3758" s="14">
        <v>999</v>
      </c>
      <c r="U3758" s="14" t="s">
        <v>1401</v>
      </c>
      <c r="V3758" s="14">
        <v>31938090</v>
      </c>
      <c r="X3758" s="14" t="s">
        <v>7280</v>
      </c>
      <c r="Y3758" s="14" t="s">
        <v>215</v>
      </c>
      <c r="Z3758" s="14">
        <v>22521</v>
      </c>
      <c r="AA3758" s="14" t="s">
        <v>7281</v>
      </c>
      <c r="AB3758" s="14">
        <v>40001</v>
      </c>
      <c r="AE3758" s="14" t="s">
        <v>1400</v>
      </c>
      <c r="AF3758" s="14" t="s">
        <v>1400</v>
      </c>
      <c r="AG3758" s="14" t="s">
        <v>1231</v>
      </c>
    </row>
    <row r="3759" spans="2:33">
      <c r="B3759" s="14">
        <f>10000000+INDEX(编号表!$B:$B,MATCH(H3759,编号表!$A:$A,0))*100000+INDEX(编号表!$F:$F,MATCH(D3759,编号表!$E:$E,0))*10000+INDEX(编号表!$D:$D,MATCH(AG3759,编号表!$C:$C,0))*1000+F3759</f>
        <v>11948091</v>
      </c>
      <c r="C3759" s="14" t="s">
        <v>7279</v>
      </c>
      <c r="D3759" s="14" t="s">
        <v>104</v>
      </c>
      <c r="E3759" s="14" t="s">
        <v>1231</v>
      </c>
      <c r="F3759" s="14">
        <v>91</v>
      </c>
      <c r="G3759" s="14">
        <v>60</v>
      </c>
      <c r="H3759" s="14" t="s">
        <v>1400</v>
      </c>
      <c r="I3759" s="14" t="s">
        <v>75</v>
      </c>
      <c r="J3759" s="14" t="s">
        <v>201</v>
      </c>
      <c r="K3759" s="14">
        <v>1</v>
      </c>
      <c r="L3759" s="14" t="s">
        <v>1400</v>
      </c>
      <c r="N3759" s="14">
        <v>0</v>
      </c>
      <c r="O3759" s="14" t="b">
        <v>1</v>
      </c>
      <c r="Q3759" s="14" t="b">
        <v>0</v>
      </c>
      <c r="R3759" s="14">
        <v>1</v>
      </c>
      <c r="S3759" s="14" t="s">
        <v>77</v>
      </c>
      <c r="T3759" s="14">
        <v>999</v>
      </c>
      <c r="U3759" s="14" t="s">
        <v>1401</v>
      </c>
      <c r="V3759" s="14">
        <v>31948091</v>
      </c>
      <c r="X3759" s="14" t="s">
        <v>7282</v>
      </c>
      <c r="Y3759" s="14" t="s">
        <v>215</v>
      </c>
      <c r="Z3759" s="14">
        <v>22522</v>
      </c>
      <c r="AA3759" s="14" t="s">
        <v>7283</v>
      </c>
      <c r="AB3759" s="14">
        <v>40001</v>
      </c>
      <c r="AE3759" s="14" t="s">
        <v>1400</v>
      </c>
      <c r="AF3759" s="14" t="s">
        <v>1400</v>
      </c>
      <c r="AG3759" s="14" t="s">
        <v>1231</v>
      </c>
    </row>
    <row r="3760" spans="2:33">
      <c r="B3760" s="14">
        <f>10000000+INDEX(编号表!$B:$B,MATCH(H3760,编号表!$A:$A,0))*100000+INDEX(编号表!$F:$F,MATCH(D3760,编号表!$E:$E,0))*10000+INDEX(编号表!$D:$D,MATCH(AG3760,编号表!$C:$C,0))*1000+F3760</f>
        <v>11958092</v>
      </c>
      <c r="C3760" s="14" t="s">
        <v>7279</v>
      </c>
      <c r="D3760" s="14" t="s">
        <v>333</v>
      </c>
      <c r="E3760" s="14" t="s">
        <v>1231</v>
      </c>
      <c r="F3760" s="14">
        <v>92</v>
      </c>
      <c r="G3760" s="14">
        <v>60</v>
      </c>
      <c r="H3760" s="14" t="s">
        <v>1400</v>
      </c>
      <c r="I3760" s="14" t="s">
        <v>75</v>
      </c>
      <c r="J3760" s="14" t="s">
        <v>201</v>
      </c>
      <c r="K3760" s="14">
        <v>1</v>
      </c>
      <c r="L3760" s="14" t="s">
        <v>1400</v>
      </c>
      <c r="N3760" s="14">
        <v>0</v>
      </c>
      <c r="O3760" s="14" t="b">
        <v>1</v>
      </c>
      <c r="Q3760" s="14" t="b">
        <v>0</v>
      </c>
      <c r="R3760" s="14">
        <v>1</v>
      </c>
      <c r="S3760" s="14" t="s">
        <v>77</v>
      </c>
      <c r="T3760" s="14">
        <v>999</v>
      </c>
      <c r="U3760" s="14" t="s">
        <v>1401</v>
      </c>
      <c r="V3760" s="14">
        <v>31958092</v>
      </c>
      <c r="X3760" s="14" t="s">
        <v>7284</v>
      </c>
      <c r="Y3760" s="14" t="s">
        <v>215</v>
      </c>
      <c r="Z3760" s="14">
        <v>22523</v>
      </c>
      <c r="AA3760" s="14" t="s">
        <v>7285</v>
      </c>
      <c r="AB3760" s="14">
        <v>40001</v>
      </c>
      <c r="AE3760" s="14" t="s">
        <v>1400</v>
      </c>
      <c r="AF3760" s="14" t="s">
        <v>1400</v>
      </c>
      <c r="AG3760" s="14" t="s">
        <v>1231</v>
      </c>
    </row>
    <row r="3761" spans="2:33">
      <c r="B3761" s="14">
        <f>10000000+INDEX(编号表!$B:$B,MATCH(H3761,编号表!$A:$A,0))*100000+INDEX(编号表!$F:$F,MATCH(D3761,编号表!$E:$E,0))*10000+INDEX(编号表!$D:$D,MATCH(AG3761,编号表!$C:$C,0))*1000+F3761</f>
        <v>11938091</v>
      </c>
      <c r="C3761" s="14" t="s">
        <v>7286</v>
      </c>
      <c r="D3761" s="14" t="s">
        <v>276</v>
      </c>
      <c r="E3761" s="14" t="s">
        <v>1231</v>
      </c>
      <c r="F3761" s="14">
        <v>91</v>
      </c>
      <c r="G3761" s="14">
        <v>60</v>
      </c>
      <c r="H3761" s="14" t="s">
        <v>1400</v>
      </c>
      <c r="I3761" s="14" t="s">
        <v>75</v>
      </c>
      <c r="J3761" s="14" t="s">
        <v>201</v>
      </c>
      <c r="K3761" s="14">
        <v>1</v>
      </c>
      <c r="L3761" s="14" t="s">
        <v>1400</v>
      </c>
      <c r="N3761" s="14">
        <v>0</v>
      </c>
      <c r="O3761" s="14" t="b">
        <v>1</v>
      </c>
      <c r="Q3761" s="14" t="b">
        <v>0</v>
      </c>
      <c r="R3761" s="14">
        <v>1</v>
      </c>
      <c r="S3761" s="14" t="s">
        <v>77</v>
      </c>
      <c r="T3761" s="14">
        <v>999</v>
      </c>
      <c r="U3761" s="14" t="s">
        <v>1401</v>
      </c>
      <c r="V3761" s="14">
        <v>31938091</v>
      </c>
      <c r="X3761" s="14" t="s">
        <v>7287</v>
      </c>
      <c r="Y3761" s="14" t="s">
        <v>215</v>
      </c>
      <c r="Z3761" s="14">
        <v>22524</v>
      </c>
      <c r="AA3761" s="14" t="s">
        <v>7288</v>
      </c>
      <c r="AB3761" s="14">
        <v>40001</v>
      </c>
      <c r="AE3761" s="14" t="s">
        <v>1400</v>
      </c>
      <c r="AF3761" s="14" t="s">
        <v>1400</v>
      </c>
      <c r="AG3761" s="14" t="s">
        <v>1231</v>
      </c>
    </row>
    <row r="3762" spans="2:33">
      <c r="B3762" s="14">
        <f>10000000+INDEX(编号表!$B:$B,MATCH(H3762,编号表!$A:$A,0))*100000+INDEX(编号表!$F:$F,MATCH(D3762,编号表!$E:$E,0))*10000+INDEX(编号表!$D:$D,MATCH(AG3762,编号表!$C:$C,0))*1000+F3762</f>
        <v>11948092</v>
      </c>
      <c r="C3762" s="14" t="s">
        <v>7286</v>
      </c>
      <c r="D3762" s="14" t="s">
        <v>104</v>
      </c>
      <c r="E3762" s="14" t="s">
        <v>1231</v>
      </c>
      <c r="F3762" s="14">
        <v>92</v>
      </c>
      <c r="G3762" s="14">
        <v>60</v>
      </c>
      <c r="H3762" s="14" t="s">
        <v>1400</v>
      </c>
      <c r="I3762" s="14" t="s">
        <v>75</v>
      </c>
      <c r="J3762" s="14" t="s">
        <v>201</v>
      </c>
      <c r="K3762" s="14">
        <v>1</v>
      </c>
      <c r="L3762" s="14" t="s">
        <v>1400</v>
      </c>
      <c r="N3762" s="14">
        <v>0</v>
      </c>
      <c r="O3762" s="14" t="b">
        <v>1</v>
      </c>
      <c r="Q3762" s="14" t="b">
        <v>0</v>
      </c>
      <c r="R3762" s="14">
        <v>1</v>
      </c>
      <c r="S3762" s="14" t="s">
        <v>77</v>
      </c>
      <c r="T3762" s="14">
        <v>999</v>
      </c>
      <c r="U3762" s="14" t="s">
        <v>1401</v>
      </c>
      <c r="V3762" s="14">
        <v>31948092</v>
      </c>
      <c r="X3762" s="14" t="s">
        <v>7289</v>
      </c>
      <c r="Y3762" s="14" t="s">
        <v>215</v>
      </c>
      <c r="Z3762" s="14">
        <v>22525</v>
      </c>
      <c r="AA3762" s="14" t="s">
        <v>7290</v>
      </c>
      <c r="AB3762" s="14">
        <v>40001</v>
      </c>
      <c r="AE3762" s="14" t="s">
        <v>1400</v>
      </c>
      <c r="AF3762" s="14" t="s">
        <v>1400</v>
      </c>
      <c r="AG3762" s="14" t="s">
        <v>1231</v>
      </c>
    </row>
    <row r="3763" spans="2:33">
      <c r="B3763" s="14">
        <f>10000000+INDEX(编号表!$B:$B,MATCH(H3763,编号表!$A:$A,0))*100000+INDEX(编号表!$F:$F,MATCH(D3763,编号表!$E:$E,0))*10000+INDEX(编号表!$D:$D,MATCH(AG3763,编号表!$C:$C,0))*1000+F3763</f>
        <v>11958093</v>
      </c>
      <c r="C3763" s="14" t="s">
        <v>7286</v>
      </c>
      <c r="D3763" s="14" t="s">
        <v>333</v>
      </c>
      <c r="E3763" s="14" t="s">
        <v>1231</v>
      </c>
      <c r="F3763" s="14">
        <v>93</v>
      </c>
      <c r="G3763" s="14">
        <v>60</v>
      </c>
      <c r="H3763" s="14" t="s">
        <v>1400</v>
      </c>
      <c r="I3763" s="14" t="s">
        <v>75</v>
      </c>
      <c r="J3763" s="14" t="s">
        <v>201</v>
      </c>
      <c r="K3763" s="14">
        <v>1</v>
      </c>
      <c r="L3763" s="14" t="s">
        <v>1400</v>
      </c>
      <c r="N3763" s="14">
        <v>0</v>
      </c>
      <c r="O3763" s="14" t="b">
        <v>1</v>
      </c>
      <c r="Q3763" s="14" t="b">
        <v>0</v>
      </c>
      <c r="R3763" s="14">
        <v>1</v>
      </c>
      <c r="S3763" s="14" t="s">
        <v>77</v>
      </c>
      <c r="T3763" s="14">
        <v>999</v>
      </c>
      <c r="U3763" s="14" t="s">
        <v>1401</v>
      </c>
      <c r="V3763" s="14">
        <v>31958093</v>
      </c>
      <c r="X3763" s="14" t="s">
        <v>7291</v>
      </c>
      <c r="Y3763" s="14" t="s">
        <v>215</v>
      </c>
      <c r="Z3763" s="14">
        <v>22526</v>
      </c>
      <c r="AA3763" s="14" t="s">
        <v>7292</v>
      </c>
      <c r="AB3763" s="14">
        <v>40001</v>
      </c>
      <c r="AE3763" s="14" t="s">
        <v>1400</v>
      </c>
      <c r="AF3763" s="14" t="s">
        <v>1400</v>
      </c>
      <c r="AG3763" s="14" t="s">
        <v>1231</v>
      </c>
    </row>
    <row r="3764" spans="2:33">
      <c r="B3764" s="14">
        <f>10000000+INDEX(编号表!$B:$B,MATCH(H3764,编号表!$A:$A,0))*100000+INDEX(编号表!$F:$F,MATCH(D3764,编号表!$E:$E,0))*10000+INDEX(编号表!$D:$D,MATCH(AG3764,编号表!$C:$C,0))*1000+F3764</f>
        <v>11938092</v>
      </c>
      <c r="C3764" s="14" t="s">
        <v>7293</v>
      </c>
      <c r="D3764" s="14" t="s">
        <v>276</v>
      </c>
      <c r="E3764" s="14" t="s">
        <v>1231</v>
      </c>
      <c r="F3764" s="14">
        <v>92</v>
      </c>
      <c r="G3764" s="14">
        <v>60</v>
      </c>
      <c r="H3764" s="14" t="s">
        <v>1400</v>
      </c>
      <c r="I3764" s="14" t="s">
        <v>75</v>
      </c>
      <c r="J3764" s="14" t="s">
        <v>201</v>
      </c>
      <c r="K3764" s="14">
        <v>1</v>
      </c>
      <c r="L3764" s="14" t="s">
        <v>1400</v>
      </c>
      <c r="N3764" s="14">
        <v>0</v>
      </c>
      <c r="O3764" s="14" t="b">
        <v>1</v>
      </c>
      <c r="Q3764" s="14" t="b">
        <v>0</v>
      </c>
      <c r="R3764" s="14">
        <v>1</v>
      </c>
      <c r="S3764" s="14" t="s">
        <v>77</v>
      </c>
      <c r="T3764" s="14">
        <v>999</v>
      </c>
      <c r="U3764" s="14" t="s">
        <v>1401</v>
      </c>
      <c r="V3764" s="14">
        <v>31938092</v>
      </c>
      <c r="X3764" s="14" t="s">
        <v>7294</v>
      </c>
      <c r="Y3764" s="14" t="s">
        <v>215</v>
      </c>
      <c r="Z3764" s="14">
        <v>22527</v>
      </c>
      <c r="AA3764" s="14" t="s">
        <v>7295</v>
      </c>
      <c r="AB3764" s="14">
        <v>40001</v>
      </c>
      <c r="AE3764" s="14" t="s">
        <v>1400</v>
      </c>
      <c r="AF3764" s="14" t="s">
        <v>1400</v>
      </c>
      <c r="AG3764" s="14" t="s">
        <v>1231</v>
      </c>
    </row>
    <row r="3765" spans="2:33">
      <c r="B3765" s="14">
        <f>10000000+INDEX(编号表!$B:$B,MATCH(H3765,编号表!$A:$A,0))*100000+INDEX(编号表!$F:$F,MATCH(D3765,编号表!$E:$E,0))*10000+INDEX(编号表!$D:$D,MATCH(AG3765,编号表!$C:$C,0))*1000+F3765</f>
        <v>11948093</v>
      </c>
      <c r="C3765" s="14" t="s">
        <v>7293</v>
      </c>
      <c r="D3765" s="14" t="s">
        <v>104</v>
      </c>
      <c r="E3765" s="14" t="s">
        <v>1231</v>
      </c>
      <c r="F3765" s="14">
        <v>93</v>
      </c>
      <c r="G3765" s="14">
        <v>60</v>
      </c>
      <c r="H3765" s="14" t="s">
        <v>1400</v>
      </c>
      <c r="I3765" s="14" t="s">
        <v>75</v>
      </c>
      <c r="J3765" s="14" t="s">
        <v>201</v>
      </c>
      <c r="K3765" s="14">
        <v>1</v>
      </c>
      <c r="L3765" s="14" t="s">
        <v>1400</v>
      </c>
      <c r="N3765" s="14">
        <v>0</v>
      </c>
      <c r="O3765" s="14" t="b">
        <v>1</v>
      </c>
      <c r="Q3765" s="14" t="b">
        <v>0</v>
      </c>
      <c r="R3765" s="14">
        <v>1</v>
      </c>
      <c r="S3765" s="14" t="s">
        <v>77</v>
      </c>
      <c r="T3765" s="14">
        <v>999</v>
      </c>
      <c r="U3765" s="14" t="s">
        <v>1401</v>
      </c>
      <c r="V3765" s="14">
        <v>31948093</v>
      </c>
      <c r="X3765" s="14" t="s">
        <v>7296</v>
      </c>
      <c r="Y3765" s="14" t="s">
        <v>215</v>
      </c>
      <c r="Z3765" s="14">
        <v>22528</v>
      </c>
      <c r="AA3765" s="14" t="s">
        <v>7297</v>
      </c>
      <c r="AB3765" s="14">
        <v>40001</v>
      </c>
      <c r="AE3765" s="14" t="s">
        <v>1400</v>
      </c>
      <c r="AF3765" s="14" t="s">
        <v>1400</v>
      </c>
      <c r="AG3765" s="14" t="s">
        <v>1231</v>
      </c>
    </row>
    <row r="3766" spans="2:33">
      <c r="B3766" s="14">
        <f>10000000+INDEX(编号表!$B:$B,MATCH(H3766,编号表!$A:$A,0))*100000+INDEX(编号表!$F:$F,MATCH(D3766,编号表!$E:$E,0))*10000+INDEX(编号表!$D:$D,MATCH(AG3766,编号表!$C:$C,0))*1000+F3766</f>
        <v>11958094</v>
      </c>
      <c r="C3766" s="14" t="s">
        <v>7293</v>
      </c>
      <c r="D3766" s="14" t="s">
        <v>333</v>
      </c>
      <c r="E3766" s="14" t="s">
        <v>1231</v>
      </c>
      <c r="F3766" s="14">
        <v>94</v>
      </c>
      <c r="G3766" s="14">
        <v>60</v>
      </c>
      <c r="H3766" s="14" t="s">
        <v>1400</v>
      </c>
      <c r="I3766" s="14" t="s">
        <v>75</v>
      </c>
      <c r="J3766" s="14" t="s">
        <v>201</v>
      </c>
      <c r="K3766" s="14">
        <v>1</v>
      </c>
      <c r="L3766" s="14" t="s">
        <v>1400</v>
      </c>
      <c r="N3766" s="14">
        <v>0</v>
      </c>
      <c r="O3766" s="14" t="b">
        <v>1</v>
      </c>
      <c r="Q3766" s="14" t="b">
        <v>0</v>
      </c>
      <c r="R3766" s="14">
        <v>1</v>
      </c>
      <c r="S3766" s="14" t="s">
        <v>77</v>
      </c>
      <c r="T3766" s="14">
        <v>999</v>
      </c>
      <c r="U3766" s="14" t="s">
        <v>1401</v>
      </c>
      <c r="V3766" s="14">
        <v>31958094</v>
      </c>
      <c r="X3766" s="14" t="s">
        <v>7298</v>
      </c>
      <c r="Y3766" s="14" t="s">
        <v>215</v>
      </c>
      <c r="Z3766" s="14">
        <v>22529</v>
      </c>
      <c r="AA3766" s="14" t="s">
        <v>7299</v>
      </c>
      <c r="AB3766" s="14">
        <v>40001</v>
      </c>
      <c r="AE3766" s="14" t="s">
        <v>1400</v>
      </c>
      <c r="AF3766" s="14" t="s">
        <v>1400</v>
      </c>
      <c r="AG3766" s="14" t="s">
        <v>1231</v>
      </c>
    </row>
    <row r="3767" spans="2:33">
      <c r="B3767" s="14">
        <f>10000000+INDEX(编号表!$B:$B,MATCH(H3767,编号表!$A:$A,0))*100000+INDEX(编号表!$F:$F,MATCH(D3767,编号表!$E:$E,0))*10000+INDEX(编号表!$D:$D,MATCH(AG3767,编号表!$C:$C,0))*1000+F3767</f>
        <v>11938093</v>
      </c>
      <c r="C3767" s="14" t="s">
        <v>7300</v>
      </c>
      <c r="D3767" s="14" t="s">
        <v>276</v>
      </c>
      <c r="E3767" s="14" t="s">
        <v>1231</v>
      </c>
      <c r="F3767" s="14">
        <v>93</v>
      </c>
      <c r="G3767" s="14">
        <v>60</v>
      </c>
      <c r="H3767" s="14" t="s">
        <v>1400</v>
      </c>
      <c r="I3767" s="14" t="s">
        <v>75</v>
      </c>
      <c r="J3767" s="14" t="s">
        <v>201</v>
      </c>
      <c r="K3767" s="14">
        <v>1</v>
      </c>
      <c r="L3767" s="14" t="s">
        <v>1400</v>
      </c>
      <c r="N3767" s="14">
        <v>0</v>
      </c>
      <c r="O3767" s="14" t="b">
        <v>1</v>
      </c>
      <c r="Q3767" s="14" t="b">
        <v>0</v>
      </c>
      <c r="R3767" s="14">
        <v>1</v>
      </c>
      <c r="S3767" s="14" t="s">
        <v>77</v>
      </c>
      <c r="T3767" s="14">
        <v>999</v>
      </c>
      <c r="U3767" s="14" t="s">
        <v>1401</v>
      </c>
      <c r="V3767" s="14">
        <v>31938093</v>
      </c>
      <c r="X3767" s="14" t="s">
        <v>7301</v>
      </c>
      <c r="Y3767" s="14" t="s">
        <v>215</v>
      </c>
      <c r="Z3767" s="14">
        <v>22530</v>
      </c>
      <c r="AA3767" s="14" t="s">
        <v>7302</v>
      </c>
      <c r="AB3767" s="14">
        <v>40001</v>
      </c>
      <c r="AE3767" s="14" t="s">
        <v>1400</v>
      </c>
      <c r="AF3767" s="14" t="s">
        <v>1400</v>
      </c>
      <c r="AG3767" s="14" t="s">
        <v>1231</v>
      </c>
    </row>
    <row r="3768" spans="2:33">
      <c r="B3768" s="14">
        <f>10000000+INDEX(编号表!$B:$B,MATCH(H3768,编号表!$A:$A,0))*100000+INDEX(编号表!$F:$F,MATCH(D3768,编号表!$E:$E,0))*10000+INDEX(编号表!$D:$D,MATCH(AG3768,编号表!$C:$C,0))*1000+F3768</f>
        <v>11948094</v>
      </c>
      <c r="C3768" s="14" t="s">
        <v>7300</v>
      </c>
      <c r="D3768" s="14" t="s">
        <v>104</v>
      </c>
      <c r="E3768" s="14" t="s">
        <v>1231</v>
      </c>
      <c r="F3768" s="14">
        <v>94</v>
      </c>
      <c r="G3768" s="14">
        <v>60</v>
      </c>
      <c r="H3768" s="14" t="s">
        <v>1400</v>
      </c>
      <c r="I3768" s="14" t="s">
        <v>75</v>
      </c>
      <c r="J3768" s="14" t="s">
        <v>201</v>
      </c>
      <c r="K3768" s="14">
        <v>1</v>
      </c>
      <c r="L3768" s="14" t="s">
        <v>1400</v>
      </c>
      <c r="N3768" s="14">
        <v>0</v>
      </c>
      <c r="O3768" s="14" t="b">
        <v>1</v>
      </c>
      <c r="Q3768" s="14" t="b">
        <v>0</v>
      </c>
      <c r="R3768" s="14">
        <v>1</v>
      </c>
      <c r="S3768" s="14" t="s">
        <v>77</v>
      </c>
      <c r="T3768" s="14">
        <v>999</v>
      </c>
      <c r="U3768" s="14" t="s">
        <v>1401</v>
      </c>
      <c r="V3768" s="14">
        <v>31948094</v>
      </c>
      <c r="X3768" s="14" t="s">
        <v>7303</v>
      </c>
      <c r="Y3768" s="14" t="s">
        <v>215</v>
      </c>
      <c r="Z3768" s="14">
        <v>22531</v>
      </c>
      <c r="AA3768" s="14" t="s">
        <v>7304</v>
      </c>
      <c r="AB3768" s="14">
        <v>40001</v>
      </c>
      <c r="AE3768" s="14" t="s">
        <v>1400</v>
      </c>
      <c r="AF3768" s="14" t="s">
        <v>1400</v>
      </c>
      <c r="AG3768" s="14" t="s">
        <v>1231</v>
      </c>
    </row>
    <row r="3769" spans="2:33">
      <c r="B3769" s="14">
        <f>10000000+INDEX(编号表!$B:$B,MATCH(H3769,编号表!$A:$A,0))*100000+INDEX(编号表!$F:$F,MATCH(D3769,编号表!$E:$E,0))*10000+INDEX(编号表!$D:$D,MATCH(AG3769,编号表!$C:$C,0))*1000+F3769</f>
        <v>11958095</v>
      </c>
      <c r="C3769" s="14" t="s">
        <v>7300</v>
      </c>
      <c r="D3769" s="14" t="s">
        <v>333</v>
      </c>
      <c r="E3769" s="14" t="s">
        <v>1231</v>
      </c>
      <c r="F3769" s="14">
        <v>95</v>
      </c>
      <c r="G3769" s="14">
        <v>60</v>
      </c>
      <c r="H3769" s="14" t="s">
        <v>1400</v>
      </c>
      <c r="I3769" s="14" t="s">
        <v>75</v>
      </c>
      <c r="J3769" s="14" t="s">
        <v>201</v>
      </c>
      <c r="K3769" s="14">
        <v>1</v>
      </c>
      <c r="L3769" s="14" t="s">
        <v>1400</v>
      </c>
      <c r="N3769" s="14">
        <v>0</v>
      </c>
      <c r="O3769" s="14" t="b">
        <v>1</v>
      </c>
      <c r="Q3769" s="14" t="b">
        <v>0</v>
      </c>
      <c r="R3769" s="14">
        <v>1</v>
      </c>
      <c r="S3769" s="14" t="s">
        <v>77</v>
      </c>
      <c r="T3769" s="14">
        <v>999</v>
      </c>
      <c r="U3769" s="14" t="s">
        <v>1401</v>
      </c>
      <c r="V3769" s="14">
        <v>31958095</v>
      </c>
      <c r="X3769" s="14" t="s">
        <v>7305</v>
      </c>
      <c r="Y3769" s="14" t="s">
        <v>215</v>
      </c>
      <c r="Z3769" s="14">
        <v>22532</v>
      </c>
      <c r="AA3769" s="14" t="s">
        <v>7306</v>
      </c>
      <c r="AB3769" s="14">
        <v>40001</v>
      </c>
      <c r="AE3769" s="14" t="s">
        <v>1400</v>
      </c>
      <c r="AF3769" s="14" t="s">
        <v>1400</v>
      </c>
      <c r="AG3769" s="14" t="s">
        <v>1231</v>
      </c>
    </row>
    <row r="3770" spans="2:33">
      <c r="B3770" s="14">
        <f>10000000+INDEX(编号表!$B:$B,MATCH(H3770,编号表!$A:$A,0))*100000+INDEX(编号表!$F:$F,MATCH(D3770,编号表!$E:$E,0))*10000+INDEX(编号表!$D:$D,MATCH(AG3770,编号表!$C:$C,0))*1000+F3770</f>
        <v>11938094</v>
      </c>
      <c r="C3770" s="14" t="s">
        <v>7307</v>
      </c>
      <c r="D3770" s="14" t="s">
        <v>276</v>
      </c>
      <c r="E3770" s="14" t="s">
        <v>1231</v>
      </c>
      <c r="F3770" s="14">
        <v>94</v>
      </c>
      <c r="G3770" s="14">
        <v>60</v>
      </c>
      <c r="H3770" s="14" t="s">
        <v>1400</v>
      </c>
      <c r="I3770" s="14" t="s">
        <v>75</v>
      </c>
      <c r="J3770" s="14" t="s">
        <v>201</v>
      </c>
      <c r="K3770" s="14">
        <v>1</v>
      </c>
      <c r="L3770" s="14" t="s">
        <v>1400</v>
      </c>
      <c r="N3770" s="14">
        <v>0</v>
      </c>
      <c r="O3770" s="14" t="b">
        <v>1</v>
      </c>
      <c r="Q3770" s="14" t="b">
        <v>0</v>
      </c>
      <c r="R3770" s="14">
        <v>1</v>
      </c>
      <c r="S3770" s="14" t="s">
        <v>77</v>
      </c>
      <c r="T3770" s="14">
        <v>999</v>
      </c>
      <c r="U3770" s="14" t="s">
        <v>1401</v>
      </c>
      <c r="V3770" s="14">
        <v>31938094</v>
      </c>
      <c r="X3770" s="14" t="s">
        <v>7308</v>
      </c>
      <c r="Y3770" s="14" t="s">
        <v>215</v>
      </c>
      <c r="Z3770" s="14">
        <v>22533</v>
      </c>
      <c r="AA3770" s="14" t="s">
        <v>7309</v>
      </c>
      <c r="AB3770" s="14">
        <v>40001</v>
      </c>
      <c r="AE3770" s="14" t="s">
        <v>1400</v>
      </c>
      <c r="AF3770" s="14" t="s">
        <v>1400</v>
      </c>
      <c r="AG3770" s="14" t="s">
        <v>1231</v>
      </c>
    </row>
    <row r="3771" spans="2:33">
      <c r="B3771" s="14">
        <f>10000000+INDEX(编号表!$B:$B,MATCH(H3771,编号表!$A:$A,0))*100000+INDEX(编号表!$F:$F,MATCH(D3771,编号表!$E:$E,0))*10000+INDEX(编号表!$D:$D,MATCH(AG3771,编号表!$C:$C,0))*1000+F3771</f>
        <v>11948095</v>
      </c>
      <c r="C3771" s="14" t="s">
        <v>7307</v>
      </c>
      <c r="D3771" s="14" t="s">
        <v>104</v>
      </c>
      <c r="E3771" s="14" t="s">
        <v>1231</v>
      </c>
      <c r="F3771" s="14">
        <v>95</v>
      </c>
      <c r="G3771" s="14">
        <v>60</v>
      </c>
      <c r="H3771" s="14" t="s">
        <v>1400</v>
      </c>
      <c r="I3771" s="14" t="s">
        <v>75</v>
      </c>
      <c r="J3771" s="14" t="s">
        <v>201</v>
      </c>
      <c r="K3771" s="14">
        <v>1</v>
      </c>
      <c r="L3771" s="14" t="s">
        <v>1400</v>
      </c>
      <c r="N3771" s="14">
        <v>0</v>
      </c>
      <c r="O3771" s="14" t="b">
        <v>1</v>
      </c>
      <c r="Q3771" s="14" t="b">
        <v>0</v>
      </c>
      <c r="R3771" s="14">
        <v>1</v>
      </c>
      <c r="S3771" s="14" t="s">
        <v>77</v>
      </c>
      <c r="T3771" s="14">
        <v>999</v>
      </c>
      <c r="U3771" s="14" t="s">
        <v>1401</v>
      </c>
      <c r="V3771" s="14">
        <v>31948095</v>
      </c>
      <c r="X3771" s="14" t="s">
        <v>7310</v>
      </c>
      <c r="Y3771" s="14" t="s">
        <v>215</v>
      </c>
      <c r="Z3771" s="14">
        <v>22534</v>
      </c>
      <c r="AA3771" s="14" t="s">
        <v>7311</v>
      </c>
      <c r="AB3771" s="14">
        <v>40001</v>
      </c>
      <c r="AE3771" s="14" t="s">
        <v>1400</v>
      </c>
      <c r="AF3771" s="14" t="s">
        <v>1400</v>
      </c>
      <c r="AG3771" s="14" t="s">
        <v>1231</v>
      </c>
    </row>
    <row r="3772" spans="2:33">
      <c r="B3772" s="14">
        <f>10000000+INDEX(编号表!$B:$B,MATCH(H3772,编号表!$A:$A,0))*100000+INDEX(编号表!$F:$F,MATCH(D3772,编号表!$E:$E,0))*10000+INDEX(编号表!$D:$D,MATCH(AG3772,编号表!$C:$C,0))*1000+F3772</f>
        <v>11958096</v>
      </c>
      <c r="C3772" s="14" t="s">
        <v>7307</v>
      </c>
      <c r="D3772" s="14" t="s">
        <v>333</v>
      </c>
      <c r="E3772" s="14" t="s">
        <v>1231</v>
      </c>
      <c r="F3772" s="14">
        <v>96</v>
      </c>
      <c r="G3772" s="14">
        <v>60</v>
      </c>
      <c r="H3772" s="14" t="s">
        <v>1400</v>
      </c>
      <c r="I3772" s="14" t="s">
        <v>75</v>
      </c>
      <c r="J3772" s="14" t="s">
        <v>201</v>
      </c>
      <c r="K3772" s="14">
        <v>1</v>
      </c>
      <c r="L3772" s="14" t="s">
        <v>1400</v>
      </c>
      <c r="N3772" s="14">
        <v>0</v>
      </c>
      <c r="O3772" s="14" t="b">
        <v>1</v>
      </c>
      <c r="Q3772" s="14" t="b">
        <v>0</v>
      </c>
      <c r="R3772" s="14">
        <v>1</v>
      </c>
      <c r="S3772" s="14" t="s">
        <v>77</v>
      </c>
      <c r="T3772" s="14">
        <v>999</v>
      </c>
      <c r="U3772" s="14" t="s">
        <v>1401</v>
      </c>
      <c r="V3772" s="14">
        <v>31958096</v>
      </c>
      <c r="X3772" s="14" t="s">
        <v>7312</v>
      </c>
      <c r="Y3772" s="14" t="s">
        <v>215</v>
      </c>
      <c r="Z3772" s="14">
        <v>22535</v>
      </c>
      <c r="AA3772" s="14" t="s">
        <v>7313</v>
      </c>
      <c r="AB3772" s="14">
        <v>40001</v>
      </c>
      <c r="AE3772" s="14" t="s">
        <v>1400</v>
      </c>
      <c r="AF3772" s="14" t="s">
        <v>1400</v>
      </c>
      <c r="AG3772" s="14" t="s">
        <v>1231</v>
      </c>
    </row>
    <row r="3773" spans="2:33">
      <c r="B3773" s="14">
        <f>10000000+INDEX(编号表!$B:$B,MATCH(H3773,编号表!$A:$A,0))*100000+INDEX(编号表!$F:$F,MATCH(D3773,编号表!$E:$E,0))*10000+INDEX(编号表!$D:$D,MATCH(AG3773,编号表!$C:$C,0))*1000+F3773</f>
        <v>11938095</v>
      </c>
      <c r="C3773" s="14" t="s">
        <v>7314</v>
      </c>
      <c r="D3773" s="14" t="s">
        <v>276</v>
      </c>
      <c r="E3773" s="14" t="s">
        <v>1231</v>
      </c>
      <c r="F3773" s="14">
        <v>95</v>
      </c>
      <c r="G3773" s="14">
        <v>60</v>
      </c>
      <c r="H3773" s="14" t="s">
        <v>1400</v>
      </c>
      <c r="I3773" s="14" t="s">
        <v>75</v>
      </c>
      <c r="J3773" s="14" t="s">
        <v>201</v>
      </c>
      <c r="K3773" s="14">
        <v>1</v>
      </c>
      <c r="L3773" s="14" t="s">
        <v>1400</v>
      </c>
      <c r="N3773" s="14">
        <v>0</v>
      </c>
      <c r="O3773" s="14" t="b">
        <v>1</v>
      </c>
      <c r="Q3773" s="14" t="b">
        <v>0</v>
      </c>
      <c r="R3773" s="14">
        <v>1</v>
      </c>
      <c r="S3773" s="14" t="s">
        <v>77</v>
      </c>
      <c r="T3773" s="14">
        <v>999</v>
      </c>
      <c r="U3773" s="14" t="s">
        <v>1401</v>
      </c>
      <c r="V3773" s="14">
        <v>31938095</v>
      </c>
      <c r="X3773" s="14" t="s">
        <v>7315</v>
      </c>
      <c r="Y3773" s="14" t="s">
        <v>215</v>
      </c>
      <c r="Z3773" s="14">
        <v>22536</v>
      </c>
      <c r="AA3773" s="14" t="s">
        <v>7316</v>
      </c>
      <c r="AB3773" s="14">
        <v>40001</v>
      </c>
      <c r="AE3773" s="14" t="s">
        <v>1400</v>
      </c>
      <c r="AF3773" s="14" t="s">
        <v>1400</v>
      </c>
      <c r="AG3773" s="14" t="s">
        <v>1231</v>
      </c>
    </row>
    <row r="3774" spans="2:33">
      <c r="B3774" s="14">
        <f>10000000+INDEX(编号表!$B:$B,MATCH(H3774,编号表!$A:$A,0))*100000+INDEX(编号表!$F:$F,MATCH(D3774,编号表!$E:$E,0))*10000+INDEX(编号表!$D:$D,MATCH(AG3774,编号表!$C:$C,0))*1000+F3774</f>
        <v>11948096</v>
      </c>
      <c r="C3774" s="14" t="s">
        <v>7314</v>
      </c>
      <c r="D3774" s="14" t="s">
        <v>104</v>
      </c>
      <c r="E3774" s="14" t="s">
        <v>1231</v>
      </c>
      <c r="F3774" s="14">
        <v>96</v>
      </c>
      <c r="G3774" s="14">
        <v>60</v>
      </c>
      <c r="H3774" s="14" t="s">
        <v>1400</v>
      </c>
      <c r="I3774" s="14" t="s">
        <v>75</v>
      </c>
      <c r="J3774" s="14" t="s">
        <v>201</v>
      </c>
      <c r="K3774" s="14">
        <v>1</v>
      </c>
      <c r="L3774" s="14" t="s">
        <v>1400</v>
      </c>
      <c r="N3774" s="14">
        <v>0</v>
      </c>
      <c r="O3774" s="14" t="b">
        <v>1</v>
      </c>
      <c r="Q3774" s="14" t="b">
        <v>0</v>
      </c>
      <c r="R3774" s="14">
        <v>1</v>
      </c>
      <c r="S3774" s="14" t="s">
        <v>77</v>
      </c>
      <c r="T3774" s="14">
        <v>999</v>
      </c>
      <c r="U3774" s="14" t="s">
        <v>1401</v>
      </c>
      <c r="V3774" s="14">
        <v>31948096</v>
      </c>
      <c r="X3774" s="14" t="s">
        <v>7317</v>
      </c>
      <c r="Y3774" s="14" t="s">
        <v>215</v>
      </c>
      <c r="Z3774" s="14">
        <v>22537</v>
      </c>
      <c r="AA3774" s="14" t="s">
        <v>7318</v>
      </c>
      <c r="AB3774" s="14">
        <v>40001</v>
      </c>
      <c r="AE3774" s="14" t="s">
        <v>1400</v>
      </c>
      <c r="AF3774" s="14" t="s">
        <v>1400</v>
      </c>
      <c r="AG3774" s="14" t="s">
        <v>1231</v>
      </c>
    </row>
    <row r="3775" spans="2:33">
      <c r="B3775" s="14">
        <f>10000000+INDEX(编号表!$B:$B,MATCH(H3775,编号表!$A:$A,0))*100000+INDEX(编号表!$F:$F,MATCH(D3775,编号表!$E:$E,0))*10000+INDEX(编号表!$D:$D,MATCH(AG3775,编号表!$C:$C,0))*1000+F3775</f>
        <v>11958097</v>
      </c>
      <c r="C3775" s="14" t="s">
        <v>7314</v>
      </c>
      <c r="D3775" s="14" t="s">
        <v>333</v>
      </c>
      <c r="E3775" s="14" t="s">
        <v>1231</v>
      </c>
      <c r="F3775" s="14">
        <v>97</v>
      </c>
      <c r="G3775" s="14">
        <v>60</v>
      </c>
      <c r="H3775" s="14" t="s">
        <v>1400</v>
      </c>
      <c r="I3775" s="14" t="s">
        <v>75</v>
      </c>
      <c r="J3775" s="14" t="s">
        <v>201</v>
      </c>
      <c r="K3775" s="14">
        <v>1</v>
      </c>
      <c r="L3775" s="14" t="s">
        <v>1400</v>
      </c>
      <c r="N3775" s="14">
        <v>0</v>
      </c>
      <c r="O3775" s="14" t="b">
        <v>1</v>
      </c>
      <c r="Q3775" s="14" t="b">
        <v>0</v>
      </c>
      <c r="R3775" s="14">
        <v>1</v>
      </c>
      <c r="S3775" s="14" t="s">
        <v>77</v>
      </c>
      <c r="T3775" s="14">
        <v>999</v>
      </c>
      <c r="U3775" s="14" t="s">
        <v>1401</v>
      </c>
      <c r="V3775" s="14">
        <v>31958097</v>
      </c>
      <c r="X3775" s="14" t="s">
        <v>7319</v>
      </c>
      <c r="Y3775" s="14" t="s">
        <v>215</v>
      </c>
      <c r="Z3775" s="14">
        <v>22538</v>
      </c>
      <c r="AA3775" s="14" t="s">
        <v>7320</v>
      </c>
      <c r="AB3775" s="14">
        <v>40001</v>
      </c>
      <c r="AE3775" s="14" t="s">
        <v>1400</v>
      </c>
      <c r="AF3775" s="14" t="s">
        <v>1400</v>
      </c>
      <c r="AG3775" s="14" t="s">
        <v>1231</v>
      </c>
    </row>
    <row r="3776" spans="2:33">
      <c r="B3776" s="14">
        <f>10000000+INDEX(编号表!$B:$B,MATCH(H3776,编号表!$A:$A,0))*100000+INDEX(编号表!$F:$F,MATCH(D3776,编号表!$E:$E,0))*10000+INDEX(编号表!$D:$D,MATCH(AG3776,编号表!$C:$C,0))*1000+F3776</f>
        <v>11938096</v>
      </c>
      <c r="C3776" s="14" t="s">
        <v>7321</v>
      </c>
      <c r="D3776" s="14" t="s">
        <v>276</v>
      </c>
      <c r="E3776" s="14" t="s">
        <v>1231</v>
      </c>
      <c r="F3776" s="14">
        <v>96</v>
      </c>
      <c r="G3776" s="14">
        <v>60</v>
      </c>
      <c r="H3776" s="14" t="s">
        <v>1400</v>
      </c>
      <c r="I3776" s="14" t="s">
        <v>75</v>
      </c>
      <c r="J3776" s="14" t="s">
        <v>201</v>
      </c>
      <c r="K3776" s="14">
        <v>1</v>
      </c>
      <c r="L3776" s="14" t="s">
        <v>1400</v>
      </c>
      <c r="N3776" s="14">
        <v>0</v>
      </c>
      <c r="O3776" s="14" t="b">
        <v>1</v>
      </c>
      <c r="Q3776" s="14" t="b">
        <v>0</v>
      </c>
      <c r="R3776" s="14">
        <v>1</v>
      </c>
      <c r="S3776" s="14" t="s">
        <v>77</v>
      </c>
      <c r="T3776" s="14">
        <v>999</v>
      </c>
      <c r="U3776" s="14" t="s">
        <v>1401</v>
      </c>
      <c r="V3776" s="14">
        <v>31938096</v>
      </c>
      <c r="X3776" s="14" t="s">
        <v>7322</v>
      </c>
      <c r="Y3776" s="14" t="s">
        <v>215</v>
      </c>
      <c r="Z3776" s="14">
        <v>22539</v>
      </c>
      <c r="AA3776" s="14" t="s">
        <v>7323</v>
      </c>
      <c r="AB3776" s="14">
        <v>40001</v>
      </c>
      <c r="AE3776" s="14" t="s">
        <v>1400</v>
      </c>
      <c r="AF3776" s="14" t="s">
        <v>1400</v>
      </c>
      <c r="AG3776" s="14" t="s">
        <v>1231</v>
      </c>
    </row>
    <row r="3777" spans="2:33">
      <c r="B3777" s="14">
        <f>10000000+INDEX(编号表!$B:$B,MATCH(H3777,编号表!$A:$A,0))*100000+INDEX(编号表!$F:$F,MATCH(D3777,编号表!$E:$E,0))*10000+INDEX(编号表!$D:$D,MATCH(AG3777,编号表!$C:$C,0))*1000+F3777</f>
        <v>11948097</v>
      </c>
      <c r="C3777" s="14" t="s">
        <v>7321</v>
      </c>
      <c r="D3777" s="14" t="s">
        <v>104</v>
      </c>
      <c r="E3777" s="14" t="s">
        <v>1231</v>
      </c>
      <c r="F3777" s="14">
        <v>97</v>
      </c>
      <c r="G3777" s="14">
        <v>60</v>
      </c>
      <c r="H3777" s="14" t="s">
        <v>1400</v>
      </c>
      <c r="I3777" s="14" t="s">
        <v>75</v>
      </c>
      <c r="J3777" s="14" t="s">
        <v>201</v>
      </c>
      <c r="K3777" s="14">
        <v>1</v>
      </c>
      <c r="L3777" s="14" t="s">
        <v>1400</v>
      </c>
      <c r="N3777" s="14">
        <v>0</v>
      </c>
      <c r="O3777" s="14" t="b">
        <v>1</v>
      </c>
      <c r="Q3777" s="14" t="b">
        <v>0</v>
      </c>
      <c r="R3777" s="14">
        <v>1</v>
      </c>
      <c r="S3777" s="14" t="s">
        <v>77</v>
      </c>
      <c r="T3777" s="14">
        <v>999</v>
      </c>
      <c r="U3777" s="14" t="s">
        <v>1401</v>
      </c>
      <c r="V3777" s="14">
        <v>31948097</v>
      </c>
      <c r="X3777" s="14" t="s">
        <v>7324</v>
      </c>
      <c r="Y3777" s="14" t="s">
        <v>215</v>
      </c>
      <c r="Z3777" s="14">
        <v>22540</v>
      </c>
      <c r="AA3777" s="14" t="s">
        <v>7325</v>
      </c>
      <c r="AB3777" s="14">
        <v>40001</v>
      </c>
      <c r="AE3777" s="14" t="s">
        <v>1400</v>
      </c>
      <c r="AF3777" s="14" t="s">
        <v>1400</v>
      </c>
      <c r="AG3777" s="14" t="s">
        <v>1231</v>
      </c>
    </row>
    <row r="3778" spans="2:33">
      <c r="B3778" s="14">
        <f>10000000+INDEX(编号表!$B:$B,MATCH(H3778,编号表!$A:$A,0))*100000+INDEX(编号表!$F:$F,MATCH(D3778,编号表!$E:$E,0))*10000+INDEX(编号表!$D:$D,MATCH(AG3778,编号表!$C:$C,0))*1000+F3778</f>
        <v>11958098</v>
      </c>
      <c r="C3778" s="14" t="s">
        <v>7321</v>
      </c>
      <c r="D3778" s="14" t="s">
        <v>333</v>
      </c>
      <c r="E3778" s="14" t="s">
        <v>1231</v>
      </c>
      <c r="F3778" s="14">
        <v>98</v>
      </c>
      <c r="G3778" s="14">
        <v>60</v>
      </c>
      <c r="H3778" s="14" t="s">
        <v>1400</v>
      </c>
      <c r="I3778" s="14" t="s">
        <v>75</v>
      </c>
      <c r="J3778" s="14" t="s">
        <v>201</v>
      </c>
      <c r="K3778" s="14">
        <v>1</v>
      </c>
      <c r="L3778" s="14" t="s">
        <v>1400</v>
      </c>
      <c r="N3778" s="14">
        <v>0</v>
      </c>
      <c r="O3778" s="14" t="b">
        <v>1</v>
      </c>
      <c r="Q3778" s="14" t="b">
        <v>0</v>
      </c>
      <c r="R3778" s="14">
        <v>1</v>
      </c>
      <c r="S3778" s="14" t="s">
        <v>77</v>
      </c>
      <c r="T3778" s="14">
        <v>999</v>
      </c>
      <c r="U3778" s="14" t="s">
        <v>1401</v>
      </c>
      <c r="V3778" s="14">
        <v>31958098</v>
      </c>
      <c r="X3778" s="14" t="s">
        <v>7326</v>
      </c>
      <c r="Y3778" s="14" t="s">
        <v>215</v>
      </c>
      <c r="Z3778" s="14">
        <v>22541</v>
      </c>
      <c r="AA3778" s="14" t="s">
        <v>7327</v>
      </c>
      <c r="AB3778" s="14">
        <v>40001</v>
      </c>
      <c r="AE3778" s="14" t="s">
        <v>1400</v>
      </c>
      <c r="AF3778" s="14" t="s">
        <v>1400</v>
      </c>
      <c r="AG3778" s="14" t="s">
        <v>1231</v>
      </c>
    </row>
    <row r="3779" spans="2:33">
      <c r="B3779" s="14">
        <f>10000000+INDEX(编号表!$B:$B,MATCH(H3779,编号表!$A:$A,0))*100000+INDEX(编号表!$F:$F,MATCH(D3779,编号表!$E:$E,0))*10000+INDEX(编号表!$D:$D,MATCH(AG3779,编号表!$C:$C,0))*1000+F3779</f>
        <v>11938097</v>
      </c>
      <c r="C3779" s="14" t="s">
        <v>7328</v>
      </c>
      <c r="D3779" s="14" t="s">
        <v>276</v>
      </c>
      <c r="E3779" s="14" t="s">
        <v>1231</v>
      </c>
      <c r="F3779" s="14">
        <v>97</v>
      </c>
      <c r="G3779" s="14">
        <v>60</v>
      </c>
      <c r="H3779" s="14" t="s">
        <v>1400</v>
      </c>
      <c r="I3779" s="14" t="s">
        <v>75</v>
      </c>
      <c r="J3779" s="14" t="s">
        <v>201</v>
      </c>
      <c r="K3779" s="14">
        <v>1</v>
      </c>
      <c r="L3779" s="14" t="s">
        <v>1400</v>
      </c>
      <c r="N3779" s="14">
        <v>0</v>
      </c>
      <c r="O3779" s="14" t="b">
        <v>1</v>
      </c>
      <c r="Q3779" s="14" t="b">
        <v>0</v>
      </c>
      <c r="R3779" s="14">
        <v>1</v>
      </c>
      <c r="S3779" s="14" t="s">
        <v>77</v>
      </c>
      <c r="T3779" s="14">
        <v>999</v>
      </c>
      <c r="U3779" s="14" t="s">
        <v>1401</v>
      </c>
      <c r="V3779" s="14">
        <v>31938097</v>
      </c>
      <c r="X3779" s="14" t="s">
        <v>7329</v>
      </c>
      <c r="Y3779" s="14" t="s">
        <v>215</v>
      </c>
      <c r="Z3779" s="14">
        <v>22542</v>
      </c>
      <c r="AA3779" s="14" t="s">
        <v>7330</v>
      </c>
      <c r="AB3779" s="14">
        <v>40001</v>
      </c>
      <c r="AE3779" s="14" t="s">
        <v>1400</v>
      </c>
      <c r="AF3779" s="14" t="s">
        <v>1400</v>
      </c>
      <c r="AG3779" s="14" t="s">
        <v>1231</v>
      </c>
    </row>
    <row r="3780" spans="2:33">
      <c r="B3780" s="14">
        <f>10000000+INDEX(编号表!$B:$B,MATCH(H3780,编号表!$A:$A,0))*100000+INDEX(编号表!$F:$F,MATCH(D3780,编号表!$E:$E,0))*10000+INDEX(编号表!$D:$D,MATCH(AG3780,编号表!$C:$C,0))*1000+F3780</f>
        <v>11948098</v>
      </c>
      <c r="C3780" s="14" t="s">
        <v>7328</v>
      </c>
      <c r="D3780" s="14" t="s">
        <v>104</v>
      </c>
      <c r="E3780" s="14" t="s">
        <v>1231</v>
      </c>
      <c r="F3780" s="14">
        <v>98</v>
      </c>
      <c r="G3780" s="14">
        <v>60</v>
      </c>
      <c r="H3780" s="14" t="s">
        <v>1400</v>
      </c>
      <c r="I3780" s="14" t="s">
        <v>75</v>
      </c>
      <c r="J3780" s="14" t="s">
        <v>201</v>
      </c>
      <c r="K3780" s="14">
        <v>1</v>
      </c>
      <c r="L3780" s="14" t="s">
        <v>1400</v>
      </c>
      <c r="N3780" s="14">
        <v>0</v>
      </c>
      <c r="O3780" s="14" t="b">
        <v>1</v>
      </c>
      <c r="Q3780" s="14" t="b">
        <v>0</v>
      </c>
      <c r="R3780" s="14">
        <v>1</v>
      </c>
      <c r="S3780" s="14" t="s">
        <v>77</v>
      </c>
      <c r="T3780" s="14">
        <v>999</v>
      </c>
      <c r="U3780" s="14" t="s">
        <v>1401</v>
      </c>
      <c r="V3780" s="14">
        <v>31948098</v>
      </c>
      <c r="X3780" s="14" t="s">
        <v>7331</v>
      </c>
      <c r="Y3780" s="14" t="s">
        <v>215</v>
      </c>
      <c r="Z3780" s="14">
        <v>22543</v>
      </c>
      <c r="AA3780" s="14" t="s">
        <v>7332</v>
      </c>
      <c r="AB3780" s="14">
        <v>40001</v>
      </c>
      <c r="AE3780" s="14" t="s">
        <v>1400</v>
      </c>
      <c r="AF3780" s="14" t="s">
        <v>1400</v>
      </c>
      <c r="AG3780" s="14" t="s">
        <v>1231</v>
      </c>
    </row>
    <row r="3781" spans="2:33">
      <c r="B3781" s="14">
        <f>10000000+INDEX(编号表!$B:$B,MATCH(H3781,编号表!$A:$A,0))*100000+INDEX(编号表!$F:$F,MATCH(D3781,编号表!$E:$E,0))*10000+INDEX(编号表!$D:$D,MATCH(AG3781,编号表!$C:$C,0))*1000+F3781</f>
        <v>11958099</v>
      </c>
      <c r="C3781" s="14" t="s">
        <v>7328</v>
      </c>
      <c r="D3781" s="14" t="s">
        <v>333</v>
      </c>
      <c r="E3781" s="14" t="s">
        <v>1231</v>
      </c>
      <c r="F3781" s="14">
        <v>99</v>
      </c>
      <c r="G3781" s="14">
        <v>60</v>
      </c>
      <c r="H3781" s="14" t="s">
        <v>1400</v>
      </c>
      <c r="I3781" s="14" t="s">
        <v>75</v>
      </c>
      <c r="J3781" s="14" t="s">
        <v>201</v>
      </c>
      <c r="K3781" s="14">
        <v>1</v>
      </c>
      <c r="L3781" s="14" t="s">
        <v>1400</v>
      </c>
      <c r="N3781" s="14">
        <v>0</v>
      </c>
      <c r="O3781" s="14" t="b">
        <v>1</v>
      </c>
      <c r="Q3781" s="14" t="b">
        <v>0</v>
      </c>
      <c r="R3781" s="14">
        <v>1</v>
      </c>
      <c r="S3781" s="14" t="s">
        <v>77</v>
      </c>
      <c r="T3781" s="14">
        <v>999</v>
      </c>
      <c r="U3781" s="14" t="s">
        <v>1401</v>
      </c>
      <c r="V3781" s="14">
        <v>31958099</v>
      </c>
      <c r="X3781" s="14" t="s">
        <v>7333</v>
      </c>
      <c r="Y3781" s="14" t="s">
        <v>215</v>
      </c>
      <c r="Z3781" s="14">
        <v>22544</v>
      </c>
      <c r="AA3781" s="14" t="s">
        <v>7334</v>
      </c>
      <c r="AB3781" s="14">
        <v>40001</v>
      </c>
      <c r="AE3781" s="14" t="s">
        <v>1400</v>
      </c>
      <c r="AF3781" s="14" t="s">
        <v>1400</v>
      </c>
      <c r="AG3781" s="14" t="s">
        <v>1231</v>
      </c>
    </row>
    <row r="3782" spans="2:33">
      <c r="B3782" s="14">
        <f>10000000+INDEX(编号表!$B:$B,MATCH(H3782,编号表!$A:$A,0))*100000+INDEX(编号表!$F:$F,MATCH(D3782,编号表!$E:$E,0))*10000+INDEX(编号表!$D:$D,MATCH(AG3782,编号表!$C:$C,0))*1000+F3782</f>
        <v>11938098</v>
      </c>
      <c r="C3782" s="14" t="s">
        <v>7335</v>
      </c>
      <c r="D3782" s="14" t="s">
        <v>276</v>
      </c>
      <c r="E3782" s="14" t="s">
        <v>1231</v>
      </c>
      <c r="F3782" s="14">
        <v>98</v>
      </c>
      <c r="G3782" s="14">
        <v>60</v>
      </c>
      <c r="H3782" s="14" t="s">
        <v>1400</v>
      </c>
      <c r="I3782" s="14" t="s">
        <v>75</v>
      </c>
      <c r="J3782" s="14" t="s">
        <v>201</v>
      </c>
      <c r="K3782" s="14">
        <v>1</v>
      </c>
      <c r="L3782" s="14" t="s">
        <v>1400</v>
      </c>
      <c r="N3782" s="14">
        <v>0</v>
      </c>
      <c r="O3782" s="14" t="b">
        <v>1</v>
      </c>
      <c r="Q3782" s="14" t="b">
        <v>0</v>
      </c>
      <c r="R3782" s="14">
        <v>1</v>
      </c>
      <c r="S3782" s="14" t="s">
        <v>77</v>
      </c>
      <c r="T3782" s="14">
        <v>999</v>
      </c>
      <c r="U3782" s="14" t="s">
        <v>1401</v>
      </c>
      <c r="V3782" s="14">
        <v>31938098</v>
      </c>
      <c r="X3782" s="14" t="s">
        <v>7336</v>
      </c>
      <c r="Y3782" s="14" t="s">
        <v>215</v>
      </c>
      <c r="Z3782" s="14">
        <v>22545</v>
      </c>
      <c r="AA3782" s="14" t="s">
        <v>7337</v>
      </c>
      <c r="AB3782" s="14">
        <v>40001</v>
      </c>
      <c r="AE3782" s="14" t="s">
        <v>1400</v>
      </c>
      <c r="AF3782" s="14" t="s">
        <v>1400</v>
      </c>
      <c r="AG3782" s="14" t="s">
        <v>1231</v>
      </c>
    </row>
    <row r="3783" spans="2:33">
      <c r="B3783" s="14">
        <f>10000000+INDEX(编号表!$B:$B,MATCH(H3783,编号表!$A:$A,0))*100000+INDEX(编号表!$F:$F,MATCH(D3783,编号表!$E:$E,0))*10000+INDEX(编号表!$D:$D,MATCH(AG3783,编号表!$C:$C,0))*1000+F3783</f>
        <v>11948099</v>
      </c>
      <c r="C3783" s="14" t="s">
        <v>7335</v>
      </c>
      <c r="D3783" s="14" t="s">
        <v>104</v>
      </c>
      <c r="E3783" s="14" t="s">
        <v>1231</v>
      </c>
      <c r="F3783" s="14">
        <v>99</v>
      </c>
      <c r="G3783" s="14">
        <v>60</v>
      </c>
      <c r="H3783" s="14" t="s">
        <v>1400</v>
      </c>
      <c r="I3783" s="14" t="s">
        <v>75</v>
      </c>
      <c r="J3783" s="14" t="s">
        <v>201</v>
      </c>
      <c r="K3783" s="14">
        <v>1</v>
      </c>
      <c r="L3783" s="14" t="s">
        <v>1400</v>
      </c>
      <c r="N3783" s="14">
        <v>0</v>
      </c>
      <c r="O3783" s="14" t="b">
        <v>1</v>
      </c>
      <c r="Q3783" s="14" t="b">
        <v>0</v>
      </c>
      <c r="R3783" s="14">
        <v>1</v>
      </c>
      <c r="S3783" s="14" t="s">
        <v>77</v>
      </c>
      <c r="T3783" s="14">
        <v>999</v>
      </c>
      <c r="U3783" s="14" t="s">
        <v>1401</v>
      </c>
      <c r="V3783" s="14">
        <v>31948099</v>
      </c>
      <c r="X3783" s="14" t="s">
        <v>7338</v>
      </c>
      <c r="Y3783" s="14" t="s">
        <v>215</v>
      </c>
      <c r="Z3783" s="14">
        <v>22546</v>
      </c>
      <c r="AA3783" s="14" t="s">
        <v>7339</v>
      </c>
      <c r="AB3783" s="14">
        <v>40001</v>
      </c>
      <c r="AE3783" s="14" t="s">
        <v>1400</v>
      </c>
      <c r="AF3783" s="14" t="s">
        <v>1400</v>
      </c>
      <c r="AG3783" s="14" t="s">
        <v>1231</v>
      </c>
    </row>
    <row r="3784" spans="2:33">
      <c r="B3784" s="14">
        <f>10000000+INDEX(编号表!$B:$B,MATCH(H3784,编号表!$A:$A,0))*100000+INDEX(编号表!$F:$F,MATCH(D3784,编号表!$E:$E,0))*10000+INDEX(编号表!$D:$D,MATCH(AG3784,编号表!$C:$C,0))*1000+F3784</f>
        <v>11958100</v>
      </c>
      <c r="C3784" s="14" t="s">
        <v>7335</v>
      </c>
      <c r="D3784" s="14" t="s">
        <v>333</v>
      </c>
      <c r="E3784" s="14" t="s">
        <v>1231</v>
      </c>
      <c r="F3784" s="14">
        <v>100</v>
      </c>
      <c r="G3784" s="14">
        <v>60</v>
      </c>
      <c r="H3784" s="14" t="s">
        <v>1400</v>
      </c>
      <c r="I3784" s="14" t="s">
        <v>75</v>
      </c>
      <c r="J3784" s="14" t="s">
        <v>201</v>
      </c>
      <c r="K3784" s="14">
        <v>1</v>
      </c>
      <c r="L3784" s="14" t="s">
        <v>1400</v>
      </c>
      <c r="N3784" s="14">
        <v>0</v>
      </c>
      <c r="O3784" s="14" t="b">
        <v>1</v>
      </c>
      <c r="Q3784" s="14" t="b">
        <v>0</v>
      </c>
      <c r="R3784" s="14">
        <v>1</v>
      </c>
      <c r="S3784" s="14" t="s">
        <v>77</v>
      </c>
      <c r="T3784" s="14">
        <v>999</v>
      </c>
      <c r="U3784" s="14" t="s">
        <v>1401</v>
      </c>
      <c r="V3784" s="14">
        <v>31958100</v>
      </c>
      <c r="X3784" s="14" t="s">
        <v>7340</v>
      </c>
      <c r="Y3784" s="14" t="s">
        <v>215</v>
      </c>
      <c r="Z3784" s="14">
        <v>22547</v>
      </c>
      <c r="AA3784" s="14" t="s">
        <v>7341</v>
      </c>
      <c r="AB3784" s="14">
        <v>40001</v>
      </c>
      <c r="AE3784" s="14" t="s">
        <v>1400</v>
      </c>
      <c r="AF3784" s="14" t="s">
        <v>1400</v>
      </c>
      <c r="AG3784" s="14" t="s">
        <v>1231</v>
      </c>
    </row>
    <row r="3785" spans="2:33">
      <c r="B3785" s="14">
        <f>10000000+INDEX(编号表!$B:$B,MATCH(H3785,编号表!$A:$A,0))*100000+INDEX(编号表!$F:$F,MATCH(D3785,编号表!$E:$E,0))*10000+INDEX(编号表!$D:$D,MATCH(AG3785,编号表!$C:$C,0))*1000+F3785</f>
        <v>11938099</v>
      </c>
      <c r="C3785" s="14" t="s">
        <v>7342</v>
      </c>
      <c r="D3785" s="14" t="s">
        <v>276</v>
      </c>
      <c r="E3785" s="14" t="s">
        <v>1231</v>
      </c>
      <c r="F3785" s="14">
        <v>99</v>
      </c>
      <c r="G3785" s="14">
        <v>60</v>
      </c>
      <c r="H3785" s="14" t="s">
        <v>1400</v>
      </c>
      <c r="I3785" s="14" t="s">
        <v>75</v>
      </c>
      <c r="J3785" s="14" t="s">
        <v>201</v>
      </c>
      <c r="K3785" s="14">
        <v>1</v>
      </c>
      <c r="L3785" s="14" t="s">
        <v>1400</v>
      </c>
      <c r="N3785" s="14">
        <v>0</v>
      </c>
      <c r="O3785" s="14" t="b">
        <v>1</v>
      </c>
      <c r="Q3785" s="14" t="b">
        <v>0</v>
      </c>
      <c r="R3785" s="14">
        <v>1</v>
      </c>
      <c r="S3785" s="14" t="s">
        <v>77</v>
      </c>
      <c r="T3785" s="14">
        <v>999</v>
      </c>
      <c r="U3785" s="14" t="s">
        <v>1401</v>
      </c>
      <c r="V3785" s="14">
        <v>31938099</v>
      </c>
      <c r="X3785" s="14" t="s">
        <v>7343</v>
      </c>
      <c r="Y3785" s="14" t="s">
        <v>215</v>
      </c>
      <c r="Z3785" s="14">
        <v>22548</v>
      </c>
      <c r="AA3785" s="14" t="s">
        <v>7344</v>
      </c>
      <c r="AB3785" s="14">
        <v>40001</v>
      </c>
      <c r="AE3785" s="14" t="s">
        <v>1400</v>
      </c>
      <c r="AF3785" s="14" t="s">
        <v>1400</v>
      </c>
      <c r="AG3785" s="14" t="s">
        <v>1231</v>
      </c>
    </row>
    <row r="3786" spans="2:33">
      <c r="B3786" s="14">
        <f>10000000+INDEX(编号表!$B:$B,MATCH(H3786,编号表!$A:$A,0))*100000+INDEX(编号表!$F:$F,MATCH(D3786,编号表!$E:$E,0))*10000+INDEX(编号表!$D:$D,MATCH(AG3786,编号表!$C:$C,0))*1000+F3786</f>
        <v>11948100</v>
      </c>
      <c r="C3786" s="14" t="s">
        <v>7342</v>
      </c>
      <c r="D3786" s="14" t="s">
        <v>104</v>
      </c>
      <c r="E3786" s="14" t="s">
        <v>1231</v>
      </c>
      <c r="F3786" s="14">
        <v>100</v>
      </c>
      <c r="G3786" s="14">
        <v>60</v>
      </c>
      <c r="H3786" s="14" t="s">
        <v>1400</v>
      </c>
      <c r="I3786" s="14" t="s">
        <v>75</v>
      </c>
      <c r="J3786" s="14" t="s">
        <v>201</v>
      </c>
      <c r="K3786" s="14">
        <v>1</v>
      </c>
      <c r="L3786" s="14" t="s">
        <v>1400</v>
      </c>
      <c r="N3786" s="14">
        <v>0</v>
      </c>
      <c r="O3786" s="14" t="b">
        <v>1</v>
      </c>
      <c r="Q3786" s="14" t="b">
        <v>0</v>
      </c>
      <c r="R3786" s="14">
        <v>1</v>
      </c>
      <c r="S3786" s="14" t="s">
        <v>77</v>
      </c>
      <c r="T3786" s="14">
        <v>999</v>
      </c>
      <c r="U3786" s="14" t="s">
        <v>1401</v>
      </c>
      <c r="V3786" s="14">
        <v>31948100</v>
      </c>
      <c r="X3786" s="14" t="s">
        <v>7345</v>
      </c>
      <c r="Y3786" s="14" t="s">
        <v>215</v>
      </c>
      <c r="Z3786" s="14">
        <v>22549</v>
      </c>
      <c r="AA3786" s="14" t="s">
        <v>7346</v>
      </c>
      <c r="AB3786" s="14">
        <v>40001</v>
      </c>
      <c r="AE3786" s="14" t="s">
        <v>1400</v>
      </c>
      <c r="AF3786" s="14" t="s">
        <v>1400</v>
      </c>
      <c r="AG3786" s="14" t="s">
        <v>1231</v>
      </c>
    </row>
    <row r="3787" spans="2:33">
      <c r="B3787" s="14">
        <f>10000000+INDEX(编号表!$B:$B,MATCH(H3787,编号表!$A:$A,0))*100000+INDEX(编号表!$F:$F,MATCH(D3787,编号表!$E:$E,0))*10000+INDEX(编号表!$D:$D,MATCH(AG3787,编号表!$C:$C,0))*1000+F3787</f>
        <v>11958101</v>
      </c>
      <c r="C3787" s="14" t="s">
        <v>7342</v>
      </c>
      <c r="D3787" s="14" t="s">
        <v>333</v>
      </c>
      <c r="E3787" s="14" t="s">
        <v>1231</v>
      </c>
      <c r="F3787" s="14">
        <v>101</v>
      </c>
      <c r="G3787" s="14">
        <v>60</v>
      </c>
      <c r="H3787" s="14" t="s">
        <v>1400</v>
      </c>
      <c r="I3787" s="14" t="s">
        <v>75</v>
      </c>
      <c r="J3787" s="14" t="s">
        <v>201</v>
      </c>
      <c r="K3787" s="14">
        <v>1</v>
      </c>
      <c r="L3787" s="14" t="s">
        <v>1400</v>
      </c>
      <c r="N3787" s="14">
        <v>0</v>
      </c>
      <c r="O3787" s="14" t="b">
        <v>1</v>
      </c>
      <c r="Q3787" s="14" t="b">
        <v>0</v>
      </c>
      <c r="R3787" s="14">
        <v>1</v>
      </c>
      <c r="S3787" s="14" t="s">
        <v>77</v>
      </c>
      <c r="T3787" s="14">
        <v>999</v>
      </c>
      <c r="U3787" s="14" t="s">
        <v>1401</v>
      </c>
      <c r="V3787" s="14">
        <v>31958101</v>
      </c>
      <c r="X3787" s="14" t="s">
        <v>7347</v>
      </c>
      <c r="Y3787" s="14" t="s">
        <v>215</v>
      </c>
      <c r="Z3787" s="14">
        <v>22550</v>
      </c>
      <c r="AA3787" s="14" t="s">
        <v>7348</v>
      </c>
      <c r="AB3787" s="14">
        <v>40001</v>
      </c>
      <c r="AE3787" s="14" t="s">
        <v>1400</v>
      </c>
      <c r="AF3787" s="14" t="s">
        <v>1400</v>
      </c>
      <c r="AG3787" s="14" t="s">
        <v>1231</v>
      </c>
    </row>
    <row r="3788" spans="2:33">
      <c r="B3788" s="14">
        <f>10000000+INDEX(编号表!$B:$B,MATCH(H3788,编号表!$A:$A,0))*100000+INDEX(编号表!$F:$F,MATCH(D3788,编号表!$E:$E,0))*10000+INDEX(编号表!$D:$D,MATCH(AG3788,编号表!$C:$C,0))*1000+F3788</f>
        <v>11938100</v>
      </c>
      <c r="C3788" s="14" t="s">
        <v>7349</v>
      </c>
      <c r="D3788" s="14" t="s">
        <v>276</v>
      </c>
      <c r="E3788" s="14" t="s">
        <v>1231</v>
      </c>
      <c r="F3788" s="14">
        <v>100</v>
      </c>
      <c r="G3788" s="14">
        <v>60</v>
      </c>
      <c r="H3788" s="14" t="s">
        <v>1400</v>
      </c>
      <c r="I3788" s="14" t="s">
        <v>75</v>
      </c>
      <c r="J3788" s="14" t="s">
        <v>201</v>
      </c>
      <c r="K3788" s="14">
        <v>1</v>
      </c>
      <c r="L3788" s="14" t="s">
        <v>1400</v>
      </c>
      <c r="N3788" s="14">
        <v>0</v>
      </c>
      <c r="O3788" s="14" t="b">
        <v>1</v>
      </c>
      <c r="Q3788" s="14" t="b">
        <v>0</v>
      </c>
      <c r="R3788" s="14">
        <v>1</v>
      </c>
      <c r="S3788" s="14" t="s">
        <v>77</v>
      </c>
      <c r="T3788" s="14">
        <v>999</v>
      </c>
      <c r="U3788" s="14" t="s">
        <v>1401</v>
      </c>
      <c r="V3788" s="14">
        <v>31938100</v>
      </c>
      <c r="X3788" s="14" t="s">
        <v>7350</v>
      </c>
      <c r="Y3788" s="14" t="s">
        <v>215</v>
      </c>
      <c r="Z3788" s="14">
        <v>22551</v>
      </c>
      <c r="AA3788" s="14" t="s">
        <v>7351</v>
      </c>
      <c r="AB3788" s="14">
        <v>40001</v>
      </c>
      <c r="AE3788" s="14" t="s">
        <v>1400</v>
      </c>
      <c r="AF3788" s="14" t="s">
        <v>1400</v>
      </c>
      <c r="AG3788" s="14" t="s">
        <v>1231</v>
      </c>
    </row>
    <row r="3789" spans="2:33">
      <c r="B3789" s="14">
        <f>10000000+INDEX(编号表!$B:$B,MATCH(H3789,编号表!$A:$A,0))*100000+INDEX(编号表!$F:$F,MATCH(D3789,编号表!$E:$E,0))*10000+INDEX(编号表!$D:$D,MATCH(AG3789,编号表!$C:$C,0))*1000+F3789</f>
        <v>11948101</v>
      </c>
      <c r="C3789" s="14" t="s">
        <v>7349</v>
      </c>
      <c r="D3789" s="14" t="s">
        <v>104</v>
      </c>
      <c r="E3789" s="14" t="s">
        <v>1231</v>
      </c>
      <c r="F3789" s="14">
        <v>101</v>
      </c>
      <c r="G3789" s="14">
        <v>60</v>
      </c>
      <c r="H3789" s="14" t="s">
        <v>1400</v>
      </c>
      <c r="I3789" s="14" t="s">
        <v>75</v>
      </c>
      <c r="J3789" s="14" t="s">
        <v>201</v>
      </c>
      <c r="K3789" s="14">
        <v>1</v>
      </c>
      <c r="L3789" s="14" t="s">
        <v>1400</v>
      </c>
      <c r="N3789" s="14">
        <v>0</v>
      </c>
      <c r="O3789" s="14" t="b">
        <v>1</v>
      </c>
      <c r="Q3789" s="14" t="b">
        <v>0</v>
      </c>
      <c r="R3789" s="14">
        <v>1</v>
      </c>
      <c r="S3789" s="14" t="s">
        <v>77</v>
      </c>
      <c r="T3789" s="14">
        <v>999</v>
      </c>
      <c r="U3789" s="14" t="s">
        <v>1401</v>
      </c>
      <c r="V3789" s="14">
        <v>31948101</v>
      </c>
      <c r="X3789" s="14" t="s">
        <v>7352</v>
      </c>
      <c r="Y3789" s="14" t="s">
        <v>215</v>
      </c>
      <c r="Z3789" s="14">
        <v>22552</v>
      </c>
      <c r="AA3789" s="14" t="s">
        <v>7353</v>
      </c>
      <c r="AB3789" s="14">
        <v>40001</v>
      </c>
      <c r="AE3789" s="14" t="s">
        <v>1400</v>
      </c>
      <c r="AF3789" s="14" t="s">
        <v>1400</v>
      </c>
      <c r="AG3789" s="14" t="s">
        <v>1231</v>
      </c>
    </row>
    <row r="3790" spans="2:33">
      <c r="B3790" s="14">
        <f>10000000+INDEX(编号表!$B:$B,MATCH(H3790,编号表!$A:$A,0))*100000+INDEX(编号表!$F:$F,MATCH(D3790,编号表!$E:$E,0))*10000+INDEX(编号表!$D:$D,MATCH(AG3790,编号表!$C:$C,0))*1000+F3790</f>
        <v>11958102</v>
      </c>
      <c r="C3790" s="14" t="s">
        <v>7349</v>
      </c>
      <c r="D3790" s="14" t="s">
        <v>333</v>
      </c>
      <c r="E3790" s="14" t="s">
        <v>1231</v>
      </c>
      <c r="F3790" s="14">
        <v>102</v>
      </c>
      <c r="G3790" s="14">
        <v>60</v>
      </c>
      <c r="H3790" s="14" t="s">
        <v>1400</v>
      </c>
      <c r="I3790" s="14" t="s">
        <v>75</v>
      </c>
      <c r="J3790" s="14" t="s">
        <v>201</v>
      </c>
      <c r="K3790" s="14">
        <v>1</v>
      </c>
      <c r="L3790" s="14" t="s">
        <v>1400</v>
      </c>
      <c r="N3790" s="14">
        <v>0</v>
      </c>
      <c r="O3790" s="14" t="b">
        <v>1</v>
      </c>
      <c r="Q3790" s="14" t="b">
        <v>0</v>
      </c>
      <c r="R3790" s="14">
        <v>1</v>
      </c>
      <c r="S3790" s="14" t="s">
        <v>77</v>
      </c>
      <c r="T3790" s="14">
        <v>999</v>
      </c>
      <c r="U3790" s="14" t="s">
        <v>1401</v>
      </c>
      <c r="V3790" s="14">
        <v>31958102</v>
      </c>
      <c r="X3790" s="14" t="s">
        <v>7354</v>
      </c>
      <c r="Y3790" s="14" t="s">
        <v>215</v>
      </c>
      <c r="Z3790" s="14">
        <v>22553</v>
      </c>
      <c r="AA3790" s="14" t="s">
        <v>7355</v>
      </c>
      <c r="AB3790" s="14">
        <v>40001</v>
      </c>
      <c r="AE3790" s="14" t="s">
        <v>1400</v>
      </c>
      <c r="AF3790" s="14" t="s">
        <v>1400</v>
      </c>
      <c r="AG3790" s="14" t="s">
        <v>1231</v>
      </c>
    </row>
    <row r="3791" spans="2:33">
      <c r="B3791" s="14">
        <f>10000000+INDEX(编号表!$B:$B,MATCH(H3791,编号表!$A:$A,0))*100000+INDEX(编号表!$F:$F,MATCH(D3791,编号表!$E:$E,0))*10000+INDEX(编号表!$D:$D,MATCH(AG3791,编号表!$C:$C,0))*1000+F3791</f>
        <v>11938101</v>
      </c>
      <c r="C3791" s="14" t="s">
        <v>7356</v>
      </c>
      <c r="D3791" s="14" t="s">
        <v>276</v>
      </c>
      <c r="E3791" s="14" t="s">
        <v>1231</v>
      </c>
      <c r="F3791" s="14">
        <v>101</v>
      </c>
      <c r="G3791" s="14">
        <v>60</v>
      </c>
      <c r="H3791" s="14" t="s">
        <v>1400</v>
      </c>
      <c r="I3791" s="14" t="s">
        <v>75</v>
      </c>
      <c r="J3791" s="14" t="s">
        <v>201</v>
      </c>
      <c r="K3791" s="14">
        <v>1</v>
      </c>
      <c r="L3791" s="14" t="s">
        <v>1400</v>
      </c>
      <c r="N3791" s="14">
        <v>0</v>
      </c>
      <c r="O3791" s="14" t="b">
        <v>1</v>
      </c>
      <c r="Q3791" s="14" t="b">
        <v>0</v>
      </c>
      <c r="R3791" s="14">
        <v>1</v>
      </c>
      <c r="S3791" s="14" t="s">
        <v>77</v>
      </c>
      <c r="T3791" s="14">
        <v>999</v>
      </c>
      <c r="U3791" s="14" t="s">
        <v>1401</v>
      </c>
      <c r="V3791" s="14">
        <v>31938101</v>
      </c>
      <c r="X3791" s="14" t="s">
        <v>7357</v>
      </c>
      <c r="Y3791" s="14" t="s">
        <v>215</v>
      </c>
      <c r="Z3791" s="14">
        <v>22554</v>
      </c>
      <c r="AA3791" s="14" t="s">
        <v>7358</v>
      </c>
      <c r="AB3791" s="14">
        <v>40001</v>
      </c>
      <c r="AE3791" s="14" t="s">
        <v>1400</v>
      </c>
      <c r="AF3791" s="14" t="s">
        <v>1400</v>
      </c>
      <c r="AG3791" s="14" t="s">
        <v>1231</v>
      </c>
    </row>
    <row r="3792" spans="2:33">
      <c r="B3792" s="14">
        <f>10000000+INDEX(编号表!$B:$B,MATCH(H3792,编号表!$A:$A,0))*100000+INDEX(编号表!$F:$F,MATCH(D3792,编号表!$E:$E,0))*10000+INDEX(编号表!$D:$D,MATCH(AG3792,编号表!$C:$C,0))*1000+F3792</f>
        <v>11948102</v>
      </c>
      <c r="C3792" s="14" t="s">
        <v>7356</v>
      </c>
      <c r="D3792" s="14" t="s">
        <v>104</v>
      </c>
      <c r="E3792" s="14" t="s">
        <v>1231</v>
      </c>
      <c r="F3792" s="14">
        <v>102</v>
      </c>
      <c r="G3792" s="14">
        <v>60</v>
      </c>
      <c r="H3792" s="14" t="s">
        <v>1400</v>
      </c>
      <c r="I3792" s="14" t="s">
        <v>75</v>
      </c>
      <c r="J3792" s="14" t="s">
        <v>201</v>
      </c>
      <c r="K3792" s="14">
        <v>1</v>
      </c>
      <c r="L3792" s="14" t="s">
        <v>1400</v>
      </c>
      <c r="N3792" s="14">
        <v>0</v>
      </c>
      <c r="O3792" s="14" t="b">
        <v>1</v>
      </c>
      <c r="Q3792" s="14" t="b">
        <v>0</v>
      </c>
      <c r="R3792" s="14">
        <v>1</v>
      </c>
      <c r="S3792" s="14" t="s">
        <v>77</v>
      </c>
      <c r="T3792" s="14">
        <v>999</v>
      </c>
      <c r="U3792" s="14" t="s">
        <v>1401</v>
      </c>
      <c r="V3792" s="14">
        <v>31948102</v>
      </c>
      <c r="X3792" s="14" t="s">
        <v>7359</v>
      </c>
      <c r="Y3792" s="14" t="s">
        <v>215</v>
      </c>
      <c r="Z3792" s="14">
        <v>22555</v>
      </c>
      <c r="AA3792" s="14" t="s">
        <v>7360</v>
      </c>
      <c r="AB3792" s="14">
        <v>40001</v>
      </c>
      <c r="AE3792" s="14" t="s">
        <v>1400</v>
      </c>
      <c r="AF3792" s="14" t="s">
        <v>1400</v>
      </c>
      <c r="AG3792" s="14" t="s">
        <v>1231</v>
      </c>
    </row>
    <row r="3793" spans="2:33">
      <c r="B3793" s="14">
        <f>10000000+INDEX(编号表!$B:$B,MATCH(H3793,编号表!$A:$A,0))*100000+INDEX(编号表!$F:$F,MATCH(D3793,编号表!$E:$E,0))*10000+INDEX(编号表!$D:$D,MATCH(AG3793,编号表!$C:$C,0))*1000+F3793</f>
        <v>11958103</v>
      </c>
      <c r="C3793" s="14" t="s">
        <v>7356</v>
      </c>
      <c r="D3793" s="14" t="s">
        <v>333</v>
      </c>
      <c r="E3793" s="14" t="s">
        <v>1231</v>
      </c>
      <c r="F3793" s="14">
        <v>103</v>
      </c>
      <c r="G3793" s="14">
        <v>60</v>
      </c>
      <c r="H3793" s="14" t="s">
        <v>1400</v>
      </c>
      <c r="I3793" s="14" t="s">
        <v>75</v>
      </c>
      <c r="J3793" s="14" t="s">
        <v>201</v>
      </c>
      <c r="K3793" s="14">
        <v>1</v>
      </c>
      <c r="L3793" s="14" t="s">
        <v>1400</v>
      </c>
      <c r="N3793" s="14">
        <v>0</v>
      </c>
      <c r="O3793" s="14" t="b">
        <v>1</v>
      </c>
      <c r="Q3793" s="14" t="b">
        <v>0</v>
      </c>
      <c r="R3793" s="14">
        <v>1</v>
      </c>
      <c r="S3793" s="14" t="s">
        <v>77</v>
      </c>
      <c r="T3793" s="14">
        <v>999</v>
      </c>
      <c r="U3793" s="14" t="s">
        <v>1401</v>
      </c>
      <c r="V3793" s="14">
        <v>31958103</v>
      </c>
      <c r="X3793" s="14" t="s">
        <v>7361</v>
      </c>
      <c r="Y3793" s="14" t="s">
        <v>215</v>
      </c>
      <c r="Z3793" s="14">
        <v>22556</v>
      </c>
      <c r="AA3793" s="14" t="s">
        <v>7362</v>
      </c>
      <c r="AB3793" s="14">
        <v>40001</v>
      </c>
      <c r="AE3793" s="14" t="s">
        <v>1400</v>
      </c>
      <c r="AF3793" s="14" t="s">
        <v>1400</v>
      </c>
      <c r="AG3793" s="14" t="s">
        <v>1231</v>
      </c>
    </row>
    <row r="3794" spans="2:33">
      <c r="B3794" s="14">
        <f>10000000+INDEX(编号表!$B:$B,MATCH(H3794,编号表!$A:$A,0))*100000+INDEX(编号表!$F:$F,MATCH(D3794,编号表!$E:$E,0))*10000+INDEX(编号表!$D:$D,MATCH(AG3794,编号表!$C:$C,0))*1000+F3794</f>
        <v>11938102</v>
      </c>
      <c r="C3794" s="14" t="s">
        <v>7363</v>
      </c>
      <c r="D3794" s="14" t="s">
        <v>276</v>
      </c>
      <c r="E3794" s="14" t="s">
        <v>1231</v>
      </c>
      <c r="F3794" s="14">
        <v>102</v>
      </c>
      <c r="G3794" s="14">
        <v>60</v>
      </c>
      <c r="H3794" s="14" t="s">
        <v>1400</v>
      </c>
      <c r="I3794" s="14" t="s">
        <v>75</v>
      </c>
      <c r="J3794" s="14" t="s">
        <v>201</v>
      </c>
      <c r="K3794" s="14">
        <v>1</v>
      </c>
      <c r="L3794" s="14" t="s">
        <v>1400</v>
      </c>
      <c r="N3794" s="14">
        <v>0</v>
      </c>
      <c r="O3794" s="14" t="b">
        <v>1</v>
      </c>
      <c r="Q3794" s="14" t="b">
        <v>0</v>
      </c>
      <c r="R3794" s="14">
        <v>1</v>
      </c>
      <c r="S3794" s="14" t="s">
        <v>77</v>
      </c>
      <c r="T3794" s="14">
        <v>999</v>
      </c>
      <c r="U3794" s="14" t="s">
        <v>1401</v>
      </c>
      <c r="V3794" s="14">
        <v>31938102</v>
      </c>
      <c r="X3794" s="14" t="s">
        <v>7364</v>
      </c>
      <c r="Y3794" s="14" t="s">
        <v>215</v>
      </c>
      <c r="Z3794" s="14">
        <v>22557</v>
      </c>
      <c r="AA3794" s="14" t="s">
        <v>7365</v>
      </c>
      <c r="AB3794" s="14">
        <v>40001</v>
      </c>
      <c r="AE3794" s="14" t="s">
        <v>1400</v>
      </c>
      <c r="AF3794" s="14" t="s">
        <v>1400</v>
      </c>
      <c r="AG3794" s="14" t="s">
        <v>1231</v>
      </c>
    </row>
    <row r="3795" spans="2:33">
      <c r="B3795" s="14">
        <f>10000000+INDEX(编号表!$B:$B,MATCH(H3795,编号表!$A:$A,0))*100000+INDEX(编号表!$F:$F,MATCH(D3795,编号表!$E:$E,0))*10000+INDEX(编号表!$D:$D,MATCH(AG3795,编号表!$C:$C,0))*1000+F3795</f>
        <v>11948103</v>
      </c>
      <c r="C3795" s="14" t="s">
        <v>7363</v>
      </c>
      <c r="D3795" s="14" t="s">
        <v>104</v>
      </c>
      <c r="E3795" s="14" t="s">
        <v>1231</v>
      </c>
      <c r="F3795" s="14">
        <v>103</v>
      </c>
      <c r="G3795" s="14">
        <v>60</v>
      </c>
      <c r="H3795" s="14" t="s">
        <v>1400</v>
      </c>
      <c r="I3795" s="14" t="s">
        <v>75</v>
      </c>
      <c r="J3795" s="14" t="s">
        <v>201</v>
      </c>
      <c r="K3795" s="14">
        <v>1</v>
      </c>
      <c r="L3795" s="14" t="s">
        <v>1400</v>
      </c>
      <c r="N3795" s="14">
        <v>0</v>
      </c>
      <c r="O3795" s="14" t="b">
        <v>1</v>
      </c>
      <c r="Q3795" s="14" t="b">
        <v>0</v>
      </c>
      <c r="R3795" s="14">
        <v>1</v>
      </c>
      <c r="S3795" s="14" t="s">
        <v>77</v>
      </c>
      <c r="T3795" s="14">
        <v>999</v>
      </c>
      <c r="U3795" s="14" t="s">
        <v>1401</v>
      </c>
      <c r="V3795" s="14">
        <v>31948103</v>
      </c>
      <c r="X3795" s="14" t="s">
        <v>7366</v>
      </c>
      <c r="Y3795" s="14" t="s">
        <v>215</v>
      </c>
      <c r="Z3795" s="14">
        <v>22558</v>
      </c>
      <c r="AA3795" s="14" t="s">
        <v>7367</v>
      </c>
      <c r="AB3795" s="14">
        <v>40001</v>
      </c>
      <c r="AE3795" s="14" t="s">
        <v>1400</v>
      </c>
      <c r="AF3795" s="14" t="s">
        <v>1400</v>
      </c>
      <c r="AG3795" s="14" t="s">
        <v>1231</v>
      </c>
    </row>
    <row r="3796" spans="2:33">
      <c r="B3796" s="14">
        <f>10000000+INDEX(编号表!$B:$B,MATCH(H3796,编号表!$A:$A,0))*100000+INDEX(编号表!$F:$F,MATCH(D3796,编号表!$E:$E,0))*10000+INDEX(编号表!$D:$D,MATCH(AG3796,编号表!$C:$C,0))*1000+F3796</f>
        <v>11958104</v>
      </c>
      <c r="C3796" s="14" t="s">
        <v>7363</v>
      </c>
      <c r="D3796" s="14" t="s">
        <v>333</v>
      </c>
      <c r="E3796" s="14" t="s">
        <v>1231</v>
      </c>
      <c r="F3796" s="14">
        <v>104</v>
      </c>
      <c r="G3796" s="14">
        <v>60</v>
      </c>
      <c r="H3796" s="14" t="s">
        <v>1400</v>
      </c>
      <c r="I3796" s="14" t="s">
        <v>75</v>
      </c>
      <c r="J3796" s="14" t="s">
        <v>201</v>
      </c>
      <c r="K3796" s="14">
        <v>1</v>
      </c>
      <c r="L3796" s="14" t="s">
        <v>1400</v>
      </c>
      <c r="N3796" s="14">
        <v>0</v>
      </c>
      <c r="O3796" s="14" t="b">
        <v>1</v>
      </c>
      <c r="Q3796" s="14" t="b">
        <v>0</v>
      </c>
      <c r="R3796" s="14">
        <v>1</v>
      </c>
      <c r="S3796" s="14" t="s">
        <v>77</v>
      </c>
      <c r="T3796" s="14">
        <v>999</v>
      </c>
      <c r="U3796" s="14" t="s">
        <v>1401</v>
      </c>
      <c r="V3796" s="14">
        <v>31958104</v>
      </c>
      <c r="X3796" s="14" t="s">
        <v>7368</v>
      </c>
      <c r="Y3796" s="14" t="s">
        <v>215</v>
      </c>
      <c r="Z3796" s="14">
        <v>22559</v>
      </c>
      <c r="AA3796" s="14" t="s">
        <v>7369</v>
      </c>
      <c r="AB3796" s="14">
        <v>40001</v>
      </c>
      <c r="AE3796" s="14" t="s">
        <v>1400</v>
      </c>
      <c r="AF3796" s="14" t="s">
        <v>1400</v>
      </c>
      <c r="AG3796" s="14" t="s">
        <v>1231</v>
      </c>
    </row>
    <row r="3797" spans="2:33">
      <c r="B3797" s="14">
        <f>10000000+INDEX(编号表!$B:$B,MATCH(H3797,编号表!$A:$A,0))*100000+INDEX(编号表!$F:$F,MATCH(D3797,编号表!$E:$E,0))*10000+INDEX(编号表!$D:$D,MATCH(AG3797,编号表!$C:$C,0))*1000+F3797</f>
        <v>11938103</v>
      </c>
      <c r="C3797" s="14" t="s">
        <v>7370</v>
      </c>
      <c r="D3797" s="14" t="s">
        <v>276</v>
      </c>
      <c r="E3797" s="14" t="s">
        <v>1231</v>
      </c>
      <c r="F3797" s="14">
        <v>103</v>
      </c>
      <c r="G3797" s="14">
        <v>60</v>
      </c>
      <c r="H3797" s="14" t="s">
        <v>1400</v>
      </c>
      <c r="I3797" s="14" t="s">
        <v>75</v>
      </c>
      <c r="J3797" s="14" t="s">
        <v>201</v>
      </c>
      <c r="K3797" s="14">
        <v>1</v>
      </c>
      <c r="L3797" s="14" t="s">
        <v>1400</v>
      </c>
      <c r="N3797" s="14">
        <v>0</v>
      </c>
      <c r="O3797" s="14" t="b">
        <v>1</v>
      </c>
      <c r="Q3797" s="14" t="b">
        <v>0</v>
      </c>
      <c r="R3797" s="14">
        <v>1</v>
      </c>
      <c r="S3797" s="14" t="s">
        <v>77</v>
      </c>
      <c r="T3797" s="14">
        <v>999</v>
      </c>
      <c r="U3797" s="14" t="s">
        <v>1401</v>
      </c>
      <c r="V3797" s="14">
        <v>31938103</v>
      </c>
      <c r="X3797" s="14" t="s">
        <v>7371</v>
      </c>
      <c r="Y3797" s="14" t="s">
        <v>215</v>
      </c>
      <c r="Z3797" s="14">
        <v>22560</v>
      </c>
      <c r="AA3797" s="14" t="s">
        <v>7372</v>
      </c>
      <c r="AB3797" s="14">
        <v>40001</v>
      </c>
      <c r="AE3797" s="14" t="s">
        <v>1400</v>
      </c>
      <c r="AF3797" s="14" t="s">
        <v>1400</v>
      </c>
      <c r="AG3797" s="14" t="s">
        <v>1231</v>
      </c>
    </row>
    <row r="3798" spans="2:33">
      <c r="B3798" s="14">
        <f>10000000+INDEX(编号表!$B:$B,MATCH(H3798,编号表!$A:$A,0))*100000+INDEX(编号表!$F:$F,MATCH(D3798,编号表!$E:$E,0))*10000+INDEX(编号表!$D:$D,MATCH(AG3798,编号表!$C:$C,0))*1000+F3798</f>
        <v>11948104</v>
      </c>
      <c r="C3798" s="14" t="s">
        <v>7370</v>
      </c>
      <c r="D3798" s="14" t="s">
        <v>104</v>
      </c>
      <c r="E3798" s="14" t="s">
        <v>1231</v>
      </c>
      <c r="F3798" s="14">
        <v>104</v>
      </c>
      <c r="G3798" s="14">
        <v>60</v>
      </c>
      <c r="H3798" s="14" t="s">
        <v>1400</v>
      </c>
      <c r="I3798" s="14" t="s">
        <v>75</v>
      </c>
      <c r="J3798" s="14" t="s">
        <v>201</v>
      </c>
      <c r="K3798" s="14">
        <v>1</v>
      </c>
      <c r="L3798" s="14" t="s">
        <v>1400</v>
      </c>
      <c r="N3798" s="14">
        <v>0</v>
      </c>
      <c r="O3798" s="14" t="b">
        <v>1</v>
      </c>
      <c r="Q3798" s="14" t="b">
        <v>0</v>
      </c>
      <c r="R3798" s="14">
        <v>1</v>
      </c>
      <c r="S3798" s="14" t="s">
        <v>77</v>
      </c>
      <c r="T3798" s="14">
        <v>999</v>
      </c>
      <c r="U3798" s="14" t="s">
        <v>1401</v>
      </c>
      <c r="V3798" s="14">
        <v>31948104</v>
      </c>
      <c r="X3798" s="14" t="s">
        <v>7373</v>
      </c>
      <c r="Y3798" s="14" t="s">
        <v>215</v>
      </c>
      <c r="Z3798" s="14">
        <v>22561</v>
      </c>
      <c r="AA3798" s="14" t="s">
        <v>7374</v>
      </c>
      <c r="AB3798" s="14">
        <v>40001</v>
      </c>
      <c r="AE3798" s="14" t="s">
        <v>1400</v>
      </c>
      <c r="AF3798" s="14" t="s">
        <v>1400</v>
      </c>
      <c r="AG3798" s="14" t="s">
        <v>1231</v>
      </c>
    </row>
    <row r="3799" spans="2:33">
      <c r="B3799" s="14">
        <f>10000000+INDEX(编号表!$B:$B,MATCH(H3799,编号表!$A:$A,0))*100000+INDEX(编号表!$F:$F,MATCH(D3799,编号表!$E:$E,0))*10000+INDEX(编号表!$D:$D,MATCH(AG3799,编号表!$C:$C,0))*1000+F3799</f>
        <v>11958105</v>
      </c>
      <c r="C3799" s="14" t="s">
        <v>7370</v>
      </c>
      <c r="D3799" s="14" t="s">
        <v>333</v>
      </c>
      <c r="E3799" s="14" t="s">
        <v>1231</v>
      </c>
      <c r="F3799" s="14">
        <v>105</v>
      </c>
      <c r="G3799" s="14">
        <v>60</v>
      </c>
      <c r="H3799" s="14" t="s">
        <v>1400</v>
      </c>
      <c r="I3799" s="14" t="s">
        <v>75</v>
      </c>
      <c r="J3799" s="14" t="s">
        <v>201</v>
      </c>
      <c r="K3799" s="14">
        <v>1</v>
      </c>
      <c r="L3799" s="14" t="s">
        <v>1400</v>
      </c>
      <c r="N3799" s="14">
        <v>0</v>
      </c>
      <c r="O3799" s="14" t="b">
        <v>1</v>
      </c>
      <c r="Q3799" s="14" t="b">
        <v>0</v>
      </c>
      <c r="R3799" s="14">
        <v>1</v>
      </c>
      <c r="S3799" s="14" t="s">
        <v>77</v>
      </c>
      <c r="T3799" s="14">
        <v>999</v>
      </c>
      <c r="U3799" s="14" t="s">
        <v>1401</v>
      </c>
      <c r="V3799" s="14">
        <v>31958105</v>
      </c>
      <c r="X3799" s="14" t="s">
        <v>7375</v>
      </c>
      <c r="Y3799" s="14" t="s">
        <v>215</v>
      </c>
      <c r="Z3799" s="14">
        <v>22562</v>
      </c>
      <c r="AA3799" s="14" t="s">
        <v>7376</v>
      </c>
      <c r="AB3799" s="14">
        <v>40001</v>
      </c>
      <c r="AE3799" s="14" t="s">
        <v>1400</v>
      </c>
      <c r="AF3799" s="14" t="s">
        <v>1400</v>
      </c>
      <c r="AG3799" s="14" t="s">
        <v>1231</v>
      </c>
    </row>
    <row r="3800" spans="2:33">
      <c r="B3800" s="14">
        <f>10000000+INDEX(编号表!$B:$B,MATCH(H3800,编号表!$A:$A,0))*100000+INDEX(编号表!$F:$F,MATCH(D3800,编号表!$E:$E,0))*10000+INDEX(编号表!$D:$D,MATCH(AG3800,编号表!$C:$C,0))*1000+F3800</f>
        <v>11938104</v>
      </c>
      <c r="C3800" s="14" t="s">
        <v>7377</v>
      </c>
      <c r="D3800" s="14" t="s">
        <v>276</v>
      </c>
      <c r="E3800" s="14" t="s">
        <v>1231</v>
      </c>
      <c r="F3800" s="14">
        <v>104</v>
      </c>
      <c r="G3800" s="14">
        <v>60</v>
      </c>
      <c r="H3800" s="14" t="s">
        <v>1400</v>
      </c>
      <c r="I3800" s="14" t="s">
        <v>75</v>
      </c>
      <c r="J3800" s="14" t="s">
        <v>201</v>
      </c>
      <c r="K3800" s="14">
        <v>1</v>
      </c>
      <c r="L3800" s="14" t="s">
        <v>1400</v>
      </c>
      <c r="N3800" s="14">
        <v>0</v>
      </c>
      <c r="O3800" s="14" t="b">
        <v>1</v>
      </c>
      <c r="Q3800" s="14" t="b">
        <v>0</v>
      </c>
      <c r="R3800" s="14">
        <v>1</v>
      </c>
      <c r="S3800" s="14" t="s">
        <v>77</v>
      </c>
      <c r="T3800" s="14">
        <v>999</v>
      </c>
      <c r="U3800" s="14" t="s">
        <v>1401</v>
      </c>
      <c r="V3800" s="14">
        <v>31938104</v>
      </c>
      <c r="X3800" s="14" t="s">
        <v>7378</v>
      </c>
      <c r="Y3800" s="14" t="s">
        <v>215</v>
      </c>
      <c r="Z3800" s="14">
        <v>22563</v>
      </c>
      <c r="AA3800" s="14" t="s">
        <v>7379</v>
      </c>
      <c r="AB3800" s="14">
        <v>40001</v>
      </c>
      <c r="AE3800" s="14" t="s">
        <v>1400</v>
      </c>
      <c r="AF3800" s="14" t="s">
        <v>1400</v>
      </c>
      <c r="AG3800" s="14" t="s">
        <v>1231</v>
      </c>
    </row>
    <row r="3801" spans="2:33">
      <c r="B3801" s="14">
        <f>10000000+INDEX(编号表!$B:$B,MATCH(H3801,编号表!$A:$A,0))*100000+INDEX(编号表!$F:$F,MATCH(D3801,编号表!$E:$E,0))*10000+INDEX(编号表!$D:$D,MATCH(AG3801,编号表!$C:$C,0))*1000+F3801</f>
        <v>11948105</v>
      </c>
      <c r="C3801" s="14" t="s">
        <v>7377</v>
      </c>
      <c r="D3801" s="14" t="s">
        <v>104</v>
      </c>
      <c r="E3801" s="14" t="s">
        <v>1231</v>
      </c>
      <c r="F3801" s="14">
        <v>105</v>
      </c>
      <c r="G3801" s="14">
        <v>60</v>
      </c>
      <c r="H3801" s="14" t="s">
        <v>1400</v>
      </c>
      <c r="I3801" s="14" t="s">
        <v>75</v>
      </c>
      <c r="J3801" s="14" t="s">
        <v>201</v>
      </c>
      <c r="K3801" s="14">
        <v>1</v>
      </c>
      <c r="L3801" s="14" t="s">
        <v>1400</v>
      </c>
      <c r="N3801" s="14">
        <v>0</v>
      </c>
      <c r="O3801" s="14" t="b">
        <v>1</v>
      </c>
      <c r="Q3801" s="14" t="b">
        <v>0</v>
      </c>
      <c r="R3801" s="14">
        <v>1</v>
      </c>
      <c r="S3801" s="14" t="s">
        <v>77</v>
      </c>
      <c r="T3801" s="14">
        <v>999</v>
      </c>
      <c r="U3801" s="14" t="s">
        <v>1401</v>
      </c>
      <c r="V3801" s="14">
        <v>31948105</v>
      </c>
      <c r="X3801" s="14" t="s">
        <v>7380</v>
      </c>
      <c r="Y3801" s="14" t="s">
        <v>215</v>
      </c>
      <c r="Z3801" s="14">
        <v>22564</v>
      </c>
      <c r="AA3801" s="14" t="s">
        <v>7381</v>
      </c>
      <c r="AB3801" s="14">
        <v>40001</v>
      </c>
      <c r="AE3801" s="14" t="s">
        <v>1400</v>
      </c>
      <c r="AF3801" s="14" t="s">
        <v>1400</v>
      </c>
      <c r="AG3801" s="14" t="s">
        <v>1231</v>
      </c>
    </row>
    <row r="3802" spans="2:33">
      <c r="B3802" s="14">
        <f>10000000+INDEX(编号表!$B:$B,MATCH(H3802,编号表!$A:$A,0))*100000+INDEX(编号表!$F:$F,MATCH(D3802,编号表!$E:$E,0))*10000+INDEX(编号表!$D:$D,MATCH(AG3802,编号表!$C:$C,0))*1000+F3802</f>
        <v>11958106</v>
      </c>
      <c r="C3802" s="14" t="s">
        <v>7377</v>
      </c>
      <c r="D3802" s="14" t="s">
        <v>333</v>
      </c>
      <c r="E3802" s="14" t="s">
        <v>1231</v>
      </c>
      <c r="F3802" s="14">
        <v>106</v>
      </c>
      <c r="G3802" s="14">
        <v>60</v>
      </c>
      <c r="H3802" s="14" t="s">
        <v>1400</v>
      </c>
      <c r="I3802" s="14" t="s">
        <v>75</v>
      </c>
      <c r="J3802" s="14" t="s">
        <v>201</v>
      </c>
      <c r="K3802" s="14">
        <v>1</v>
      </c>
      <c r="L3802" s="14" t="s">
        <v>1400</v>
      </c>
      <c r="N3802" s="14">
        <v>0</v>
      </c>
      <c r="O3802" s="14" t="b">
        <v>1</v>
      </c>
      <c r="Q3802" s="14" t="b">
        <v>0</v>
      </c>
      <c r="R3802" s="14">
        <v>1</v>
      </c>
      <c r="S3802" s="14" t="s">
        <v>77</v>
      </c>
      <c r="T3802" s="14">
        <v>999</v>
      </c>
      <c r="U3802" s="14" t="s">
        <v>1401</v>
      </c>
      <c r="V3802" s="14">
        <v>31958106</v>
      </c>
      <c r="X3802" s="14" t="s">
        <v>7382</v>
      </c>
      <c r="Y3802" s="14" t="s">
        <v>215</v>
      </c>
      <c r="Z3802" s="14">
        <v>22565</v>
      </c>
      <c r="AA3802" s="14" t="s">
        <v>7383</v>
      </c>
      <c r="AB3802" s="14">
        <v>40001</v>
      </c>
      <c r="AE3802" s="14" t="s">
        <v>1400</v>
      </c>
      <c r="AF3802" s="14" t="s">
        <v>1400</v>
      </c>
      <c r="AG3802" s="14" t="s">
        <v>1231</v>
      </c>
    </row>
    <row r="3803" spans="2:33">
      <c r="B3803" s="14">
        <f>10000000+INDEX(编号表!$B:$B,MATCH(H3803,编号表!$A:$A,0))*100000+INDEX(编号表!$F:$F,MATCH(D3803,编号表!$E:$E,0))*10000+INDEX(编号表!$D:$D,MATCH(AG3803,编号表!$C:$C,0))*1000+F3803</f>
        <v>11938105</v>
      </c>
      <c r="C3803" s="14" t="s">
        <v>7384</v>
      </c>
      <c r="D3803" s="14" t="s">
        <v>276</v>
      </c>
      <c r="E3803" s="14" t="s">
        <v>1231</v>
      </c>
      <c r="F3803" s="14">
        <v>105</v>
      </c>
      <c r="G3803" s="14">
        <v>60</v>
      </c>
      <c r="H3803" s="14" t="s">
        <v>1400</v>
      </c>
      <c r="I3803" s="14" t="s">
        <v>75</v>
      </c>
      <c r="J3803" s="14" t="s">
        <v>201</v>
      </c>
      <c r="K3803" s="14">
        <v>1</v>
      </c>
      <c r="L3803" s="14" t="s">
        <v>1400</v>
      </c>
      <c r="N3803" s="14">
        <v>0</v>
      </c>
      <c r="O3803" s="14" t="b">
        <v>1</v>
      </c>
      <c r="Q3803" s="14" t="b">
        <v>0</v>
      </c>
      <c r="R3803" s="14">
        <v>1</v>
      </c>
      <c r="S3803" s="14" t="s">
        <v>77</v>
      </c>
      <c r="T3803" s="14">
        <v>999</v>
      </c>
      <c r="U3803" s="14" t="s">
        <v>1401</v>
      </c>
      <c r="V3803" s="14">
        <v>31938105</v>
      </c>
      <c r="X3803" s="14" t="s">
        <v>7385</v>
      </c>
      <c r="Y3803" s="14" t="s">
        <v>215</v>
      </c>
      <c r="Z3803" s="14">
        <v>22566</v>
      </c>
      <c r="AA3803" s="14" t="s">
        <v>7386</v>
      </c>
      <c r="AB3803" s="14">
        <v>40001</v>
      </c>
      <c r="AE3803" s="14" t="s">
        <v>1400</v>
      </c>
      <c r="AF3803" s="14" t="s">
        <v>1400</v>
      </c>
      <c r="AG3803" s="14" t="s">
        <v>1231</v>
      </c>
    </row>
    <row r="3804" spans="2:33">
      <c r="B3804" s="14">
        <f>10000000+INDEX(编号表!$B:$B,MATCH(H3804,编号表!$A:$A,0))*100000+INDEX(编号表!$F:$F,MATCH(D3804,编号表!$E:$E,0))*10000+INDEX(编号表!$D:$D,MATCH(AG3804,编号表!$C:$C,0))*1000+F3804</f>
        <v>11948106</v>
      </c>
      <c r="C3804" s="14" t="s">
        <v>7384</v>
      </c>
      <c r="D3804" s="14" t="s">
        <v>104</v>
      </c>
      <c r="E3804" s="14" t="s">
        <v>1231</v>
      </c>
      <c r="F3804" s="14">
        <v>106</v>
      </c>
      <c r="G3804" s="14">
        <v>60</v>
      </c>
      <c r="H3804" s="14" t="s">
        <v>1400</v>
      </c>
      <c r="I3804" s="14" t="s">
        <v>75</v>
      </c>
      <c r="J3804" s="14" t="s">
        <v>201</v>
      </c>
      <c r="K3804" s="14">
        <v>1</v>
      </c>
      <c r="L3804" s="14" t="s">
        <v>1400</v>
      </c>
      <c r="N3804" s="14">
        <v>0</v>
      </c>
      <c r="O3804" s="14" t="b">
        <v>1</v>
      </c>
      <c r="Q3804" s="14" t="b">
        <v>0</v>
      </c>
      <c r="R3804" s="14">
        <v>1</v>
      </c>
      <c r="S3804" s="14" t="s">
        <v>77</v>
      </c>
      <c r="T3804" s="14">
        <v>999</v>
      </c>
      <c r="U3804" s="14" t="s">
        <v>1401</v>
      </c>
      <c r="V3804" s="14">
        <v>31948106</v>
      </c>
      <c r="X3804" s="14" t="s">
        <v>7387</v>
      </c>
      <c r="Y3804" s="14" t="s">
        <v>215</v>
      </c>
      <c r="Z3804" s="14">
        <v>22567</v>
      </c>
      <c r="AA3804" s="14" t="s">
        <v>7388</v>
      </c>
      <c r="AB3804" s="14">
        <v>40001</v>
      </c>
      <c r="AE3804" s="14" t="s">
        <v>1400</v>
      </c>
      <c r="AF3804" s="14" t="s">
        <v>1400</v>
      </c>
      <c r="AG3804" s="14" t="s">
        <v>1231</v>
      </c>
    </row>
    <row r="3805" spans="2:33">
      <c r="B3805" s="14">
        <f>10000000+INDEX(编号表!$B:$B,MATCH(H3805,编号表!$A:$A,0))*100000+INDEX(编号表!$F:$F,MATCH(D3805,编号表!$E:$E,0))*10000+INDEX(编号表!$D:$D,MATCH(AG3805,编号表!$C:$C,0))*1000+F3805</f>
        <v>11958107</v>
      </c>
      <c r="C3805" s="14" t="s">
        <v>7384</v>
      </c>
      <c r="D3805" s="14" t="s">
        <v>333</v>
      </c>
      <c r="E3805" s="14" t="s">
        <v>1231</v>
      </c>
      <c r="F3805" s="14">
        <v>107</v>
      </c>
      <c r="G3805" s="14">
        <v>60</v>
      </c>
      <c r="H3805" s="14" t="s">
        <v>1400</v>
      </c>
      <c r="I3805" s="14" t="s">
        <v>75</v>
      </c>
      <c r="J3805" s="14" t="s">
        <v>201</v>
      </c>
      <c r="K3805" s="14">
        <v>1</v>
      </c>
      <c r="L3805" s="14" t="s">
        <v>1400</v>
      </c>
      <c r="N3805" s="14">
        <v>0</v>
      </c>
      <c r="O3805" s="14" t="b">
        <v>1</v>
      </c>
      <c r="Q3805" s="14" t="b">
        <v>0</v>
      </c>
      <c r="R3805" s="14">
        <v>1</v>
      </c>
      <c r="S3805" s="14" t="s">
        <v>77</v>
      </c>
      <c r="T3805" s="14">
        <v>999</v>
      </c>
      <c r="U3805" s="14" t="s">
        <v>1401</v>
      </c>
      <c r="V3805" s="14">
        <v>31958107</v>
      </c>
      <c r="X3805" s="14" t="s">
        <v>7389</v>
      </c>
      <c r="Y3805" s="14" t="s">
        <v>215</v>
      </c>
      <c r="Z3805" s="14">
        <v>22568</v>
      </c>
      <c r="AA3805" s="14" t="s">
        <v>7390</v>
      </c>
      <c r="AB3805" s="14">
        <v>40001</v>
      </c>
      <c r="AE3805" s="14" t="s">
        <v>1400</v>
      </c>
      <c r="AF3805" s="14" t="s">
        <v>1400</v>
      </c>
      <c r="AG3805" s="14" t="s">
        <v>1231</v>
      </c>
    </row>
    <row r="3806" spans="2:33">
      <c r="B3806" s="14">
        <f>10000000+INDEX(编号表!$B:$B,MATCH(H3806,编号表!$A:$A,0))*100000+INDEX(编号表!$F:$F,MATCH(D3806,编号表!$E:$E,0))*10000+INDEX(编号表!$D:$D,MATCH(AG3806,编号表!$C:$C,0))*1000+F3806</f>
        <v>11938106</v>
      </c>
      <c r="C3806" s="14" t="s">
        <v>7391</v>
      </c>
      <c r="D3806" s="14" t="s">
        <v>276</v>
      </c>
      <c r="E3806" s="14" t="s">
        <v>1231</v>
      </c>
      <c r="F3806" s="14">
        <v>106</v>
      </c>
      <c r="G3806" s="14">
        <v>60</v>
      </c>
      <c r="H3806" s="14" t="s">
        <v>1400</v>
      </c>
      <c r="I3806" s="14" t="s">
        <v>75</v>
      </c>
      <c r="J3806" s="14" t="s">
        <v>201</v>
      </c>
      <c r="K3806" s="14">
        <v>1</v>
      </c>
      <c r="L3806" s="14" t="s">
        <v>1400</v>
      </c>
      <c r="N3806" s="14">
        <v>0</v>
      </c>
      <c r="O3806" s="14" t="b">
        <v>1</v>
      </c>
      <c r="Q3806" s="14" t="b">
        <v>0</v>
      </c>
      <c r="R3806" s="14">
        <v>1</v>
      </c>
      <c r="S3806" s="14" t="s">
        <v>77</v>
      </c>
      <c r="T3806" s="14">
        <v>999</v>
      </c>
      <c r="U3806" s="14" t="s">
        <v>1401</v>
      </c>
      <c r="V3806" s="14">
        <v>31938106</v>
      </c>
      <c r="X3806" s="14" t="s">
        <v>7392</v>
      </c>
      <c r="Y3806" s="14" t="s">
        <v>215</v>
      </c>
      <c r="Z3806" s="14">
        <v>22569</v>
      </c>
      <c r="AA3806" s="14" t="s">
        <v>7393</v>
      </c>
      <c r="AB3806" s="14">
        <v>40001</v>
      </c>
      <c r="AE3806" s="14" t="s">
        <v>1400</v>
      </c>
      <c r="AF3806" s="14" t="s">
        <v>1400</v>
      </c>
      <c r="AG3806" s="14" t="s">
        <v>1231</v>
      </c>
    </row>
    <row r="3807" spans="2:33">
      <c r="B3807" s="14">
        <f>10000000+INDEX(编号表!$B:$B,MATCH(H3807,编号表!$A:$A,0))*100000+INDEX(编号表!$F:$F,MATCH(D3807,编号表!$E:$E,0))*10000+INDEX(编号表!$D:$D,MATCH(AG3807,编号表!$C:$C,0))*1000+F3807</f>
        <v>11948107</v>
      </c>
      <c r="C3807" s="14" t="s">
        <v>7391</v>
      </c>
      <c r="D3807" s="14" t="s">
        <v>104</v>
      </c>
      <c r="E3807" s="14" t="s">
        <v>1231</v>
      </c>
      <c r="F3807" s="14">
        <v>107</v>
      </c>
      <c r="G3807" s="14">
        <v>60</v>
      </c>
      <c r="H3807" s="14" t="s">
        <v>1400</v>
      </c>
      <c r="I3807" s="14" t="s">
        <v>75</v>
      </c>
      <c r="J3807" s="14" t="s">
        <v>201</v>
      </c>
      <c r="K3807" s="14">
        <v>1</v>
      </c>
      <c r="L3807" s="14" t="s">
        <v>1400</v>
      </c>
      <c r="N3807" s="14">
        <v>0</v>
      </c>
      <c r="O3807" s="14" t="b">
        <v>1</v>
      </c>
      <c r="Q3807" s="14" t="b">
        <v>0</v>
      </c>
      <c r="R3807" s="14">
        <v>1</v>
      </c>
      <c r="S3807" s="14" t="s">
        <v>77</v>
      </c>
      <c r="T3807" s="14">
        <v>999</v>
      </c>
      <c r="U3807" s="14" t="s">
        <v>1401</v>
      </c>
      <c r="V3807" s="14">
        <v>31948107</v>
      </c>
      <c r="X3807" s="14" t="s">
        <v>7394</v>
      </c>
      <c r="Y3807" s="14" t="s">
        <v>215</v>
      </c>
      <c r="Z3807" s="14">
        <v>22570</v>
      </c>
      <c r="AA3807" s="14" t="s">
        <v>7395</v>
      </c>
      <c r="AB3807" s="14">
        <v>40001</v>
      </c>
      <c r="AE3807" s="14" t="s">
        <v>1400</v>
      </c>
      <c r="AF3807" s="14" t="s">
        <v>1400</v>
      </c>
      <c r="AG3807" s="14" t="s">
        <v>1231</v>
      </c>
    </row>
    <row r="3808" spans="2:33">
      <c r="B3808" s="14">
        <f>10000000+INDEX(编号表!$B:$B,MATCH(H3808,编号表!$A:$A,0))*100000+INDEX(编号表!$F:$F,MATCH(D3808,编号表!$E:$E,0))*10000+INDEX(编号表!$D:$D,MATCH(AG3808,编号表!$C:$C,0))*1000+F3808</f>
        <v>11958108</v>
      </c>
      <c r="C3808" s="14" t="s">
        <v>7391</v>
      </c>
      <c r="D3808" s="14" t="s">
        <v>333</v>
      </c>
      <c r="E3808" s="14" t="s">
        <v>1231</v>
      </c>
      <c r="F3808" s="14">
        <v>108</v>
      </c>
      <c r="G3808" s="14">
        <v>60</v>
      </c>
      <c r="H3808" s="14" t="s">
        <v>1400</v>
      </c>
      <c r="I3808" s="14" t="s">
        <v>75</v>
      </c>
      <c r="J3808" s="14" t="s">
        <v>201</v>
      </c>
      <c r="K3808" s="14">
        <v>1</v>
      </c>
      <c r="L3808" s="14" t="s">
        <v>1400</v>
      </c>
      <c r="N3808" s="14">
        <v>0</v>
      </c>
      <c r="O3808" s="14" t="b">
        <v>1</v>
      </c>
      <c r="Q3808" s="14" t="b">
        <v>0</v>
      </c>
      <c r="R3808" s="14">
        <v>1</v>
      </c>
      <c r="S3808" s="14" t="s">
        <v>77</v>
      </c>
      <c r="T3808" s="14">
        <v>999</v>
      </c>
      <c r="U3808" s="14" t="s">
        <v>1401</v>
      </c>
      <c r="V3808" s="14">
        <v>31958108</v>
      </c>
      <c r="X3808" s="14" t="s">
        <v>7396</v>
      </c>
      <c r="Y3808" s="14" t="s">
        <v>215</v>
      </c>
      <c r="Z3808" s="14">
        <v>22571</v>
      </c>
      <c r="AA3808" s="14" t="s">
        <v>7397</v>
      </c>
      <c r="AB3808" s="14">
        <v>40001</v>
      </c>
      <c r="AE3808" s="14" t="s">
        <v>1400</v>
      </c>
      <c r="AF3808" s="14" t="s">
        <v>1400</v>
      </c>
      <c r="AG3808" s="14" t="s">
        <v>1231</v>
      </c>
    </row>
    <row r="3809" spans="2:33">
      <c r="B3809" s="14">
        <f>10000000+INDEX(编号表!$B:$B,MATCH(H3809,编号表!$A:$A,0))*100000+INDEX(编号表!$F:$F,MATCH(D3809,编号表!$E:$E,0))*10000+INDEX(编号表!$D:$D,MATCH(AG3809,编号表!$C:$C,0))*1000+F3809</f>
        <v>11938107</v>
      </c>
      <c r="C3809" s="14" t="s">
        <v>7398</v>
      </c>
      <c r="D3809" s="14" t="s">
        <v>276</v>
      </c>
      <c r="E3809" s="14" t="s">
        <v>1231</v>
      </c>
      <c r="F3809" s="14">
        <v>107</v>
      </c>
      <c r="G3809" s="14">
        <v>60</v>
      </c>
      <c r="H3809" s="14" t="s">
        <v>1400</v>
      </c>
      <c r="I3809" s="14" t="s">
        <v>75</v>
      </c>
      <c r="J3809" s="14" t="s">
        <v>201</v>
      </c>
      <c r="K3809" s="14">
        <v>1</v>
      </c>
      <c r="L3809" s="14" t="s">
        <v>1400</v>
      </c>
      <c r="N3809" s="14">
        <v>0</v>
      </c>
      <c r="O3809" s="14" t="b">
        <v>1</v>
      </c>
      <c r="Q3809" s="14" t="b">
        <v>0</v>
      </c>
      <c r="R3809" s="14">
        <v>1</v>
      </c>
      <c r="S3809" s="14" t="s">
        <v>77</v>
      </c>
      <c r="T3809" s="14">
        <v>999</v>
      </c>
      <c r="U3809" s="14" t="s">
        <v>1401</v>
      </c>
      <c r="V3809" s="14">
        <v>31938107</v>
      </c>
      <c r="X3809" s="14" t="s">
        <v>7399</v>
      </c>
      <c r="Y3809" s="14" t="s">
        <v>215</v>
      </c>
      <c r="Z3809" s="14">
        <v>22572</v>
      </c>
      <c r="AA3809" s="14" t="s">
        <v>7400</v>
      </c>
      <c r="AB3809" s="14">
        <v>40001</v>
      </c>
      <c r="AE3809" s="14" t="s">
        <v>1400</v>
      </c>
      <c r="AF3809" s="14" t="s">
        <v>1400</v>
      </c>
      <c r="AG3809" s="14" t="s">
        <v>1231</v>
      </c>
    </row>
    <row r="3810" spans="2:33">
      <c r="B3810" s="14">
        <f>10000000+INDEX(编号表!$B:$B,MATCH(H3810,编号表!$A:$A,0))*100000+INDEX(编号表!$F:$F,MATCH(D3810,编号表!$E:$E,0))*10000+INDEX(编号表!$D:$D,MATCH(AG3810,编号表!$C:$C,0))*1000+F3810</f>
        <v>11948108</v>
      </c>
      <c r="C3810" s="14" t="s">
        <v>7398</v>
      </c>
      <c r="D3810" s="14" t="s">
        <v>104</v>
      </c>
      <c r="E3810" s="14" t="s">
        <v>1231</v>
      </c>
      <c r="F3810" s="14">
        <v>108</v>
      </c>
      <c r="G3810" s="14">
        <v>60</v>
      </c>
      <c r="H3810" s="14" t="s">
        <v>1400</v>
      </c>
      <c r="I3810" s="14" t="s">
        <v>75</v>
      </c>
      <c r="J3810" s="14" t="s">
        <v>201</v>
      </c>
      <c r="K3810" s="14">
        <v>1</v>
      </c>
      <c r="L3810" s="14" t="s">
        <v>1400</v>
      </c>
      <c r="N3810" s="14">
        <v>0</v>
      </c>
      <c r="O3810" s="14" t="b">
        <v>1</v>
      </c>
      <c r="Q3810" s="14" t="b">
        <v>0</v>
      </c>
      <c r="R3810" s="14">
        <v>1</v>
      </c>
      <c r="S3810" s="14" t="s">
        <v>77</v>
      </c>
      <c r="T3810" s="14">
        <v>999</v>
      </c>
      <c r="U3810" s="14" t="s">
        <v>1401</v>
      </c>
      <c r="V3810" s="14">
        <v>31948108</v>
      </c>
      <c r="X3810" s="14" t="s">
        <v>7401</v>
      </c>
      <c r="Y3810" s="14" t="s">
        <v>215</v>
      </c>
      <c r="Z3810" s="14">
        <v>22573</v>
      </c>
      <c r="AA3810" s="14" t="s">
        <v>7402</v>
      </c>
      <c r="AB3810" s="14">
        <v>40001</v>
      </c>
      <c r="AE3810" s="14" t="s">
        <v>1400</v>
      </c>
      <c r="AF3810" s="14" t="s">
        <v>1400</v>
      </c>
      <c r="AG3810" s="14" t="s">
        <v>1231</v>
      </c>
    </row>
    <row r="3811" spans="2:33">
      <c r="B3811" s="14">
        <f>10000000+INDEX(编号表!$B:$B,MATCH(H3811,编号表!$A:$A,0))*100000+INDEX(编号表!$F:$F,MATCH(D3811,编号表!$E:$E,0))*10000+INDEX(编号表!$D:$D,MATCH(AG3811,编号表!$C:$C,0))*1000+F3811</f>
        <v>11958109</v>
      </c>
      <c r="C3811" s="14" t="s">
        <v>7398</v>
      </c>
      <c r="D3811" s="14" t="s">
        <v>333</v>
      </c>
      <c r="E3811" s="14" t="s">
        <v>1231</v>
      </c>
      <c r="F3811" s="14">
        <v>109</v>
      </c>
      <c r="G3811" s="14">
        <v>60</v>
      </c>
      <c r="H3811" s="14" t="s">
        <v>1400</v>
      </c>
      <c r="I3811" s="14" t="s">
        <v>75</v>
      </c>
      <c r="J3811" s="14" t="s">
        <v>201</v>
      </c>
      <c r="K3811" s="14">
        <v>1</v>
      </c>
      <c r="L3811" s="14" t="s">
        <v>1400</v>
      </c>
      <c r="N3811" s="14">
        <v>0</v>
      </c>
      <c r="O3811" s="14" t="b">
        <v>1</v>
      </c>
      <c r="Q3811" s="14" t="b">
        <v>0</v>
      </c>
      <c r="R3811" s="14">
        <v>1</v>
      </c>
      <c r="S3811" s="14" t="s">
        <v>77</v>
      </c>
      <c r="T3811" s="14">
        <v>999</v>
      </c>
      <c r="U3811" s="14" t="s">
        <v>1401</v>
      </c>
      <c r="V3811" s="14">
        <v>31958109</v>
      </c>
      <c r="X3811" s="14" t="s">
        <v>7403</v>
      </c>
      <c r="Y3811" s="14" t="s">
        <v>215</v>
      </c>
      <c r="Z3811" s="14">
        <v>22574</v>
      </c>
      <c r="AA3811" s="14" t="s">
        <v>7404</v>
      </c>
      <c r="AB3811" s="14">
        <v>40001</v>
      </c>
      <c r="AE3811" s="14" t="s">
        <v>1400</v>
      </c>
      <c r="AF3811" s="14" t="s">
        <v>1400</v>
      </c>
      <c r="AG3811" s="14" t="s">
        <v>1231</v>
      </c>
    </row>
    <row r="3812" spans="2:33">
      <c r="B3812" s="14">
        <f>10000000+INDEX(编号表!$B:$B,MATCH(H3812,编号表!$A:$A,0))*100000+INDEX(编号表!$F:$F,MATCH(D3812,编号表!$E:$E,0))*10000+INDEX(编号表!$D:$D,MATCH(AG3812,编号表!$C:$C,0))*1000+F3812</f>
        <v>11938108</v>
      </c>
      <c r="C3812" s="14" t="s">
        <v>7405</v>
      </c>
      <c r="D3812" s="14" t="s">
        <v>276</v>
      </c>
      <c r="E3812" s="14" t="s">
        <v>1231</v>
      </c>
      <c r="F3812" s="14">
        <v>108</v>
      </c>
      <c r="G3812" s="14">
        <v>60</v>
      </c>
      <c r="H3812" s="14" t="s">
        <v>1400</v>
      </c>
      <c r="I3812" s="14" t="s">
        <v>75</v>
      </c>
      <c r="J3812" s="14" t="s">
        <v>201</v>
      </c>
      <c r="K3812" s="14">
        <v>1</v>
      </c>
      <c r="L3812" s="14" t="s">
        <v>1400</v>
      </c>
      <c r="N3812" s="14">
        <v>0</v>
      </c>
      <c r="O3812" s="14" t="b">
        <v>1</v>
      </c>
      <c r="Q3812" s="14" t="b">
        <v>0</v>
      </c>
      <c r="R3812" s="14">
        <v>1</v>
      </c>
      <c r="S3812" s="14" t="s">
        <v>77</v>
      </c>
      <c r="T3812" s="14">
        <v>999</v>
      </c>
      <c r="U3812" s="14" t="s">
        <v>1401</v>
      </c>
      <c r="V3812" s="14">
        <v>31938108</v>
      </c>
      <c r="X3812" s="14" t="s">
        <v>7406</v>
      </c>
      <c r="Y3812" s="14" t="s">
        <v>215</v>
      </c>
      <c r="Z3812" s="14">
        <v>22575</v>
      </c>
      <c r="AA3812" s="14" t="s">
        <v>7407</v>
      </c>
      <c r="AB3812" s="14">
        <v>40001</v>
      </c>
      <c r="AE3812" s="14" t="s">
        <v>1400</v>
      </c>
      <c r="AF3812" s="14" t="s">
        <v>1400</v>
      </c>
      <c r="AG3812" s="14" t="s">
        <v>1231</v>
      </c>
    </row>
    <row r="3813" spans="2:33">
      <c r="B3813" s="14">
        <f>10000000+INDEX(编号表!$B:$B,MATCH(H3813,编号表!$A:$A,0))*100000+INDEX(编号表!$F:$F,MATCH(D3813,编号表!$E:$E,0))*10000+INDEX(编号表!$D:$D,MATCH(AG3813,编号表!$C:$C,0))*1000+F3813</f>
        <v>11948109</v>
      </c>
      <c r="C3813" s="14" t="s">
        <v>7405</v>
      </c>
      <c r="D3813" s="14" t="s">
        <v>104</v>
      </c>
      <c r="E3813" s="14" t="s">
        <v>1231</v>
      </c>
      <c r="F3813" s="14">
        <v>109</v>
      </c>
      <c r="G3813" s="14">
        <v>60</v>
      </c>
      <c r="H3813" s="14" t="s">
        <v>1400</v>
      </c>
      <c r="I3813" s="14" t="s">
        <v>75</v>
      </c>
      <c r="J3813" s="14" t="s">
        <v>201</v>
      </c>
      <c r="K3813" s="14">
        <v>1</v>
      </c>
      <c r="L3813" s="14" t="s">
        <v>1400</v>
      </c>
      <c r="N3813" s="14">
        <v>0</v>
      </c>
      <c r="O3813" s="14" t="b">
        <v>1</v>
      </c>
      <c r="Q3813" s="14" t="b">
        <v>0</v>
      </c>
      <c r="R3813" s="14">
        <v>1</v>
      </c>
      <c r="S3813" s="14" t="s">
        <v>77</v>
      </c>
      <c r="T3813" s="14">
        <v>999</v>
      </c>
      <c r="U3813" s="14" t="s">
        <v>1401</v>
      </c>
      <c r="V3813" s="14">
        <v>31948109</v>
      </c>
      <c r="X3813" s="14" t="s">
        <v>7408</v>
      </c>
      <c r="Y3813" s="14" t="s">
        <v>215</v>
      </c>
      <c r="Z3813" s="14">
        <v>22576</v>
      </c>
      <c r="AA3813" s="14" t="s">
        <v>7409</v>
      </c>
      <c r="AB3813" s="14">
        <v>40001</v>
      </c>
      <c r="AE3813" s="14" t="s">
        <v>1400</v>
      </c>
      <c r="AF3813" s="14" t="s">
        <v>1400</v>
      </c>
      <c r="AG3813" s="14" t="s">
        <v>1231</v>
      </c>
    </row>
    <row r="3814" spans="2:33">
      <c r="B3814" s="14">
        <f>10000000+INDEX(编号表!$B:$B,MATCH(H3814,编号表!$A:$A,0))*100000+INDEX(编号表!$F:$F,MATCH(D3814,编号表!$E:$E,0))*10000+INDEX(编号表!$D:$D,MATCH(AG3814,编号表!$C:$C,0))*1000+F3814</f>
        <v>11958110</v>
      </c>
      <c r="C3814" s="14" t="s">
        <v>7405</v>
      </c>
      <c r="D3814" s="14" t="s">
        <v>333</v>
      </c>
      <c r="E3814" s="14" t="s">
        <v>1231</v>
      </c>
      <c r="F3814" s="14">
        <v>110</v>
      </c>
      <c r="G3814" s="14">
        <v>60</v>
      </c>
      <c r="H3814" s="14" t="s">
        <v>1400</v>
      </c>
      <c r="I3814" s="14" t="s">
        <v>75</v>
      </c>
      <c r="J3814" s="14" t="s">
        <v>201</v>
      </c>
      <c r="K3814" s="14">
        <v>1</v>
      </c>
      <c r="L3814" s="14" t="s">
        <v>1400</v>
      </c>
      <c r="N3814" s="14">
        <v>0</v>
      </c>
      <c r="O3814" s="14" t="b">
        <v>1</v>
      </c>
      <c r="Q3814" s="14" t="b">
        <v>0</v>
      </c>
      <c r="R3814" s="14">
        <v>1</v>
      </c>
      <c r="S3814" s="14" t="s">
        <v>77</v>
      </c>
      <c r="T3814" s="14">
        <v>999</v>
      </c>
      <c r="U3814" s="14" t="s">
        <v>1401</v>
      </c>
      <c r="V3814" s="14">
        <v>31958110</v>
      </c>
      <c r="X3814" s="14" t="s">
        <v>7410</v>
      </c>
      <c r="Y3814" s="14" t="s">
        <v>215</v>
      </c>
      <c r="Z3814" s="14">
        <v>22577</v>
      </c>
      <c r="AA3814" s="14" t="s">
        <v>7411</v>
      </c>
      <c r="AB3814" s="14">
        <v>40001</v>
      </c>
      <c r="AE3814" s="14" t="s">
        <v>1400</v>
      </c>
      <c r="AF3814" s="14" t="s">
        <v>1400</v>
      </c>
      <c r="AG3814" s="14" t="s">
        <v>1231</v>
      </c>
    </row>
    <row r="3815" spans="2:33">
      <c r="B3815" s="14">
        <f>10000000+INDEX(编号表!$B:$B,MATCH(H3815,编号表!$A:$A,0))*100000+INDEX(编号表!$F:$F,MATCH(D3815,编号表!$E:$E,0))*10000+INDEX(编号表!$D:$D,MATCH(AG3815,编号表!$C:$C,0))*1000+F3815</f>
        <v>11938109</v>
      </c>
      <c r="C3815" s="14" t="s">
        <v>7412</v>
      </c>
      <c r="D3815" s="14" t="s">
        <v>276</v>
      </c>
      <c r="E3815" s="14" t="s">
        <v>1231</v>
      </c>
      <c r="F3815" s="14">
        <v>109</v>
      </c>
      <c r="G3815" s="14">
        <v>60</v>
      </c>
      <c r="H3815" s="14" t="s">
        <v>1400</v>
      </c>
      <c r="I3815" s="14" t="s">
        <v>75</v>
      </c>
      <c r="J3815" s="14" t="s">
        <v>201</v>
      </c>
      <c r="K3815" s="14">
        <v>1</v>
      </c>
      <c r="L3815" s="14" t="s">
        <v>1400</v>
      </c>
      <c r="N3815" s="14">
        <v>0</v>
      </c>
      <c r="O3815" s="14" t="b">
        <v>1</v>
      </c>
      <c r="Q3815" s="14" t="b">
        <v>0</v>
      </c>
      <c r="R3815" s="14">
        <v>1</v>
      </c>
      <c r="S3815" s="14" t="s">
        <v>77</v>
      </c>
      <c r="T3815" s="14">
        <v>999</v>
      </c>
      <c r="U3815" s="14" t="s">
        <v>1401</v>
      </c>
      <c r="V3815" s="14">
        <v>31938109</v>
      </c>
      <c r="X3815" s="14" t="s">
        <v>7413</v>
      </c>
      <c r="Y3815" s="14" t="s">
        <v>215</v>
      </c>
      <c r="Z3815" s="14">
        <v>22578</v>
      </c>
      <c r="AA3815" s="14" t="s">
        <v>7414</v>
      </c>
      <c r="AB3815" s="14">
        <v>40001</v>
      </c>
      <c r="AE3815" s="14" t="s">
        <v>1400</v>
      </c>
      <c r="AF3815" s="14" t="s">
        <v>1400</v>
      </c>
      <c r="AG3815" s="14" t="s">
        <v>1231</v>
      </c>
    </row>
    <row r="3816" spans="2:33">
      <c r="B3816" s="14">
        <f>10000000+INDEX(编号表!$B:$B,MATCH(H3816,编号表!$A:$A,0))*100000+INDEX(编号表!$F:$F,MATCH(D3816,编号表!$E:$E,0))*10000+INDEX(编号表!$D:$D,MATCH(AG3816,编号表!$C:$C,0))*1000+F3816</f>
        <v>11948110</v>
      </c>
      <c r="C3816" s="14" t="s">
        <v>7412</v>
      </c>
      <c r="D3816" s="14" t="s">
        <v>104</v>
      </c>
      <c r="E3816" s="14" t="s">
        <v>1231</v>
      </c>
      <c r="F3816" s="14">
        <v>110</v>
      </c>
      <c r="G3816" s="14">
        <v>60</v>
      </c>
      <c r="H3816" s="14" t="s">
        <v>1400</v>
      </c>
      <c r="I3816" s="14" t="s">
        <v>75</v>
      </c>
      <c r="J3816" s="14" t="s">
        <v>201</v>
      </c>
      <c r="K3816" s="14">
        <v>1</v>
      </c>
      <c r="L3816" s="14" t="s">
        <v>1400</v>
      </c>
      <c r="N3816" s="14">
        <v>0</v>
      </c>
      <c r="O3816" s="14" t="b">
        <v>1</v>
      </c>
      <c r="Q3816" s="14" t="b">
        <v>0</v>
      </c>
      <c r="R3816" s="14">
        <v>1</v>
      </c>
      <c r="S3816" s="14" t="s">
        <v>77</v>
      </c>
      <c r="T3816" s="14">
        <v>999</v>
      </c>
      <c r="U3816" s="14" t="s">
        <v>1401</v>
      </c>
      <c r="V3816" s="14">
        <v>31948110</v>
      </c>
      <c r="X3816" s="14" t="s">
        <v>7415</v>
      </c>
      <c r="Y3816" s="14" t="s">
        <v>215</v>
      </c>
      <c r="Z3816" s="14">
        <v>22579</v>
      </c>
      <c r="AA3816" s="14" t="s">
        <v>7416</v>
      </c>
      <c r="AB3816" s="14">
        <v>40001</v>
      </c>
      <c r="AE3816" s="14" t="s">
        <v>1400</v>
      </c>
      <c r="AF3816" s="14" t="s">
        <v>1400</v>
      </c>
      <c r="AG3816" s="14" t="s">
        <v>1231</v>
      </c>
    </row>
    <row r="3817" spans="2:33">
      <c r="B3817" s="14">
        <f>10000000+INDEX(编号表!$B:$B,MATCH(H3817,编号表!$A:$A,0))*100000+INDEX(编号表!$F:$F,MATCH(D3817,编号表!$E:$E,0))*10000+INDEX(编号表!$D:$D,MATCH(AG3817,编号表!$C:$C,0))*1000+F3817</f>
        <v>11958111</v>
      </c>
      <c r="C3817" s="14" t="s">
        <v>7412</v>
      </c>
      <c r="D3817" s="14" t="s">
        <v>333</v>
      </c>
      <c r="E3817" s="14" t="s">
        <v>1231</v>
      </c>
      <c r="F3817" s="14">
        <v>111</v>
      </c>
      <c r="G3817" s="14">
        <v>60</v>
      </c>
      <c r="H3817" s="14" t="s">
        <v>1400</v>
      </c>
      <c r="I3817" s="14" t="s">
        <v>75</v>
      </c>
      <c r="J3817" s="14" t="s">
        <v>201</v>
      </c>
      <c r="K3817" s="14">
        <v>1</v>
      </c>
      <c r="L3817" s="14" t="s">
        <v>1400</v>
      </c>
      <c r="N3817" s="14">
        <v>0</v>
      </c>
      <c r="O3817" s="14" t="b">
        <v>1</v>
      </c>
      <c r="Q3817" s="14" t="b">
        <v>0</v>
      </c>
      <c r="R3817" s="14">
        <v>1</v>
      </c>
      <c r="S3817" s="14" t="s">
        <v>77</v>
      </c>
      <c r="T3817" s="14">
        <v>999</v>
      </c>
      <c r="U3817" s="14" t="s">
        <v>1401</v>
      </c>
      <c r="V3817" s="14">
        <v>31958111</v>
      </c>
      <c r="X3817" s="14" t="s">
        <v>7417</v>
      </c>
      <c r="Y3817" s="14" t="s">
        <v>215</v>
      </c>
      <c r="Z3817" s="14">
        <v>22580</v>
      </c>
      <c r="AA3817" s="14" t="s">
        <v>7418</v>
      </c>
      <c r="AB3817" s="14">
        <v>40001</v>
      </c>
      <c r="AE3817" s="14" t="s">
        <v>1400</v>
      </c>
      <c r="AF3817" s="14" t="s">
        <v>1400</v>
      </c>
      <c r="AG3817" s="14" t="s">
        <v>1231</v>
      </c>
    </row>
    <row r="3818" spans="2:33">
      <c r="B3818" s="14">
        <f>10000000+INDEX(编号表!$B:$B,MATCH(H3818,编号表!$A:$A,0))*100000+INDEX(编号表!$F:$F,MATCH(D3818,编号表!$E:$E,0))*10000+INDEX(编号表!$D:$D,MATCH(AG3818,编号表!$C:$C,0))*1000+F3818</f>
        <v>11938110</v>
      </c>
      <c r="C3818" s="14" t="s">
        <v>7419</v>
      </c>
      <c r="D3818" s="14" t="s">
        <v>276</v>
      </c>
      <c r="E3818" s="14" t="s">
        <v>1231</v>
      </c>
      <c r="F3818" s="14">
        <v>110</v>
      </c>
      <c r="G3818" s="14">
        <v>60</v>
      </c>
      <c r="H3818" s="14" t="s">
        <v>1400</v>
      </c>
      <c r="I3818" s="14" t="s">
        <v>75</v>
      </c>
      <c r="J3818" s="14" t="s">
        <v>201</v>
      </c>
      <c r="K3818" s="14">
        <v>1</v>
      </c>
      <c r="L3818" s="14" t="s">
        <v>1400</v>
      </c>
      <c r="N3818" s="14">
        <v>0</v>
      </c>
      <c r="O3818" s="14" t="b">
        <v>1</v>
      </c>
      <c r="Q3818" s="14" t="b">
        <v>0</v>
      </c>
      <c r="R3818" s="14">
        <v>1</v>
      </c>
      <c r="S3818" s="14" t="s">
        <v>77</v>
      </c>
      <c r="T3818" s="14">
        <v>999</v>
      </c>
      <c r="U3818" s="14" t="s">
        <v>1401</v>
      </c>
      <c r="V3818" s="14">
        <v>31938110</v>
      </c>
      <c r="X3818" s="14" t="s">
        <v>7420</v>
      </c>
      <c r="Y3818" s="14" t="s">
        <v>215</v>
      </c>
      <c r="Z3818" s="14">
        <v>22581</v>
      </c>
      <c r="AA3818" s="14" t="s">
        <v>7421</v>
      </c>
      <c r="AB3818" s="14">
        <v>40001</v>
      </c>
      <c r="AE3818" s="14" t="s">
        <v>1400</v>
      </c>
      <c r="AF3818" s="14" t="s">
        <v>1400</v>
      </c>
      <c r="AG3818" s="14" t="s">
        <v>1231</v>
      </c>
    </row>
    <row r="3819" spans="2:33">
      <c r="B3819" s="14">
        <f>10000000+INDEX(编号表!$B:$B,MATCH(H3819,编号表!$A:$A,0))*100000+INDEX(编号表!$F:$F,MATCH(D3819,编号表!$E:$E,0))*10000+INDEX(编号表!$D:$D,MATCH(AG3819,编号表!$C:$C,0))*1000+F3819</f>
        <v>11948111</v>
      </c>
      <c r="C3819" s="14" t="s">
        <v>7419</v>
      </c>
      <c r="D3819" s="14" t="s">
        <v>104</v>
      </c>
      <c r="E3819" s="14" t="s">
        <v>1231</v>
      </c>
      <c r="F3819" s="14">
        <v>111</v>
      </c>
      <c r="G3819" s="14">
        <v>60</v>
      </c>
      <c r="H3819" s="14" t="s">
        <v>1400</v>
      </c>
      <c r="I3819" s="14" t="s">
        <v>75</v>
      </c>
      <c r="J3819" s="14" t="s">
        <v>201</v>
      </c>
      <c r="K3819" s="14">
        <v>1</v>
      </c>
      <c r="L3819" s="14" t="s">
        <v>1400</v>
      </c>
      <c r="N3819" s="14">
        <v>0</v>
      </c>
      <c r="O3819" s="14" t="b">
        <v>1</v>
      </c>
      <c r="Q3819" s="14" t="b">
        <v>0</v>
      </c>
      <c r="R3819" s="14">
        <v>1</v>
      </c>
      <c r="S3819" s="14" t="s">
        <v>77</v>
      </c>
      <c r="T3819" s="14">
        <v>999</v>
      </c>
      <c r="U3819" s="14" t="s">
        <v>1401</v>
      </c>
      <c r="V3819" s="14">
        <v>31948111</v>
      </c>
      <c r="X3819" s="14" t="s">
        <v>7422</v>
      </c>
      <c r="Y3819" s="14" t="s">
        <v>215</v>
      </c>
      <c r="Z3819" s="14">
        <v>22582</v>
      </c>
      <c r="AA3819" s="14" t="s">
        <v>7423</v>
      </c>
      <c r="AB3819" s="14">
        <v>40001</v>
      </c>
      <c r="AE3819" s="14" t="s">
        <v>1400</v>
      </c>
      <c r="AF3819" s="14" t="s">
        <v>1400</v>
      </c>
      <c r="AG3819" s="14" t="s">
        <v>1231</v>
      </c>
    </row>
    <row r="3820" spans="2:33">
      <c r="B3820" s="14">
        <f>10000000+INDEX(编号表!$B:$B,MATCH(H3820,编号表!$A:$A,0))*100000+INDEX(编号表!$F:$F,MATCH(D3820,编号表!$E:$E,0))*10000+INDEX(编号表!$D:$D,MATCH(AG3820,编号表!$C:$C,0))*1000+F3820</f>
        <v>11958112</v>
      </c>
      <c r="C3820" s="14" t="s">
        <v>7419</v>
      </c>
      <c r="D3820" s="14" t="s">
        <v>333</v>
      </c>
      <c r="E3820" s="14" t="s">
        <v>1231</v>
      </c>
      <c r="F3820" s="14">
        <v>112</v>
      </c>
      <c r="G3820" s="14">
        <v>60</v>
      </c>
      <c r="H3820" s="14" t="s">
        <v>1400</v>
      </c>
      <c r="I3820" s="14" t="s">
        <v>75</v>
      </c>
      <c r="J3820" s="14" t="s">
        <v>201</v>
      </c>
      <c r="K3820" s="14">
        <v>1</v>
      </c>
      <c r="L3820" s="14" t="s">
        <v>1400</v>
      </c>
      <c r="N3820" s="14">
        <v>0</v>
      </c>
      <c r="O3820" s="14" t="b">
        <v>1</v>
      </c>
      <c r="Q3820" s="14" t="b">
        <v>0</v>
      </c>
      <c r="R3820" s="14">
        <v>1</v>
      </c>
      <c r="S3820" s="14" t="s">
        <v>77</v>
      </c>
      <c r="T3820" s="14">
        <v>999</v>
      </c>
      <c r="U3820" s="14" t="s">
        <v>1401</v>
      </c>
      <c r="V3820" s="14">
        <v>31958112</v>
      </c>
      <c r="X3820" s="14" t="s">
        <v>7424</v>
      </c>
      <c r="Y3820" s="14" t="s">
        <v>215</v>
      </c>
      <c r="Z3820" s="14">
        <v>22583</v>
      </c>
      <c r="AA3820" s="14" t="s">
        <v>7425</v>
      </c>
      <c r="AB3820" s="14">
        <v>40001</v>
      </c>
      <c r="AE3820" s="14" t="s">
        <v>1400</v>
      </c>
      <c r="AF3820" s="14" t="s">
        <v>1400</v>
      </c>
      <c r="AG3820" s="14" t="s">
        <v>1231</v>
      </c>
    </row>
    <row r="3821" spans="2:33">
      <c r="B3821" s="14">
        <f>10000000+INDEX(编号表!$B:$B,MATCH(H3821,编号表!$A:$A,0))*100000+INDEX(编号表!$F:$F,MATCH(D3821,编号表!$E:$E,0))*10000+INDEX(编号表!$D:$D,MATCH(AG3821,编号表!$C:$C,0))*1000+F3821</f>
        <v>11938111</v>
      </c>
      <c r="C3821" s="14" t="s">
        <v>7426</v>
      </c>
      <c r="D3821" s="14" t="s">
        <v>276</v>
      </c>
      <c r="E3821" s="14" t="s">
        <v>1231</v>
      </c>
      <c r="F3821" s="14">
        <v>111</v>
      </c>
      <c r="G3821" s="14">
        <v>60</v>
      </c>
      <c r="H3821" s="14" t="s">
        <v>1400</v>
      </c>
      <c r="I3821" s="14" t="s">
        <v>75</v>
      </c>
      <c r="J3821" s="14" t="s">
        <v>201</v>
      </c>
      <c r="K3821" s="14">
        <v>1</v>
      </c>
      <c r="L3821" s="14" t="s">
        <v>1400</v>
      </c>
      <c r="N3821" s="14">
        <v>0</v>
      </c>
      <c r="O3821" s="14" t="b">
        <v>1</v>
      </c>
      <c r="Q3821" s="14" t="b">
        <v>0</v>
      </c>
      <c r="R3821" s="14">
        <v>1</v>
      </c>
      <c r="S3821" s="14" t="s">
        <v>77</v>
      </c>
      <c r="T3821" s="14">
        <v>999</v>
      </c>
      <c r="U3821" s="14" t="s">
        <v>1401</v>
      </c>
      <c r="V3821" s="14">
        <v>31938111</v>
      </c>
      <c r="X3821" s="14" t="s">
        <v>7427</v>
      </c>
      <c r="Y3821" s="14" t="s">
        <v>215</v>
      </c>
      <c r="Z3821" s="14">
        <v>22584</v>
      </c>
      <c r="AA3821" s="14" t="s">
        <v>7428</v>
      </c>
      <c r="AB3821" s="14">
        <v>40001</v>
      </c>
      <c r="AE3821" s="14" t="s">
        <v>1400</v>
      </c>
      <c r="AF3821" s="14" t="s">
        <v>1400</v>
      </c>
      <c r="AG3821" s="14" t="s">
        <v>1231</v>
      </c>
    </row>
    <row r="3822" spans="2:33">
      <c r="B3822" s="14">
        <f>10000000+INDEX(编号表!$B:$B,MATCH(H3822,编号表!$A:$A,0))*100000+INDEX(编号表!$F:$F,MATCH(D3822,编号表!$E:$E,0))*10000+INDEX(编号表!$D:$D,MATCH(AG3822,编号表!$C:$C,0))*1000+F3822</f>
        <v>11948112</v>
      </c>
      <c r="C3822" s="14" t="s">
        <v>7426</v>
      </c>
      <c r="D3822" s="14" t="s">
        <v>104</v>
      </c>
      <c r="E3822" s="14" t="s">
        <v>1231</v>
      </c>
      <c r="F3822" s="14">
        <v>112</v>
      </c>
      <c r="G3822" s="14">
        <v>60</v>
      </c>
      <c r="H3822" s="14" t="s">
        <v>1400</v>
      </c>
      <c r="I3822" s="14" t="s">
        <v>75</v>
      </c>
      <c r="J3822" s="14" t="s">
        <v>201</v>
      </c>
      <c r="K3822" s="14">
        <v>1</v>
      </c>
      <c r="L3822" s="14" t="s">
        <v>1400</v>
      </c>
      <c r="N3822" s="14">
        <v>0</v>
      </c>
      <c r="O3822" s="14" t="b">
        <v>1</v>
      </c>
      <c r="Q3822" s="14" t="b">
        <v>0</v>
      </c>
      <c r="R3822" s="14">
        <v>1</v>
      </c>
      <c r="S3822" s="14" t="s">
        <v>77</v>
      </c>
      <c r="T3822" s="14">
        <v>999</v>
      </c>
      <c r="U3822" s="14" t="s">
        <v>1401</v>
      </c>
      <c r="V3822" s="14">
        <v>31948112</v>
      </c>
      <c r="X3822" s="14" t="s">
        <v>7429</v>
      </c>
      <c r="Y3822" s="14" t="s">
        <v>215</v>
      </c>
      <c r="Z3822" s="14">
        <v>22585</v>
      </c>
      <c r="AA3822" s="14" t="s">
        <v>7430</v>
      </c>
      <c r="AB3822" s="14">
        <v>40001</v>
      </c>
      <c r="AE3822" s="14" t="s">
        <v>1400</v>
      </c>
      <c r="AF3822" s="14" t="s">
        <v>1400</v>
      </c>
      <c r="AG3822" s="14" t="s">
        <v>1231</v>
      </c>
    </row>
    <row r="3823" spans="2:33">
      <c r="B3823" s="14">
        <f>10000000+INDEX(编号表!$B:$B,MATCH(H3823,编号表!$A:$A,0))*100000+INDEX(编号表!$F:$F,MATCH(D3823,编号表!$E:$E,0))*10000+INDEX(编号表!$D:$D,MATCH(AG3823,编号表!$C:$C,0))*1000+F3823</f>
        <v>11958113</v>
      </c>
      <c r="C3823" s="14" t="s">
        <v>7426</v>
      </c>
      <c r="D3823" s="14" t="s">
        <v>333</v>
      </c>
      <c r="E3823" s="14" t="s">
        <v>1231</v>
      </c>
      <c r="F3823" s="14">
        <v>113</v>
      </c>
      <c r="G3823" s="14">
        <v>60</v>
      </c>
      <c r="H3823" s="14" t="s">
        <v>1400</v>
      </c>
      <c r="I3823" s="14" t="s">
        <v>75</v>
      </c>
      <c r="J3823" s="14" t="s">
        <v>201</v>
      </c>
      <c r="K3823" s="14">
        <v>1</v>
      </c>
      <c r="L3823" s="14" t="s">
        <v>1400</v>
      </c>
      <c r="N3823" s="14">
        <v>0</v>
      </c>
      <c r="O3823" s="14" t="b">
        <v>1</v>
      </c>
      <c r="Q3823" s="14" t="b">
        <v>0</v>
      </c>
      <c r="R3823" s="14">
        <v>1</v>
      </c>
      <c r="S3823" s="14" t="s">
        <v>77</v>
      </c>
      <c r="T3823" s="14">
        <v>999</v>
      </c>
      <c r="U3823" s="14" t="s">
        <v>1401</v>
      </c>
      <c r="V3823" s="14">
        <v>31958113</v>
      </c>
      <c r="X3823" s="14" t="s">
        <v>7431</v>
      </c>
      <c r="Y3823" s="14" t="s">
        <v>215</v>
      </c>
      <c r="Z3823" s="14">
        <v>22586</v>
      </c>
      <c r="AA3823" s="14" t="s">
        <v>7432</v>
      </c>
      <c r="AB3823" s="14">
        <v>40001</v>
      </c>
      <c r="AE3823" s="14" t="s">
        <v>1400</v>
      </c>
      <c r="AF3823" s="14" t="s">
        <v>1400</v>
      </c>
      <c r="AG3823" s="14" t="s">
        <v>1231</v>
      </c>
    </row>
    <row r="3824" spans="2:33">
      <c r="B3824" s="14">
        <f>10000000+INDEX(编号表!$B:$B,MATCH(H3824,编号表!$A:$A,0))*100000+INDEX(编号表!$F:$F,MATCH(D3824,编号表!$E:$E,0))*10000+INDEX(编号表!$D:$D,MATCH(AG3824,编号表!$C:$C,0))*1000+F3824</f>
        <v>11938112</v>
      </c>
      <c r="C3824" s="14" t="s">
        <v>7433</v>
      </c>
      <c r="D3824" s="14" t="s">
        <v>276</v>
      </c>
      <c r="E3824" s="14" t="s">
        <v>1231</v>
      </c>
      <c r="F3824" s="14">
        <v>112</v>
      </c>
      <c r="G3824" s="14">
        <v>60</v>
      </c>
      <c r="H3824" s="14" t="s">
        <v>1400</v>
      </c>
      <c r="I3824" s="14" t="s">
        <v>75</v>
      </c>
      <c r="J3824" s="14" t="s">
        <v>201</v>
      </c>
      <c r="K3824" s="14">
        <v>1</v>
      </c>
      <c r="L3824" s="14" t="s">
        <v>1400</v>
      </c>
      <c r="N3824" s="14">
        <v>0</v>
      </c>
      <c r="O3824" s="14" t="b">
        <v>1</v>
      </c>
      <c r="Q3824" s="14" t="b">
        <v>0</v>
      </c>
      <c r="R3824" s="14">
        <v>1</v>
      </c>
      <c r="S3824" s="14" t="s">
        <v>77</v>
      </c>
      <c r="T3824" s="14">
        <v>999</v>
      </c>
      <c r="U3824" s="14" t="s">
        <v>1401</v>
      </c>
      <c r="V3824" s="14">
        <v>31938112</v>
      </c>
      <c r="X3824" s="14" t="s">
        <v>7434</v>
      </c>
      <c r="Y3824" s="14" t="s">
        <v>215</v>
      </c>
      <c r="Z3824" s="14">
        <v>22587</v>
      </c>
      <c r="AA3824" s="14" t="s">
        <v>7435</v>
      </c>
      <c r="AB3824" s="14">
        <v>40001</v>
      </c>
      <c r="AE3824" s="14" t="s">
        <v>1400</v>
      </c>
      <c r="AF3824" s="14" t="s">
        <v>1400</v>
      </c>
      <c r="AG3824" s="14" t="s">
        <v>1231</v>
      </c>
    </row>
    <row r="3825" spans="2:33">
      <c r="B3825" s="14">
        <f>10000000+INDEX(编号表!$B:$B,MATCH(H3825,编号表!$A:$A,0))*100000+INDEX(编号表!$F:$F,MATCH(D3825,编号表!$E:$E,0))*10000+INDEX(编号表!$D:$D,MATCH(AG3825,编号表!$C:$C,0))*1000+F3825</f>
        <v>11948113</v>
      </c>
      <c r="C3825" s="14" t="s">
        <v>7433</v>
      </c>
      <c r="D3825" s="14" t="s">
        <v>104</v>
      </c>
      <c r="E3825" s="14" t="s">
        <v>1231</v>
      </c>
      <c r="F3825" s="14">
        <v>113</v>
      </c>
      <c r="G3825" s="14">
        <v>60</v>
      </c>
      <c r="H3825" s="14" t="s">
        <v>1400</v>
      </c>
      <c r="I3825" s="14" t="s">
        <v>75</v>
      </c>
      <c r="J3825" s="14" t="s">
        <v>201</v>
      </c>
      <c r="K3825" s="14">
        <v>1</v>
      </c>
      <c r="L3825" s="14" t="s">
        <v>1400</v>
      </c>
      <c r="N3825" s="14">
        <v>0</v>
      </c>
      <c r="O3825" s="14" t="b">
        <v>1</v>
      </c>
      <c r="Q3825" s="14" t="b">
        <v>0</v>
      </c>
      <c r="R3825" s="14">
        <v>1</v>
      </c>
      <c r="S3825" s="14" t="s">
        <v>77</v>
      </c>
      <c r="T3825" s="14">
        <v>999</v>
      </c>
      <c r="U3825" s="14" t="s">
        <v>1401</v>
      </c>
      <c r="V3825" s="14">
        <v>31948113</v>
      </c>
      <c r="X3825" s="14" t="s">
        <v>7436</v>
      </c>
      <c r="Y3825" s="14" t="s">
        <v>215</v>
      </c>
      <c r="Z3825" s="14">
        <v>22588</v>
      </c>
      <c r="AA3825" s="14" t="s">
        <v>7437</v>
      </c>
      <c r="AB3825" s="14">
        <v>40001</v>
      </c>
      <c r="AE3825" s="14" t="s">
        <v>1400</v>
      </c>
      <c r="AF3825" s="14" t="s">
        <v>1400</v>
      </c>
      <c r="AG3825" s="14" t="s">
        <v>1231</v>
      </c>
    </row>
    <row r="3826" spans="2:33">
      <c r="B3826" s="14">
        <f>10000000+INDEX(编号表!$B:$B,MATCH(H3826,编号表!$A:$A,0))*100000+INDEX(编号表!$F:$F,MATCH(D3826,编号表!$E:$E,0))*10000+INDEX(编号表!$D:$D,MATCH(AG3826,编号表!$C:$C,0))*1000+F3826</f>
        <v>11958114</v>
      </c>
      <c r="C3826" s="14" t="s">
        <v>7433</v>
      </c>
      <c r="D3826" s="14" t="s">
        <v>333</v>
      </c>
      <c r="E3826" s="14" t="s">
        <v>1231</v>
      </c>
      <c r="F3826" s="14">
        <v>114</v>
      </c>
      <c r="G3826" s="14">
        <v>60</v>
      </c>
      <c r="H3826" s="14" t="s">
        <v>1400</v>
      </c>
      <c r="I3826" s="14" t="s">
        <v>75</v>
      </c>
      <c r="J3826" s="14" t="s">
        <v>201</v>
      </c>
      <c r="K3826" s="14">
        <v>1</v>
      </c>
      <c r="L3826" s="14" t="s">
        <v>1400</v>
      </c>
      <c r="N3826" s="14">
        <v>0</v>
      </c>
      <c r="O3826" s="14" t="b">
        <v>1</v>
      </c>
      <c r="Q3826" s="14" t="b">
        <v>0</v>
      </c>
      <c r="R3826" s="14">
        <v>1</v>
      </c>
      <c r="S3826" s="14" t="s">
        <v>77</v>
      </c>
      <c r="T3826" s="14">
        <v>999</v>
      </c>
      <c r="U3826" s="14" t="s">
        <v>1401</v>
      </c>
      <c r="V3826" s="14">
        <v>31958114</v>
      </c>
      <c r="X3826" s="14" t="s">
        <v>7438</v>
      </c>
      <c r="Y3826" s="14" t="s">
        <v>215</v>
      </c>
      <c r="Z3826" s="14">
        <v>22589</v>
      </c>
      <c r="AA3826" s="14" t="s">
        <v>7439</v>
      </c>
      <c r="AB3826" s="14">
        <v>40001</v>
      </c>
      <c r="AE3826" s="14" t="s">
        <v>1400</v>
      </c>
      <c r="AF3826" s="14" t="s">
        <v>1400</v>
      </c>
      <c r="AG3826" s="14" t="s">
        <v>1231</v>
      </c>
    </row>
    <row r="3827" spans="2:33">
      <c r="B3827" s="14">
        <f>10000000+INDEX(编号表!$B:$B,MATCH(H3827,编号表!$A:$A,0))*100000+INDEX(编号表!$F:$F,MATCH(D3827,编号表!$E:$E,0))*10000+INDEX(编号表!$D:$D,MATCH(AG3827,编号表!$C:$C,0))*1000+F3827</f>
        <v>11938113</v>
      </c>
      <c r="C3827" s="14" t="s">
        <v>7440</v>
      </c>
      <c r="D3827" s="14" t="s">
        <v>276</v>
      </c>
      <c r="E3827" s="14" t="s">
        <v>1231</v>
      </c>
      <c r="F3827" s="14">
        <v>113</v>
      </c>
      <c r="G3827" s="14">
        <v>60</v>
      </c>
      <c r="H3827" s="14" t="s">
        <v>1400</v>
      </c>
      <c r="I3827" s="14" t="s">
        <v>75</v>
      </c>
      <c r="J3827" s="14" t="s">
        <v>201</v>
      </c>
      <c r="K3827" s="14">
        <v>1</v>
      </c>
      <c r="L3827" s="14" t="s">
        <v>1400</v>
      </c>
      <c r="N3827" s="14">
        <v>0</v>
      </c>
      <c r="O3827" s="14" t="b">
        <v>1</v>
      </c>
      <c r="Q3827" s="14" t="b">
        <v>0</v>
      </c>
      <c r="R3827" s="14">
        <v>1</v>
      </c>
      <c r="S3827" s="14" t="s">
        <v>77</v>
      </c>
      <c r="T3827" s="14">
        <v>999</v>
      </c>
      <c r="U3827" s="14" t="s">
        <v>1401</v>
      </c>
      <c r="V3827" s="14">
        <v>31938113</v>
      </c>
      <c r="X3827" s="14" t="s">
        <v>7441</v>
      </c>
      <c r="Y3827" s="14" t="s">
        <v>215</v>
      </c>
      <c r="Z3827" s="14">
        <v>22590</v>
      </c>
      <c r="AA3827" s="14" t="s">
        <v>7442</v>
      </c>
      <c r="AB3827" s="14">
        <v>40001</v>
      </c>
      <c r="AE3827" s="14" t="s">
        <v>1400</v>
      </c>
      <c r="AF3827" s="14" t="s">
        <v>1400</v>
      </c>
      <c r="AG3827" s="14" t="s">
        <v>1231</v>
      </c>
    </row>
    <row r="3828" spans="2:33">
      <c r="B3828" s="14">
        <f>10000000+INDEX(编号表!$B:$B,MATCH(H3828,编号表!$A:$A,0))*100000+INDEX(编号表!$F:$F,MATCH(D3828,编号表!$E:$E,0))*10000+INDEX(编号表!$D:$D,MATCH(AG3828,编号表!$C:$C,0))*1000+F3828</f>
        <v>11948114</v>
      </c>
      <c r="C3828" s="14" t="s">
        <v>7440</v>
      </c>
      <c r="D3828" s="14" t="s">
        <v>104</v>
      </c>
      <c r="E3828" s="14" t="s">
        <v>1231</v>
      </c>
      <c r="F3828" s="14">
        <v>114</v>
      </c>
      <c r="G3828" s="14">
        <v>60</v>
      </c>
      <c r="H3828" s="14" t="s">
        <v>1400</v>
      </c>
      <c r="I3828" s="14" t="s">
        <v>75</v>
      </c>
      <c r="J3828" s="14" t="s">
        <v>201</v>
      </c>
      <c r="K3828" s="14">
        <v>1</v>
      </c>
      <c r="L3828" s="14" t="s">
        <v>1400</v>
      </c>
      <c r="N3828" s="14">
        <v>0</v>
      </c>
      <c r="O3828" s="14" t="b">
        <v>1</v>
      </c>
      <c r="Q3828" s="14" t="b">
        <v>0</v>
      </c>
      <c r="R3828" s="14">
        <v>1</v>
      </c>
      <c r="S3828" s="14" t="s">
        <v>77</v>
      </c>
      <c r="T3828" s="14">
        <v>999</v>
      </c>
      <c r="U3828" s="14" t="s">
        <v>1401</v>
      </c>
      <c r="V3828" s="14">
        <v>31948114</v>
      </c>
      <c r="X3828" s="14" t="s">
        <v>7443</v>
      </c>
      <c r="Y3828" s="14" t="s">
        <v>215</v>
      </c>
      <c r="Z3828" s="14">
        <v>22591</v>
      </c>
      <c r="AA3828" s="14" t="s">
        <v>7444</v>
      </c>
      <c r="AB3828" s="14">
        <v>40001</v>
      </c>
      <c r="AE3828" s="14" t="s">
        <v>1400</v>
      </c>
      <c r="AF3828" s="14" t="s">
        <v>1400</v>
      </c>
      <c r="AG3828" s="14" t="s">
        <v>1231</v>
      </c>
    </row>
    <row r="3829" spans="2:33">
      <c r="B3829" s="14">
        <f>10000000+INDEX(编号表!$B:$B,MATCH(H3829,编号表!$A:$A,0))*100000+INDEX(编号表!$F:$F,MATCH(D3829,编号表!$E:$E,0))*10000+INDEX(编号表!$D:$D,MATCH(AG3829,编号表!$C:$C,0))*1000+F3829</f>
        <v>11958115</v>
      </c>
      <c r="C3829" s="14" t="s">
        <v>7440</v>
      </c>
      <c r="D3829" s="14" t="s">
        <v>333</v>
      </c>
      <c r="E3829" s="14" t="s">
        <v>1231</v>
      </c>
      <c r="F3829" s="14">
        <v>115</v>
      </c>
      <c r="G3829" s="14">
        <v>60</v>
      </c>
      <c r="H3829" s="14" t="s">
        <v>1400</v>
      </c>
      <c r="I3829" s="14" t="s">
        <v>75</v>
      </c>
      <c r="J3829" s="14" t="s">
        <v>201</v>
      </c>
      <c r="K3829" s="14">
        <v>1</v>
      </c>
      <c r="L3829" s="14" t="s">
        <v>1400</v>
      </c>
      <c r="N3829" s="14">
        <v>0</v>
      </c>
      <c r="O3829" s="14" t="b">
        <v>1</v>
      </c>
      <c r="Q3829" s="14" t="b">
        <v>0</v>
      </c>
      <c r="R3829" s="14">
        <v>1</v>
      </c>
      <c r="S3829" s="14" t="s">
        <v>77</v>
      </c>
      <c r="T3829" s="14">
        <v>999</v>
      </c>
      <c r="U3829" s="14" t="s">
        <v>1401</v>
      </c>
      <c r="V3829" s="14">
        <v>31958115</v>
      </c>
      <c r="X3829" s="14" t="s">
        <v>7445</v>
      </c>
      <c r="Y3829" s="14" t="s">
        <v>215</v>
      </c>
      <c r="Z3829" s="14">
        <v>22592</v>
      </c>
      <c r="AA3829" s="14" t="s">
        <v>7446</v>
      </c>
      <c r="AB3829" s="14">
        <v>40001</v>
      </c>
      <c r="AE3829" s="14" t="s">
        <v>1400</v>
      </c>
      <c r="AF3829" s="14" t="s">
        <v>1400</v>
      </c>
      <c r="AG3829" s="14" t="s">
        <v>1231</v>
      </c>
    </row>
    <row r="3830" spans="2:33">
      <c r="B3830" s="14">
        <f>10000000+INDEX(编号表!$B:$B,MATCH(H3830,编号表!$A:$A,0))*100000+INDEX(编号表!$F:$F,MATCH(D3830,编号表!$E:$E,0))*10000+INDEX(编号表!$D:$D,MATCH(AG3830,编号表!$C:$C,0))*1000+F3830</f>
        <v>11938114</v>
      </c>
      <c r="C3830" s="14" t="s">
        <v>7447</v>
      </c>
      <c r="D3830" s="14" t="s">
        <v>276</v>
      </c>
      <c r="E3830" s="14" t="s">
        <v>1231</v>
      </c>
      <c r="F3830" s="14">
        <v>114</v>
      </c>
      <c r="G3830" s="14">
        <v>60</v>
      </c>
      <c r="H3830" s="14" t="s">
        <v>1400</v>
      </c>
      <c r="I3830" s="14" t="s">
        <v>75</v>
      </c>
      <c r="J3830" s="14" t="s">
        <v>201</v>
      </c>
      <c r="K3830" s="14">
        <v>1</v>
      </c>
      <c r="L3830" s="14" t="s">
        <v>1400</v>
      </c>
      <c r="N3830" s="14">
        <v>0</v>
      </c>
      <c r="O3830" s="14" t="b">
        <v>1</v>
      </c>
      <c r="Q3830" s="14" t="b">
        <v>0</v>
      </c>
      <c r="R3830" s="14">
        <v>1</v>
      </c>
      <c r="S3830" s="14" t="s">
        <v>77</v>
      </c>
      <c r="T3830" s="14">
        <v>999</v>
      </c>
      <c r="U3830" s="14" t="s">
        <v>1401</v>
      </c>
      <c r="V3830" s="14">
        <v>31938114</v>
      </c>
      <c r="X3830" s="14" t="s">
        <v>7448</v>
      </c>
      <c r="Y3830" s="14" t="s">
        <v>215</v>
      </c>
      <c r="Z3830" s="14">
        <v>22593</v>
      </c>
      <c r="AA3830" s="14" t="s">
        <v>7449</v>
      </c>
      <c r="AB3830" s="14">
        <v>40001</v>
      </c>
      <c r="AE3830" s="14" t="s">
        <v>1400</v>
      </c>
      <c r="AF3830" s="14" t="s">
        <v>1400</v>
      </c>
      <c r="AG3830" s="14" t="s">
        <v>1231</v>
      </c>
    </row>
    <row r="3831" spans="2:33">
      <c r="B3831" s="14">
        <f>10000000+INDEX(编号表!$B:$B,MATCH(H3831,编号表!$A:$A,0))*100000+INDEX(编号表!$F:$F,MATCH(D3831,编号表!$E:$E,0))*10000+INDEX(编号表!$D:$D,MATCH(AG3831,编号表!$C:$C,0))*1000+F3831</f>
        <v>11948115</v>
      </c>
      <c r="C3831" s="14" t="s">
        <v>7447</v>
      </c>
      <c r="D3831" s="14" t="s">
        <v>104</v>
      </c>
      <c r="E3831" s="14" t="s">
        <v>1231</v>
      </c>
      <c r="F3831" s="14">
        <v>115</v>
      </c>
      <c r="G3831" s="14">
        <v>60</v>
      </c>
      <c r="H3831" s="14" t="s">
        <v>1400</v>
      </c>
      <c r="I3831" s="14" t="s">
        <v>75</v>
      </c>
      <c r="J3831" s="14" t="s">
        <v>201</v>
      </c>
      <c r="K3831" s="14">
        <v>1</v>
      </c>
      <c r="L3831" s="14" t="s">
        <v>1400</v>
      </c>
      <c r="N3831" s="14">
        <v>0</v>
      </c>
      <c r="O3831" s="14" t="b">
        <v>1</v>
      </c>
      <c r="Q3831" s="14" t="b">
        <v>0</v>
      </c>
      <c r="R3831" s="14">
        <v>1</v>
      </c>
      <c r="S3831" s="14" t="s">
        <v>77</v>
      </c>
      <c r="T3831" s="14">
        <v>999</v>
      </c>
      <c r="U3831" s="14" t="s">
        <v>1401</v>
      </c>
      <c r="V3831" s="14">
        <v>31948115</v>
      </c>
      <c r="X3831" s="14" t="s">
        <v>7450</v>
      </c>
      <c r="Y3831" s="14" t="s">
        <v>215</v>
      </c>
      <c r="Z3831" s="14">
        <v>22594</v>
      </c>
      <c r="AA3831" s="14" t="s">
        <v>7451</v>
      </c>
      <c r="AB3831" s="14">
        <v>40001</v>
      </c>
      <c r="AE3831" s="14" t="s">
        <v>1400</v>
      </c>
      <c r="AF3831" s="14" t="s">
        <v>1400</v>
      </c>
      <c r="AG3831" s="14" t="s">
        <v>1231</v>
      </c>
    </row>
    <row r="3832" spans="2:33">
      <c r="B3832" s="14">
        <f>10000000+INDEX(编号表!$B:$B,MATCH(H3832,编号表!$A:$A,0))*100000+INDEX(编号表!$F:$F,MATCH(D3832,编号表!$E:$E,0))*10000+INDEX(编号表!$D:$D,MATCH(AG3832,编号表!$C:$C,0))*1000+F3832</f>
        <v>11958116</v>
      </c>
      <c r="C3832" s="14" t="s">
        <v>7447</v>
      </c>
      <c r="D3832" s="14" t="s">
        <v>333</v>
      </c>
      <c r="E3832" s="14" t="s">
        <v>1231</v>
      </c>
      <c r="F3832" s="14">
        <v>116</v>
      </c>
      <c r="G3832" s="14">
        <v>60</v>
      </c>
      <c r="H3832" s="14" t="s">
        <v>1400</v>
      </c>
      <c r="I3832" s="14" t="s">
        <v>75</v>
      </c>
      <c r="J3832" s="14" t="s">
        <v>201</v>
      </c>
      <c r="K3832" s="14">
        <v>1</v>
      </c>
      <c r="L3832" s="14" t="s">
        <v>1400</v>
      </c>
      <c r="N3832" s="14">
        <v>0</v>
      </c>
      <c r="O3832" s="14" t="b">
        <v>1</v>
      </c>
      <c r="Q3832" s="14" t="b">
        <v>0</v>
      </c>
      <c r="R3832" s="14">
        <v>1</v>
      </c>
      <c r="S3832" s="14" t="s">
        <v>77</v>
      </c>
      <c r="T3832" s="14">
        <v>999</v>
      </c>
      <c r="U3832" s="14" t="s">
        <v>1401</v>
      </c>
      <c r="V3832" s="14">
        <v>31958116</v>
      </c>
      <c r="X3832" s="14" t="s">
        <v>7452</v>
      </c>
      <c r="Y3832" s="14" t="s">
        <v>215</v>
      </c>
      <c r="Z3832" s="14">
        <v>22595</v>
      </c>
      <c r="AA3832" s="14" t="s">
        <v>7453</v>
      </c>
      <c r="AB3832" s="14">
        <v>40001</v>
      </c>
      <c r="AE3832" s="14" t="s">
        <v>1400</v>
      </c>
      <c r="AF3832" s="14" t="s">
        <v>1400</v>
      </c>
      <c r="AG3832" s="14" t="s">
        <v>1231</v>
      </c>
    </row>
    <row r="3833" spans="2:33">
      <c r="B3833" s="14">
        <f>10000000+INDEX(编号表!$B:$B,MATCH(H3833,编号表!$A:$A,0))*100000+INDEX(编号表!$F:$F,MATCH(D3833,编号表!$E:$E,0))*10000+INDEX(编号表!$D:$D,MATCH(AG3833,编号表!$C:$C,0))*1000+F3833</f>
        <v>11938115</v>
      </c>
      <c r="C3833" s="14" t="s">
        <v>7454</v>
      </c>
      <c r="D3833" s="14" t="s">
        <v>276</v>
      </c>
      <c r="E3833" s="14" t="s">
        <v>1231</v>
      </c>
      <c r="F3833" s="14">
        <v>115</v>
      </c>
      <c r="G3833" s="14">
        <v>60</v>
      </c>
      <c r="H3833" s="14" t="s">
        <v>1400</v>
      </c>
      <c r="I3833" s="14" t="s">
        <v>75</v>
      </c>
      <c r="J3833" s="14" t="s">
        <v>201</v>
      </c>
      <c r="K3833" s="14">
        <v>1</v>
      </c>
      <c r="L3833" s="14" t="s">
        <v>1400</v>
      </c>
      <c r="N3833" s="14">
        <v>0</v>
      </c>
      <c r="O3833" s="14" t="b">
        <v>1</v>
      </c>
      <c r="Q3833" s="14" t="b">
        <v>0</v>
      </c>
      <c r="R3833" s="14">
        <v>1</v>
      </c>
      <c r="S3833" s="14" t="s">
        <v>77</v>
      </c>
      <c r="T3833" s="14">
        <v>999</v>
      </c>
      <c r="U3833" s="14" t="s">
        <v>1401</v>
      </c>
      <c r="V3833" s="14">
        <v>31938115</v>
      </c>
      <c r="X3833" s="14" t="s">
        <v>7455</v>
      </c>
      <c r="Y3833" s="14" t="s">
        <v>215</v>
      </c>
      <c r="Z3833" s="14">
        <v>22596</v>
      </c>
      <c r="AA3833" s="14" t="s">
        <v>7456</v>
      </c>
      <c r="AB3833" s="14">
        <v>40001</v>
      </c>
      <c r="AE3833" s="14" t="s">
        <v>1400</v>
      </c>
      <c r="AF3833" s="14" t="s">
        <v>1400</v>
      </c>
      <c r="AG3833" s="14" t="s">
        <v>1231</v>
      </c>
    </row>
    <row r="3834" spans="2:33">
      <c r="B3834" s="14">
        <f>10000000+INDEX(编号表!$B:$B,MATCH(H3834,编号表!$A:$A,0))*100000+INDEX(编号表!$F:$F,MATCH(D3834,编号表!$E:$E,0))*10000+INDEX(编号表!$D:$D,MATCH(AG3834,编号表!$C:$C,0))*1000+F3834</f>
        <v>11948116</v>
      </c>
      <c r="C3834" s="14" t="s">
        <v>7454</v>
      </c>
      <c r="D3834" s="14" t="s">
        <v>104</v>
      </c>
      <c r="E3834" s="14" t="s">
        <v>1231</v>
      </c>
      <c r="F3834" s="14">
        <v>116</v>
      </c>
      <c r="G3834" s="14">
        <v>60</v>
      </c>
      <c r="H3834" s="14" t="s">
        <v>1400</v>
      </c>
      <c r="I3834" s="14" t="s">
        <v>75</v>
      </c>
      <c r="J3834" s="14" t="s">
        <v>201</v>
      </c>
      <c r="K3834" s="14">
        <v>1</v>
      </c>
      <c r="L3834" s="14" t="s">
        <v>1400</v>
      </c>
      <c r="N3834" s="14">
        <v>0</v>
      </c>
      <c r="O3834" s="14" t="b">
        <v>1</v>
      </c>
      <c r="Q3834" s="14" t="b">
        <v>0</v>
      </c>
      <c r="R3834" s="14">
        <v>1</v>
      </c>
      <c r="S3834" s="14" t="s">
        <v>77</v>
      </c>
      <c r="T3834" s="14">
        <v>999</v>
      </c>
      <c r="U3834" s="14" t="s">
        <v>1401</v>
      </c>
      <c r="V3834" s="14">
        <v>31948116</v>
      </c>
      <c r="X3834" s="14" t="s">
        <v>7457</v>
      </c>
      <c r="Y3834" s="14" t="s">
        <v>215</v>
      </c>
      <c r="Z3834" s="14">
        <v>22597</v>
      </c>
      <c r="AA3834" s="14" t="s">
        <v>7458</v>
      </c>
      <c r="AB3834" s="14">
        <v>40001</v>
      </c>
      <c r="AE3834" s="14" t="s">
        <v>1400</v>
      </c>
      <c r="AF3834" s="14" t="s">
        <v>1400</v>
      </c>
      <c r="AG3834" s="14" t="s">
        <v>1231</v>
      </c>
    </row>
    <row r="3835" spans="2:33">
      <c r="B3835" s="14">
        <f>10000000+INDEX(编号表!$B:$B,MATCH(H3835,编号表!$A:$A,0))*100000+INDEX(编号表!$F:$F,MATCH(D3835,编号表!$E:$E,0))*10000+INDEX(编号表!$D:$D,MATCH(AG3835,编号表!$C:$C,0))*1000+F3835</f>
        <v>11958117</v>
      </c>
      <c r="C3835" s="14" t="s">
        <v>7454</v>
      </c>
      <c r="D3835" s="14" t="s">
        <v>333</v>
      </c>
      <c r="E3835" s="14" t="s">
        <v>1231</v>
      </c>
      <c r="F3835" s="14">
        <v>117</v>
      </c>
      <c r="G3835" s="14">
        <v>60</v>
      </c>
      <c r="H3835" s="14" t="s">
        <v>1400</v>
      </c>
      <c r="I3835" s="14" t="s">
        <v>75</v>
      </c>
      <c r="J3835" s="14" t="s">
        <v>201</v>
      </c>
      <c r="K3835" s="14">
        <v>1</v>
      </c>
      <c r="L3835" s="14" t="s">
        <v>1400</v>
      </c>
      <c r="N3835" s="14">
        <v>0</v>
      </c>
      <c r="O3835" s="14" t="b">
        <v>1</v>
      </c>
      <c r="Q3835" s="14" t="b">
        <v>0</v>
      </c>
      <c r="R3835" s="14">
        <v>1</v>
      </c>
      <c r="S3835" s="14" t="s">
        <v>77</v>
      </c>
      <c r="T3835" s="14">
        <v>999</v>
      </c>
      <c r="U3835" s="14" t="s">
        <v>1401</v>
      </c>
      <c r="V3835" s="14">
        <v>31958117</v>
      </c>
      <c r="X3835" s="14" t="s">
        <v>7459</v>
      </c>
      <c r="Y3835" s="14" t="s">
        <v>215</v>
      </c>
      <c r="Z3835" s="14">
        <v>22598</v>
      </c>
      <c r="AA3835" s="14" t="s">
        <v>7460</v>
      </c>
      <c r="AB3835" s="14">
        <v>40001</v>
      </c>
      <c r="AE3835" s="14" t="s">
        <v>1400</v>
      </c>
      <c r="AF3835" s="14" t="s">
        <v>1400</v>
      </c>
      <c r="AG3835" s="14" t="s">
        <v>1231</v>
      </c>
    </row>
    <row r="3836" spans="2:33">
      <c r="B3836" s="14">
        <f>10000000+INDEX(编号表!$B:$B,MATCH(H3836,编号表!$A:$A,0))*100000+INDEX(编号表!$F:$F,MATCH(D3836,编号表!$E:$E,0))*10000+INDEX(编号表!$D:$D,MATCH(AG3836,编号表!$C:$C,0))*1000+F3836</f>
        <v>11938116</v>
      </c>
      <c r="C3836" s="14" t="s">
        <v>7461</v>
      </c>
      <c r="D3836" s="14" t="s">
        <v>276</v>
      </c>
      <c r="E3836" s="14" t="s">
        <v>1231</v>
      </c>
      <c r="F3836" s="14">
        <v>116</v>
      </c>
      <c r="G3836" s="14">
        <v>60</v>
      </c>
      <c r="H3836" s="14" t="s">
        <v>1400</v>
      </c>
      <c r="I3836" s="14" t="s">
        <v>75</v>
      </c>
      <c r="J3836" s="14" t="s">
        <v>201</v>
      </c>
      <c r="K3836" s="14">
        <v>1</v>
      </c>
      <c r="L3836" s="14" t="s">
        <v>1400</v>
      </c>
      <c r="N3836" s="14">
        <v>0</v>
      </c>
      <c r="O3836" s="14" t="b">
        <v>1</v>
      </c>
      <c r="Q3836" s="14" t="b">
        <v>0</v>
      </c>
      <c r="R3836" s="14">
        <v>1</v>
      </c>
      <c r="S3836" s="14" t="s">
        <v>77</v>
      </c>
      <c r="T3836" s="14">
        <v>999</v>
      </c>
      <c r="U3836" s="14" t="s">
        <v>1401</v>
      </c>
      <c r="V3836" s="14">
        <v>31938116</v>
      </c>
      <c r="X3836" s="14" t="s">
        <v>7462</v>
      </c>
      <c r="Y3836" s="14" t="s">
        <v>215</v>
      </c>
      <c r="Z3836" s="14">
        <v>22599</v>
      </c>
      <c r="AA3836" s="14" t="s">
        <v>7463</v>
      </c>
      <c r="AB3836" s="14">
        <v>40001</v>
      </c>
      <c r="AE3836" s="14" t="s">
        <v>1400</v>
      </c>
      <c r="AF3836" s="14" t="s">
        <v>1400</v>
      </c>
      <c r="AG3836" s="14" t="s">
        <v>1231</v>
      </c>
    </row>
    <row r="3837" spans="2:33">
      <c r="B3837" s="14">
        <f>10000000+INDEX(编号表!$B:$B,MATCH(H3837,编号表!$A:$A,0))*100000+INDEX(编号表!$F:$F,MATCH(D3837,编号表!$E:$E,0))*10000+INDEX(编号表!$D:$D,MATCH(AG3837,编号表!$C:$C,0))*1000+F3837</f>
        <v>11948117</v>
      </c>
      <c r="C3837" s="14" t="s">
        <v>7461</v>
      </c>
      <c r="D3837" s="14" t="s">
        <v>104</v>
      </c>
      <c r="E3837" s="14" t="s">
        <v>1231</v>
      </c>
      <c r="F3837" s="14">
        <v>117</v>
      </c>
      <c r="G3837" s="14">
        <v>60</v>
      </c>
      <c r="H3837" s="14" t="s">
        <v>1400</v>
      </c>
      <c r="I3837" s="14" t="s">
        <v>75</v>
      </c>
      <c r="J3837" s="14" t="s">
        <v>201</v>
      </c>
      <c r="K3837" s="14">
        <v>1</v>
      </c>
      <c r="L3837" s="14" t="s">
        <v>1400</v>
      </c>
      <c r="N3837" s="14">
        <v>0</v>
      </c>
      <c r="O3837" s="14" t="b">
        <v>1</v>
      </c>
      <c r="Q3837" s="14" t="b">
        <v>0</v>
      </c>
      <c r="R3837" s="14">
        <v>1</v>
      </c>
      <c r="S3837" s="14" t="s">
        <v>77</v>
      </c>
      <c r="T3837" s="14">
        <v>999</v>
      </c>
      <c r="U3837" s="14" t="s">
        <v>1401</v>
      </c>
      <c r="V3837" s="14">
        <v>31948117</v>
      </c>
      <c r="X3837" s="14" t="s">
        <v>7464</v>
      </c>
      <c r="Y3837" s="14" t="s">
        <v>215</v>
      </c>
      <c r="Z3837" s="14">
        <v>22600</v>
      </c>
      <c r="AA3837" s="14" t="s">
        <v>7465</v>
      </c>
      <c r="AB3837" s="14">
        <v>40001</v>
      </c>
      <c r="AE3837" s="14" t="s">
        <v>1400</v>
      </c>
      <c r="AF3837" s="14" t="s">
        <v>1400</v>
      </c>
      <c r="AG3837" s="14" t="s">
        <v>1231</v>
      </c>
    </row>
    <row r="3838" spans="2:33">
      <c r="B3838" s="14">
        <f>10000000+INDEX(编号表!$B:$B,MATCH(H3838,编号表!$A:$A,0))*100000+INDEX(编号表!$F:$F,MATCH(D3838,编号表!$E:$E,0))*10000+INDEX(编号表!$D:$D,MATCH(AG3838,编号表!$C:$C,0))*1000+F3838</f>
        <v>11958118</v>
      </c>
      <c r="C3838" s="14" t="s">
        <v>7461</v>
      </c>
      <c r="D3838" s="14" t="s">
        <v>333</v>
      </c>
      <c r="E3838" s="14" t="s">
        <v>1231</v>
      </c>
      <c r="F3838" s="14">
        <v>118</v>
      </c>
      <c r="G3838" s="14">
        <v>60</v>
      </c>
      <c r="H3838" s="14" t="s">
        <v>1400</v>
      </c>
      <c r="I3838" s="14" t="s">
        <v>75</v>
      </c>
      <c r="J3838" s="14" t="s">
        <v>201</v>
      </c>
      <c r="K3838" s="14">
        <v>1</v>
      </c>
      <c r="L3838" s="14" t="s">
        <v>1400</v>
      </c>
      <c r="N3838" s="14">
        <v>0</v>
      </c>
      <c r="O3838" s="14" t="b">
        <v>1</v>
      </c>
      <c r="Q3838" s="14" t="b">
        <v>0</v>
      </c>
      <c r="R3838" s="14">
        <v>1</v>
      </c>
      <c r="S3838" s="14" t="s">
        <v>77</v>
      </c>
      <c r="T3838" s="14">
        <v>999</v>
      </c>
      <c r="U3838" s="14" t="s">
        <v>1401</v>
      </c>
      <c r="V3838" s="14">
        <v>31958118</v>
      </c>
      <c r="X3838" s="14" t="s">
        <v>7466</v>
      </c>
      <c r="Y3838" s="14" t="s">
        <v>215</v>
      </c>
      <c r="Z3838" s="14">
        <v>22601</v>
      </c>
      <c r="AA3838" s="14" t="s">
        <v>7467</v>
      </c>
      <c r="AB3838" s="14">
        <v>40001</v>
      </c>
      <c r="AE3838" s="14" t="s">
        <v>1400</v>
      </c>
      <c r="AF3838" s="14" t="s">
        <v>1400</v>
      </c>
      <c r="AG3838" s="14" t="s">
        <v>1231</v>
      </c>
    </row>
    <row r="3839" spans="2:33">
      <c r="B3839" s="14">
        <f>10000000+INDEX(编号表!$B:$B,MATCH(H3839,编号表!$A:$A,0))*100000+INDEX(编号表!$F:$F,MATCH(D3839,编号表!$E:$E,0))*10000+INDEX(编号表!$D:$D,MATCH(AG3839,编号表!$C:$C,0))*1000+F3839</f>
        <v>11938117</v>
      </c>
      <c r="C3839" s="14" t="s">
        <v>7468</v>
      </c>
      <c r="D3839" s="14" t="s">
        <v>276</v>
      </c>
      <c r="E3839" s="14" t="s">
        <v>1231</v>
      </c>
      <c r="F3839" s="14">
        <v>117</v>
      </c>
      <c r="G3839" s="14">
        <v>60</v>
      </c>
      <c r="H3839" s="14" t="s">
        <v>1400</v>
      </c>
      <c r="I3839" s="14" t="s">
        <v>75</v>
      </c>
      <c r="J3839" s="14" t="s">
        <v>201</v>
      </c>
      <c r="K3839" s="14">
        <v>1</v>
      </c>
      <c r="L3839" s="14" t="s">
        <v>1400</v>
      </c>
      <c r="N3839" s="14">
        <v>0</v>
      </c>
      <c r="O3839" s="14" t="b">
        <v>1</v>
      </c>
      <c r="Q3839" s="14" t="b">
        <v>0</v>
      </c>
      <c r="R3839" s="14">
        <v>1</v>
      </c>
      <c r="S3839" s="14" t="s">
        <v>77</v>
      </c>
      <c r="T3839" s="14">
        <v>999</v>
      </c>
      <c r="U3839" s="14" t="s">
        <v>1401</v>
      </c>
      <c r="V3839" s="14">
        <v>31938117</v>
      </c>
      <c r="X3839" s="14" t="s">
        <v>7469</v>
      </c>
      <c r="Y3839" s="14" t="s">
        <v>215</v>
      </c>
      <c r="Z3839" s="14">
        <v>22602</v>
      </c>
      <c r="AA3839" s="14" t="s">
        <v>7470</v>
      </c>
      <c r="AB3839" s="14">
        <v>40001</v>
      </c>
      <c r="AE3839" s="14" t="s">
        <v>1400</v>
      </c>
      <c r="AF3839" s="14" t="s">
        <v>1400</v>
      </c>
      <c r="AG3839" s="14" t="s">
        <v>1231</v>
      </c>
    </row>
    <row r="3840" spans="2:33">
      <c r="B3840" s="14">
        <f>10000000+INDEX(编号表!$B:$B,MATCH(H3840,编号表!$A:$A,0))*100000+INDEX(编号表!$F:$F,MATCH(D3840,编号表!$E:$E,0))*10000+INDEX(编号表!$D:$D,MATCH(AG3840,编号表!$C:$C,0))*1000+F3840</f>
        <v>11948118</v>
      </c>
      <c r="C3840" s="14" t="s">
        <v>7468</v>
      </c>
      <c r="D3840" s="14" t="s">
        <v>104</v>
      </c>
      <c r="E3840" s="14" t="s">
        <v>1231</v>
      </c>
      <c r="F3840" s="14">
        <v>118</v>
      </c>
      <c r="G3840" s="14">
        <v>60</v>
      </c>
      <c r="H3840" s="14" t="s">
        <v>1400</v>
      </c>
      <c r="I3840" s="14" t="s">
        <v>75</v>
      </c>
      <c r="J3840" s="14" t="s">
        <v>201</v>
      </c>
      <c r="K3840" s="14">
        <v>1</v>
      </c>
      <c r="L3840" s="14" t="s">
        <v>1400</v>
      </c>
      <c r="N3840" s="14">
        <v>0</v>
      </c>
      <c r="O3840" s="14" t="b">
        <v>1</v>
      </c>
      <c r="Q3840" s="14" t="b">
        <v>0</v>
      </c>
      <c r="R3840" s="14">
        <v>1</v>
      </c>
      <c r="S3840" s="14" t="s">
        <v>77</v>
      </c>
      <c r="T3840" s="14">
        <v>999</v>
      </c>
      <c r="U3840" s="14" t="s">
        <v>1401</v>
      </c>
      <c r="V3840" s="14">
        <v>31948118</v>
      </c>
      <c r="X3840" s="14" t="s">
        <v>7471</v>
      </c>
      <c r="Y3840" s="14" t="s">
        <v>215</v>
      </c>
      <c r="Z3840" s="14">
        <v>22603</v>
      </c>
      <c r="AA3840" s="14" t="s">
        <v>7472</v>
      </c>
      <c r="AB3840" s="14">
        <v>40001</v>
      </c>
      <c r="AE3840" s="14" t="s">
        <v>1400</v>
      </c>
      <c r="AF3840" s="14" t="s">
        <v>1400</v>
      </c>
      <c r="AG3840" s="14" t="s">
        <v>1231</v>
      </c>
    </row>
    <row r="3841" spans="2:33">
      <c r="B3841" s="14">
        <f>10000000+INDEX(编号表!$B:$B,MATCH(H3841,编号表!$A:$A,0))*100000+INDEX(编号表!$F:$F,MATCH(D3841,编号表!$E:$E,0))*10000+INDEX(编号表!$D:$D,MATCH(AG3841,编号表!$C:$C,0))*1000+F3841</f>
        <v>11958119</v>
      </c>
      <c r="C3841" s="14" t="s">
        <v>7468</v>
      </c>
      <c r="D3841" s="14" t="s">
        <v>333</v>
      </c>
      <c r="E3841" s="14" t="s">
        <v>1231</v>
      </c>
      <c r="F3841" s="14">
        <v>119</v>
      </c>
      <c r="G3841" s="14">
        <v>60</v>
      </c>
      <c r="H3841" s="14" t="s">
        <v>1400</v>
      </c>
      <c r="I3841" s="14" t="s">
        <v>75</v>
      </c>
      <c r="J3841" s="14" t="s">
        <v>201</v>
      </c>
      <c r="K3841" s="14">
        <v>1</v>
      </c>
      <c r="L3841" s="14" t="s">
        <v>1400</v>
      </c>
      <c r="N3841" s="14">
        <v>0</v>
      </c>
      <c r="O3841" s="14" t="b">
        <v>1</v>
      </c>
      <c r="Q3841" s="14" t="b">
        <v>0</v>
      </c>
      <c r="R3841" s="14">
        <v>1</v>
      </c>
      <c r="S3841" s="14" t="s">
        <v>77</v>
      </c>
      <c r="T3841" s="14">
        <v>999</v>
      </c>
      <c r="U3841" s="14" t="s">
        <v>1401</v>
      </c>
      <c r="V3841" s="14">
        <v>31958119</v>
      </c>
      <c r="X3841" s="14" t="s">
        <v>7473</v>
      </c>
      <c r="Y3841" s="14" t="s">
        <v>215</v>
      </c>
      <c r="Z3841" s="14">
        <v>22604</v>
      </c>
      <c r="AA3841" s="14" t="s">
        <v>7474</v>
      </c>
      <c r="AB3841" s="14">
        <v>40001</v>
      </c>
      <c r="AE3841" s="14" t="s">
        <v>1400</v>
      </c>
      <c r="AF3841" s="14" t="s">
        <v>1400</v>
      </c>
      <c r="AG3841" s="14" t="s">
        <v>1231</v>
      </c>
    </row>
    <row r="3842" spans="2:33">
      <c r="B3842" s="14">
        <f>10000000+INDEX(编号表!$B:$B,MATCH(H3842,编号表!$A:$A,0))*100000+INDEX(编号表!$F:$F,MATCH(D3842,编号表!$E:$E,0))*10000+INDEX(编号表!$D:$D,MATCH(AG3842,编号表!$C:$C,0))*1000+F3842</f>
        <v>11938118</v>
      </c>
      <c r="C3842" s="14" t="s">
        <v>7475</v>
      </c>
      <c r="D3842" s="14" t="s">
        <v>276</v>
      </c>
      <c r="E3842" s="14" t="s">
        <v>1231</v>
      </c>
      <c r="F3842" s="14">
        <v>118</v>
      </c>
      <c r="G3842" s="14">
        <v>60</v>
      </c>
      <c r="H3842" s="14" t="s">
        <v>1400</v>
      </c>
      <c r="I3842" s="14" t="s">
        <v>75</v>
      </c>
      <c r="J3842" s="14" t="s">
        <v>201</v>
      </c>
      <c r="K3842" s="14">
        <v>1</v>
      </c>
      <c r="L3842" s="14" t="s">
        <v>1400</v>
      </c>
      <c r="N3842" s="14">
        <v>0</v>
      </c>
      <c r="O3842" s="14" t="b">
        <v>1</v>
      </c>
      <c r="Q3842" s="14" t="b">
        <v>0</v>
      </c>
      <c r="R3842" s="14">
        <v>1</v>
      </c>
      <c r="S3842" s="14" t="s">
        <v>77</v>
      </c>
      <c r="T3842" s="14">
        <v>999</v>
      </c>
      <c r="U3842" s="14" t="s">
        <v>1401</v>
      </c>
      <c r="V3842" s="14">
        <v>31938118</v>
      </c>
      <c r="X3842" s="14" t="s">
        <v>7476</v>
      </c>
      <c r="Y3842" s="14" t="s">
        <v>215</v>
      </c>
      <c r="Z3842" s="14">
        <v>22605</v>
      </c>
      <c r="AA3842" s="14" t="s">
        <v>7477</v>
      </c>
      <c r="AB3842" s="14">
        <v>40001</v>
      </c>
      <c r="AE3842" s="14" t="s">
        <v>1400</v>
      </c>
      <c r="AF3842" s="14" t="s">
        <v>1400</v>
      </c>
      <c r="AG3842" s="14" t="s">
        <v>1231</v>
      </c>
    </row>
    <row r="3843" spans="2:33">
      <c r="B3843" s="14">
        <f>10000000+INDEX(编号表!$B:$B,MATCH(H3843,编号表!$A:$A,0))*100000+INDEX(编号表!$F:$F,MATCH(D3843,编号表!$E:$E,0))*10000+INDEX(编号表!$D:$D,MATCH(AG3843,编号表!$C:$C,0))*1000+F3843</f>
        <v>11948119</v>
      </c>
      <c r="C3843" s="14" t="s">
        <v>7475</v>
      </c>
      <c r="D3843" s="14" t="s">
        <v>104</v>
      </c>
      <c r="E3843" s="14" t="s">
        <v>1231</v>
      </c>
      <c r="F3843" s="14">
        <v>119</v>
      </c>
      <c r="G3843" s="14">
        <v>60</v>
      </c>
      <c r="H3843" s="14" t="s">
        <v>1400</v>
      </c>
      <c r="I3843" s="14" t="s">
        <v>75</v>
      </c>
      <c r="J3843" s="14" t="s">
        <v>201</v>
      </c>
      <c r="K3843" s="14">
        <v>1</v>
      </c>
      <c r="L3843" s="14" t="s">
        <v>1400</v>
      </c>
      <c r="N3843" s="14">
        <v>0</v>
      </c>
      <c r="O3843" s="14" t="b">
        <v>1</v>
      </c>
      <c r="Q3843" s="14" t="b">
        <v>0</v>
      </c>
      <c r="R3843" s="14">
        <v>1</v>
      </c>
      <c r="S3843" s="14" t="s">
        <v>77</v>
      </c>
      <c r="T3843" s="14">
        <v>999</v>
      </c>
      <c r="U3843" s="14" t="s">
        <v>1401</v>
      </c>
      <c r="V3843" s="14">
        <v>31948119</v>
      </c>
      <c r="X3843" s="14" t="s">
        <v>7478</v>
      </c>
      <c r="Y3843" s="14" t="s">
        <v>215</v>
      </c>
      <c r="Z3843" s="14">
        <v>22606</v>
      </c>
      <c r="AA3843" s="14" t="s">
        <v>7479</v>
      </c>
      <c r="AB3843" s="14">
        <v>40001</v>
      </c>
      <c r="AE3843" s="14" t="s">
        <v>1400</v>
      </c>
      <c r="AF3843" s="14" t="s">
        <v>1400</v>
      </c>
      <c r="AG3843" s="14" t="s">
        <v>1231</v>
      </c>
    </row>
    <row r="3844" spans="2:33">
      <c r="B3844" s="14">
        <f>10000000+INDEX(编号表!$B:$B,MATCH(H3844,编号表!$A:$A,0))*100000+INDEX(编号表!$F:$F,MATCH(D3844,编号表!$E:$E,0))*10000+INDEX(编号表!$D:$D,MATCH(AG3844,编号表!$C:$C,0))*1000+F3844</f>
        <v>11958120</v>
      </c>
      <c r="C3844" s="14" t="s">
        <v>7475</v>
      </c>
      <c r="D3844" s="14" t="s">
        <v>333</v>
      </c>
      <c r="E3844" s="14" t="s">
        <v>1231</v>
      </c>
      <c r="F3844" s="14">
        <v>120</v>
      </c>
      <c r="G3844" s="14">
        <v>60</v>
      </c>
      <c r="H3844" s="14" t="s">
        <v>1400</v>
      </c>
      <c r="I3844" s="14" t="s">
        <v>75</v>
      </c>
      <c r="J3844" s="14" t="s">
        <v>201</v>
      </c>
      <c r="K3844" s="14">
        <v>1</v>
      </c>
      <c r="L3844" s="14" t="s">
        <v>1400</v>
      </c>
      <c r="N3844" s="14">
        <v>0</v>
      </c>
      <c r="O3844" s="14" t="b">
        <v>1</v>
      </c>
      <c r="Q3844" s="14" t="b">
        <v>0</v>
      </c>
      <c r="R3844" s="14">
        <v>1</v>
      </c>
      <c r="S3844" s="14" t="s">
        <v>77</v>
      </c>
      <c r="T3844" s="14">
        <v>999</v>
      </c>
      <c r="U3844" s="14" t="s">
        <v>1401</v>
      </c>
      <c r="V3844" s="14">
        <v>31958120</v>
      </c>
      <c r="X3844" s="14" t="s">
        <v>7480</v>
      </c>
      <c r="Y3844" s="14" t="s">
        <v>215</v>
      </c>
      <c r="Z3844" s="14">
        <v>22607</v>
      </c>
      <c r="AA3844" s="14" t="s">
        <v>7481</v>
      </c>
      <c r="AB3844" s="14">
        <v>40001</v>
      </c>
      <c r="AE3844" s="14" t="s">
        <v>1400</v>
      </c>
      <c r="AF3844" s="14" t="s">
        <v>1400</v>
      </c>
      <c r="AG3844" s="14" t="s">
        <v>1231</v>
      </c>
    </row>
    <row r="3845" spans="2:33">
      <c r="B3845" s="14">
        <f>10000000+INDEX(编号表!$B:$B,MATCH(H3845,编号表!$A:$A,0))*100000+INDEX(编号表!$F:$F,MATCH(D3845,编号表!$E:$E,0))*10000+INDEX(编号表!$D:$D,MATCH(AG3845,编号表!$C:$C,0))*1000+F3845</f>
        <v>11938119</v>
      </c>
      <c r="C3845" s="14" t="s">
        <v>7482</v>
      </c>
      <c r="D3845" s="14" t="s">
        <v>276</v>
      </c>
      <c r="E3845" s="14" t="s">
        <v>1231</v>
      </c>
      <c r="F3845" s="14">
        <v>119</v>
      </c>
      <c r="G3845" s="14">
        <v>60</v>
      </c>
      <c r="H3845" s="14" t="s">
        <v>1400</v>
      </c>
      <c r="I3845" s="14" t="s">
        <v>75</v>
      </c>
      <c r="J3845" s="14" t="s">
        <v>201</v>
      </c>
      <c r="K3845" s="14">
        <v>1</v>
      </c>
      <c r="L3845" s="14" t="s">
        <v>1400</v>
      </c>
      <c r="N3845" s="14">
        <v>0</v>
      </c>
      <c r="O3845" s="14" t="b">
        <v>1</v>
      </c>
      <c r="Q3845" s="14" t="b">
        <v>0</v>
      </c>
      <c r="R3845" s="14">
        <v>1</v>
      </c>
      <c r="S3845" s="14" t="s">
        <v>77</v>
      </c>
      <c r="T3845" s="14">
        <v>999</v>
      </c>
      <c r="U3845" s="14" t="s">
        <v>1401</v>
      </c>
      <c r="V3845" s="14">
        <v>31938119</v>
      </c>
      <c r="X3845" s="14" t="s">
        <v>7483</v>
      </c>
      <c r="Y3845" s="14" t="s">
        <v>215</v>
      </c>
      <c r="Z3845" s="14">
        <v>22608</v>
      </c>
      <c r="AA3845" s="14" t="s">
        <v>7484</v>
      </c>
      <c r="AB3845" s="14">
        <v>40001</v>
      </c>
      <c r="AE3845" s="14" t="s">
        <v>1400</v>
      </c>
      <c r="AF3845" s="14" t="s">
        <v>1400</v>
      </c>
      <c r="AG3845" s="14" t="s">
        <v>1231</v>
      </c>
    </row>
    <row r="3846" spans="2:33">
      <c r="B3846" s="14">
        <f>10000000+INDEX(编号表!$B:$B,MATCH(H3846,编号表!$A:$A,0))*100000+INDEX(编号表!$F:$F,MATCH(D3846,编号表!$E:$E,0))*10000+INDEX(编号表!$D:$D,MATCH(AG3846,编号表!$C:$C,0))*1000+F3846</f>
        <v>11948120</v>
      </c>
      <c r="C3846" s="14" t="s">
        <v>7482</v>
      </c>
      <c r="D3846" s="14" t="s">
        <v>104</v>
      </c>
      <c r="E3846" s="14" t="s">
        <v>1231</v>
      </c>
      <c r="F3846" s="14">
        <v>120</v>
      </c>
      <c r="G3846" s="14">
        <v>60</v>
      </c>
      <c r="H3846" s="14" t="s">
        <v>1400</v>
      </c>
      <c r="I3846" s="14" t="s">
        <v>75</v>
      </c>
      <c r="J3846" s="14" t="s">
        <v>201</v>
      </c>
      <c r="K3846" s="14">
        <v>1</v>
      </c>
      <c r="L3846" s="14" t="s">
        <v>1400</v>
      </c>
      <c r="N3846" s="14">
        <v>0</v>
      </c>
      <c r="O3846" s="14" t="b">
        <v>1</v>
      </c>
      <c r="Q3846" s="14" t="b">
        <v>0</v>
      </c>
      <c r="R3846" s="14">
        <v>1</v>
      </c>
      <c r="S3846" s="14" t="s">
        <v>77</v>
      </c>
      <c r="T3846" s="14">
        <v>999</v>
      </c>
      <c r="U3846" s="14" t="s">
        <v>1401</v>
      </c>
      <c r="V3846" s="14">
        <v>31948120</v>
      </c>
      <c r="X3846" s="14" t="s">
        <v>7485</v>
      </c>
      <c r="Y3846" s="14" t="s">
        <v>215</v>
      </c>
      <c r="Z3846" s="14">
        <v>22609</v>
      </c>
      <c r="AA3846" s="14" t="s">
        <v>7486</v>
      </c>
      <c r="AB3846" s="14">
        <v>40001</v>
      </c>
      <c r="AE3846" s="14" t="s">
        <v>1400</v>
      </c>
      <c r="AF3846" s="14" t="s">
        <v>1400</v>
      </c>
      <c r="AG3846" s="14" t="s">
        <v>1231</v>
      </c>
    </row>
    <row r="3847" spans="2:33">
      <c r="B3847" s="14">
        <f>10000000+INDEX(编号表!$B:$B,MATCH(H3847,编号表!$A:$A,0))*100000+INDEX(编号表!$F:$F,MATCH(D3847,编号表!$E:$E,0))*10000+INDEX(编号表!$D:$D,MATCH(AG3847,编号表!$C:$C,0))*1000+F3847</f>
        <v>11958121</v>
      </c>
      <c r="C3847" s="14" t="s">
        <v>7482</v>
      </c>
      <c r="D3847" s="14" t="s">
        <v>333</v>
      </c>
      <c r="E3847" s="14" t="s">
        <v>1231</v>
      </c>
      <c r="F3847" s="14">
        <v>121</v>
      </c>
      <c r="G3847" s="14">
        <v>60</v>
      </c>
      <c r="H3847" s="14" t="s">
        <v>1400</v>
      </c>
      <c r="I3847" s="14" t="s">
        <v>75</v>
      </c>
      <c r="J3847" s="14" t="s">
        <v>201</v>
      </c>
      <c r="K3847" s="14">
        <v>1</v>
      </c>
      <c r="L3847" s="14" t="s">
        <v>1400</v>
      </c>
      <c r="N3847" s="14">
        <v>0</v>
      </c>
      <c r="O3847" s="14" t="b">
        <v>1</v>
      </c>
      <c r="Q3847" s="14" t="b">
        <v>0</v>
      </c>
      <c r="R3847" s="14">
        <v>1</v>
      </c>
      <c r="S3847" s="14" t="s">
        <v>77</v>
      </c>
      <c r="T3847" s="14">
        <v>999</v>
      </c>
      <c r="U3847" s="14" t="s">
        <v>1401</v>
      </c>
      <c r="V3847" s="14">
        <v>31958121</v>
      </c>
      <c r="X3847" s="14" t="s">
        <v>7487</v>
      </c>
      <c r="Y3847" s="14" t="s">
        <v>215</v>
      </c>
      <c r="Z3847" s="14">
        <v>22610</v>
      </c>
      <c r="AA3847" s="14" t="s">
        <v>7488</v>
      </c>
      <c r="AB3847" s="14">
        <v>40001</v>
      </c>
      <c r="AE3847" s="14" t="s">
        <v>1400</v>
      </c>
      <c r="AF3847" s="14" t="s">
        <v>1400</v>
      </c>
      <c r="AG3847" s="14" t="s">
        <v>1231</v>
      </c>
    </row>
    <row r="3848" spans="2:33">
      <c r="B3848" s="14">
        <f>10000000+INDEX(编号表!$B:$B,MATCH(H3848,编号表!$A:$A,0))*100000+INDEX(编号表!$F:$F,MATCH(D3848,编号表!$E:$E,0))*10000+INDEX(编号表!$D:$D,MATCH(AG3848,编号表!$C:$C,0))*1000+F3848</f>
        <v>11938120</v>
      </c>
      <c r="C3848" s="14" t="s">
        <v>7489</v>
      </c>
      <c r="D3848" s="14" t="s">
        <v>276</v>
      </c>
      <c r="E3848" s="14" t="s">
        <v>1231</v>
      </c>
      <c r="F3848" s="14">
        <v>120</v>
      </c>
      <c r="G3848" s="14">
        <v>60</v>
      </c>
      <c r="H3848" s="14" t="s">
        <v>1400</v>
      </c>
      <c r="I3848" s="14" t="s">
        <v>75</v>
      </c>
      <c r="J3848" s="14" t="s">
        <v>201</v>
      </c>
      <c r="K3848" s="14">
        <v>1</v>
      </c>
      <c r="L3848" s="14" t="s">
        <v>1400</v>
      </c>
      <c r="N3848" s="14">
        <v>0</v>
      </c>
      <c r="O3848" s="14" t="b">
        <v>1</v>
      </c>
      <c r="Q3848" s="14" t="b">
        <v>0</v>
      </c>
      <c r="R3848" s="14">
        <v>1</v>
      </c>
      <c r="S3848" s="14" t="s">
        <v>77</v>
      </c>
      <c r="T3848" s="14">
        <v>999</v>
      </c>
      <c r="U3848" s="14" t="s">
        <v>1401</v>
      </c>
      <c r="V3848" s="14">
        <v>31938120</v>
      </c>
      <c r="X3848" s="14" t="s">
        <v>7490</v>
      </c>
      <c r="Y3848" s="14" t="s">
        <v>215</v>
      </c>
      <c r="Z3848" s="14">
        <v>22611</v>
      </c>
      <c r="AA3848" s="14" t="s">
        <v>7491</v>
      </c>
      <c r="AB3848" s="14">
        <v>40001</v>
      </c>
      <c r="AE3848" s="14" t="s">
        <v>1400</v>
      </c>
      <c r="AF3848" s="14" t="s">
        <v>1400</v>
      </c>
      <c r="AG3848" s="14" t="s">
        <v>1231</v>
      </c>
    </row>
    <row r="3849" spans="2:33">
      <c r="B3849" s="14">
        <f>10000000+INDEX(编号表!$B:$B,MATCH(H3849,编号表!$A:$A,0))*100000+INDEX(编号表!$F:$F,MATCH(D3849,编号表!$E:$E,0))*10000+INDEX(编号表!$D:$D,MATCH(AG3849,编号表!$C:$C,0))*1000+F3849</f>
        <v>11948121</v>
      </c>
      <c r="C3849" s="14" t="s">
        <v>7489</v>
      </c>
      <c r="D3849" s="14" t="s">
        <v>104</v>
      </c>
      <c r="E3849" s="14" t="s">
        <v>1231</v>
      </c>
      <c r="F3849" s="14">
        <v>121</v>
      </c>
      <c r="G3849" s="14">
        <v>60</v>
      </c>
      <c r="H3849" s="14" t="s">
        <v>1400</v>
      </c>
      <c r="I3849" s="14" t="s">
        <v>75</v>
      </c>
      <c r="J3849" s="14" t="s">
        <v>201</v>
      </c>
      <c r="K3849" s="14">
        <v>1</v>
      </c>
      <c r="L3849" s="14" t="s">
        <v>1400</v>
      </c>
      <c r="N3849" s="14">
        <v>0</v>
      </c>
      <c r="O3849" s="14" t="b">
        <v>1</v>
      </c>
      <c r="Q3849" s="14" t="b">
        <v>0</v>
      </c>
      <c r="R3849" s="14">
        <v>1</v>
      </c>
      <c r="S3849" s="14" t="s">
        <v>77</v>
      </c>
      <c r="T3849" s="14">
        <v>999</v>
      </c>
      <c r="U3849" s="14" t="s">
        <v>1401</v>
      </c>
      <c r="V3849" s="14">
        <v>31948121</v>
      </c>
      <c r="X3849" s="14" t="s">
        <v>7492</v>
      </c>
      <c r="Y3849" s="14" t="s">
        <v>215</v>
      </c>
      <c r="Z3849" s="14">
        <v>22612</v>
      </c>
      <c r="AA3849" s="14" t="s">
        <v>7493</v>
      </c>
      <c r="AB3849" s="14">
        <v>40001</v>
      </c>
      <c r="AE3849" s="14" t="s">
        <v>1400</v>
      </c>
      <c r="AF3849" s="14" t="s">
        <v>1400</v>
      </c>
      <c r="AG3849" s="14" t="s">
        <v>1231</v>
      </c>
    </row>
    <row r="3850" spans="2:33">
      <c r="B3850" s="14">
        <f>10000000+INDEX(编号表!$B:$B,MATCH(H3850,编号表!$A:$A,0))*100000+INDEX(编号表!$F:$F,MATCH(D3850,编号表!$E:$E,0))*10000+INDEX(编号表!$D:$D,MATCH(AG3850,编号表!$C:$C,0))*1000+F3850</f>
        <v>11958122</v>
      </c>
      <c r="C3850" s="14" t="s">
        <v>7489</v>
      </c>
      <c r="D3850" s="14" t="s">
        <v>333</v>
      </c>
      <c r="E3850" s="14" t="s">
        <v>1231</v>
      </c>
      <c r="F3850" s="14">
        <v>122</v>
      </c>
      <c r="G3850" s="14">
        <v>60</v>
      </c>
      <c r="H3850" s="14" t="s">
        <v>1400</v>
      </c>
      <c r="I3850" s="14" t="s">
        <v>75</v>
      </c>
      <c r="J3850" s="14" t="s">
        <v>201</v>
      </c>
      <c r="K3850" s="14">
        <v>1</v>
      </c>
      <c r="L3850" s="14" t="s">
        <v>1400</v>
      </c>
      <c r="N3850" s="14">
        <v>0</v>
      </c>
      <c r="O3850" s="14" t="b">
        <v>1</v>
      </c>
      <c r="Q3850" s="14" t="b">
        <v>0</v>
      </c>
      <c r="R3850" s="14">
        <v>1</v>
      </c>
      <c r="S3850" s="14" t="s">
        <v>77</v>
      </c>
      <c r="T3850" s="14">
        <v>999</v>
      </c>
      <c r="U3850" s="14" t="s">
        <v>1401</v>
      </c>
      <c r="V3850" s="14">
        <v>31958122</v>
      </c>
      <c r="X3850" s="14" t="s">
        <v>7494</v>
      </c>
      <c r="Y3850" s="14" t="s">
        <v>215</v>
      </c>
      <c r="Z3850" s="14">
        <v>22613</v>
      </c>
      <c r="AA3850" s="14" t="s">
        <v>7495</v>
      </c>
      <c r="AB3850" s="14">
        <v>40001</v>
      </c>
      <c r="AE3850" s="14" t="s">
        <v>1400</v>
      </c>
      <c r="AF3850" s="14" t="s">
        <v>1400</v>
      </c>
      <c r="AG3850" s="14" t="s">
        <v>1231</v>
      </c>
    </row>
    <row r="3851" spans="2:33">
      <c r="B3851" s="14">
        <f>10000000+INDEX(编号表!$B:$B,MATCH(H3851,编号表!$A:$A,0))*100000+INDEX(编号表!$F:$F,MATCH(D3851,编号表!$E:$E,0))*10000+INDEX(编号表!$D:$D,MATCH(AG3851,编号表!$C:$C,0))*1000+F3851</f>
        <v>11938121</v>
      </c>
      <c r="C3851" s="14" t="s">
        <v>7496</v>
      </c>
      <c r="D3851" s="14" t="s">
        <v>276</v>
      </c>
      <c r="E3851" s="14" t="s">
        <v>1231</v>
      </c>
      <c r="F3851" s="14">
        <v>121</v>
      </c>
      <c r="G3851" s="14">
        <v>60</v>
      </c>
      <c r="H3851" s="14" t="s">
        <v>1400</v>
      </c>
      <c r="I3851" s="14" t="s">
        <v>75</v>
      </c>
      <c r="J3851" s="14" t="s">
        <v>201</v>
      </c>
      <c r="K3851" s="14">
        <v>1</v>
      </c>
      <c r="L3851" s="14" t="s">
        <v>1400</v>
      </c>
      <c r="N3851" s="14">
        <v>0</v>
      </c>
      <c r="O3851" s="14" t="b">
        <v>1</v>
      </c>
      <c r="Q3851" s="14" t="b">
        <v>0</v>
      </c>
      <c r="R3851" s="14">
        <v>1</v>
      </c>
      <c r="S3851" s="14" t="s">
        <v>77</v>
      </c>
      <c r="T3851" s="14">
        <v>999</v>
      </c>
      <c r="U3851" s="14" t="s">
        <v>1401</v>
      </c>
      <c r="V3851" s="14">
        <v>31938121</v>
      </c>
      <c r="X3851" s="14" t="s">
        <v>7497</v>
      </c>
      <c r="Y3851" s="14" t="s">
        <v>215</v>
      </c>
      <c r="Z3851" s="14">
        <v>22614</v>
      </c>
      <c r="AA3851" s="14" t="s">
        <v>7498</v>
      </c>
      <c r="AB3851" s="14">
        <v>40001</v>
      </c>
      <c r="AE3851" s="14" t="s">
        <v>1400</v>
      </c>
      <c r="AF3851" s="14" t="s">
        <v>1400</v>
      </c>
      <c r="AG3851" s="14" t="s">
        <v>1231</v>
      </c>
    </row>
    <row r="3852" spans="2:33">
      <c r="B3852" s="14">
        <f>10000000+INDEX(编号表!$B:$B,MATCH(H3852,编号表!$A:$A,0))*100000+INDEX(编号表!$F:$F,MATCH(D3852,编号表!$E:$E,0))*10000+INDEX(编号表!$D:$D,MATCH(AG3852,编号表!$C:$C,0))*1000+F3852</f>
        <v>11948122</v>
      </c>
      <c r="C3852" s="14" t="s">
        <v>7496</v>
      </c>
      <c r="D3852" s="14" t="s">
        <v>104</v>
      </c>
      <c r="E3852" s="14" t="s">
        <v>1231</v>
      </c>
      <c r="F3852" s="14">
        <v>122</v>
      </c>
      <c r="G3852" s="14">
        <v>60</v>
      </c>
      <c r="H3852" s="14" t="s">
        <v>1400</v>
      </c>
      <c r="I3852" s="14" t="s">
        <v>75</v>
      </c>
      <c r="J3852" s="14" t="s">
        <v>201</v>
      </c>
      <c r="K3852" s="14">
        <v>1</v>
      </c>
      <c r="L3852" s="14" t="s">
        <v>1400</v>
      </c>
      <c r="N3852" s="14">
        <v>0</v>
      </c>
      <c r="O3852" s="14" t="b">
        <v>1</v>
      </c>
      <c r="Q3852" s="14" t="b">
        <v>0</v>
      </c>
      <c r="R3852" s="14">
        <v>1</v>
      </c>
      <c r="S3852" s="14" t="s">
        <v>77</v>
      </c>
      <c r="T3852" s="14">
        <v>999</v>
      </c>
      <c r="U3852" s="14" t="s">
        <v>1401</v>
      </c>
      <c r="V3852" s="14">
        <v>31948122</v>
      </c>
      <c r="X3852" s="14" t="s">
        <v>7499</v>
      </c>
      <c r="Y3852" s="14" t="s">
        <v>215</v>
      </c>
      <c r="Z3852" s="14">
        <v>22615</v>
      </c>
      <c r="AA3852" s="14" t="s">
        <v>7500</v>
      </c>
      <c r="AB3852" s="14">
        <v>40001</v>
      </c>
      <c r="AE3852" s="14" t="s">
        <v>1400</v>
      </c>
      <c r="AF3852" s="14" t="s">
        <v>1400</v>
      </c>
      <c r="AG3852" s="14" t="s">
        <v>1231</v>
      </c>
    </row>
    <row r="3853" spans="2:33">
      <c r="B3853" s="14">
        <f>10000000+INDEX(编号表!$B:$B,MATCH(H3853,编号表!$A:$A,0))*100000+INDEX(编号表!$F:$F,MATCH(D3853,编号表!$E:$E,0))*10000+INDEX(编号表!$D:$D,MATCH(AG3853,编号表!$C:$C,0))*1000+F3853</f>
        <v>11958123</v>
      </c>
      <c r="C3853" s="14" t="s">
        <v>7496</v>
      </c>
      <c r="D3853" s="14" t="s">
        <v>333</v>
      </c>
      <c r="E3853" s="14" t="s">
        <v>1231</v>
      </c>
      <c r="F3853" s="14">
        <v>123</v>
      </c>
      <c r="G3853" s="14">
        <v>60</v>
      </c>
      <c r="H3853" s="14" t="s">
        <v>1400</v>
      </c>
      <c r="I3853" s="14" t="s">
        <v>75</v>
      </c>
      <c r="J3853" s="14" t="s">
        <v>201</v>
      </c>
      <c r="K3853" s="14">
        <v>1</v>
      </c>
      <c r="L3853" s="14" t="s">
        <v>1400</v>
      </c>
      <c r="N3853" s="14">
        <v>0</v>
      </c>
      <c r="O3853" s="14" t="b">
        <v>1</v>
      </c>
      <c r="Q3853" s="14" t="b">
        <v>0</v>
      </c>
      <c r="R3853" s="14">
        <v>1</v>
      </c>
      <c r="S3853" s="14" t="s">
        <v>77</v>
      </c>
      <c r="T3853" s="14">
        <v>999</v>
      </c>
      <c r="U3853" s="14" t="s">
        <v>1401</v>
      </c>
      <c r="V3853" s="14">
        <v>31958123</v>
      </c>
      <c r="X3853" s="14" t="s">
        <v>7501</v>
      </c>
      <c r="Y3853" s="14" t="s">
        <v>215</v>
      </c>
      <c r="Z3853" s="14">
        <v>22616</v>
      </c>
      <c r="AA3853" s="14" t="s">
        <v>7502</v>
      </c>
      <c r="AB3853" s="14">
        <v>40001</v>
      </c>
      <c r="AE3853" s="14" t="s">
        <v>1400</v>
      </c>
      <c r="AF3853" s="14" t="s">
        <v>1400</v>
      </c>
      <c r="AG3853" s="14" t="s">
        <v>1231</v>
      </c>
    </row>
    <row r="3854" spans="2:33">
      <c r="B3854" s="14">
        <f>10000000+INDEX(编号表!$B:$B,MATCH(H3854,编号表!$A:$A,0))*100000+INDEX(编号表!$F:$F,MATCH(D3854,编号表!$E:$E,0))*10000+INDEX(编号表!$D:$D,MATCH(AG3854,编号表!$C:$C,0))*1000+F3854</f>
        <v>11938122</v>
      </c>
      <c r="C3854" s="14" t="s">
        <v>7503</v>
      </c>
      <c r="D3854" s="14" t="s">
        <v>276</v>
      </c>
      <c r="E3854" s="14" t="s">
        <v>1231</v>
      </c>
      <c r="F3854" s="14">
        <v>122</v>
      </c>
      <c r="G3854" s="14">
        <v>60</v>
      </c>
      <c r="H3854" s="14" t="s">
        <v>1400</v>
      </c>
      <c r="I3854" s="14" t="s">
        <v>75</v>
      </c>
      <c r="J3854" s="14" t="s">
        <v>201</v>
      </c>
      <c r="K3854" s="14">
        <v>1</v>
      </c>
      <c r="L3854" s="14" t="s">
        <v>1400</v>
      </c>
      <c r="N3854" s="14">
        <v>0</v>
      </c>
      <c r="O3854" s="14" t="b">
        <v>1</v>
      </c>
      <c r="Q3854" s="14" t="b">
        <v>0</v>
      </c>
      <c r="R3854" s="14">
        <v>1</v>
      </c>
      <c r="S3854" s="14" t="s">
        <v>77</v>
      </c>
      <c r="T3854" s="14">
        <v>999</v>
      </c>
      <c r="U3854" s="14" t="s">
        <v>1401</v>
      </c>
      <c r="V3854" s="14">
        <v>31938122</v>
      </c>
      <c r="X3854" s="14" t="s">
        <v>7504</v>
      </c>
      <c r="Y3854" s="14" t="s">
        <v>215</v>
      </c>
      <c r="Z3854" s="14">
        <v>22617</v>
      </c>
      <c r="AA3854" s="14" t="s">
        <v>7505</v>
      </c>
      <c r="AB3854" s="14">
        <v>40001</v>
      </c>
      <c r="AE3854" s="14" t="s">
        <v>1400</v>
      </c>
      <c r="AF3854" s="14" t="s">
        <v>1400</v>
      </c>
      <c r="AG3854" s="14" t="s">
        <v>1231</v>
      </c>
    </row>
    <row r="3855" spans="2:33">
      <c r="B3855" s="14">
        <f>10000000+INDEX(编号表!$B:$B,MATCH(H3855,编号表!$A:$A,0))*100000+INDEX(编号表!$F:$F,MATCH(D3855,编号表!$E:$E,0))*10000+INDEX(编号表!$D:$D,MATCH(AG3855,编号表!$C:$C,0))*1000+F3855</f>
        <v>11948123</v>
      </c>
      <c r="C3855" s="14" t="s">
        <v>7503</v>
      </c>
      <c r="D3855" s="14" t="s">
        <v>104</v>
      </c>
      <c r="E3855" s="14" t="s">
        <v>1231</v>
      </c>
      <c r="F3855" s="14">
        <v>123</v>
      </c>
      <c r="G3855" s="14">
        <v>60</v>
      </c>
      <c r="H3855" s="14" t="s">
        <v>1400</v>
      </c>
      <c r="I3855" s="14" t="s">
        <v>75</v>
      </c>
      <c r="J3855" s="14" t="s">
        <v>201</v>
      </c>
      <c r="K3855" s="14">
        <v>1</v>
      </c>
      <c r="L3855" s="14" t="s">
        <v>1400</v>
      </c>
      <c r="N3855" s="14">
        <v>0</v>
      </c>
      <c r="O3855" s="14" t="b">
        <v>1</v>
      </c>
      <c r="Q3855" s="14" t="b">
        <v>0</v>
      </c>
      <c r="R3855" s="14">
        <v>1</v>
      </c>
      <c r="S3855" s="14" t="s">
        <v>77</v>
      </c>
      <c r="T3855" s="14">
        <v>999</v>
      </c>
      <c r="U3855" s="14" t="s">
        <v>1401</v>
      </c>
      <c r="V3855" s="14">
        <v>31948123</v>
      </c>
      <c r="X3855" s="14" t="s">
        <v>7506</v>
      </c>
      <c r="Y3855" s="14" t="s">
        <v>215</v>
      </c>
      <c r="Z3855" s="14">
        <v>22618</v>
      </c>
      <c r="AA3855" s="14" t="s">
        <v>7507</v>
      </c>
      <c r="AB3855" s="14">
        <v>40001</v>
      </c>
      <c r="AE3855" s="14" t="s">
        <v>1400</v>
      </c>
      <c r="AF3855" s="14" t="s">
        <v>1400</v>
      </c>
      <c r="AG3855" s="14" t="s">
        <v>1231</v>
      </c>
    </row>
    <row r="3856" spans="2:33">
      <c r="B3856" s="14">
        <f>10000000+INDEX(编号表!$B:$B,MATCH(H3856,编号表!$A:$A,0))*100000+INDEX(编号表!$F:$F,MATCH(D3856,编号表!$E:$E,0))*10000+INDEX(编号表!$D:$D,MATCH(AG3856,编号表!$C:$C,0))*1000+F3856</f>
        <v>11958124</v>
      </c>
      <c r="C3856" s="14" t="s">
        <v>7503</v>
      </c>
      <c r="D3856" s="14" t="s">
        <v>333</v>
      </c>
      <c r="E3856" s="14" t="s">
        <v>1231</v>
      </c>
      <c r="F3856" s="14">
        <v>124</v>
      </c>
      <c r="G3856" s="14">
        <v>60</v>
      </c>
      <c r="H3856" s="14" t="s">
        <v>1400</v>
      </c>
      <c r="I3856" s="14" t="s">
        <v>75</v>
      </c>
      <c r="J3856" s="14" t="s">
        <v>201</v>
      </c>
      <c r="K3856" s="14">
        <v>1</v>
      </c>
      <c r="L3856" s="14" t="s">
        <v>1400</v>
      </c>
      <c r="N3856" s="14">
        <v>0</v>
      </c>
      <c r="O3856" s="14" t="b">
        <v>1</v>
      </c>
      <c r="Q3856" s="14" t="b">
        <v>0</v>
      </c>
      <c r="R3856" s="14">
        <v>1</v>
      </c>
      <c r="S3856" s="14" t="s">
        <v>77</v>
      </c>
      <c r="T3856" s="14">
        <v>999</v>
      </c>
      <c r="U3856" s="14" t="s">
        <v>1401</v>
      </c>
      <c r="V3856" s="14">
        <v>31958124</v>
      </c>
      <c r="X3856" s="14" t="s">
        <v>7508</v>
      </c>
      <c r="Y3856" s="14" t="s">
        <v>215</v>
      </c>
      <c r="Z3856" s="14">
        <v>22619</v>
      </c>
      <c r="AA3856" s="14" t="s">
        <v>7509</v>
      </c>
      <c r="AB3856" s="14">
        <v>40001</v>
      </c>
      <c r="AE3856" s="14" t="s">
        <v>1400</v>
      </c>
      <c r="AF3856" s="14" t="s">
        <v>1400</v>
      </c>
      <c r="AG3856" s="14" t="s">
        <v>1231</v>
      </c>
    </row>
    <row r="3857" spans="2:33">
      <c r="B3857" s="14">
        <f>10000000+INDEX(编号表!$B:$B,MATCH(H3857,编号表!$A:$A,0))*100000+INDEX(编号表!$F:$F,MATCH(D3857,编号表!$E:$E,0))*10000+INDEX(编号表!$D:$D,MATCH(AG3857,编号表!$C:$C,0))*1000+F3857</f>
        <v>11938123</v>
      </c>
      <c r="C3857" s="14" t="s">
        <v>7510</v>
      </c>
      <c r="D3857" s="14" t="s">
        <v>276</v>
      </c>
      <c r="E3857" s="14" t="s">
        <v>1231</v>
      </c>
      <c r="F3857" s="14">
        <v>123</v>
      </c>
      <c r="G3857" s="14">
        <v>60</v>
      </c>
      <c r="H3857" s="14" t="s">
        <v>1400</v>
      </c>
      <c r="I3857" s="14" t="s">
        <v>75</v>
      </c>
      <c r="J3857" s="14" t="s">
        <v>201</v>
      </c>
      <c r="K3857" s="14">
        <v>1</v>
      </c>
      <c r="L3857" s="14" t="s">
        <v>1400</v>
      </c>
      <c r="N3857" s="14">
        <v>0</v>
      </c>
      <c r="O3857" s="14" t="b">
        <v>1</v>
      </c>
      <c r="Q3857" s="14" t="b">
        <v>0</v>
      </c>
      <c r="R3857" s="14">
        <v>1</v>
      </c>
      <c r="S3857" s="14" t="s">
        <v>77</v>
      </c>
      <c r="T3857" s="14">
        <v>999</v>
      </c>
      <c r="U3857" s="14" t="s">
        <v>1401</v>
      </c>
      <c r="V3857" s="14">
        <v>31938123</v>
      </c>
      <c r="X3857" s="14" t="s">
        <v>7511</v>
      </c>
      <c r="Y3857" s="14" t="s">
        <v>215</v>
      </c>
      <c r="Z3857" s="14">
        <v>22620</v>
      </c>
      <c r="AA3857" s="14" t="s">
        <v>7512</v>
      </c>
      <c r="AB3857" s="14">
        <v>40001</v>
      </c>
      <c r="AE3857" s="14" t="s">
        <v>1400</v>
      </c>
      <c r="AF3857" s="14" t="s">
        <v>1400</v>
      </c>
      <c r="AG3857" s="14" t="s">
        <v>1231</v>
      </c>
    </row>
    <row r="3858" spans="2:33">
      <c r="B3858" s="14">
        <f>10000000+INDEX(编号表!$B:$B,MATCH(H3858,编号表!$A:$A,0))*100000+INDEX(编号表!$F:$F,MATCH(D3858,编号表!$E:$E,0))*10000+INDEX(编号表!$D:$D,MATCH(AG3858,编号表!$C:$C,0))*1000+F3858</f>
        <v>11948124</v>
      </c>
      <c r="C3858" s="14" t="s">
        <v>7510</v>
      </c>
      <c r="D3858" s="14" t="s">
        <v>104</v>
      </c>
      <c r="E3858" s="14" t="s">
        <v>1231</v>
      </c>
      <c r="F3858" s="14">
        <v>124</v>
      </c>
      <c r="G3858" s="14">
        <v>60</v>
      </c>
      <c r="H3858" s="14" t="s">
        <v>1400</v>
      </c>
      <c r="I3858" s="14" t="s">
        <v>75</v>
      </c>
      <c r="J3858" s="14" t="s">
        <v>201</v>
      </c>
      <c r="K3858" s="14">
        <v>1</v>
      </c>
      <c r="L3858" s="14" t="s">
        <v>1400</v>
      </c>
      <c r="N3858" s="14">
        <v>0</v>
      </c>
      <c r="O3858" s="14" t="b">
        <v>1</v>
      </c>
      <c r="Q3858" s="14" t="b">
        <v>0</v>
      </c>
      <c r="R3858" s="14">
        <v>1</v>
      </c>
      <c r="S3858" s="14" t="s">
        <v>77</v>
      </c>
      <c r="T3858" s="14">
        <v>999</v>
      </c>
      <c r="U3858" s="14" t="s">
        <v>1401</v>
      </c>
      <c r="V3858" s="14">
        <v>31948124</v>
      </c>
      <c r="X3858" s="14" t="s">
        <v>7513</v>
      </c>
      <c r="Y3858" s="14" t="s">
        <v>215</v>
      </c>
      <c r="Z3858" s="14">
        <v>22621</v>
      </c>
      <c r="AA3858" s="14" t="s">
        <v>7514</v>
      </c>
      <c r="AB3858" s="14">
        <v>40001</v>
      </c>
      <c r="AE3858" s="14" t="s">
        <v>1400</v>
      </c>
      <c r="AF3858" s="14" t="s">
        <v>1400</v>
      </c>
      <c r="AG3858" s="14" t="s">
        <v>1231</v>
      </c>
    </row>
    <row r="3859" spans="2:33">
      <c r="B3859" s="14">
        <f>10000000+INDEX(编号表!$B:$B,MATCH(H3859,编号表!$A:$A,0))*100000+INDEX(编号表!$F:$F,MATCH(D3859,编号表!$E:$E,0))*10000+INDEX(编号表!$D:$D,MATCH(AG3859,编号表!$C:$C,0))*1000+F3859</f>
        <v>11958125</v>
      </c>
      <c r="C3859" s="14" t="s">
        <v>7510</v>
      </c>
      <c r="D3859" s="14" t="s">
        <v>333</v>
      </c>
      <c r="E3859" s="14" t="s">
        <v>1231</v>
      </c>
      <c r="F3859" s="14">
        <v>125</v>
      </c>
      <c r="G3859" s="14">
        <v>60</v>
      </c>
      <c r="H3859" s="14" t="s">
        <v>1400</v>
      </c>
      <c r="I3859" s="14" t="s">
        <v>75</v>
      </c>
      <c r="J3859" s="14" t="s">
        <v>201</v>
      </c>
      <c r="K3859" s="14">
        <v>1</v>
      </c>
      <c r="L3859" s="14" t="s">
        <v>1400</v>
      </c>
      <c r="N3859" s="14">
        <v>0</v>
      </c>
      <c r="O3859" s="14" t="b">
        <v>1</v>
      </c>
      <c r="Q3859" s="14" t="b">
        <v>0</v>
      </c>
      <c r="R3859" s="14">
        <v>1</v>
      </c>
      <c r="S3859" s="14" t="s">
        <v>77</v>
      </c>
      <c r="T3859" s="14">
        <v>999</v>
      </c>
      <c r="U3859" s="14" t="s">
        <v>1401</v>
      </c>
      <c r="V3859" s="14">
        <v>31958125</v>
      </c>
      <c r="X3859" s="14" t="s">
        <v>7515</v>
      </c>
      <c r="Y3859" s="14" t="s">
        <v>215</v>
      </c>
      <c r="Z3859" s="14">
        <v>22622</v>
      </c>
      <c r="AA3859" s="14" t="s">
        <v>7516</v>
      </c>
      <c r="AB3859" s="14">
        <v>40001</v>
      </c>
      <c r="AE3859" s="14" t="s">
        <v>1400</v>
      </c>
      <c r="AF3859" s="14" t="s">
        <v>1400</v>
      </c>
      <c r="AG3859" s="14" t="s">
        <v>1231</v>
      </c>
    </row>
    <row r="3860" spans="2:33">
      <c r="B3860" s="14">
        <f>10000000+INDEX(编号表!$B:$B,MATCH(H3860,编号表!$A:$A,0))*100000+INDEX(编号表!$F:$F,MATCH(D3860,编号表!$E:$E,0))*10000+INDEX(编号表!$D:$D,MATCH(AG3860,编号表!$C:$C,0))*1000+F3860</f>
        <v>11938124</v>
      </c>
      <c r="C3860" s="14" t="s">
        <v>7517</v>
      </c>
      <c r="D3860" s="14" t="s">
        <v>276</v>
      </c>
      <c r="E3860" s="14" t="s">
        <v>1231</v>
      </c>
      <c r="F3860" s="14">
        <v>124</v>
      </c>
      <c r="G3860" s="14">
        <v>60</v>
      </c>
      <c r="H3860" s="14" t="s">
        <v>1400</v>
      </c>
      <c r="I3860" s="14" t="s">
        <v>75</v>
      </c>
      <c r="J3860" s="14" t="s">
        <v>201</v>
      </c>
      <c r="K3860" s="14">
        <v>1</v>
      </c>
      <c r="L3860" s="14" t="s">
        <v>1400</v>
      </c>
      <c r="N3860" s="14">
        <v>0</v>
      </c>
      <c r="O3860" s="14" t="b">
        <v>1</v>
      </c>
      <c r="Q3860" s="14" t="b">
        <v>0</v>
      </c>
      <c r="R3860" s="14">
        <v>1</v>
      </c>
      <c r="S3860" s="14" t="s">
        <v>77</v>
      </c>
      <c r="T3860" s="14">
        <v>999</v>
      </c>
      <c r="U3860" s="14" t="s">
        <v>1401</v>
      </c>
      <c r="V3860" s="14">
        <v>31938124</v>
      </c>
      <c r="X3860" s="14" t="s">
        <v>7518</v>
      </c>
      <c r="Y3860" s="14" t="s">
        <v>215</v>
      </c>
      <c r="Z3860" s="14">
        <v>22623</v>
      </c>
      <c r="AA3860" s="14" t="s">
        <v>7519</v>
      </c>
      <c r="AB3860" s="14">
        <v>40001</v>
      </c>
      <c r="AE3860" s="14" t="s">
        <v>1400</v>
      </c>
      <c r="AF3860" s="14" t="s">
        <v>1400</v>
      </c>
      <c r="AG3860" s="14" t="s">
        <v>1231</v>
      </c>
    </row>
    <row r="3861" spans="2:33">
      <c r="B3861" s="14">
        <f>10000000+INDEX(编号表!$B:$B,MATCH(H3861,编号表!$A:$A,0))*100000+INDEX(编号表!$F:$F,MATCH(D3861,编号表!$E:$E,0))*10000+INDEX(编号表!$D:$D,MATCH(AG3861,编号表!$C:$C,0))*1000+F3861</f>
        <v>11948125</v>
      </c>
      <c r="C3861" s="14" t="s">
        <v>7517</v>
      </c>
      <c r="D3861" s="14" t="s">
        <v>104</v>
      </c>
      <c r="E3861" s="14" t="s">
        <v>1231</v>
      </c>
      <c r="F3861" s="14">
        <v>125</v>
      </c>
      <c r="G3861" s="14">
        <v>60</v>
      </c>
      <c r="H3861" s="14" t="s">
        <v>1400</v>
      </c>
      <c r="I3861" s="14" t="s">
        <v>75</v>
      </c>
      <c r="J3861" s="14" t="s">
        <v>201</v>
      </c>
      <c r="K3861" s="14">
        <v>1</v>
      </c>
      <c r="L3861" s="14" t="s">
        <v>1400</v>
      </c>
      <c r="N3861" s="14">
        <v>0</v>
      </c>
      <c r="O3861" s="14" t="b">
        <v>1</v>
      </c>
      <c r="Q3861" s="14" t="b">
        <v>0</v>
      </c>
      <c r="R3861" s="14">
        <v>1</v>
      </c>
      <c r="S3861" s="14" t="s">
        <v>77</v>
      </c>
      <c r="T3861" s="14">
        <v>999</v>
      </c>
      <c r="U3861" s="14" t="s">
        <v>1401</v>
      </c>
      <c r="V3861" s="14">
        <v>31948125</v>
      </c>
      <c r="X3861" s="14" t="s">
        <v>7520</v>
      </c>
      <c r="Y3861" s="14" t="s">
        <v>215</v>
      </c>
      <c r="Z3861" s="14">
        <v>22624</v>
      </c>
      <c r="AA3861" s="14" t="s">
        <v>7521</v>
      </c>
      <c r="AB3861" s="14">
        <v>40001</v>
      </c>
      <c r="AE3861" s="14" t="s">
        <v>1400</v>
      </c>
      <c r="AF3861" s="14" t="s">
        <v>1400</v>
      </c>
      <c r="AG3861" s="14" t="s">
        <v>1231</v>
      </c>
    </row>
    <row r="3862" spans="2:33">
      <c r="B3862" s="14">
        <f>10000000+INDEX(编号表!$B:$B,MATCH(H3862,编号表!$A:$A,0))*100000+INDEX(编号表!$F:$F,MATCH(D3862,编号表!$E:$E,0))*10000+INDEX(编号表!$D:$D,MATCH(AG3862,编号表!$C:$C,0))*1000+F3862</f>
        <v>11958126</v>
      </c>
      <c r="C3862" s="14" t="s">
        <v>7517</v>
      </c>
      <c r="D3862" s="14" t="s">
        <v>333</v>
      </c>
      <c r="E3862" s="14" t="s">
        <v>1231</v>
      </c>
      <c r="F3862" s="14">
        <v>126</v>
      </c>
      <c r="G3862" s="14">
        <v>60</v>
      </c>
      <c r="H3862" s="14" t="s">
        <v>1400</v>
      </c>
      <c r="I3862" s="14" t="s">
        <v>75</v>
      </c>
      <c r="J3862" s="14" t="s">
        <v>201</v>
      </c>
      <c r="K3862" s="14">
        <v>1</v>
      </c>
      <c r="L3862" s="14" t="s">
        <v>1400</v>
      </c>
      <c r="N3862" s="14">
        <v>0</v>
      </c>
      <c r="O3862" s="14" t="b">
        <v>1</v>
      </c>
      <c r="Q3862" s="14" t="b">
        <v>0</v>
      </c>
      <c r="R3862" s="14">
        <v>1</v>
      </c>
      <c r="S3862" s="14" t="s">
        <v>77</v>
      </c>
      <c r="T3862" s="14">
        <v>999</v>
      </c>
      <c r="U3862" s="14" t="s">
        <v>1401</v>
      </c>
      <c r="V3862" s="14">
        <v>31958126</v>
      </c>
      <c r="X3862" s="14" t="s">
        <v>7522</v>
      </c>
      <c r="Y3862" s="14" t="s">
        <v>215</v>
      </c>
      <c r="Z3862" s="14">
        <v>22625</v>
      </c>
      <c r="AA3862" s="14" t="s">
        <v>7523</v>
      </c>
      <c r="AB3862" s="14">
        <v>40001</v>
      </c>
      <c r="AE3862" s="14" t="s">
        <v>1400</v>
      </c>
      <c r="AF3862" s="14" t="s">
        <v>1400</v>
      </c>
      <c r="AG3862" s="14" t="s">
        <v>1231</v>
      </c>
    </row>
    <row r="3863" spans="2:33">
      <c r="B3863" s="14">
        <f>10000000+INDEX(编号表!$B:$B,MATCH(H3863,编号表!$A:$A,0))*100000+INDEX(编号表!$F:$F,MATCH(D3863,编号表!$E:$E,0))*10000+INDEX(编号表!$D:$D,MATCH(AG3863,编号表!$C:$C,0))*1000+F3863</f>
        <v>11812000</v>
      </c>
      <c r="C3863" t="s">
        <v>1399</v>
      </c>
      <c r="D3863" t="s">
        <v>72</v>
      </c>
      <c r="E3863" t="s">
        <v>86</v>
      </c>
      <c r="F3863">
        <v>0</v>
      </c>
      <c r="G3863">
        <v>60</v>
      </c>
      <c r="H3863" t="s">
        <v>7524</v>
      </c>
      <c r="I3863" t="s">
        <v>75</v>
      </c>
      <c r="J3863" t="s">
        <v>201</v>
      </c>
      <c r="K3863">
        <v>1</v>
      </c>
      <c r="L3863" t="s">
        <v>7524</v>
      </c>
      <c r="M3863"/>
      <c r="N3863">
        <v>0</v>
      </c>
      <c r="O3863" t="b">
        <v>1</v>
      </c>
      <c r="P3863"/>
      <c r="Q3863" t="b">
        <v>0</v>
      </c>
      <c r="R3863">
        <v>1</v>
      </c>
      <c r="S3863" t="s">
        <v>77</v>
      </c>
      <c r="T3863">
        <v>999</v>
      </c>
      <c r="U3863" t="s">
        <v>7525</v>
      </c>
      <c r="V3863">
        <f>B3863+20000000</f>
        <v>31812000</v>
      </c>
      <c r="W3863"/>
      <c r="X3863" t="s">
        <v>204</v>
      </c>
      <c r="Y3863" t="s">
        <v>215</v>
      </c>
      <c r="Z3863">
        <v>20001</v>
      </c>
      <c r="AA3863" t="s">
        <v>205</v>
      </c>
      <c r="AB3863">
        <v>40001</v>
      </c>
      <c r="AC3863"/>
      <c r="AD3863"/>
      <c r="AE3863" t="s">
        <v>7524</v>
      </c>
      <c r="AF3863" t="s">
        <v>7524</v>
      </c>
      <c r="AG3863" t="s">
        <v>86</v>
      </c>
    </row>
    <row r="3864" spans="2:33">
      <c r="B3864" s="14">
        <f>10000000+INDEX(编号表!$B:$B,MATCH(H3864,编号表!$A:$A,0))*100000+INDEX(编号表!$F:$F,MATCH(D3864,编号表!$E:$E,0))*10000+INDEX(编号表!$D:$D,MATCH(AG3864,编号表!$C:$C,0))*1000+F3864</f>
        <v>11812001</v>
      </c>
      <c r="C3864" t="s">
        <v>1406</v>
      </c>
      <c r="D3864" t="s">
        <v>72</v>
      </c>
      <c r="E3864" t="s">
        <v>86</v>
      </c>
      <c r="F3864">
        <v>1</v>
      </c>
      <c r="G3864">
        <v>60</v>
      </c>
      <c r="H3864" t="s">
        <v>7524</v>
      </c>
      <c r="I3864" t="s">
        <v>75</v>
      </c>
      <c r="J3864" t="s">
        <v>201</v>
      </c>
      <c r="K3864">
        <v>1</v>
      </c>
      <c r="L3864" t="s">
        <v>7524</v>
      </c>
      <c r="M3864"/>
      <c r="N3864">
        <v>0</v>
      </c>
      <c r="O3864" t="b">
        <v>1</v>
      </c>
      <c r="P3864"/>
      <c r="Q3864" t="b">
        <v>0</v>
      </c>
      <c r="R3864">
        <v>1</v>
      </c>
      <c r="S3864" t="s">
        <v>77</v>
      </c>
      <c r="T3864">
        <v>999</v>
      </c>
      <c r="U3864" t="s">
        <v>7525</v>
      </c>
      <c r="V3864">
        <f t="shared" ref="V3864:V3927" si="0">B3864+20000000</f>
        <v>31812001</v>
      </c>
      <c r="W3864"/>
      <c r="X3864" t="s">
        <v>1407</v>
      </c>
      <c r="Y3864" t="s">
        <v>215</v>
      </c>
      <c r="Z3864">
        <v>20004</v>
      </c>
      <c r="AA3864" t="s">
        <v>1408</v>
      </c>
      <c r="AB3864">
        <v>40001</v>
      </c>
      <c r="AC3864"/>
      <c r="AD3864"/>
      <c r="AE3864" t="s">
        <v>7524</v>
      </c>
      <c r="AF3864" t="s">
        <v>7524</v>
      </c>
      <c r="AG3864" t="s">
        <v>86</v>
      </c>
    </row>
    <row r="3865" spans="2:33">
      <c r="B3865" s="14">
        <f>10000000+INDEX(编号表!$B:$B,MATCH(H3865,编号表!$A:$A,0))*100000+INDEX(编号表!$F:$F,MATCH(D3865,编号表!$E:$E,0))*10000+INDEX(编号表!$D:$D,MATCH(AG3865,编号表!$C:$C,0))*1000+F3865</f>
        <v>11812002</v>
      </c>
      <c r="C3865" t="s">
        <v>1413</v>
      </c>
      <c r="D3865" t="s">
        <v>72</v>
      </c>
      <c r="E3865" t="s">
        <v>86</v>
      </c>
      <c r="F3865">
        <v>2</v>
      </c>
      <c r="G3865">
        <v>60</v>
      </c>
      <c r="H3865" t="s">
        <v>7524</v>
      </c>
      <c r="I3865" t="s">
        <v>75</v>
      </c>
      <c r="J3865" t="s">
        <v>201</v>
      </c>
      <c r="K3865">
        <v>1</v>
      </c>
      <c r="L3865" t="s">
        <v>7524</v>
      </c>
      <c r="M3865"/>
      <c r="N3865">
        <v>0</v>
      </c>
      <c r="O3865" t="b">
        <v>1</v>
      </c>
      <c r="P3865"/>
      <c r="Q3865" t="b">
        <v>0</v>
      </c>
      <c r="R3865">
        <v>1</v>
      </c>
      <c r="S3865" t="s">
        <v>77</v>
      </c>
      <c r="T3865">
        <v>999</v>
      </c>
      <c r="U3865" t="s">
        <v>7525</v>
      </c>
      <c r="V3865">
        <f t="shared" si="0"/>
        <v>31812002</v>
      </c>
      <c r="W3865"/>
      <c r="X3865" t="s">
        <v>1414</v>
      </c>
      <c r="Y3865" t="s">
        <v>215</v>
      </c>
      <c r="Z3865">
        <v>20007</v>
      </c>
      <c r="AA3865" t="s">
        <v>1415</v>
      </c>
      <c r="AB3865">
        <v>40001</v>
      </c>
      <c r="AC3865"/>
      <c r="AD3865"/>
      <c r="AE3865" t="s">
        <v>7524</v>
      </c>
      <c r="AF3865" t="s">
        <v>7524</v>
      </c>
      <c r="AG3865" t="s">
        <v>86</v>
      </c>
    </row>
    <row r="3866" spans="2:33">
      <c r="B3866" s="14">
        <f>10000000+INDEX(编号表!$B:$B,MATCH(H3866,编号表!$A:$A,0))*100000+INDEX(编号表!$F:$F,MATCH(D3866,编号表!$E:$E,0))*10000+INDEX(编号表!$D:$D,MATCH(AG3866,编号表!$C:$C,0))*1000+F3866</f>
        <v>11812003</v>
      </c>
      <c r="C3866" t="s">
        <v>1420</v>
      </c>
      <c r="D3866" t="s">
        <v>72</v>
      </c>
      <c r="E3866" t="s">
        <v>86</v>
      </c>
      <c r="F3866">
        <v>3</v>
      </c>
      <c r="G3866">
        <v>60</v>
      </c>
      <c r="H3866" t="s">
        <v>7524</v>
      </c>
      <c r="I3866" t="s">
        <v>75</v>
      </c>
      <c r="J3866" t="s">
        <v>201</v>
      </c>
      <c r="K3866">
        <v>1</v>
      </c>
      <c r="L3866" t="s">
        <v>7524</v>
      </c>
      <c r="M3866"/>
      <c r="N3866">
        <v>0</v>
      </c>
      <c r="O3866" t="b">
        <v>1</v>
      </c>
      <c r="P3866"/>
      <c r="Q3866" t="b">
        <v>0</v>
      </c>
      <c r="R3866">
        <v>1</v>
      </c>
      <c r="S3866" t="s">
        <v>77</v>
      </c>
      <c r="T3866">
        <v>999</v>
      </c>
      <c r="U3866" t="s">
        <v>7525</v>
      </c>
      <c r="V3866">
        <f t="shared" si="0"/>
        <v>31812003</v>
      </c>
      <c r="W3866"/>
      <c r="X3866" t="s">
        <v>1421</v>
      </c>
      <c r="Y3866" t="s">
        <v>215</v>
      </c>
      <c r="Z3866">
        <v>20010</v>
      </c>
      <c r="AA3866" t="s">
        <v>1422</v>
      </c>
      <c r="AB3866">
        <v>40001</v>
      </c>
      <c r="AC3866"/>
      <c r="AD3866"/>
      <c r="AE3866" t="s">
        <v>7524</v>
      </c>
      <c r="AF3866" t="s">
        <v>7524</v>
      </c>
      <c r="AG3866" t="s">
        <v>86</v>
      </c>
    </row>
    <row r="3867" spans="2:33">
      <c r="B3867" s="14">
        <f>10000000+INDEX(编号表!$B:$B,MATCH(H3867,编号表!$A:$A,0))*100000+INDEX(编号表!$F:$F,MATCH(D3867,编号表!$E:$E,0))*10000+INDEX(编号表!$D:$D,MATCH(AG3867,编号表!$C:$C,0))*1000+F3867</f>
        <v>11812004</v>
      </c>
      <c r="C3867" t="s">
        <v>1427</v>
      </c>
      <c r="D3867" t="s">
        <v>72</v>
      </c>
      <c r="E3867" t="s">
        <v>86</v>
      </c>
      <c r="F3867">
        <v>4</v>
      </c>
      <c r="G3867">
        <v>60</v>
      </c>
      <c r="H3867" t="s">
        <v>7524</v>
      </c>
      <c r="I3867" t="s">
        <v>75</v>
      </c>
      <c r="J3867" t="s">
        <v>201</v>
      </c>
      <c r="K3867">
        <v>1</v>
      </c>
      <c r="L3867" t="s">
        <v>7524</v>
      </c>
      <c r="M3867"/>
      <c r="N3867">
        <v>0</v>
      </c>
      <c r="O3867" t="b">
        <v>1</v>
      </c>
      <c r="P3867"/>
      <c r="Q3867" t="b">
        <v>0</v>
      </c>
      <c r="R3867">
        <v>1</v>
      </c>
      <c r="S3867" t="s">
        <v>77</v>
      </c>
      <c r="T3867">
        <v>999</v>
      </c>
      <c r="U3867" t="s">
        <v>7525</v>
      </c>
      <c r="V3867">
        <f t="shared" si="0"/>
        <v>31812004</v>
      </c>
      <c r="W3867"/>
      <c r="X3867" t="s">
        <v>1428</v>
      </c>
      <c r="Y3867" t="s">
        <v>215</v>
      </c>
      <c r="Z3867">
        <v>20013</v>
      </c>
      <c r="AA3867" t="s">
        <v>1429</v>
      </c>
      <c r="AB3867">
        <v>40001</v>
      </c>
      <c r="AC3867"/>
      <c r="AD3867"/>
      <c r="AE3867" t="s">
        <v>7524</v>
      </c>
      <c r="AF3867" t="s">
        <v>7524</v>
      </c>
      <c r="AG3867" t="s">
        <v>86</v>
      </c>
    </row>
    <row r="3868" spans="2:33">
      <c r="B3868" s="14">
        <f>10000000+INDEX(编号表!$B:$B,MATCH(H3868,编号表!$A:$A,0))*100000+INDEX(编号表!$F:$F,MATCH(D3868,编号表!$E:$E,0))*10000+INDEX(编号表!$D:$D,MATCH(AG3868,编号表!$C:$C,0))*1000+F3868</f>
        <v>11812005</v>
      </c>
      <c r="C3868" t="s">
        <v>1434</v>
      </c>
      <c r="D3868" t="s">
        <v>72</v>
      </c>
      <c r="E3868" t="s">
        <v>86</v>
      </c>
      <c r="F3868">
        <v>5</v>
      </c>
      <c r="G3868">
        <v>60</v>
      </c>
      <c r="H3868" t="s">
        <v>7524</v>
      </c>
      <c r="I3868" t="s">
        <v>75</v>
      </c>
      <c r="J3868" t="s">
        <v>201</v>
      </c>
      <c r="K3868">
        <v>1</v>
      </c>
      <c r="L3868" t="s">
        <v>7524</v>
      </c>
      <c r="M3868"/>
      <c r="N3868">
        <v>0</v>
      </c>
      <c r="O3868" t="b">
        <v>1</v>
      </c>
      <c r="P3868"/>
      <c r="Q3868" t="b">
        <v>0</v>
      </c>
      <c r="R3868">
        <v>1</v>
      </c>
      <c r="S3868" t="s">
        <v>77</v>
      </c>
      <c r="T3868">
        <v>999</v>
      </c>
      <c r="U3868" t="s">
        <v>7525</v>
      </c>
      <c r="V3868">
        <f t="shared" si="0"/>
        <v>31812005</v>
      </c>
      <c r="W3868"/>
      <c r="X3868" t="s">
        <v>1435</v>
      </c>
      <c r="Y3868" t="s">
        <v>215</v>
      </c>
      <c r="Z3868">
        <v>20016</v>
      </c>
      <c r="AA3868" t="s">
        <v>1436</v>
      </c>
      <c r="AB3868">
        <v>40001</v>
      </c>
      <c r="AC3868"/>
      <c r="AD3868"/>
      <c r="AE3868" t="s">
        <v>7524</v>
      </c>
      <c r="AF3868" t="s">
        <v>7524</v>
      </c>
      <c r="AG3868" t="s">
        <v>86</v>
      </c>
    </row>
    <row r="3869" spans="2:33">
      <c r="B3869" s="14">
        <f>10000000+INDEX(编号表!$B:$B,MATCH(H3869,编号表!$A:$A,0))*100000+INDEX(编号表!$F:$F,MATCH(D3869,编号表!$E:$E,0))*10000+INDEX(编号表!$D:$D,MATCH(AG3869,编号表!$C:$C,0))*1000+F3869</f>
        <v>11812006</v>
      </c>
      <c r="C3869" t="s">
        <v>1441</v>
      </c>
      <c r="D3869" t="s">
        <v>72</v>
      </c>
      <c r="E3869" t="s">
        <v>86</v>
      </c>
      <c r="F3869">
        <v>6</v>
      </c>
      <c r="G3869">
        <v>60</v>
      </c>
      <c r="H3869" t="s">
        <v>7524</v>
      </c>
      <c r="I3869" t="s">
        <v>75</v>
      </c>
      <c r="J3869" t="s">
        <v>201</v>
      </c>
      <c r="K3869">
        <v>1</v>
      </c>
      <c r="L3869" t="s">
        <v>7524</v>
      </c>
      <c r="M3869"/>
      <c r="N3869">
        <v>0</v>
      </c>
      <c r="O3869" t="b">
        <v>1</v>
      </c>
      <c r="P3869"/>
      <c r="Q3869" t="b">
        <v>0</v>
      </c>
      <c r="R3869">
        <v>1</v>
      </c>
      <c r="S3869" t="s">
        <v>77</v>
      </c>
      <c r="T3869">
        <v>999</v>
      </c>
      <c r="U3869" t="s">
        <v>7525</v>
      </c>
      <c r="V3869">
        <f t="shared" si="0"/>
        <v>31812006</v>
      </c>
      <c r="W3869"/>
      <c r="X3869" t="s">
        <v>1442</v>
      </c>
      <c r="Y3869" t="s">
        <v>215</v>
      </c>
      <c r="Z3869">
        <v>20019</v>
      </c>
      <c r="AA3869" t="s">
        <v>1443</v>
      </c>
      <c r="AB3869">
        <v>40001</v>
      </c>
      <c r="AC3869"/>
      <c r="AD3869"/>
      <c r="AE3869" t="s">
        <v>7524</v>
      </c>
      <c r="AF3869" t="s">
        <v>7524</v>
      </c>
      <c r="AG3869" t="s">
        <v>86</v>
      </c>
    </row>
    <row r="3870" spans="2:33">
      <c r="B3870" s="14">
        <f>10000000+INDEX(编号表!$B:$B,MATCH(H3870,编号表!$A:$A,0))*100000+INDEX(编号表!$F:$F,MATCH(D3870,编号表!$E:$E,0))*10000+INDEX(编号表!$D:$D,MATCH(AG3870,编号表!$C:$C,0))*1000+F3870</f>
        <v>11812007</v>
      </c>
      <c r="C3870" t="s">
        <v>1448</v>
      </c>
      <c r="D3870" t="s">
        <v>72</v>
      </c>
      <c r="E3870" t="s">
        <v>86</v>
      </c>
      <c r="F3870">
        <v>7</v>
      </c>
      <c r="G3870">
        <v>60</v>
      </c>
      <c r="H3870" t="s">
        <v>7524</v>
      </c>
      <c r="I3870" t="s">
        <v>75</v>
      </c>
      <c r="J3870" t="s">
        <v>201</v>
      </c>
      <c r="K3870">
        <v>1</v>
      </c>
      <c r="L3870" t="s">
        <v>7524</v>
      </c>
      <c r="M3870"/>
      <c r="N3870">
        <v>0</v>
      </c>
      <c r="O3870" t="b">
        <v>1</v>
      </c>
      <c r="P3870"/>
      <c r="Q3870" t="b">
        <v>0</v>
      </c>
      <c r="R3870">
        <v>1</v>
      </c>
      <c r="S3870" t="s">
        <v>77</v>
      </c>
      <c r="T3870">
        <v>999</v>
      </c>
      <c r="U3870" t="s">
        <v>7525</v>
      </c>
      <c r="V3870">
        <f t="shared" si="0"/>
        <v>31812007</v>
      </c>
      <c r="W3870"/>
      <c r="X3870" t="s">
        <v>1449</v>
      </c>
      <c r="Y3870" t="s">
        <v>215</v>
      </c>
      <c r="Z3870">
        <v>20022</v>
      </c>
      <c r="AA3870" t="s">
        <v>1450</v>
      </c>
      <c r="AB3870">
        <v>40001</v>
      </c>
      <c r="AC3870"/>
      <c r="AD3870"/>
      <c r="AE3870" t="s">
        <v>7524</v>
      </c>
      <c r="AF3870" t="s">
        <v>7524</v>
      </c>
      <c r="AG3870" t="s">
        <v>86</v>
      </c>
    </row>
    <row r="3871" spans="2:33">
      <c r="B3871" s="14">
        <f>10000000+INDEX(编号表!$B:$B,MATCH(H3871,编号表!$A:$A,0))*100000+INDEX(编号表!$F:$F,MATCH(D3871,编号表!$E:$E,0))*10000+INDEX(编号表!$D:$D,MATCH(AG3871,编号表!$C:$C,0))*1000+F3871</f>
        <v>11812008</v>
      </c>
      <c r="C3871" t="s">
        <v>1455</v>
      </c>
      <c r="D3871" t="s">
        <v>72</v>
      </c>
      <c r="E3871" t="s">
        <v>86</v>
      </c>
      <c r="F3871">
        <v>8</v>
      </c>
      <c r="G3871">
        <v>60</v>
      </c>
      <c r="H3871" t="s">
        <v>7524</v>
      </c>
      <c r="I3871" t="s">
        <v>75</v>
      </c>
      <c r="J3871" t="s">
        <v>201</v>
      </c>
      <c r="K3871">
        <v>1</v>
      </c>
      <c r="L3871" t="s">
        <v>7524</v>
      </c>
      <c r="M3871"/>
      <c r="N3871">
        <v>0</v>
      </c>
      <c r="O3871" t="b">
        <v>1</v>
      </c>
      <c r="P3871"/>
      <c r="Q3871" t="b">
        <v>0</v>
      </c>
      <c r="R3871">
        <v>1</v>
      </c>
      <c r="S3871" t="s">
        <v>77</v>
      </c>
      <c r="T3871">
        <v>999</v>
      </c>
      <c r="U3871" t="s">
        <v>7525</v>
      </c>
      <c r="V3871">
        <f t="shared" si="0"/>
        <v>31812008</v>
      </c>
      <c r="W3871"/>
      <c r="X3871" t="s">
        <v>1456</v>
      </c>
      <c r="Y3871" t="s">
        <v>215</v>
      </c>
      <c r="Z3871">
        <v>20025</v>
      </c>
      <c r="AA3871" t="s">
        <v>1457</v>
      </c>
      <c r="AB3871">
        <v>40001</v>
      </c>
      <c r="AC3871"/>
      <c r="AD3871"/>
      <c r="AE3871" t="s">
        <v>7524</v>
      </c>
      <c r="AF3871" t="s">
        <v>7524</v>
      </c>
      <c r="AG3871" t="s">
        <v>86</v>
      </c>
    </row>
    <row r="3872" spans="2:33">
      <c r="B3872" s="14">
        <f>10000000+INDEX(编号表!$B:$B,MATCH(H3872,编号表!$A:$A,0))*100000+INDEX(编号表!$F:$F,MATCH(D3872,编号表!$E:$E,0))*10000+INDEX(编号表!$D:$D,MATCH(AG3872,编号表!$C:$C,0))*1000+F3872</f>
        <v>11812009</v>
      </c>
      <c r="C3872" t="s">
        <v>1462</v>
      </c>
      <c r="D3872" t="s">
        <v>72</v>
      </c>
      <c r="E3872" t="s">
        <v>86</v>
      </c>
      <c r="F3872">
        <v>9</v>
      </c>
      <c r="G3872">
        <v>60</v>
      </c>
      <c r="H3872" t="s">
        <v>7524</v>
      </c>
      <c r="I3872" t="s">
        <v>75</v>
      </c>
      <c r="J3872" t="s">
        <v>201</v>
      </c>
      <c r="K3872">
        <v>1</v>
      </c>
      <c r="L3872" t="s">
        <v>7524</v>
      </c>
      <c r="M3872"/>
      <c r="N3872">
        <v>0</v>
      </c>
      <c r="O3872" t="b">
        <v>1</v>
      </c>
      <c r="P3872"/>
      <c r="Q3872" t="b">
        <v>0</v>
      </c>
      <c r="R3872">
        <v>1</v>
      </c>
      <c r="S3872" t="s">
        <v>77</v>
      </c>
      <c r="T3872">
        <v>999</v>
      </c>
      <c r="U3872" t="s">
        <v>7525</v>
      </c>
      <c r="V3872">
        <f t="shared" si="0"/>
        <v>31812009</v>
      </c>
      <c r="W3872"/>
      <c r="X3872" t="s">
        <v>1463</v>
      </c>
      <c r="Y3872" t="s">
        <v>215</v>
      </c>
      <c r="Z3872">
        <v>20028</v>
      </c>
      <c r="AA3872" t="s">
        <v>1464</v>
      </c>
      <c r="AB3872">
        <v>40001</v>
      </c>
      <c r="AC3872"/>
      <c r="AD3872"/>
      <c r="AE3872" t="s">
        <v>7524</v>
      </c>
      <c r="AF3872" t="s">
        <v>7524</v>
      </c>
      <c r="AG3872" t="s">
        <v>86</v>
      </c>
    </row>
    <row r="3873" spans="2:33">
      <c r="B3873" s="14">
        <f>10000000+INDEX(编号表!$B:$B,MATCH(H3873,编号表!$A:$A,0))*100000+INDEX(编号表!$F:$F,MATCH(D3873,编号表!$E:$E,0))*10000+INDEX(编号表!$D:$D,MATCH(AG3873,编号表!$C:$C,0))*1000+F3873</f>
        <v>11812010</v>
      </c>
      <c r="C3873" t="s">
        <v>1469</v>
      </c>
      <c r="D3873" t="s">
        <v>72</v>
      </c>
      <c r="E3873" t="s">
        <v>86</v>
      </c>
      <c r="F3873">
        <v>10</v>
      </c>
      <c r="G3873">
        <v>60</v>
      </c>
      <c r="H3873" t="s">
        <v>7524</v>
      </c>
      <c r="I3873" t="s">
        <v>75</v>
      </c>
      <c r="J3873" t="s">
        <v>201</v>
      </c>
      <c r="K3873">
        <v>1</v>
      </c>
      <c r="L3873" t="s">
        <v>7524</v>
      </c>
      <c r="M3873"/>
      <c r="N3873">
        <v>0</v>
      </c>
      <c r="O3873" t="b">
        <v>1</v>
      </c>
      <c r="P3873"/>
      <c r="Q3873" t="b">
        <v>0</v>
      </c>
      <c r="R3873">
        <v>1</v>
      </c>
      <c r="S3873" t="s">
        <v>77</v>
      </c>
      <c r="T3873">
        <v>999</v>
      </c>
      <c r="U3873" t="s">
        <v>7525</v>
      </c>
      <c r="V3873">
        <f t="shared" si="0"/>
        <v>31812010</v>
      </c>
      <c r="W3873"/>
      <c r="X3873" t="s">
        <v>1470</v>
      </c>
      <c r="Y3873" t="s">
        <v>215</v>
      </c>
      <c r="Z3873">
        <v>20031</v>
      </c>
      <c r="AA3873" t="s">
        <v>1471</v>
      </c>
      <c r="AB3873">
        <v>40001</v>
      </c>
      <c r="AC3873"/>
      <c r="AD3873"/>
      <c r="AE3873" t="s">
        <v>7524</v>
      </c>
      <c r="AF3873" t="s">
        <v>7524</v>
      </c>
      <c r="AG3873" t="s">
        <v>86</v>
      </c>
    </row>
    <row r="3874" spans="2:33">
      <c r="B3874" s="14">
        <f>10000000+INDEX(编号表!$B:$B,MATCH(H3874,编号表!$A:$A,0))*100000+INDEX(编号表!$F:$F,MATCH(D3874,编号表!$E:$E,0))*10000+INDEX(编号表!$D:$D,MATCH(AG3874,编号表!$C:$C,0))*1000+F3874</f>
        <v>11812011</v>
      </c>
      <c r="C3874" t="s">
        <v>1476</v>
      </c>
      <c r="D3874" t="s">
        <v>72</v>
      </c>
      <c r="E3874" t="s">
        <v>86</v>
      </c>
      <c r="F3874">
        <v>11</v>
      </c>
      <c r="G3874">
        <v>60</v>
      </c>
      <c r="H3874" t="s">
        <v>7524</v>
      </c>
      <c r="I3874" t="s">
        <v>75</v>
      </c>
      <c r="J3874" t="s">
        <v>201</v>
      </c>
      <c r="K3874">
        <v>1</v>
      </c>
      <c r="L3874" t="s">
        <v>7524</v>
      </c>
      <c r="M3874"/>
      <c r="N3874">
        <v>0</v>
      </c>
      <c r="O3874" t="b">
        <v>1</v>
      </c>
      <c r="P3874"/>
      <c r="Q3874" t="b">
        <v>0</v>
      </c>
      <c r="R3874">
        <v>1</v>
      </c>
      <c r="S3874" t="s">
        <v>77</v>
      </c>
      <c r="T3874">
        <v>999</v>
      </c>
      <c r="U3874" t="s">
        <v>7525</v>
      </c>
      <c r="V3874">
        <f t="shared" si="0"/>
        <v>31812011</v>
      </c>
      <c r="W3874"/>
      <c r="X3874" t="s">
        <v>1477</v>
      </c>
      <c r="Y3874" t="s">
        <v>215</v>
      </c>
      <c r="Z3874">
        <v>20034</v>
      </c>
      <c r="AA3874" t="s">
        <v>1478</v>
      </c>
      <c r="AB3874">
        <v>40001</v>
      </c>
      <c r="AC3874"/>
      <c r="AD3874"/>
      <c r="AE3874" t="s">
        <v>7524</v>
      </c>
      <c r="AF3874" t="s">
        <v>7524</v>
      </c>
      <c r="AG3874" t="s">
        <v>86</v>
      </c>
    </row>
    <row r="3875" spans="2:33">
      <c r="B3875" s="14">
        <f>10000000+INDEX(编号表!$B:$B,MATCH(H3875,编号表!$A:$A,0))*100000+INDEX(编号表!$F:$F,MATCH(D3875,编号表!$E:$E,0))*10000+INDEX(编号表!$D:$D,MATCH(AG3875,编号表!$C:$C,0))*1000+F3875</f>
        <v>11812012</v>
      </c>
      <c r="C3875" t="s">
        <v>1483</v>
      </c>
      <c r="D3875" t="s">
        <v>72</v>
      </c>
      <c r="E3875" t="s">
        <v>86</v>
      </c>
      <c r="F3875">
        <v>12</v>
      </c>
      <c r="G3875">
        <v>60</v>
      </c>
      <c r="H3875" t="s">
        <v>7524</v>
      </c>
      <c r="I3875" t="s">
        <v>75</v>
      </c>
      <c r="J3875" t="s">
        <v>201</v>
      </c>
      <c r="K3875">
        <v>1</v>
      </c>
      <c r="L3875" t="s">
        <v>7524</v>
      </c>
      <c r="M3875"/>
      <c r="N3875">
        <v>0</v>
      </c>
      <c r="O3875" t="b">
        <v>1</v>
      </c>
      <c r="P3875"/>
      <c r="Q3875" t="b">
        <v>0</v>
      </c>
      <c r="R3875">
        <v>1</v>
      </c>
      <c r="S3875" t="s">
        <v>77</v>
      </c>
      <c r="T3875">
        <v>999</v>
      </c>
      <c r="U3875" t="s">
        <v>7525</v>
      </c>
      <c r="V3875">
        <f t="shared" si="0"/>
        <v>31812012</v>
      </c>
      <c r="W3875"/>
      <c r="X3875" t="s">
        <v>1484</v>
      </c>
      <c r="Y3875" t="s">
        <v>215</v>
      </c>
      <c r="Z3875">
        <v>20037</v>
      </c>
      <c r="AA3875" t="s">
        <v>1485</v>
      </c>
      <c r="AB3875">
        <v>40001</v>
      </c>
      <c r="AC3875"/>
      <c r="AD3875"/>
      <c r="AE3875" t="s">
        <v>7524</v>
      </c>
      <c r="AF3875" t="s">
        <v>7524</v>
      </c>
      <c r="AG3875" t="s">
        <v>86</v>
      </c>
    </row>
    <row r="3876" spans="2:33">
      <c r="B3876" s="14">
        <f>10000000+INDEX(编号表!$B:$B,MATCH(H3876,编号表!$A:$A,0))*100000+INDEX(编号表!$F:$F,MATCH(D3876,编号表!$E:$E,0))*10000+INDEX(编号表!$D:$D,MATCH(AG3876,编号表!$C:$C,0))*1000+F3876</f>
        <v>11812013</v>
      </c>
      <c r="C3876" t="s">
        <v>1490</v>
      </c>
      <c r="D3876" t="s">
        <v>72</v>
      </c>
      <c r="E3876" t="s">
        <v>86</v>
      </c>
      <c r="F3876">
        <v>13</v>
      </c>
      <c r="G3876">
        <v>60</v>
      </c>
      <c r="H3876" t="s">
        <v>7524</v>
      </c>
      <c r="I3876" t="s">
        <v>75</v>
      </c>
      <c r="J3876" t="s">
        <v>201</v>
      </c>
      <c r="K3876">
        <v>1</v>
      </c>
      <c r="L3876" t="s">
        <v>7524</v>
      </c>
      <c r="M3876"/>
      <c r="N3876">
        <v>0</v>
      </c>
      <c r="O3876" t="b">
        <v>1</v>
      </c>
      <c r="P3876"/>
      <c r="Q3876" t="b">
        <v>0</v>
      </c>
      <c r="R3876">
        <v>1</v>
      </c>
      <c r="S3876" t="s">
        <v>77</v>
      </c>
      <c r="T3876">
        <v>999</v>
      </c>
      <c r="U3876" t="s">
        <v>7525</v>
      </c>
      <c r="V3876">
        <f t="shared" si="0"/>
        <v>31812013</v>
      </c>
      <c r="W3876"/>
      <c r="X3876" t="s">
        <v>1491</v>
      </c>
      <c r="Y3876" t="s">
        <v>215</v>
      </c>
      <c r="Z3876">
        <v>20040</v>
      </c>
      <c r="AA3876" t="s">
        <v>1492</v>
      </c>
      <c r="AB3876">
        <v>40001</v>
      </c>
      <c r="AC3876"/>
      <c r="AD3876"/>
      <c r="AE3876" t="s">
        <v>7524</v>
      </c>
      <c r="AF3876" t="s">
        <v>7524</v>
      </c>
      <c r="AG3876" t="s">
        <v>86</v>
      </c>
    </row>
    <row r="3877" spans="2:33">
      <c r="B3877" s="14">
        <f>10000000+INDEX(编号表!$B:$B,MATCH(H3877,编号表!$A:$A,0))*100000+INDEX(编号表!$F:$F,MATCH(D3877,编号表!$E:$E,0))*10000+INDEX(编号表!$D:$D,MATCH(AG3877,编号表!$C:$C,0))*1000+F3877</f>
        <v>11812014</v>
      </c>
      <c r="C3877" t="s">
        <v>1497</v>
      </c>
      <c r="D3877" t="s">
        <v>72</v>
      </c>
      <c r="E3877" t="s">
        <v>86</v>
      </c>
      <c r="F3877">
        <v>14</v>
      </c>
      <c r="G3877">
        <v>60</v>
      </c>
      <c r="H3877" t="s">
        <v>7524</v>
      </c>
      <c r="I3877" t="s">
        <v>75</v>
      </c>
      <c r="J3877" t="s">
        <v>201</v>
      </c>
      <c r="K3877">
        <v>1</v>
      </c>
      <c r="L3877" t="s">
        <v>7524</v>
      </c>
      <c r="M3877"/>
      <c r="N3877">
        <v>0</v>
      </c>
      <c r="O3877" t="b">
        <v>1</v>
      </c>
      <c r="P3877"/>
      <c r="Q3877" t="b">
        <v>0</v>
      </c>
      <c r="R3877">
        <v>1</v>
      </c>
      <c r="S3877" t="s">
        <v>77</v>
      </c>
      <c r="T3877">
        <v>999</v>
      </c>
      <c r="U3877" t="s">
        <v>7525</v>
      </c>
      <c r="V3877">
        <f t="shared" si="0"/>
        <v>31812014</v>
      </c>
      <c r="W3877"/>
      <c r="X3877" t="s">
        <v>1498</v>
      </c>
      <c r="Y3877" t="s">
        <v>215</v>
      </c>
      <c r="Z3877">
        <v>20043</v>
      </c>
      <c r="AA3877" t="s">
        <v>1499</v>
      </c>
      <c r="AB3877">
        <v>40001</v>
      </c>
      <c r="AC3877"/>
      <c r="AD3877"/>
      <c r="AE3877" t="s">
        <v>7524</v>
      </c>
      <c r="AF3877" t="s">
        <v>7524</v>
      </c>
      <c r="AG3877" t="s">
        <v>86</v>
      </c>
    </row>
    <row r="3878" spans="2:33">
      <c r="B3878" s="14">
        <f>10000000+INDEX(编号表!$B:$B,MATCH(H3878,编号表!$A:$A,0))*100000+INDEX(编号表!$F:$F,MATCH(D3878,编号表!$E:$E,0))*10000+INDEX(编号表!$D:$D,MATCH(AG3878,编号表!$C:$C,0))*1000+F3878</f>
        <v>11812015</v>
      </c>
      <c r="C3878" t="s">
        <v>1504</v>
      </c>
      <c r="D3878" t="s">
        <v>72</v>
      </c>
      <c r="E3878" t="s">
        <v>86</v>
      </c>
      <c r="F3878">
        <v>15</v>
      </c>
      <c r="G3878">
        <v>60</v>
      </c>
      <c r="H3878" t="s">
        <v>7524</v>
      </c>
      <c r="I3878" t="s">
        <v>75</v>
      </c>
      <c r="J3878" t="s">
        <v>201</v>
      </c>
      <c r="K3878">
        <v>1</v>
      </c>
      <c r="L3878" t="s">
        <v>7524</v>
      </c>
      <c r="M3878"/>
      <c r="N3878">
        <v>0</v>
      </c>
      <c r="O3878" t="b">
        <v>1</v>
      </c>
      <c r="P3878"/>
      <c r="Q3878" t="b">
        <v>0</v>
      </c>
      <c r="R3878">
        <v>1</v>
      </c>
      <c r="S3878" t="s">
        <v>77</v>
      </c>
      <c r="T3878">
        <v>999</v>
      </c>
      <c r="U3878" t="s">
        <v>7525</v>
      </c>
      <c r="V3878">
        <f t="shared" si="0"/>
        <v>31812015</v>
      </c>
      <c r="W3878"/>
      <c r="X3878" t="s">
        <v>1505</v>
      </c>
      <c r="Y3878" t="s">
        <v>215</v>
      </c>
      <c r="Z3878">
        <v>20046</v>
      </c>
      <c r="AA3878" t="s">
        <v>1506</v>
      </c>
      <c r="AB3878">
        <v>40001</v>
      </c>
      <c r="AC3878"/>
      <c r="AD3878"/>
      <c r="AE3878" t="s">
        <v>7524</v>
      </c>
      <c r="AF3878" t="s">
        <v>7524</v>
      </c>
      <c r="AG3878" t="s">
        <v>86</v>
      </c>
    </row>
    <row r="3879" spans="2:33">
      <c r="B3879" s="14">
        <f>10000000+INDEX(编号表!$B:$B,MATCH(H3879,编号表!$A:$A,0))*100000+INDEX(编号表!$F:$F,MATCH(D3879,编号表!$E:$E,0))*10000+INDEX(编号表!$D:$D,MATCH(AG3879,编号表!$C:$C,0))*1000+F3879</f>
        <v>11812016</v>
      </c>
      <c r="C3879" t="s">
        <v>1511</v>
      </c>
      <c r="D3879" t="s">
        <v>72</v>
      </c>
      <c r="E3879" t="s">
        <v>86</v>
      </c>
      <c r="F3879">
        <v>16</v>
      </c>
      <c r="G3879">
        <v>60</v>
      </c>
      <c r="H3879" t="s">
        <v>7524</v>
      </c>
      <c r="I3879" t="s">
        <v>75</v>
      </c>
      <c r="J3879" t="s">
        <v>201</v>
      </c>
      <c r="K3879">
        <v>1</v>
      </c>
      <c r="L3879" t="s">
        <v>7524</v>
      </c>
      <c r="M3879"/>
      <c r="N3879">
        <v>0</v>
      </c>
      <c r="O3879" t="b">
        <v>1</v>
      </c>
      <c r="P3879"/>
      <c r="Q3879" t="b">
        <v>0</v>
      </c>
      <c r="R3879">
        <v>1</v>
      </c>
      <c r="S3879" t="s">
        <v>77</v>
      </c>
      <c r="T3879">
        <v>999</v>
      </c>
      <c r="U3879" t="s">
        <v>7525</v>
      </c>
      <c r="V3879">
        <f t="shared" si="0"/>
        <v>31812016</v>
      </c>
      <c r="W3879"/>
      <c r="X3879" t="s">
        <v>1512</v>
      </c>
      <c r="Y3879" t="s">
        <v>215</v>
      </c>
      <c r="Z3879">
        <v>20049</v>
      </c>
      <c r="AA3879" t="s">
        <v>1513</v>
      </c>
      <c r="AB3879">
        <v>40001</v>
      </c>
      <c r="AC3879"/>
      <c r="AD3879"/>
      <c r="AE3879" t="s">
        <v>7524</v>
      </c>
      <c r="AF3879" t="s">
        <v>7524</v>
      </c>
      <c r="AG3879" t="s">
        <v>86</v>
      </c>
    </row>
    <row r="3880" spans="2:33">
      <c r="B3880" s="14">
        <f>10000000+INDEX(编号表!$B:$B,MATCH(H3880,编号表!$A:$A,0))*100000+INDEX(编号表!$F:$F,MATCH(D3880,编号表!$E:$E,0))*10000+INDEX(编号表!$D:$D,MATCH(AG3880,编号表!$C:$C,0))*1000+F3880</f>
        <v>11812017</v>
      </c>
      <c r="C3880" t="s">
        <v>1518</v>
      </c>
      <c r="D3880" t="s">
        <v>72</v>
      </c>
      <c r="E3880" t="s">
        <v>86</v>
      </c>
      <c r="F3880">
        <v>17</v>
      </c>
      <c r="G3880">
        <v>60</v>
      </c>
      <c r="H3880" t="s">
        <v>7524</v>
      </c>
      <c r="I3880" t="s">
        <v>75</v>
      </c>
      <c r="J3880" t="s">
        <v>201</v>
      </c>
      <c r="K3880">
        <v>1</v>
      </c>
      <c r="L3880" t="s">
        <v>7524</v>
      </c>
      <c r="M3880"/>
      <c r="N3880">
        <v>0</v>
      </c>
      <c r="O3880" t="b">
        <v>1</v>
      </c>
      <c r="P3880"/>
      <c r="Q3880" t="b">
        <v>0</v>
      </c>
      <c r="R3880">
        <v>1</v>
      </c>
      <c r="S3880" t="s">
        <v>77</v>
      </c>
      <c r="T3880">
        <v>999</v>
      </c>
      <c r="U3880" t="s">
        <v>7525</v>
      </c>
      <c r="V3880">
        <f t="shared" si="0"/>
        <v>31812017</v>
      </c>
      <c r="W3880"/>
      <c r="X3880" t="s">
        <v>1519</v>
      </c>
      <c r="Y3880" t="s">
        <v>215</v>
      </c>
      <c r="Z3880">
        <v>20052</v>
      </c>
      <c r="AA3880" t="s">
        <v>1520</v>
      </c>
      <c r="AB3880">
        <v>40001</v>
      </c>
      <c r="AC3880"/>
      <c r="AD3880"/>
      <c r="AE3880" t="s">
        <v>7524</v>
      </c>
      <c r="AF3880" t="s">
        <v>7524</v>
      </c>
      <c r="AG3880" t="s">
        <v>86</v>
      </c>
    </row>
    <row r="3881" spans="2:33">
      <c r="B3881" s="14">
        <f>10000000+INDEX(编号表!$B:$B,MATCH(H3881,编号表!$A:$A,0))*100000+INDEX(编号表!$F:$F,MATCH(D3881,编号表!$E:$E,0))*10000+INDEX(编号表!$D:$D,MATCH(AG3881,编号表!$C:$C,0))*1000+F3881</f>
        <v>11812018</v>
      </c>
      <c r="C3881" t="s">
        <v>1525</v>
      </c>
      <c r="D3881" t="s">
        <v>72</v>
      </c>
      <c r="E3881" t="s">
        <v>86</v>
      </c>
      <c r="F3881">
        <v>18</v>
      </c>
      <c r="G3881">
        <v>60</v>
      </c>
      <c r="H3881" t="s">
        <v>7524</v>
      </c>
      <c r="I3881" t="s">
        <v>75</v>
      </c>
      <c r="J3881" t="s">
        <v>201</v>
      </c>
      <c r="K3881">
        <v>1</v>
      </c>
      <c r="L3881" t="s">
        <v>7524</v>
      </c>
      <c r="M3881"/>
      <c r="N3881">
        <v>0</v>
      </c>
      <c r="O3881" t="b">
        <v>1</v>
      </c>
      <c r="P3881"/>
      <c r="Q3881" t="b">
        <v>0</v>
      </c>
      <c r="R3881">
        <v>1</v>
      </c>
      <c r="S3881" t="s">
        <v>77</v>
      </c>
      <c r="T3881">
        <v>999</v>
      </c>
      <c r="U3881" t="s">
        <v>7525</v>
      </c>
      <c r="V3881">
        <f t="shared" si="0"/>
        <v>31812018</v>
      </c>
      <c r="W3881"/>
      <c r="X3881" t="s">
        <v>1526</v>
      </c>
      <c r="Y3881" t="s">
        <v>215</v>
      </c>
      <c r="Z3881">
        <v>20055</v>
      </c>
      <c r="AA3881" t="s">
        <v>1527</v>
      </c>
      <c r="AB3881">
        <v>40001</v>
      </c>
      <c r="AC3881"/>
      <c r="AD3881"/>
      <c r="AE3881" t="s">
        <v>7524</v>
      </c>
      <c r="AF3881" t="s">
        <v>7524</v>
      </c>
      <c r="AG3881" t="s">
        <v>86</v>
      </c>
    </row>
    <row r="3882" spans="2:33">
      <c r="B3882" s="14">
        <f>10000000+INDEX(编号表!$B:$B,MATCH(H3882,编号表!$A:$A,0))*100000+INDEX(编号表!$F:$F,MATCH(D3882,编号表!$E:$E,0))*10000+INDEX(编号表!$D:$D,MATCH(AG3882,编号表!$C:$C,0))*1000+F3882</f>
        <v>11812019</v>
      </c>
      <c r="C3882" t="s">
        <v>1532</v>
      </c>
      <c r="D3882" t="s">
        <v>72</v>
      </c>
      <c r="E3882" t="s">
        <v>86</v>
      </c>
      <c r="F3882">
        <v>19</v>
      </c>
      <c r="G3882">
        <v>60</v>
      </c>
      <c r="H3882" t="s">
        <v>7524</v>
      </c>
      <c r="I3882" t="s">
        <v>75</v>
      </c>
      <c r="J3882" t="s">
        <v>201</v>
      </c>
      <c r="K3882">
        <v>1</v>
      </c>
      <c r="L3882" t="s">
        <v>7524</v>
      </c>
      <c r="M3882"/>
      <c r="N3882">
        <v>0</v>
      </c>
      <c r="O3882" t="b">
        <v>1</v>
      </c>
      <c r="P3882"/>
      <c r="Q3882" t="b">
        <v>0</v>
      </c>
      <c r="R3882">
        <v>1</v>
      </c>
      <c r="S3882" t="s">
        <v>77</v>
      </c>
      <c r="T3882">
        <v>999</v>
      </c>
      <c r="U3882" t="s">
        <v>7525</v>
      </c>
      <c r="V3882">
        <f t="shared" si="0"/>
        <v>31812019</v>
      </c>
      <c r="W3882"/>
      <c r="X3882" t="s">
        <v>1533</v>
      </c>
      <c r="Y3882" t="s">
        <v>215</v>
      </c>
      <c r="Z3882">
        <v>20058</v>
      </c>
      <c r="AA3882" t="s">
        <v>1534</v>
      </c>
      <c r="AB3882">
        <v>40001</v>
      </c>
      <c r="AC3882"/>
      <c r="AD3882"/>
      <c r="AE3882" t="s">
        <v>7524</v>
      </c>
      <c r="AF3882" t="s">
        <v>7524</v>
      </c>
      <c r="AG3882" t="s">
        <v>86</v>
      </c>
    </row>
    <row r="3883" spans="2:33">
      <c r="B3883" s="14">
        <f>10000000+INDEX(编号表!$B:$B,MATCH(H3883,编号表!$A:$A,0))*100000+INDEX(编号表!$F:$F,MATCH(D3883,编号表!$E:$E,0))*10000+INDEX(编号表!$D:$D,MATCH(AG3883,编号表!$C:$C,0))*1000+F3883</f>
        <v>11812020</v>
      </c>
      <c r="C3883" t="s">
        <v>1539</v>
      </c>
      <c r="D3883" t="s">
        <v>72</v>
      </c>
      <c r="E3883" t="s">
        <v>86</v>
      </c>
      <c r="F3883">
        <v>20</v>
      </c>
      <c r="G3883">
        <v>60</v>
      </c>
      <c r="H3883" t="s">
        <v>7524</v>
      </c>
      <c r="I3883" t="s">
        <v>75</v>
      </c>
      <c r="J3883" t="s">
        <v>201</v>
      </c>
      <c r="K3883">
        <v>1</v>
      </c>
      <c r="L3883" t="s">
        <v>7524</v>
      </c>
      <c r="M3883"/>
      <c r="N3883">
        <v>0</v>
      </c>
      <c r="O3883" t="b">
        <v>1</v>
      </c>
      <c r="P3883"/>
      <c r="Q3883" t="b">
        <v>0</v>
      </c>
      <c r="R3883">
        <v>1</v>
      </c>
      <c r="S3883" t="s">
        <v>77</v>
      </c>
      <c r="T3883">
        <v>999</v>
      </c>
      <c r="U3883" t="s">
        <v>7525</v>
      </c>
      <c r="V3883">
        <f t="shared" si="0"/>
        <v>31812020</v>
      </c>
      <c r="W3883"/>
      <c r="X3883" t="s">
        <v>1540</v>
      </c>
      <c r="Y3883" t="s">
        <v>215</v>
      </c>
      <c r="Z3883">
        <v>20061</v>
      </c>
      <c r="AA3883" t="s">
        <v>1541</v>
      </c>
      <c r="AB3883">
        <v>40001</v>
      </c>
      <c r="AC3883"/>
      <c r="AD3883"/>
      <c r="AE3883" t="s">
        <v>7524</v>
      </c>
      <c r="AF3883" t="s">
        <v>7524</v>
      </c>
      <c r="AG3883" t="s">
        <v>86</v>
      </c>
    </row>
    <row r="3884" spans="2:33">
      <c r="B3884" s="14">
        <f>10000000+INDEX(编号表!$B:$B,MATCH(H3884,编号表!$A:$A,0))*100000+INDEX(编号表!$F:$F,MATCH(D3884,编号表!$E:$E,0))*10000+INDEX(编号表!$D:$D,MATCH(AG3884,编号表!$C:$C,0))*1000+F3884</f>
        <v>11812021</v>
      </c>
      <c r="C3884" t="s">
        <v>1546</v>
      </c>
      <c r="D3884" t="s">
        <v>72</v>
      </c>
      <c r="E3884" t="s">
        <v>86</v>
      </c>
      <c r="F3884">
        <v>21</v>
      </c>
      <c r="G3884">
        <v>60</v>
      </c>
      <c r="H3884" t="s">
        <v>7524</v>
      </c>
      <c r="I3884" t="s">
        <v>75</v>
      </c>
      <c r="J3884" t="s">
        <v>201</v>
      </c>
      <c r="K3884">
        <v>1</v>
      </c>
      <c r="L3884" t="s">
        <v>7524</v>
      </c>
      <c r="M3884"/>
      <c r="N3884">
        <v>0</v>
      </c>
      <c r="O3884" t="b">
        <v>1</v>
      </c>
      <c r="P3884"/>
      <c r="Q3884" t="b">
        <v>0</v>
      </c>
      <c r="R3884">
        <v>1</v>
      </c>
      <c r="S3884" t="s">
        <v>77</v>
      </c>
      <c r="T3884">
        <v>999</v>
      </c>
      <c r="U3884" t="s">
        <v>7525</v>
      </c>
      <c r="V3884">
        <f t="shared" si="0"/>
        <v>31812021</v>
      </c>
      <c r="W3884"/>
      <c r="X3884" t="s">
        <v>1547</v>
      </c>
      <c r="Y3884" t="s">
        <v>215</v>
      </c>
      <c r="Z3884">
        <v>20064</v>
      </c>
      <c r="AA3884" t="s">
        <v>1548</v>
      </c>
      <c r="AB3884">
        <v>40001</v>
      </c>
      <c r="AC3884"/>
      <c r="AD3884"/>
      <c r="AE3884" t="s">
        <v>7524</v>
      </c>
      <c r="AF3884" t="s">
        <v>7524</v>
      </c>
      <c r="AG3884" t="s">
        <v>86</v>
      </c>
    </row>
    <row r="3885" spans="2:33">
      <c r="B3885" s="14">
        <f>10000000+INDEX(编号表!$B:$B,MATCH(H3885,编号表!$A:$A,0))*100000+INDEX(编号表!$F:$F,MATCH(D3885,编号表!$E:$E,0))*10000+INDEX(编号表!$D:$D,MATCH(AG3885,编号表!$C:$C,0))*1000+F3885</f>
        <v>11812022</v>
      </c>
      <c r="C3885" t="s">
        <v>1553</v>
      </c>
      <c r="D3885" t="s">
        <v>72</v>
      </c>
      <c r="E3885" t="s">
        <v>86</v>
      </c>
      <c r="F3885">
        <v>22</v>
      </c>
      <c r="G3885">
        <v>60</v>
      </c>
      <c r="H3885" t="s">
        <v>7524</v>
      </c>
      <c r="I3885" t="s">
        <v>75</v>
      </c>
      <c r="J3885" t="s">
        <v>201</v>
      </c>
      <c r="K3885">
        <v>1</v>
      </c>
      <c r="L3885" t="s">
        <v>7524</v>
      </c>
      <c r="M3885"/>
      <c r="N3885">
        <v>0</v>
      </c>
      <c r="O3885" t="b">
        <v>1</v>
      </c>
      <c r="P3885"/>
      <c r="Q3885" t="b">
        <v>0</v>
      </c>
      <c r="R3885">
        <v>1</v>
      </c>
      <c r="S3885" t="s">
        <v>77</v>
      </c>
      <c r="T3885">
        <v>999</v>
      </c>
      <c r="U3885" t="s">
        <v>7525</v>
      </c>
      <c r="V3885">
        <f t="shared" si="0"/>
        <v>31812022</v>
      </c>
      <c r="W3885"/>
      <c r="X3885" t="s">
        <v>1554</v>
      </c>
      <c r="Y3885" t="s">
        <v>215</v>
      </c>
      <c r="Z3885">
        <v>20067</v>
      </c>
      <c r="AA3885" t="s">
        <v>1555</v>
      </c>
      <c r="AB3885">
        <v>40001</v>
      </c>
      <c r="AC3885"/>
      <c r="AD3885"/>
      <c r="AE3885" t="s">
        <v>7524</v>
      </c>
      <c r="AF3885" t="s">
        <v>7524</v>
      </c>
      <c r="AG3885" t="s">
        <v>86</v>
      </c>
    </row>
    <row r="3886" spans="2:33">
      <c r="B3886" s="14">
        <f>10000000+INDEX(编号表!$B:$B,MATCH(H3886,编号表!$A:$A,0))*100000+INDEX(编号表!$F:$F,MATCH(D3886,编号表!$E:$E,0))*10000+INDEX(编号表!$D:$D,MATCH(AG3886,编号表!$C:$C,0))*1000+F3886</f>
        <v>11812023</v>
      </c>
      <c r="C3886" t="s">
        <v>1560</v>
      </c>
      <c r="D3886" t="s">
        <v>72</v>
      </c>
      <c r="E3886" t="s">
        <v>86</v>
      </c>
      <c r="F3886">
        <v>23</v>
      </c>
      <c r="G3886">
        <v>60</v>
      </c>
      <c r="H3886" t="s">
        <v>7524</v>
      </c>
      <c r="I3886" t="s">
        <v>75</v>
      </c>
      <c r="J3886" t="s">
        <v>201</v>
      </c>
      <c r="K3886">
        <v>1</v>
      </c>
      <c r="L3886" t="s">
        <v>7524</v>
      </c>
      <c r="M3886"/>
      <c r="N3886">
        <v>0</v>
      </c>
      <c r="O3886" t="b">
        <v>1</v>
      </c>
      <c r="P3886"/>
      <c r="Q3886" t="b">
        <v>0</v>
      </c>
      <c r="R3886">
        <v>1</v>
      </c>
      <c r="S3886" t="s">
        <v>77</v>
      </c>
      <c r="T3886">
        <v>999</v>
      </c>
      <c r="U3886" t="s">
        <v>7525</v>
      </c>
      <c r="V3886">
        <f t="shared" si="0"/>
        <v>31812023</v>
      </c>
      <c r="W3886"/>
      <c r="X3886" t="s">
        <v>1561</v>
      </c>
      <c r="Y3886" t="s">
        <v>215</v>
      </c>
      <c r="Z3886">
        <v>20070</v>
      </c>
      <c r="AA3886" t="s">
        <v>1562</v>
      </c>
      <c r="AB3886">
        <v>40001</v>
      </c>
      <c r="AC3886"/>
      <c r="AD3886"/>
      <c r="AE3886" t="s">
        <v>7524</v>
      </c>
      <c r="AF3886" t="s">
        <v>7524</v>
      </c>
      <c r="AG3886" t="s">
        <v>86</v>
      </c>
    </row>
    <row r="3887" spans="2:33">
      <c r="B3887" s="14">
        <f>10000000+INDEX(编号表!$B:$B,MATCH(H3887,编号表!$A:$A,0))*100000+INDEX(编号表!$F:$F,MATCH(D3887,编号表!$E:$E,0))*10000+INDEX(编号表!$D:$D,MATCH(AG3887,编号表!$C:$C,0))*1000+F3887</f>
        <v>11812024</v>
      </c>
      <c r="C3887" t="s">
        <v>1567</v>
      </c>
      <c r="D3887" t="s">
        <v>72</v>
      </c>
      <c r="E3887" t="s">
        <v>86</v>
      </c>
      <c r="F3887">
        <v>24</v>
      </c>
      <c r="G3887">
        <v>60</v>
      </c>
      <c r="H3887" t="s">
        <v>7524</v>
      </c>
      <c r="I3887" t="s">
        <v>75</v>
      </c>
      <c r="J3887" t="s">
        <v>201</v>
      </c>
      <c r="K3887">
        <v>1</v>
      </c>
      <c r="L3887" t="s">
        <v>7524</v>
      </c>
      <c r="M3887"/>
      <c r="N3887">
        <v>0</v>
      </c>
      <c r="O3887" t="b">
        <v>1</v>
      </c>
      <c r="P3887"/>
      <c r="Q3887" t="b">
        <v>0</v>
      </c>
      <c r="R3887">
        <v>1</v>
      </c>
      <c r="S3887" t="s">
        <v>77</v>
      </c>
      <c r="T3887">
        <v>999</v>
      </c>
      <c r="U3887" t="s">
        <v>7525</v>
      </c>
      <c r="V3887">
        <f t="shared" si="0"/>
        <v>31812024</v>
      </c>
      <c r="W3887"/>
      <c r="X3887" t="s">
        <v>1568</v>
      </c>
      <c r="Y3887" t="s">
        <v>215</v>
      </c>
      <c r="Z3887">
        <v>20073</v>
      </c>
      <c r="AA3887" t="s">
        <v>1569</v>
      </c>
      <c r="AB3887">
        <v>40001</v>
      </c>
      <c r="AC3887"/>
      <c r="AD3887"/>
      <c r="AE3887" t="s">
        <v>7524</v>
      </c>
      <c r="AF3887" t="s">
        <v>7524</v>
      </c>
      <c r="AG3887" t="s">
        <v>86</v>
      </c>
    </row>
    <row r="3888" spans="2:33">
      <c r="B3888" s="14">
        <f>10000000+INDEX(编号表!$B:$B,MATCH(H3888,编号表!$A:$A,0))*100000+INDEX(编号表!$F:$F,MATCH(D3888,编号表!$E:$E,0))*10000+INDEX(编号表!$D:$D,MATCH(AG3888,编号表!$C:$C,0))*1000+F3888</f>
        <v>11812025</v>
      </c>
      <c r="C3888" t="s">
        <v>1574</v>
      </c>
      <c r="D3888" t="s">
        <v>72</v>
      </c>
      <c r="E3888" t="s">
        <v>86</v>
      </c>
      <c r="F3888">
        <v>25</v>
      </c>
      <c r="G3888">
        <v>60</v>
      </c>
      <c r="H3888" t="s">
        <v>7524</v>
      </c>
      <c r="I3888" t="s">
        <v>75</v>
      </c>
      <c r="J3888" t="s">
        <v>201</v>
      </c>
      <c r="K3888">
        <v>1</v>
      </c>
      <c r="L3888" t="s">
        <v>7524</v>
      </c>
      <c r="M3888"/>
      <c r="N3888">
        <v>0</v>
      </c>
      <c r="O3888" t="b">
        <v>1</v>
      </c>
      <c r="P3888"/>
      <c r="Q3888" t="b">
        <v>0</v>
      </c>
      <c r="R3888">
        <v>1</v>
      </c>
      <c r="S3888" t="s">
        <v>77</v>
      </c>
      <c r="T3888">
        <v>999</v>
      </c>
      <c r="U3888" t="s">
        <v>7525</v>
      </c>
      <c r="V3888">
        <f t="shared" si="0"/>
        <v>31812025</v>
      </c>
      <c r="W3888"/>
      <c r="X3888" t="s">
        <v>1575</v>
      </c>
      <c r="Y3888" t="s">
        <v>215</v>
      </c>
      <c r="Z3888">
        <v>20076</v>
      </c>
      <c r="AA3888" t="s">
        <v>1576</v>
      </c>
      <c r="AB3888">
        <v>40001</v>
      </c>
      <c r="AC3888"/>
      <c r="AD3888"/>
      <c r="AE3888" t="s">
        <v>7524</v>
      </c>
      <c r="AF3888" t="s">
        <v>7524</v>
      </c>
      <c r="AG3888" t="s">
        <v>86</v>
      </c>
    </row>
    <row r="3889" spans="2:33">
      <c r="B3889" s="14">
        <f>10000000+INDEX(编号表!$B:$B,MATCH(H3889,编号表!$A:$A,0))*100000+INDEX(编号表!$F:$F,MATCH(D3889,编号表!$E:$E,0))*10000+INDEX(编号表!$D:$D,MATCH(AG3889,编号表!$C:$C,0))*1000+F3889</f>
        <v>11812026</v>
      </c>
      <c r="C3889" t="s">
        <v>1581</v>
      </c>
      <c r="D3889" t="s">
        <v>72</v>
      </c>
      <c r="E3889" t="s">
        <v>86</v>
      </c>
      <c r="F3889">
        <v>26</v>
      </c>
      <c r="G3889">
        <v>60</v>
      </c>
      <c r="H3889" t="s">
        <v>7524</v>
      </c>
      <c r="I3889" t="s">
        <v>75</v>
      </c>
      <c r="J3889" t="s">
        <v>201</v>
      </c>
      <c r="K3889">
        <v>1</v>
      </c>
      <c r="L3889" t="s">
        <v>7524</v>
      </c>
      <c r="M3889"/>
      <c r="N3889">
        <v>0</v>
      </c>
      <c r="O3889" t="b">
        <v>1</v>
      </c>
      <c r="P3889"/>
      <c r="Q3889" t="b">
        <v>0</v>
      </c>
      <c r="R3889">
        <v>1</v>
      </c>
      <c r="S3889" t="s">
        <v>77</v>
      </c>
      <c r="T3889">
        <v>999</v>
      </c>
      <c r="U3889" t="s">
        <v>7525</v>
      </c>
      <c r="V3889">
        <f t="shared" si="0"/>
        <v>31812026</v>
      </c>
      <c r="W3889"/>
      <c r="X3889" t="s">
        <v>1582</v>
      </c>
      <c r="Y3889" t="s">
        <v>215</v>
      </c>
      <c r="Z3889">
        <v>20079</v>
      </c>
      <c r="AA3889" t="s">
        <v>1583</v>
      </c>
      <c r="AB3889">
        <v>40001</v>
      </c>
      <c r="AC3889"/>
      <c r="AD3889"/>
      <c r="AE3889" t="s">
        <v>7524</v>
      </c>
      <c r="AF3889" t="s">
        <v>7524</v>
      </c>
      <c r="AG3889" t="s">
        <v>86</v>
      </c>
    </row>
    <row r="3890" spans="2:33">
      <c r="B3890" s="14">
        <f>10000000+INDEX(编号表!$B:$B,MATCH(H3890,编号表!$A:$A,0))*100000+INDEX(编号表!$F:$F,MATCH(D3890,编号表!$E:$E,0))*10000+INDEX(编号表!$D:$D,MATCH(AG3890,编号表!$C:$C,0))*1000+F3890</f>
        <v>11812027</v>
      </c>
      <c r="C3890" t="s">
        <v>1588</v>
      </c>
      <c r="D3890" t="s">
        <v>72</v>
      </c>
      <c r="E3890" t="s">
        <v>86</v>
      </c>
      <c r="F3890">
        <v>27</v>
      </c>
      <c r="G3890">
        <v>60</v>
      </c>
      <c r="H3890" t="s">
        <v>7524</v>
      </c>
      <c r="I3890" t="s">
        <v>75</v>
      </c>
      <c r="J3890" t="s">
        <v>201</v>
      </c>
      <c r="K3890">
        <v>1</v>
      </c>
      <c r="L3890" t="s">
        <v>7524</v>
      </c>
      <c r="M3890"/>
      <c r="N3890">
        <v>0</v>
      </c>
      <c r="O3890" t="b">
        <v>1</v>
      </c>
      <c r="P3890"/>
      <c r="Q3890" t="b">
        <v>0</v>
      </c>
      <c r="R3890">
        <v>1</v>
      </c>
      <c r="S3890" t="s">
        <v>77</v>
      </c>
      <c r="T3890">
        <v>999</v>
      </c>
      <c r="U3890" t="s">
        <v>7525</v>
      </c>
      <c r="V3890">
        <f t="shared" si="0"/>
        <v>31812027</v>
      </c>
      <c r="W3890"/>
      <c r="X3890" t="s">
        <v>1589</v>
      </c>
      <c r="Y3890" t="s">
        <v>215</v>
      </c>
      <c r="Z3890">
        <v>20082</v>
      </c>
      <c r="AA3890" t="s">
        <v>1590</v>
      </c>
      <c r="AB3890">
        <v>40001</v>
      </c>
      <c r="AC3890"/>
      <c r="AD3890"/>
      <c r="AE3890" t="s">
        <v>7524</v>
      </c>
      <c r="AF3890" t="s">
        <v>7524</v>
      </c>
      <c r="AG3890" t="s">
        <v>86</v>
      </c>
    </row>
    <row r="3891" spans="2:33">
      <c r="B3891" s="14">
        <f>10000000+INDEX(编号表!$B:$B,MATCH(H3891,编号表!$A:$A,0))*100000+INDEX(编号表!$F:$F,MATCH(D3891,编号表!$E:$E,0))*10000+INDEX(编号表!$D:$D,MATCH(AG3891,编号表!$C:$C,0))*1000+F3891</f>
        <v>11812028</v>
      </c>
      <c r="C3891" t="s">
        <v>1595</v>
      </c>
      <c r="D3891" t="s">
        <v>72</v>
      </c>
      <c r="E3891" t="s">
        <v>86</v>
      </c>
      <c r="F3891">
        <v>28</v>
      </c>
      <c r="G3891">
        <v>60</v>
      </c>
      <c r="H3891" t="s">
        <v>7524</v>
      </c>
      <c r="I3891" t="s">
        <v>75</v>
      </c>
      <c r="J3891" t="s">
        <v>201</v>
      </c>
      <c r="K3891">
        <v>1</v>
      </c>
      <c r="L3891" t="s">
        <v>7524</v>
      </c>
      <c r="M3891"/>
      <c r="N3891">
        <v>0</v>
      </c>
      <c r="O3891" t="b">
        <v>1</v>
      </c>
      <c r="P3891"/>
      <c r="Q3891" t="b">
        <v>0</v>
      </c>
      <c r="R3891">
        <v>1</v>
      </c>
      <c r="S3891" t="s">
        <v>77</v>
      </c>
      <c r="T3891">
        <v>999</v>
      </c>
      <c r="U3891" t="s">
        <v>7525</v>
      </c>
      <c r="V3891">
        <f t="shared" si="0"/>
        <v>31812028</v>
      </c>
      <c r="W3891"/>
      <c r="X3891" t="s">
        <v>1596</v>
      </c>
      <c r="Y3891" t="s">
        <v>215</v>
      </c>
      <c r="Z3891">
        <v>20085</v>
      </c>
      <c r="AA3891" t="s">
        <v>1597</v>
      </c>
      <c r="AB3891">
        <v>40001</v>
      </c>
      <c r="AC3891"/>
      <c r="AD3891"/>
      <c r="AE3891" t="s">
        <v>7524</v>
      </c>
      <c r="AF3891" t="s">
        <v>7524</v>
      </c>
      <c r="AG3891" t="s">
        <v>86</v>
      </c>
    </row>
    <row r="3892" spans="2:33">
      <c r="B3892" s="14">
        <f>10000000+INDEX(编号表!$B:$B,MATCH(H3892,编号表!$A:$A,0))*100000+INDEX(编号表!$F:$F,MATCH(D3892,编号表!$E:$E,0))*10000+INDEX(编号表!$D:$D,MATCH(AG3892,编号表!$C:$C,0))*1000+F3892</f>
        <v>11812029</v>
      </c>
      <c r="C3892" t="s">
        <v>1602</v>
      </c>
      <c r="D3892" t="s">
        <v>72</v>
      </c>
      <c r="E3892" t="s">
        <v>86</v>
      </c>
      <c r="F3892">
        <v>29</v>
      </c>
      <c r="G3892">
        <v>60</v>
      </c>
      <c r="H3892" t="s">
        <v>7524</v>
      </c>
      <c r="I3892" t="s">
        <v>75</v>
      </c>
      <c r="J3892" t="s">
        <v>201</v>
      </c>
      <c r="K3892">
        <v>1</v>
      </c>
      <c r="L3892" t="s">
        <v>7524</v>
      </c>
      <c r="M3892"/>
      <c r="N3892">
        <v>0</v>
      </c>
      <c r="O3892" t="b">
        <v>1</v>
      </c>
      <c r="P3892"/>
      <c r="Q3892" t="b">
        <v>0</v>
      </c>
      <c r="R3892">
        <v>1</v>
      </c>
      <c r="S3892" t="s">
        <v>77</v>
      </c>
      <c r="T3892">
        <v>999</v>
      </c>
      <c r="U3892" t="s">
        <v>7525</v>
      </c>
      <c r="V3892">
        <f t="shared" si="0"/>
        <v>31812029</v>
      </c>
      <c r="W3892"/>
      <c r="X3892" t="s">
        <v>1603</v>
      </c>
      <c r="Y3892" t="s">
        <v>215</v>
      </c>
      <c r="Z3892">
        <v>20088</v>
      </c>
      <c r="AA3892" t="s">
        <v>1604</v>
      </c>
      <c r="AB3892">
        <v>40001</v>
      </c>
      <c r="AC3892"/>
      <c r="AD3892"/>
      <c r="AE3892" t="s">
        <v>7524</v>
      </c>
      <c r="AF3892" t="s">
        <v>7524</v>
      </c>
      <c r="AG3892" t="s">
        <v>86</v>
      </c>
    </row>
    <row r="3893" spans="2:33">
      <c r="B3893" s="14">
        <f>10000000+INDEX(编号表!$B:$B,MATCH(H3893,编号表!$A:$A,0))*100000+INDEX(编号表!$F:$F,MATCH(D3893,编号表!$E:$E,0))*10000+INDEX(编号表!$D:$D,MATCH(AG3893,编号表!$C:$C,0))*1000+F3893</f>
        <v>11812030</v>
      </c>
      <c r="C3893" t="s">
        <v>1609</v>
      </c>
      <c r="D3893" t="s">
        <v>72</v>
      </c>
      <c r="E3893" t="s">
        <v>86</v>
      </c>
      <c r="F3893">
        <v>30</v>
      </c>
      <c r="G3893">
        <v>60</v>
      </c>
      <c r="H3893" t="s">
        <v>7524</v>
      </c>
      <c r="I3893" t="s">
        <v>75</v>
      </c>
      <c r="J3893" t="s">
        <v>201</v>
      </c>
      <c r="K3893">
        <v>1</v>
      </c>
      <c r="L3893" t="s">
        <v>7524</v>
      </c>
      <c r="M3893"/>
      <c r="N3893">
        <v>0</v>
      </c>
      <c r="O3893" t="b">
        <v>1</v>
      </c>
      <c r="P3893"/>
      <c r="Q3893" t="b">
        <v>0</v>
      </c>
      <c r="R3893">
        <v>1</v>
      </c>
      <c r="S3893" t="s">
        <v>77</v>
      </c>
      <c r="T3893">
        <v>999</v>
      </c>
      <c r="U3893" t="s">
        <v>7525</v>
      </c>
      <c r="V3893">
        <f t="shared" si="0"/>
        <v>31812030</v>
      </c>
      <c r="W3893"/>
      <c r="X3893" t="s">
        <v>1610</v>
      </c>
      <c r="Y3893" t="s">
        <v>215</v>
      </c>
      <c r="Z3893">
        <v>20091</v>
      </c>
      <c r="AA3893" t="s">
        <v>1611</v>
      </c>
      <c r="AB3893">
        <v>40001</v>
      </c>
      <c r="AC3893"/>
      <c r="AD3893"/>
      <c r="AE3893" t="s">
        <v>7524</v>
      </c>
      <c r="AF3893" t="s">
        <v>7524</v>
      </c>
      <c r="AG3893" t="s">
        <v>86</v>
      </c>
    </row>
    <row r="3894" spans="2:33">
      <c r="B3894" s="14">
        <f>10000000+INDEX(编号表!$B:$B,MATCH(H3894,编号表!$A:$A,0))*100000+INDEX(编号表!$F:$F,MATCH(D3894,编号表!$E:$E,0))*10000+INDEX(编号表!$D:$D,MATCH(AG3894,编号表!$C:$C,0))*1000+F3894</f>
        <v>11812031</v>
      </c>
      <c r="C3894" t="s">
        <v>1616</v>
      </c>
      <c r="D3894" t="s">
        <v>72</v>
      </c>
      <c r="E3894" t="s">
        <v>86</v>
      </c>
      <c r="F3894">
        <v>31</v>
      </c>
      <c r="G3894">
        <v>60</v>
      </c>
      <c r="H3894" t="s">
        <v>7524</v>
      </c>
      <c r="I3894" t="s">
        <v>75</v>
      </c>
      <c r="J3894" t="s">
        <v>201</v>
      </c>
      <c r="K3894">
        <v>1</v>
      </c>
      <c r="L3894" t="s">
        <v>7524</v>
      </c>
      <c r="M3894"/>
      <c r="N3894">
        <v>0</v>
      </c>
      <c r="O3894" t="b">
        <v>1</v>
      </c>
      <c r="P3894"/>
      <c r="Q3894" t="b">
        <v>0</v>
      </c>
      <c r="R3894">
        <v>1</v>
      </c>
      <c r="S3894" t="s">
        <v>77</v>
      </c>
      <c r="T3894">
        <v>999</v>
      </c>
      <c r="U3894" t="s">
        <v>7525</v>
      </c>
      <c r="V3894">
        <f t="shared" si="0"/>
        <v>31812031</v>
      </c>
      <c r="W3894"/>
      <c r="X3894" t="s">
        <v>1617</v>
      </c>
      <c r="Y3894" t="s">
        <v>215</v>
      </c>
      <c r="Z3894">
        <v>20094</v>
      </c>
      <c r="AA3894" t="s">
        <v>1618</v>
      </c>
      <c r="AB3894">
        <v>40001</v>
      </c>
      <c r="AC3894"/>
      <c r="AD3894"/>
      <c r="AE3894" t="s">
        <v>7524</v>
      </c>
      <c r="AF3894" t="s">
        <v>7524</v>
      </c>
      <c r="AG3894" t="s">
        <v>86</v>
      </c>
    </row>
    <row r="3895" spans="2:33">
      <c r="B3895" s="14">
        <f>10000000+INDEX(编号表!$B:$B,MATCH(H3895,编号表!$A:$A,0))*100000+INDEX(编号表!$F:$F,MATCH(D3895,编号表!$E:$E,0))*10000+INDEX(编号表!$D:$D,MATCH(AG3895,编号表!$C:$C,0))*1000+F3895</f>
        <v>11812032</v>
      </c>
      <c r="C3895" t="s">
        <v>1623</v>
      </c>
      <c r="D3895" t="s">
        <v>72</v>
      </c>
      <c r="E3895" t="s">
        <v>86</v>
      </c>
      <c r="F3895">
        <v>32</v>
      </c>
      <c r="G3895">
        <v>60</v>
      </c>
      <c r="H3895" t="s">
        <v>7524</v>
      </c>
      <c r="I3895" t="s">
        <v>75</v>
      </c>
      <c r="J3895" t="s">
        <v>201</v>
      </c>
      <c r="K3895">
        <v>1</v>
      </c>
      <c r="L3895" t="s">
        <v>7524</v>
      </c>
      <c r="M3895"/>
      <c r="N3895">
        <v>0</v>
      </c>
      <c r="O3895" t="b">
        <v>1</v>
      </c>
      <c r="P3895"/>
      <c r="Q3895" t="b">
        <v>0</v>
      </c>
      <c r="R3895">
        <v>1</v>
      </c>
      <c r="S3895" t="s">
        <v>77</v>
      </c>
      <c r="T3895">
        <v>999</v>
      </c>
      <c r="U3895" t="s">
        <v>7525</v>
      </c>
      <c r="V3895">
        <f t="shared" si="0"/>
        <v>31812032</v>
      </c>
      <c r="W3895"/>
      <c r="X3895" t="s">
        <v>1624</v>
      </c>
      <c r="Y3895" t="s">
        <v>215</v>
      </c>
      <c r="Z3895">
        <v>20097</v>
      </c>
      <c r="AA3895" t="s">
        <v>1625</v>
      </c>
      <c r="AB3895">
        <v>40001</v>
      </c>
      <c r="AC3895"/>
      <c r="AD3895"/>
      <c r="AE3895" t="s">
        <v>7524</v>
      </c>
      <c r="AF3895" t="s">
        <v>7524</v>
      </c>
      <c r="AG3895" t="s">
        <v>86</v>
      </c>
    </row>
    <row r="3896" spans="2:33">
      <c r="B3896" s="14">
        <f>10000000+INDEX(编号表!$B:$B,MATCH(H3896,编号表!$A:$A,0))*100000+INDEX(编号表!$F:$F,MATCH(D3896,编号表!$E:$E,0))*10000+INDEX(编号表!$D:$D,MATCH(AG3896,编号表!$C:$C,0))*1000+F3896</f>
        <v>11812033</v>
      </c>
      <c r="C3896" t="s">
        <v>1630</v>
      </c>
      <c r="D3896" t="s">
        <v>72</v>
      </c>
      <c r="E3896" t="s">
        <v>86</v>
      </c>
      <c r="F3896">
        <v>33</v>
      </c>
      <c r="G3896">
        <v>60</v>
      </c>
      <c r="H3896" t="s">
        <v>7524</v>
      </c>
      <c r="I3896" t="s">
        <v>75</v>
      </c>
      <c r="J3896" t="s">
        <v>201</v>
      </c>
      <c r="K3896">
        <v>1</v>
      </c>
      <c r="L3896" t="s">
        <v>7524</v>
      </c>
      <c r="M3896"/>
      <c r="N3896">
        <v>0</v>
      </c>
      <c r="O3896" t="b">
        <v>1</v>
      </c>
      <c r="P3896"/>
      <c r="Q3896" t="b">
        <v>0</v>
      </c>
      <c r="R3896">
        <v>1</v>
      </c>
      <c r="S3896" t="s">
        <v>77</v>
      </c>
      <c r="T3896">
        <v>999</v>
      </c>
      <c r="U3896" t="s">
        <v>7525</v>
      </c>
      <c r="V3896">
        <f t="shared" si="0"/>
        <v>31812033</v>
      </c>
      <c r="W3896"/>
      <c r="X3896" t="s">
        <v>1631</v>
      </c>
      <c r="Y3896" t="s">
        <v>215</v>
      </c>
      <c r="Z3896">
        <v>20100</v>
      </c>
      <c r="AA3896" t="s">
        <v>1632</v>
      </c>
      <c r="AB3896">
        <v>40001</v>
      </c>
      <c r="AC3896"/>
      <c r="AD3896"/>
      <c r="AE3896" t="s">
        <v>7524</v>
      </c>
      <c r="AF3896" t="s">
        <v>7524</v>
      </c>
      <c r="AG3896" t="s">
        <v>86</v>
      </c>
    </row>
    <row r="3897" spans="2:33">
      <c r="B3897" s="14">
        <f>10000000+INDEX(编号表!$B:$B,MATCH(H3897,编号表!$A:$A,0))*100000+INDEX(编号表!$F:$F,MATCH(D3897,编号表!$E:$E,0))*10000+INDEX(编号表!$D:$D,MATCH(AG3897,编号表!$C:$C,0))*1000+F3897</f>
        <v>11812034</v>
      </c>
      <c r="C3897" t="s">
        <v>1637</v>
      </c>
      <c r="D3897" t="s">
        <v>72</v>
      </c>
      <c r="E3897" t="s">
        <v>86</v>
      </c>
      <c r="F3897">
        <v>34</v>
      </c>
      <c r="G3897">
        <v>60</v>
      </c>
      <c r="H3897" t="s">
        <v>7524</v>
      </c>
      <c r="I3897" t="s">
        <v>75</v>
      </c>
      <c r="J3897" t="s">
        <v>201</v>
      </c>
      <c r="K3897">
        <v>1</v>
      </c>
      <c r="L3897" t="s">
        <v>7524</v>
      </c>
      <c r="M3897"/>
      <c r="N3897">
        <v>0</v>
      </c>
      <c r="O3897" t="b">
        <v>1</v>
      </c>
      <c r="P3897"/>
      <c r="Q3897" t="b">
        <v>0</v>
      </c>
      <c r="R3897">
        <v>1</v>
      </c>
      <c r="S3897" t="s">
        <v>77</v>
      </c>
      <c r="T3897">
        <v>999</v>
      </c>
      <c r="U3897" t="s">
        <v>7525</v>
      </c>
      <c r="V3897">
        <f t="shared" si="0"/>
        <v>31812034</v>
      </c>
      <c r="W3897"/>
      <c r="X3897" t="s">
        <v>1638</v>
      </c>
      <c r="Y3897" t="s">
        <v>215</v>
      </c>
      <c r="Z3897">
        <v>20103</v>
      </c>
      <c r="AA3897" t="s">
        <v>1639</v>
      </c>
      <c r="AB3897">
        <v>40001</v>
      </c>
      <c r="AC3897"/>
      <c r="AD3897"/>
      <c r="AE3897" t="s">
        <v>7524</v>
      </c>
      <c r="AF3897" t="s">
        <v>7524</v>
      </c>
      <c r="AG3897" t="s">
        <v>86</v>
      </c>
    </row>
    <row r="3898" spans="2:33">
      <c r="B3898" s="14">
        <f>10000000+INDEX(编号表!$B:$B,MATCH(H3898,编号表!$A:$A,0))*100000+INDEX(编号表!$F:$F,MATCH(D3898,编号表!$E:$E,0))*10000+INDEX(编号表!$D:$D,MATCH(AG3898,编号表!$C:$C,0))*1000+F3898</f>
        <v>11812035</v>
      </c>
      <c r="C3898" t="s">
        <v>1644</v>
      </c>
      <c r="D3898" t="s">
        <v>72</v>
      </c>
      <c r="E3898" t="s">
        <v>86</v>
      </c>
      <c r="F3898">
        <v>35</v>
      </c>
      <c r="G3898">
        <v>60</v>
      </c>
      <c r="H3898" t="s">
        <v>7524</v>
      </c>
      <c r="I3898" t="s">
        <v>75</v>
      </c>
      <c r="J3898" t="s">
        <v>201</v>
      </c>
      <c r="K3898">
        <v>1</v>
      </c>
      <c r="L3898" t="s">
        <v>7524</v>
      </c>
      <c r="M3898"/>
      <c r="N3898">
        <v>0</v>
      </c>
      <c r="O3898" t="b">
        <v>1</v>
      </c>
      <c r="P3898"/>
      <c r="Q3898" t="b">
        <v>0</v>
      </c>
      <c r="R3898">
        <v>1</v>
      </c>
      <c r="S3898" t="s">
        <v>77</v>
      </c>
      <c r="T3898">
        <v>999</v>
      </c>
      <c r="U3898" t="s">
        <v>7525</v>
      </c>
      <c r="V3898">
        <f t="shared" si="0"/>
        <v>31812035</v>
      </c>
      <c r="W3898"/>
      <c r="X3898" t="s">
        <v>1645</v>
      </c>
      <c r="Y3898" t="s">
        <v>215</v>
      </c>
      <c r="Z3898">
        <v>20106</v>
      </c>
      <c r="AA3898" t="s">
        <v>1646</v>
      </c>
      <c r="AB3898">
        <v>40001</v>
      </c>
      <c r="AC3898"/>
      <c r="AD3898"/>
      <c r="AE3898" t="s">
        <v>7524</v>
      </c>
      <c r="AF3898" t="s">
        <v>7524</v>
      </c>
      <c r="AG3898" t="s">
        <v>86</v>
      </c>
    </row>
    <row r="3899" spans="2:33">
      <c r="B3899" s="14">
        <f>10000000+INDEX(编号表!$B:$B,MATCH(H3899,编号表!$A:$A,0))*100000+INDEX(编号表!$F:$F,MATCH(D3899,编号表!$E:$E,0))*10000+INDEX(编号表!$D:$D,MATCH(AG3899,编号表!$C:$C,0))*1000+F3899</f>
        <v>11812036</v>
      </c>
      <c r="C3899" t="s">
        <v>1651</v>
      </c>
      <c r="D3899" t="s">
        <v>72</v>
      </c>
      <c r="E3899" t="s">
        <v>86</v>
      </c>
      <c r="F3899">
        <v>36</v>
      </c>
      <c r="G3899">
        <v>60</v>
      </c>
      <c r="H3899" t="s">
        <v>7524</v>
      </c>
      <c r="I3899" t="s">
        <v>75</v>
      </c>
      <c r="J3899" t="s">
        <v>201</v>
      </c>
      <c r="K3899">
        <v>1</v>
      </c>
      <c r="L3899" t="s">
        <v>7524</v>
      </c>
      <c r="M3899"/>
      <c r="N3899">
        <v>0</v>
      </c>
      <c r="O3899" t="b">
        <v>1</v>
      </c>
      <c r="P3899"/>
      <c r="Q3899" t="b">
        <v>0</v>
      </c>
      <c r="R3899">
        <v>1</v>
      </c>
      <c r="S3899" t="s">
        <v>77</v>
      </c>
      <c r="T3899">
        <v>999</v>
      </c>
      <c r="U3899" t="s">
        <v>7525</v>
      </c>
      <c r="V3899">
        <f t="shared" si="0"/>
        <v>31812036</v>
      </c>
      <c r="W3899"/>
      <c r="X3899" t="s">
        <v>1652</v>
      </c>
      <c r="Y3899" t="s">
        <v>215</v>
      </c>
      <c r="Z3899">
        <v>20109</v>
      </c>
      <c r="AA3899" t="s">
        <v>1653</v>
      </c>
      <c r="AB3899">
        <v>40001</v>
      </c>
      <c r="AC3899"/>
      <c r="AD3899"/>
      <c r="AE3899" t="s">
        <v>7524</v>
      </c>
      <c r="AF3899" t="s">
        <v>7524</v>
      </c>
      <c r="AG3899" t="s">
        <v>86</v>
      </c>
    </row>
    <row r="3900" spans="2:33">
      <c r="B3900" s="14">
        <f>10000000+INDEX(编号表!$B:$B,MATCH(H3900,编号表!$A:$A,0))*100000+INDEX(编号表!$F:$F,MATCH(D3900,编号表!$E:$E,0))*10000+INDEX(编号表!$D:$D,MATCH(AG3900,编号表!$C:$C,0))*1000+F3900</f>
        <v>11812037</v>
      </c>
      <c r="C3900" t="s">
        <v>1658</v>
      </c>
      <c r="D3900" t="s">
        <v>72</v>
      </c>
      <c r="E3900" t="s">
        <v>86</v>
      </c>
      <c r="F3900">
        <v>37</v>
      </c>
      <c r="G3900">
        <v>60</v>
      </c>
      <c r="H3900" t="s">
        <v>7524</v>
      </c>
      <c r="I3900" t="s">
        <v>75</v>
      </c>
      <c r="J3900" t="s">
        <v>201</v>
      </c>
      <c r="K3900">
        <v>1</v>
      </c>
      <c r="L3900" t="s">
        <v>7524</v>
      </c>
      <c r="M3900"/>
      <c r="N3900">
        <v>0</v>
      </c>
      <c r="O3900" t="b">
        <v>1</v>
      </c>
      <c r="P3900"/>
      <c r="Q3900" t="b">
        <v>0</v>
      </c>
      <c r="R3900">
        <v>1</v>
      </c>
      <c r="S3900" t="s">
        <v>77</v>
      </c>
      <c r="T3900">
        <v>999</v>
      </c>
      <c r="U3900" t="s">
        <v>7525</v>
      </c>
      <c r="V3900">
        <f t="shared" si="0"/>
        <v>31812037</v>
      </c>
      <c r="W3900"/>
      <c r="X3900" t="s">
        <v>1659</v>
      </c>
      <c r="Y3900" t="s">
        <v>215</v>
      </c>
      <c r="Z3900">
        <v>20112</v>
      </c>
      <c r="AA3900" t="s">
        <v>1660</v>
      </c>
      <c r="AB3900">
        <v>40001</v>
      </c>
      <c r="AC3900"/>
      <c r="AD3900"/>
      <c r="AE3900" t="s">
        <v>7524</v>
      </c>
      <c r="AF3900" t="s">
        <v>7524</v>
      </c>
      <c r="AG3900" t="s">
        <v>86</v>
      </c>
    </row>
    <row r="3901" spans="2:33">
      <c r="B3901" s="14">
        <f>10000000+INDEX(编号表!$B:$B,MATCH(H3901,编号表!$A:$A,0))*100000+INDEX(编号表!$F:$F,MATCH(D3901,编号表!$E:$E,0))*10000+INDEX(编号表!$D:$D,MATCH(AG3901,编号表!$C:$C,0))*1000+F3901</f>
        <v>11812038</v>
      </c>
      <c r="C3901" t="s">
        <v>1665</v>
      </c>
      <c r="D3901" t="s">
        <v>72</v>
      </c>
      <c r="E3901" t="s">
        <v>86</v>
      </c>
      <c r="F3901">
        <v>38</v>
      </c>
      <c r="G3901">
        <v>60</v>
      </c>
      <c r="H3901" t="s">
        <v>7524</v>
      </c>
      <c r="I3901" t="s">
        <v>75</v>
      </c>
      <c r="J3901" t="s">
        <v>201</v>
      </c>
      <c r="K3901">
        <v>1</v>
      </c>
      <c r="L3901" t="s">
        <v>7524</v>
      </c>
      <c r="M3901"/>
      <c r="N3901">
        <v>0</v>
      </c>
      <c r="O3901" t="b">
        <v>1</v>
      </c>
      <c r="P3901"/>
      <c r="Q3901" t="b">
        <v>0</v>
      </c>
      <c r="R3901">
        <v>1</v>
      </c>
      <c r="S3901" t="s">
        <v>77</v>
      </c>
      <c r="T3901">
        <v>999</v>
      </c>
      <c r="U3901" t="s">
        <v>7525</v>
      </c>
      <c r="V3901">
        <f t="shared" si="0"/>
        <v>31812038</v>
      </c>
      <c r="W3901"/>
      <c r="X3901" t="s">
        <v>1666</v>
      </c>
      <c r="Y3901" t="s">
        <v>215</v>
      </c>
      <c r="Z3901">
        <v>20115</v>
      </c>
      <c r="AA3901" t="s">
        <v>1667</v>
      </c>
      <c r="AB3901">
        <v>40001</v>
      </c>
      <c r="AC3901"/>
      <c r="AD3901"/>
      <c r="AE3901" t="s">
        <v>7524</v>
      </c>
      <c r="AF3901" t="s">
        <v>7524</v>
      </c>
      <c r="AG3901" t="s">
        <v>86</v>
      </c>
    </row>
    <row r="3902" spans="2:33">
      <c r="B3902" s="14">
        <f>10000000+INDEX(编号表!$B:$B,MATCH(H3902,编号表!$A:$A,0))*100000+INDEX(编号表!$F:$F,MATCH(D3902,编号表!$E:$E,0))*10000+INDEX(编号表!$D:$D,MATCH(AG3902,编号表!$C:$C,0))*1000+F3902</f>
        <v>11812039</v>
      </c>
      <c r="C3902" t="s">
        <v>1672</v>
      </c>
      <c r="D3902" t="s">
        <v>72</v>
      </c>
      <c r="E3902" t="s">
        <v>86</v>
      </c>
      <c r="F3902">
        <v>39</v>
      </c>
      <c r="G3902">
        <v>60</v>
      </c>
      <c r="H3902" t="s">
        <v>7524</v>
      </c>
      <c r="I3902" t="s">
        <v>75</v>
      </c>
      <c r="J3902" t="s">
        <v>201</v>
      </c>
      <c r="K3902">
        <v>1</v>
      </c>
      <c r="L3902" t="s">
        <v>7524</v>
      </c>
      <c r="M3902"/>
      <c r="N3902">
        <v>0</v>
      </c>
      <c r="O3902" t="b">
        <v>1</v>
      </c>
      <c r="P3902"/>
      <c r="Q3902" t="b">
        <v>0</v>
      </c>
      <c r="R3902">
        <v>1</v>
      </c>
      <c r="S3902" t="s">
        <v>77</v>
      </c>
      <c r="T3902">
        <v>999</v>
      </c>
      <c r="U3902" t="s">
        <v>7525</v>
      </c>
      <c r="V3902">
        <f t="shared" si="0"/>
        <v>31812039</v>
      </c>
      <c r="W3902"/>
      <c r="X3902" t="s">
        <v>1673</v>
      </c>
      <c r="Y3902" t="s">
        <v>215</v>
      </c>
      <c r="Z3902">
        <v>20118</v>
      </c>
      <c r="AA3902" t="s">
        <v>1674</v>
      </c>
      <c r="AB3902">
        <v>40001</v>
      </c>
      <c r="AC3902"/>
      <c r="AD3902"/>
      <c r="AE3902" t="s">
        <v>7524</v>
      </c>
      <c r="AF3902" t="s">
        <v>7524</v>
      </c>
      <c r="AG3902" t="s">
        <v>86</v>
      </c>
    </row>
    <row r="3903" spans="2:33">
      <c r="B3903" s="14">
        <f>10000000+INDEX(编号表!$B:$B,MATCH(H3903,编号表!$A:$A,0))*100000+INDEX(编号表!$F:$F,MATCH(D3903,编号表!$E:$E,0))*10000+INDEX(编号表!$D:$D,MATCH(AG3903,编号表!$C:$C,0))*1000+F3903</f>
        <v>11812040</v>
      </c>
      <c r="C3903" t="s">
        <v>1679</v>
      </c>
      <c r="D3903" t="s">
        <v>72</v>
      </c>
      <c r="E3903" t="s">
        <v>86</v>
      </c>
      <c r="F3903">
        <v>40</v>
      </c>
      <c r="G3903">
        <v>60</v>
      </c>
      <c r="H3903" t="s">
        <v>7524</v>
      </c>
      <c r="I3903" t="s">
        <v>75</v>
      </c>
      <c r="J3903" t="s">
        <v>201</v>
      </c>
      <c r="K3903">
        <v>1</v>
      </c>
      <c r="L3903" t="s">
        <v>7524</v>
      </c>
      <c r="M3903"/>
      <c r="N3903">
        <v>0</v>
      </c>
      <c r="O3903" t="b">
        <v>1</v>
      </c>
      <c r="P3903"/>
      <c r="Q3903" t="b">
        <v>0</v>
      </c>
      <c r="R3903">
        <v>1</v>
      </c>
      <c r="S3903" t="s">
        <v>77</v>
      </c>
      <c r="T3903">
        <v>999</v>
      </c>
      <c r="U3903" t="s">
        <v>7525</v>
      </c>
      <c r="V3903">
        <f t="shared" si="0"/>
        <v>31812040</v>
      </c>
      <c r="W3903"/>
      <c r="X3903" t="s">
        <v>1680</v>
      </c>
      <c r="Y3903" t="s">
        <v>215</v>
      </c>
      <c r="Z3903">
        <v>20121</v>
      </c>
      <c r="AA3903" t="s">
        <v>1681</v>
      </c>
      <c r="AB3903">
        <v>40001</v>
      </c>
      <c r="AC3903"/>
      <c r="AD3903"/>
      <c r="AE3903" t="s">
        <v>7524</v>
      </c>
      <c r="AF3903" t="s">
        <v>7524</v>
      </c>
      <c r="AG3903" t="s">
        <v>86</v>
      </c>
    </row>
    <row r="3904" spans="2:33">
      <c r="B3904" s="14">
        <f>10000000+INDEX(编号表!$B:$B,MATCH(H3904,编号表!$A:$A,0))*100000+INDEX(编号表!$F:$F,MATCH(D3904,编号表!$E:$E,0))*10000+INDEX(编号表!$D:$D,MATCH(AG3904,编号表!$C:$C,0))*1000+F3904</f>
        <v>11812041</v>
      </c>
      <c r="C3904" t="s">
        <v>1686</v>
      </c>
      <c r="D3904" t="s">
        <v>72</v>
      </c>
      <c r="E3904" t="s">
        <v>86</v>
      </c>
      <c r="F3904">
        <v>41</v>
      </c>
      <c r="G3904">
        <v>60</v>
      </c>
      <c r="H3904" t="s">
        <v>7524</v>
      </c>
      <c r="I3904" t="s">
        <v>75</v>
      </c>
      <c r="J3904" t="s">
        <v>201</v>
      </c>
      <c r="K3904">
        <v>1</v>
      </c>
      <c r="L3904" t="s">
        <v>7524</v>
      </c>
      <c r="M3904"/>
      <c r="N3904">
        <v>0</v>
      </c>
      <c r="O3904" t="b">
        <v>1</v>
      </c>
      <c r="P3904"/>
      <c r="Q3904" t="b">
        <v>0</v>
      </c>
      <c r="R3904">
        <v>1</v>
      </c>
      <c r="S3904" t="s">
        <v>77</v>
      </c>
      <c r="T3904">
        <v>999</v>
      </c>
      <c r="U3904" t="s">
        <v>7525</v>
      </c>
      <c r="V3904">
        <f t="shared" si="0"/>
        <v>31812041</v>
      </c>
      <c r="W3904"/>
      <c r="X3904" t="s">
        <v>1687</v>
      </c>
      <c r="Y3904" t="s">
        <v>215</v>
      </c>
      <c r="Z3904">
        <v>20124</v>
      </c>
      <c r="AA3904" t="s">
        <v>1688</v>
      </c>
      <c r="AB3904">
        <v>40001</v>
      </c>
      <c r="AC3904"/>
      <c r="AD3904"/>
      <c r="AE3904" t="s">
        <v>7524</v>
      </c>
      <c r="AF3904" t="s">
        <v>7524</v>
      </c>
      <c r="AG3904" t="s">
        <v>86</v>
      </c>
    </row>
    <row r="3905" spans="2:33">
      <c r="B3905" s="14">
        <f>10000000+INDEX(编号表!$B:$B,MATCH(H3905,编号表!$A:$A,0))*100000+INDEX(编号表!$F:$F,MATCH(D3905,编号表!$E:$E,0))*10000+INDEX(编号表!$D:$D,MATCH(AG3905,编号表!$C:$C,0))*1000+F3905</f>
        <v>11812042</v>
      </c>
      <c r="C3905" t="s">
        <v>1693</v>
      </c>
      <c r="D3905" t="s">
        <v>72</v>
      </c>
      <c r="E3905" t="s">
        <v>86</v>
      </c>
      <c r="F3905">
        <v>42</v>
      </c>
      <c r="G3905">
        <v>60</v>
      </c>
      <c r="H3905" t="s">
        <v>7524</v>
      </c>
      <c r="I3905" t="s">
        <v>75</v>
      </c>
      <c r="J3905" t="s">
        <v>201</v>
      </c>
      <c r="K3905">
        <v>1</v>
      </c>
      <c r="L3905" t="s">
        <v>7524</v>
      </c>
      <c r="M3905"/>
      <c r="N3905">
        <v>0</v>
      </c>
      <c r="O3905" t="b">
        <v>1</v>
      </c>
      <c r="P3905"/>
      <c r="Q3905" t="b">
        <v>0</v>
      </c>
      <c r="R3905">
        <v>1</v>
      </c>
      <c r="S3905" t="s">
        <v>77</v>
      </c>
      <c r="T3905">
        <v>999</v>
      </c>
      <c r="U3905" t="s">
        <v>7525</v>
      </c>
      <c r="V3905">
        <f t="shared" si="0"/>
        <v>31812042</v>
      </c>
      <c r="W3905"/>
      <c r="X3905" t="s">
        <v>1694</v>
      </c>
      <c r="Y3905" t="s">
        <v>215</v>
      </c>
      <c r="Z3905">
        <v>20127</v>
      </c>
      <c r="AA3905" t="s">
        <v>1695</v>
      </c>
      <c r="AB3905">
        <v>40001</v>
      </c>
      <c r="AC3905"/>
      <c r="AD3905"/>
      <c r="AE3905" t="s">
        <v>7524</v>
      </c>
      <c r="AF3905" t="s">
        <v>7524</v>
      </c>
      <c r="AG3905" t="s">
        <v>86</v>
      </c>
    </row>
    <row r="3906" spans="2:33">
      <c r="B3906" s="14">
        <f>10000000+INDEX(编号表!$B:$B,MATCH(H3906,编号表!$A:$A,0))*100000+INDEX(编号表!$F:$F,MATCH(D3906,编号表!$E:$E,0))*10000+INDEX(编号表!$D:$D,MATCH(AG3906,编号表!$C:$C,0))*1000+F3906</f>
        <v>11812043</v>
      </c>
      <c r="C3906" t="s">
        <v>1700</v>
      </c>
      <c r="D3906" t="s">
        <v>72</v>
      </c>
      <c r="E3906" t="s">
        <v>86</v>
      </c>
      <c r="F3906">
        <v>43</v>
      </c>
      <c r="G3906">
        <v>60</v>
      </c>
      <c r="H3906" t="s">
        <v>7524</v>
      </c>
      <c r="I3906" t="s">
        <v>75</v>
      </c>
      <c r="J3906" t="s">
        <v>201</v>
      </c>
      <c r="K3906">
        <v>1</v>
      </c>
      <c r="L3906" t="s">
        <v>7524</v>
      </c>
      <c r="M3906"/>
      <c r="N3906">
        <v>0</v>
      </c>
      <c r="O3906" t="b">
        <v>1</v>
      </c>
      <c r="P3906"/>
      <c r="Q3906" t="b">
        <v>0</v>
      </c>
      <c r="R3906">
        <v>1</v>
      </c>
      <c r="S3906" t="s">
        <v>77</v>
      </c>
      <c r="T3906">
        <v>999</v>
      </c>
      <c r="U3906" t="s">
        <v>7525</v>
      </c>
      <c r="V3906">
        <f t="shared" si="0"/>
        <v>31812043</v>
      </c>
      <c r="W3906"/>
      <c r="X3906" t="s">
        <v>1701</v>
      </c>
      <c r="Y3906" t="s">
        <v>215</v>
      </c>
      <c r="Z3906">
        <v>20130</v>
      </c>
      <c r="AA3906" t="s">
        <v>1702</v>
      </c>
      <c r="AB3906">
        <v>40001</v>
      </c>
      <c r="AC3906"/>
      <c r="AD3906"/>
      <c r="AE3906" t="s">
        <v>7524</v>
      </c>
      <c r="AF3906" t="s">
        <v>7524</v>
      </c>
      <c r="AG3906" t="s">
        <v>86</v>
      </c>
    </row>
    <row r="3907" spans="2:33">
      <c r="B3907" s="14">
        <f>10000000+INDEX(编号表!$B:$B,MATCH(H3907,编号表!$A:$A,0))*100000+INDEX(编号表!$F:$F,MATCH(D3907,编号表!$E:$E,0))*10000+INDEX(编号表!$D:$D,MATCH(AG3907,编号表!$C:$C,0))*1000+F3907</f>
        <v>11812044</v>
      </c>
      <c r="C3907" t="s">
        <v>1707</v>
      </c>
      <c r="D3907" t="s">
        <v>72</v>
      </c>
      <c r="E3907" t="s">
        <v>86</v>
      </c>
      <c r="F3907">
        <v>44</v>
      </c>
      <c r="G3907">
        <v>60</v>
      </c>
      <c r="H3907" t="s">
        <v>7524</v>
      </c>
      <c r="I3907" t="s">
        <v>75</v>
      </c>
      <c r="J3907" t="s">
        <v>201</v>
      </c>
      <c r="K3907">
        <v>1</v>
      </c>
      <c r="L3907" t="s">
        <v>7524</v>
      </c>
      <c r="M3907"/>
      <c r="N3907">
        <v>0</v>
      </c>
      <c r="O3907" t="b">
        <v>1</v>
      </c>
      <c r="P3907"/>
      <c r="Q3907" t="b">
        <v>0</v>
      </c>
      <c r="R3907">
        <v>1</v>
      </c>
      <c r="S3907" t="s">
        <v>77</v>
      </c>
      <c r="T3907">
        <v>999</v>
      </c>
      <c r="U3907" t="s">
        <v>7525</v>
      </c>
      <c r="V3907">
        <f t="shared" si="0"/>
        <v>31812044</v>
      </c>
      <c r="W3907"/>
      <c r="X3907" t="s">
        <v>1708</v>
      </c>
      <c r="Y3907" t="s">
        <v>215</v>
      </c>
      <c r="Z3907">
        <v>20133</v>
      </c>
      <c r="AA3907" t="s">
        <v>1709</v>
      </c>
      <c r="AB3907">
        <v>40001</v>
      </c>
      <c r="AC3907"/>
      <c r="AD3907"/>
      <c r="AE3907" t="s">
        <v>7524</v>
      </c>
      <c r="AF3907" t="s">
        <v>7524</v>
      </c>
      <c r="AG3907" t="s">
        <v>86</v>
      </c>
    </row>
    <row r="3908" spans="2:33">
      <c r="B3908" s="14">
        <f>10000000+INDEX(编号表!$B:$B,MATCH(H3908,编号表!$A:$A,0))*100000+INDEX(编号表!$F:$F,MATCH(D3908,编号表!$E:$E,0))*10000+INDEX(编号表!$D:$D,MATCH(AG3908,编号表!$C:$C,0))*1000+F3908</f>
        <v>11812045</v>
      </c>
      <c r="C3908" t="s">
        <v>1714</v>
      </c>
      <c r="D3908" t="s">
        <v>72</v>
      </c>
      <c r="E3908" t="s">
        <v>86</v>
      </c>
      <c r="F3908">
        <v>45</v>
      </c>
      <c r="G3908">
        <v>60</v>
      </c>
      <c r="H3908" t="s">
        <v>7524</v>
      </c>
      <c r="I3908" t="s">
        <v>75</v>
      </c>
      <c r="J3908" t="s">
        <v>201</v>
      </c>
      <c r="K3908">
        <v>1</v>
      </c>
      <c r="L3908" t="s">
        <v>7524</v>
      </c>
      <c r="M3908"/>
      <c r="N3908">
        <v>0</v>
      </c>
      <c r="O3908" t="b">
        <v>1</v>
      </c>
      <c r="P3908"/>
      <c r="Q3908" t="b">
        <v>0</v>
      </c>
      <c r="R3908">
        <v>1</v>
      </c>
      <c r="S3908" t="s">
        <v>77</v>
      </c>
      <c r="T3908">
        <v>999</v>
      </c>
      <c r="U3908" t="s">
        <v>7525</v>
      </c>
      <c r="V3908">
        <f t="shared" si="0"/>
        <v>31812045</v>
      </c>
      <c r="W3908"/>
      <c r="X3908" t="s">
        <v>1715</v>
      </c>
      <c r="Y3908" t="s">
        <v>215</v>
      </c>
      <c r="Z3908">
        <v>20136</v>
      </c>
      <c r="AA3908" t="s">
        <v>1716</v>
      </c>
      <c r="AB3908">
        <v>40001</v>
      </c>
      <c r="AC3908"/>
      <c r="AD3908"/>
      <c r="AE3908" t="s">
        <v>7524</v>
      </c>
      <c r="AF3908" t="s">
        <v>7524</v>
      </c>
      <c r="AG3908" t="s">
        <v>86</v>
      </c>
    </row>
    <row r="3909" spans="2:33">
      <c r="B3909" s="14">
        <f>10000000+INDEX(编号表!$B:$B,MATCH(H3909,编号表!$A:$A,0))*100000+INDEX(编号表!$F:$F,MATCH(D3909,编号表!$E:$E,0))*10000+INDEX(编号表!$D:$D,MATCH(AG3909,编号表!$C:$C,0))*1000+F3909</f>
        <v>11812046</v>
      </c>
      <c r="C3909" t="s">
        <v>1721</v>
      </c>
      <c r="D3909" t="s">
        <v>72</v>
      </c>
      <c r="E3909" t="s">
        <v>86</v>
      </c>
      <c r="F3909">
        <v>46</v>
      </c>
      <c r="G3909">
        <v>60</v>
      </c>
      <c r="H3909" t="s">
        <v>7524</v>
      </c>
      <c r="I3909" t="s">
        <v>75</v>
      </c>
      <c r="J3909" t="s">
        <v>201</v>
      </c>
      <c r="K3909">
        <v>1</v>
      </c>
      <c r="L3909" t="s">
        <v>7524</v>
      </c>
      <c r="M3909"/>
      <c r="N3909">
        <v>0</v>
      </c>
      <c r="O3909" t="b">
        <v>1</v>
      </c>
      <c r="P3909"/>
      <c r="Q3909" t="b">
        <v>0</v>
      </c>
      <c r="R3909">
        <v>1</v>
      </c>
      <c r="S3909" t="s">
        <v>77</v>
      </c>
      <c r="T3909">
        <v>999</v>
      </c>
      <c r="U3909" t="s">
        <v>7525</v>
      </c>
      <c r="V3909">
        <f t="shared" si="0"/>
        <v>31812046</v>
      </c>
      <c r="W3909"/>
      <c r="X3909" t="s">
        <v>1722</v>
      </c>
      <c r="Y3909" t="s">
        <v>215</v>
      </c>
      <c r="Z3909">
        <v>20139</v>
      </c>
      <c r="AA3909" t="s">
        <v>1723</v>
      </c>
      <c r="AB3909">
        <v>40001</v>
      </c>
      <c r="AC3909"/>
      <c r="AD3909"/>
      <c r="AE3909" t="s">
        <v>7524</v>
      </c>
      <c r="AF3909" t="s">
        <v>7524</v>
      </c>
      <c r="AG3909" t="s">
        <v>86</v>
      </c>
    </row>
    <row r="3910" spans="2:33">
      <c r="B3910" s="14">
        <f>10000000+INDEX(编号表!$B:$B,MATCH(H3910,编号表!$A:$A,0))*100000+INDEX(编号表!$F:$F,MATCH(D3910,编号表!$E:$E,0))*10000+INDEX(编号表!$D:$D,MATCH(AG3910,编号表!$C:$C,0))*1000+F3910</f>
        <v>11812047</v>
      </c>
      <c r="C3910" t="s">
        <v>1728</v>
      </c>
      <c r="D3910" t="s">
        <v>72</v>
      </c>
      <c r="E3910" t="s">
        <v>86</v>
      </c>
      <c r="F3910">
        <v>47</v>
      </c>
      <c r="G3910">
        <v>60</v>
      </c>
      <c r="H3910" t="s">
        <v>7524</v>
      </c>
      <c r="I3910" t="s">
        <v>75</v>
      </c>
      <c r="J3910" t="s">
        <v>201</v>
      </c>
      <c r="K3910">
        <v>1</v>
      </c>
      <c r="L3910" t="s">
        <v>7524</v>
      </c>
      <c r="M3910"/>
      <c r="N3910">
        <v>0</v>
      </c>
      <c r="O3910" t="b">
        <v>1</v>
      </c>
      <c r="P3910"/>
      <c r="Q3910" t="b">
        <v>0</v>
      </c>
      <c r="R3910">
        <v>1</v>
      </c>
      <c r="S3910" t="s">
        <v>77</v>
      </c>
      <c r="T3910">
        <v>999</v>
      </c>
      <c r="U3910" t="s">
        <v>7525</v>
      </c>
      <c r="V3910">
        <f t="shared" si="0"/>
        <v>31812047</v>
      </c>
      <c r="W3910"/>
      <c r="X3910" t="s">
        <v>1729</v>
      </c>
      <c r="Y3910" t="s">
        <v>215</v>
      </c>
      <c r="Z3910">
        <v>20142</v>
      </c>
      <c r="AA3910" t="s">
        <v>1730</v>
      </c>
      <c r="AB3910">
        <v>40001</v>
      </c>
      <c r="AC3910"/>
      <c r="AD3910"/>
      <c r="AE3910" t="s">
        <v>7524</v>
      </c>
      <c r="AF3910" t="s">
        <v>7524</v>
      </c>
      <c r="AG3910" t="s">
        <v>86</v>
      </c>
    </row>
    <row r="3911" spans="2:33">
      <c r="B3911" s="14">
        <f>10000000+INDEX(编号表!$B:$B,MATCH(H3911,编号表!$A:$A,0))*100000+INDEX(编号表!$F:$F,MATCH(D3911,编号表!$E:$E,0))*10000+INDEX(编号表!$D:$D,MATCH(AG3911,编号表!$C:$C,0))*1000+F3911</f>
        <v>11812048</v>
      </c>
      <c r="C3911" t="s">
        <v>1735</v>
      </c>
      <c r="D3911" t="s">
        <v>72</v>
      </c>
      <c r="E3911" t="s">
        <v>86</v>
      </c>
      <c r="F3911">
        <v>48</v>
      </c>
      <c r="G3911">
        <v>60</v>
      </c>
      <c r="H3911" t="s">
        <v>7524</v>
      </c>
      <c r="I3911" t="s">
        <v>75</v>
      </c>
      <c r="J3911" t="s">
        <v>201</v>
      </c>
      <c r="K3911">
        <v>1</v>
      </c>
      <c r="L3911" t="s">
        <v>7524</v>
      </c>
      <c r="M3911"/>
      <c r="N3911">
        <v>0</v>
      </c>
      <c r="O3911" t="b">
        <v>1</v>
      </c>
      <c r="P3911"/>
      <c r="Q3911" t="b">
        <v>0</v>
      </c>
      <c r="R3911">
        <v>1</v>
      </c>
      <c r="S3911" t="s">
        <v>77</v>
      </c>
      <c r="T3911">
        <v>999</v>
      </c>
      <c r="U3911" t="s">
        <v>7525</v>
      </c>
      <c r="V3911">
        <f t="shared" si="0"/>
        <v>31812048</v>
      </c>
      <c r="W3911"/>
      <c r="X3911" t="s">
        <v>1736</v>
      </c>
      <c r="Y3911" t="s">
        <v>215</v>
      </c>
      <c r="Z3911">
        <v>20145</v>
      </c>
      <c r="AA3911" t="s">
        <v>1737</v>
      </c>
      <c r="AB3911">
        <v>40001</v>
      </c>
      <c r="AC3911"/>
      <c r="AD3911"/>
      <c r="AE3911" t="s">
        <v>7524</v>
      </c>
      <c r="AF3911" t="s">
        <v>7524</v>
      </c>
      <c r="AG3911" t="s">
        <v>86</v>
      </c>
    </row>
    <row r="3912" spans="2:33">
      <c r="B3912" s="14">
        <f>10000000+INDEX(编号表!$B:$B,MATCH(H3912,编号表!$A:$A,0))*100000+INDEX(编号表!$F:$F,MATCH(D3912,编号表!$E:$E,0))*10000+INDEX(编号表!$D:$D,MATCH(AG3912,编号表!$C:$C,0))*1000+F3912</f>
        <v>11812049</v>
      </c>
      <c r="C3912" t="s">
        <v>1742</v>
      </c>
      <c r="D3912" t="s">
        <v>72</v>
      </c>
      <c r="E3912" t="s">
        <v>86</v>
      </c>
      <c r="F3912">
        <v>49</v>
      </c>
      <c r="G3912">
        <v>60</v>
      </c>
      <c r="H3912" t="s">
        <v>7524</v>
      </c>
      <c r="I3912" t="s">
        <v>75</v>
      </c>
      <c r="J3912" t="s">
        <v>201</v>
      </c>
      <c r="K3912">
        <v>1</v>
      </c>
      <c r="L3912" t="s">
        <v>7524</v>
      </c>
      <c r="M3912"/>
      <c r="N3912">
        <v>0</v>
      </c>
      <c r="O3912" t="b">
        <v>1</v>
      </c>
      <c r="P3912"/>
      <c r="Q3912" t="b">
        <v>0</v>
      </c>
      <c r="R3912">
        <v>1</v>
      </c>
      <c r="S3912" t="s">
        <v>77</v>
      </c>
      <c r="T3912">
        <v>999</v>
      </c>
      <c r="U3912" t="s">
        <v>7525</v>
      </c>
      <c r="V3912">
        <f t="shared" si="0"/>
        <v>31812049</v>
      </c>
      <c r="W3912"/>
      <c r="X3912" t="s">
        <v>1743</v>
      </c>
      <c r="Y3912" t="s">
        <v>215</v>
      </c>
      <c r="Z3912">
        <v>20148</v>
      </c>
      <c r="AA3912" t="s">
        <v>1744</v>
      </c>
      <c r="AB3912">
        <v>40001</v>
      </c>
      <c r="AC3912"/>
      <c r="AD3912"/>
      <c r="AE3912" t="s">
        <v>7524</v>
      </c>
      <c r="AF3912" t="s">
        <v>7524</v>
      </c>
      <c r="AG3912" t="s">
        <v>86</v>
      </c>
    </row>
    <row r="3913" spans="2:33">
      <c r="B3913" s="14">
        <f>10000000+INDEX(编号表!$B:$B,MATCH(H3913,编号表!$A:$A,0))*100000+INDEX(编号表!$F:$F,MATCH(D3913,编号表!$E:$E,0))*10000+INDEX(编号表!$D:$D,MATCH(AG3913,编号表!$C:$C,0))*1000+F3913</f>
        <v>11812050</v>
      </c>
      <c r="C3913" t="s">
        <v>1749</v>
      </c>
      <c r="D3913" t="s">
        <v>72</v>
      </c>
      <c r="E3913" t="s">
        <v>86</v>
      </c>
      <c r="F3913">
        <v>50</v>
      </c>
      <c r="G3913">
        <v>60</v>
      </c>
      <c r="H3913" t="s">
        <v>7524</v>
      </c>
      <c r="I3913" t="s">
        <v>75</v>
      </c>
      <c r="J3913" t="s">
        <v>201</v>
      </c>
      <c r="K3913">
        <v>1</v>
      </c>
      <c r="L3913" t="s">
        <v>7524</v>
      </c>
      <c r="M3913"/>
      <c r="N3913">
        <v>0</v>
      </c>
      <c r="O3913" t="b">
        <v>1</v>
      </c>
      <c r="P3913"/>
      <c r="Q3913" t="b">
        <v>0</v>
      </c>
      <c r="R3913">
        <v>1</v>
      </c>
      <c r="S3913" t="s">
        <v>77</v>
      </c>
      <c r="T3913">
        <v>999</v>
      </c>
      <c r="U3913" t="s">
        <v>7525</v>
      </c>
      <c r="V3913">
        <f t="shared" si="0"/>
        <v>31812050</v>
      </c>
      <c r="W3913"/>
      <c r="X3913" t="s">
        <v>1750</v>
      </c>
      <c r="Y3913" t="s">
        <v>215</v>
      </c>
      <c r="Z3913">
        <v>20151</v>
      </c>
      <c r="AA3913" t="s">
        <v>1751</v>
      </c>
      <c r="AB3913">
        <v>40001</v>
      </c>
      <c r="AC3913"/>
      <c r="AD3913"/>
      <c r="AE3913" t="s">
        <v>7524</v>
      </c>
      <c r="AF3913" t="s">
        <v>7524</v>
      </c>
      <c r="AG3913" t="s">
        <v>86</v>
      </c>
    </row>
    <row r="3914" spans="2:33">
      <c r="B3914" s="14">
        <f>10000000+INDEX(编号表!$B:$B,MATCH(H3914,编号表!$A:$A,0))*100000+INDEX(编号表!$F:$F,MATCH(D3914,编号表!$E:$E,0))*10000+INDEX(编号表!$D:$D,MATCH(AG3914,编号表!$C:$C,0))*1000+F3914</f>
        <v>11812051</v>
      </c>
      <c r="C3914" t="s">
        <v>1756</v>
      </c>
      <c r="D3914" t="s">
        <v>72</v>
      </c>
      <c r="E3914" t="s">
        <v>86</v>
      </c>
      <c r="F3914">
        <v>51</v>
      </c>
      <c r="G3914">
        <v>60</v>
      </c>
      <c r="H3914" t="s">
        <v>7524</v>
      </c>
      <c r="I3914" t="s">
        <v>75</v>
      </c>
      <c r="J3914" t="s">
        <v>201</v>
      </c>
      <c r="K3914">
        <v>1</v>
      </c>
      <c r="L3914" t="s">
        <v>7524</v>
      </c>
      <c r="M3914"/>
      <c r="N3914">
        <v>0</v>
      </c>
      <c r="O3914" t="b">
        <v>1</v>
      </c>
      <c r="P3914"/>
      <c r="Q3914" t="b">
        <v>0</v>
      </c>
      <c r="R3914">
        <v>1</v>
      </c>
      <c r="S3914" t="s">
        <v>77</v>
      </c>
      <c r="T3914">
        <v>999</v>
      </c>
      <c r="U3914" t="s">
        <v>7525</v>
      </c>
      <c r="V3914">
        <f t="shared" si="0"/>
        <v>31812051</v>
      </c>
      <c r="W3914"/>
      <c r="X3914" t="s">
        <v>1757</v>
      </c>
      <c r="Y3914" t="s">
        <v>215</v>
      </c>
      <c r="Z3914">
        <v>20154</v>
      </c>
      <c r="AA3914" t="s">
        <v>1758</v>
      </c>
      <c r="AB3914">
        <v>40001</v>
      </c>
      <c r="AC3914"/>
      <c r="AD3914"/>
      <c r="AE3914" t="s">
        <v>7524</v>
      </c>
      <c r="AF3914" t="s">
        <v>7524</v>
      </c>
      <c r="AG3914" t="s">
        <v>86</v>
      </c>
    </row>
    <row r="3915" spans="2:33">
      <c r="B3915" s="14">
        <f>10000000+INDEX(编号表!$B:$B,MATCH(H3915,编号表!$A:$A,0))*100000+INDEX(编号表!$F:$F,MATCH(D3915,编号表!$E:$E,0))*10000+INDEX(编号表!$D:$D,MATCH(AG3915,编号表!$C:$C,0))*1000+F3915</f>
        <v>11812052</v>
      </c>
      <c r="C3915" t="s">
        <v>1763</v>
      </c>
      <c r="D3915" t="s">
        <v>72</v>
      </c>
      <c r="E3915" t="s">
        <v>86</v>
      </c>
      <c r="F3915">
        <v>52</v>
      </c>
      <c r="G3915">
        <v>60</v>
      </c>
      <c r="H3915" t="s">
        <v>7524</v>
      </c>
      <c r="I3915" t="s">
        <v>75</v>
      </c>
      <c r="J3915" t="s">
        <v>201</v>
      </c>
      <c r="K3915">
        <v>1</v>
      </c>
      <c r="L3915" t="s">
        <v>7524</v>
      </c>
      <c r="M3915"/>
      <c r="N3915">
        <v>0</v>
      </c>
      <c r="O3915" t="b">
        <v>1</v>
      </c>
      <c r="P3915"/>
      <c r="Q3915" t="b">
        <v>0</v>
      </c>
      <c r="R3915">
        <v>1</v>
      </c>
      <c r="S3915" t="s">
        <v>77</v>
      </c>
      <c r="T3915">
        <v>999</v>
      </c>
      <c r="U3915" t="s">
        <v>7525</v>
      </c>
      <c r="V3915">
        <f t="shared" si="0"/>
        <v>31812052</v>
      </c>
      <c r="W3915"/>
      <c r="X3915" t="s">
        <v>1764</v>
      </c>
      <c r="Y3915" t="s">
        <v>215</v>
      </c>
      <c r="Z3915">
        <v>20157</v>
      </c>
      <c r="AA3915" t="s">
        <v>1765</v>
      </c>
      <c r="AB3915">
        <v>40001</v>
      </c>
      <c r="AC3915"/>
      <c r="AD3915"/>
      <c r="AE3915" t="s">
        <v>7524</v>
      </c>
      <c r="AF3915" t="s">
        <v>7524</v>
      </c>
      <c r="AG3915" t="s">
        <v>86</v>
      </c>
    </row>
    <row r="3916" spans="2:33">
      <c r="B3916" s="14">
        <f>10000000+INDEX(编号表!$B:$B,MATCH(H3916,编号表!$A:$A,0))*100000+INDEX(编号表!$F:$F,MATCH(D3916,编号表!$E:$E,0))*10000+INDEX(编号表!$D:$D,MATCH(AG3916,编号表!$C:$C,0))*1000+F3916</f>
        <v>11812053</v>
      </c>
      <c r="C3916" t="s">
        <v>1770</v>
      </c>
      <c r="D3916" t="s">
        <v>72</v>
      </c>
      <c r="E3916" t="s">
        <v>86</v>
      </c>
      <c r="F3916">
        <v>53</v>
      </c>
      <c r="G3916">
        <v>60</v>
      </c>
      <c r="H3916" t="s">
        <v>7524</v>
      </c>
      <c r="I3916" t="s">
        <v>75</v>
      </c>
      <c r="J3916" t="s">
        <v>201</v>
      </c>
      <c r="K3916">
        <v>1</v>
      </c>
      <c r="L3916" t="s">
        <v>7524</v>
      </c>
      <c r="M3916"/>
      <c r="N3916">
        <v>0</v>
      </c>
      <c r="O3916" t="b">
        <v>1</v>
      </c>
      <c r="P3916"/>
      <c r="Q3916" t="b">
        <v>0</v>
      </c>
      <c r="R3916">
        <v>1</v>
      </c>
      <c r="S3916" t="s">
        <v>77</v>
      </c>
      <c r="T3916">
        <v>999</v>
      </c>
      <c r="U3916" t="s">
        <v>7525</v>
      </c>
      <c r="V3916">
        <f t="shared" si="0"/>
        <v>31812053</v>
      </c>
      <c r="W3916"/>
      <c r="X3916" t="s">
        <v>1771</v>
      </c>
      <c r="Y3916" t="s">
        <v>215</v>
      </c>
      <c r="Z3916">
        <v>20160</v>
      </c>
      <c r="AA3916" t="s">
        <v>1772</v>
      </c>
      <c r="AB3916">
        <v>40001</v>
      </c>
      <c r="AC3916"/>
      <c r="AD3916"/>
      <c r="AE3916" t="s">
        <v>7524</v>
      </c>
      <c r="AF3916" t="s">
        <v>7524</v>
      </c>
      <c r="AG3916" t="s">
        <v>86</v>
      </c>
    </row>
    <row r="3917" spans="2:33">
      <c r="B3917" s="14">
        <f>10000000+INDEX(编号表!$B:$B,MATCH(H3917,编号表!$A:$A,0))*100000+INDEX(编号表!$F:$F,MATCH(D3917,编号表!$E:$E,0))*10000+INDEX(编号表!$D:$D,MATCH(AG3917,编号表!$C:$C,0))*1000+F3917</f>
        <v>11812054</v>
      </c>
      <c r="C3917" t="s">
        <v>1777</v>
      </c>
      <c r="D3917" t="s">
        <v>72</v>
      </c>
      <c r="E3917" t="s">
        <v>86</v>
      </c>
      <c r="F3917">
        <v>54</v>
      </c>
      <c r="G3917">
        <v>60</v>
      </c>
      <c r="H3917" t="s">
        <v>7524</v>
      </c>
      <c r="I3917" t="s">
        <v>75</v>
      </c>
      <c r="J3917" t="s">
        <v>201</v>
      </c>
      <c r="K3917">
        <v>1</v>
      </c>
      <c r="L3917" t="s">
        <v>7524</v>
      </c>
      <c r="M3917"/>
      <c r="N3917">
        <v>0</v>
      </c>
      <c r="O3917" t="b">
        <v>1</v>
      </c>
      <c r="P3917"/>
      <c r="Q3917" t="b">
        <v>0</v>
      </c>
      <c r="R3917">
        <v>1</v>
      </c>
      <c r="S3917" t="s">
        <v>77</v>
      </c>
      <c r="T3917">
        <v>999</v>
      </c>
      <c r="U3917" t="s">
        <v>7525</v>
      </c>
      <c r="V3917">
        <f t="shared" si="0"/>
        <v>31812054</v>
      </c>
      <c r="W3917"/>
      <c r="X3917" t="s">
        <v>1778</v>
      </c>
      <c r="Y3917" t="s">
        <v>215</v>
      </c>
      <c r="Z3917">
        <v>20163</v>
      </c>
      <c r="AA3917" t="s">
        <v>1779</v>
      </c>
      <c r="AB3917">
        <v>40001</v>
      </c>
      <c r="AC3917"/>
      <c r="AD3917"/>
      <c r="AE3917" t="s">
        <v>7524</v>
      </c>
      <c r="AF3917" t="s">
        <v>7524</v>
      </c>
      <c r="AG3917" t="s">
        <v>86</v>
      </c>
    </row>
    <row r="3918" spans="2:33">
      <c r="B3918" s="14">
        <f>10000000+INDEX(编号表!$B:$B,MATCH(H3918,编号表!$A:$A,0))*100000+INDEX(编号表!$F:$F,MATCH(D3918,编号表!$E:$E,0))*10000+INDEX(编号表!$D:$D,MATCH(AG3918,编号表!$C:$C,0))*1000+F3918</f>
        <v>11812055</v>
      </c>
      <c r="C3918" t="s">
        <v>1784</v>
      </c>
      <c r="D3918" t="s">
        <v>72</v>
      </c>
      <c r="E3918" t="s">
        <v>86</v>
      </c>
      <c r="F3918">
        <v>55</v>
      </c>
      <c r="G3918">
        <v>60</v>
      </c>
      <c r="H3918" t="s">
        <v>7524</v>
      </c>
      <c r="I3918" t="s">
        <v>75</v>
      </c>
      <c r="J3918" t="s">
        <v>201</v>
      </c>
      <c r="K3918">
        <v>1</v>
      </c>
      <c r="L3918" t="s">
        <v>7524</v>
      </c>
      <c r="M3918"/>
      <c r="N3918">
        <v>0</v>
      </c>
      <c r="O3918" t="b">
        <v>1</v>
      </c>
      <c r="P3918"/>
      <c r="Q3918" t="b">
        <v>0</v>
      </c>
      <c r="R3918">
        <v>1</v>
      </c>
      <c r="S3918" t="s">
        <v>77</v>
      </c>
      <c r="T3918">
        <v>999</v>
      </c>
      <c r="U3918" t="s">
        <v>7525</v>
      </c>
      <c r="V3918">
        <f t="shared" si="0"/>
        <v>31812055</v>
      </c>
      <c r="W3918"/>
      <c r="X3918" t="s">
        <v>1785</v>
      </c>
      <c r="Y3918" t="s">
        <v>215</v>
      </c>
      <c r="Z3918">
        <v>20166</v>
      </c>
      <c r="AA3918" t="s">
        <v>1786</v>
      </c>
      <c r="AB3918">
        <v>40001</v>
      </c>
      <c r="AC3918"/>
      <c r="AD3918"/>
      <c r="AE3918" t="s">
        <v>7524</v>
      </c>
      <c r="AF3918" t="s">
        <v>7524</v>
      </c>
      <c r="AG3918" t="s">
        <v>86</v>
      </c>
    </row>
    <row r="3919" spans="2:33">
      <c r="B3919" s="14">
        <f>10000000+INDEX(编号表!$B:$B,MATCH(H3919,编号表!$A:$A,0))*100000+INDEX(编号表!$F:$F,MATCH(D3919,编号表!$E:$E,0))*10000+INDEX(编号表!$D:$D,MATCH(AG3919,编号表!$C:$C,0))*1000+F3919</f>
        <v>11812056</v>
      </c>
      <c r="C3919" t="s">
        <v>1791</v>
      </c>
      <c r="D3919" t="s">
        <v>72</v>
      </c>
      <c r="E3919" t="s">
        <v>86</v>
      </c>
      <c r="F3919">
        <v>56</v>
      </c>
      <c r="G3919">
        <v>60</v>
      </c>
      <c r="H3919" t="s">
        <v>7524</v>
      </c>
      <c r="I3919" t="s">
        <v>75</v>
      </c>
      <c r="J3919" t="s">
        <v>201</v>
      </c>
      <c r="K3919">
        <v>1</v>
      </c>
      <c r="L3919" t="s">
        <v>7524</v>
      </c>
      <c r="M3919"/>
      <c r="N3919">
        <v>0</v>
      </c>
      <c r="O3919" t="b">
        <v>1</v>
      </c>
      <c r="P3919"/>
      <c r="Q3919" t="b">
        <v>0</v>
      </c>
      <c r="R3919">
        <v>1</v>
      </c>
      <c r="S3919" t="s">
        <v>77</v>
      </c>
      <c r="T3919">
        <v>999</v>
      </c>
      <c r="U3919" t="s">
        <v>7525</v>
      </c>
      <c r="V3919">
        <f t="shared" si="0"/>
        <v>31812056</v>
      </c>
      <c r="W3919"/>
      <c r="X3919" t="s">
        <v>1792</v>
      </c>
      <c r="Y3919" t="s">
        <v>215</v>
      </c>
      <c r="Z3919">
        <v>20169</v>
      </c>
      <c r="AA3919" t="s">
        <v>1793</v>
      </c>
      <c r="AB3919">
        <v>40001</v>
      </c>
      <c r="AC3919"/>
      <c r="AD3919"/>
      <c r="AE3919" t="s">
        <v>7524</v>
      </c>
      <c r="AF3919" t="s">
        <v>7524</v>
      </c>
      <c r="AG3919" t="s">
        <v>86</v>
      </c>
    </row>
    <row r="3920" spans="2:33">
      <c r="B3920" s="14">
        <f>10000000+INDEX(编号表!$B:$B,MATCH(H3920,编号表!$A:$A,0))*100000+INDEX(编号表!$F:$F,MATCH(D3920,编号表!$E:$E,0))*10000+INDEX(编号表!$D:$D,MATCH(AG3920,编号表!$C:$C,0))*1000+F3920</f>
        <v>11812057</v>
      </c>
      <c r="C3920" t="s">
        <v>1798</v>
      </c>
      <c r="D3920" t="s">
        <v>72</v>
      </c>
      <c r="E3920" t="s">
        <v>86</v>
      </c>
      <c r="F3920">
        <v>57</v>
      </c>
      <c r="G3920">
        <v>60</v>
      </c>
      <c r="H3920" t="s">
        <v>7524</v>
      </c>
      <c r="I3920" t="s">
        <v>75</v>
      </c>
      <c r="J3920" t="s">
        <v>201</v>
      </c>
      <c r="K3920">
        <v>1</v>
      </c>
      <c r="L3920" t="s">
        <v>7524</v>
      </c>
      <c r="M3920"/>
      <c r="N3920">
        <v>0</v>
      </c>
      <c r="O3920" t="b">
        <v>1</v>
      </c>
      <c r="P3920"/>
      <c r="Q3920" t="b">
        <v>0</v>
      </c>
      <c r="R3920">
        <v>1</v>
      </c>
      <c r="S3920" t="s">
        <v>77</v>
      </c>
      <c r="T3920">
        <v>999</v>
      </c>
      <c r="U3920" t="s">
        <v>7525</v>
      </c>
      <c r="V3920">
        <f t="shared" si="0"/>
        <v>31812057</v>
      </c>
      <c r="W3920"/>
      <c r="X3920" t="s">
        <v>1799</v>
      </c>
      <c r="Y3920" t="s">
        <v>215</v>
      </c>
      <c r="Z3920">
        <v>20172</v>
      </c>
      <c r="AA3920" t="s">
        <v>1800</v>
      </c>
      <c r="AB3920">
        <v>40001</v>
      </c>
      <c r="AC3920"/>
      <c r="AD3920"/>
      <c r="AE3920" t="s">
        <v>7524</v>
      </c>
      <c r="AF3920" t="s">
        <v>7524</v>
      </c>
      <c r="AG3920" t="s">
        <v>86</v>
      </c>
    </row>
    <row r="3921" spans="2:33">
      <c r="B3921" s="14">
        <f>10000000+INDEX(编号表!$B:$B,MATCH(H3921,编号表!$A:$A,0))*100000+INDEX(编号表!$F:$F,MATCH(D3921,编号表!$E:$E,0))*10000+INDEX(编号表!$D:$D,MATCH(AG3921,编号表!$C:$C,0))*1000+F3921</f>
        <v>11812058</v>
      </c>
      <c r="C3921" t="s">
        <v>1805</v>
      </c>
      <c r="D3921" t="s">
        <v>72</v>
      </c>
      <c r="E3921" t="s">
        <v>86</v>
      </c>
      <c r="F3921">
        <v>58</v>
      </c>
      <c r="G3921">
        <v>60</v>
      </c>
      <c r="H3921" t="s">
        <v>7524</v>
      </c>
      <c r="I3921" t="s">
        <v>75</v>
      </c>
      <c r="J3921" t="s">
        <v>201</v>
      </c>
      <c r="K3921">
        <v>1</v>
      </c>
      <c r="L3921" t="s">
        <v>7524</v>
      </c>
      <c r="M3921"/>
      <c r="N3921">
        <v>0</v>
      </c>
      <c r="O3921" t="b">
        <v>1</v>
      </c>
      <c r="P3921"/>
      <c r="Q3921" t="b">
        <v>0</v>
      </c>
      <c r="R3921">
        <v>1</v>
      </c>
      <c r="S3921" t="s">
        <v>77</v>
      </c>
      <c r="T3921">
        <v>999</v>
      </c>
      <c r="U3921" t="s">
        <v>7525</v>
      </c>
      <c r="V3921">
        <f t="shared" si="0"/>
        <v>31812058</v>
      </c>
      <c r="W3921"/>
      <c r="X3921" t="s">
        <v>1806</v>
      </c>
      <c r="Y3921" t="s">
        <v>215</v>
      </c>
      <c r="Z3921">
        <v>20175</v>
      </c>
      <c r="AA3921" t="s">
        <v>1807</v>
      </c>
      <c r="AB3921">
        <v>40001</v>
      </c>
      <c r="AC3921"/>
      <c r="AD3921"/>
      <c r="AE3921" t="s">
        <v>7524</v>
      </c>
      <c r="AF3921" t="s">
        <v>7524</v>
      </c>
      <c r="AG3921" t="s">
        <v>86</v>
      </c>
    </row>
    <row r="3922" spans="2:33">
      <c r="B3922" s="14">
        <f>10000000+INDEX(编号表!$B:$B,MATCH(H3922,编号表!$A:$A,0))*100000+INDEX(编号表!$F:$F,MATCH(D3922,编号表!$E:$E,0))*10000+INDEX(编号表!$D:$D,MATCH(AG3922,编号表!$C:$C,0))*1000+F3922</f>
        <v>11812059</v>
      </c>
      <c r="C3922" t="s">
        <v>1812</v>
      </c>
      <c r="D3922" t="s">
        <v>72</v>
      </c>
      <c r="E3922" t="s">
        <v>86</v>
      </c>
      <c r="F3922">
        <v>59</v>
      </c>
      <c r="G3922">
        <v>60</v>
      </c>
      <c r="H3922" t="s">
        <v>7524</v>
      </c>
      <c r="I3922" t="s">
        <v>75</v>
      </c>
      <c r="J3922" t="s">
        <v>201</v>
      </c>
      <c r="K3922">
        <v>1</v>
      </c>
      <c r="L3922" t="s">
        <v>7524</v>
      </c>
      <c r="M3922"/>
      <c r="N3922">
        <v>0</v>
      </c>
      <c r="O3922" t="b">
        <v>1</v>
      </c>
      <c r="P3922"/>
      <c r="Q3922" t="b">
        <v>0</v>
      </c>
      <c r="R3922">
        <v>1</v>
      </c>
      <c r="S3922" t="s">
        <v>77</v>
      </c>
      <c r="T3922">
        <v>999</v>
      </c>
      <c r="U3922" t="s">
        <v>7525</v>
      </c>
      <c r="V3922">
        <f t="shared" si="0"/>
        <v>31812059</v>
      </c>
      <c r="W3922"/>
      <c r="X3922" t="s">
        <v>1813</v>
      </c>
      <c r="Y3922" t="s">
        <v>215</v>
      </c>
      <c r="Z3922">
        <v>20178</v>
      </c>
      <c r="AA3922" t="s">
        <v>1814</v>
      </c>
      <c r="AB3922">
        <v>40001</v>
      </c>
      <c r="AC3922"/>
      <c r="AD3922"/>
      <c r="AE3922" t="s">
        <v>7524</v>
      </c>
      <c r="AF3922" t="s">
        <v>7524</v>
      </c>
      <c r="AG3922" t="s">
        <v>86</v>
      </c>
    </row>
    <row r="3923" spans="2:33">
      <c r="B3923" s="14">
        <f>10000000+INDEX(编号表!$B:$B,MATCH(H3923,编号表!$A:$A,0))*100000+INDEX(编号表!$F:$F,MATCH(D3923,编号表!$E:$E,0))*10000+INDEX(编号表!$D:$D,MATCH(AG3923,编号表!$C:$C,0))*1000+F3923</f>
        <v>11812060</v>
      </c>
      <c r="C3923" t="s">
        <v>1819</v>
      </c>
      <c r="D3923" t="s">
        <v>72</v>
      </c>
      <c r="E3923" t="s">
        <v>86</v>
      </c>
      <c r="F3923">
        <v>60</v>
      </c>
      <c r="G3923">
        <v>60</v>
      </c>
      <c r="H3923" t="s">
        <v>7524</v>
      </c>
      <c r="I3923" t="s">
        <v>75</v>
      </c>
      <c r="J3923" t="s">
        <v>201</v>
      </c>
      <c r="K3923">
        <v>1</v>
      </c>
      <c r="L3923" t="s">
        <v>7524</v>
      </c>
      <c r="M3923"/>
      <c r="N3923">
        <v>0</v>
      </c>
      <c r="O3923" t="b">
        <v>1</v>
      </c>
      <c r="P3923"/>
      <c r="Q3923" t="b">
        <v>0</v>
      </c>
      <c r="R3923">
        <v>1</v>
      </c>
      <c r="S3923" t="s">
        <v>77</v>
      </c>
      <c r="T3923">
        <v>999</v>
      </c>
      <c r="U3923" t="s">
        <v>7525</v>
      </c>
      <c r="V3923">
        <f t="shared" si="0"/>
        <v>31812060</v>
      </c>
      <c r="W3923"/>
      <c r="X3923" t="s">
        <v>1820</v>
      </c>
      <c r="Y3923" t="s">
        <v>215</v>
      </c>
      <c r="Z3923">
        <v>20181</v>
      </c>
      <c r="AA3923" t="s">
        <v>1821</v>
      </c>
      <c r="AB3923">
        <v>40001</v>
      </c>
      <c r="AC3923"/>
      <c r="AD3923"/>
      <c r="AE3923" t="s">
        <v>7524</v>
      </c>
      <c r="AF3923" t="s">
        <v>7524</v>
      </c>
      <c r="AG3923" t="s">
        <v>86</v>
      </c>
    </row>
    <row r="3924" spans="2:33">
      <c r="B3924" s="14">
        <f>10000000+INDEX(编号表!$B:$B,MATCH(H3924,编号表!$A:$A,0))*100000+INDEX(编号表!$F:$F,MATCH(D3924,编号表!$E:$E,0))*10000+INDEX(编号表!$D:$D,MATCH(AG3924,编号表!$C:$C,0))*1000+F3924</f>
        <v>11812061</v>
      </c>
      <c r="C3924" t="s">
        <v>1826</v>
      </c>
      <c r="D3924" t="s">
        <v>72</v>
      </c>
      <c r="E3924" t="s">
        <v>86</v>
      </c>
      <c r="F3924">
        <v>61</v>
      </c>
      <c r="G3924">
        <v>60</v>
      </c>
      <c r="H3924" t="s">
        <v>7524</v>
      </c>
      <c r="I3924" t="s">
        <v>75</v>
      </c>
      <c r="J3924" t="s">
        <v>201</v>
      </c>
      <c r="K3924">
        <v>1</v>
      </c>
      <c r="L3924" t="s">
        <v>7524</v>
      </c>
      <c r="M3924"/>
      <c r="N3924">
        <v>0</v>
      </c>
      <c r="O3924" t="b">
        <v>1</v>
      </c>
      <c r="P3924"/>
      <c r="Q3924" t="b">
        <v>0</v>
      </c>
      <c r="R3924">
        <v>1</v>
      </c>
      <c r="S3924" t="s">
        <v>77</v>
      </c>
      <c r="T3924">
        <v>999</v>
      </c>
      <c r="U3924" t="s">
        <v>7525</v>
      </c>
      <c r="V3924">
        <f t="shared" si="0"/>
        <v>31812061</v>
      </c>
      <c r="W3924"/>
      <c r="X3924" t="s">
        <v>1827</v>
      </c>
      <c r="Y3924" t="s">
        <v>215</v>
      </c>
      <c r="Z3924">
        <v>20184</v>
      </c>
      <c r="AA3924" t="s">
        <v>1828</v>
      </c>
      <c r="AB3924">
        <v>40001</v>
      </c>
      <c r="AC3924"/>
      <c r="AD3924"/>
      <c r="AE3924" t="s">
        <v>7524</v>
      </c>
      <c r="AF3924" t="s">
        <v>7524</v>
      </c>
      <c r="AG3924" t="s">
        <v>86</v>
      </c>
    </row>
    <row r="3925" spans="2:33">
      <c r="B3925" s="14">
        <f>10000000+INDEX(编号表!$B:$B,MATCH(H3925,编号表!$A:$A,0))*100000+INDEX(编号表!$F:$F,MATCH(D3925,编号表!$E:$E,0))*10000+INDEX(编号表!$D:$D,MATCH(AG3925,编号表!$C:$C,0))*1000+F3925</f>
        <v>11812062</v>
      </c>
      <c r="C3925" t="s">
        <v>1833</v>
      </c>
      <c r="D3925" t="s">
        <v>72</v>
      </c>
      <c r="E3925" t="s">
        <v>86</v>
      </c>
      <c r="F3925">
        <v>62</v>
      </c>
      <c r="G3925">
        <v>60</v>
      </c>
      <c r="H3925" t="s">
        <v>7524</v>
      </c>
      <c r="I3925" t="s">
        <v>75</v>
      </c>
      <c r="J3925" t="s">
        <v>201</v>
      </c>
      <c r="K3925">
        <v>1</v>
      </c>
      <c r="L3925" t="s">
        <v>7524</v>
      </c>
      <c r="M3925"/>
      <c r="N3925">
        <v>0</v>
      </c>
      <c r="O3925" t="b">
        <v>1</v>
      </c>
      <c r="P3925"/>
      <c r="Q3925" t="b">
        <v>0</v>
      </c>
      <c r="R3925">
        <v>1</v>
      </c>
      <c r="S3925" t="s">
        <v>77</v>
      </c>
      <c r="T3925">
        <v>999</v>
      </c>
      <c r="U3925" t="s">
        <v>7525</v>
      </c>
      <c r="V3925">
        <f t="shared" si="0"/>
        <v>31812062</v>
      </c>
      <c r="W3925"/>
      <c r="X3925" t="s">
        <v>1834</v>
      </c>
      <c r="Y3925" t="s">
        <v>215</v>
      </c>
      <c r="Z3925">
        <v>20187</v>
      </c>
      <c r="AA3925" t="s">
        <v>1835</v>
      </c>
      <c r="AB3925">
        <v>40001</v>
      </c>
      <c r="AC3925"/>
      <c r="AD3925"/>
      <c r="AE3925" t="s">
        <v>7524</v>
      </c>
      <c r="AF3925" t="s">
        <v>7524</v>
      </c>
      <c r="AG3925" t="s">
        <v>86</v>
      </c>
    </row>
    <row r="3926" spans="2:33">
      <c r="B3926" s="14">
        <f>10000000+INDEX(编号表!$B:$B,MATCH(H3926,编号表!$A:$A,0))*100000+INDEX(编号表!$F:$F,MATCH(D3926,编号表!$E:$E,0))*10000+INDEX(编号表!$D:$D,MATCH(AG3926,编号表!$C:$C,0))*1000+F3926</f>
        <v>11812063</v>
      </c>
      <c r="C3926" t="s">
        <v>1840</v>
      </c>
      <c r="D3926" t="s">
        <v>72</v>
      </c>
      <c r="E3926" t="s">
        <v>86</v>
      </c>
      <c r="F3926">
        <v>63</v>
      </c>
      <c r="G3926">
        <v>60</v>
      </c>
      <c r="H3926" t="s">
        <v>7524</v>
      </c>
      <c r="I3926" t="s">
        <v>75</v>
      </c>
      <c r="J3926" t="s">
        <v>201</v>
      </c>
      <c r="K3926">
        <v>1</v>
      </c>
      <c r="L3926" t="s">
        <v>7524</v>
      </c>
      <c r="M3926"/>
      <c r="N3926">
        <v>0</v>
      </c>
      <c r="O3926" t="b">
        <v>1</v>
      </c>
      <c r="P3926"/>
      <c r="Q3926" t="b">
        <v>0</v>
      </c>
      <c r="R3926">
        <v>1</v>
      </c>
      <c r="S3926" t="s">
        <v>77</v>
      </c>
      <c r="T3926">
        <v>999</v>
      </c>
      <c r="U3926" t="s">
        <v>7525</v>
      </c>
      <c r="V3926">
        <f t="shared" si="0"/>
        <v>31812063</v>
      </c>
      <c r="W3926"/>
      <c r="X3926" t="s">
        <v>1841</v>
      </c>
      <c r="Y3926" t="s">
        <v>215</v>
      </c>
      <c r="Z3926">
        <v>20190</v>
      </c>
      <c r="AA3926" t="s">
        <v>1842</v>
      </c>
      <c r="AB3926">
        <v>40001</v>
      </c>
      <c r="AC3926"/>
      <c r="AD3926"/>
      <c r="AE3926" t="s">
        <v>7524</v>
      </c>
      <c r="AF3926" t="s">
        <v>7524</v>
      </c>
      <c r="AG3926" t="s">
        <v>86</v>
      </c>
    </row>
    <row r="3927" spans="2:33">
      <c r="B3927" s="14">
        <f>10000000+INDEX(编号表!$B:$B,MATCH(H3927,编号表!$A:$A,0))*100000+INDEX(编号表!$F:$F,MATCH(D3927,编号表!$E:$E,0))*10000+INDEX(编号表!$D:$D,MATCH(AG3927,编号表!$C:$C,0))*1000+F3927</f>
        <v>11812064</v>
      </c>
      <c r="C3927" t="s">
        <v>1847</v>
      </c>
      <c r="D3927" t="s">
        <v>72</v>
      </c>
      <c r="E3927" t="s">
        <v>86</v>
      </c>
      <c r="F3927">
        <v>64</v>
      </c>
      <c r="G3927">
        <v>60</v>
      </c>
      <c r="H3927" t="s">
        <v>7524</v>
      </c>
      <c r="I3927" t="s">
        <v>75</v>
      </c>
      <c r="J3927" t="s">
        <v>201</v>
      </c>
      <c r="K3927">
        <v>1</v>
      </c>
      <c r="L3927" t="s">
        <v>7524</v>
      </c>
      <c r="M3927"/>
      <c r="N3927">
        <v>0</v>
      </c>
      <c r="O3927" t="b">
        <v>1</v>
      </c>
      <c r="P3927"/>
      <c r="Q3927" t="b">
        <v>0</v>
      </c>
      <c r="R3927">
        <v>1</v>
      </c>
      <c r="S3927" t="s">
        <v>77</v>
      </c>
      <c r="T3927">
        <v>999</v>
      </c>
      <c r="U3927" t="s">
        <v>7525</v>
      </c>
      <c r="V3927">
        <f t="shared" si="0"/>
        <v>31812064</v>
      </c>
      <c r="W3927"/>
      <c r="X3927" t="s">
        <v>1848</v>
      </c>
      <c r="Y3927" t="s">
        <v>215</v>
      </c>
      <c r="Z3927">
        <v>20193</v>
      </c>
      <c r="AA3927" t="s">
        <v>1849</v>
      </c>
      <c r="AB3927">
        <v>40001</v>
      </c>
      <c r="AC3927"/>
      <c r="AD3927"/>
      <c r="AE3927" t="s">
        <v>7524</v>
      </c>
      <c r="AF3927" t="s">
        <v>7524</v>
      </c>
      <c r="AG3927" t="s">
        <v>86</v>
      </c>
    </row>
    <row r="3928" spans="2:33">
      <c r="B3928" s="14">
        <f>10000000+INDEX(编号表!$B:$B,MATCH(H3928,编号表!$A:$A,0))*100000+INDEX(编号表!$F:$F,MATCH(D3928,编号表!$E:$E,0))*10000+INDEX(编号表!$D:$D,MATCH(AG3928,编号表!$C:$C,0))*1000+F3928</f>
        <v>11812065</v>
      </c>
      <c r="C3928" t="s">
        <v>1854</v>
      </c>
      <c r="D3928" t="s">
        <v>72</v>
      </c>
      <c r="E3928" t="s">
        <v>86</v>
      </c>
      <c r="F3928">
        <v>65</v>
      </c>
      <c r="G3928">
        <v>60</v>
      </c>
      <c r="H3928" t="s">
        <v>7524</v>
      </c>
      <c r="I3928" t="s">
        <v>75</v>
      </c>
      <c r="J3928" t="s">
        <v>201</v>
      </c>
      <c r="K3928">
        <v>1</v>
      </c>
      <c r="L3928" t="s">
        <v>7524</v>
      </c>
      <c r="M3928"/>
      <c r="N3928">
        <v>0</v>
      </c>
      <c r="O3928" t="b">
        <v>1</v>
      </c>
      <c r="P3928"/>
      <c r="Q3928" t="b">
        <v>0</v>
      </c>
      <c r="R3928">
        <v>1</v>
      </c>
      <c r="S3928" t="s">
        <v>77</v>
      </c>
      <c r="T3928">
        <v>999</v>
      </c>
      <c r="U3928" t="s">
        <v>7525</v>
      </c>
      <c r="V3928">
        <f t="shared" ref="V3928:V3991" si="1">B3928+20000000</f>
        <v>31812065</v>
      </c>
      <c r="W3928"/>
      <c r="X3928" t="s">
        <v>1855</v>
      </c>
      <c r="Y3928" t="s">
        <v>215</v>
      </c>
      <c r="Z3928">
        <v>20196</v>
      </c>
      <c r="AA3928" t="s">
        <v>1856</v>
      </c>
      <c r="AB3928">
        <v>40001</v>
      </c>
      <c r="AC3928"/>
      <c r="AD3928"/>
      <c r="AE3928" t="s">
        <v>7524</v>
      </c>
      <c r="AF3928" t="s">
        <v>7524</v>
      </c>
      <c r="AG3928" t="s">
        <v>86</v>
      </c>
    </row>
    <row r="3929" spans="2:33">
      <c r="B3929" s="14">
        <f>10000000+INDEX(编号表!$B:$B,MATCH(H3929,编号表!$A:$A,0))*100000+INDEX(编号表!$F:$F,MATCH(D3929,编号表!$E:$E,0))*10000+INDEX(编号表!$D:$D,MATCH(AG3929,编号表!$C:$C,0))*1000+F3929</f>
        <v>11812066</v>
      </c>
      <c r="C3929" t="s">
        <v>1861</v>
      </c>
      <c r="D3929" t="s">
        <v>72</v>
      </c>
      <c r="E3929" t="s">
        <v>86</v>
      </c>
      <c r="F3929">
        <v>66</v>
      </c>
      <c r="G3929">
        <v>60</v>
      </c>
      <c r="H3929" t="s">
        <v>7524</v>
      </c>
      <c r="I3929" t="s">
        <v>75</v>
      </c>
      <c r="J3929" t="s">
        <v>201</v>
      </c>
      <c r="K3929">
        <v>1</v>
      </c>
      <c r="L3929" t="s">
        <v>7524</v>
      </c>
      <c r="M3929"/>
      <c r="N3929">
        <v>0</v>
      </c>
      <c r="O3929" t="b">
        <v>1</v>
      </c>
      <c r="P3929"/>
      <c r="Q3929" t="b">
        <v>0</v>
      </c>
      <c r="R3929">
        <v>1</v>
      </c>
      <c r="S3929" t="s">
        <v>77</v>
      </c>
      <c r="T3929">
        <v>999</v>
      </c>
      <c r="U3929" t="s">
        <v>7525</v>
      </c>
      <c r="V3929">
        <f t="shared" si="1"/>
        <v>31812066</v>
      </c>
      <c r="W3929"/>
      <c r="X3929" t="s">
        <v>1862</v>
      </c>
      <c r="Y3929" t="s">
        <v>215</v>
      </c>
      <c r="Z3929">
        <v>20199</v>
      </c>
      <c r="AA3929" t="s">
        <v>1863</v>
      </c>
      <c r="AB3929">
        <v>40001</v>
      </c>
      <c r="AC3929"/>
      <c r="AD3929"/>
      <c r="AE3929" t="s">
        <v>7524</v>
      </c>
      <c r="AF3929" t="s">
        <v>7524</v>
      </c>
      <c r="AG3929" t="s">
        <v>86</v>
      </c>
    </row>
    <row r="3930" spans="2:33">
      <c r="B3930" s="14">
        <f>10000000+INDEX(编号表!$B:$B,MATCH(H3930,编号表!$A:$A,0))*100000+INDEX(编号表!$F:$F,MATCH(D3930,编号表!$E:$E,0))*10000+INDEX(编号表!$D:$D,MATCH(AG3930,编号表!$C:$C,0))*1000+F3930</f>
        <v>11812067</v>
      </c>
      <c r="C3930" t="s">
        <v>1868</v>
      </c>
      <c r="D3930" t="s">
        <v>72</v>
      </c>
      <c r="E3930" t="s">
        <v>86</v>
      </c>
      <c r="F3930">
        <v>67</v>
      </c>
      <c r="G3930">
        <v>60</v>
      </c>
      <c r="H3930" t="s">
        <v>7524</v>
      </c>
      <c r="I3930" t="s">
        <v>75</v>
      </c>
      <c r="J3930" t="s">
        <v>201</v>
      </c>
      <c r="K3930">
        <v>1</v>
      </c>
      <c r="L3930" t="s">
        <v>7524</v>
      </c>
      <c r="M3930"/>
      <c r="N3930">
        <v>0</v>
      </c>
      <c r="O3930" t="b">
        <v>1</v>
      </c>
      <c r="P3930"/>
      <c r="Q3930" t="b">
        <v>0</v>
      </c>
      <c r="R3930">
        <v>1</v>
      </c>
      <c r="S3930" t="s">
        <v>77</v>
      </c>
      <c r="T3930">
        <v>999</v>
      </c>
      <c r="U3930" t="s">
        <v>7525</v>
      </c>
      <c r="V3930">
        <f t="shared" si="1"/>
        <v>31812067</v>
      </c>
      <c r="W3930"/>
      <c r="X3930" t="s">
        <v>1869</v>
      </c>
      <c r="Y3930" t="s">
        <v>215</v>
      </c>
      <c r="Z3930">
        <v>20202</v>
      </c>
      <c r="AA3930" t="s">
        <v>1870</v>
      </c>
      <c r="AB3930">
        <v>40001</v>
      </c>
      <c r="AC3930"/>
      <c r="AD3930"/>
      <c r="AE3930" t="s">
        <v>7524</v>
      </c>
      <c r="AF3930" t="s">
        <v>7524</v>
      </c>
      <c r="AG3930" t="s">
        <v>86</v>
      </c>
    </row>
    <row r="3931" spans="2:33">
      <c r="B3931" s="14">
        <f>10000000+INDEX(编号表!$B:$B,MATCH(H3931,编号表!$A:$A,0))*100000+INDEX(编号表!$F:$F,MATCH(D3931,编号表!$E:$E,0))*10000+INDEX(编号表!$D:$D,MATCH(AG3931,编号表!$C:$C,0))*1000+F3931</f>
        <v>11812068</v>
      </c>
      <c r="C3931" t="s">
        <v>1875</v>
      </c>
      <c r="D3931" t="s">
        <v>72</v>
      </c>
      <c r="E3931" t="s">
        <v>86</v>
      </c>
      <c r="F3931">
        <v>68</v>
      </c>
      <c r="G3931">
        <v>60</v>
      </c>
      <c r="H3931" t="s">
        <v>7524</v>
      </c>
      <c r="I3931" t="s">
        <v>75</v>
      </c>
      <c r="J3931" t="s">
        <v>201</v>
      </c>
      <c r="K3931">
        <v>1</v>
      </c>
      <c r="L3931" t="s">
        <v>7524</v>
      </c>
      <c r="M3931"/>
      <c r="N3931">
        <v>0</v>
      </c>
      <c r="O3931" t="b">
        <v>1</v>
      </c>
      <c r="P3931"/>
      <c r="Q3931" t="b">
        <v>0</v>
      </c>
      <c r="R3931">
        <v>1</v>
      </c>
      <c r="S3931" t="s">
        <v>77</v>
      </c>
      <c r="T3931">
        <v>999</v>
      </c>
      <c r="U3931" t="s">
        <v>7525</v>
      </c>
      <c r="V3931">
        <f t="shared" si="1"/>
        <v>31812068</v>
      </c>
      <c r="W3931"/>
      <c r="X3931" t="s">
        <v>1876</v>
      </c>
      <c r="Y3931" t="s">
        <v>215</v>
      </c>
      <c r="Z3931">
        <v>20205</v>
      </c>
      <c r="AA3931" t="s">
        <v>1877</v>
      </c>
      <c r="AB3931">
        <v>40001</v>
      </c>
      <c r="AC3931"/>
      <c r="AD3931"/>
      <c r="AE3931" t="s">
        <v>7524</v>
      </c>
      <c r="AF3931" t="s">
        <v>7524</v>
      </c>
      <c r="AG3931" t="s">
        <v>86</v>
      </c>
    </row>
    <row r="3932" spans="2:33">
      <c r="B3932" s="14">
        <f>10000000+INDEX(编号表!$B:$B,MATCH(H3932,编号表!$A:$A,0))*100000+INDEX(编号表!$F:$F,MATCH(D3932,编号表!$E:$E,0))*10000+INDEX(编号表!$D:$D,MATCH(AG3932,编号表!$C:$C,0))*1000+F3932</f>
        <v>11812069</v>
      </c>
      <c r="C3932" t="s">
        <v>1882</v>
      </c>
      <c r="D3932" t="s">
        <v>72</v>
      </c>
      <c r="E3932" t="s">
        <v>86</v>
      </c>
      <c r="F3932">
        <v>69</v>
      </c>
      <c r="G3932">
        <v>60</v>
      </c>
      <c r="H3932" t="s">
        <v>7524</v>
      </c>
      <c r="I3932" t="s">
        <v>75</v>
      </c>
      <c r="J3932" t="s">
        <v>201</v>
      </c>
      <c r="K3932">
        <v>1</v>
      </c>
      <c r="L3932" t="s">
        <v>7524</v>
      </c>
      <c r="M3932"/>
      <c r="N3932">
        <v>0</v>
      </c>
      <c r="O3932" t="b">
        <v>1</v>
      </c>
      <c r="P3932"/>
      <c r="Q3932" t="b">
        <v>0</v>
      </c>
      <c r="R3932">
        <v>1</v>
      </c>
      <c r="S3932" t="s">
        <v>77</v>
      </c>
      <c r="T3932">
        <v>999</v>
      </c>
      <c r="U3932" t="s">
        <v>7525</v>
      </c>
      <c r="V3932">
        <f t="shared" si="1"/>
        <v>31812069</v>
      </c>
      <c r="W3932"/>
      <c r="X3932" t="s">
        <v>1883</v>
      </c>
      <c r="Y3932" t="s">
        <v>215</v>
      </c>
      <c r="Z3932">
        <v>20208</v>
      </c>
      <c r="AA3932" t="s">
        <v>1884</v>
      </c>
      <c r="AB3932">
        <v>40001</v>
      </c>
      <c r="AC3932"/>
      <c r="AD3932"/>
      <c r="AE3932" t="s">
        <v>7524</v>
      </c>
      <c r="AF3932" t="s">
        <v>7524</v>
      </c>
      <c r="AG3932" t="s">
        <v>86</v>
      </c>
    </row>
    <row r="3933" spans="2:33">
      <c r="B3933" s="14">
        <f>10000000+INDEX(编号表!$B:$B,MATCH(H3933,编号表!$A:$A,0))*100000+INDEX(编号表!$F:$F,MATCH(D3933,编号表!$E:$E,0))*10000+INDEX(编号表!$D:$D,MATCH(AG3933,编号表!$C:$C,0))*1000+F3933</f>
        <v>11812070</v>
      </c>
      <c r="C3933" t="s">
        <v>1889</v>
      </c>
      <c r="D3933" t="s">
        <v>72</v>
      </c>
      <c r="E3933" t="s">
        <v>86</v>
      </c>
      <c r="F3933">
        <v>70</v>
      </c>
      <c r="G3933">
        <v>60</v>
      </c>
      <c r="H3933" t="s">
        <v>7524</v>
      </c>
      <c r="I3933" t="s">
        <v>75</v>
      </c>
      <c r="J3933" t="s">
        <v>201</v>
      </c>
      <c r="K3933">
        <v>1</v>
      </c>
      <c r="L3933" t="s">
        <v>7524</v>
      </c>
      <c r="M3933"/>
      <c r="N3933">
        <v>0</v>
      </c>
      <c r="O3933" t="b">
        <v>1</v>
      </c>
      <c r="P3933"/>
      <c r="Q3933" t="b">
        <v>0</v>
      </c>
      <c r="R3933">
        <v>1</v>
      </c>
      <c r="S3933" t="s">
        <v>77</v>
      </c>
      <c r="T3933">
        <v>999</v>
      </c>
      <c r="U3933" t="s">
        <v>7525</v>
      </c>
      <c r="V3933">
        <f t="shared" si="1"/>
        <v>31812070</v>
      </c>
      <c r="W3933"/>
      <c r="X3933" t="s">
        <v>1890</v>
      </c>
      <c r="Y3933" t="s">
        <v>215</v>
      </c>
      <c r="Z3933">
        <v>20211</v>
      </c>
      <c r="AA3933" t="s">
        <v>1891</v>
      </c>
      <c r="AB3933">
        <v>40001</v>
      </c>
      <c r="AC3933"/>
      <c r="AD3933"/>
      <c r="AE3933" t="s">
        <v>7524</v>
      </c>
      <c r="AF3933" t="s">
        <v>7524</v>
      </c>
      <c r="AG3933" t="s">
        <v>86</v>
      </c>
    </row>
    <row r="3934" spans="2:33">
      <c r="B3934" s="14">
        <f>10000000+INDEX(编号表!$B:$B,MATCH(H3934,编号表!$A:$A,0))*100000+INDEX(编号表!$F:$F,MATCH(D3934,编号表!$E:$E,0))*10000+INDEX(编号表!$D:$D,MATCH(AG3934,编号表!$C:$C,0))*1000+F3934</f>
        <v>11812071</v>
      </c>
      <c r="C3934" t="s">
        <v>1896</v>
      </c>
      <c r="D3934" t="s">
        <v>72</v>
      </c>
      <c r="E3934" t="s">
        <v>86</v>
      </c>
      <c r="F3934">
        <v>71</v>
      </c>
      <c r="G3934">
        <v>60</v>
      </c>
      <c r="H3934" t="s">
        <v>7524</v>
      </c>
      <c r="I3934" t="s">
        <v>75</v>
      </c>
      <c r="J3934" t="s">
        <v>201</v>
      </c>
      <c r="K3934">
        <v>1</v>
      </c>
      <c r="L3934" t="s">
        <v>7524</v>
      </c>
      <c r="M3934"/>
      <c r="N3934">
        <v>0</v>
      </c>
      <c r="O3934" t="b">
        <v>1</v>
      </c>
      <c r="P3934"/>
      <c r="Q3934" t="b">
        <v>0</v>
      </c>
      <c r="R3934">
        <v>1</v>
      </c>
      <c r="S3934" t="s">
        <v>77</v>
      </c>
      <c r="T3934">
        <v>999</v>
      </c>
      <c r="U3934" t="s">
        <v>7525</v>
      </c>
      <c r="V3934">
        <f t="shared" si="1"/>
        <v>31812071</v>
      </c>
      <c r="W3934"/>
      <c r="X3934" t="s">
        <v>1897</v>
      </c>
      <c r="Y3934" t="s">
        <v>215</v>
      </c>
      <c r="Z3934">
        <v>20214</v>
      </c>
      <c r="AA3934" t="s">
        <v>1898</v>
      </c>
      <c r="AB3934">
        <v>40001</v>
      </c>
      <c r="AC3934"/>
      <c r="AD3934"/>
      <c r="AE3934" t="s">
        <v>7524</v>
      </c>
      <c r="AF3934" t="s">
        <v>7524</v>
      </c>
      <c r="AG3934" t="s">
        <v>86</v>
      </c>
    </row>
    <row r="3935" spans="2:33">
      <c r="B3935" s="14">
        <f>10000000+INDEX(编号表!$B:$B,MATCH(H3935,编号表!$A:$A,0))*100000+INDEX(编号表!$F:$F,MATCH(D3935,编号表!$E:$E,0))*10000+INDEX(编号表!$D:$D,MATCH(AG3935,编号表!$C:$C,0))*1000+F3935</f>
        <v>11812072</v>
      </c>
      <c r="C3935" t="s">
        <v>1903</v>
      </c>
      <c r="D3935" t="s">
        <v>72</v>
      </c>
      <c r="E3935" t="s">
        <v>86</v>
      </c>
      <c r="F3935">
        <v>72</v>
      </c>
      <c r="G3935">
        <v>60</v>
      </c>
      <c r="H3935" t="s">
        <v>7524</v>
      </c>
      <c r="I3935" t="s">
        <v>75</v>
      </c>
      <c r="J3935" t="s">
        <v>201</v>
      </c>
      <c r="K3935">
        <v>1</v>
      </c>
      <c r="L3935" t="s">
        <v>7524</v>
      </c>
      <c r="M3935"/>
      <c r="N3935">
        <v>0</v>
      </c>
      <c r="O3935" t="b">
        <v>1</v>
      </c>
      <c r="P3935"/>
      <c r="Q3935" t="b">
        <v>0</v>
      </c>
      <c r="R3935">
        <v>1</v>
      </c>
      <c r="S3935" t="s">
        <v>77</v>
      </c>
      <c r="T3935">
        <v>999</v>
      </c>
      <c r="U3935" t="s">
        <v>7525</v>
      </c>
      <c r="V3935">
        <f t="shared" si="1"/>
        <v>31812072</v>
      </c>
      <c r="W3935"/>
      <c r="X3935" t="s">
        <v>1904</v>
      </c>
      <c r="Y3935" t="s">
        <v>215</v>
      </c>
      <c r="Z3935">
        <v>20217</v>
      </c>
      <c r="AA3935" t="s">
        <v>1905</v>
      </c>
      <c r="AB3935">
        <v>40001</v>
      </c>
      <c r="AC3935"/>
      <c r="AD3935"/>
      <c r="AE3935" t="s">
        <v>7524</v>
      </c>
      <c r="AF3935" t="s">
        <v>7524</v>
      </c>
      <c r="AG3935" t="s">
        <v>86</v>
      </c>
    </row>
    <row r="3936" spans="2:33">
      <c r="B3936" s="14">
        <f>10000000+INDEX(编号表!$B:$B,MATCH(H3936,编号表!$A:$A,0))*100000+INDEX(编号表!$F:$F,MATCH(D3936,编号表!$E:$E,0))*10000+INDEX(编号表!$D:$D,MATCH(AG3936,编号表!$C:$C,0))*1000+F3936</f>
        <v>11812073</v>
      </c>
      <c r="C3936" t="s">
        <v>1910</v>
      </c>
      <c r="D3936" t="s">
        <v>72</v>
      </c>
      <c r="E3936" t="s">
        <v>86</v>
      </c>
      <c r="F3936">
        <v>73</v>
      </c>
      <c r="G3936">
        <v>60</v>
      </c>
      <c r="H3936" t="s">
        <v>7524</v>
      </c>
      <c r="I3936" t="s">
        <v>75</v>
      </c>
      <c r="J3936" t="s">
        <v>201</v>
      </c>
      <c r="K3936">
        <v>1</v>
      </c>
      <c r="L3936" t="s">
        <v>7524</v>
      </c>
      <c r="M3936"/>
      <c r="N3936">
        <v>0</v>
      </c>
      <c r="O3936" t="b">
        <v>1</v>
      </c>
      <c r="P3936"/>
      <c r="Q3936" t="b">
        <v>0</v>
      </c>
      <c r="R3936">
        <v>1</v>
      </c>
      <c r="S3936" t="s">
        <v>77</v>
      </c>
      <c r="T3936">
        <v>999</v>
      </c>
      <c r="U3936" t="s">
        <v>7525</v>
      </c>
      <c r="V3936">
        <f t="shared" si="1"/>
        <v>31812073</v>
      </c>
      <c r="W3936"/>
      <c r="X3936" t="s">
        <v>1911</v>
      </c>
      <c r="Y3936" t="s">
        <v>215</v>
      </c>
      <c r="Z3936">
        <v>20220</v>
      </c>
      <c r="AA3936" t="s">
        <v>1912</v>
      </c>
      <c r="AB3936">
        <v>40001</v>
      </c>
      <c r="AC3936"/>
      <c r="AD3936"/>
      <c r="AE3936" t="s">
        <v>7524</v>
      </c>
      <c r="AF3936" t="s">
        <v>7524</v>
      </c>
      <c r="AG3936" t="s">
        <v>86</v>
      </c>
    </row>
    <row r="3937" spans="2:33">
      <c r="B3937" s="14">
        <f>10000000+INDEX(编号表!$B:$B,MATCH(H3937,编号表!$A:$A,0))*100000+INDEX(编号表!$F:$F,MATCH(D3937,编号表!$E:$E,0))*10000+INDEX(编号表!$D:$D,MATCH(AG3937,编号表!$C:$C,0))*1000+F3937</f>
        <v>11812074</v>
      </c>
      <c r="C3937" t="s">
        <v>1917</v>
      </c>
      <c r="D3937" t="s">
        <v>72</v>
      </c>
      <c r="E3937" t="s">
        <v>86</v>
      </c>
      <c r="F3937">
        <v>74</v>
      </c>
      <c r="G3937">
        <v>60</v>
      </c>
      <c r="H3937" t="s">
        <v>7524</v>
      </c>
      <c r="I3937" t="s">
        <v>75</v>
      </c>
      <c r="J3937" t="s">
        <v>201</v>
      </c>
      <c r="K3937">
        <v>1</v>
      </c>
      <c r="L3937" t="s">
        <v>7524</v>
      </c>
      <c r="M3937"/>
      <c r="N3937">
        <v>0</v>
      </c>
      <c r="O3937" t="b">
        <v>1</v>
      </c>
      <c r="P3937"/>
      <c r="Q3937" t="b">
        <v>0</v>
      </c>
      <c r="R3937">
        <v>1</v>
      </c>
      <c r="S3937" t="s">
        <v>77</v>
      </c>
      <c r="T3937">
        <v>999</v>
      </c>
      <c r="U3937" t="s">
        <v>7525</v>
      </c>
      <c r="V3937">
        <f t="shared" si="1"/>
        <v>31812074</v>
      </c>
      <c r="W3937"/>
      <c r="X3937" t="s">
        <v>1918</v>
      </c>
      <c r="Y3937" t="s">
        <v>215</v>
      </c>
      <c r="Z3937">
        <v>20223</v>
      </c>
      <c r="AA3937" t="s">
        <v>1919</v>
      </c>
      <c r="AB3937">
        <v>40001</v>
      </c>
      <c r="AC3937"/>
      <c r="AD3937"/>
      <c r="AE3937" t="s">
        <v>7524</v>
      </c>
      <c r="AF3937" t="s">
        <v>7524</v>
      </c>
      <c r="AG3937" t="s">
        <v>86</v>
      </c>
    </row>
    <row r="3938" spans="2:33">
      <c r="B3938" s="14">
        <f>10000000+INDEX(编号表!$B:$B,MATCH(H3938,编号表!$A:$A,0))*100000+INDEX(编号表!$F:$F,MATCH(D3938,编号表!$E:$E,0))*10000+INDEX(编号表!$D:$D,MATCH(AG3938,编号表!$C:$C,0))*1000+F3938</f>
        <v>11812075</v>
      </c>
      <c r="C3938" t="s">
        <v>1924</v>
      </c>
      <c r="D3938" t="s">
        <v>72</v>
      </c>
      <c r="E3938" t="s">
        <v>86</v>
      </c>
      <c r="F3938">
        <v>75</v>
      </c>
      <c r="G3938">
        <v>60</v>
      </c>
      <c r="H3938" t="s">
        <v>7524</v>
      </c>
      <c r="I3938" t="s">
        <v>75</v>
      </c>
      <c r="J3938" t="s">
        <v>201</v>
      </c>
      <c r="K3938">
        <v>1</v>
      </c>
      <c r="L3938" t="s">
        <v>7524</v>
      </c>
      <c r="M3938"/>
      <c r="N3938">
        <v>0</v>
      </c>
      <c r="O3938" t="b">
        <v>1</v>
      </c>
      <c r="P3938"/>
      <c r="Q3938" t="b">
        <v>0</v>
      </c>
      <c r="R3938">
        <v>1</v>
      </c>
      <c r="S3938" t="s">
        <v>77</v>
      </c>
      <c r="T3938">
        <v>999</v>
      </c>
      <c r="U3938" t="s">
        <v>7525</v>
      </c>
      <c r="V3938">
        <f t="shared" si="1"/>
        <v>31812075</v>
      </c>
      <c r="W3938"/>
      <c r="X3938" t="s">
        <v>1925</v>
      </c>
      <c r="Y3938" t="s">
        <v>215</v>
      </c>
      <c r="Z3938">
        <v>20226</v>
      </c>
      <c r="AA3938" t="s">
        <v>1926</v>
      </c>
      <c r="AB3938">
        <v>40001</v>
      </c>
      <c r="AC3938"/>
      <c r="AD3938"/>
      <c r="AE3938" t="s">
        <v>7524</v>
      </c>
      <c r="AF3938" t="s">
        <v>7524</v>
      </c>
      <c r="AG3938" t="s">
        <v>86</v>
      </c>
    </row>
    <row r="3939" spans="2:33">
      <c r="B3939" s="14">
        <f>10000000+INDEX(编号表!$B:$B,MATCH(H3939,编号表!$A:$A,0))*100000+INDEX(编号表!$F:$F,MATCH(D3939,编号表!$E:$E,0))*10000+INDEX(编号表!$D:$D,MATCH(AG3939,编号表!$C:$C,0))*1000+F3939</f>
        <v>11812076</v>
      </c>
      <c r="C3939" t="s">
        <v>1931</v>
      </c>
      <c r="D3939" t="s">
        <v>72</v>
      </c>
      <c r="E3939" t="s">
        <v>86</v>
      </c>
      <c r="F3939">
        <v>76</v>
      </c>
      <c r="G3939">
        <v>60</v>
      </c>
      <c r="H3939" t="s">
        <v>7524</v>
      </c>
      <c r="I3939" t="s">
        <v>75</v>
      </c>
      <c r="J3939" t="s">
        <v>201</v>
      </c>
      <c r="K3939">
        <v>1</v>
      </c>
      <c r="L3939" t="s">
        <v>7524</v>
      </c>
      <c r="M3939"/>
      <c r="N3939">
        <v>0</v>
      </c>
      <c r="O3939" t="b">
        <v>1</v>
      </c>
      <c r="P3939"/>
      <c r="Q3939" t="b">
        <v>0</v>
      </c>
      <c r="R3939">
        <v>1</v>
      </c>
      <c r="S3939" t="s">
        <v>77</v>
      </c>
      <c r="T3939">
        <v>999</v>
      </c>
      <c r="U3939" t="s">
        <v>7525</v>
      </c>
      <c r="V3939">
        <f t="shared" si="1"/>
        <v>31812076</v>
      </c>
      <c r="W3939"/>
      <c r="X3939" t="s">
        <v>1932</v>
      </c>
      <c r="Y3939" t="s">
        <v>215</v>
      </c>
      <c r="Z3939">
        <v>20229</v>
      </c>
      <c r="AA3939" t="s">
        <v>1933</v>
      </c>
      <c r="AB3939">
        <v>40001</v>
      </c>
      <c r="AC3939"/>
      <c r="AD3939"/>
      <c r="AE3939" t="s">
        <v>7524</v>
      </c>
      <c r="AF3939" t="s">
        <v>7524</v>
      </c>
      <c r="AG3939" t="s">
        <v>86</v>
      </c>
    </row>
    <row r="3940" spans="2:33">
      <c r="B3940" s="14">
        <f>10000000+INDEX(编号表!$B:$B,MATCH(H3940,编号表!$A:$A,0))*100000+INDEX(编号表!$F:$F,MATCH(D3940,编号表!$E:$E,0))*10000+INDEX(编号表!$D:$D,MATCH(AG3940,编号表!$C:$C,0))*1000+F3940</f>
        <v>11812077</v>
      </c>
      <c r="C3940" t="s">
        <v>1938</v>
      </c>
      <c r="D3940" t="s">
        <v>72</v>
      </c>
      <c r="E3940" t="s">
        <v>86</v>
      </c>
      <c r="F3940">
        <v>77</v>
      </c>
      <c r="G3940">
        <v>60</v>
      </c>
      <c r="H3940" t="s">
        <v>7524</v>
      </c>
      <c r="I3940" t="s">
        <v>75</v>
      </c>
      <c r="J3940" t="s">
        <v>201</v>
      </c>
      <c r="K3940">
        <v>1</v>
      </c>
      <c r="L3940" t="s">
        <v>7524</v>
      </c>
      <c r="M3940"/>
      <c r="N3940">
        <v>0</v>
      </c>
      <c r="O3940" t="b">
        <v>1</v>
      </c>
      <c r="P3940"/>
      <c r="Q3940" t="b">
        <v>0</v>
      </c>
      <c r="R3940">
        <v>1</v>
      </c>
      <c r="S3940" t="s">
        <v>77</v>
      </c>
      <c r="T3940">
        <v>999</v>
      </c>
      <c r="U3940" t="s">
        <v>7525</v>
      </c>
      <c r="V3940">
        <f t="shared" si="1"/>
        <v>31812077</v>
      </c>
      <c r="W3940"/>
      <c r="X3940" t="s">
        <v>1939</v>
      </c>
      <c r="Y3940" t="s">
        <v>215</v>
      </c>
      <c r="Z3940">
        <v>20232</v>
      </c>
      <c r="AA3940" t="s">
        <v>1940</v>
      </c>
      <c r="AB3940">
        <v>40001</v>
      </c>
      <c r="AC3940"/>
      <c r="AD3940"/>
      <c r="AE3940" t="s">
        <v>7524</v>
      </c>
      <c r="AF3940" t="s">
        <v>7524</v>
      </c>
      <c r="AG3940" t="s">
        <v>86</v>
      </c>
    </row>
    <row r="3941" spans="2:33">
      <c r="B3941" s="14">
        <f>10000000+INDEX(编号表!$B:$B,MATCH(H3941,编号表!$A:$A,0))*100000+INDEX(编号表!$F:$F,MATCH(D3941,编号表!$E:$E,0))*10000+INDEX(编号表!$D:$D,MATCH(AG3941,编号表!$C:$C,0))*1000+F3941</f>
        <v>11812078</v>
      </c>
      <c r="C3941" t="s">
        <v>1945</v>
      </c>
      <c r="D3941" t="s">
        <v>72</v>
      </c>
      <c r="E3941" t="s">
        <v>86</v>
      </c>
      <c r="F3941">
        <v>78</v>
      </c>
      <c r="G3941">
        <v>60</v>
      </c>
      <c r="H3941" t="s">
        <v>7524</v>
      </c>
      <c r="I3941" t="s">
        <v>75</v>
      </c>
      <c r="J3941" t="s">
        <v>201</v>
      </c>
      <c r="K3941">
        <v>1</v>
      </c>
      <c r="L3941" t="s">
        <v>7524</v>
      </c>
      <c r="M3941"/>
      <c r="N3941">
        <v>0</v>
      </c>
      <c r="O3941" t="b">
        <v>1</v>
      </c>
      <c r="P3941"/>
      <c r="Q3941" t="b">
        <v>0</v>
      </c>
      <c r="R3941">
        <v>1</v>
      </c>
      <c r="S3941" t="s">
        <v>77</v>
      </c>
      <c r="T3941">
        <v>999</v>
      </c>
      <c r="U3941" t="s">
        <v>7525</v>
      </c>
      <c r="V3941">
        <f t="shared" si="1"/>
        <v>31812078</v>
      </c>
      <c r="W3941"/>
      <c r="X3941" t="s">
        <v>1946</v>
      </c>
      <c r="Y3941" t="s">
        <v>215</v>
      </c>
      <c r="Z3941">
        <v>20235</v>
      </c>
      <c r="AA3941" t="s">
        <v>1947</v>
      </c>
      <c r="AB3941">
        <v>40001</v>
      </c>
      <c r="AC3941"/>
      <c r="AD3941"/>
      <c r="AE3941" t="s">
        <v>7524</v>
      </c>
      <c r="AF3941" t="s">
        <v>7524</v>
      </c>
      <c r="AG3941" t="s">
        <v>86</v>
      </c>
    </row>
    <row r="3942" spans="2:33">
      <c r="B3942" s="14">
        <f>10000000+INDEX(编号表!$B:$B,MATCH(H3942,编号表!$A:$A,0))*100000+INDEX(编号表!$F:$F,MATCH(D3942,编号表!$E:$E,0))*10000+INDEX(编号表!$D:$D,MATCH(AG3942,编号表!$C:$C,0))*1000+F3942</f>
        <v>11812079</v>
      </c>
      <c r="C3942" t="s">
        <v>1952</v>
      </c>
      <c r="D3942" t="s">
        <v>72</v>
      </c>
      <c r="E3942" t="s">
        <v>86</v>
      </c>
      <c r="F3942">
        <v>79</v>
      </c>
      <c r="G3942">
        <v>60</v>
      </c>
      <c r="H3942" t="s">
        <v>7524</v>
      </c>
      <c r="I3942" t="s">
        <v>75</v>
      </c>
      <c r="J3942" t="s">
        <v>201</v>
      </c>
      <c r="K3942">
        <v>1</v>
      </c>
      <c r="L3942" t="s">
        <v>7524</v>
      </c>
      <c r="M3942"/>
      <c r="N3942">
        <v>0</v>
      </c>
      <c r="O3942" t="b">
        <v>1</v>
      </c>
      <c r="P3942"/>
      <c r="Q3942" t="b">
        <v>0</v>
      </c>
      <c r="R3942">
        <v>1</v>
      </c>
      <c r="S3942" t="s">
        <v>77</v>
      </c>
      <c r="T3942">
        <v>999</v>
      </c>
      <c r="U3942" t="s">
        <v>7525</v>
      </c>
      <c r="V3942">
        <f t="shared" si="1"/>
        <v>31812079</v>
      </c>
      <c r="W3942"/>
      <c r="X3942" t="s">
        <v>1953</v>
      </c>
      <c r="Y3942" t="s">
        <v>215</v>
      </c>
      <c r="Z3942">
        <v>20238</v>
      </c>
      <c r="AA3942" t="s">
        <v>1954</v>
      </c>
      <c r="AB3942">
        <v>40001</v>
      </c>
      <c r="AC3942"/>
      <c r="AD3942"/>
      <c r="AE3942" t="s">
        <v>7524</v>
      </c>
      <c r="AF3942" t="s">
        <v>7524</v>
      </c>
      <c r="AG3942" t="s">
        <v>86</v>
      </c>
    </row>
    <row r="3943" spans="2:33">
      <c r="B3943" s="14">
        <f>10000000+INDEX(编号表!$B:$B,MATCH(H3943,编号表!$A:$A,0))*100000+INDEX(编号表!$F:$F,MATCH(D3943,编号表!$E:$E,0))*10000+INDEX(编号表!$D:$D,MATCH(AG3943,编号表!$C:$C,0))*1000+F3943</f>
        <v>11812080</v>
      </c>
      <c r="C3943" t="s">
        <v>1959</v>
      </c>
      <c r="D3943" t="s">
        <v>72</v>
      </c>
      <c r="E3943" t="s">
        <v>86</v>
      </c>
      <c r="F3943">
        <v>80</v>
      </c>
      <c r="G3943">
        <v>60</v>
      </c>
      <c r="H3943" t="s">
        <v>7524</v>
      </c>
      <c r="I3943" t="s">
        <v>75</v>
      </c>
      <c r="J3943" t="s">
        <v>201</v>
      </c>
      <c r="K3943">
        <v>1</v>
      </c>
      <c r="L3943" t="s">
        <v>7524</v>
      </c>
      <c r="M3943"/>
      <c r="N3943">
        <v>0</v>
      </c>
      <c r="O3943" t="b">
        <v>1</v>
      </c>
      <c r="P3943"/>
      <c r="Q3943" t="b">
        <v>0</v>
      </c>
      <c r="R3943">
        <v>1</v>
      </c>
      <c r="S3943" t="s">
        <v>77</v>
      </c>
      <c r="T3943">
        <v>999</v>
      </c>
      <c r="U3943" t="s">
        <v>7525</v>
      </c>
      <c r="V3943">
        <f t="shared" si="1"/>
        <v>31812080</v>
      </c>
      <c r="W3943"/>
      <c r="X3943" t="s">
        <v>1960</v>
      </c>
      <c r="Y3943" t="s">
        <v>215</v>
      </c>
      <c r="Z3943">
        <v>20241</v>
      </c>
      <c r="AA3943" t="s">
        <v>1961</v>
      </c>
      <c r="AB3943">
        <v>40001</v>
      </c>
      <c r="AC3943"/>
      <c r="AD3943"/>
      <c r="AE3943" t="s">
        <v>7524</v>
      </c>
      <c r="AF3943" t="s">
        <v>7524</v>
      </c>
      <c r="AG3943" t="s">
        <v>86</v>
      </c>
    </row>
    <row r="3944" spans="2:33">
      <c r="B3944" s="14">
        <f>10000000+INDEX(编号表!$B:$B,MATCH(H3944,编号表!$A:$A,0))*100000+INDEX(编号表!$F:$F,MATCH(D3944,编号表!$E:$E,0))*10000+INDEX(编号表!$D:$D,MATCH(AG3944,编号表!$C:$C,0))*1000+F3944</f>
        <v>11812081</v>
      </c>
      <c r="C3944" t="s">
        <v>1966</v>
      </c>
      <c r="D3944" t="s">
        <v>72</v>
      </c>
      <c r="E3944" t="s">
        <v>86</v>
      </c>
      <c r="F3944">
        <v>81</v>
      </c>
      <c r="G3944">
        <v>60</v>
      </c>
      <c r="H3944" t="s">
        <v>7524</v>
      </c>
      <c r="I3944" t="s">
        <v>75</v>
      </c>
      <c r="J3944" t="s">
        <v>201</v>
      </c>
      <c r="K3944">
        <v>1</v>
      </c>
      <c r="L3944" t="s">
        <v>7524</v>
      </c>
      <c r="M3944"/>
      <c r="N3944">
        <v>0</v>
      </c>
      <c r="O3944" t="b">
        <v>1</v>
      </c>
      <c r="P3944"/>
      <c r="Q3944" t="b">
        <v>0</v>
      </c>
      <c r="R3944">
        <v>1</v>
      </c>
      <c r="S3944" t="s">
        <v>77</v>
      </c>
      <c r="T3944">
        <v>999</v>
      </c>
      <c r="U3944" t="s">
        <v>7525</v>
      </c>
      <c r="V3944">
        <f t="shared" si="1"/>
        <v>31812081</v>
      </c>
      <c r="W3944"/>
      <c r="X3944" t="s">
        <v>1967</v>
      </c>
      <c r="Y3944" t="s">
        <v>215</v>
      </c>
      <c r="Z3944">
        <v>20244</v>
      </c>
      <c r="AA3944" t="s">
        <v>1968</v>
      </c>
      <c r="AB3944">
        <v>40001</v>
      </c>
      <c r="AC3944"/>
      <c r="AD3944"/>
      <c r="AE3944" t="s">
        <v>7524</v>
      </c>
      <c r="AF3944" t="s">
        <v>7524</v>
      </c>
      <c r="AG3944" t="s">
        <v>86</v>
      </c>
    </row>
    <row r="3945" spans="2:33">
      <c r="B3945" s="14">
        <f>10000000+INDEX(编号表!$B:$B,MATCH(H3945,编号表!$A:$A,0))*100000+INDEX(编号表!$F:$F,MATCH(D3945,编号表!$E:$E,0))*10000+INDEX(编号表!$D:$D,MATCH(AG3945,编号表!$C:$C,0))*1000+F3945</f>
        <v>11812082</v>
      </c>
      <c r="C3945" t="s">
        <v>1973</v>
      </c>
      <c r="D3945" t="s">
        <v>72</v>
      </c>
      <c r="E3945" t="s">
        <v>86</v>
      </c>
      <c r="F3945">
        <v>82</v>
      </c>
      <c r="G3945">
        <v>60</v>
      </c>
      <c r="H3945" t="s">
        <v>7524</v>
      </c>
      <c r="I3945" t="s">
        <v>75</v>
      </c>
      <c r="J3945" t="s">
        <v>201</v>
      </c>
      <c r="K3945">
        <v>1</v>
      </c>
      <c r="L3945" t="s">
        <v>7524</v>
      </c>
      <c r="M3945"/>
      <c r="N3945">
        <v>0</v>
      </c>
      <c r="O3945" t="b">
        <v>1</v>
      </c>
      <c r="P3945"/>
      <c r="Q3945" t="b">
        <v>0</v>
      </c>
      <c r="R3945">
        <v>1</v>
      </c>
      <c r="S3945" t="s">
        <v>77</v>
      </c>
      <c r="T3945">
        <v>999</v>
      </c>
      <c r="U3945" t="s">
        <v>7525</v>
      </c>
      <c r="V3945">
        <f t="shared" si="1"/>
        <v>31812082</v>
      </c>
      <c r="W3945"/>
      <c r="X3945" t="s">
        <v>1974</v>
      </c>
      <c r="Y3945" t="s">
        <v>215</v>
      </c>
      <c r="Z3945">
        <v>20247</v>
      </c>
      <c r="AA3945" t="s">
        <v>1975</v>
      </c>
      <c r="AB3945">
        <v>40001</v>
      </c>
      <c r="AC3945"/>
      <c r="AD3945"/>
      <c r="AE3945" t="s">
        <v>7524</v>
      </c>
      <c r="AF3945" t="s">
        <v>7524</v>
      </c>
      <c r="AG3945" t="s">
        <v>86</v>
      </c>
    </row>
    <row r="3946" spans="2:33">
      <c r="B3946" s="14">
        <f>10000000+INDEX(编号表!$B:$B,MATCH(H3946,编号表!$A:$A,0))*100000+INDEX(编号表!$F:$F,MATCH(D3946,编号表!$E:$E,0))*10000+INDEX(编号表!$D:$D,MATCH(AG3946,编号表!$C:$C,0))*1000+F3946</f>
        <v>11812083</v>
      </c>
      <c r="C3946" t="s">
        <v>1980</v>
      </c>
      <c r="D3946" t="s">
        <v>72</v>
      </c>
      <c r="E3946" t="s">
        <v>86</v>
      </c>
      <c r="F3946">
        <v>83</v>
      </c>
      <c r="G3946">
        <v>60</v>
      </c>
      <c r="H3946" t="s">
        <v>7524</v>
      </c>
      <c r="I3946" t="s">
        <v>75</v>
      </c>
      <c r="J3946" t="s">
        <v>201</v>
      </c>
      <c r="K3946">
        <v>1</v>
      </c>
      <c r="L3946" t="s">
        <v>7524</v>
      </c>
      <c r="M3946"/>
      <c r="N3946">
        <v>0</v>
      </c>
      <c r="O3946" t="b">
        <v>1</v>
      </c>
      <c r="P3946"/>
      <c r="Q3946" t="b">
        <v>0</v>
      </c>
      <c r="R3946">
        <v>1</v>
      </c>
      <c r="S3946" t="s">
        <v>77</v>
      </c>
      <c r="T3946">
        <v>999</v>
      </c>
      <c r="U3946" t="s">
        <v>7525</v>
      </c>
      <c r="V3946">
        <f t="shared" si="1"/>
        <v>31812083</v>
      </c>
      <c r="W3946"/>
      <c r="X3946" t="s">
        <v>1981</v>
      </c>
      <c r="Y3946" t="s">
        <v>215</v>
      </c>
      <c r="Z3946">
        <v>20250</v>
      </c>
      <c r="AA3946" t="s">
        <v>1982</v>
      </c>
      <c r="AB3946">
        <v>40001</v>
      </c>
      <c r="AC3946"/>
      <c r="AD3946"/>
      <c r="AE3946" t="s">
        <v>7524</v>
      </c>
      <c r="AF3946" t="s">
        <v>7524</v>
      </c>
      <c r="AG3946" t="s">
        <v>86</v>
      </c>
    </row>
    <row r="3947" spans="2:33">
      <c r="B3947" s="14">
        <f>10000000+INDEX(编号表!$B:$B,MATCH(H3947,编号表!$A:$A,0))*100000+INDEX(编号表!$F:$F,MATCH(D3947,编号表!$E:$E,0))*10000+INDEX(编号表!$D:$D,MATCH(AG3947,编号表!$C:$C,0))*1000+F3947</f>
        <v>11812084</v>
      </c>
      <c r="C3947" t="s">
        <v>1987</v>
      </c>
      <c r="D3947" t="s">
        <v>72</v>
      </c>
      <c r="E3947" t="s">
        <v>86</v>
      </c>
      <c r="F3947">
        <v>84</v>
      </c>
      <c r="G3947">
        <v>60</v>
      </c>
      <c r="H3947" t="s">
        <v>7524</v>
      </c>
      <c r="I3947" t="s">
        <v>75</v>
      </c>
      <c r="J3947" t="s">
        <v>201</v>
      </c>
      <c r="K3947">
        <v>1</v>
      </c>
      <c r="L3947" t="s">
        <v>7524</v>
      </c>
      <c r="M3947"/>
      <c r="N3947">
        <v>0</v>
      </c>
      <c r="O3947" t="b">
        <v>1</v>
      </c>
      <c r="P3947"/>
      <c r="Q3947" t="b">
        <v>0</v>
      </c>
      <c r="R3947">
        <v>1</v>
      </c>
      <c r="S3947" t="s">
        <v>77</v>
      </c>
      <c r="T3947">
        <v>999</v>
      </c>
      <c r="U3947" t="s">
        <v>7525</v>
      </c>
      <c r="V3947">
        <f t="shared" si="1"/>
        <v>31812084</v>
      </c>
      <c r="W3947"/>
      <c r="X3947" t="s">
        <v>1988</v>
      </c>
      <c r="Y3947" t="s">
        <v>215</v>
      </c>
      <c r="Z3947">
        <v>20253</v>
      </c>
      <c r="AA3947" t="s">
        <v>1989</v>
      </c>
      <c r="AB3947">
        <v>40001</v>
      </c>
      <c r="AC3947"/>
      <c r="AD3947"/>
      <c r="AE3947" t="s">
        <v>7524</v>
      </c>
      <c r="AF3947" t="s">
        <v>7524</v>
      </c>
      <c r="AG3947" t="s">
        <v>86</v>
      </c>
    </row>
    <row r="3948" spans="2:33">
      <c r="B3948" s="14">
        <f>10000000+INDEX(编号表!$B:$B,MATCH(H3948,编号表!$A:$A,0))*100000+INDEX(编号表!$F:$F,MATCH(D3948,编号表!$E:$E,0))*10000+INDEX(编号表!$D:$D,MATCH(AG3948,编号表!$C:$C,0))*1000+F3948</f>
        <v>11812085</v>
      </c>
      <c r="C3948" t="s">
        <v>1994</v>
      </c>
      <c r="D3948" t="s">
        <v>72</v>
      </c>
      <c r="E3948" t="s">
        <v>86</v>
      </c>
      <c r="F3948">
        <v>85</v>
      </c>
      <c r="G3948">
        <v>60</v>
      </c>
      <c r="H3948" t="s">
        <v>7524</v>
      </c>
      <c r="I3948" t="s">
        <v>75</v>
      </c>
      <c r="J3948" t="s">
        <v>201</v>
      </c>
      <c r="K3948">
        <v>1</v>
      </c>
      <c r="L3948" t="s">
        <v>7524</v>
      </c>
      <c r="M3948"/>
      <c r="N3948">
        <v>0</v>
      </c>
      <c r="O3948" t="b">
        <v>1</v>
      </c>
      <c r="P3948"/>
      <c r="Q3948" t="b">
        <v>0</v>
      </c>
      <c r="R3948">
        <v>1</v>
      </c>
      <c r="S3948" t="s">
        <v>77</v>
      </c>
      <c r="T3948">
        <v>999</v>
      </c>
      <c r="U3948" t="s">
        <v>7525</v>
      </c>
      <c r="V3948">
        <f t="shared" si="1"/>
        <v>31812085</v>
      </c>
      <c r="W3948"/>
      <c r="X3948" t="s">
        <v>1995</v>
      </c>
      <c r="Y3948" t="s">
        <v>215</v>
      </c>
      <c r="Z3948">
        <v>20256</v>
      </c>
      <c r="AA3948" t="s">
        <v>1996</v>
      </c>
      <c r="AB3948">
        <v>40001</v>
      </c>
      <c r="AC3948"/>
      <c r="AD3948"/>
      <c r="AE3948" t="s">
        <v>7524</v>
      </c>
      <c r="AF3948" t="s">
        <v>7524</v>
      </c>
      <c r="AG3948" t="s">
        <v>86</v>
      </c>
    </row>
    <row r="3949" spans="2:33">
      <c r="B3949" s="14">
        <f>10000000+INDEX(编号表!$B:$B,MATCH(H3949,编号表!$A:$A,0))*100000+INDEX(编号表!$F:$F,MATCH(D3949,编号表!$E:$E,0))*10000+INDEX(编号表!$D:$D,MATCH(AG3949,编号表!$C:$C,0))*1000+F3949</f>
        <v>11812086</v>
      </c>
      <c r="C3949" t="s">
        <v>2001</v>
      </c>
      <c r="D3949" t="s">
        <v>72</v>
      </c>
      <c r="E3949" t="s">
        <v>86</v>
      </c>
      <c r="F3949">
        <v>86</v>
      </c>
      <c r="G3949">
        <v>60</v>
      </c>
      <c r="H3949" t="s">
        <v>7524</v>
      </c>
      <c r="I3949" t="s">
        <v>75</v>
      </c>
      <c r="J3949" t="s">
        <v>201</v>
      </c>
      <c r="K3949">
        <v>1</v>
      </c>
      <c r="L3949" t="s">
        <v>7524</v>
      </c>
      <c r="M3949"/>
      <c r="N3949">
        <v>0</v>
      </c>
      <c r="O3949" t="b">
        <v>1</v>
      </c>
      <c r="P3949"/>
      <c r="Q3949" t="b">
        <v>0</v>
      </c>
      <c r="R3949">
        <v>1</v>
      </c>
      <c r="S3949" t="s">
        <v>77</v>
      </c>
      <c r="T3949">
        <v>999</v>
      </c>
      <c r="U3949" t="s">
        <v>7525</v>
      </c>
      <c r="V3949">
        <f t="shared" si="1"/>
        <v>31812086</v>
      </c>
      <c r="W3949"/>
      <c r="X3949" t="s">
        <v>2002</v>
      </c>
      <c r="Y3949" t="s">
        <v>215</v>
      </c>
      <c r="Z3949">
        <v>20259</v>
      </c>
      <c r="AA3949" t="s">
        <v>2003</v>
      </c>
      <c r="AB3949">
        <v>40001</v>
      </c>
      <c r="AC3949"/>
      <c r="AD3949"/>
      <c r="AE3949" t="s">
        <v>7524</v>
      </c>
      <c r="AF3949" t="s">
        <v>7524</v>
      </c>
      <c r="AG3949" t="s">
        <v>86</v>
      </c>
    </row>
    <row r="3950" spans="2:33">
      <c r="B3950" s="14">
        <f>10000000+INDEX(编号表!$B:$B,MATCH(H3950,编号表!$A:$A,0))*100000+INDEX(编号表!$F:$F,MATCH(D3950,编号表!$E:$E,0))*10000+INDEX(编号表!$D:$D,MATCH(AG3950,编号表!$C:$C,0))*1000+F3950</f>
        <v>11812087</v>
      </c>
      <c r="C3950" t="s">
        <v>2008</v>
      </c>
      <c r="D3950" t="s">
        <v>72</v>
      </c>
      <c r="E3950" t="s">
        <v>86</v>
      </c>
      <c r="F3950">
        <v>87</v>
      </c>
      <c r="G3950">
        <v>60</v>
      </c>
      <c r="H3950" t="s">
        <v>7524</v>
      </c>
      <c r="I3950" t="s">
        <v>75</v>
      </c>
      <c r="J3950" t="s">
        <v>201</v>
      </c>
      <c r="K3950">
        <v>1</v>
      </c>
      <c r="L3950" t="s">
        <v>7524</v>
      </c>
      <c r="M3950"/>
      <c r="N3950">
        <v>0</v>
      </c>
      <c r="O3950" t="b">
        <v>1</v>
      </c>
      <c r="P3950"/>
      <c r="Q3950" t="b">
        <v>0</v>
      </c>
      <c r="R3950">
        <v>1</v>
      </c>
      <c r="S3950" t="s">
        <v>77</v>
      </c>
      <c r="T3950">
        <v>999</v>
      </c>
      <c r="U3950" t="s">
        <v>7525</v>
      </c>
      <c r="V3950">
        <f t="shared" si="1"/>
        <v>31812087</v>
      </c>
      <c r="W3950"/>
      <c r="X3950" t="s">
        <v>2009</v>
      </c>
      <c r="Y3950" t="s">
        <v>215</v>
      </c>
      <c r="Z3950">
        <v>20262</v>
      </c>
      <c r="AA3950" t="s">
        <v>2010</v>
      </c>
      <c r="AB3950">
        <v>40001</v>
      </c>
      <c r="AC3950"/>
      <c r="AD3950"/>
      <c r="AE3950" t="s">
        <v>7524</v>
      </c>
      <c r="AF3950" t="s">
        <v>7524</v>
      </c>
      <c r="AG3950" t="s">
        <v>86</v>
      </c>
    </row>
    <row r="3951" spans="2:33">
      <c r="B3951" s="14">
        <f>10000000+INDEX(编号表!$B:$B,MATCH(H3951,编号表!$A:$A,0))*100000+INDEX(编号表!$F:$F,MATCH(D3951,编号表!$E:$E,0))*10000+INDEX(编号表!$D:$D,MATCH(AG3951,编号表!$C:$C,0))*1000+F3951</f>
        <v>11812088</v>
      </c>
      <c r="C3951" t="s">
        <v>2015</v>
      </c>
      <c r="D3951" t="s">
        <v>72</v>
      </c>
      <c r="E3951" t="s">
        <v>86</v>
      </c>
      <c r="F3951">
        <v>88</v>
      </c>
      <c r="G3951">
        <v>60</v>
      </c>
      <c r="H3951" t="s">
        <v>7524</v>
      </c>
      <c r="I3951" t="s">
        <v>75</v>
      </c>
      <c r="J3951" t="s">
        <v>201</v>
      </c>
      <c r="K3951">
        <v>1</v>
      </c>
      <c r="L3951" t="s">
        <v>7524</v>
      </c>
      <c r="M3951"/>
      <c r="N3951">
        <v>0</v>
      </c>
      <c r="O3951" t="b">
        <v>1</v>
      </c>
      <c r="P3951"/>
      <c r="Q3951" t="b">
        <v>0</v>
      </c>
      <c r="R3951">
        <v>1</v>
      </c>
      <c r="S3951" t="s">
        <v>77</v>
      </c>
      <c r="T3951">
        <v>999</v>
      </c>
      <c r="U3951" t="s">
        <v>7525</v>
      </c>
      <c r="V3951">
        <f t="shared" si="1"/>
        <v>31812088</v>
      </c>
      <c r="W3951"/>
      <c r="X3951" t="s">
        <v>2016</v>
      </c>
      <c r="Y3951" t="s">
        <v>215</v>
      </c>
      <c r="Z3951">
        <v>20265</v>
      </c>
      <c r="AA3951" t="s">
        <v>2017</v>
      </c>
      <c r="AB3951">
        <v>40001</v>
      </c>
      <c r="AC3951"/>
      <c r="AD3951"/>
      <c r="AE3951" t="s">
        <v>7524</v>
      </c>
      <c r="AF3951" t="s">
        <v>7524</v>
      </c>
      <c r="AG3951" t="s">
        <v>86</v>
      </c>
    </row>
    <row r="3952" spans="2:33">
      <c r="B3952" s="14">
        <f>10000000+INDEX(编号表!$B:$B,MATCH(H3952,编号表!$A:$A,0))*100000+INDEX(编号表!$F:$F,MATCH(D3952,编号表!$E:$E,0))*10000+INDEX(编号表!$D:$D,MATCH(AG3952,编号表!$C:$C,0))*1000+F3952</f>
        <v>11812089</v>
      </c>
      <c r="C3952" t="s">
        <v>2022</v>
      </c>
      <c r="D3952" t="s">
        <v>72</v>
      </c>
      <c r="E3952" t="s">
        <v>86</v>
      </c>
      <c r="F3952">
        <v>89</v>
      </c>
      <c r="G3952">
        <v>60</v>
      </c>
      <c r="H3952" t="s">
        <v>7524</v>
      </c>
      <c r="I3952" t="s">
        <v>75</v>
      </c>
      <c r="J3952" t="s">
        <v>201</v>
      </c>
      <c r="K3952">
        <v>1</v>
      </c>
      <c r="L3952" t="s">
        <v>7524</v>
      </c>
      <c r="M3952"/>
      <c r="N3952">
        <v>0</v>
      </c>
      <c r="O3952" t="b">
        <v>1</v>
      </c>
      <c r="P3952"/>
      <c r="Q3952" t="b">
        <v>0</v>
      </c>
      <c r="R3952">
        <v>1</v>
      </c>
      <c r="S3952" t="s">
        <v>77</v>
      </c>
      <c r="T3952">
        <v>999</v>
      </c>
      <c r="U3952" t="s">
        <v>7525</v>
      </c>
      <c r="V3952">
        <f t="shared" si="1"/>
        <v>31812089</v>
      </c>
      <c r="W3952"/>
      <c r="X3952" t="s">
        <v>2023</v>
      </c>
      <c r="Y3952" t="s">
        <v>215</v>
      </c>
      <c r="Z3952">
        <v>20268</v>
      </c>
      <c r="AA3952" t="s">
        <v>2024</v>
      </c>
      <c r="AB3952">
        <v>40001</v>
      </c>
      <c r="AC3952"/>
      <c r="AD3952"/>
      <c r="AE3952" t="s">
        <v>7524</v>
      </c>
      <c r="AF3952" t="s">
        <v>7524</v>
      </c>
      <c r="AG3952" t="s">
        <v>86</v>
      </c>
    </row>
    <row r="3953" spans="2:33">
      <c r="B3953" s="14">
        <f>10000000+INDEX(编号表!$B:$B,MATCH(H3953,编号表!$A:$A,0))*100000+INDEX(编号表!$F:$F,MATCH(D3953,编号表!$E:$E,0))*10000+INDEX(编号表!$D:$D,MATCH(AG3953,编号表!$C:$C,0))*1000+F3953</f>
        <v>11812090</v>
      </c>
      <c r="C3953" t="s">
        <v>2029</v>
      </c>
      <c r="D3953" t="s">
        <v>72</v>
      </c>
      <c r="E3953" t="s">
        <v>86</v>
      </c>
      <c r="F3953">
        <v>90</v>
      </c>
      <c r="G3953">
        <v>60</v>
      </c>
      <c r="H3953" t="s">
        <v>7524</v>
      </c>
      <c r="I3953" t="s">
        <v>75</v>
      </c>
      <c r="J3953" t="s">
        <v>201</v>
      </c>
      <c r="K3953">
        <v>1</v>
      </c>
      <c r="L3953" t="s">
        <v>7524</v>
      </c>
      <c r="M3953"/>
      <c r="N3953">
        <v>0</v>
      </c>
      <c r="O3953" t="b">
        <v>1</v>
      </c>
      <c r="P3953"/>
      <c r="Q3953" t="b">
        <v>0</v>
      </c>
      <c r="R3953">
        <v>1</v>
      </c>
      <c r="S3953" t="s">
        <v>77</v>
      </c>
      <c r="T3953">
        <v>999</v>
      </c>
      <c r="U3953" t="s">
        <v>7525</v>
      </c>
      <c r="V3953">
        <f t="shared" si="1"/>
        <v>31812090</v>
      </c>
      <c r="W3953"/>
      <c r="X3953" t="s">
        <v>2030</v>
      </c>
      <c r="Y3953" t="s">
        <v>215</v>
      </c>
      <c r="Z3953">
        <v>20271</v>
      </c>
      <c r="AA3953" t="s">
        <v>2031</v>
      </c>
      <c r="AB3953">
        <v>40001</v>
      </c>
      <c r="AC3953"/>
      <c r="AD3953"/>
      <c r="AE3953" t="s">
        <v>7524</v>
      </c>
      <c r="AF3953" t="s">
        <v>7524</v>
      </c>
      <c r="AG3953" t="s">
        <v>86</v>
      </c>
    </row>
    <row r="3954" spans="2:33">
      <c r="B3954" s="14">
        <f>10000000+INDEX(编号表!$B:$B,MATCH(H3954,编号表!$A:$A,0))*100000+INDEX(编号表!$F:$F,MATCH(D3954,编号表!$E:$E,0))*10000+INDEX(编号表!$D:$D,MATCH(AG3954,编号表!$C:$C,0))*1000+F3954</f>
        <v>11812091</v>
      </c>
      <c r="C3954" t="s">
        <v>2036</v>
      </c>
      <c r="D3954" t="s">
        <v>72</v>
      </c>
      <c r="E3954" t="s">
        <v>86</v>
      </c>
      <c r="F3954">
        <v>91</v>
      </c>
      <c r="G3954">
        <v>60</v>
      </c>
      <c r="H3954" t="s">
        <v>7524</v>
      </c>
      <c r="I3954" t="s">
        <v>75</v>
      </c>
      <c r="J3954" t="s">
        <v>201</v>
      </c>
      <c r="K3954">
        <v>1</v>
      </c>
      <c r="L3954" t="s">
        <v>7524</v>
      </c>
      <c r="M3954"/>
      <c r="N3954">
        <v>0</v>
      </c>
      <c r="O3954" t="b">
        <v>1</v>
      </c>
      <c r="P3954"/>
      <c r="Q3954" t="b">
        <v>0</v>
      </c>
      <c r="R3954">
        <v>1</v>
      </c>
      <c r="S3954" t="s">
        <v>77</v>
      </c>
      <c r="T3954">
        <v>999</v>
      </c>
      <c r="U3954" t="s">
        <v>7525</v>
      </c>
      <c r="V3954">
        <f t="shared" si="1"/>
        <v>31812091</v>
      </c>
      <c r="W3954"/>
      <c r="X3954" t="s">
        <v>2037</v>
      </c>
      <c r="Y3954" t="s">
        <v>215</v>
      </c>
      <c r="Z3954">
        <v>20274</v>
      </c>
      <c r="AA3954" t="s">
        <v>2038</v>
      </c>
      <c r="AB3954">
        <v>40001</v>
      </c>
      <c r="AC3954"/>
      <c r="AD3954"/>
      <c r="AE3954" t="s">
        <v>7524</v>
      </c>
      <c r="AF3954" t="s">
        <v>7524</v>
      </c>
      <c r="AG3954" t="s">
        <v>86</v>
      </c>
    </row>
    <row r="3955" spans="2:33">
      <c r="B3955" s="14">
        <f>10000000+INDEX(编号表!$B:$B,MATCH(H3955,编号表!$A:$A,0))*100000+INDEX(编号表!$F:$F,MATCH(D3955,编号表!$E:$E,0))*10000+INDEX(编号表!$D:$D,MATCH(AG3955,编号表!$C:$C,0))*1000+F3955</f>
        <v>11812092</v>
      </c>
      <c r="C3955" t="s">
        <v>2043</v>
      </c>
      <c r="D3955" t="s">
        <v>72</v>
      </c>
      <c r="E3955" t="s">
        <v>86</v>
      </c>
      <c r="F3955">
        <v>92</v>
      </c>
      <c r="G3955">
        <v>60</v>
      </c>
      <c r="H3955" t="s">
        <v>7524</v>
      </c>
      <c r="I3955" t="s">
        <v>75</v>
      </c>
      <c r="J3955" t="s">
        <v>201</v>
      </c>
      <c r="K3955">
        <v>1</v>
      </c>
      <c r="L3955" t="s">
        <v>7524</v>
      </c>
      <c r="M3955"/>
      <c r="N3955">
        <v>0</v>
      </c>
      <c r="O3955" t="b">
        <v>1</v>
      </c>
      <c r="P3955"/>
      <c r="Q3955" t="b">
        <v>0</v>
      </c>
      <c r="R3955">
        <v>1</v>
      </c>
      <c r="S3955" t="s">
        <v>77</v>
      </c>
      <c r="T3955">
        <v>999</v>
      </c>
      <c r="U3955" t="s">
        <v>7525</v>
      </c>
      <c r="V3955">
        <f t="shared" si="1"/>
        <v>31812092</v>
      </c>
      <c r="W3955"/>
      <c r="X3955" t="s">
        <v>2044</v>
      </c>
      <c r="Y3955" t="s">
        <v>215</v>
      </c>
      <c r="Z3955">
        <v>20277</v>
      </c>
      <c r="AA3955" t="s">
        <v>2045</v>
      </c>
      <c r="AB3955">
        <v>40001</v>
      </c>
      <c r="AC3955"/>
      <c r="AD3955"/>
      <c r="AE3955" t="s">
        <v>7524</v>
      </c>
      <c r="AF3955" t="s">
        <v>7524</v>
      </c>
      <c r="AG3955" t="s">
        <v>86</v>
      </c>
    </row>
    <row r="3956" spans="2:33">
      <c r="B3956" s="14">
        <f>10000000+INDEX(编号表!$B:$B,MATCH(H3956,编号表!$A:$A,0))*100000+INDEX(编号表!$F:$F,MATCH(D3956,编号表!$E:$E,0))*10000+INDEX(编号表!$D:$D,MATCH(AG3956,编号表!$C:$C,0))*1000+F3956</f>
        <v>11812093</v>
      </c>
      <c r="C3956" t="s">
        <v>2050</v>
      </c>
      <c r="D3956" t="s">
        <v>72</v>
      </c>
      <c r="E3956" t="s">
        <v>86</v>
      </c>
      <c r="F3956">
        <v>93</v>
      </c>
      <c r="G3956">
        <v>60</v>
      </c>
      <c r="H3956" t="s">
        <v>7524</v>
      </c>
      <c r="I3956" t="s">
        <v>75</v>
      </c>
      <c r="J3956" t="s">
        <v>201</v>
      </c>
      <c r="K3956">
        <v>1</v>
      </c>
      <c r="L3956" t="s">
        <v>7524</v>
      </c>
      <c r="M3956"/>
      <c r="N3956">
        <v>0</v>
      </c>
      <c r="O3956" t="b">
        <v>1</v>
      </c>
      <c r="P3956"/>
      <c r="Q3956" t="b">
        <v>0</v>
      </c>
      <c r="R3956">
        <v>1</v>
      </c>
      <c r="S3956" t="s">
        <v>77</v>
      </c>
      <c r="T3956">
        <v>999</v>
      </c>
      <c r="U3956" t="s">
        <v>7525</v>
      </c>
      <c r="V3956">
        <f t="shared" si="1"/>
        <v>31812093</v>
      </c>
      <c r="W3956"/>
      <c r="X3956" t="s">
        <v>2051</v>
      </c>
      <c r="Y3956" t="s">
        <v>215</v>
      </c>
      <c r="Z3956">
        <v>20280</v>
      </c>
      <c r="AA3956" t="s">
        <v>2052</v>
      </c>
      <c r="AB3956">
        <v>40001</v>
      </c>
      <c r="AC3956"/>
      <c r="AD3956"/>
      <c r="AE3956" t="s">
        <v>7524</v>
      </c>
      <c r="AF3956" t="s">
        <v>7524</v>
      </c>
      <c r="AG3956" t="s">
        <v>86</v>
      </c>
    </row>
    <row r="3957" spans="2:33">
      <c r="B3957" s="14">
        <f>10000000+INDEX(编号表!$B:$B,MATCH(H3957,编号表!$A:$A,0))*100000+INDEX(编号表!$F:$F,MATCH(D3957,编号表!$E:$E,0))*10000+INDEX(编号表!$D:$D,MATCH(AG3957,编号表!$C:$C,0))*1000+F3957</f>
        <v>11812094</v>
      </c>
      <c r="C3957" t="s">
        <v>2057</v>
      </c>
      <c r="D3957" t="s">
        <v>72</v>
      </c>
      <c r="E3957" t="s">
        <v>86</v>
      </c>
      <c r="F3957">
        <v>94</v>
      </c>
      <c r="G3957">
        <v>60</v>
      </c>
      <c r="H3957" t="s">
        <v>7524</v>
      </c>
      <c r="I3957" t="s">
        <v>75</v>
      </c>
      <c r="J3957" t="s">
        <v>201</v>
      </c>
      <c r="K3957">
        <v>1</v>
      </c>
      <c r="L3957" t="s">
        <v>7524</v>
      </c>
      <c r="M3957"/>
      <c r="N3957">
        <v>0</v>
      </c>
      <c r="O3957" t="b">
        <v>1</v>
      </c>
      <c r="P3957"/>
      <c r="Q3957" t="b">
        <v>0</v>
      </c>
      <c r="R3957">
        <v>1</v>
      </c>
      <c r="S3957" t="s">
        <v>77</v>
      </c>
      <c r="T3957">
        <v>999</v>
      </c>
      <c r="U3957" t="s">
        <v>7525</v>
      </c>
      <c r="V3957">
        <f t="shared" si="1"/>
        <v>31812094</v>
      </c>
      <c r="W3957"/>
      <c r="X3957" t="s">
        <v>2058</v>
      </c>
      <c r="Y3957" t="s">
        <v>215</v>
      </c>
      <c r="Z3957">
        <v>20283</v>
      </c>
      <c r="AA3957" t="s">
        <v>2059</v>
      </c>
      <c r="AB3957">
        <v>40001</v>
      </c>
      <c r="AC3957"/>
      <c r="AD3957"/>
      <c r="AE3957" t="s">
        <v>7524</v>
      </c>
      <c r="AF3957" t="s">
        <v>7524</v>
      </c>
      <c r="AG3957" t="s">
        <v>86</v>
      </c>
    </row>
    <row r="3958" spans="2:33">
      <c r="B3958" s="14">
        <f>10000000+INDEX(编号表!$B:$B,MATCH(H3958,编号表!$A:$A,0))*100000+INDEX(编号表!$F:$F,MATCH(D3958,编号表!$E:$E,0))*10000+INDEX(编号表!$D:$D,MATCH(AG3958,编号表!$C:$C,0))*1000+F3958</f>
        <v>11812095</v>
      </c>
      <c r="C3958" t="s">
        <v>2064</v>
      </c>
      <c r="D3958" t="s">
        <v>72</v>
      </c>
      <c r="E3958" t="s">
        <v>86</v>
      </c>
      <c r="F3958">
        <v>95</v>
      </c>
      <c r="G3958">
        <v>60</v>
      </c>
      <c r="H3958" t="s">
        <v>7524</v>
      </c>
      <c r="I3958" t="s">
        <v>75</v>
      </c>
      <c r="J3958" t="s">
        <v>201</v>
      </c>
      <c r="K3958">
        <v>1</v>
      </c>
      <c r="L3958" t="s">
        <v>7524</v>
      </c>
      <c r="M3958"/>
      <c r="N3958">
        <v>0</v>
      </c>
      <c r="O3958" t="b">
        <v>1</v>
      </c>
      <c r="P3958"/>
      <c r="Q3958" t="b">
        <v>0</v>
      </c>
      <c r="R3958">
        <v>1</v>
      </c>
      <c r="S3958" t="s">
        <v>77</v>
      </c>
      <c r="T3958">
        <v>999</v>
      </c>
      <c r="U3958" t="s">
        <v>7525</v>
      </c>
      <c r="V3958">
        <f t="shared" si="1"/>
        <v>31812095</v>
      </c>
      <c r="W3958"/>
      <c r="X3958" t="s">
        <v>2065</v>
      </c>
      <c r="Y3958" t="s">
        <v>215</v>
      </c>
      <c r="Z3958">
        <v>20286</v>
      </c>
      <c r="AA3958" t="s">
        <v>2066</v>
      </c>
      <c r="AB3958">
        <v>40001</v>
      </c>
      <c r="AC3958"/>
      <c r="AD3958"/>
      <c r="AE3958" t="s">
        <v>7524</v>
      </c>
      <c r="AF3958" t="s">
        <v>7524</v>
      </c>
      <c r="AG3958" t="s">
        <v>86</v>
      </c>
    </row>
    <row r="3959" spans="2:33">
      <c r="B3959" s="14">
        <f>10000000+INDEX(编号表!$B:$B,MATCH(H3959,编号表!$A:$A,0))*100000+INDEX(编号表!$F:$F,MATCH(D3959,编号表!$E:$E,0))*10000+INDEX(编号表!$D:$D,MATCH(AG3959,编号表!$C:$C,0))*1000+F3959</f>
        <v>11812096</v>
      </c>
      <c r="C3959" t="s">
        <v>2071</v>
      </c>
      <c r="D3959" t="s">
        <v>72</v>
      </c>
      <c r="E3959" t="s">
        <v>86</v>
      </c>
      <c r="F3959">
        <v>96</v>
      </c>
      <c r="G3959">
        <v>60</v>
      </c>
      <c r="H3959" t="s">
        <v>7524</v>
      </c>
      <c r="I3959" t="s">
        <v>75</v>
      </c>
      <c r="J3959" t="s">
        <v>201</v>
      </c>
      <c r="K3959">
        <v>1</v>
      </c>
      <c r="L3959" t="s">
        <v>7524</v>
      </c>
      <c r="M3959"/>
      <c r="N3959">
        <v>0</v>
      </c>
      <c r="O3959" t="b">
        <v>1</v>
      </c>
      <c r="P3959"/>
      <c r="Q3959" t="b">
        <v>0</v>
      </c>
      <c r="R3959">
        <v>1</v>
      </c>
      <c r="S3959" t="s">
        <v>77</v>
      </c>
      <c r="T3959">
        <v>999</v>
      </c>
      <c r="U3959" t="s">
        <v>7525</v>
      </c>
      <c r="V3959">
        <f t="shared" si="1"/>
        <v>31812096</v>
      </c>
      <c r="W3959"/>
      <c r="X3959" t="s">
        <v>2072</v>
      </c>
      <c r="Y3959" t="s">
        <v>215</v>
      </c>
      <c r="Z3959">
        <v>20289</v>
      </c>
      <c r="AA3959" t="s">
        <v>2073</v>
      </c>
      <c r="AB3959">
        <v>40001</v>
      </c>
      <c r="AC3959"/>
      <c r="AD3959"/>
      <c r="AE3959" t="s">
        <v>7524</v>
      </c>
      <c r="AF3959" t="s">
        <v>7524</v>
      </c>
      <c r="AG3959" t="s">
        <v>86</v>
      </c>
    </row>
    <row r="3960" spans="2:33">
      <c r="B3960" s="14">
        <f>10000000+INDEX(编号表!$B:$B,MATCH(H3960,编号表!$A:$A,0))*100000+INDEX(编号表!$F:$F,MATCH(D3960,编号表!$E:$E,0))*10000+INDEX(编号表!$D:$D,MATCH(AG3960,编号表!$C:$C,0))*1000+F3960</f>
        <v>11812097</v>
      </c>
      <c r="C3960" t="s">
        <v>2078</v>
      </c>
      <c r="D3960" t="s">
        <v>72</v>
      </c>
      <c r="E3960" t="s">
        <v>86</v>
      </c>
      <c r="F3960">
        <v>97</v>
      </c>
      <c r="G3960">
        <v>60</v>
      </c>
      <c r="H3960" t="s">
        <v>7524</v>
      </c>
      <c r="I3960" t="s">
        <v>75</v>
      </c>
      <c r="J3960" t="s">
        <v>201</v>
      </c>
      <c r="K3960">
        <v>1</v>
      </c>
      <c r="L3960" t="s">
        <v>7524</v>
      </c>
      <c r="M3960"/>
      <c r="N3960">
        <v>0</v>
      </c>
      <c r="O3960" t="b">
        <v>1</v>
      </c>
      <c r="P3960"/>
      <c r="Q3960" t="b">
        <v>0</v>
      </c>
      <c r="R3960">
        <v>1</v>
      </c>
      <c r="S3960" t="s">
        <v>77</v>
      </c>
      <c r="T3960">
        <v>999</v>
      </c>
      <c r="U3960" t="s">
        <v>7525</v>
      </c>
      <c r="V3960">
        <f t="shared" si="1"/>
        <v>31812097</v>
      </c>
      <c r="W3960"/>
      <c r="X3960" t="s">
        <v>2079</v>
      </c>
      <c r="Y3960" t="s">
        <v>215</v>
      </c>
      <c r="Z3960">
        <v>20292</v>
      </c>
      <c r="AA3960" t="s">
        <v>2080</v>
      </c>
      <c r="AB3960">
        <v>40001</v>
      </c>
      <c r="AC3960"/>
      <c r="AD3960"/>
      <c r="AE3960" t="s">
        <v>7524</v>
      </c>
      <c r="AF3960" t="s">
        <v>7524</v>
      </c>
      <c r="AG3960" t="s">
        <v>86</v>
      </c>
    </row>
    <row r="3961" spans="2:33">
      <c r="B3961" s="14">
        <f>10000000+INDEX(编号表!$B:$B,MATCH(H3961,编号表!$A:$A,0))*100000+INDEX(编号表!$F:$F,MATCH(D3961,编号表!$E:$E,0))*10000+INDEX(编号表!$D:$D,MATCH(AG3961,编号表!$C:$C,0))*1000+F3961</f>
        <v>11812098</v>
      </c>
      <c r="C3961" t="s">
        <v>2085</v>
      </c>
      <c r="D3961" t="s">
        <v>72</v>
      </c>
      <c r="E3961" t="s">
        <v>86</v>
      </c>
      <c r="F3961">
        <v>98</v>
      </c>
      <c r="G3961">
        <v>60</v>
      </c>
      <c r="H3961" t="s">
        <v>7524</v>
      </c>
      <c r="I3961" t="s">
        <v>75</v>
      </c>
      <c r="J3961" t="s">
        <v>201</v>
      </c>
      <c r="K3961">
        <v>1</v>
      </c>
      <c r="L3961" t="s">
        <v>7524</v>
      </c>
      <c r="M3961"/>
      <c r="N3961">
        <v>0</v>
      </c>
      <c r="O3961" t="b">
        <v>1</v>
      </c>
      <c r="P3961"/>
      <c r="Q3961" t="b">
        <v>0</v>
      </c>
      <c r="R3961">
        <v>1</v>
      </c>
      <c r="S3961" t="s">
        <v>77</v>
      </c>
      <c r="T3961">
        <v>999</v>
      </c>
      <c r="U3961" t="s">
        <v>7525</v>
      </c>
      <c r="V3961">
        <f t="shared" si="1"/>
        <v>31812098</v>
      </c>
      <c r="W3961"/>
      <c r="X3961" t="s">
        <v>2086</v>
      </c>
      <c r="Y3961" t="s">
        <v>215</v>
      </c>
      <c r="Z3961">
        <v>20295</v>
      </c>
      <c r="AA3961" t="s">
        <v>2087</v>
      </c>
      <c r="AB3961">
        <v>40001</v>
      </c>
      <c r="AC3961"/>
      <c r="AD3961"/>
      <c r="AE3961" t="s">
        <v>7524</v>
      </c>
      <c r="AF3961" t="s">
        <v>7524</v>
      </c>
      <c r="AG3961" t="s">
        <v>86</v>
      </c>
    </row>
    <row r="3962" spans="2:33">
      <c r="B3962" s="14">
        <f>10000000+INDEX(编号表!$B:$B,MATCH(H3962,编号表!$A:$A,0))*100000+INDEX(编号表!$F:$F,MATCH(D3962,编号表!$E:$E,0))*10000+INDEX(编号表!$D:$D,MATCH(AG3962,编号表!$C:$C,0))*1000+F3962</f>
        <v>11812099</v>
      </c>
      <c r="C3962" t="s">
        <v>2092</v>
      </c>
      <c r="D3962" t="s">
        <v>72</v>
      </c>
      <c r="E3962" t="s">
        <v>86</v>
      </c>
      <c r="F3962">
        <v>99</v>
      </c>
      <c r="G3962">
        <v>60</v>
      </c>
      <c r="H3962" t="s">
        <v>7524</v>
      </c>
      <c r="I3962" t="s">
        <v>75</v>
      </c>
      <c r="J3962" t="s">
        <v>201</v>
      </c>
      <c r="K3962">
        <v>1</v>
      </c>
      <c r="L3962" t="s">
        <v>7524</v>
      </c>
      <c r="M3962"/>
      <c r="N3962">
        <v>0</v>
      </c>
      <c r="O3962" t="b">
        <v>1</v>
      </c>
      <c r="P3962"/>
      <c r="Q3962" t="b">
        <v>0</v>
      </c>
      <c r="R3962">
        <v>1</v>
      </c>
      <c r="S3962" t="s">
        <v>77</v>
      </c>
      <c r="T3962">
        <v>999</v>
      </c>
      <c r="U3962" t="s">
        <v>7525</v>
      </c>
      <c r="V3962">
        <f t="shared" si="1"/>
        <v>31812099</v>
      </c>
      <c r="W3962"/>
      <c r="X3962" t="s">
        <v>2093</v>
      </c>
      <c r="Y3962" t="s">
        <v>215</v>
      </c>
      <c r="Z3962">
        <v>20298</v>
      </c>
      <c r="AA3962" t="s">
        <v>2094</v>
      </c>
      <c r="AB3962">
        <v>40001</v>
      </c>
      <c r="AC3962"/>
      <c r="AD3962"/>
      <c r="AE3962" t="s">
        <v>7524</v>
      </c>
      <c r="AF3962" t="s">
        <v>7524</v>
      </c>
      <c r="AG3962" t="s">
        <v>86</v>
      </c>
    </row>
    <row r="3963" spans="2:33">
      <c r="B3963" s="14">
        <f>10000000+INDEX(编号表!$B:$B,MATCH(H3963,编号表!$A:$A,0))*100000+INDEX(编号表!$F:$F,MATCH(D3963,编号表!$E:$E,0))*10000+INDEX(编号表!$D:$D,MATCH(AG3963,编号表!$C:$C,0))*1000+F3963</f>
        <v>11812100</v>
      </c>
      <c r="C3963" t="s">
        <v>2099</v>
      </c>
      <c r="D3963" t="s">
        <v>72</v>
      </c>
      <c r="E3963" t="s">
        <v>86</v>
      </c>
      <c r="F3963">
        <v>100</v>
      </c>
      <c r="G3963">
        <v>60</v>
      </c>
      <c r="H3963" t="s">
        <v>7524</v>
      </c>
      <c r="I3963" t="s">
        <v>75</v>
      </c>
      <c r="J3963" t="s">
        <v>201</v>
      </c>
      <c r="K3963">
        <v>1</v>
      </c>
      <c r="L3963" t="s">
        <v>7524</v>
      </c>
      <c r="M3963"/>
      <c r="N3963">
        <v>0</v>
      </c>
      <c r="O3963" t="b">
        <v>1</v>
      </c>
      <c r="P3963"/>
      <c r="Q3963" t="b">
        <v>0</v>
      </c>
      <c r="R3963">
        <v>1</v>
      </c>
      <c r="S3963" t="s">
        <v>77</v>
      </c>
      <c r="T3963">
        <v>999</v>
      </c>
      <c r="U3963" t="s">
        <v>7525</v>
      </c>
      <c r="V3963">
        <f t="shared" si="1"/>
        <v>31812100</v>
      </c>
      <c r="W3963"/>
      <c r="X3963" t="s">
        <v>2100</v>
      </c>
      <c r="Y3963" t="s">
        <v>215</v>
      </c>
      <c r="Z3963">
        <v>20301</v>
      </c>
      <c r="AA3963" t="s">
        <v>2101</v>
      </c>
      <c r="AB3963">
        <v>40001</v>
      </c>
      <c r="AC3963"/>
      <c r="AD3963"/>
      <c r="AE3963" t="s">
        <v>7524</v>
      </c>
      <c r="AF3963" t="s">
        <v>7524</v>
      </c>
      <c r="AG3963" t="s">
        <v>86</v>
      </c>
    </row>
    <row r="3964" spans="2:33">
      <c r="B3964" s="14">
        <f>10000000+INDEX(编号表!$B:$B,MATCH(H3964,编号表!$A:$A,0))*100000+INDEX(编号表!$F:$F,MATCH(D3964,编号表!$E:$E,0))*10000+INDEX(编号表!$D:$D,MATCH(AG3964,编号表!$C:$C,0))*1000+F3964</f>
        <v>11812101</v>
      </c>
      <c r="C3964" t="s">
        <v>2106</v>
      </c>
      <c r="D3964" t="s">
        <v>72</v>
      </c>
      <c r="E3964" t="s">
        <v>86</v>
      </c>
      <c r="F3964">
        <v>101</v>
      </c>
      <c r="G3964">
        <v>60</v>
      </c>
      <c r="H3964" t="s">
        <v>7524</v>
      </c>
      <c r="I3964" t="s">
        <v>75</v>
      </c>
      <c r="J3964" t="s">
        <v>201</v>
      </c>
      <c r="K3964">
        <v>1</v>
      </c>
      <c r="L3964" t="s">
        <v>7524</v>
      </c>
      <c r="M3964"/>
      <c r="N3964">
        <v>0</v>
      </c>
      <c r="O3964" t="b">
        <v>1</v>
      </c>
      <c r="P3964"/>
      <c r="Q3964" t="b">
        <v>0</v>
      </c>
      <c r="R3964">
        <v>1</v>
      </c>
      <c r="S3964" t="s">
        <v>77</v>
      </c>
      <c r="T3964">
        <v>999</v>
      </c>
      <c r="U3964" t="s">
        <v>7525</v>
      </c>
      <c r="V3964">
        <f t="shared" si="1"/>
        <v>31812101</v>
      </c>
      <c r="W3964"/>
      <c r="X3964" t="s">
        <v>2107</v>
      </c>
      <c r="Y3964" t="s">
        <v>215</v>
      </c>
      <c r="Z3964">
        <v>20304</v>
      </c>
      <c r="AA3964" t="s">
        <v>2108</v>
      </c>
      <c r="AB3964">
        <v>40001</v>
      </c>
      <c r="AC3964"/>
      <c r="AD3964"/>
      <c r="AE3964" t="s">
        <v>7524</v>
      </c>
      <c r="AF3964" t="s">
        <v>7524</v>
      </c>
      <c r="AG3964" t="s">
        <v>86</v>
      </c>
    </row>
    <row r="3965" spans="2:33">
      <c r="B3965" s="14">
        <f>10000000+INDEX(编号表!$B:$B,MATCH(H3965,编号表!$A:$A,0))*100000+INDEX(编号表!$F:$F,MATCH(D3965,编号表!$E:$E,0))*10000+INDEX(编号表!$D:$D,MATCH(AG3965,编号表!$C:$C,0))*1000+F3965</f>
        <v>11812102</v>
      </c>
      <c r="C3965" t="s">
        <v>2113</v>
      </c>
      <c r="D3965" t="s">
        <v>72</v>
      </c>
      <c r="E3965" t="s">
        <v>86</v>
      </c>
      <c r="F3965">
        <v>102</v>
      </c>
      <c r="G3965">
        <v>60</v>
      </c>
      <c r="H3965" t="s">
        <v>7524</v>
      </c>
      <c r="I3965" t="s">
        <v>75</v>
      </c>
      <c r="J3965" t="s">
        <v>201</v>
      </c>
      <c r="K3965">
        <v>1</v>
      </c>
      <c r="L3965" t="s">
        <v>7524</v>
      </c>
      <c r="M3965"/>
      <c r="N3965">
        <v>0</v>
      </c>
      <c r="O3965" t="b">
        <v>1</v>
      </c>
      <c r="P3965"/>
      <c r="Q3965" t="b">
        <v>0</v>
      </c>
      <c r="R3965">
        <v>1</v>
      </c>
      <c r="S3965" t="s">
        <v>77</v>
      </c>
      <c r="T3965">
        <v>999</v>
      </c>
      <c r="U3965" t="s">
        <v>7525</v>
      </c>
      <c r="V3965">
        <f t="shared" si="1"/>
        <v>31812102</v>
      </c>
      <c r="W3965"/>
      <c r="X3965" t="s">
        <v>2114</v>
      </c>
      <c r="Y3965" t="s">
        <v>215</v>
      </c>
      <c r="Z3965">
        <v>20307</v>
      </c>
      <c r="AA3965" t="s">
        <v>2115</v>
      </c>
      <c r="AB3965">
        <v>40001</v>
      </c>
      <c r="AC3965"/>
      <c r="AD3965"/>
      <c r="AE3965" t="s">
        <v>7524</v>
      </c>
      <c r="AF3965" t="s">
        <v>7524</v>
      </c>
      <c r="AG3965" t="s">
        <v>86</v>
      </c>
    </row>
    <row r="3966" spans="2:33">
      <c r="B3966" s="14">
        <f>10000000+INDEX(编号表!$B:$B,MATCH(H3966,编号表!$A:$A,0))*100000+INDEX(编号表!$F:$F,MATCH(D3966,编号表!$E:$E,0))*10000+INDEX(编号表!$D:$D,MATCH(AG3966,编号表!$C:$C,0))*1000+F3966</f>
        <v>11812103</v>
      </c>
      <c r="C3966" t="s">
        <v>2120</v>
      </c>
      <c r="D3966" t="s">
        <v>72</v>
      </c>
      <c r="E3966" t="s">
        <v>86</v>
      </c>
      <c r="F3966">
        <v>103</v>
      </c>
      <c r="G3966">
        <v>60</v>
      </c>
      <c r="H3966" t="s">
        <v>7524</v>
      </c>
      <c r="I3966" t="s">
        <v>75</v>
      </c>
      <c r="J3966" t="s">
        <v>201</v>
      </c>
      <c r="K3966">
        <v>1</v>
      </c>
      <c r="L3966" t="s">
        <v>7524</v>
      </c>
      <c r="M3966"/>
      <c r="N3966">
        <v>0</v>
      </c>
      <c r="O3966" t="b">
        <v>1</v>
      </c>
      <c r="P3966"/>
      <c r="Q3966" t="b">
        <v>0</v>
      </c>
      <c r="R3966">
        <v>1</v>
      </c>
      <c r="S3966" t="s">
        <v>77</v>
      </c>
      <c r="T3966">
        <v>999</v>
      </c>
      <c r="U3966" t="s">
        <v>7525</v>
      </c>
      <c r="V3966">
        <f t="shared" si="1"/>
        <v>31812103</v>
      </c>
      <c r="W3966"/>
      <c r="X3966" t="s">
        <v>2121</v>
      </c>
      <c r="Y3966" t="s">
        <v>215</v>
      </c>
      <c r="Z3966">
        <v>20310</v>
      </c>
      <c r="AA3966" t="s">
        <v>2122</v>
      </c>
      <c r="AB3966">
        <v>40001</v>
      </c>
      <c r="AC3966"/>
      <c r="AD3966"/>
      <c r="AE3966" t="s">
        <v>7524</v>
      </c>
      <c r="AF3966" t="s">
        <v>7524</v>
      </c>
      <c r="AG3966" t="s">
        <v>86</v>
      </c>
    </row>
    <row r="3967" spans="2:33">
      <c r="B3967" s="14">
        <f>10000000+INDEX(编号表!$B:$B,MATCH(H3967,编号表!$A:$A,0))*100000+INDEX(编号表!$F:$F,MATCH(D3967,编号表!$E:$E,0))*10000+INDEX(编号表!$D:$D,MATCH(AG3967,编号表!$C:$C,0))*1000+F3967</f>
        <v>11812104</v>
      </c>
      <c r="C3967" t="s">
        <v>2127</v>
      </c>
      <c r="D3967" t="s">
        <v>72</v>
      </c>
      <c r="E3967" t="s">
        <v>86</v>
      </c>
      <c r="F3967">
        <v>104</v>
      </c>
      <c r="G3967">
        <v>60</v>
      </c>
      <c r="H3967" t="s">
        <v>7524</v>
      </c>
      <c r="I3967" t="s">
        <v>75</v>
      </c>
      <c r="J3967" t="s">
        <v>201</v>
      </c>
      <c r="K3967">
        <v>1</v>
      </c>
      <c r="L3967" t="s">
        <v>7524</v>
      </c>
      <c r="M3967"/>
      <c r="N3967">
        <v>0</v>
      </c>
      <c r="O3967" t="b">
        <v>1</v>
      </c>
      <c r="P3967"/>
      <c r="Q3967" t="b">
        <v>0</v>
      </c>
      <c r="R3967">
        <v>1</v>
      </c>
      <c r="S3967" t="s">
        <v>77</v>
      </c>
      <c r="T3967">
        <v>999</v>
      </c>
      <c r="U3967" t="s">
        <v>7525</v>
      </c>
      <c r="V3967">
        <f t="shared" si="1"/>
        <v>31812104</v>
      </c>
      <c r="W3967"/>
      <c r="X3967" t="s">
        <v>2128</v>
      </c>
      <c r="Y3967" t="s">
        <v>215</v>
      </c>
      <c r="Z3967">
        <v>20313</v>
      </c>
      <c r="AA3967" t="s">
        <v>2129</v>
      </c>
      <c r="AB3967">
        <v>40001</v>
      </c>
      <c r="AC3967"/>
      <c r="AD3967"/>
      <c r="AE3967" t="s">
        <v>7524</v>
      </c>
      <c r="AF3967" t="s">
        <v>7524</v>
      </c>
      <c r="AG3967" t="s">
        <v>86</v>
      </c>
    </row>
    <row r="3968" spans="2:33">
      <c r="B3968" s="14">
        <f>10000000+INDEX(编号表!$B:$B,MATCH(H3968,编号表!$A:$A,0))*100000+INDEX(编号表!$F:$F,MATCH(D3968,编号表!$E:$E,0))*10000+INDEX(编号表!$D:$D,MATCH(AG3968,编号表!$C:$C,0))*1000+F3968</f>
        <v>11812105</v>
      </c>
      <c r="C3968" t="s">
        <v>2134</v>
      </c>
      <c r="D3968" t="s">
        <v>72</v>
      </c>
      <c r="E3968" t="s">
        <v>86</v>
      </c>
      <c r="F3968">
        <v>105</v>
      </c>
      <c r="G3968">
        <v>60</v>
      </c>
      <c r="H3968" t="s">
        <v>7524</v>
      </c>
      <c r="I3968" t="s">
        <v>75</v>
      </c>
      <c r="J3968" t="s">
        <v>201</v>
      </c>
      <c r="K3968">
        <v>1</v>
      </c>
      <c r="L3968" t="s">
        <v>7524</v>
      </c>
      <c r="M3968"/>
      <c r="N3968">
        <v>0</v>
      </c>
      <c r="O3968" t="b">
        <v>1</v>
      </c>
      <c r="P3968"/>
      <c r="Q3968" t="b">
        <v>0</v>
      </c>
      <c r="R3968">
        <v>1</v>
      </c>
      <c r="S3968" t="s">
        <v>77</v>
      </c>
      <c r="T3968">
        <v>999</v>
      </c>
      <c r="U3968" t="s">
        <v>7525</v>
      </c>
      <c r="V3968">
        <f t="shared" si="1"/>
        <v>31812105</v>
      </c>
      <c r="W3968"/>
      <c r="X3968" t="s">
        <v>2135</v>
      </c>
      <c r="Y3968" t="s">
        <v>215</v>
      </c>
      <c r="Z3968">
        <v>20316</v>
      </c>
      <c r="AA3968" t="s">
        <v>2136</v>
      </c>
      <c r="AB3968">
        <v>40001</v>
      </c>
      <c r="AC3968"/>
      <c r="AD3968"/>
      <c r="AE3968" t="s">
        <v>7524</v>
      </c>
      <c r="AF3968" t="s">
        <v>7524</v>
      </c>
      <c r="AG3968" t="s">
        <v>86</v>
      </c>
    </row>
    <row r="3969" spans="2:33">
      <c r="B3969" s="14">
        <f>10000000+INDEX(编号表!$B:$B,MATCH(H3969,编号表!$A:$A,0))*100000+INDEX(编号表!$F:$F,MATCH(D3969,编号表!$E:$E,0))*10000+INDEX(编号表!$D:$D,MATCH(AG3969,编号表!$C:$C,0))*1000+F3969</f>
        <v>11812106</v>
      </c>
      <c r="C3969" t="s">
        <v>2141</v>
      </c>
      <c r="D3969" t="s">
        <v>72</v>
      </c>
      <c r="E3969" t="s">
        <v>86</v>
      </c>
      <c r="F3969">
        <v>106</v>
      </c>
      <c r="G3969">
        <v>60</v>
      </c>
      <c r="H3969" t="s">
        <v>7524</v>
      </c>
      <c r="I3969" t="s">
        <v>75</v>
      </c>
      <c r="J3969" t="s">
        <v>201</v>
      </c>
      <c r="K3969">
        <v>1</v>
      </c>
      <c r="L3969" t="s">
        <v>7524</v>
      </c>
      <c r="M3969"/>
      <c r="N3969">
        <v>0</v>
      </c>
      <c r="O3969" t="b">
        <v>1</v>
      </c>
      <c r="P3969"/>
      <c r="Q3969" t="b">
        <v>0</v>
      </c>
      <c r="R3969">
        <v>1</v>
      </c>
      <c r="S3969" t="s">
        <v>77</v>
      </c>
      <c r="T3969">
        <v>999</v>
      </c>
      <c r="U3969" t="s">
        <v>7525</v>
      </c>
      <c r="V3969">
        <f t="shared" si="1"/>
        <v>31812106</v>
      </c>
      <c r="W3969"/>
      <c r="X3969" t="s">
        <v>2142</v>
      </c>
      <c r="Y3969" t="s">
        <v>215</v>
      </c>
      <c r="Z3969">
        <v>20319</v>
      </c>
      <c r="AA3969" t="s">
        <v>2143</v>
      </c>
      <c r="AB3969">
        <v>40001</v>
      </c>
      <c r="AC3969"/>
      <c r="AD3969"/>
      <c r="AE3969" t="s">
        <v>7524</v>
      </c>
      <c r="AF3969" t="s">
        <v>7524</v>
      </c>
      <c r="AG3969" t="s">
        <v>86</v>
      </c>
    </row>
    <row r="3970" spans="2:33">
      <c r="B3970" s="14">
        <f>10000000+INDEX(编号表!$B:$B,MATCH(H3970,编号表!$A:$A,0))*100000+INDEX(编号表!$F:$F,MATCH(D3970,编号表!$E:$E,0))*10000+INDEX(编号表!$D:$D,MATCH(AG3970,编号表!$C:$C,0))*1000+F3970</f>
        <v>11812107</v>
      </c>
      <c r="C3970" t="s">
        <v>2148</v>
      </c>
      <c r="D3970" t="s">
        <v>72</v>
      </c>
      <c r="E3970" t="s">
        <v>86</v>
      </c>
      <c r="F3970">
        <v>107</v>
      </c>
      <c r="G3970">
        <v>60</v>
      </c>
      <c r="H3970" t="s">
        <v>7524</v>
      </c>
      <c r="I3970" t="s">
        <v>75</v>
      </c>
      <c r="J3970" t="s">
        <v>201</v>
      </c>
      <c r="K3970">
        <v>1</v>
      </c>
      <c r="L3970" t="s">
        <v>7524</v>
      </c>
      <c r="M3970"/>
      <c r="N3970">
        <v>0</v>
      </c>
      <c r="O3970" t="b">
        <v>1</v>
      </c>
      <c r="P3970"/>
      <c r="Q3970" t="b">
        <v>0</v>
      </c>
      <c r="R3970">
        <v>1</v>
      </c>
      <c r="S3970" t="s">
        <v>77</v>
      </c>
      <c r="T3970">
        <v>999</v>
      </c>
      <c r="U3970" t="s">
        <v>7525</v>
      </c>
      <c r="V3970">
        <f t="shared" si="1"/>
        <v>31812107</v>
      </c>
      <c r="W3970"/>
      <c r="X3970" t="s">
        <v>2149</v>
      </c>
      <c r="Y3970" t="s">
        <v>215</v>
      </c>
      <c r="Z3970">
        <v>20322</v>
      </c>
      <c r="AA3970" t="s">
        <v>2150</v>
      </c>
      <c r="AB3970">
        <v>40001</v>
      </c>
      <c r="AC3970"/>
      <c r="AD3970"/>
      <c r="AE3970" t="s">
        <v>7524</v>
      </c>
      <c r="AF3970" t="s">
        <v>7524</v>
      </c>
      <c r="AG3970" t="s">
        <v>86</v>
      </c>
    </row>
    <row r="3971" spans="2:33">
      <c r="B3971" s="14">
        <f>10000000+INDEX(编号表!$B:$B,MATCH(H3971,编号表!$A:$A,0))*100000+INDEX(编号表!$F:$F,MATCH(D3971,编号表!$E:$E,0))*10000+INDEX(编号表!$D:$D,MATCH(AG3971,编号表!$C:$C,0))*1000+F3971</f>
        <v>11812108</v>
      </c>
      <c r="C3971" t="s">
        <v>2155</v>
      </c>
      <c r="D3971" t="s">
        <v>72</v>
      </c>
      <c r="E3971" t="s">
        <v>86</v>
      </c>
      <c r="F3971">
        <v>108</v>
      </c>
      <c r="G3971">
        <v>60</v>
      </c>
      <c r="H3971" t="s">
        <v>7524</v>
      </c>
      <c r="I3971" t="s">
        <v>75</v>
      </c>
      <c r="J3971" t="s">
        <v>201</v>
      </c>
      <c r="K3971">
        <v>1</v>
      </c>
      <c r="L3971" t="s">
        <v>7524</v>
      </c>
      <c r="M3971"/>
      <c r="N3971">
        <v>0</v>
      </c>
      <c r="O3971" t="b">
        <v>1</v>
      </c>
      <c r="P3971"/>
      <c r="Q3971" t="b">
        <v>0</v>
      </c>
      <c r="R3971">
        <v>1</v>
      </c>
      <c r="S3971" t="s">
        <v>77</v>
      </c>
      <c r="T3971">
        <v>999</v>
      </c>
      <c r="U3971" t="s">
        <v>7525</v>
      </c>
      <c r="V3971">
        <f t="shared" si="1"/>
        <v>31812108</v>
      </c>
      <c r="W3971"/>
      <c r="X3971" t="s">
        <v>2156</v>
      </c>
      <c r="Y3971" t="s">
        <v>215</v>
      </c>
      <c r="Z3971">
        <v>20325</v>
      </c>
      <c r="AA3971" t="s">
        <v>2157</v>
      </c>
      <c r="AB3971">
        <v>40001</v>
      </c>
      <c r="AC3971"/>
      <c r="AD3971"/>
      <c r="AE3971" t="s">
        <v>7524</v>
      </c>
      <c r="AF3971" t="s">
        <v>7524</v>
      </c>
      <c r="AG3971" t="s">
        <v>86</v>
      </c>
    </row>
    <row r="3972" spans="2:33">
      <c r="B3972" s="14">
        <f>10000000+INDEX(编号表!$B:$B,MATCH(H3972,编号表!$A:$A,0))*100000+INDEX(编号表!$F:$F,MATCH(D3972,编号表!$E:$E,0))*10000+INDEX(编号表!$D:$D,MATCH(AG3972,编号表!$C:$C,0))*1000+F3972</f>
        <v>11812109</v>
      </c>
      <c r="C3972" t="s">
        <v>2162</v>
      </c>
      <c r="D3972" t="s">
        <v>72</v>
      </c>
      <c r="E3972" t="s">
        <v>86</v>
      </c>
      <c r="F3972">
        <v>109</v>
      </c>
      <c r="G3972">
        <v>60</v>
      </c>
      <c r="H3972" t="s">
        <v>7524</v>
      </c>
      <c r="I3972" t="s">
        <v>75</v>
      </c>
      <c r="J3972" t="s">
        <v>201</v>
      </c>
      <c r="K3972">
        <v>1</v>
      </c>
      <c r="L3972" t="s">
        <v>7524</v>
      </c>
      <c r="M3972"/>
      <c r="N3972">
        <v>0</v>
      </c>
      <c r="O3972" t="b">
        <v>1</v>
      </c>
      <c r="P3972"/>
      <c r="Q3972" t="b">
        <v>0</v>
      </c>
      <c r="R3972">
        <v>1</v>
      </c>
      <c r="S3972" t="s">
        <v>77</v>
      </c>
      <c r="T3972">
        <v>999</v>
      </c>
      <c r="U3972" t="s">
        <v>7525</v>
      </c>
      <c r="V3972">
        <f t="shared" si="1"/>
        <v>31812109</v>
      </c>
      <c r="W3972"/>
      <c r="X3972" t="s">
        <v>2163</v>
      </c>
      <c r="Y3972" t="s">
        <v>215</v>
      </c>
      <c r="Z3972">
        <v>20328</v>
      </c>
      <c r="AA3972" t="s">
        <v>2164</v>
      </c>
      <c r="AB3972">
        <v>40001</v>
      </c>
      <c r="AC3972"/>
      <c r="AD3972"/>
      <c r="AE3972" t="s">
        <v>7524</v>
      </c>
      <c r="AF3972" t="s">
        <v>7524</v>
      </c>
      <c r="AG3972" t="s">
        <v>86</v>
      </c>
    </row>
    <row r="3973" spans="2:33">
      <c r="B3973" s="14">
        <f>10000000+INDEX(编号表!$B:$B,MATCH(H3973,编号表!$A:$A,0))*100000+INDEX(编号表!$F:$F,MATCH(D3973,编号表!$E:$E,0))*10000+INDEX(编号表!$D:$D,MATCH(AG3973,编号表!$C:$C,0))*1000+F3973</f>
        <v>11812110</v>
      </c>
      <c r="C3973" t="s">
        <v>2169</v>
      </c>
      <c r="D3973" t="s">
        <v>72</v>
      </c>
      <c r="E3973" t="s">
        <v>86</v>
      </c>
      <c r="F3973">
        <v>110</v>
      </c>
      <c r="G3973">
        <v>60</v>
      </c>
      <c r="H3973" t="s">
        <v>7524</v>
      </c>
      <c r="I3973" t="s">
        <v>75</v>
      </c>
      <c r="J3973" t="s">
        <v>201</v>
      </c>
      <c r="K3973">
        <v>1</v>
      </c>
      <c r="L3973" t="s">
        <v>7524</v>
      </c>
      <c r="M3973"/>
      <c r="N3973">
        <v>0</v>
      </c>
      <c r="O3973" t="b">
        <v>1</v>
      </c>
      <c r="P3973"/>
      <c r="Q3973" t="b">
        <v>0</v>
      </c>
      <c r="R3973">
        <v>1</v>
      </c>
      <c r="S3973" t="s">
        <v>77</v>
      </c>
      <c r="T3973">
        <v>999</v>
      </c>
      <c r="U3973" t="s">
        <v>7525</v>
      </c>
      <c r="V3973">
        <f t="shared" si="1"/>
        <v>31812110</v>
      </c>
      <c r="W3973"/>
      <c r="X3973" t="s">
        <v>2170</v>
      </c>
      <c r="Y3973" t="s">
        <v>215</v>
      </c>
      <c r="Z3973">
        <v>20331</v>
      </c>
      <c r="AA3973" t="s">
        <v>2171</v>
      </c>
      <c r="AB3973">
        <v>40001</v>
      </c>
      <c r="AC3973"/>
      <c r="AD3973"/>
      <c r="AE3973" t="s">
        <v>7524</v>
      </c>
      <c r="AF3973" t="s">
        <v>7524</v>
      </c>
      <c r="AG3973" t="s">
        <v>86</v>
      </c>
    </row>
    <row r="3974" spans="2:33">
      <c r="B3974" s="14">
        <f>10000000+INDEX(编号表!$B:$B,MATCH(H3974,编号表!$A:$A,0))*100000+INDEX(编号表!$F:$F,MATCH(D3974,编号表!$E:$E,0))*10000+INDEX(编号表!$D:$D,MATCH(AG3974,编号表!$C:$C,0))*1000+F3974</f>
        <v>11812111</v>
      </c>
      <c r="C3974" t="s">
        <v>2176</v>
      </c>
      <c r="D3974" t="s">
        <v>72</v>
      </c>
      <c r="E3974" t="s">
        <v>86</v>
      </c>
      <c r="F3974">
        <v>111</v>
      </c>
      <c r="G3974">
        <v>60</v>
      </c>
      <c r="H3974" t="s">
        <v>7524</v>
      </c>
      <c r="I3974" t="s">
        <v>75</v>
      </c>
      <c r="J3974" t="s">
        <v>201</v>
      </c>
      <c r="K3974">
        <v>1</v>
      </c>
      <c r="L3974" t="s">
        <v>7524</v>
      </c>
      <c r="M3974"/>
      <c r="N3974">
        <v>0</v>
      </c>
      <c r="O3974" t="b">
        <v>1</v>
      </c>
      <c r="P3974"/>
      <c r="Q3974" t="b">
        <v>0</v>
      </c>
      <c r="R3974">
        <v>1</v>
      </c>
      <c r="S3974" t="s">
        <v>77</v>
      </c>
      <c r="T3974">
        <v>999</v>
      </c>
      <c r="U3974" t="s">
        <v>7525</v>
      </c>
      <c r="V3974">
        <f t="shared" si="1"/>
        <v>31812111</v>
      </c>
      <c r="W3974"/>
      <c r="X3974" t="s">
        <v>2177</v>
      </c>
      <c r="Y3974" t="s">
        <v>215</v>
      </c>
      <c r="Z3974">
        <v>20334</v>
      </c>
      <c r="AA3974" t="s">
        <v>2178</v>
      </c>
      <c r="AB3974">
        <v>40001</v>
      </c>
      <c r="AC3974"/>
      <c r="AD3974"/>
      <c r="AE3974" t="s">
        <v>7524</v>
      </c>
      <c r="AF3974" t="s">
        <v>7524</v>
      </c>
      <c r="AG3974" t="s">
        <v>86</v>
      </c>
    </row>
    <row r="3975" spans="2:33">
      <c r="B3975" s="14">
        <f>10000000+INDEX(编号表!$B:$B,MATCH(H3975,编号表!$A:$A,0))*100000+INDEX(编号表!$F:$F,MATCH(D3975,编号表!$E:$E,0))*10000+INDEX(编号表!$D:$D,MATCH(AG3975,编号表!$C:$C,0))*1000+F3975</f>
        <v>11812112</v>
      </c>
      <c r="C3975" t="s">
        <v>2183</v>
      </c>
      <c r="D3975" t="s">
        <v>72</v>
      </c>
      <c r="E3975" t="s">
        <v>86</v>
      </c>
      <c r="F3975">
        <v>112</v>
      </c>
      <c r="G3975">
        <v>60</v>
      </c>
      <c r="H3975" t="s">
        <v>7524</v>
      </c>
      <c r="I3975" t="s">
        <v>75</v>
      </c>
      <c r="J3975" t="s">
        <v>201</v>
      </c>
      <c r="K3975">
        <v>1</v>
      </c>
      <c r="L3975" t="s">
        <v>7524</v>
      </c>
      <c r="M3975"/>
      <c r="N3975">
        <v>0</v>
      </c>
      <c r="O3975" t="b">
        <v>1</v>
      </c>
      <c r="P3975"/>
      <c r="Q3975" t="b">
        <v>0</v>
      </c>
      <c r="R3975">
        <v>1</v>
      </c>
      <c r="S3975" t="s">
        <v>77</v>
      </c>
      <c r="T3975">
        <v>999</v>
      </c>
      <c r="U3975" t="s">
        <v>7525</v>
      </c>
      <c r="V3975">
        <f t="shared" si="1"/>
        <v>31812112</v>
      </c>
      <c r="W3975"/>
      <c r="X3975" t="s">
        <v>2184</v>
      </c>
      <c r="Y3975" t="s">
        <v>215</v>
      </c>
      <c r="Z3975">
        <v>20337</v>
      </c>
      <c r="AA3975" t="s">
        <v>2185</v>
      </c>
      <c r="AB3975">
        <v>40001</v>
      </c>
      <c r="AC3975"/>
      <c r="AD3975"/>
      <c r="AE3975" t="s">
        <v>7524</v>
      </c>
      <c r="AF3975" t="s">
        <v>7524</v>
      </c>
      <c r="AG3975" t="s">
        <v>86</v>
      </c>
    </row>
    <row r="3976" spans="2:33">
      <c r="B3976" s="14">
        <f>10000000+INDEX(编号表!$B:$B,MATCH(H3976,编号表!$A:$A,0))*100000+INDEX(编号表!$F:$F,MATCH(D3976,编号表!$E:$E,0))*10000+INDEX(编号表!$D:$D,MATCH(AG3976,编号表!$C:$C,0))*1000+F3976</f>
        <v>11812113</v>
      </c>
      <c r="C3976" t="s">
        <v>2190</v>
      </c>
      <c r="D3976" t="s">
        <v>72</v>
      </c>
      <c r="E3976" t="s">
        <v>86</v>
      </c>
      <c r="F3976">
        <v>113</v>
      </c>
      <c r="G3976">
        <v>60</v>
      </c>
      <c r="H3976" t="s">
        <v>7524</v>
      </c>
      <c r="I3976" t="s">
        <v>75</v>
      </c>
      <c r="J3976" t="s">
        <v>201</v>
      </c>
      <c r="K3976">
        <v>1</v>
      </c>
      <c r="L3976" t="s">
        <v>7524</v>
      </c>
      <c r="M3976"/>
      <c r="N3976">
        <v>0</v>
      </c>
      <c r="O3976" t="b">
        <v>1</v>
      </c>
      <c r="P3976"/>
      <c r="Q3976" t="b">
        <v>0</v>
      </c>
      <c r="R3976">
        <v>1</v>
      </c>
      <c r="S3976" t="s">
        <v>77</v>
      </c>
      <c r="T3976">
        <v>999</v>
      </c>
      <c r="U3976" t="s">
        <v>7525</v>
      </c>
      <c r="V3976">
        <f t="shared" si="1"/>
        <v>31812113</v>
      </c>
      <c r="W3976"/>
      <c r="X3976" t="s">
        <v>2191</v>
      </c>
      <c r="Y3976" t="s">
        <v>215</v>
      </c>
      <c r="Z3976">
        <v>20340</v>
      </c>
      <c r="AA3976" t="s">
        <v>2192</v>
      </c>
      <c r="AB3976">
        <v>40001</v>
      </c>
      <c r="AC3976"/>
      <c r="AD3976"/>
      <c r="AE3976" t="s">
        <v>7524</v>
      </c>
      <c r="AF3976" t="s">
        <v>7524</v>
      </c>
      <c r="AG3976" t="s">
        <v>86</v>
      </c>
    </row>
    <row r="3977" spans="2:33">
      <c r="B3977" s="14">
        <f>10000000+INDEX(编号表!$B:$B,MATCH(H3977,编号表!$A:$A,0))*100000+INDEX(编号表!$F:$F,MATCH(D3977,编号表!$E:$E,0))*10000+INDEX(编号表!$D:$D,MATCH(AG3977,编号表!$C:$C,0))*1000+F3977</f>
        <v>11812114</v>
      </c>
      <c r="C3977" t="s">
        <v>2197</v>
      </c>
      <c r="D3977" t="s">
        <v>72</v>
      </c>
      <c r="E3977" t="s">
        <v>86</v>
      </c>
      <c r="F3977">
        <v>114</v>
      </c>
      <c r="G3977">
        <v>60</v>
      </c>
      <c r="H3977" t="s">
        <v>7524</v>
      </c>
      <c r="I3977" t="s">
        <v>75</v>
      </c>
      <c r="J3977" t="s">
        <v>201</v>
      </c>
      <c r="K3977">
        <v>1</v>
      </c>
      <c r="L3977" t="s">
        <v>7524</v>
      </c>
      <c r="M3977"/>
      <c r="N3977">
        <v>0</v>
      </c>
      <c r="O3977" t="b">
        <v>1</v>
      </c>
      <c r="P3977"/>
      <c r="Q3977" t="b">
        <v>0</v>
      </c>
      <c r="R3977">
        <v>1</v>
      </c>
      <c r="S3977" t="s">
        <v>77</v>
      </c>
      <c r="T3977">
        <v>999</v>
      </c>
      <c r="U3977" t="s">
        <v>7525</v>
      </c>
      <c r="V3977">
        <f t="shared" si="1"/>
        <v>31812114</v>
      </c>
      <c r="W3977"/>
      <c r="X3977" t="s">
        <v>2198</v>
      </c>
      <c r="Y3977" t="s">
        <v>215</v>
      </c>
      <c r="Z3977">
        <v>20343</v>
      </c>
      <c r="AA3977" t="s">
        <v>2199</v>
      </c>
      <c r="AB3977">
        <v>40001</v>
      </c>
      <c r="AC3977"/>
      <c r="AD3977"/>
      <c r="AE3977" t="s">
        <v>7524</v>
      </c>
      <c r="AF3977" t="s">
        <v>7524</v>
      </c>
      <c r="AG3977" t="s">
        <v>86</v>
      </c>
    </row>
    <row r="3978" spans="2:33">
      <c r="B3978" s="14">
        <f>10000000+INDEX(编号表!$B:$B,MATCH(H3978,编号表!$A:$A,0))*100000+INDEX(编号表!$F:$F,MATCH(D3978,编号表!$E:$E,0))*10000+INDEX(编号表!$D:$D,MATCH(AG3978,编号表!$C:$C,0))*1000+F3978</f>
        <v>11812115</v>
      </c>
      <c r="C3978" t="s">
        <v>2204</v>
      </c>
      <c r="D3978" t="s">
        <v>72</v>
      </c>
      <c r="E3978" t="s">
        <v>86</v>
      </c>
      <c r="F3978">
        <v>115</v>
      </c>
      <c r="G3978">
        <v>60</v>
      </c>
      <c r="H3978" t="s">
        <v>7524</v>
      </c>
      <c r="I3978" t="s">
        <v>75</v>
      </c>
      <c r="J3978" t="s">
        <v>201</v>
      </c>
      <c r="K3978">
        <v>1</v>
      </c>
      <c r="L3978" t="s">
        <v>7524</v>
      </c>
      <c r="M3978"/>
      <c r="N3978">
        <v>0</v>
      </c>
      <c r="O3978" t="b">
        <v>1</v>
      </c>
      <c r="P3978"/>
      <c r="Q3978" t="b">
        <v>0</v>
      </c>
      <c r="R3978">
        <v>1</v>
      </c>
      <c r="S3978" t="s">
        <v>77</v>
      </c>
      <c r="T3978">
        <v>999</v>
      </c>
      <c r="U3978" t="s">
        <v>7525</v>
      </c>
      <c r="V3978">
        <f t="shared" si="1"/>
        <v>31812115</v>
      </c>
      <c r="W3978"/>
      <c r="X3978" t="s">
        <v>2205</v>
      </c>
      <c r="Y3978" t="s">
        <v>215</v>
      </c>
      <c r="Z3978">
        <v>20346</v>
      </c>
      <c r="AA3978" t="s">
        <v>2206</v>
      </c>
      <c r="AB3978">
        <v>40001</v>
      </c>
      <c r="AC3978"/>
      <c r="AD3978"/>
      <c r="AE3978" t="s">
        <v>7524</v>
      </c>
      <c r="AF3978" t="s">
        <v>7524</v>
      </c>
      <c r="AG3978" t="s">
        <v>86</v>
      </c>
    </row>
    <row r="3979" spans="2:33">
      <c r="B3979" s="14">
        <f>10000000+INDEX(编号表!$B:$B,MATCH(H3979,编号表!$A:$A,0))*100000+INDEX(编号表!$F:$F,MATCH(D3979,编号表!$E:$E,0))*10000+INDEX(编号表!$D:$D,MATCH(AG3979,编号表!$C:$C,0))*1000+F3979</f>
        <v>11812116</v>
      </c>
      <c r="C3979" t="s">
        <v>2211</v>
      </c>
      <c r="D3979" t="s">
        <v>72</v>
      </c>
      <c r="E3979" t="s">
        <v>86</v>
      </c>
      <c r="F3979">
        <v>116</v>
      </c>
      <c r="G3979">
        <v>60</v>
      </c>
      <c r="H3979" t="s">
        <v>7524</v>
      </c>
      <c r="I3979" t="s">
        <v>75</v>
      </c>
      <c r="J3979" t="s">
        <v>201</v>
      </c>
      <c r="K3979">
        <v>1</v>
      </c>
      <c r="L3979" t="s">
        <v>7524</v>
      </c>
      <c r="M3979"/>
      <c r="N3979">
        <v>0</v>
      </c>
      <c r="O3979" t="b">
        <v>1</v>
      </c>
      <c r="P3979"/>
      <c r="Q3979" t="b">
        <v>0</v>
      </c>
      <c r="R3979">
        <v>1</v>
      </c>
      <c r="S3979" t="s">
        <v>77</v>
      </c>
      <c r="T3979">
        <v>999</v>
      </c>
      <c r="U3979" t="s">
        <v>7525</v>
      </c>
      <c r="V3979">
        <f t="shared" si="1"/>
        <v>31812116</v>
      </c>
      <c r="W3979"/>
      <c r="X3979" t="s">
        <v>2212</v>
      </c>
      <c r="Y3979" t="s">
        <v>215</v>
      </c>
      <c r="Z3979">
        <v>20349</v>
      </c>
      <c r="AA3979" t="s">
        <v>2213</v>
      </c>
      <c r="AB3979">
        <v>40001</v>
      </c>
      <c r="AC3979"/>
      <c r="AD3979"/>
      <c r="AE3979" t="s">
        <v>7524</v>
      </c>
      <c r="AF3979" t="s">
        <v>7524</v>
      </c>
      <c r="AG3979" t="s">
        <v>86</v>
      </c>
    </row>
    <row r="3980" spans="2:33">
      <c r="B3980" s="14">
        <f>10000000+INDEX(编号表!$B:$B,MATCH(H3980,编号表!$A:$A,0))*100000+INDEX(编号表!$F:$F,MATCH(D3980,编号表!$E:$E,0))*10000+INDEX(编号表!$D:$D,MATCH(AG3980,编号表!$C:$C,0))*1000+F3980</f>
        <v>11812117</v>
      </c>
      <c r="C3980" t="s">
        <v>2218</v>
      </c>
      <c r="D3980" t="s">
        <v>72</v>
      </c>
      <c r="E3980" t="s">
        <v>86</v>
      </c>
      <c r="F3980">
        <v>117</v>
      </c>
      <c r="G3980">
        <v>60</v>
      </c>
      <c r="H3980" t="s">
        <v>7524</v>
      </c>
      <c r="I3980" t="s">
        <v>75</v>
      </c>
      <c r="J3980" t="s">
        <v>201</v>
      </c>
      <c r="K3980">
        <v>1</v>
      </c>
      <c r="L3980" t="s">
        <v>7524</v>
      </c>
      <c r="M3980"/>
      <c r="N3980">
        <v>0</v>
      </c>
      <c r="O3980" t="b">
        <v>1</v>
      </c>
      <c r="P3980"/>
      <c r="Q3980" t="b">
        <v>0</v>
      </c>
      <c r="R3980">
        <v>1</v>
      </c>
      <c r="S3980" t="s">
        <v>77</v>
      </c>
      <c r="T3980">
        <v>999</v>
      </c>
      <c r="U3980" t="s">
        <v>7525</v>
      </c>
      <c r="V3980">
        <f t="shared" si="1"/>
        <v>31812117</v>
      </c>
      <c r="W3980"/>
      <c r="X3980" t="s">
        <v>2219</v>
      </c>
      <c r="Y3980" t="s">
        <v>215</v>
      </c>
      <c r="Z3980">
        <v>20352</v>
      </c>
      <c r="AA3980" t="s">
        <v>2220</v>
      </c>
      <c r="AB3980">
        <v>40001</v>
      </c>
      <c r="AC3980"/>
      <c r="AD3980"/>
      <c r="AE3980" t="s">
        <v>7524</v>
      </c>
      <c r="AF3980" t="s">
        <v>7524</v>
      </c>
      <c r="AG3980" t="s">
        <v>86</v>
      </c>
    </row>
    <row r="3981" spans="2:33">
      <c r="B3981" s="14">
        <f>10000000+INDEX(编号表!$B:$B,MATCH(H3981,编号表!$A:$A,0))*100000+INDEX(编号表!$F:$F,MATCH(D3981,编号表!$E:$E,0))*10000+INDEX(编号表!$D:$D,MATCH(AG3981,编号表!$C:$C,0))*1000+F3981</f>
        <v>11812118</v>
      </c>
      <c r="C3981" t="s">
        <v>2225</v>
      </c>
      <c r="D3981" t="s">
        <v>72</v>
      </c>
      <c r="E3981" t="s">
        <v>86</v>
      </c>
      <c r="F3981">
        <v>118</v>
      </c>
      <c r="G3981">
        <v>60</v>
      </c>
      <c r="H3981" t="s">
        <v>7524</v>
      </c>
      <c r="I3981" t="s">
        <v>75</v>
      </c>
      <c r="J3981" t="s">
        <v>201</v>
      </c>
      <c r="K3981">
        <v>1</v>
      </c>
      <c r="L3981" t="s">
        <v>7524</v>
      </c>
      <c r="M3981"/>
      <c r="N3981">
        <v>0</v>
      </c>
      <c r="O3981" t="b">
        <v>1</v>
      </c>
      <c r="P3981"/>
      <c r="Q3981" t="b">
        <v>0</v>
      </c>
      <c r="R3981">
        <v>1</v>
      </c>
      <c r="S3981" t="s">
        <v>77</v>
      </c>
      <c r="T3981">
        <v>999</v>
      </c>
      <c r="U3981" t="s">
        <v>7525</v>
      </c>
      <c r="V3981">
        <f t="shared" si="1"/>
        <v>31812118</v>
      </c>
      <c r="W3981"/>
      <c r="X3981" t="s">
        <v>2226</v>
      </c>
      <c r="Y3981" t="s">
        <v>215</v>
      </c>
      <c r="Z3981">
        <v>20355</v>
      </c>
      <c r="AA3981" t="s">
        <v>2227</v>
      </c>
      <c r="AB3981">
        <v>40001</v>
      </c>
      <c r="AC3981"/>
      <c r="AD3981"/>
      <c r="AE3981" t="s">
        <v>7524</v>
      </c>
      <c r="AF3981" t="s">
        <v>7524</v>
      </c>
      <c r="AG3981" t="s">
        <v>86</v>
      </c>
    </row>
    <row r="3982" spans="2:33">
      <c r="B3982" s="14">
        <f>10000000+INDEX(编号表!$B:$B,MATCH(H3982,编号表!$A:$A,0))*100000+INDEX(编号表!$F:$F,MATCH(D3982,编号表!$E:$E,0))*10000+INDEX(编号表!$D:$D,MATCH(AG3982,编号表!$C:$C,0))*1000+F3982</f>
        <v>11812119</v>
      </c>
      <c r="C3982" t="s">
        <v>2232</v>
      </c>
      <c r="D3982" t="s">
        <v>72</v>
      </c>
      <c r="E3982" t="s">
        <v>86</v>
      </c>
      <c r="F3982">
        <v>119</v>
      </c>
      <c r="G3982">
        <v>60</v>
      </c>
      <c r="H3982" t="s">
        <v>7524</v>
      </c>
      <c r="I3982" t="s">
        <v>75</v>
      </c>
      <c r="J3982" t="s">
        <v>201</v>
      </c>
      <c r="K3982">
        <v>1</v>
      </c>
      <c r="L3982" t="s">
        <v>7524</v>
      </c>
      <c r="M3982"/>
      <c r="N3982">
        <v>0</v>
      </c>
      <c r="O3982" t="b">
        <v>1</v>
      </c>
      <c r="P3982"/>
      <c r="Q3982" t="b">
        <v>0</v>
      </c>
      <c r="R3982">
        <v>1</v>
      </c>
      <c r="S3982" t="s">
        <v>77</v>
      </c>
      <c r="T3982">
        <v>999</v>
      </c>
      <c r="U3982" t="s">
        <v>7525</v>
      </c>
      <c r="V3982">
        <f t="shared" si="1"/>
        <v>31812119</v>
      </c>
      <c r="W3982"/>
      <c r="X3982" t="s">
        <v>2233</v>
      </c>
      <c r="Y3982" t="s">
        <v>215</v>
      </c>
      <c r="Z3982">
        <v>20358</v>
      </c>
      <c r="AA3982" t="s">
        <v>2234</v>
      </c>
      <c r="AB3982">
        <v>40001</v>
      </c>
      <c r="AC3982"/>
      <c r="AD3982"/>
      <c r="AE3982" t="s">
        <v>7524</v>
      </c>
      <c r="AF3982" t="s">
        <v>7524</v>
      </c>
      <c r="AG3982" t="s">
        <v>86</v>
      </c>
    </row>
    <row r="3983" spans="2:33">
      <c r="B3983" s="14">
        <f>10000000+INDEX(编号表!$B:$B,MATCH(H3983,编号表!$A:$A,0))*100000+INDEX(编号表!$F:$F,MATCH(D3983,编号表!$E:$E,0))*10000+INDEX(编号表!$D:$D,MATCH(AG3983,编号表!$C:$C,0))*1000+F3983</f>
        <v>11812120</v>
      </c>
      <c r="C3983" t="s">
        <v>2239</v>
      </c>
      <c r="D3983" t="s">
        <v>72</v>
      </c>
      <c r="E3983" t="s">
        <v>86</v>
      </c>
      <c r="F3983">
        <v>120</v>
      </c>
      <c r="G3983">
        <v>60</v>
      </c>
      <c r="H3983" t="s">
        <v>7524</v>
      </c>
      <c r="I3983" t="s">
        <v>75</v>
      </c>
      <c r="J3983" t="s">
        <v>201</v>
      </c>
      <c r="K3983">
        <v>1</v>
      </c>
      <c r="L3983" t="s">
        <v>7524</v>
      </c>
      <c r="M3983"/>
      <c r="N3983">
        <v>0</v>
      </c>
      <c r="O3983" t="b">
        <v>1</v>
      </c>
      <c r="P3983"/>
      <c r="Q3983" t="b">
        <v>0</v>
      </c>
      <c r="R3983">
        <v>1</v>
      </c>
      <c r="S3983" t="s">
        <v>77</v>
      </c>
      <c r="T3983">
        <v>999</v>
      </c>
      <c r="U3983" t="s">
        <v>7525</v>
      </c>
      <c r="V3983">
        <f t="shared" si="1"/>
        <v>31812120</v>
      </c>
      <c r="W3983"/>
      <c r="X3983" t="s">
        <v>2240</v>
      </c>
      <c r="Y3983" t="s">
        <v>215</v>
      </c>
      <c r="Z3983">
        <v>20361</v>
      </c>
      <c r="AA3983" t="s">
        <v>2241</v>
      </c>
      <c r="AB3983">
        <v>40001</v>
      </c>
      <c r="AC3983"/>
      <c r="AD3983"/>
      <c r="AE3983" t="s">
        <v>7524</v>
      </c>
      <c r="AF3983" t="s">
        <v>7524</v>
      </c>
      <c r="AG3983" t="s">
        <v>86</v>
      </c>
    </row>
    <row r="3984" spans="2:33">
      <c r="B3984" s="14">
        <f>10000000+INDEX(编号表!$B:$B,MATCH(H3984,编号表!$A:$A,0))*100000+INDEX(编号表!$F:$F,MATCH(D3984,编号表!$E:$E,0))*10000+INDEX(编号表!$D:$D,MATCH(AG3984,编号表!$C:$C,0))*1000+F3984</f>
        <v>11812121</v>
      </c>
      <c r="C3984" t="s">
        <v>2246</v>
      </c>
      <c r="D3984" t="s">
        <v>72</v>
      </c>
      <c r="E3984" t="s">
        <v>86</v>
      </c>
      <c r="F3984">
        <v>121</v>
      </c>
      <c r="G3984">
        <v>60</v>
      </c>
      <c r="H3984" t="s">
        <v>7524</v>
      </c>
      <c r="I3984" t="s">
        <v>75</v>
      </c>
      <c r="J3984" t="s">
        <v>201</v>
      </c>
      <c r="K3984">
        <v>1</v>
      </c>
      <c r="L3984" t="s">
        <v>7524</v>
      </c>
      <c r="M3984"/>
      <c r="N3984">
        <v>0</v>
      </c>
      <c r="O3984" t="b">
        <v>1</v>
      </c>
      <c r="P3984"/>
      <c r="Q3984" t="b">
        <v>0</v>
      </c>
      <c r="R3984">
        <v>1</v>
      </c>
      <c r="S3984" t="s">
        <v>77</v>
      </c>
      <c r="T3984">
        <v>999</v>
      </c>
      <c r="U3984" t="s">
        <v>7525</v>
      </c>
      <c r="V3984">
        <f t="shared" si="1"/>
        <v>31812121</v>
      </c>
      <c r="W3984"/>
      <c r="X3984" t="s">
        <v>2247</v>
      </c>
      <c r="Y3984" t="s">
        <v>215</v>
      </c>
      <c r="Z3984">
        <v>20364</v>
      </c>
      <c r="AA3984" t="s">
        <v>2248</v>
      </c>
      <c r="AB3984">
        <v>40001</v>
      </c>
      <c r="AC3984"/>
      <c r="AD3984"/>
      <c r="AE3984" t="s">
        <v>7524</v>
      </c>
      <c r="AF3984" t="s">
        <v>7524</v>
      </c>
      <c r="AG3984" t="s">
        <v>86</v>
      </c>
    </row>
    <row r="3985" spans="2:33">
      <c r="B3985" s="14">
        <f>10000000+INDEX(编号表!$B:$B,MATCH(H3985,编号表!$A:$A,0))*100000+INDEX(编号表!$F:$F,MATCH(D3985,编号表!$E:$E,0))*10000+INDEX(编号表!$D:$D,MATCH(AG3985,编号表!$C:$C,0))*1000+F3985</f>
        <v>11812122</v>
      </c>
      <c r="C3985" t="s">
        <v>2253</v>
      </c>
      <c r="D3985" t="s">
        <v>72</v>
      </c>
      <c r="E3985" t="s">
        <v>86</v>
      </c>
      <c r="F3985">
        <v>122</v>
      </c>
      <c r="G3985">
        <v>60</v>
      </c>
      <c r="H3985" t="s">
        <v>7524</v>
      </c>
      <c r="I3985" t="s">
        <v>75</v>
      </c>
      <c r="J3985" t="s">
        <v>201</v>
      </c>
      <c r="K3985">
        <v>1</v>
      </c>
      <c r="L3985" t="s">
        <v>7524</v>
      </c>
      <c r="M3985"/>
      <c r="N3985">
        <v>0</v>
      </c>
      <c r="O3985" t="b">
        <v>1</v>
      </c>
      <c r="P3985"/>
      <c r="Q3985" t="b">
        <v>0</v>
      </c>
      <c r="R3985">
        <v>1</v>
      </c>
      <c r="S3985" t="s">
        <v>77</v>
      </c>
      <c r="T3985">
        <v>999</v>
      </c>
      <c r="U3985" t="s">
        <v>7525</v>
      </c>
      <c r="V3985">
        <f t="shared" si="1"/>
        <v>31812122</v>
      </c>
      <c r="W3985"/>
      <c r="X3985" t="s">
        <v>2254</v>
      </c>
      <c r="Y3985" t="s">
        <v>215</v>
      </c>
      <c r="Z3985">
        <v>20367</v>
      </c>
      <c r="AA3985" t="s">
        <v>2255</v>
      </c>
      <c r="AB3985">
        <v>40001</v>
      </c>
      <c r="AC3985"/>
      <c r="AD3985"/>
      <c r="AE3985" t="s">
        <v>7524</v>
      </c>
      <c r="AF3985" t="s">
        <v>7524</v>
      </c>
      <c r="AG3985" t="s">
        <v>86</v>
      </c>
    </row>
    <row r="3986" spans="2:33">
      <c r="B3986" s="14">
        <f>10000000+INDEX(编号表!$B:$B,MATCH(H3986,编号表!$A:$A,0))*100000+INDEX(编号表!$F:$F,MATCH(D3986,编号表!$E:$E,0))*10000+INDEX(编号表!$D:$D,MATCH(AG3986,编号表!$C:$C,0))*1000+F3986</f>
        <v>11812123</v>
      </c>
      <c r="C3986" t="s">
        <v>2260</v>
      </c>
      <c r="D3986" t="s">
        <v>72</v>
      </c>
      <c r="E3986" t="s">
        <v>86</v>
      </c>
      <c r="F3986">
        <v>123</v>
      </c>
      <c r="G3986">
        <v>60</v>
      </c>
      <c r="H3986" t="s">
        <v>7524</v>
      </c>
      <c r="I3986" t="s">
        <v>75</v>
      </c>
      <c r="J3986" t="s">
        <v>201</v>
      </c>
      <c r="K3986">
        <v>1</v>
      </c>
      <c r="L3986" t="s">
        <v>7524</v>
      </c>
      <c r="M3986"/>
      <c r="N3986">
        <v>0</v>
      </c>
      <c r="O3986" t="b">
        <v>1</v>
      </c>
      <c r="P3986"/>
      <c r="Q3986" t="b">
        <v>0</v>
      </c>
      <c r="R3986">
        <v>1</v>
      </c>
      <c r="S3986" t="s">
        <v>77</v>
      </c>
      <c r="T3986">
        <v>999</v>
      </c>
      <c r="U3986" t="s">
        <v>7525</v>
      </c>
      <c r="V3986">
        <f t="shared" si="1"/>
        <v>31812123</v>
      </c>
      <c r="W3986"/>
      <c r="X3986" t="s">
        <v>2261</v>
      </c>
      <c r="Y3986" t="s">
        <v>215</v>
      </c>
      <c r="Z3986">
        <v>20370</v>
      </c>
      <c r="AA3986" t="s">
        <v>2262</v>
      </c>
      <c r="AB3986">
        <v>40001</v>
      </c>
      <c r="AC3986"/>
      <c r="AD3986"/>
      <c r="AE3986" t="s">
        <v>7524</v>
      </c>
      <c r="AF3986" t="s">
        <v>7524</v>
      </c>
      <c r="AG3986" t="s">
        <v>86</v>
      </c>
    </row>
    <row r="3987" spans="2:33">
      <c r="B3987" s="14">
        <f>10000000+INDEX(编号表!$B:$B,MATCH(H3987,编号表!$A:$A,0))*100000+INDEX(编号表!$F:$F,MATCH(D3987,编号表!$E:$E,0))*10000+INDEX(编号表!$D:$D,MATCH(AG3987,编号表!$C:$C,0))*1000+F3987</f>
        <v>11812124</v>
      </c>
      <c r="C3987" t="s">
        <v>2267</v>
      </c>
      <c r="D3987" t="s">
        <v>72</v>
      </c>
      <c r="E3987" t="s">
        <v>86</v>
      </c>
      <c r="F3987">
        <v>124</v>
      </c>
      <c r="G3987">
        <v>60</v>
      </c>
      <c r="H3987" t="s">
        <v>7524</v>
      </c>
      <c r="I3987" t="s">
        <v>75</v>
      </c>
      <c r="J3987" t="s">
        <v>201</v>
      </c>
      <c r="K3987">
        <v>1</v>
      </c>
      <c r="L3987" t="s">
        <v>7524</v>
      </c>
      <c r="M3987"/>
      <c r="N3987">
        <v>0</v>
      </c>
      <c r="O3987" t="b">
        <v>1</v>
      </c>
      <c r="P3987"/>
      <c r="Q3987" t="b">
        <v>0</v>
      </c>
      <c r="R3987">
        <v>1</v>
      </c>
      <c r="S3987" t="s">
        <v>77</v>
      </c>
      <c r="T3987">
        <v>999</v>
      </c>
      <c r="U3987" t="s">
        <v>7525</v>
      </c>
      <c r="V3987">
        <f t="shared" si="1"/>
        <v>31812124</v>
      </c>
      <c r="W3987"/>
      <c r="X3987" t="s">
        <v>2268</v>
      </c>
      <c r="Y3987" t="s">
        <v>215</v>
      </c>
      <c r="Z3987">
        <v>20373</v>
      </c>
      <c r="AA3987" t="s">
        <v>2269</v>
      </c>
      <c r="AB3987">
        <v>40001</v>
      </c>
      <c r="AC3987"/>
      <c r="AD3987"/>
      <c r="AE3987" t="s">
        <v>7524</v>
      </c>
      <c r="AF3987" t="s">
        <v>7524</v>
      </c>
      <c r="AG3987" t="s">
        <v>86</v>
      </c>
    </row>
    <row r="3988" spans="2:33">
      <c r="B3988" s="14">
        <f>10000000+INDEX(编号表!$B:$B,MATCH(H3988,编号表!$A:$A,0))*100000+INDEX(编号表!$F:$F,MATCH(D3988,编号表!$E:$E,0))*10000+INDEX(编号表!$D:$D,MATCH(AG3988,编号表!$C:$C,0))*1000+F3988</f>
        <v>11813000</v>
      </c>
      <c r="C3988" t="s">
        <v>2274</v>
      </c>
      <c r="D3988" t="s">
        <v>72</v>
      </c>
      <c r="E3988" t="s">
        <v>89</v>
      </c>
      <c r="F3988">
        <v>0</v>
      </c>
      <c r="G3988">
        <v>60</v>
      </c>
      <c r="H3988" t="s">
        <v>7524</v>
      </c>
      <c r="I3988" t="s">
        <v>75</v>
      </c>
      <c r="J3988" t="s">
        <v>201</v>
      </c>
      <c r="K3988">
        <v>1</v>
      </c>
      <c r="L3988" t="s">
        <v>7524</v>
      </c>
      <c r="M3988"/>
      <c r="N3988">
        <v>0</v>
      </c>
      <c r="O3988" t="b">
        <v>1</v>
      </c>
      <c r="P3988"/>
      <c r="Q3988" t="b">
        <v>0</v>
      </c>
      <c r="R3988">
        <v>1</v>
      </c>
      <c r="S3988" t="s">
        <v>77</v>
      </c>
      <c r="T3988">
        <v>999</v>
      </c>
      <c r="U3988" t="s">
        <v>7525</v>
      </c>
      <c r="V3988">
        <f t="shared" si="1"/>
        <v>31813000</v>
      </c>
      <c r="W3988"/>
      <c r="X3988" t="s">
        <v>2275</v>
      </c>
      <c r="Y3988" t="s">
        <v>215</v>
      </c>
      <c r="Z3988">
        <v>20376</v>
      </c>
      <c r="AA3988" t="s">
        <v>2276</v>
      </c>
      <c r="AB3988">
        <v>40001</v>
      </c>
      <c r="AC3988"/>
      <c r="AD3988"/>
      <c r="AE3988" t="s">
        <v>7524</v>
      </c>
      <c r="AF3988" t="s">
        <v>7524</v>
      </c>
      <c r="AG3988" t="s">
        <v>89</v>
      </c>
    </row>
    <row r="3989" spans="2:33">
      <c r="B3989" s="14">
        <f>10000000+INDEX(编号表!$B:$B,MATCH(H3989,编号表!$A:$A,0))*100000+INDEX(编号表!$F:$F,MATCH(D3989,编号表!$E:$E,0))*10000+INDEX(编号表!$D:$D,MATCH(AG3989,编号表!$C:$C,0))*1000+F3989</f>
        <v>11813001</v>
      </c>
      <c r="C3989" t="s">
        <v>2281</v>
      </c>
      <c r="D3989" t="s">
        <v>72</v>
      </c>
      <c r="E3989" t="s">
        <v>89</v>
      </c>
      <c r="F3989">
        <v>1</v>
      </c>
      <c r="G3989">
        <v>60</v>
      </c>
      <c r="H3989" t="s">
        <v>7524</v>
      </c>
      <c r="I3989" t="s">
        <v>75</v>
      </c>
      <c r="J3989" t="s">
        <v>201</v>
      </c>
      <c r="K3989">
        <v>1</v>
      </c>
      <c r="L3989" t="s">
        <v>7524</v>
      </c>
      <c r="M3989"/>
      <c r="N3989">
        <v>0</v>
      </c>
      <c r="O3989" t="b">
        <v>1</v>
      </c>
      <c r="P3989"/>
      <c r="Q3989" t="b">
        <v>0</v>
      </c>
      <c r="R3989">
        <v>1</v>
      </c>
      <c r="S3989" t="s">
        <v>77</v>
      </c>
      <c r="T3989">
        <v>999</v>
      </c>
      <c r="U3989" t="s">
        <v>7525</v>
      </c>
      <c r="V3989">
        <f t="shared" si="1"/>
        <v>31813001</v>
      </c>
      <c r="W3989"/>
      <c r="X3989" t="s">
        <v>2282</v>
      </c>
      <c r="Y3989" t="s">
        <v>215</v>
      </c>
      <c r="Z3989">
        <v>20379</v>
      </c>
      <c r="AA3989" t="s">
        <v>2283</v>
      </c>
      <c r="AB3989">
        <v>40001</v>
      </c>
      <c r="AC3989"/>
      <c r="AD3989"/>
      <c r="AE3989" t="s">
        <v>7524</v>
      </c>
      <c r="AF3989" t="s">
        <v>7524</v>
      </c>
      <c r="AG3989" t="s">
        <v>89</v>
      </c>
    </row>
    <row r="3990" spans="2:33">
      <c r="B3990" s="14">
        <f>10000000+INDEX(编号表!$B:$B,MATCH(H3990,编号表!$A:$A,0))*100000+INDEX(编号表!$F:$F,MATCH(D3990,编号表!$E:$E,0))*10000+INDEX(编号表!$D:$D,MATCH(AG3990,编号表!$C:$C,0))*1000+F3990</f>
        <v>11813002</v>
      </c>
      <c r="C3990" t="s">
        <v>2288</v>
      </c>
      <c r="D3990" t="s">
        <v>72</v>
      </c>
      <c r="E3990" t="s">
        <v>89</v>
      </c>
      <c r="F3990">
        <v>2</v>
      </c>
      <c r="G3990">
        <v>60</v>
      </c>
      <c r="H3990" t="s">
        <v>7524</v>
      </c>
      <c r="I3990" t="s">
        <v>75</v>
      </c>
      <c r="J3990" t="s">
        <v>201</v>
      </c>
      <c r="K3990">
        <v>1</v>
      </c>
      <c r="L3990" t="s">
        <v>7524</v>
      </c>
      <c r="M3990"/>
      <c r="N3990">
        <v>0</v>
      </c>
      <c r="O3990" t="b">
        <v>1</v>
      </c>
      <c r="P3990"/>
      <c r="Q3990" t="b">
        <v>0</v>
      </c>
      <c r="R3990">
        <v>1</v>
      </c>
      <c r="S3990" t="s">
        <v>77</v>
      </c>
      <c r="T3990">
        <v>999</v>
      </c>
      <c r="U3990" t="s">
        <v>7525</v>
      </c>
      <c r="V3990">
        <f t="shared" si="1"/>
        <v>31813002</v>
      </c>
      <c r="W3990"/>
      <c r="X3990" t="s">
        <v>2289</v>
      </c>
      <c r="Y3990" t="s">
        <v>215</v>
      </c>
      <c r="Z3990">
        <v>20382</v>
      </c>
      <c r="AA3990" t="s">
        <v>2290</v>
      </c>
      <c r="AB3990">
        <v>40001</v>
      </c>
      <c r="AC3990"/>
      <c r="AD3990"/>
      <c r="AE3990" t="s">
        <v>7524</v>
      </c>
      <c r="AF3990" t="s">
        <v>7524</v>
      </c>
      <c r="AG3990" t="s">
        <v>89</v>
      </c>
    </row>
    <row r="3991" spans="2:33">
      <c r="B3991" s="14">
        <f>10000000+INDEX(编号表!$B:$B,MATCH(H3991,编号表!$A:$A,0))*100000+INDEX(编号表!$F:$F,MATCH(D3991,编号表!$E:$E,0))*10000+INDEX(编号表!$D:$D,MATCH(AG3991,编号表!$C:$C,0))*1000+F3991</f>
        <v>11813003</v>
      </c>
      <c r="C3991" t="s">
        <v>2295</v>
      </c>
      <c r="D3991" t="s">
        <v>72</v>
      </c>
      <c r="E3991" t="s">
        <v>89</v>
      </c>
      <c r="F3991">
        <v>3</v>
      </c>
      <c r="G3991">
        <v>60</v>
      </c>
      <c r="H3991" t="s">
        <v>7524</v>
      </c>
      <c r="I3991" t="s">
        <v>75</v>
      </c>
      <c r="J3991" t="s">
        <v>201</v>
      </c>
      <c r="K3991">
        <v>1</v>
      </c>
      <c r="L3991" t="s">
        <v>7524</v>
      </c>
      <c r="M3991"/>
      <c r="N3991">
        <v>0</v>
      </c>
      <c r="O3991" t="b">
        <v>1</v>
      </c>
      <c r="P3991"/>
      <c r="Q3991" t="b">
        <v>0</v>
      </c>
      <c r="R3991">
        <v>1</v>
      </c>
      <c r="S3991" t="s">
        <v>77</v>
      </c>
      <c r="T3991">
        <v>999</v>
      </c>
      <c r="U3991" t="s">
        <v>7525</v>
      </c>
      <c r="V3991">
        <f t="shared" si="1"/>
        <v>31813003</v>
      </c>
      <c r="W3991"/>
      <c r="X3991" t="s">
        <v>2296</v>
      </c>
      <c r="Y3991" t="s">
        <v>215</v>
      </c>
      <c r="Z3991">
        <v>20385</v>
      </c>
      <c r="AA3991" t="s">
        <v>2297</v>
      </c>
      <c r="AB3991">
        <v>40001</v>
      </c>
      <c r="AC3991"/>
      <c r="AD3991"/>
      <c r="AE3991" t="s">
        <v>7524</v>
      </c>
      <c r="AF3991" t="s">
        <v>7524</v>
      </c>
      <c r="AG3991" t="s">
        <v>89</v>
      </c>
    </row>
    <row r="3992" spans="2:33">
      <c r="B3992" s="14">
        <f>10000000+INDEX(编号表!$B:$B,MATCH(H3992,编号表!$A:$A,0))*100000+INDEX(编号表!$F:$F,MATCH(D3992,编号表!$E:$E,0))*10000+INDEX(编号表!$D:$D,MATCH(AG3992,编号表!$C:$C,0))*1000+F3992</f>
        <v>11813004</v>
      </c>
      <c r="C3992" t="s">
        <v>2302</v>
      </c>
      <c r="D3992" t="s">
        <v>72</v>
      </c>
      <c r="E3992" t="s">
        <v>89</v>
      </c>
      <c r="F3992">
        <v>4</v>
      </c>
      <c r="G3992">
        <v>60</v>
      </c>
      <c r="H3992" t="s">
        <v>7524</v>
      </c>
      <c r="I3992" t="s">
        <v>75</v>
      </c>
      <c r="J3992" t="s">
        <v>201</v>
      </c>
      <c r="K3992">
        <v>1</v>
      </c>
      <c r="L3992" t="s">
        <v>7524</v>
      </c>
      <c r="M3992"/>
      <c r="N3992">
        <v>0</v>
      </c>
      <c r="O3992" t="b">
        <v>1</v>
      </c>
      <c r="P3992"/>
      <c r="Q3992" t="b">
        <v>0</v>
      </c>
      <c r="R3992">
        <v>1</v>
      </c>
      <c r="S3992" t="s">
        <v>77</v>
      </c>
      <c r="T3992">
        <v>999</v>
      </c>
      <c r="U3992" t="s">
        <v>7525</v>
      </c>
      <c r="V3992">
        <f t="shared" ref="V3992:V4055" si="2">B3992+20000000</f>
        <v>31813004</v>
      </c>
      <c r="W3992"/>
      <c r="X3992" t="s">
        <v>2303</v>
      </c>
      <c r="Y3992" t="s">
        <v>215</v>
      </c>
      <c r="Z3992">
        <v>20388</v>
      </c>
      <c r="AA3992" t="s">
        <v>2304</v>
      </c>
      <c r="AB3992">
        <v>40001</v>
      </c>
      <c r="AC3992"/>
      <c r="AD3992"/>
      <c r="AE3992" t="s">
        <v>7524</v>
      </c>
      <c r="AF3992" t="s">
        <v>7524</v>
      </c>
      <c r="AG3992" t="s">
        <v>89</v>
      </c>
    </row>
    <row r="3993" spans="2:33">
      <c r="B3993" s="14">
        <f>10000000+INDEX(编号表!$B:$B,MATCH(H3993,编号表!$A:$A,0))*100000+INDEX(编号表!$F:$F,MATCH(D3993,编号表!$E:$E,0))*10000+INDEX(编号表!$D:$D,MATCH(AG3993,编号表!$C:$C,0))*1000+F3993</f>
        <v>11813005</v>
      </c>
      <c r="C3993" t="s">
        <v>2309</v>
      </c>
      <c r="D3993" t="s">
        <v>72</v>
      </c>
      <c r="E3993" t="s">
        <v>89</v>
      </c>
      <c r="F3993">
        <v>5</v>
      </c>
      <c r="G3993">
        <v>60</v>
      </c>
      <c r="H3993" t="s">
        <v>7524</v>
      </c>
      <c r="I3993" t="s">
        <v>75</v>
      </c>
      <c r="J3993" t="s">
        <v>201</v>
      </c>
      <c r="K3993">
        <v>1</v>
      </c>
      <c r="L3993" t="s">
        <v>7524</v>
      </c>
      <c r="M3993"/>
      <c r="N3993">
        <v>0</v>
      </c>
      <c r="O3993" t="b">
        <v>1</v>
      </c>
      <c r="P3993"/>
      <c r="Q3993" t="b">
        <v>0</v>
      </c>
      <c r="R3993">
        <v>1</v>
      </c>
      <c r="S3993" t="s">
        <v>77</v>
      </c>
      <c r="T3993">
        <v>999</v>
      </c>
      <c r="U3993" t="s">
        <v>7525</v>
      </c>
      <c r="V3993">
        <f t="shared" si="2"/>
        <v>31813005</v>
      </c>
      <c r="W3993"/>
      <c r="X3993" t="s">
        <v>2310</v>
      </c>
      <c r="Y3993" t="s">
        <v>215</v>
      </c>
      <c r="Z3993">
        <v>20391</v>
      </c>
      <c r="AA3993" t="s">
        <v>2311</v>
      </c>
      <c r="AB3993">
        <v>40001</v>
      </c>
      <c r="AC3993"/>
      <c r="AD3993"/>
      <c r="AE3993" t="s">
        <v>7524</v>
      </c>
      <c r="AF3993" t="s">
        <v>7524</v>
      </c>
      <c r="AG3993" t="s">
        <v>89</v>
      </c>
    </row>
    <row r="3994" spans="2:33">
      <c r="B3994" s="14">
        <f>10000000+INDEX(编号表!$B:$B,MATCH(H3994,编号表!$A:$A,0))*100000+INDEX(编号表!$F:$F,MATCH(D3994,编号表!$E:$E,0))*10000+INDEX(编号表!$D:$D,MATCH(AG3994,编号表!$C:$C,0))*1000+F3994</f>
        <v>11813006</v>
      </c>
      <c r="C3994" t="s">
        <v>2316</v>
      </c>
      <c r="D3994" t="s">
        <v>72</v>
      </c>
      <c r="E3994" t="s">
        <v>89</v>
      </c>
      <c r="F3994">
        <v>6</v>
      </c>
      <c r="G3994">
        <v>60</v>
      </c>
      <c r="H3994" t="s">
        <v>7524</v>
      </c>
      <c r="I3994" t="s">
        <v>75</v>
      </c>
      <c r="J3994" t="s">
        <v>201</v>
      </c>
      <c r="K3994">
        <v>1</v>
      </c>
      <c r="L3994" t="s">
        <v>7524</v>
      </c>
      <c r="M3994"/>
      <c r="N3994">
        <v>0</v>
      </c>
      <c r="O3994" t="b">
        <v>1</v>
      </c>
      <c r="P3994"/>
      <c r="Q3994" t="b">
        <v>0</v>
      </c>
      <c r="R3994">
        <v>1</v>
      </c>
      <c r="S3994" t="s">
        <v>77</v>
      </c>
      <c r="T3994">
        <v>999</v>
      </c>
      <c r="U3994" t="s">
        <v>7525</v>
      </c>
      <c r="V3994">
        <f t="shared" si="2"/>
        <v>31813006</v>
      </c>
      <c r="W3994"/>
      <c r="X3994" t="s">
        <v>2317</v>
      </c>
      <c r="Y3994" t="s">
        <v>215</v>
      </c>
      <c r="Z3994">
        <v>20394</v>
      </c>
      <c r="AA3994" t="s">
        <v>2318</v>
      </c>
      <c r="AB3994">
        <v>40001</v>
      </c>
      <c r="AC3994"/>
      <c r="AD3994"/>
      <c r="AE3994" t="s">
        <v>7524</v>
      </c>
      <c r="AF3994" t="s">
        <v>7524</v>
      </c>
      <c r="AG3994" t="s">
        <v>89</v>
      </c>
    </row>
    <row r="3995" spans="2:33">
      <c r="B3995" s="14">
        <f>10000000+INDEX(编号表!$B:$B,MATCH(H3995,编号表!$A:$A,0))*100000+INDEX(编号表!$F:$F,MATCH(D3995,编号表!$E:$E,0))*10000+INDEX(编号表!$D:$D,MATCH(AG3995,编号表!$C:$C,0))*1000+F3995</f>
        <v>11813007</v>
      </c>
      <c r="C3995" t="s">
        <v>2323</v>
      </c>
      <c r="D3995" t="s">
        <v>72</v>
      </c>
      <c r="E3995" t="s">
        <v>89</v>
      </c>
      <c r="F3995">
        <v>7</v>
      </c>
      <c r="G3995">
        <v>60</v>
      </c>
      <c r="H3995" t="s">
        <v>7524</v>
      </c>
      <c r="I3995" t="s">
        <v>75</v>
      </c>
      <c r="J3995" t="s">
        <v>201</v>
      </c>
      <c r="K3995">
        <v>1</v>
      </c>
      <c r="L3995" t="s">
        <v>7524</v>
      </c>
      <c r="M3995"/>
      <c r="N3995">
        <v>0</v>
      </c>
      <c r="O3995" t="b">
        <v>1</v>
      </c>
      <c r="P3995"/>
      <c r="Q3995" t="b">
        <v>0</v>
      </c>
      <c r="R3995">
        <v>1</v>
      </c>
      <c r="S3995" t="s">
        <v>77</v>
      </c>
      <c r="T3995">
        <v>999</v>
      </c>
      <c r="U3995" t="s">
        <v>7525</v>
      </c>
      <c r="V3995">
        <f t="shared" si="2"/>
        <v>31813007</v>
      </c>
      <c r="W3995"/>
      <c r="X3995" t="s">
        <v>2324</v>
      </c>
      <c r="Y3995" t="s">
        <v>215</v>
      </c>
      <c r="Z3995">
        <v>20397</v>
      </c>
      <c r="AA3995" t="s">
        <v>2325</v>
      </c>
      <c r="AB3995">
        <v>40001</v>
      </c>
      <c r="AC3995"/>
      <c r="AD3995"/>
      <c r="AE3995" t="s">
        <v>7524</v>
      </c>
      <c r="AF3995" t="s">
        <v>7524</v>
      </c>
      <c r="AG3995" t="s">
        <v>89</v>
      </c>
    </row>
    <row r="3996" spans="2:33">
      <c r="B3996" s="14">
        <f>10000000+INDEX(编号表!$B:$B,MATCH(H3996,编号表!$A:$A,0))*100000+INDEX(编号表!$F:$F,MATCH(D3996,编号表!$E:$E,0))*10000+INDEX(编号表!$D:$D,MATCH(AG3996,编号表!$C:$C,0))*1000+F3996</f>
        <v>11813008</v>
      </c>
      <c r="C3996" t="s">
        <v>2330</v>
      </c>
      <c r="D3996" t="s">
        <v>72</v>
      </c>
      <c r="E3996" t="s">
        <v>89</v>
      </c>
      <c r="F3996">
        <v>8</v>
      </c>
      <c r="G3996">
        <v>60</v>
      </c>
      <c r="H3996" t="s">
        <v>7524</v>
      </c>
      <c r="I3996" t="s">
        <v>75</v>
      </c>
      <c r="J3996" t="s">
        <v>201</v>
      </c>
      <c r="K3996">
        <v>1</v>
      </c>
      <c r="L3996" t="s">
        <v>7524</v>
      </c>
      <c r="M3996"/>
      <c r="N3996">
        <v>0</v>
      </c>
      <c r="O3996" t="b">
        <v>1</v>
      </c>
      <c r="P3996"/>
      <c r="Q3996" t="b">
        <v>0</v>
      </c>
      <c r="R3996">
        <v>1</v>
      </c>
      <c r="S3996" t="s">
        <v>77</v>
      </c>
      <c r="T3996">
        <v>999</v>
      </c>
      <c r="U3996" t="s">
        <v>7525</v>
      </c>
      <c r="V3996">
        <f t="shared" si="2"/>
        <v>31813008</v>
      </c>
      <c r="W3996"/>
      <c r="X3996" t="s">
        <v>2331</v>
      </c>
      <c r="Y3996" t="s">
        <v>215</v>
      </c>
      <c r="Z3996">
        <v>20400</v>
      </c>
      <c r="AA3996" t="s">
        <v>2332</v>
      </c>
      <c r="AB3996">
        <v>40001</v>
      </c>
      <c r="AC3996"/>
      <c r="AD3996"/>
      <c r="AE3996" t="s">
        <v>7524</v>
      </c>
      <c r="AF3996" t="s">
        <v>7524</v>
      </c>
      <c r="AG3996" t="s">
        <v>89</v>
      </c>
    </row>
    <row r="3997" spans="2:33">
      <c r="B3997" s="14">
        <f>10000000+INDEX(编号表!$B:$B,MATCH(H3997,编号表!$A:$A,0))*100000+INDEX(编号表!$F:$F,MATCH(D3997,编号表!$E:$E,0))*10000+INDEX(编号表!$D:$D,MATCH(AG3997,编号表!$C:$C,0))*1000+F3997</f>
        <v>11813009</v>
      </c>
      <c r="C3997" t="s">
        <v>2337</v>
      </c>
      <c r="D3997" t="s">
        <v>72</v>
      </c>
      <c r="E3997" t="s">
        <v>89</v>
      </c>
      <c r="F3997">
        <v>9</v>
      </c>
      <c r="G3997">
        <v>60</v>
      </c>
      <c r="H3997" t="s">
        <v>7524</v>
      </c>
      <c r="I3997" t="s">
        <v>75</v>
      </c>
      <c r="J3997" t="s">
        <v>201</v>
      </c>
      <c r="K3997">
        <v>1</v>
      </c>
      <c r="L3997" t="s">
        <v>7524</v>
      </c>
      <c r="M3997"/>
      <c r="N3997">
        <v>0</v>
      </c>
      <c r="O3997" t="b">
        <v>1</v>
      </c>
      <c r="P3997"/>
      <c r="Q3997" t="b">
        <v>0</v>
      </c>
      <c r="R3997">
        <v>1</v>
      </c>
      <c r="S3997" t="s">
        <v>77</v>
      </c>
      <c r="T3997">
        <v>999</v>
      </c>
      <c r="U3997" t="s">
        <v>7525</v>
      </c>
      <c r="V3997">
        <f t="shared" si="2"/>
        <v>31813009</v>
      </c>
      <c r="W3997"/>
      <c r="X3997" t="s">
        <v>2338</v>
      </c>
      <c r="Y3997" t="s">
        <v>215</v>
      </c>
      <c r="Z3997">
        <v>20403</v>
      </c>
      <c r="AA3997" t="s">
        <v>2339</v>
      </c>
      <c r="AB3997">
        <v>40001</v>
      </c>
      <c r="AC3997"/>
      <c r="AD3997"/>
      <c r="AE3997" t="s">
        <v>7524</v>
      </c>
      <c r="AF3997" t="s">
        <v>7524</v>
      </c>
      <c r="AG3997" t="s">
        <v>89</v>
      </c>
    </row>
    <row r="3998" spans="2:33">
      <c r="B3998" s="14">
        <f>10000000+INDEX(编号表!$B:$B,MATCH(H3998,编号表!$A:$A,0))*100000+INDEX(编号表!$F:$F,MATCH(D3998,编号表!$E:$E,0))*10000+INDEX(编号表!$D:$D,MATCH(AG3998,编号表!$C:$C,0))*1000+F3998</f>
        <v>11813010</v>
      </c>
      <c r="C3998" t="s">
        <v>2344</v>
      </c>
      <c r="D3998" t="s">
        <v>72</v>
      </c>
      <c r="E3998" t="s">
        <v>89</v>
      </c>
      <c r="F3998">
        <v>10</v>
      </c>
      <c r="G3998">
        <v>60</v>
      </c>
      <c r="H3998" t="s">
        <v>7524</v>
      </c>
      <c r="I3998" t="s">
        <v>75</v>
      </c>
      <c r="J3998" t="s">
        <v>201</v>
      </c>
      <c r="K3998">
        <v>1</v>
      </c>
      <c r="L3998" t="s">
        <v>7524</v>
      </c>
      <c r="M3998"/>
      <c r="N3998">
        <v>0</v>
      </c>
      <c r="O3998" t="b">
        <v>1</v>
      </c>
      <c r="P3998"/>
      <c r="Q3998" t="b">
        <v>0</v>
      </c>
      <c r="R3998">
        <v>1</v>
      </c>
      <c r="S3998" t="s">
        <v>77</v>
      </c>
      <c r="T3998">
        <v>999</v>
      </c>
      <c r="U3998" t="s">
        <v>7525</v>
      </c>
      <c r="V3998">
        <f t="shared" si="2"/>
        <v>31813010</v>
      </c>
      <c r="W3998"/>
      <c r="X3998" t="s">
        <v>2345</v>
      </c>
      <c r="Y3998" t="s">
        <v>215</v>
      </c>
      <c r="Z3998">
        <v>20406</v>
      </c>
      <c r="AA3998" t="s">
        <v>2346</v>
      </c>
      <c r="AB3998">
        <v>40001</v>
      </c>
      <c r="AC3998"/>
      <c r="AD3998"/>
      <c r="AE3998" t="s">
        <v>7524</v>
      </c>
      <c r="AF3998" t="s">
        <v>7524</v>
      </c>
      <c r="AG3998" t="s">
        <v>89</v>
      </c>
    </row>
    <row r="3999" spans="2:33">
      <c r="B3999" s="14">
        <f>10000000+INDEX(编号表!$B:$B,MATCH(H3999,编号表!$A:$A,0))*100000+INDEX(编号表!$F:$F,MATCH(D3999,编号表!$E:$E,0))*10000+INDEX(编号表!$D:$D,MATCH(AG3999,编号表!$C:$C,0))*1000+F3999</f>
        <v>11813011</v>
      </c>
      <c r="C3999" t="s">
        <v>2351</v>
      </c>
      <c r="D3999" t="s">
        <v>72</v>
      </c>
      <c r="E3999" t="s">
        <v>89</v>
      </c>
      <c r="F3999">
        <v>11</v>
      </c>
      <c r="G3999">
        <v>60</v>
      </c>
      <c r="H3999" t="s">
        <v>7524</v>
      </c>
      <c r="I3999" t="s">
        <v>75</v>
      </c>
      <c r="J3999" t="s">
        <v>201</v>
      </c>
      <c r="K3999">
        <v>1</v>
      </c>
      <c r="L3999" t="s">
        <v>7524</v>
      </c>
      <c r="M3999"/>
      <c r="N3999">
        <v>0</v>
      </c>
      <c r="O3999" t="b">
        <v>1</v>
      </c>
      <c r="P3999"/>
      <c r="Q3999" t="b">
        <v>0</v>
      </c>
      <c r="R3999">
        <v>1</v>
      </c>
      <c r="S3999" t="s">
        <v>77</v>
      </c>
      <c r="T3999">
        <v>999</v>
      </c>
      <c r="U3999" t="s">
        <v>7525</v>
      </c>
      <c r="V3999">
        <f t="shared" si="2"/>
        <v>31813011</v>
      </c>
      <c r="W3999"/>
      <c r="X3999" t="s">
        <v>2352</v>
      </c>
      <c r="Y3999" t="s">
        <v>215</v>
      </c>
      <c r="Z3999">
        <v>20409</v>
      </c>
      <c r="AA3999" t="s">
        <v>2353</v>
      </c>
      <c r="AB3999">
        <v>40001</v>
      </c>
      <c r="AC3999"/>
      <c r="AD3999"/>
      <c r="AE3999" t="s">
        <v>7524</v>
      </c>
      <c r="AF3999" t="s">
        <v>7524</v>
      </c>
      <c r="AG3999" t="s">
        <v>89</v>
      </c>
    </row>
    <row r="4000" spans="2:33">
      <c r="B4000" s="14">
        <f>10000000+INDEX(编号表!$B:$B,MATCH(H4000,编号表!$A:$A,0))*100000+INDEX(编号表!$F:$F,MATCH(D4000,编号表!$E:$E,0))*10000+INDEX(编号表!$D:$D,MATCH(AG4000,编号表!$C:$C,0))*1000+F4000</f>
        <v>11813012</v>
      </c>
      <c r="C4000" t="s">
        <v>2358</v>
      </c>
      <c r="D4000" t="s">
        <v>72</v>
      </c>
      <c r="E4000" t="s">
        <v>89</v>
      </c>
      <c r="F4000">
        <v>12</v>
      </c>
      <c r="G4000">
        <v>60</v>
      </c>
      <c r="H4000" t="s">
        <v>7524</v>
      </c>
      <c r="I4000" t="s">
        <v>75</v>
      </c>
      <c r="J4000" t="s">
        <v>201</v>
      </c>
      <c r="K4000">
        <v>1</v>
      </c>
      <c r="L4000" t="s">
        <v>7524</v>
      </c>
      <c r="M4000"/>
      <c r="N4000">
        <v>0</v>
      </c>
      <c r="O4000" t="b">
        <v>1</v>
      </c>
      <c r="P4000"/>
      <c r="Q4000" t="b">
        <v>0</v>
      </c>
      <c r="R4000">
        <v>1</v>
      </c>
      <c r="S4000" t="s">
        <v>77</v>
      </c>
      <c r="T4000">
        <v>999</v>
      </c>
      <c r="U4000" t="s">
        <v>7525</v>
      </c>
      <c r="V4000">
        <f t="shared" si="2"/>
        <v>31813012</v>
      </c>
      <c r="W4000"/>
      <c r="X4000" t="s">
        <v>2359</v>
      </c>
      <c r="Y4000" t="s">
        <v>215</v>
      </c>
      <c r="Z4000">
        <v>20412</v>
      </c>
      <c r="AA4000" t="s">
        <v>2360</v>
      </c>
      <c r="AB4000">
        <v>40001</v>
      </c>
      <c r="AC4000"/>
      <c r="AD4000"/>
      <c r="AE4000" t="s">
        <v>7524</v>
      </c>
      <c r="AF4000" t="s">
        <v>7524</v>
      </c>
      <c r="AG4000" t="s">
        <v>89</v>
      </c>
    </row>
    <row r="4001" spans="2:33">
      <c r="B4001" s="14">
        <f>10000000+INDEX(编号表!$B:$B,MATCH(H4001,编号表!$A:$A,0))*100000+INDEX(编号表!$F:$F,MATCH(D4001,编号表!$E:$E,0))*10000+INDEX(编号表!$D:$D,MATCH(AG4001,编号表!$C:$C,0))*1000+F4001</f>
        <v>11813013</v>
      </c>
      <c r="C4001" t="s">
        <v>2365</v>
      </c>
      <c r="D4001" t="s">
        <v>72</v>
      </c>
      <c r="E4001" t="s">
        <v>89</v>
      </c>
      <c r="F4001">
        <v>13</v>
      </c>
      <c r="G4001">
        <v>60</v>
      </c>
      <c r="H4001" t="s">
        <v>7524</v>
      </c>
      <c r="I4001" t="s">
        <v>75</v>
      </c>
      <c r="J4001" t="s">
        <v>201</v>
      </c>
      <c r="K4001">
        <v>1</v>
      </c>
      <c r="L4001" t="s">
        <v>7524</v>
      </c>
      <c r="M4001"/>
      <c r="N4001">
        <v>0</v>
      </c>
      <c r="O4001" t="b">
        <v>1</v>
      </c>
      <c r="P4001"/>
      <c r="Q4001" t="b">
        <v>0</v>
      </c>
      <c r="R4001">
        <v>1</v>
      </c>
      <c r="S4001" t="s">
        <v>77</v>
      </c>
      <c r="T4001">
        <v>999</v>
      </c>
      <c r="U4001" t="s">
        <v>7525</v>
      </c>
      <c r="V4001">
        <f t="shared" si="2"/>
        <v>31813013</v>
      </c>
      <c r="W4001"/>
      <c r="X4001" t="s">
        <v>2366</v>
      </c>
      <c r="Y4001" t="s">
        <v>215</v>
      </c>
      <c r="Z4001">
        <v>20415</v>
      </c>
      <c r="AA4001" t="s">
        <v>2367</v>
      </c>
      <c r="AB4001">
        <v>40001</v>
      </c>
      <c r="AC4001"/>
      <c r="AD4001"/>
      <c r="AE4001" t="s">
        <v>7524</v>
      </c>
      <c r="AF4001" t="s">
        <v>7524</v>
      </c>
      <c r="AG4001" t="s">
        <v>89</v>
      </c>
    </row>
    <row r="4002" spans="2:33">
      <c r="B4002" s="14">
        <f>10000000+INDEX(编号表!$B:$B,MATCH(H4002,编号表!$A:$A,0))*100000+INDEX(编号表!$F:$F,MATCH(D4002,编号表!$E:$E,0))*10000+INDEX(编号表!$D:$D,MATCH(AG4002,编号表!$C:$C,0))*1000+F4002</f>
        <v>11813014</v>
      </c>
      <c r="C4002" t="s">
        <v>2372</v>
      </c>
      <c r="D4002" t="s">
        <v>72</v>
      </c>
      <c r="E4002" t="s">
        <v>89</v>
      </c>
      <c r="F4002">
        <v>14</v>
      </c>
      <c r="G4002">
        <v>60</v>
      </c>
      <c r="H4002" t="s">
        <v>7524</v>
      </c>
      <c r="I4002" t="s">
        <v>75</v>
      </c>
      <c r="J4002" t="s">
        <v>201</v>
      </c>
      <c r="K4002">
        <v>1</v>
      </c>
      <c r="L4002" t="s">
        <v>7524</v>
      </c>
      <c r="M4002"/>
      <c r="N4002">
        <v>0</v>
      </c>
      <c r="O4002" t="b">
        <v>1</v>
      </c>
      <c r="P4002"/>
      <c r="Q4002" t="b">
        <v>0</v>
      </c>
      <c r="R4002">
        <v>1</v>
      </c>
      <c r="S4002" t="s">
        <v>77</v>
      </c>
      <c r="T4002">
        <v>999</v>
      </c>
      <c r="U4002" t="s">
        <v>7525</v>
      </c>
      <c r="V4002">
        <f t="shared" si="2"/>
        <v>31813014</v>
      </c>
      <c r="W4002"/>
      <c r="X4002" t="s">
        <v>2373</v>
      </c>
      <c r="Y4002" t="s">
        <v>215</v>
      </c>
      <c r="Z4002">
        <v>20418</v>
      </c>
      <c r="AA4002" t="s">
        <v>2374</v>
      </c>
      <c r="AB4002">
        <v>40001</v>
      </c>
      <c r="AC4002"/>
      <c r="AD4002"/>
      <c r="AE4002" t="s">
        <v>7524</v>
      </c>
      <c r="AF4002" t="s">
        <v>7524</v>
      </c>
      <c r="AG4002" t="s">
        <v>89</v>
      </c>
    </row>
    <row r="4003" spans="2:33">
      <c r="B4003" s="14">
        <f>10000000+INDEX(编号表!$B:$B,MATCH(H4003,编号表!$A:$A,0))*100000+INDEX(编号表!$F:$F,MATCH(D4003,编号表!$E:$E,0))*10000+INDEX(编号表!$D:$D,MATCH(AG4003,编号表!$C:$C,0))*1000+F4003</f>
        <v>11813015</v>
      </c>
      <c r="C4003" t="s">
        <v>2379</v>
      </c>
      <c r="D4003" t="s">
        <v>72</v>
      </c>
      <c r="E4003" t="s">
        <v>89</v>
      </c>
      <c r="F4003">
        <v>15</v>
      </c>
      <c r="G4003">
        <v>60</v>
      </c>
      <c r="H4003" t="s">
        <v>7524</v>
      </c>
      <c r="I4003" t="s">
        <v>75</v>
      </c>
      <c r="J4003" t="s">
        <v>201</v>
      </c>
      <c r="K4003">
        <v>1</v>
      </c>
      <c r="L4003" t="s">
        <v>7524</v>
      </c>
      <c r="M4003"/>
      <c r="N4003">
        <v>0</v>
      </c>
      <c r="O4003" t="b">
        <v>1</v>
      </c>
      <c r="P4003"/>
      <c r="Q4003" t="b">
        <v>0</v>
      </c>
      <c r="R4003">
        <v>1</v>
      </c>
      <c r="S4003" t="s">
        <v>77</v>
      </c>
      <c r="T4003">
        <v>999</v>
      </c>
      <c r="U4003" t="s">
        <v>7525</v>
      </c>
      <c r="V4003">
        <f t="shared" si="2"/>
        <v>31813015</v>
      </c>
      <c r="W4003"/>
      <c r="X4003" t="s">
        <v>2380</v>
      </c>
      <c r="Y4003" t="s">
        <v>215</v>
      </c>
      <c r="Z4003">
        <v>20421</v>
      </c>
      <c r="AA4003" t="s">
        <v>2381</v>
      </c>
      <c r="AB4003">
        <v>40001</v>
      </c>
      <c r="AC4003"/>
      <c r="AD4003"/>
      <c r="AE4003" t="s">
        <v>7524</v>
      </c>
      <c r="AF4003" t="s">
        <v>7524</v>
      </c>
      <c r="AG4003" t="s">
        <v>89</v>
      </c>
    </row>
    <row r="4004" spans="2:33">
      <c r="B4004" s="14">
        <f>10000000+INDEX(编号表!$B:$B,MATCH(H4004,编号表!$A:$A,0))*100000+INDEX(编号表!$F:$F,MATCH(D4004,编号表!$E:$E,0))*10000+INDEX(编号表!$D:$D,MATCH(AG4004,编号表!$C:$C,0))*1000+F4004</f>
        <v>11813016</v>
      </c>
      <c r="C4004" t="s">
        <v>2386</v>
      </c>
      <c r="D4004" t="s">
        <v>72</v>
      </c>
      <c r="E4004" t="s">
        <v>89</v>
      </c>
      <c r="F4004">
        <v>16</v>
      </c>
      <c r="G4004">
        <v>60</v>
      </c>
      <c r="H4004" t="s">
        <v>7524</v>
      </c>
      <c r="I4004" t="s">
        <v>75</v>
      </c>
      <c r="J4004" t="s">
        <v>201</v>
      </c>
      <c r="K4004">
        <v>1</v>
      </c>
      <c r="L4004" t="s">
        <v>7524</v>
      </c>
      <c r="M4004"/>
      <c r="N4004">
        <v>0</v>
      </c>
      <c r="O4004" t="b">
        <v>1</v>
      </c>
      <c r="P4004"/>
      <c r="Q4004" t="b">
        <v>0</v>
      </c>
      <c r="R4004">
        <v>1</v>
      </c>
      <c r="S4004" t="s">
        <v>77</v>
      </c>
      <c r="T4004">
        <v>999</v>
      </c>
      <c r="U4004" t="s">
        <v>7525</v>
      </c>
      <c r="V4004">
        <f t="shared" si="2"/>
        <v>31813016</v>
      </c>
      <c r="W4004"/>
      <c r="X4004" t="s">
        <v>2387</v>
      </c>
      <c r="Y4004" t="s">
        <v>215</v>
      </c>
      <c r="Z4004">
        <v>20424</v>
      </c>
      <c r="AA4004" t="s">
        <v>2388</v>
      </c>
      <c r="AB4004">
        <v>40001</v>
      </c>
      <c r="AC4004"/>
      <c r="AD4004"/>
      <c r="AE4004" t="s">
        <v>7524</v>
      </c>
      <c r="AF4004" t="s">
        <v>7524</v>
      </c>
      <c r="AG4004" t="s">
        <v>89</v>
      </c>
    </row>
    <row r="4005" spans="2:33">
      <c r="B4005" s="14">
        <f>10000000+INDEX(编号表!$B:$B,MATCH(H4005,编号表!$A:$A,0))*100000+INDEX(编号表!$F:$F,MATCH(D4005,编号表!$E:$E,0))*10000+INDEX(编号表!$D:$D,MATCH(AG4005,编号表!$C:$C,0))*1000+F4005</f>
        <v>11813017</v>
      </c>
      <c r="C4005" t="s">
        <v>2393</v>
      </c>
      <c r="D4005" t="s">
        <v>72</v>
      </c>
      <c r="E4005" t="s">
        <v>89</v>
      </c>
      <c r="F4005">
        <v>17</v>
      </c>
      <c r="G4005">
        <v>60</v>
      </c>
      <c r="H4005" t="s">
        <v>7524</v>
      </c>
      <c r="I4005" t="s">
        <v>75</v>
      </c>
      <c r="J4005" t="s">
        <v>201</v>
      </c>
      <c r="K4005">
        <v>1</v>
      </c>
      <c r="L4005" t="s">
        <v>7524</v>
      </c>
      <c r="M4005"/>
      <c r="N4005">
        <v>0</v>
      </c>
      <c r="O4005" t="b">
        <v>1</v>
      </c>
      <c r="P4005"/>
      <c r="Q4005" t="b">
        <v>0</v>
      </c>
      <c r="R4005">
        <v>1</v>
      </c>
      <c r="S4005" t="s">
        <v>77</v>
      </c>
      <c r="T4005">
        <v>999</v>
      </c>
      <c r="U4005" t="s">
        <v>7525</v>
      </c>
      <c r="V4005">
        <f t="shared" si="2"/>
        <v>31813017</v>
      </c>
      <c r="W4005"/>
      <c r="X4005" t="s">
        <v>2394</v>
      </c>
      <c r="Y4005" t="s">
        <v>215</v>
      </c>
      <c r="Z4005">
        <v>20427</v>
      </c>
      <c r="AA4005" t="s">
        <v>2395</v>
      </c>
      <c r="AB4005">
        <v>40001</v>
      </c>
      <c r="AC4005"/>
      <c r="AD4005"/>
      <c r="AE4005" t="s">
        <v>7524</v>
      </c>
      <c r="AF4005" t="s">
        <v>7524</v>
      </c>
      <c r="AG4005" t="s">
        <v>89</v>
      </c>
    </row>
    <row r="4006" spans="2:33">
      <c r="B4006" s="14">
        <f>10000000+INDEX(编号表!$B:$B,MATCH(H4006,编号表!$A:$A,0))*100000+INDEX(编号表!$F:$F,MATCH(D4006,编号表!$E:$E,0))*10000+INDEX(编号表!$D:$D,MATCH(AG4006,编号表!$C:$C,0))*1000+F4006</f>
        <v>11813018</v>
      </c>
      <c r="C4006" t="s">
        <v>2400</v>
      </c>
      <c r="D4006" t="s">
        <v>72</v>
      </c>
      <c r="E4006" t="s">
        <v>89</v>
      </c>
      <c r="F4006">
        <v>18</v>
      </c>
      <c r="G4006">
        <v>60</v>
      </c>
      <c r="H4006" t="s">
        <v>7524</v>
      </c>
      <c r="I4006" t="s">
        <v>75</v>
      </c>
      <c r="J4006" t="s">
        <v>201</v>
      </c>
      <c r="K4006">
        <v>1</v>
      </c>
      <c r="L4006" t="s">
        <v>7524</v>
      </c>
      <c r="M4006"/>
      <c r="N4006">
        <v>0</v>
      </c>
      <c r="O4006" t="b">
        <v>1</v>
      </c>
      <c r="P4006"/>
      <c r="Q4006" t="b">
        <v>0</v>
      </c>
      <c r="R4006">
        <v>1</v>
      </c>
      <c r="S4006" t="s">
        <v>77</v>
      </c>
      <c r="T4006">
        <v>999</v>
      </c>
      <c r="U4006" t="s">
        <v>7525</v>
      </c>
      <c r="V4006">
        <f t="shared" si="2"/>
        <v>31813018</v>
      </c>
      <c r="W4006"/>
      <c r="X4006" t="s">
        <v>2401</v>
      </c>
      <c r="Y4006" t="s">
        <v>215</v>
      </c>
      <c r="Z4006">
        <v>20430</v>
      </c>
      <c r="AA4006" t="s">
        <v>2402</v>
      </c>
      <c r="AB4006">
        <v>40001</v>
      </c>
      <c r="AC4006"/>
      <c r="AD4006"/>
      <c r="AE4006" t="s">
        <v>7524</v>
      </c>
      <c r="AF4006" t="s">
        <v>7524</v>
      </c>
      <c r="AG4006" t="s">
        <v>89</v>
      </c>
    </row>
    <row r="4007" spans="2:33">
      <c r="B4007" s="14">
        <f>10000000+INDEX(编号表!$B:$B,MATCH(H4007,编号表!$A:$A,0))*100000+INDEX(编号表!$F:$F,MATCH(D4007,编号表!$E:$E,0))*10000+INDEX(编号表!$D:$D,MATCH(AG4007,编号表!$C:$C,0))*1000+F4007</f>
        <v>11813019</v>
      </c>
      <c r="C4007" t="s">
        <v>2407</v>
      </c>
      <c r="D4007" t="s">
        <v>72</v>
      </c>
      <c r="E4007" t="s">
        <v>89</v>
      </c>
      <c r="F4007">
        <v>19</v>
      </c>
      <c r="G4007">
        <v>60</v>
      </c>
      <c r="H4007" t="s">
        <v>7524</v>
      </c>
      <c r="I4007" t="s">
        <v>75</v>
      </c>
      <c r="J4007" t="s">
        <v>201</v>
      </c>
      <c r="K4007">
        <v>1</v>
      </c>
      <c r="L4007" t="s">
        <v>7524</v>
      </c>
      <c r="M4007"/>
      <c r="N4007">
        <v>0</v>
      </c>
      <c r="O4007" t="b">
        <v>1</v>
      </c>
      <c r="P4007"/>
      <c r="Q4007" t="b">
        <v>0</v>
      </c>
      <c r="R4007">
        <v>1</v>
      </c>
      <c r="S4007" t="s">
        <v>77</v>
      </c>
      <c r="T4007">
        <v>999</v>
      </c>
      <c r="U4007" t="s">
        <v>7525</v>
      </c>
      <c r="V4007">
        <f t="shared" si="2"/>
        <v>31813019</v>
      </c>
      <c r="W4007"/>
      <c r="X4007" t="s">
        <v>2408</v>
      </c>
      <c r="Y4007" t="s">
        <v>215</v>
      </c>
      <c r="Z4007">
        <v>20433</v>
      </c>
      <c r="AA4007" t="s">
        <v>2409</v>
      </c>
      <c r="AB4007">
        <v>40001</v>
      </c>
      <c r="AC4007"/>
      <c r="AD4007"/>
      <c r="AE4007" t="s">
        <v>7524</v>
      </c>
      <c r="AF4007" t="s">
        <v>7524</v>
      </c>
      <c r="AG4007" t="s">
        <v>89</v>
      </c>
    </row>
    <row r="4008" spans="2:33">
      <c r="B4008" s="14">
        <f>10000000+INDEX(编号表!$B:$B,MATCH(H4008,编号表!$A:$A,0))*100000+INDEX(编号表!$F:$F,MATCH(D4008,编号表!$E:$E,0))*10000+INDEX(编号表!$D:$D,MATCH(AG4008,编号表!$C:$C,0))*1000+F4008</f>
        <v>11813020</v>
      </c>
      <c r="C4008" t="s">
        <v>2414</v>
      </c>
      <c r="D4008" t="s">
        <v>72</v>
      </c>
      <c r="E4008" t="s">
        <v>89</v>
      </c>
      <c r="F4008">
        <v>20</v>
      </c>
      <c r="G4008">
        <v>60</v>
      </c>
      <c r="H4008" t="s">
        <v>7524</v>
      </c>
      <c r="I4008" t="s">
        <v>75</v>
      </c>
      <c r="J4008" t="s">
        <v>201</v>
      </c>
      <c r="K4008">
        <v>1</v>
      </c>
      <c r="L4008" t="s">
        <v>7524</v>
      </c>
      <c r="M4008"/>
      <c r="N4008">
        <v>0</v>
      </c>
      <c r="O4008" t="b">
        <v>1</v>
      </c>
      <c r="P4008"/>
      <c r="Q4008" t="b">
        <v>0</v>
      </c>
      <c r="R4008">
        <v>1</v>
      </c>
      <c r="S4008" t="s">
        <v>77</v>
      </c>
      <c r="T4008">
        <v>999</v>
      </c>
      <c r="U4008" t="s">
        <v>7525</v>
      </c>
      <c r="V4008">
        <f t="shared" si="2"/>
        <v>31813020</v>
      </c>
      <c r="W4008"/>
      <c r="X4008" t="s">
        <v>2415</v>
      </c>
      <c r="Y4008" t="s">
        <v>215</v>
      </c>
      <c r="Z4008">
        <v>20436</v>
      </c>
      <c r="AA4008" t="s">
        <v>2416</v>
      </c>
      <c r="AB4008">
        <v>40001</v>
      </c>
      <c r="AC4008"/>
      <c r="AD4008"/>
      <c r="AE4008" t="s">
        <v>7524</v>
      </c>
      <c r="AF4008" t="s">
        <v>7524</v>
      </c>
      <c r="AG4008" t="s">
        <v>89</v>
      </c>
    </row>
    <row r="4009" spans="2:33">
      <c r="B4009" s="14">
        <f>10000000+INDEX(编号表!$B:$B,MATCH(H4009,编号表!$A:$A,0))*100000+INDEX(编号表!$F:$F,MATCH(D4009,编号表!$E:$E,0))*10000+INDEX(编号表!$D:$D,MATCH(AG4009,编号表!$C:$C,0))*1000+F4009</f>
        <v>11813021</v>
      </c>
      <c r="C4009" t="s">
        <v>2421</v>
      </c>
      <c r="D4009" t="s">
        <v>72</v>
      </c>
      <c r="E4009" t="s">
        <v>89</v>
      </c>
      <c r="F4009">
        <v>21</v>
      </c>
      <c r="G4009">
        <v>60</v>
      </c>
      <c r="H4009" t="s">
        <v>7524</v>
      </c>
      <c r="I4009" t="s">
        <v>75</v>
      </c>
      <c r="J4009" t="s">
        <v>201</v>
      </c>
      <c r="K4009">
        <v>1</v>
      </c>
      <c r="L4009" t="s">
        <v>7524</v>
      </c>
      <c r="M4009"/>
      <c r="N4009">
        <v>0</v>
      </c>
      <c r="O4009" t="b">
        <v>1</v>
      </c>
      <c r="P4009"/>
      <c r="Q4009" t="b">
        <v>0</v>
      </c>
      <c r="R4009">
        <v>1</v>
      </c>
      <c r="S4009" t="s">
        <v>77</v>
      </c>
      <c r="T4009">
        <v>999</v>
      </c>
      <c r="U4009" t="s">
        <v>7525</v>
      </c>
      <c r="V4009">
        <f t="shared" si="2"/>
        <v>31813021</v>
      </c>
      <c r="W4009"/>
      <c r="X4009" t="s">
        <v>2422</v>
      </c>
      <c r="Y4009" t="s">
        <v>215</v>
      </c>
      <c r="Z4009">
        <v>20439</v>
      </c>
      <c r="AA4009" t="s">
        <v>2423</v>
      </c>
      <c r="AB4009">
        <v>40001</v>
      </c>
      <c r="AC4009"/>
      <c r="AD4009"/>
      <c r="AE4009" t="s">
        <v>7524</v>
      </c>
      <c r="AF4009" t="s">
        <v>7524</v>
      </c>
      <c r="AG4009" t="s">
        <v>89</v>
      </c>
    </row>
    <row r="4010" spans="2:33">
      <c r="B4010" s="14">
        <f>10000000+INDEX(编号表!$B:$B,MATCH(H4010,编号表!$A:$A,0))*100000+INDEX(编号表!$F:$F,MATCH(D4010,编号表!$E:$E,0))*10000+INDEX(编号表!$D:$D,MATCH(AG4010,编号表!$C:$C,0))*1000+F4010</f>
        <v>11813022</v>
      </c>
      <c r="C4010" t="s">
        <v>2428</v>
      </c>
      <c r="D4010" t="s">
        <v>72</v>
      </c>
      <c r="E4010" t="s">
        <v>89</v>
      </c>
      <c r="F4010">
        <v>22</v>
      </c>
      <c r="G4010">
        <v>60</v>
      </c>
      <c r="H4010" t="s">
        <v>7524</v>
      </c>
      <c r="I4010" t="s">
        <v>75</v>
      </c>
      <c r="J4010" t="s">
        <v>201</v>
      </c>
      <c r="K4010">
        <v>1</v>
      </c>
      <c r="L4010" t="s">
        <v>7524</v>
      </c>
      <c r="M4010"/>
      <c r="N4010">
        <v>0</v>
      </c>
      <c r="O4010" t="b">
        <v>1</v>
      </c>
      <c r="P4010"/>
      <c r="Q4010" t="b">
        <v>0</v>
      </c>
      <c r="R4010">
        <v>1</v>
      </c>
      <c r="S4010" t="s">
        <v>77</v>
      </c>
      <c r="T4010">
        <v>999</v>
      </c>
      <c r="U4010" t="s">
        <v>7525</v>
      </c>
      <c r="V4010">
        <f t="shared" si="2"/>
        <v>31813022</v>
      </c>
      <c r="W4010"/>
      <c r="X4010" t="s">
        <v>2429</v>
      </c>
      <c r="Y4010" t="s">
        <v>215</v>
      </c>
      <c r="Z4010">
        <v>20442</v>
      </c>
      <c r="AA4010" t="s">
        <v>2430</v>
      </c>
      <c r="AB4010">
        <v>40001</v>
      </c>
      <c r="AC4010"/>
      <c r="AD4010"/>
      <c r="AE4010" t="s">
        <v>7524</v>
      </c>
      <c r="AF4010" t="s">
        <v>7524</v>
      </c>
      <c r="AG4010" t="s">
        <v>89</v>
      </c>
    </row>
    <row r="4011" spans="2:33">
      <c r="B4011" s="14">
        <f>10000000+INDEX(编号表!$B:$B,MATCH(H4011,编号表!$A:$A,0))*100000+INDEX(编号表!$F:$F,MATCH(D4011,编号表!$E:$E,0))*10000+INDEX(编号表!$D:$D,MATCH(AG4011,编号表!$C:$C,0))*1000+F4011</f>
        <v>11813023</v>
      </c>
      <c r="C4011" t="s">
        <v>2435</v>
      </c>
      <c r="D4011" t="s">
        <v>72</v>
      </c>
      <c r="E4011" t="s">
        <v>89</v>
      </c>
      <c r="F4011">
        <v>23</v>
      </c>
      <c r="G4011">
        <v>60</v>
      </c>
      <c r="H4011" t="s">
        <v>7524</v>
      </c>
      <c r="I4011" t="s">
        <v>75</v>
      </c>
      <c r="J4011" t="s">
        <v>201</v>
      </c>
      <c r="K4011">
        <v>1</v>
      </c>
      <c r="L4011" t="s">
        <v>7524</v>
      </c>
      <c r="M4011"/>
      <c r="N4011">
        <v>0</v>
      </c>
      <c r="O4011" t="b">
        <v>1</v>
      </c>
      <c r="P4011"/>
      <c r="Q4011" t="b">
        <v>0</v>
      </c>
      <c r="R4011">
        <v>1</v>
      </c>
      <c r="S4011" t="s">
        <v>77</v>
      </c>
      <c r="T4011">
        <v>999</v>
      </c>
      <c r="U4011" t="s">
        <v>7525</v>
      </c>
      <c r="V4011">
        <f t="shared" si="2"/>
        <v>31813023</v>
      </c>
      <c r="W4011"/>
      <c r="X4011" t="s">
        <v>2436</v>
      </c>
      <c r="Y4011" t="s">
        <v>215</v>
      </c>
      <c r="Z4011">
        <v>20445</v>
      </c>
      <c r="AA4011" t="s">
        <v>2437</v>
      </c>
      <c r="AB4011">
        <v>40001</v>
      </c>
      <c r="AC4011"/>
      <c r="AD4011"/>
      <c r="AE4011" t="s">
        <v>7524</v>
      </c>
      <c r="AF4011" t="s">
        <v>7524</v>
      </c>
      <c r="AG4011" t="s">
        <v>89</v>
      </c>
    </row>
    <row r="4012" spans="2:33">
      <c r="B4012" s="14">
        <f>10000000+INDEX(编号表!$B:$B,MATCH(H4012,编号表!$A:$A,0))*100000+INDEX(编号表!$F:$F,MATCH(D4012,编号表!$E:$E,0))*10000+INDEX(编号表!$D:$D,MATCH(AG4012,编号表!$C:$C,0))*1000+F4012</f>
        <v>11813024</v>
      </c>
      <c r="C4012" t="s">
        <v>2442</v>
      </c>
      <c r="D4012" t="s">
        <v>72</v>
      </c>
      <c r="E4012" t="s">
        <v>89</v>
      </c>
      <c r="F4012">
        <v>24</v>
      </c>
      <c r="G4012">
        <v>60</v>
      </c>
      <c r="H4012" t="s">
        <v>7524</v>
      </c>
      <c r="I4012" t="s">
        <v>75</v>
      </c>
      <c r="J4012" t="s">
        <v>201</v>
      </c>
      <c r="K4012">
        <v>1</v>
      </c>
      <c r="L4012" t="s">
        <v>7524</v>
      </c>
      <c r="M4012"/>
      <c r="N4012">
        <v>0</v>
      </c>
      <c r="O4012" t="b">
        <v>1</v>
      </c>
      <c r="P4012"/>
      <c r="Q4012" t="b">
        <v>0</v>
      </c>
      <c r="R4012">
        <v>1</v>
      </c>
      <c r="S4012" t="s">
        <v>77</v>
      </c>
      <c r="T4012">
        <v>999</v>
      </c>
      <c r="U4012" t="s">
        <v>7525</v>
      </c>
      <c r="V4012">
        <f t="shared" si="2"/>
        <v>31813024</v>
      </c>
      <c r="W4012"/>
      <c r="X4012" t="s">
        <v>2443</v>
      </c>
      <c r="Y4012" t="s">
        <v>215</v>
      </c>
      <c r="Z4012">
        <v>20448</v>
      </c>
      <c r="AA4012" t="s">
        <v>2444</v>
      </c>
      <c r="AB4012">
        <v>40001</v>
      </c>
      <c r="AC4012"/>
      <c r="AD4012"/>
      <c r="AE4012" t="s">
        <v>7524</v>
      </c>
      <c r="AF4012" t="s">
        <v>7524</v>
      </c>
      <c r="AG4012" t="s">
        <v>89</v>
      </c>
    </row>
    <row r="4013" spans="2:33">
      <c r="B4013" s="14">
        <f>10000000+INDEX(编号表!$B:$B,MATCH(H4013,编号表!$A:$A,0))*100000+INDEX(编号表!$F:$F,MATCH(D4013,编号表!$E:$E,0))*10000+INDEX(编号表!$D:$D,MATCH(AG4013,编号表!$C:$C,0))*1000+F4013</f>
        <v>11813025</v>
      </c>
      <c r="C4013" t="s">
        <v>2449</v>
      </c>
      <c r="D4013" t="s">
        <v>72</v>
      </c>
      <c r="E4013" t="s">
        <v>89</v>
      </c>
      <c r="F4013">
        <v>25</v>
      </c>
      <c r="G4013">
        <v>60</v>
      </c>
      <c r="H4013" t="s">
        <v>7524</v>
      </c>
      <c r="I4013" t="s">
        <v>75</v>
      </c>
      <c r="J4013" t="s">
        <v>201</v>
      </c>
      <c r="K4013">
        <v>1</v>
      </c>
      <c r="L4013" t="s">
        <v>7524</v>
      </c>
      <c r="M4013"/>
      <c r="N4013">
        <v>0</v>
      </c>
      <c r="O4013" t="b">
        <v>1</v>
      </c>
      <c r="P4013"/>
      <c r="Q4013" t="b">
        <v>0</v>
      </c>
      <c r="R4013">
        <v>1</v>
      </c>
      <c r="S4013" t="s">
        <v>77</v>
      </c>
      <c r="T4013">
        <v>999</v>
      </c>
      <c r="U4013" t="s">
        <v>7525</v>
      </c>
      <c r="V4013">
        <f t="shared" si="2"/>
        <v>31813025</v>
      </c>
      <c r="W4013"/>
      <c r="X4013" t="s">
        <v>2450</v>
      </c>
      <c r="Y4013" t="s">
        <v>215</v>
      </c>
      <c r="Z4013">
        <v>20451</v>
      </c>
      <c r="AA4013" t="s">
        <v>2451</v>
      </c>
      <c r="AB4013">
        <v>40001</v>
      </c>
      <c r="AC4013"/>
      <c r="AD4013"/>
      <c r="AE4013" t="s">
        <v>7524</v>
      </c>
      <c r="AF4013" t="s">
        <v>7524</v>
      </c>
      <c r="AG4013" t="s">
        <v>89</v>
      </c>
    </row>
    <row r="4014" spans="2:33">
      <c r="B4014" s="14">
        <f>10000000+INDEX(编号表!$B:$B,MATCH(H4014,编号表!$A:$A,0))*100000+INDEX(编号表!$F:$F,MATCH(D4014,编号表!$E:$E,0))*10000+INDEX(编号表!$D:$D,MATCH(AG4014,编号表!$C:$C,0))*1000+F4014</f>
        <v>11813026</v>
      </c>
      <c r="C4014" t="s">
        <v>2456</v>
      </c>
      <c r="D4014" t="s">
        <v>72</v>
      </c>
      <c r="E4014" t="s">
        <v>89</v>
      </c>
      <c r="F4014">
        <v>26</v>
      </c>
      <c r="G4014">
        <v>60</v>
      </c>
      <c r="H4014" t="s">
        <v>7524</v>
      </c>
      <c r="I4014" t="s">
        <v>75</v>
      </c>
      <c r="J4014" t="s">
        <v>201</v>
      </c>
      <c r="K4014">
        <v>1</v>
      </c>
      <c r="L4014" t="s">
        <v>7524</v>
      </c>
      <c r="M4014"/>
      <c r="N4014">
        <v>0</v>
      </c>
      <c r="O4014" t="b">
        <v>1</v>
      </c>
      <c r="P4014"/>
      <c r="Q4014" t="b">
        <v>0</v>
      </c>
      <c r="R4014">
        <v>1</v>
      </c>
      <c r="S4014" t="s">
        <v>77</v>
      </c>
      <c r="T4014">
        <v>999</v>
      </c>
      <c r="U4014" t="s">
        <v>7525</v>
      </c>
      <c r="V4014">
        <f t="shared" si="2"/>
        <v>31813026</v>
      </c>
      <c r="W4014"/>
      <c r="X4014" t="s">
        <v>2457</v>
      </c>
      <c r="Y4014" t="s">
        <v>215</v>
      </c>
      <c r="Z4014">
        <v>20454</v>
      </c>
      <c r="AA4014" t="s">
        <v>2458</v>
      </c>
      <c r="AB4014">
        <v>40001</v>
      </c>
      <c r="AC4014"/>
      <c r="AD4014"/>
      <c r="AE4014" t="s">
        <v>7524</v>
      </c>
      <c r="AF4014" t="s">
        <v>7524</v>
      </c>
      <c r="AG4014" t="s">
        <v>89</v>
      </c>
    </row>
    <row r="4015" spans="2:33">
      <c r="B4015" s="14">
        <f>10000000+INDEX(编号表!$B:$B,MATCH(H4015,编号表!$A:$A,0))*100000+INDEX(编号表!$F:$F,MATCH(D4015,编号表!$E:$E,0))*10000+INDEX(编号表!$D:$D,MATCH(AG4015,编号表!$C:$C,0))*1000+F4015</f>
        <v>11813027</v>
      </c>
      <c r="C4015" t="s">
        <v>2463</v>
      </c>
      <c r="D4015" t="s">
        <v>72</v>
      </c>
      <c r="E4015" t="s">
        <v>89</v>
      </c>
      <c r="F4015">
        <v>27</v>
      </c>
      <c r="G4015">
        <v>60</v>
      </c>
      <c r="H4015" t="s">
        <v>7524</v>
      </c>
      <c r="I4015" t="s">
        <v>75</v>
      </c>
      <c r="J4015" t="s">
        <v>201</v>
      </c>
      <c r="K4015">
        <v>1</v>
      </c>
      <c r="L4015" t="s">
        <v>7524</v>
      </c>
      <c r="M4015"/>
      <c r="N4015">
        <v>0</v>
      </c>
      <c r="O4015" t="b">
        <v>1</v>
      </c>
      <c r="P4015"/>
      <c r="Q4015" t="b">
        <v>0</v>
      </c>
      <c r="R4015">
        <v>1</v>
      </c>
      <c r="S4015" t="s">
        <v>77</v>
      </c>
      <c r="T4015">
        <v>999</v>
      </c>
      <c r="U4015" t="s">
        <v>7525</v>
      </c>
      <c r="V4015">
        <f t="shared" si="2"/>
        <v>31813027</v>
      </c>
      <c r="W4015"/>
      <c r="X4015" t="s">
        <v>2464</v>
      </c>
      <c r="Y4015" t="s">
        <v>215</v>
      </c>
      <c r="Z4015">
        <v>20457</v>
      </c>
      <c r="AA4015" t="s">
        <v>2465</v>
      </c>
      <c r="AB4015">
        <v>40001</v>
      </c>
      <c r="AC4015"/>
      <c r="AD4015"/>
      <c r="AE4015" t="s">
        <v>7524</v>
      </c>
      <c r="AF4015" t="s">
        <v>7524</v>
      </c>
      <c r="AG4015" t="s">
        <v>89</v>
      </c>
    </row>
    <row r="4016" spans="2:33">
      <c r="B4016" s="14">
        <f>10000000+INDEX(编号表!$B:$B,MATCH(H4016,编号表!$A:$A,0))*100000+INDEX(编号表!$F:$F,MATCH(D4016,编号表!$E:$E,0))*10000+INDEX(编号表!$D:$D,MATCH(AG4016,编号表!$C:$C,0))*1000+F4016</f>
        <v>11813028</v>
      </c>
      <c r="C4016" t="s">
        <v>2470</v>
      </c>
      <c r="D4016" t="s">
        <v>72</v>
      </c>
      <c r="E4016" t="s">
        <v>89</v>
      </c>
      <c r="F4016">
        <v>28</v>
      </c>
      <c r="G4016">
        <v>60</v>
      </c>
      <c r="H4016" t="s">
        <v>7524</v>
      </c>
      <c r="I4016" t="s">
        <v>75</v>
      </c>
      <c r="J4016" t="s">
        <v>201</v>
      </c>
      <c r="K4016">
        <v>1</v>
      </c>
      <c r="L4016" t="s">
        <v>7524</v>
      </c>
      <c r="M4016"/>
      <c r="N4016">
        <v>0</v>
      </c>
      <c r="O4016" t="b">
        <v>1</v>
      </c>
      <c r="P4016"/>
      <c r="Q4016" t="b">
        <v>0</v>
      </c>
      <c r="R4016">
        <v>1</v>
      </c>
      <c r="S4016" t="s">
        <v>77</v>
      </c>
      <c r="T4016">
        <v>999</v>
      </c>
      <c r="U4016" t="s">
        <v>7525</v>
      </c>
      <c r="V4016">
        <f t="shared" si="2"/>
        <v>31813028</v>
      </c>
      <c r="W4016"/>
      <c r="X4016" t="s">
        <v>2471</v>
      </c>
      <c r="Y4016" t="s">
        <v>215</v>
      </c>
      <c r="Z4016">
        <v>20460</v>
      </c>
      <c r="AA4016" t="s">
        <v>2472</v>
      </c>
      <c r="AB4016">
        <v>40001</v>
      </c>
      <c r="AC4016"/>
      <c r="AD4016"/>
      <c r="AE4016" t="s">
        <v>7524</v>
      </c>
      <c r="AF4016" t="s">
        <v>7524</v>
      </c>
      <c r="AG4016" t="s">
        <v>89</v>
      </c>
    </row>
    <row r="4017" spans="2:33">
      <c r="B4017" s="14">
        <f>10000000+INDEX(编号表!$B:$B,MATCH(H4017,编号表!$A:$A,0))*100000+INDEX(编号表!$F:$F,MATCH(D4017,编号表!$E:$E,0))*10000+INDEX(编号表!$D:$D,MATCH(AG4017,编号表!$C:$C,0))*1000+F4017</f>
        <v>11813029</v>
      </c>
      <c r="C4017" t="s">
        <v>2477</v>
      </c>
      <c r="D4017" t="s">
        <v>72</v>
      </c>
      <c r="E4017" t="s">
        <v>89</v>
      </c>
      <c r="F4017">
        <v>29</v>
      </c>
      <c r="G4017">
        <v>60</v>
      </c>
      <c r="H4017" t="s">
        <v>7524</v>
      </c>
      <c r="I4017" t="s">
        <v>75</v>
      </c>
      <c r="J4017" t="s">
        <v>201</v>
      </c>
      <c r="K4017">
        <v>1</v>
      </c>
      <c r="L4017" t="s">
        <v>7524</v>
      </c>
      <c r="M4017"/>
      <c r="N4017">
        <v>0</v>
      </c>
      <c r="O4017" t="b">
        <v>1</v>
      </c>
      <c r="P4017"/>
      <c r="Q4017" t="b">
        <v>0</v>
      </c>
      <c r="R4017">
        <v>1</v>
      </c>
      <c r="S4017" t="s">
        <v>77</v>
      </c>
      <c r="T4017">
        <v>999</v>
      </c>
      <c r="U4017" t="s">
        <v>7525</v>
      </c>
      <c r="V4017">
        <f t="shared" si="2"/>
        <v>31813029</v>
      </c>
      <c r="W4017"/>
      <c r="X4017" t="s">
        <v>2478</v>
      </c>
      <c r="Y4017" t="s">
        <v>215</v>
      </c>
      <c r="Z4017">
        <v>20463</v>
      </c>
      <c r="AA4017" t="s">
        <v>2479</v>
      </c>
      <c r="AB4017">
        <v>40001</v>
      </c>
      <c r="AC4017"/>
      <c r="AD4017"/>
      <c r="AE4017" t="s">
        <v>7524</v>
      </c>
      <c r="AF4017" t="s">
        <v>7524</v>
      </c>
      <c r="AG4017" t="s">
        <v>89</v>
      </c>
    </row>
    <row r="4018" spans="2:33">
      <c r="B4018" s="14">
        <f>10000000+INDEX(编号表!$B:$B,MATCH(H4018,编号表!$A:$A,0))*100000+INDEX(编号表!$F:$F,MATCH(D4018,编号表!$E:$E,0))*10000+INDEX(编号表!$D:$D,MATCH(AG4018,编号表!$C:$C,0))*1000+F4018</f>
        <v>11813030</v>
      </c>
      <c r="C4018" t="s">
        <v>2484</v>
      </c>
      <c r="D4018" t="s">
        <v>72</v>
      </c>
      <c r="E4018" t="s">
        <v>89</v>
      </c>
      <c r="F4018">
        <v>30</v>
      </c>
      <c r="G4018">
        <v>60</v>
      </c>
      <c r="H4018" t="s">
        <v>7524</v>
      </c>
      <c r="I4018" t="s">
        <v>75</v>
      </c>
      <c r="J4018" t="s">
        <v>201</v>
      </c>
      <c r="K4018">
        <v>1</v>
      </c>
      <c r="L4018" t="s">
        <v>7524</v>
      </c>
      <c r="M4018"/>
      <c r="N4018">
        <v>0</v>
      </c>
      <c r="O4018" t="b">
        <v>1</v>
      </c>
      <c r="P4018"/>
      <c r="Q4018" t="b">
        <v>0</v>
      </c>
      <c r="R4018">
        <v>1</v>
      </c>
      <c r="S4018" t="s">
        <v>77</v>
      </c>
      <c r="T4018">
        <v>999</v>
      </c>
      <c r="U4018" t="s">
        <v>7525</v>
      </c>
      <c r="V4018">
        <f t="shared" si="2"/>
        <v>31813030</v>
      </c>
      <c r="W4018"/>
      <c r="X4018" t="s">
        <v>2485</v>
      </c>
      <c r="Y4018" t="s">
        <v>215</v>
      </c>
      <c r="Z4018">
        <v>20466</v>
      </c>
      <c r="AA4018" t="s">
        <v>2486</v>
      </c>
      <c r="AB4018">
        <v>40001</v>
      </c>
      <c r="AC4018"/>
      <c r="AD4018"/>
      <c r="AE4018" t="s">
        <v>7524</v>
      </c>
      <c r="AF4018" t="s">
        <v>7524</v>
      </c>
      <c r="AG4018" t="s">
        <v>89</v>
      </c>
    </row>
    <row r="4019" spans="2:33">
      <c r="B4019" s="14">
        <f>10000000+INDEX(编号表!$B:$B,MATCH(H4019,编号表!$A:$A,0))*100000+INDEX(编号表!$F:$F,MATCH(D4019,编号表!$E:$E,0))*10000+INDEX(编号表!$D:$D,MATCH(AG4019,编号表!$C:$C,0))*1000+F4019</f>
        <v>11813031</v>
      </c>
      <c r="C4019" t="s">
        <v>2491</v>
      </c>
      <c r="D4019" t="s">
        <v>72</v>
      </c>
      <c r="E4019" t="s">
        <v>89</v>
      </c>
      <c r="F4019">
        <v>31</v>
      </c>
      <c r="G4019">
        <v>60</v>
      </c>
      <c r="H4019" t="s">
        <v>7524</v>
      </c>
      <c r="I4019" t="s">
        <v>75</v>
      </c>
      <c r="J4019" t="s">
        <v>201</v>
      </c>
      <c r="K4019">
        <v>1</v>
      </c>
      <c r="L4019" t="s">
        <v>7524</v>
      </c>
      <c r="M4019"/>
      <c r="N4019">
        <v>0</v>
      </c>
      <c r="O4019" t="b">
        <v>1</v>
      </c>
      <c r="P4019"/>
      <c r="Q4019" t="b">
        <v>0</v>
      </c>
      <c r="R4019">
        <v>1</v>
      </c>
      <c r="S4019" t="s">
        <v>77</v>
      </c>
      <c r="T4019">
        <v>999</v>
      </c>
      <c r="U4019" t="s">
        <v>7525</v>
      </c>
      <c r="V4019">
        <f t="shared" si="2"/>
        <v>31813031</v>
      </c>
      <c r="W4019"/>
      <c r="X4019" t="s">
        <v>2492</v>
      </c>
      <c r="Y4019" t="s">
        <v>215</v>
      </c>
      <c r="Z4019">
        <v>20469</v>
      </c>
      <c r="AA4019" t="s">
        <v>2493</v>
      </c>
      <c r="AB4019">
        <v>40001</v>
      </c>
      <c r="AC4019"/>
      <c r="AD4019"/>
      <c r="AE4019" t="s">
        <v>7524</v>
      </c>
      <c r="AF4019" t="s">
        <v>7524</v>
      </c>
      <c r="AG4019" t="s">
        <v>89</v>
      </c>
    </row>
    <row r="4020" spans="2:33">
      <c r="B4020" s="14">
        <f>10000000+INDEX(编号表!$B:$B,MATCH(H4020,编号表!$A:$A,0))*100000+INDEX(编号表!$F:$F,MATCH(D4020,编号表!$E:$E,0))*10000+INDEX(编号表!$D:$D,MATCH(AG4020,编号表!$C:$C,0))*1000+F4020</f>
        <v>11813032</v>
      </c>
      <c r="C4020" t="s">
        <v>2498</v>
      </c>
      <c r="D4020" t="s">
        <v>72</v>
      </c>
      <c r="E4020" t="s">
        <v>89</v>
      </c>
      <c r="F4020">
        <v>32</v>
      </c>
      <c r="G4020">
        <v>60</v>
      </c>
      <c r="H4020" t="s">
        <v>7524</v>
      </c>
      <c r="I4020" t="s">
        <v>75</v>
      </c>
      <c r="J4020" t="s">
        <v>201</v>
      </c>
      <c r="K4020">
        <v>1</v>
      </c>
      <c r="L4020" t="s">
        <v>7524</v>
      </c>
      <c r="M4020"/>
      <c r="N4020">
        <v>0</v>
      </c>
      <c r="O4020" t="b">
        <v>1</v>
      </c>
      <c r="P4020"/>
      <c r="Q4020" t="b">
        <v>0</v>
      </c>
      <c r="R4020">
        <v>1</v>
      </c>
      <c r="S4020" t="s">
        <v>77</v>
      </c>
      <c r="T4020">
        <v>999</v>
      </c>
      <c r="U4020" t="s">
        <v>7525</v>
      </c>
      <c r="V4020">
        <f t="shared" si="2"/>
        <v>31813032</v>
      </c>
      <c r="W4020"/>
      <c r="X4020" t="s">
        <v>2499</v>
      </c>
      <c r="Y4020" t="s">
        <v>215</v>
      </c>
      <c r="Z4020">
        <v>20472</v>
      </c>
      <c r="AA4020" t="s">
        <v>2500</v>
      </c>
      <c r="AB4020">
        <v>40001</v>
      </c>
      <c r="AC4020"/>
      <c r="AD4020"/>
      <c r="AE4020" t="s">
        <v>7524</v>
      </c>
      <c r="AF4020" t="s">
        <v>7524</v>
      </c>
      <c r="AG4020" t="s">
        <v>89</v>
      </c>
    </row>
    <row r="4021" spans="2:33">
      <c r="B4021" s="14">
        <f>10000000+INDEX(编号表!$B:$B,MATCH(H4021,编号表!$A:$A,0))*100000+INDEX(编号表!$F:$F,MATCH(D4021,编号表!$E:$E,0))*10000+INDEX(编号表!$D:$D,MATCH(AG4021,编号表!$C:$C,0))*1000+F4021</f>
        <v>11813033</v>
      </c>
      <c r="C4021" t="s">
        <v>2505</v>
      </c>
      <c r="D4021" t="s">
        <v>72</v>
      </c>
      <c r="E4021" t="s">
        <v>89</v>
      </c>
      <c r="F4021">
        <v>33</v>
      </c>
      <c r="G4021">
        <v>60</v>
      </c>
      <c r="H4021" t="s">
        <v>7524</v>
      </c>
      <c r="I4021" t="s">
        <v>75</v>
      </c>
      <c r="J4021" t="s">
        <v>201</v>
      </c>
      <c r="K4021">
        <v>1</v>
      </c>
      <c r="L4021" t="s">
        <v>7524</v>
      </c>
      <c r="M4021"/>
      <c r="N4021">
        <v>0</v>
      </c>
      <c r="O4021" t="b">
        <v>1</v>
      </c>
      <c r="P4021"/>
      <c r="Q4021" t="b">
        <v>0</v>
      </c>
      <c r="R4021">
        <v>1</v>
      </c>
      <c r="S4021" t="s">
        <v>77</v>
      </c>
      <c r="T4021">
        <v>999</v>
      </c>
      <c r="U4021" t="s">
        <v>7525</v>
      </c>
      <c r="V4021">
        <f t="shared" si="2"/>
        <v>31813033</v>
      </c>
      <c r="W4021"/>
      <c r="X4021" t="s">
        <v>2506</v>
      </c>
      <c r="Y4021" t="s">
        <v>215</v>
      </c>
      <c r="Z4021">
        <v>20475</v>
      </c>
      <c r="AA4021" t="s">
        <v>2507</v>
      </c>
      <c r="AB4021">
        <v>40001</v>
      </c>
      <c r="AC4021"/>
      <c r="AD4021"/>
      <c r="AE4021" t="s">
        <v>7524</v>
      </c>
      <c r="AF4021" t="s">
        <v>7524</v>
      </c>
      <c r="AG4021" t="s">
        <v>89</v>
      </c>
    </row>
    <row r="4022" spans="2:33">
      <c r="B4022" s="14">
        <f>10000000+INDEX(编号表!$B:$B,MATCH(H4022,编号表!$A:$A,0))*100000+INDEX(编号表!$F:$F,MATCH(D4022,编号表!$E:$E,0))*10000+INDEX(编号表!$D:$D,MATCH(AG4022,编号表!$C:$C,0))*1000+F4022</f>
        <v>11813034</v>
      </c>
      <c r="C4022" t="s">
        <v>2512</v>
      </c>
      <c r="D4022" t="s">
        <v>72</v>
      </c>
      <c r="E4022" t="s">
        <v>89</v>
      </c>
      <c r="F4022">
        <v>34</v>
      </c>
      <c r="G4022">
        <v>60</v>
      </c>
      <c r="H4022" t="s">
        <v>7524</v>
      </c>
      <c r="I4022" t="s">
        <v>75</v>
      </c>
      <c r="J4022" t="s">
        <v>201</v>
      </c>
      <c r="K4022">
        <v>1</v>
      </c>
      <c r="L4022" t="s">
        <v>7524</v>
      </c>
      <c r="M4022"/>
      <c r="N4022">
        <v>0</v>
      </c>
      <c r="O4022" t="b">
        <v>1</v>
      </c>
      <c r="P4022"/>
      <c r="Q4022" t="b">
        <v>0</v>
      </c>
      <c r="R4022">
        <v>1</v>
      </c>
      <c r="S4022" t="s">
        <v>77</v>
      </c>
      <c r="T4022">
        <v>999</v>
      </c>
      <c r="U4022" t="s">
        <v>7525</v>
      </c>
      <c r="V4022">
        <f t="shared" si="2"/>
        <v>31813034</v>
      </c>
      <c r="W4022"/>
      <c r="X4022" t="s">
        <v>2513</v>
      </c>
      <c r="Y4022" t="s">
        <v>215</v>
      </c>
      <c r="Z4022">
        <v>20478</v>
      </c>
      <c r="AA4022" t="s">
        <v>2514</v>
      </c>
      <c r="AB4022">
        <v>40001</v>
      </c>
      <c r="AC4022"/>
      <c r="AD4022"/>
      <c r="AE4022" t="s">
        <v>7524</v>
      </c>
      <c r="AF4022" t="s">
        <v>7524</v>
      </c>
      <c r="AG4022" t="s">
        <v>89</v>
      </c>
    </row>
    <row r="4023" spans="2:33">
      <c r="B4023" s="14">
        <f>10000000+INDEX(编号表!$B:$B,MATCH(H4023,编号表!$A:$A,0))*100000+INDEX(编号表!$F:$F,MATCH(D4023,编号表!$E:$E,0))*10000+INDEX(编号表!$D:$D,MATCH(AG4023,编号表!$C:$C,0))*1000+F4023</f>
        <v>11813035</v>
      </c>
      <c r="C4023" t="s">
        <v>2519</v>
      </c>
      <c r="D4023" t="s">
        <v>72</v>
      </c>
      <c r="E4023" t="s">
        <v>89</v>
      </c>
      <c r="F4023">
        <v>35</v>
      </c>
      <c r="G4023">
        <v>60</v>
      </c>
      <c r="H4023" t="s">
        <v>7524</v>
      </c>
      <c r="I4023" t="s">
        <v>75</v>
      </c>
      <c r="J4023" t="s">
        <v>201</v>
      </c>
      <c r="K4023">
        <v>1</v>
      </c>
      <c r="L4023" t="s">
        <v>7524</v>
      </c>
      <c r="M4023"/>
      <c r="N4023">
        <v>0</v>
      </c>
      <c r="O4023" t="b">
        <v>1</v>
      </c>
      <c r="P4023"/>
      <c r="Q4023" t="b">
        <v>0</v>
      </c>
      <c r="R4023">
        <v>1</v>
      </c>
      <c r="S4023" t="s">
        <v>77</v>
      </c>
      <c r="T4023">
        <v>999</v>
      </c>
      <c r="U4023" t="s">
        <v>7525</v>
      </c>
      <c r="V4023">
        <f t="shared" si="2"/>
        <v>31813035</v>
      </c>
      <c r="W4023"/>
      <c r="X4023" t="s">
        <v>2520</v>
      </c>
      <c r="Y4023" t="s">
        <v>215</v>
      </c>
      <c r="Z4023">
        <v>20481</v>
      </c>
      <c r="AA4023" t="s">
        <v>2521</v>
      </c>
      <c r="AB4023">
        <v>40001</v>
      </c>
      <c r="AC4023"/>
      <c r="AD4023"/>
      <c r="AE4023" t="s">
        <v>7524</v>
      </c>
      <c r="AF4023" t="s">
        <v>7524</v>
      </c>
      <c r="AG4023" t="s">
        <v>89</v>
      </c>
    </row>
    <row r="4024" spans="2:33">
      <c r="B4024" s="14">
        <f>10000000+INDEX(编号表!$B:$B,MATCH(H4024,编号表!$A:$A,0))*100000+INDEX(编号表!$F:$F,MATCH(D4024,编号表!$E:$E,0))*10000+INDEX(编号表!$D:$D,MATCH(AG4024,编号表!$C:$C,0))*1000+F4024</f>
        <v>11813036</v>
      </c>
      <c r="C4024" t="s">
        <v>2526</v>
      </c>
      <c r="D4024" t="s">
        <v>72</v>
      </c>
      <c r="E4024" t="s">
        <v>89</v>
      </c>
      <c r="F4024">
        <v>36</v>
      </c>
      <c r="G4024">
        <v>60</v>
      </c>
      <c r="H4024" t="s">
        <v>7524</v>
      </c>
      <c r="I4024" t="s">
        <v>75</v>
      </c>
      <c r="J4024" t="s">
        <v>201</v>
      </c>
      <c r="K4024">
        <v>1</v>
      </c>
      <c r="L4024" t="s">
        <v>7524</v>
      </c>
      <c r="M4024"/>
      <c r="N4024">
        <v>0</v>
      </c>
      <c r="O4024" t="b">
        <v>1</v>
      </c>
      <c r="P4024"/>
      <c r="Q4024" t="b">
        <v>0</v>
      </c>
      <c r="R4024">
        <v>1</v>
      </c>
      <c r="S4024" t="s">
        <v>77</v>
      </c>
      <c r="T4024">
        <v>999</v>
      </c>
      <c r="U4024" t="s">
        <v>7525</v>
      </c>
      <c r="V4024">
        <f t="shared" si="2"/>
        <v>31813036</v>
      </c>
      <c r="W4024"/>
      <c r="X4024" t="s">
        <v>2527</v>
      </c>
      <c r="Y4024" t="s">
        <v>215</v>
      </c>
      <c r="Z4024">
        <v>20484</v>
      </c>
      <c r="AA4024" t="s">
        <v>2528</v>
      </c>
      <c r="AB4024">
        <v>40001</v>
      </c>
      <c r="AC4024"/>
      <c r="AD4024"/>
      <c r="AE4024" t="s">
        <v>7524</v>
      </c>
      <c r="AF4024" t="s">
        <v>7524</v>
      </c>
      <c r="AG4024" t="s">
        <v>89</v>
      </c>
    </row>
    <row r="4025" spans="2:33">
      <c r="B4025" s="14">
        <f>10000000+INDEX(编号表!$B:$B,MATCH(H4025,编号表!$A:$A,0))*100000+INDEX(编号表!$F:$F,MATCH(D4025,编号表!$E:$E,0))*10000+INDEX(编号表!$D:$D,MATCH(AG4025,编号表!$C:$C,0))*1000+F4025</f>
        <v>11813037</v>
      </c>
      <c r="C4025" t="s">
        <v>2533</v>
      </c>
      <c r="D4025" t="s">
        <v>72</v>
      </c>
      <c r="E4025" t="s">
        <v>89</v>
      </c>
      <c r="F4025">
        <v>37</v>
      </c>
      <c r="G4025">
        <v>60</v>
      </c>
      <c r="H4025" t="s">
        <v>7524</v>
      </c>
      <c r="I4025" t="s">
        <v>75</v>
      </c>
      <c r="J4025" t="s">
        <v>201</v>
      </c>
      <c r="K4025">
        <v>1</v>
      </c>
      <c r="L4025" t="s">
        <v>7524</v>
      </c>
      <c r="M4025"/>
      <c r="N4025">
        <v>0</v>
      </c>
      <c r="O4025" t="b">
        <v>1</v>
      </c>
      <c r="P4025"/>
      <c r="Q4025" t="b">
        <v>0</v>
      </c>
      <c r="R4025">
        <v>1</v>
      </c>
      <c r="S4025" t="s">
        <v>77</v>
      </c>
      <c r="T4025">
        <v>999</v>
      </c>
      <c r="U4025" t="s">
        <v>7525</v>
      </c>
      <c r="V4025">
        <f t="shared" si="2"/>
        <v>31813037</v>
      </c>
      <c r="W4025"/>
      <c r="X4025" t="s">
        <v>2534</v>
      </c>
      <c r="Y4025" t="s">
        <v>215</v>
      </c>
      <c r="Z4025">
        <v>20487</v>
      </c>
      <c r="AA4025" t="s">
        <v>2535</v>
      </c>
      <c r="AB4025">
        <v>40001</v>
      </c>
      <c r="AC4025"/>
      <c r="AD4025"/>
      <c r="AE4025" t="s">
        <v>7524</v>
      </c>
      <c r="AF4025" t="s">
        <v>7524</v>
      </c>
      <c r="AG4025" t="s">
        <v>89</v>
      </c>
    </row>
    <row r="4026" spans="2:33">
      <c r="B4026" s="14">
        <f>10000000+INDEX(编号表!$B:$B,MATCH(H4026,编号表!$A:$A,0))*100000+INDEX(编号表!$F:$F,MATCH(D4026,编号表!$E:$E,0))*10000+INDEX(编号表!$D:$D,MATCH(AG4026,编号表!$C:$C,0))*1000+F4026</f>
        <v>11813038</v>
      </c>
      <c r="C4026" t="s">
        <v>2540</v>
      </c>
      <c r="D4026" t="s">
        <v>72</v>
      </c>
      <c r="E4026" t="s">
        <v>89</v>
      </c>
      <c r="F4026">
        <v>38</v>
      </c>
      <c r="G4026">
        <v>60</v>
      </c>
      <c r="H4026" t="s">
        <v>7524</v>
      </c>
      <c r="I4026" t="s">
        <v>75</v>
      </c>
      <c r="J4026" t="s">
        <v>201</v>
      </c>
      <c r="K4026">
        <v>1</v>
      </c>
      <c r="L4026" t="s">
        <v>7524</v>
      </c>
      <c r="M4026"/>
      <c r="N4026">
        <v>0</v>
      </c>
      <c r="O4026" t="b">
        <v>1</v>
      </c>
      <c r="P4026"/>
      <c r="Q4026" t="b">
        <v>0</v>
      </c>
      <c r="R4026">
        <v>1</v>
      </c>
      <c r="S4026" t="s">
        <v>77</v>
      </c>
      <c r="T4026">
        <v>999</v>
      </c>
      <c r="U4026" t="s">
        <v>7525</v>
      </c>
      <c r="V4026">
        <f t="shared" si="2"/>
        <v>31813038</v>
      </c>
      <c r="W4026"/>
      <c r="X4026" t="s">
        <v>2541</v>
      </c>
      <c r="Y4026" t="s">
        <v>215</v>
      </c>
      <c r="Z4026">
        <v>20490</v>
      </c>
      <c r="AA4026" t="s">
        <v>2542</v>
      </c>
      <c r="AB4026">
        <v>40001</v>
      </c>
      <c r="AC4026"/>
      <c r="AD4026"/>
      <c r="AE4026" t="s">
        <v>7524</v>
      </c>
      <c r="AF4026" t="s">
        <v>7524</v>
      </c>
      <c r="AG4026" t="s">
        <v>89</v>
      </c>
    </row>
    <row r="4027" spans="2:33">
      <c r="B4027" s="14">
        <f>10000000+INDEX(编号表!$B:$B,MATCH(H4027,编号表!$A:$A,0))*100000+INDEX(编号表!$F:$F,MATCH(D4027,编号表!$E:$E,0))*10000+INDEX(编号表!$D:$D,MATCH(AG4027,编号表!$C:$C,0))*1000+F4027</f>
        <v>11813039</v>
      </c>
      <c r="C4027" t="s">
        <v>2547</v>
      </c>
      <c r="D4027" t="s">
        <v>72</v>
      </c>
      <c r="E4027" t="s">
        <v>89</v>
      </c>
      <c r="F4027">
        <v>39</v>
      </c>
      <c r="G4027">
        <v>60</v>
      </c>
      <c r="H4027" t="s">
        <v>7524</v>
      </c>
      <c r="I4027" t="s">
        <v>75</v>
      </c>
      <c r="J4027" t="s">
        <v>201</v>
      </c>
      <c r="K4027">
        <v>1</v>
      </c>
      <c r="L4027" t="s">
        <v>7524</v>
      </c>
      <c r="M4027"/>
      <c r="N4027">
        <v>0</v>
      </c>
      <c r="O4027" t="b">
        <v>1</v>
      </c>
      <c r="P4027"/>
      <c r="Q4027" t="b">
        <v>0</v>
      </c>
      <c r="R4027">
        <v>1</v>
      </c>
      <c r="S4027" t="s">
        <v>77</v>
      </c>
      <c r="T4027">
        <v>999</v>
      </c>
      <c r="U4027" t="s">
        <v>7525</v>
      </c>
      <c r="V4027">
        <f t="shared" si="2"/>
        <v>31813039</v>
      </c>
      <c r="W4027"/>
      <c r="X4027" t="s">
        <v>2548</v>
      </c>
      <c r="Y4027" t="s">
        <v>215</v>
      </c>
      <c r="Z4027">
        <v>20493</v>
      </c>
      <c r="AA4027" t="s">
        <v>2549</v>
      </c>
      <c r="AB4027">
        <v>40001</v>
      </c>
      <c r="AC4027"/>
      <c r="AD4027"/>
      <c r="AE4027" t="s">
        <v>7524</v>
      </c>
      <c r="AF4027" t="s">
        <v>7524</v>
      </c>
      <c r="AG4027" t="s">
        <v>89</v>
      </c>
    </row>
    <row r="4028" spans="2:33">
      <c r="B4028" s="14">
        <f>10000000+INDEX(编号表!$B:$B,MATCH(H4028,编号表!$A:$A,0))*100000+INDEX(编号表!$F:$F,MATCH(D4028,编号表!$E:$E,0))*10000+INDEX(编号表!$D:$D,MATCH(AG4028,编号表!$C:$C,0))*1000+F4028</f>
        <v>11813040</v>
      </c>
      <c r="C4028" t="s">
        <v>2554</v>
      </c>
      <c r="D4028" t="s">
        <v>72</v>
      </c>
      <c r="E4028" t="s">
        <v>89</v>
      </c>
      <c r="F4028">
        <v>40</v>
      </c>
      <c r="G4028">
        <v>60</v>
      </c>
      <c r="H4028" t="s">
        <v>7524</v>
      </c>
      <c r="I4028" t="s">
        <v>75</v>
      </c>
      <c r="J4028" t="s">
        <v>201</v>
      </c>
      <c r="K4028">
        <v>1</v>
      </c>
      <c r="L4028" t="s">
        <v>7524</v>
      </c>
      <c r="M4028"/>
      <c r="N4028">
        <v>0</v>
      </c>
      <c r="O4028" t="b">
        <v>1</v>
      </c>
      <c r="P4028"/>
      <c r="Q4028" t="b">
        <v>0</v>
      </c>
      <c r="R4028">
        <v>1</v>
      </c>
      <c r="S4028" t="s">
        <v>77</v>
      </c>
      <c r="T4028">
        <v>999</v>
      </c>
      <c r="U4028" t="s">
        <v>7525</v>
      </c>
      <c r="V4028">
        <f t="shared" si="2"/>
        <v>31813040</v>
      </c>
      <c r="W4028"/>
      <c r="X4028" t="s">
        <v>2555</v>
      </c>
      <c r="Y4028" t="s">
        <v>215</v>
      </c>
      <c r="Z4028">
        <v>20496</v>
      </c>
      <c r="AA4028" t="s">
        <v>2556</v>
      </c>
      <c r="AB4028">
        <v>40001</v>
      </c>
      <c r="AC4028"/>
      <c r="AD4028"/>
      <c r="AE4028" t="s">
        <v>7524</v>
      </c>
      <c r="AF4028" t="s">
        <v>7524</v>
      </c>
      <c r="AG4028" t="s">
        <v>89</v>
      </c>
    </row>
    <row r="4029" spans="2:33">
      <c r="B4029" s="14">
        <f>10000000+INDEX(编号表!$B:$B,MATCH(H4029,编号表!$A:$A,0))*100000+INDEX(编号表!$F:$F,MATCH(D4029,编号表!$E:$E,0))*10000+INDEX(编号表!$D:$D,MATCH(AG4029,编号表!$C:$C,0))*1000+F4029</f>
        <v>11813041</v>
      </c>
      <c r="C4029" t="s">
        <v>2561</v>
      </c>
      <c r="D4029" t="s">
        <v>72</v>
      </c>
      <c r="E4029" t="s">
        <v>89</v>
      </c>
      <c r="F4029">
        <v>41</v>
      </c>
      <c r="G4029">
        <v>60</v>
      </c>
      <c r="H4029" t="s">
        <v>7524</v>
      </c>
      <c r="I4029" t="s">
        <v>75</v>
      </c>
      <c r="J4029" t="s">
        <v>201</v>
      </c>
      <c r="K4029">
        <v>1</v>
      </c>
      <c r="L4029" t="s">
        <v>7524</v>
      </c>
      <c r="M4029"/>
      <c r="N4029">
        <v>0</v>
      </c>
      <c r="O4029" t="b">
        <v>1</v>
      </c>
      <c r="P4029"/>
      <c r="Q4029" t="b">
        <v>0</v>
      </c>
      <c r="R4029">
        <v>1</v>
      </c>
      <c r="S4029" t="s">
        <v>77</v>
      </c>
      <c r="T4029">
        <v>999</v>
      </c>
      <c r="U4029" t="s">
        <v>7525</v>
      </c>
      <c r="V4029">
        <f t="shared" si="2"/>
        <v>31813041</v>
      </c>
      <c r="W4029"/>
      <c r="X4029" t="s">
        <v>2562</v>
      </c>
      <c r="Y4029" t="s">
        <v>215</v>
      </c>
      <c r="Z4029">
        <v>20499</v>
      </c>
      <c r="AA4029" t="s">
        <v>2563</v>
      </c>
      <c r="AB4029">
        <v>40001</v>
      </c>
      <c r="AC4029"/>
      <c r="AD4029"/>
      <c r="AE4029" t="s">
        <v>7524</v>
      </c>
      <c r="AF4029" t="s">
        <v>7524</v>
      </c>
      <c r="AG4029" t="s">
        <v>89</v>
      </c>
    </row>
    <row r="4030" spans="2:33">
      <c r="B4030" s="14">
        <f>10000000+INDEX(编号表!$B:$B,MATCH(H4030,编号表!$A:$A,0))*100000+INDEX(编号表!$F:$F,MATCH(D4030,编号表!$E:$E,0))*10000+INDEX(编号表!$D:$D,MATCH(AG4030,编号表!$C:$C,0))*1000+F4030</f>
        <v>11813042</v>
      </c>
      <c r="C4030" t="s">
        <v>2568</v>
      </c>
      <c r="D4030" t="s">
        <v>72</v>
      </c>
      <c r="E4030" t="s">
        <v>89</v>
      </c>
      <c r="F4030">
        <v>42</v>
      </c>
      <c r="G4030">
        <v>60</v>
      </c>
      <c r="H4030" t="s">
        <v>7524</v>
      </c>
      <c r="I4030" t="s">
        <v>75</v>
      </c>
      <c r="J4030" t="s">
        <v>201</v>
      </c>
      <c r="K4030">
        <v>1</v>
      </c>
      <c r="L4030" t="s">
        <v>7524</v>
      </c>
      <c r="M4030"/>
      <c r="N4030">
        <v>0</v>
      </c>
      <c r="O4030" t="b">
        <v>1</v>
      </c>
      <c r="P4030"/>
      <c r="Q4030" t="b">
        <v>0</v>
      </c>
      <c r="R4030">
        <v>1</v>
      </c>
      <c r="S4030" t="s">
        <v>77</v>
      </c>
      <c r="T4030">
        <v>999</v>
      </c>
      <c r="U4030" t="s">
        <v>7525</v>
      </c>
      <c r="V4030">
        <f t="shared" si="2"/>
        <v>31813042</v>
      </c>
      <c r="W4030"/>
      <c r="X4030" t="s">
        <v>2569</v>
      </c>
      <c r="Y4030" t="s">
        <v>215</v>
      </c>
      <c r="Z4030">
        <v>20502</v>
      </c>
      <c r="AA4030" t="s">
        <v>2570</v>
      </c>
      <c r="AB4030">
        <v>40001</v>
      </c>
      <c r="AC4030"/>
      <c r="AD4030"/>
      <c r="AE4030" t="s">
        <v>7524</v>
      </c>
      <c r="AF4030" t="s">
        <v>7524</v>
      </c>
      <c r="AG4030" t="s">
        <v>89</v>
      </c>
    </row>
    <row r="4031" spans="2:33">
      <c r="B4031" s="14">
        <f>10000000+INDEX(编号表!$B:$B,MATCH(H4031,编号表!$A:$A,0))*100000+INDEX(编号表!$F:$F,MATCH(D4031,编号表!$E:$E,0))*10000+INDEX(编号表!$D:$D,MATCH(AG4031,编号表!$C:$C,0))*1000+F4031</f>
        <v>11813043</v>
      </c>
      <c r="C4031" t="s">
        <v>2575</v>
      </c>
      <c r="D4031" t="s">
        <v>72</v>
      </c>
      <c r="E4031" t="s">
        <v>89</v>
      </c>
      <c r="F4031">
        <v>43</v>
      </c>
      <c r="G4031">
        <v>60</v>
      </c>
      <c r="H4031" t="s">
        <v>7524</v>
      </c>
      <c r="I4031" t="s">
        <v>75</v>
      </c>
      <c r="J4031" t="s">
        <v>201</v>
      </c>
      <c r="K4031">
        <v>1</v>
      </c>
      <c r="L4031" t="s">
        <v>7524</v>
      </c>
      <c r="M4031"/>
      <c r="N4031">
        <v>0</v>
      </c>
      <c r="O4031" t="b">
        <v>1</v>
      </c>
      <c r="P4031"/>
      <c r="Q4031" t="b">
        <v>0</v>
      </c>
      <c r="R4031">
        <v>1</v>
      </c>
      <c r="S4031" t="s">
        <v>77</v>
      </c>
      <c r="T4031">
        <v>999</v>
      </c>
      <c r="U4031" t="s">
        <v>7525</v>
      </c>
      <c r="V4031">
        <f t="shared" si="2"/>
        <v>31813043</v>
      </c>
      <c r="W4031"/>
      <c r="X4031" t="s">
        <v>2576</v>
      </c>
      <c r="Y4031" t="s">
        <v>215</v>
      </c>
      <c r="Z4031">
        <v>20505</v>
      </c>
      <c r="AA4031" t="s">
        <v>2577</v>
      </c>
      <c r="AB4031">
        <v>40001</v>
      </c>
      <c r="AC4031"/>
      <c r="AD4031"/>
      <c r="AE4031" t="s">
        <v>7524</v>
      </c>
      <c r="AF4031" t="s">
        <v>7524</v>
      </c>
      <c r="AG4031" t="s">
        <v>89</v>
      </c>
    </row>
    <row r="4032" spans="2:33">
      <c r="B4032" s="14">
        <f>10000000+INDEX(编号表!$B:$B,MATCH(H4032,编号表!$A:$A,0))*100000+INDEX(编号表!$F:$F,MATCH(D4032,编号表!$E:$E,0))*10000+INDEX(编号表!$D:$D,MATCH(AG4032,编号表!$C:$C,0))*1000+F4032</f>
        <v>11813044</v>
      </c>
      <c r="C4032" t="s">
        <v>2582</v>
      </c>
      <c r="D4032" t="s">
        <v>72</v>
      </c>
      <c r="E4032" t="s">
        <v>89</v>
      </c>
      <c r="F4032">
        <v>44</v>
      </c>
      <c r="G4032">
        <v>60</v>
      </c>
      <c r="H4032" t="s">
        <v>7524</v>
      </c>
      <c r="I4032" t="s">
        <v>75</v>
      </c>
      <c r="J4032" t="s">
        <v>201</v>
      </c>
      <c r="K4032">
        <v>1</v>
      </c>
      <c r="L4032" t="s">
        <v>7524</v>
      </c>
      <c r="M4032"/>
      <c r="N4032">
        <v>0</v>
      </c>
      <c r="O4032" t="b">
        <v>1</v>
      </c>
      <c r="P4032"/>
      <c r="Q4032" t="b">
        <v>0</v>
      </c>
      <c r="R4032">
        <v>1</v>
      </c>
      <c r="S4032" t="s">
        <v>77</v>
      </c>
      <c r="T4032">
        <v>999</v>
      </c>
      <c r="U4032" t="s">
        <v>7525</v>
      </c>
      <c r="V4032">
        <f t="shared" si="2"/>
        <v>31813044</v>
      </c>
      <c r="W4032"/>
      <c r="X4032" t="s">
        <v>2583</v>
      </c>
      <c r="Y4032" t="s">
        <v>215</v>
      </c>
      <c r="Z4032">
        <v>20508</v>
      </c>
      <c r="AA4032" t="s">
        <v>2584</v>
      </c>
      <c r="AB4032">
        <v>40001</v>
      </c>
      <c r="AC4032"/>
      <c r="AD4032"/>
      <c r="AE4032" t="s">
        <v>7524</v>
      </c>
      <c r="AF4032" t="s">
        <v>7524</v>
      </c>
      <c r="AG4032" t="s">
        <v>89</v>
      </c>
    </row>
    <row r="4033" spans="2:33">
      <c r="B4033" s="14">
        <f>10000000+INDEX(编号表!$B:$B,MATCH(H4033,编号表!$A:$A,0))*100000+INDEX(编号表!$F:$F,MATCH(D4033,编号表!$E:$E,0))*10000+INDEX(编号表!$D:$D,MATCH(AG4033,编号表!$C:$C,0))*1000+F4033</f>
        <v>11813045</v>
      </c>
      <c r="C4033" t="s">
        <v>2589</v>
      </c>
      <c r="D4033" t="s">
        <v>72</v>
      </c>
      <c r="E4033" t="s">
        <v>89</v>
      </c>
      <c r="F4033">
        <v>45</v>
      </c>
      <c r="G4033">
        <v>60</v>
      </c>
      <c r="H4033" t="s">
        <v>7524</v>
      </c>
      <c r="I4033" t="s">
        <v>75</v>
      </c>
      <c r="J4033" t="s">
        <v>201</v>
      </c>
      <c r="K4033">
        <v>1</v>
      </c>
      <c r="L4033" t="s">
        <v>7524</v>
      </c>
      <c r="M4033"/>
      <c r="N4033">
        <v>0</v>
      </c>
      <c r="O4033" t="b">
        <v>1</v>
      </c>
      <c r="P4033"/>
      <c r="Q4033" t="b">
        <v>0</v>
      </c>
      <c r="R4033">
        <v>1</v>
      </c>
      <c r="S4033" t="s">
        <v>77</v>
      </c>
      <c r="T4033">
        <v>999</v>
      </c>
      <c r="U4033" t="s">
        <v>7525</v>
      </c>
      <c r="V4033">
        <f t="shared" si="2"/>
        <v>31813045</v>
      </c>
      <c r="W4033"/>
      <c r="X4033" t="s">
        <v>2590</v>
      </c>
      <c r="Y4033" t="s">
        <v>215</v>
      </c>
      <c r="Z4033">
        <v>20511</v>
      </c>
      <c r="AA4033" t="s">
        <v>2591</v>
      </c>
      <c r="AB4033">
        <v>40001</v>
      </c>
      <c r="AC4033"/>
      <c r="AD4033"/>
      <c r="AE4033" t="s">
        <v>7524</v>
      </c>
      <c r="AF4033" t="s">
        <v>7524</v>
      </c>
      <c r="AG4033" t="s">
        <v>89</v>
      </c>
    </row>
    <row r="4034" spans="2:33">
      <c r="B4034" s="14">
        <f>10000000+INDEX(编号表!$B:$B,MATCH(H4034,编号表!$A:$A,0))*100000+INDEX(编号表!$F:$F,MATCH(D4034,编号表!$E:$E,0))*10000+INDEX(编号表!$D:$D,MATCH(AG4034,编号表!$C:$C,0))*1000+F4034</f>
        <v>11813046</v>
      </c>
      <c r="C4034" t="s">
        <v>2596</v>
      </c>
      <c r="D4034" t="s">
        <v>72</v>
      </c>
      <c r="E4034" t="s">
        <v>89</v>
      </c>
      <c r="F4034">
        <v>46</v>
      </c>
      <c r="G4034">
        <v>60</v>
      </c>
      <c r="H4034" t="s">
        <v>7524</v>
      </c>
      <c r="I4034" t="s">
        <v>75</v>
      </c>
      <c r="J4034" t="s">
        <v>201</v>
      </c>
      <c r="K4034">
        <v>1</v>
      </c>
      <c r="L4034" t="s">
        <v>7524</v>
      </c>
      <c r="M4034"/>
      <c r="N4034">
        <v>0</v>
      </c>
      <c r="O4034" t="b">
        <v>1</v>
      </c>
      <c r="P4034"/>
      <c r="Q4034" t="b">
        <v>0</v>
      </c>
      <c r="R4034">
        <v>1</v>
      </c>
      <c r="S4034" t="s">
        <v>77</v>
      </c>
      <c r="T4034">
        <v>999</v>
      </c>
      <c r="U4034" t="s">
        <v>7525</v>
      </c>
      <c r="V4034">
        <f t="shared" si="2"/>
        <v>31813046</v>
      </c>
      <c r="W4034"/>
      <c r="X4034" t="s">
        <v>2597</v>
      </c>
      <c r="Y4034" t="s">
        <v>215</v>
      </c>
      <c r="Z4034">
        <v>20514</v>
      </c>
      <c r="AA4034" t="s">
        <v>2598</v>
      </c>
      <c r="AB4034">
        <v>40001</v>
      </c>
      <c r="AC4034"/>
      <c r="AD4034"/>
      <c r="AE4034" t="s">
        <v>7524</v>
      </c>
      <c r="AF4034" t="s">
        <v>7524</v>
      </c>
      <c r="AG4034" t="s">
        <v>89</v>
      </c>
    </row>
    <row r="4035" spans="2:33">
      <c r="B4035" s="14">
        <f>10000000+INDEX(编号表!$B:$B,MATCH(H4035,编号表!$A:$A,0))*100000+INDEX(编号表!$F:$F,MATCH(D4035,编号表!$E:$E,0))*10000+INDEX(编号表!$D:$D,MATCH(AG4035,编号表!$C:$C,0))*1000+F4035</f>
        <v>11813047</v>
      </c>
      <c r="C4035" t="s">
        <v>2603</v>
      </c>
      <c r="D4035" t="s">
        <v>72</v>
      </c>
      <c r="E4035" t="s">
        <v>89</v>
      </c>
      <c r="F4035">
        <v>47</v>
      </c>
      <c r="G4035">
        <v>60</v>
      </c>
      <c r="H4035" t="s">
        <v>7524</v>
      </c>
      <c r="I4035" t="s">
        <v>75</v>
      </c>
      <c r="J4035" t="s">
        <v>201</v>
      </c>
      <c r="K4035">
        <v>1</v>
      </c>
      <c r="L4035" t="s">
        <v>7524</v>
      </c>
      <c r="M4035"/>
      <c r="N4035">
        <v>0</v>
      </c>
      <c r="O4035" t="b">
        <v>1</v>
      </c>
      <c r="P4035"/>
      <c r="Q4035" t="b">
        <v>0</v>
      </c>
      <c r="R4035">
        <v>1</v>
      </c>
      <c r="S4035" t="s">
        <v>77</v>
      </c>
      <c r="T4035">
        <v>999</v>
      </c>
      <c r="U4035" t="s">
        <v>7525</v>
      </c>
      <c r="V4035">
        <f t="shared" si="2"/>
        <v>31813047</v>
      </c>
      <c r="W4035"/>
      <c r="X4035" t="s">
        <v>2604</v>
      </c>
      <c r="Y4035" t="s">
        <v>215</v>
      </c>
      <c r="Z4035">
        <v>20517</v>
      </c>
      <c r="AA4035" t="s">
        <v>2605</v>
      </c>
      <c r="AB4035">
        <v>40001</v>
      </c>
      <c r="AC4035"/>
      <c r="AD4035"/>
      <c r="AE4035" t="s">
        <v>7524</v>
      </c>
      <c r="AF4035" t="s">
        <v>7524</v>
      </c>
      <c r="AG4035" t="s">
        <v>89</v>
      </c>
    </row>
    <row r="4036" spans="2:33">
      <c r="B4036" s="14">
        <f>10000000+INDEX(编号表!$B:$B,MATCH(H4036,编号表!$A:$A,0))*100000+INDEX(编号表!$F:$F,MATCH(D4036,编号表!$E:$E,0))*10000+INDEX(编号表!$D:$D,MATCH(AG4036,编号表!$C:$C,0))*1000+F4036</f>
        <v>11813048</v>
      </c>
      <c r="C4036" t="s">
        <v>2610</v>
      </c>
      <c r="D4036" t="s">
        <v>72</v>
      </c>
      <c r="E4036" t="s">
        <v>89</v>
      </c>
      <c r="F4036">
        <v>48</v>
      </c>
      <c r="G4036">
        <v>60</v>
      </c>
      <c r="H4036" t="s">
        <v>7524</v>
      </c>
      <c r="I4036" t="s">
        <v>75</v>
      </c>
      <c r="J4036" t="s">
        <v>201</v>
      </c>
      <c r="K4036">
        <v>1</v>
      </c>
      <c r="L4036" t="s">
        <v>7524</v>
      </c>
      <c r="M4036"/>
      <c r="N4036">
        <v>0</v>
      </c>
      <c r="O4036" t="b">
        <v>1</v>
      </c>
      <c r="P4036"/>
      <c r="Q4036" t="b">
        <v>0</v>
      </c>
      <c r="R4036">
        <v>1</v>
      </c>
      <c r="S4036" t="s">
        <v>77</v>
      </c>
      <c r="T4036">
        <v>999</v>
      </c>
      <c r="U4036" t="s">
        <v>7525</v>
      </c>
      <c r="V4036">
        <f t="shared" si="2"/>
        <v>31813048</v>
      </c>
      <c r="W4036"/>
      <c r="X4036" t="s">
        <v>2611</v>
      </c>
      <c r="Y4036" t="s">
        <v>215</v>
      </c>
      <c r="Z4036">
        <v>20520</v>
      </c>
      <c r="AA4036" t="s">
        <v>2612</v>
      </c>
      <c r="AB4036">
        <v>40001</v>
      </c>
      <c r="AC4036"/>
      <c r="AD4036"/>
      <c r="AE4036" t="s">
        <v>7524</v>
      </c>
      <c r="AF4036" t="s">
        <v>7524</v>
      </c>
      <c r="AG4036" t="s">
        <v>89</v>
      </c>
    </row>
    <row r="4037" spans="2:33">
      <c r="B4037" s="14">
        <f>10000000+INDEX(编号表!$B:$B,MATCH(H4037,编号表!$A:$A,0))*100000+INDEX(编号表!$F:$F,MATCH(D4037,编号表!$E:$E,0))*10000+INDEX(编号表!$D:$D,MATCH(AG4037,编号表!$C:$C,0))*1000+F4037</f>
        <v>11813049</v>
      </c>
      <c r="C4037" t="s">
        <v>2617</v>
      </c>
      <c r="D4037" t="s">
        <v>72</v>
      </c>
      <c r="E4037" t="s">
        <v>89</v>
      </c>
      <c r="F4037">
        <v>49</v>
      </c>
      <c r="G4037">
        <v>60</v>
      </c>
      <c r="H4037" t="s">
        <v>7524</v>
      </c>
      <c r="I4037" t="s">
        <v>75</v>
      </c>
      <c r="J4037" t="s">
        <v>201</v>
      </c>
      <c r="K4037">
        <v>1</v>
      </c>
      <c r="L4037" t="s">
        <v>7524</v>
      </c>
      <c r="M4037"/>
      <c r="N4037">
        <v>0</v>
      </c>
      <c r="O4037" t="b">
        <v>1</v>
      </c>
      <c r="P4037"/>
      <c r="Q4037" t="b">
        <v>0</v>
      </c>
      <c r="R4037">
        <v>1</v>
      </c>
      <c r="S4037" t="s">
        <v>77</v>
      </c>
      <c r="T4037">
        <v>999</v>
      </c>
      <c r="U4037" t="s">
        <v>7525</v>
      </c>
      <c r="V4037">
        <f t="shared" si="2"/>
        <v>31813049</v>
      </c>
      <c r="W4037"/>
      <c r="X4037" t="s">
        <v>2618</v>
      </c>
      <c r="Y4037" t="s">
        <v>215</v>
      </c>
      <c r="Z4037">
        <v>20523</v>
      </c>
      <c r="AA4037" t="s">
        <v>2619</v>
      </c>
      <c r="AB4037">
        <v>40001</v>
      </c>
      <c r="AC4037"/>
      <c r="AD4037"/>
      <c r="AE4037" t="s">
        <v>7524</v>
      </c>
      <c r="AF4037" t="s">
        <v>7524</v>
      </c>
      <c r="AG4037" t="s">
        <v>89</v>
      </c>
    </row>
    <row r="4038" spans="2:33">
      <c r="B4038" s="14">
        <f>10000000+INDEX(编号表!$B:$B,MATCH(H4038,编号表!$A:$A,0))*100000+INDEX(编号表!$F:$F,MATCH(D4038,编号表!$E:$E,0))*10000+INDEX(编号表!$D:$D,MATCH(AG4038,编号表!$C:$C,0))*1000+F4038</f>
        <v>11813050</v>
      </c>
      <c r="C4038" t="s">
        <v>2624</v>
      </c>
      <c r="D4038" t="s">
        <v>72</v>
      </c>
      <c r="E4038" t="s">
        <v>89</v>
      </c>
      <c r="F4038">
        <v>50</v>
      </c>
      <c r="G4038">
        <v>60</v>
      </c>
      <c r="H4038" t="s">
        <v>7524</v>
      </c>
      <c r="I4038" t="s">
        <v>75</v>
      </c>
      <c r="J4038" t="s">
        <v>201</v>
      </c>
      <c r="K4038">
        <v>1</v>
      </c>
      <c r="L4038" t="s">
        <v>7524</v>
      </c>
      <c r="M4038"/>
      <c r="N4038">
        <v>0</v>
      </c>
      <c r="O4038" t="b">
        <v>1</v>
      </c>
      <c r="P4038"/>
      <c r="Q4038" t="b">
        <v>0</v>
      </c>
      <c r="R4038">
        <v>1</v>
      </c>
      <c r="S4038" t="s">
        <v>77</v>
      </c>
      <c r="T4038">
        <v>999</v>
      </c>
      <c r="U4038" t="s">
        <v>7525</v>
      </c>
      <c r="V4038">
        <f t="shared" si="2"/>
        <v>31813050</v>
      </c>
      <c r="W4038"/>
      <c r="X4038" t="s">
        <v>2625</v>
      </c>
      <c r="Y4038" t="s">
        <v>215</v>
      </c>
      <c r="Z4038">
        <v>20526</v>
      </c>
      <c r="AA4038" t="s">
        <v>2626</v>
      </c>
      <c r="AB4038">
        <v>40001</v>
      </c>
      <c r="AC4038"/>
      <c r="AD4038"/>
      <c r="AE4038" t="s">
        <v>7524</v>
      </c>
      <c r="AF4038" t="s">
        <v>7524</v>
      </c>
      <c r="AG4038" t="s">
        <v>89</v>
      </c>
    </row>
    <row r="4039" spans="2:33">
      <c r="B4039" s="14">
        <f>10000000+INDEX(编号表!$B:$B,MATCH(H4039,编号表!$A:$A,0))*100000+INDEX(编号表!$F:$F,MATCH(D4039,编号表!$E:$E,0))*10000+INDEX(编号表!$D:$D,MATCH(AG4039,编号表!$C:$C,0))*1000+F4039</f>
        <v>11813051</v>
      </c>
      <c r="C4039" t="s">
        <v>2631</v>
      </c>
      <c r="D4039" t="s">
        <v>72</v>
      </c>
      <c r="E4039" t="s">
        <v>89</v>
      </c>
      <c r="F4039">
        <v>51</v>
      </c>
      <c r="G4039">
        <v>60</v>
      </c>
      <c r="H4039" t="s">
        <v>7524</v>
      </c>
      <c r="I4039" t="s">
        <v>75</v>
      </c>
      <c r="J4039" t="s">
        <v>201</v>
      </c>
      <c r="K4039">
        <v>1</v>
      </c>
      <c r="L4039" t="s">
        <v>7524</v>
      </c>
      <c r="M4039"/>
      <c r="N4039">
        <v>0</v>
      </c>
      <c r="O4039" t="b">
        <v>1</v>
      </c>
      <c r="P4039"/>
      <c r="Q4039" t="b">
        <v>0</v>
      </c>
      <c r="R4039">
        <v>1</v>
      </c>
      <c r="S4039" t="s">
        <v>77</v>
      </c>
      <c r="T4039">
        <v>999</v>
      </c>
      <c r="U4039" t="s">
        <v>7525</v>
      </c>
      <c r="V4039">
        <f t="shared" si="2"/>
        <v>31813051</v>
      </c>
      <c r="W4039"/>
      <c r="X4039" t="s">
        <v>2632</v>
      </c>
      <c r="Y4039" t="s">
        <v>215</v>
      </c>
      <c r="Z4039">
        <v>20529</v>
      </c>
      <c r="AA4039" t="s">
        <v>2633</v>
      </c>
      <c r="AB4039">
        <v>40001</v>
      </c>
      <c r="AC4039"/>
      <c r="AD4039"/>
      <c r="AE4039" t="s">
        <v>7524</v>
      </c>
      <c r="AF4039" t="s">
        <v>7524</v>
      </c>
      <c r="AG4039" t="s">
        <v>89</v>
      </c>
    </row>
    <row r="4040" spans="2:33">
      <c r="B4040" s="14">
        <f>10000000+INDEX(编号表!$B:$B,MATCH(H4040,编号表!$A:$A,0))*100000+INDEX(编号表!$F:$F,MATCH(D4040,编号表!$E:$E,0))*10000+INDEX(编号表!$D:$D,MATCH(AG4040,编号表!$C:$C,0))*1000+F4040</f>
        <v>11813052</v>
      </c>
      <c r="C4040" t="s">
        <v>2638</v>
      </c>
      <c r="D4040" t="s">
        <v>72</v>
      </c>
      <c r="E4040" t="s">
        <v>89</v>
      </c>
      <c r="F4040">
        <v>52</v>
      </c>
      <c r="G4040">
        <v>60</v>
      </c>
      <c r="H4040" t="s">
        <v>7524</v>
      </c>
      <c r="I4040" t="s">
        <v>75</v>
      </c>
      <c r="J4040" t="s">
        <v>201</v>
      </c>
      <c r="K4040">
        <v>1</v>
      </c>
      <c r="L4040" t="s">
        <v>7524</v>
      </c>
      <c r="M4040"/>
      <c r="N4040">
        <v>0</v>
      </c>
      <c r="O4040" t="b">
        <v>1</v>
      </c>
      <c r="P4040"/>
      <c r="Q4040" t="b">
        <v>0</v>
      </c>
      <c r="R4040">
        <v>1</v>
      </c>
      <c r="S4040" t="s">
        <v>77</v>
      </c>
      <c r="T4040">
        <v>999</v>
      </c>
      <c r="U4040" t="s">
        <v>7525</v>
      </c>
      <c r="V4040">
        <f t="shared" si="2"/>
        <v>31813052</v>
      </c>
      <c r="W4040"/>
      <c r="X4040" t="s">
        <v>2639</v>
      </c>
      <c r="Y4040" t="s">
        <v>215</v>
      </c>
      <c r="Z4040">
        <v>20532</v>
      </c>
      <c r="AA4040" t="s">
        <v>2640</v>
      </c>
      <c r="AB4040">
        <v>40001</v>
      </c>
      <c r="AC4040"/>
      <c r="AD4040"/>
      <c r="AE4040" t="s">
        <v>7524</v>
      </c>
      <c r="AF4040" t="s">
        <v>7524</v>
      </c>
      <c r="AG4040" t="s">
        <v>89</v>
      </c>
    </row>
    <row r="4041" spans="2:33">
      <c r="B4041" s="14">
        <f>10000000+INDEX(编号表!$B:$B,MATCH(H4041,编号表!$A:$A,0))*100000+INDEX(编号表!$F:$F,MATCH(D4041,编号表!$E:$E,0))*10000+INDEX(编号表!$D:$D,MATCH(AG4041,编号表!$C:$C,0))*1000+F4041</f>
        <v>11813053</v>
      </c>
      <c r="C4041" t="s">
        <v>2645</v>
      </c>
      <c r="D4041" t="s">
        <v>72</v>
      </c>
      <c r="E4041" t="s">
        <v>89</v>
      </c>
      <c r="F4041">
        <v>53</v>
      </c>
      <c r="G4041">
        <v>60</v>
      </c>
      <c r="H4041" t="s">
        <v>7524</v>
      </c>
      <c r="I4041" t="s">
        <v>75</v>
      </c>
      <c r="J4041" t="s">
        <v>201</v>
      </c>
      <c r="K4041">
        <v>1</v>
      </c>
      <c r="L4041" t="s">
        <v>7524</v>
      </c>
      <c r="M4041"/>
      <c r="N4041">
        <v>0</v>
      </c>
      <c r="O4041" t="b">
        <v>1</v>
      </c>
      <c r="P4041"/>
      <c r="Q4041" t="b">
        <v>0</v>
      </c>
      <c r="R4041">
        <v>1</v>
      </c>
      <c r="S4041" t="s">
        <v>77</v>
      </c>
      <c r="T4041">
        <v>999</v>
      </c>
      <c r="U4041" t="s">
        <v>7525</v>
      </c>
      <c r="V4041">
        <f t="shared" si="2"/>
        <v>31813053</v>
      </c>
      <c r="W4041"/>
      <c r="X4041" t="s">
        <v>2646</v>
      </c>
      <c r="Y4041" t="s">
        <v>215</v>
      </c>
      <c r="Z4041">
        <v>20535</v>
      </c>
      <c r="AA4041" t="s">
        <v>2647</v>
      </c>
      <c r="AB4041">
        <v>40001</v>
      </c>
      <c r="AC4041"/>
      <c r="AD4041"/>
      <c r="AE4041" t="s">
        <v>7524</v>
      </c>
      <c r="AF4041" t="s">
        <v>7524</v>
      </c>
      <c r="AG4041" t="s">
        <v>89</v>
      </c>
    </row>
    <row r="4042" spans="2:33">
      <c r="B4042" s="14">
        <f>10000000+INDEX(编号表!$B:$B,MATCH(H4042,编号表!$A:$A,0))*100000+INDEX(编号表!$F:$F,MATCH(D4042,编号表!$E:$E,0))*10000+INDEX(编号表!$D:$D,MATCH(AG4042,编号表!$C:$C,0))*1000+F4042</f>
        <v>11813054</v>
      </c>
      <c r="C4042" t="s">
        <v>2652</v>
      </c>
      <c r="D4042" t="s">
        <v>72</v>
      </c>
      <c r="E4042" t="s">
        <v>89</v>
      </c>
      <c r="F4042">
        <v>54</v>
      </c>
      <c r="G4042">
        <v>60</v>
      </c>
      <c r="H4042" t="s">
        <v>7524</v>
      </c>
      <c r="I4042" t="s">
        <v>75</v>
      </c>
      <c r="J4042" t="s">
        <v>201</v>
      </c>
      <c r="K4042">
        <v>1</v>
      </c>
      <c r="L4042" t="s">
        <v>7524</v>
      </c>
      <c r="M4042"/>
      <c r="N4042">
        <v>0</v>
      </c>
      <c r="O4042" t="b">
        <v>1</v>
      </c>
      <c r="P4042"/>
      <c r="Q4042" t="b">
        <v>0</v>
      </c>
      <c r="R4042">
        <v>1</v>
      </c>
      <c r="S4042" t="s">
        <v>77</v>
      </c>
      <c r="T4042">
        <v>999</v>
      </c>
      <c r="U4042" t="s">
        <v>7525</v>
      </c>
      <c r="V4042">
        <f t="shared" si="2"/>
        <v>31813054</v>
      </c>
      <c r="W4042"/>
      <c r="X4042" t="s">
        <v>2653</v>
      </c>
      <c r="Y4042" t="s">
        <v>215</v>
      </c>
      <c r="Z4042">
        <v>20538</v>
      </c>
      <c r="AA4042" t="s">
        <v>2654</v>
      </c>
      <c r="AB4042">
        <v>40001</v>
      </c>
      <c r="AC4042"/>
      <c r="AD4042"/>
      <c r="AE4042" t="s">
        <v>7524</v>
      </c>
      <c r="AF4042" t="s">
        <v>7524</v>
      </c>
      <c r="AG4042" t="s">
        <v>89</v>
      </c>
    </row>
    <row r="4043" spans="2:33">
      <c r="B4043" s="14">
        <f>10000000+INDEX(编号表!$B:$B,MATCH(H4043,编号表!$A:$A,0))*100000+INDEX(编号表!$F:$F,MATCH(D4043,编号表!$E:$E,0))*10000+INDEX(编号表!$D:$D,MATCH(AG4043,编号表!$C:$C,0))*1000+F4043</f>
        <v>11813055</v>
      </c>
      <c r="C4043" t="s">
        <v>2659</v>
      </c>
      <c r="D4043" t="s">
        <v>72</v>
      </c>
      <c r="E4043" t="s">
        <v>89</v>
      </c>
      <c r="F4043">
        <v>55</v>
      </c>
      <c r="G4043">
        <v>60</v>
      </c>
      <c r="H4043" t="s">
        <v>7524</v>
      </c>
      <c r="I4043" t="s">
        <v>75</v>
      </c>
      <c r="J4043" t="s">
        <v>201</v>
      </c>
      <c r="K4043">
        <v>1</v>
      </c>
      <c r="L4043" t="s">
        <v>7524</v>
      </c>
      <c r="M4043"/>
      <c r="N4043">
        <v>0</v>
      </c>
      <c r="O4043" t="b">
        <v>1</v>
      </c>
      <c r="P4043"/>
      <c r="Q4043" t="b">
        <v>0</v>
      </c>
      <c r="R4043">
        <v>1</v>
      </c>
      <c r="S4043" t="s">
        <v>77</v>
      </c>
      <c r="T4043">
        <v>999</v>
      </c>
      <c r="U4043" t="s">
        <v>7525</v>
      </c>
      <c r="V4043">
        <f t="shared" si="2"/>
        <v>31813055</v>
      </c>
      <c r="W4043"/>
      <c r="X4043" t="s">
        <v>2660</v>
      </c>
      <c r="Y4043" t="s">
        <v>215</v>
      </c>
      <c r="Z4043">
        <v>20541</v>
      </c>
      <c r="AA4043" t="s">
        <v>2661</v>
      </c>
      <c r="AB4043">
        <v>40001</v>
      </c>
      <c r="AC4043"/>
      <c r="AD4043"/>
      <c r="AE4043" t="s">
        <v>7524</v>
      </c>
      <c r="AF4043" t="s">
        <v>7524</v>
      </c>
      <c r="AG4043" t="s">
        <v>89</v>
      </c>
    </row>
    <row r="4044" spans="2:33">
      <c r="B4044" s="14">
        <f>10000000+INDEX(编号表!$B:$B,MATCH(H4044,编号表!$A:$A,0))*100000+INDEX(编号表!$F:$F,MATCH(D4044,编号表!$E:$E,0))*10000+INDEX(编号表!$D:$D,MATCH(AG4044,编号表!$C:$C,0))*1000+F4044</f>
        <v>11813056</v>
      </c>
      <c r="C4044" t="s">
        <v>2666</v>
      </c>
      <c r="D4044" t="s">
        <v>72</v>
      </c>
      <c r="E4044" t="s">
        <v>89</v>
      </c>
      <c r="F4044">
        <v>56</v>
      </c>
      <c r="G4044">
        <v>60</v>
      </c>
      <c r="H4044" t="s">
        <v>7524</v>
      </c>
      <c r="I4044" t="s">
        <v>75</v>
      </c>
      <c r="J4044" t="s">
        <v>201</v>
      </c>
      <c r="K4044">
        <v>1</v>
      </c>
      <c r="L4044" t="s">
        <v>7524</v>
      </c>
      <c r="M4044"/>
      <c r="N4044">
        <v>0</v>
      </c>
      <c r="O4044" t="b">
        <v>1</v>
      </c>
      <c r="P4044"/>
      <c r="Q4044" t="b">
        <v>0</v>
      </c>
      <c r="R4044">
        <v>1</v>
      </c>
      <c r="S4044" t="s">
        <v>77</v>
      </c>
      <c r="T4044">
        <v>999</v>
      </c>
      <c r="U4044" t="s">
        <v>7525</v>
      </c>
      <c r="V4044">
        <f t="shared" si="2"/>
        <v>31813056</v>
      </c>
      <c r="W4044"/>
      <c r="X4044" t="s">
        <v>2667</v>
      </c>
      <c r="Y4044" t="s">
        <v>215</v>
      </c>
      <c r="Z4044">
        <v>20544</v>
      </c>
      <c r="AA4044" t="s">
        <v>2668</v>
      </c>
      <c r="AB4044">
        <v>40001</v>
      </c>
      <c r="AC4044"/>
      <c r="AD4044"/>
      <c r="AE4044" t="s">
        <v>7524</v>
      </c>
      <c r="AF4044" t="s">
        <v>7524</v>
      </c>
      <c r="AG4044" t="s">
        <v>89</v>
      </c>
    </row>
    <row r="4045" spans="2:33">
      <c r="B4045" s="14">
        <f>10000000+INDEX(编号表!$B:$B,MATCH(H4045,编号表!$A:$A,0))*100000+INDEX(编号表!$F:$F,MATCH(D4045,编号表!$E:$E,0))*10000+INDEX(编号表!$D:$D,MATCH(AG4045,编号表!$C:$C,0))*1000+F4045</f>
        <v>11813057</v>
      </c>
      <c r="C4045" t="s">
        <v>2673</v>
      </c>
      <c r="D4045" t="s">
        <v>72</v>
      </c>
      <c r="E4045" t="s">
        <v>89</v>
      </c>
      <c r="F4045">
        <v>57</v>
      </c>
      <c r="G4045">
        <v>60</v>
      </c>
      <c r="H4045" t="s">
        <v>7524</v>
      </c>
      <c r="I4045" t="s">
        <v>75</v>
      </c>
      <c r="J4045" t="s">
        <v>201</v>
      </c>
      <c r="K4045">
        <v>1</v>
      </c>
      <c r="L4045" t="s">
        <v>7524</v>
      </c>
      <c r="M4045"/>
      <c r="N4045">
        <v>0</v>
      </c>
      <c r="O4045" t="b">
        <v>1</v>
      </c>
      <c r="P4045"/>
      <c r="Q4045" t="b">
        <v>0</v>
      </c>
      <c r="R4045">
        <v>1</v>
      </c>
      <c r="S4045" t="s">
        <v>77</v>
      </c>
      <c r="T4045">
        <v>999</v>
      </c>
      <c r="U4045" t="s">
        <v>7525</v>
      </c>
      <c r="V4045">
        <f t="shared" si="2"/>
        <v>31813057</v>
      </c>
      <c r="W4045"/>
      <c r="X4045" t="s">
        <v>2674</v>
      </c>
      <c r="Y4045" t="s">
        <v>215</v>
      </c>
      <c r="Z4045">
        <v>20547</v>
      </c>
      <c r="AA4045" t="s">
        <v>2675</v>
      </c>
      <c r="AB4045">
        <v>40001</v>
      </c>
      <c r="AC4045"/>
      <c r="AD4045"/>
      <c r="AE4045" t="s">
        <v>7524</v>
      </c>
      <c r="AF4045" t="s">
        <v>7524</v>
      </c>
      <c r="AG4045" t="s">
        <v>89</v>
      </c>
    </row>
    <row r="4046" spans="2:33">
      <c r="B4046" s="14">
        <f>10000000+INDEX(编号表!$B:$B,MATCH(H4046,编号表!$A:$A,0))*100000+INDEX(编号表!$F:$F,MATCH(D4046,编号表!$E:$E,0))*10000+INDEX(编号表!$D:$D,MATCH(AG4046,编号表!$C:$C,0))*1000+F4046</f>
        <v>11813058</v>
      </c>
      <c r="C4046" t="s">
        <v>2680</v>
      </c>
      <c r="D4046" t="s">
        <v>72</v>
      </c>
      <c r="E4046" t="s">
        <v>89</v>
      </c>
      <c r="F4046">
        <v>58</v>
      </c>
      <c r="G4046">
        <v>60</v>
      </c>
      <c r="H4046" t="s">
        <v>7524</v>
      </c>
      <c r="I4046" t="s">
        <v>75</v>
      </c>
      <c r="J4046" t="s">
        <v>201</v>
      </c>
      <c r="K4046">
        <v>1</v>
      </c>
      <c r="L4046" t="s">
        <v>7524</v>
      </c>
      <c r="M4046"/>
      <c r="N4046">
        <v>0</v>
      </c>
      <c r="O4046" t="b">
        <v>1</v>
      </c>
      <c r="P4046"/>
      <c r="Q4046" t="b">
        <v>0</v>
      </c>
      <c r="R4046">
        <v>1</v>
      </c>
      <c r="S4046" t="s">
        <v>77</v>
      </c>
      <c r="T4046">
        <v>999</v>
      </c>
      <c r="U4046" t="s">
        <v>7525</v>
      </c>
      <c r="V4046">
        <f t="shared" si="2"/>
        <v>31813058</v>
      </c>
      <c r="W4046"/>
      <c r="X4046" t="s">
        <v>2681</v>
      </c>
      <c r="Y4046" t="s">
        <v>215</v>
      </c>
      <c r="Z4046">
        <v>20550</v>
      </c>
      <c r="AA4046" t="s">
        <v>2682</v>
      </c>
      <c r="AB4046">
        <v>40001</v>
      </c>
      <c r="AC4046"/>
      <c r="AD4046"/>
      <c r="AE4046" t="s">
        <v>7524</v>
      </c>
      <c r="AF4046" t="s">
        <v>7524</v>
      </c>
      <c r="AG4046" t="s">
        <v>89</v>
      </c>
    </row>
    <row r="4047" spans="2:33">
      <c r="B4047" s="14">
        <f>10000000+INDEX(编号表!$B:$B,MATCH(H4047,编号表!$A:$A,0))*100000+INDEX(编号表!$F:$F,MATCH(D4047,编号表!$E:$E,0))*10000+INDEX(编号表!$D:$D,MATCH(AG4047,编号表!$C:$C,0))*1000+F4047</f>
        <v>11813059</v>
      </c>
      <c r="C4047" t="s">
        <v>2687</v>
      </c>
      <c r="D4047" t="s">
        <v>72</v>
      </c>
      <c r="E4047" t="s">
        <v>89</v>
      </c>
      <c r="F4047">
        <v>59</v>
      </c>
      <c r="G4047">
        <v>60</v>
      </c>
      <c r="H4047" t="s">
        <v>7524</v>
      </c>
      <c r="I4047" t="s">
        <v>75</v>
      </c>
      <c r="J4047" t="s">
        <v>201</v>
      </c>
      <c r="K4047">
        <v>1</v>
      </c>
      <c r="L4047" t="s">
        <v>7524</v>
      </c>
      <c r="M4047"/>
      <c r="N4047">
        <v>0</v>
      </c>
      <c r="O4047" t="b">
        <v>1</v>
      </c>
      <c r="P4047"/>
      <c r="Q4047" t="b">
        <v>0</v>
      </c>
      <c r="R4047">
        <v>1</v>
      </c>
      <c r="S4047" t="s">
        <v>77</v>
      </c>
      <c r="T4047">
        <v>999</v>
      </c>
      <c r="U4047" t="s">
        <v>7525</v>
      </c>
      <c r="V4047">
        <f t="shared" si="2"/>
        <v>31813059</v>
      </c>
      <c r="W4047"/>
      <c r="X4047" t="s">
        <v>2688</v>
      </c>
      <c r="Y4047" t="s">
        <v>215</v>
      </c>
      <c r="Z4047">
        <v>20553</v>
      </c>
      <c r="AA4047" t="s">
        <v>2689</v>
      </c>
      <c r="AB4047">
        <v>40001</v>
      </c>
      <c r="AC4047"/>
      <c r="AD4047"/>
      <c r="AE4047" t="s">
        <v>7524</v>
      </c>
      <c r="AF4047" t="s">
        <v>7524</v>
      </c>
      <c r="AG4047" t="s">
        <v>89</v>
      </c>
    </row>
    <row r="4048" spans="2:33">
      <c r="B4048" s="14">
        <f>10000000+INDEX(编号表!$B:$B,MATCH(H4048,编号表!$A:$A,0))*100000+INDEX(编号表!$F:$F,MATCH(D4048,编号表!$E:$E,0))*10000+INDEX(编号表!$D:$D,MATCH(AG4048,编号表!$C:$C,0))*1000+F4048</f>
        <v>11813060</v>
      </c>
      <c r="C4048" t="s">
        <v>2694</v>
      </c>
      <c r="D4048" t="s">
        <v>72</v>
      </c>
      <c r="E4048" t="s">
        <v>89</v>
      </c>
      <c r="F4048">
        <v>60</v>
      </c>
      <c r="G4048">
        <v>60</v>
      </c>
      <c r="H4048" t="s">
        <v>7524</v>
      </c>
      <c r="I4048" t="s">
        <v>75</v>
      </c>
      <c r="J4048" t="s">
        <v>201</v>
      </c>
      <c r="K4048">
        <v>1</v>
      </c>
      <c r="L4048" t="s">
        <v>7524</v>
      </c>
      <c r="M4048"/>
      <c r="N4048">
        <v>0</v>
      </c>
      <c r="O4048" t="b">
        <v>1</v>
      </c>
      <c r="P4048"/>
      <c r="Q4048" t="b">
        <v>0</v>
      </c>
      <c r="R4048">
        <v>1</v>
      </c>
      <c r="S4048" t="s">
        <v>77</v>
      </c>
      <c r="T4048">
        <v>999</v>
      </c>
      <c r="U4048" t="s">
        <v>7525</v>
      </c>
      <c r="V4048">
        <f t="shared" si="2"/>
        <v>31813060</v>
      </c>
      <c r="W4048"/>
      <c r="X4048" t="s">
        <v>2695</v>
      </c>
      <c r="Y4048" t="s">
        <v>215</v>
      </c>
      <c r="Z4048">
        <v>20556</v>
      </c>
      <c r="AA4048" t="s">
        <v>2696</v>
      </c>
      <c r="AB4048">
        <v>40001</v>
      </c>
      <c r="AC4048"/>
      <c r="AD4048"/>
      <c r="AE4048" t="s">
        <v>7524</v>
      </c>
      <c r="AF4048" t="s">
        <v>7524</v>
      </c>
      <c r="AG4048" t="s">
        <v>89</v>
      </c>
    </row>
    <row r="4049" spans="2:33">
      <c r="B4049" s="14">
        <f>10000000+INDEX(编号表!$B:$B,MATCH(H4049,编号表!$A:$A,0))*100000+INDEX(编号表!$F:$F,MATCH(D4049,编号表!$E:$E,0))*10000+INDEX(编号表!$D:$D,MATCH(AG4049,编号表!$C:$C,0))*1000+F4049</f>
        <v>11813061</v>
      </c>
      <c r="C4049" t="s">
        <v>2701</v>
      </c>
      <c r="D4049" t="s">
        <v>72</v>
      </c>
      <c r="E4049" t="s">
        <v>89</v>
      </c>
      <c r="F4049">
        <v>61</v>
      </c>
      <c r="G4049">
        <v>60</v>
      </c>
      <c r="H4049" t="s">
        <v>7524</v>
      </c>
      <c r="I4049" t="s">
        <v>75</v>
      </c>
      <c r="J4049" t="s">
        <v>201</v>
      </c>
      <c r="K4049">
        <v>1</v>
      </c>
      <c r="L4049" t="s">
        <v>7524</v>
      </c>
      <c r="M4049"/>
      <c r="N4049">
        <v>0</v>
      </c>
      <c r="O4049" t="b">
        <v>1</v>
      </c>
      <c r="P4049"/>
      <c r="Q4049" t="b">
        <v>0</v>
      </c>
      <c r="R4049">
        <v>1</v>
      </c>
      <c r="S4049" t="s">
        <v>77</v>
      </c>
      <c r="T4049">
        <v>999</v>
      </c>
      <c r="U4049" t="s">
        <v>7525</v>
      </c>
      <c r="V4049">
        <f t="shared" si="2"/>
        <v>31813061</v>
      </c>
      <c r="W4049"/>
      <c r="X4049" t="s">
        <v>2702</v>
      </c>
      <c r="Y4049" t="s">
        <v>215</v>
      </c>
      <c r="Z4049">
        <v>20559</v>
      </c>
      <c r="AA4049" t="s">
        <v>2703</v>
      </c>
      <c r="AB4049">
        <v>40001</v>
      </c>
      <c r="AC4049"/>
      <c r="AD4049"/>
      <c r="AE4049" t="s">
        <v>7524</v>
      </c>
      <c r="AF4049" t="s">
        <v>7524</v>
      </c>
      <c r="AG4049" t="s">
        <v>89</v>
      </c>
    </row>
    <row r="4050" spans="2:33">
      <c r="B4050" s="14">
        <f>10000000+INDEX(编号表!$B:$B,MATCH(H4050,编号表!$A:$A,0))*100000+INDEX(编号表!$F:$F,MATCH(D4050,编号表!$E:$E,0))*10000+INDEX(编号表!$D:$D,MATCH(AG4050,编号表!$C:$C,0))*1000+F4050</f>
        <v>11813062</v>
      </c>
      <c r="C4050" t="s">
        <v>2708</v>
      </c>
      <c r="D4050" t="s">
        <v>72</v>
      </c>
      <c r="E4050" t="s">
        <v>89</v>
      </c>
      <c r="F4050">
        <v>62</v>
      </c>
      <c r="G4050">
        <v>60</v>
      </c>
      <c r="H4050" t="s">
        <v>7524</v>
      </c>
      <c r="I4050" t="s">
        <v>75</v>
      </c>
      <c r="J4050" t="s">
        <v>201</v>
      </c>
      <c r="K4050">
        <v>1</v>
      </c>
      <c r="L4050" t="s">
        <v>7524</v>
      </c>
      <c r="M4050"/>
      <c r="N4050">
        <v>0</v>
      </c>
      <c r="O4050" t="b">
        <v>1</v>
      </c>
      <c r="P4050"/>
      <c r="Q4050" t="b">
        <v>0</v>
      </c>
      <c r="R4050">
        <v>1</v>
      </c>
      <c r="S4050" t="s">
        <v>77</v>
      </c>
      <c r="T4050">
        <v>999</v>
      </c>
      <c r="U4050" t="s">
        <v>7525</v>
      </c>
      <c r="V4050">
        <f t="shared" si="2"/>
        <v>31813062</v>
      </c>
      <c r="W4050"/>
      <c r="X4050" t="s">
        <v>2709</v>
      </c>
      <c r="Y4050" t="s">
        <v>215</v>
      </c>
      <c r="Z4050">
        <v>20562</v>
      </c>
      <c r="AA4050" t="s">
        <v>2710</v>
      </c>
      <c r="AB4050">
        <v>40001</v>
      </c>
      <c r="AC4050"/>
      <c r="AD4050"/>
      <c r="AE4050" t="s">
        <v>7524</v>
      </c>
      <c r="AF4050" t="s">
        <v>7524</v>
      </c>
      <c r="AG4050" t="s">
        <v>89</v>
      </c>
    </row>
    <row r="4051" spans="2:33">
      <c r="B4051" s="14">
        <f>10000000+INDEX(编号表!$B:$B,MATCH(H4051,编号表!$A:$A,0))*100000+INDEX(编号表!$F:$F,MATCH(D4051,编号表!$E:$E,0))*10000+INDEX(编号表!$D:$D,MATCH(AG4051,编号表!$C:$C,0))*1000+F4051</f>
        <v>11813063</v>
      </c>
      <c r="C4051" t="s">
        <v>2715</v>
      </c>
      <c r="D4051" t="s">
        <v>72</v>
      </c>
      <c r="E4051" t="s">
        <v>89</v>
      </c>
      <c r="F4051">
        <v>63</v>
      </c>
      <c r="G4051">
        <v>60</v>
      </c>
      <c r="H4051" t="s">
        <v>7524</v>
      </c>
      <c r="I4051" t="s">
        <v>75</v>
      </c>
      <c r="J4051" t="s">
        <v>201</v>
      </c>
      <c r="K4051">
        <v>1</v>
      </c>
      <c r="L4051" t="s">
        <v>7524</v>
      </c>
      <c r="M4051"/>
      <c r="N4051">
        <v>0</v>
      </c>
      <c r="O4051" t="b">
        <v>1</v>
      </c>
      <c r="P4051"/>
      <c r="Q4051" t="b">
        <v>0</v>
      </c>
      <c r="R4051">
        <v>1</v>
      </c>
      <c r="S4051" t="s">
        <v>77</v>
      </c>
      <c r="T4051">
        <v>999</v>
      </c>
      <c r="U4051" t="s">
        <v>7525</v>
      </c>
      <c r="V4051">
        <f t="shared" si="2"/>
        <v>31813063</v>
      </c>
      <c r="W4051"/>
      <c r="X4051" t="s">
        <v>2716</v>
      </c>
      <c r="Y4051" t="s">
        <v>215</v>
      </c>
      <c r="Z4051">
        <v>20565</v>
      </c>
      <c r="AA4051" t="s">
        <v>2717</v>
      </c>
      <c r="AB4051">
        <v>40001</v>
      </c>
      <c r="AC4051"/>
      <c r="AD4051"/>
      <c r="AE4051" t="s">
        <v>7524</v>
      </c>
      <c r="AF4051" t="s">
        <v>7524</v>
      </c>
      <c r="AG4051" t="s">
        <v>89</v>
      </c>
    </row>
    <row r="4052" spans="2:33">
      <c r="B4052" s="14">
        <f>10000000+INDEX(编号表!$B:$B,MATCH(H4052,编号表!$A:$A,0))*100000+INDEX(编号表!$F:$F,MATCH(D4052,编号表!$E:$E,0))*10000+INDEX(编号表!$D:$D,MATCH(AG4052,编号表!$C:$C,0))*1000+F4052</f>
        <v>11813064</v>
      </c>
      <c r="C4052" t="s">
        <v>2722</v>
      </c>
      <c r="D4052" t="s">
        <v>72</v>
      </c>
      <c r="E4052" t="s">
        <v>89</v>
      </c>
      <c r="F4052">
        <v>64</v>
      </c>
      <c r="G4052">
        <v>60</v>
      </c>
      <c r="H4052" t="s">
        <v>7524</v>
      </c>
      <c r="I4052" t="s">
        <v>75</v>
      </c>
      <c r="J4052" t="s">
        <v>201</v>
      </c>
      <c r="K4052">
        <v>1</v>
      </c>
      <c r="L4052" t="s">
        <v>7524</v>
      </c>
      <c r="M4052"/>
      <c r="N4052">
        <v>0</v>
      </c>
      <c r="O4052" t="b">
        <v>1</v>
      </c>
      <c r="P4052"/>
      <c r="Q4052" t="b">
        <v>0</v>
      </c>
      <c r="R4052">
        <v>1</v>
      </c>
      <c r="S4052" t="s">
        <v>77</v>
      </c>
      <c r="T4052">
        <v>999</v>
      </c>
      <c r="U4052" t="s">
        <v>7525</v>
      </c>
      <c r="V4052">
        <f t="shared" si="2"/>
        <v>31813064</v>
      </c>
      <c r="W4052"/>
      <c r="X4052" t="s">
        <v>2723</v>
      </c>
      <c r="Y4052" t="s">
        <v>215</v>
      </c>
      <c r="Z4052">
        <v>20568</v>
      </c>
      <c r="AA4052" t="s">
        <v>2724</v>
      </c>
      <c r="AB4052">
        <v>40001</v>
      </c>
      <c r="AC4052"/>
      <c r="AD4052"/>
      <c r="AE4052" t="s">
        <v>7524</v>
      </c>
      <c r="AF4052" t="s">
        <v>7524</v>
      </c>
      <c r="AG4052" t="s">
        <v>89</v>
      </c>
    </row>
    <row r="4053" spans="2:33">
      <c r="B4053" s="14">
        <f>10000000+INDEX(编号表!$B:$B,MATCH(H4053,编号表!$A:$A,0))*100000+INDEX(编号表!$F:$F,MATCH(D4053,编号表!$E:$E,0))*10000+INDEX(编号表!$D:$D,MATCH(AG4053,编号表!$C:$C,0))*1000+F4053</f>
        <v>11813065</v>
      </c>
      <c r="C4053" t="s">
        <v>2729</v>
      </c>
      <c r="D4053" t="s">
        <v>72</v>
      </c>
      <c r="E4053" t="s">
        <v>89</v>
      </c>
      <c r="F4053">
        <v>65</v>
      </c>
      <c r="G4053">
        <v>60</v>
      </c>
      <c r="H4053" t="s">
        <v>7524</v>
      </c>
      <c r="I4053" t="s">
        <v>75</v>
      </c>
      <c r="J4053" t="s">
        <v>201</v>
      </c>
      <c r="K4053">
        <v>1</v>
      </c>
      <c r="L4053" t="s">
        <v>7524</v>
      </c>
      <c r="M4053"/>
      <c r="N4053">
        <v>0</v>
      </c>
      <c r="O4053" t="b">
        <v>1</v>
      </c>
      <c r="P4053"/>
      <c r="Q4053" t="b">
        <v>0</v>
      </c>
      <c r="R4053">
        <v>1</v>
      </c>
      <c r="S4053" t="s">
        <v>77</v>
      </c>
      <c r="T4053">
        <v>999</v>
      </c>
      <c r="U4053" t="s">
        <v>7525</v>
      </c>
      <c r="V4053">
        <f t="shared" si="2"/>
        <v>31813065</v>
      </c>
      <c r="W4053"/>
      <c r="X4053" t="s">
        <v>2730</v>
      </c>
      <c r="Y4053" t="s">
        <v>215</v>
      </c>
      <c r="Z4053">
        <v>20571</v>
      </c>
      <c r="AA4053" t="s">
        <v>2731</v>
      </c>
      <c r="AB4053">
        <v>40001</v>
      </c>
      <c r="AC4053"/>
      <c r="AD4053"/>
      <c r="AE4053" t="s">
        <v>7524</v>
      </c>
      <c r="AF4053" t="s">
        <v>7524</v>
      </c>
      <c r="AG4053" t="s">
        <v>89</v>
      </c>
    </row>
    <row r="4054" spans="2:33">
      <c r="B4054" s="14">
        <f>10000000+INDEX(编号表!$B:$B,MATCH(H4054,编号表!$A:$A,0))*100000+INDEX(编号表!$F:$F,MATCH(D4054,编号表!$E:$E,0))*10000+INDEX(编号表!$D:$D,MATCH(AG4054,编号表!$C:$C,0))*1000+F4054</f>
        <v>11813066</v>
      </c>
      <c r="C4054" t="s">
        <v>2736</v>
      </c>
      <c r="D4054" t="s">
        <v>72</v>
      </c>
      <c r="E4054" t="s">
        <v>89</v>
      </c>
      <c r="F4054">
        <v>66</v>
      </c>
      <c r="G4054">
        <v>60</v>
      </c>
      <c r="H4054" t="s">
        <v>7524</v>
      </c>
      <c r="I4054" t="s">
        <v>75</v>
      </c>
      <c r="J4054" t="s">
        <v>201</v>
      </c>
      <c r="K4054">
        <v>1</v>
      </c>
      <c r="L4054" t="s">
        <v>7524</v>
      </c>
      <c r="M4054"/>
      <c r="N4054">
        <v>0</v>
      </c>
      <c r="O4054" t="b">
        <v>1</v>
      </c>
      <c r="P4054"/>
      <c r="Q4054" t="b">
        <v>0</v>
      </c>
      <c r="R4054">
        <v>1</v>
      </c>
      <c r="S4054" t="s">
        <v>77</v>
      </c>
      <c r="T4054">
        <v>999</v>
      </c>
      <c r="U4054" t="s">
        <v>7525</v>
      </c>
      <c r="V4054">
        <f t="shared" si="2"/>
        <v>31813066</v>
      </c>
      <c r="W4054"/>
      <c r="X4054" t="s">
        <v>2737</v>
      </c>
      <c r="Y4054" t="s">
        <v>215</v>
      </c>
      <c r="Z4054">
        <v>20574</v>
      </c>
      <c r="AA4054" t="s">
        <v>2738</v>
      </c>
      <c r="AB4054">
        <v>40001</v>
      </c>
      <c r="AC4054"/>
      <c r="AD4054"/>
      <c r="AE4054" t="s">
        <v>7524</v>
      </c>
      <c r="AF4054" t="s">
        <v>7524</v>
      </c>
      <c r="AG4054" t="s">
        <v>89</v>
      </c>
    </row>
    <row r="4055" spans="2:33">
      <c r="B4055" s="14">
        <f>10000000+INDEX(编号表!$B:$B,MATCH(H4055,编号表!$A:$A,0))*100000+INDEX(编号表!$F:$F,MATCH(D4055,编号表!$E:$E,0))*10000+INDEX(编号表!$D:$D,MATCH(AG4055,编号表!$C:$C,0))*1000+F4055</f>
        <v>11813067</v>
      </c>
      <c r="C4055" t="s">
        <v>2743</v>
      </c>
      <c r="D4055" t="s">
        <v>72</v>
      </c>
      <c r="E4055" t="s">
        <v>89</v>
      </c>
      <c r="F4055">
        <v>67</v>
      </c>
      <c r="G4055">
        <v>60</v>
      </c>
      <c r="H4055" t="s">
        <v>7524</v>
      </c>
      <c r="I4055" t="s">
        <v>75</v>
      </c>
      <c r="J4055" t="s">
        <v>201</v>
      </c>
      <c r="K4055">
        <v>1</v>
      </c>
      <c r="L4055" t="s">
        <v>7524</v>
      </c>
      <c r="M4055"/>
      <c r="N4055">
        <v>0</v>
      </c>
      <c r="O4055" t="b">
        <v>1</v>
      </c>
      <c r="P4055"/>
      <c r="Q4055" t="b">
        <v>0</v>
      </c>
      <c r="R4055">
        <v>1</v>
      </c>
      <c r="S4055" t="s">
        <v>77</v>
      </c>
      <c r="T4055">
        <v>999</v>
      </c>
      <c r="U4055" t="s">
        <v>7525</v>
      </c>
      <c r="V4055">
        <f t="shared" si="2"/>
        <v>31813067</v>
      </c>
      <c r="W4055"/>
      <c r="X4055" t="s">
        <v>2744</v>
      </c>
      <c r="Y4055" t="s">
        <v>215</v>
      </c>
      <c r="Z4055">
        <v>20577</v>
      </c>
      <c r="AA4055" t="s">
        <v>2745</v>
      </c>
      <c r="AB4055">
        <v>40001</v>
      </c>
      <c r="AC4055"/>
      <c r="AD4055"/>
      <c r="AE4055" t="s">
        <v>7524</v>
      </c>
      <c r="AF4055" t="s">
        <v>7524</v>
      </c>
      <c r="AG4055" t="s">
        <v>89</v>
      </c>
    </row>
    <row r="4056" spans="2:33">
      <c r="B4056" s="14">
        <f>10000000+INDEX(编号表!$B:$B,MATCH(H4056,编号表!$A:$A,0))*100000+INDEX(编号表!$F:$F,MATCH(D4056,编号表!$E:$E,0))*10000+INDEX(编号表!$D:$D,MATCH(AG4056,编号表!$C:$C,0))*1000+F4056</f>
        <v>11813068</v>
      </c>
      <c r="C4056" t="s">
        <v>2750</v>
      </c>
      <c r="D4056" t="s">
        <v>72</v>
      </c>
      <c r="E4056" t="s">
        <v>89</v>
      </c>
      <c r="F4056">
        <v>68</v>
      </c>
      <c r="G4056">
        <v>60</v>
      </c>
      <c r="H4056" t="s">
        <v>7524</v>
      </c>
      <c r="I4056" t="s">
        <v>75</v>
      </c>
      <c r="J4056" t="s">
        <v>201</v>
      </c>
      <c r="K4056">
        <v>1</v>
      </c>
      <c r="L4056" t="s">
        <v>7524</v>
      </c>
      <c r="M4056"/>
      <c r="N4056">
        <v>0</v>
      </c>
      <c r="O4056" t="b">
        <v>1</v>
      </c>
      <c r="P4056"/>
      <c r="Q4056" t="b">
        <v>0</v>
      </c>
      <c r="R4056">
        <v>1</v>
      </c>
      <c r="S4056" t="s">
        <v>77</v>
      </c>
      <c r="T4056">
        <v>999</v>
      </c>
      <c r="U4056" t="s">
        <v>7525</v>
      </c>
      <c r="V4056">
        <f t="shared" ref="V4056:V4119" si="3">B4056+20000000</f>
        <v>31813068</v>
      </c>
      <c r="W4056"/>
      <c r="X4056" t="s">
        <v>2751</v>
      </c>
      <c r="Y4056" t="s">
        <v>215</v>
      </c>
      <c r="Z4056">
        <v>20580</v>
      </c>
      <c r="AA4056" t="s">
        <v>2752</v>
      </c>
      <c r="AB4056">
        <v>40001</v>
      </c>
      <c r="AC4056"/>
      <c r="AD4056"/>
      <c r="AE4056" t="s">
        <v>7524</v>
      </c>
      <c r="AF4056" t="s">
        <v>7524</v>
      </c>
      <c r="AG4056" t="s">
        <v>89</v>
      </c>
    </row>
    <row r="4057" spans="2:33">
      <c r="B4057" s="14">
        <f>10000000+INDEX(编号表!$B:$B,MATCH(H4057,编号表!$A:$A,0))*100000+INDEX(编号表!$F:$F,MATCH(D4057,编号表!$E:$E,0))*10000+INDEX(编号表!$D:$D,MATCH(AG4057,编号表!$C:$C,0))*1000+F4057</f>
        <v>11813069</v>
      </c>
      <c r="C4057" t="s">
        <v>2757</v>
      </c>
      <c r="D4057" t="s">
        <v>72</v>
      </c>
      <c r="E4057" t="s">
        <v>89</v>
      </c>
      <c r="F4057">
        <v>69</v>
      </c>
      <c r="G4057">
        <v>60</v>
      </c>
      <c r="H4057" t="s">
        <v>7524</v>
      </c>
      <c r="I4057" t="s">
        <v>75</v>
      </c>
      <c r="J4057" t="s">
        <v>201</v>
      </c>
      <c r="K4057">
        <v>1</v>
      </c>
      <c r="L4057" t="s">
        <v>7524</v>
      </c>
      <c r="M4057"/>
      <c r="N4057">
        <v>0</v>
      </c>
      <c r="O4057" t="b">
        <v>1</v>
      </c>
      <c r="P4057"/>
      <c r="Q4057" t="b">
        <v>0</v>
      </c>
      <c r="R4057">
        <v>1</v>
      </c>
      <c r="S4057" t="s">
        <v>77</v>
      </c>
      <c r="T4057">
        <v>999</v>
      </c>
      <c r="U4057" t="s">
        <v>7525</v>
      </c>
      <c r="V4057">
        <f t="shared" si="3"/>
        <v>31813069</v>
      </c>
      <c r="W4057"/>
      <c r="X4057" t="s">
        <v>2758</v>
      </c>
      <c r="Y4057" t="s">
        <v>215</v>
      </c>
      <c r="Z4057">
        <v>20583</v>
      </c>
      <c r="AA4057" t="s">
        <v>2759</v>
      </c>
      <c r="AB4057">
        <v>40001</v>
      </c>
      <c r="AC4057"/>
      <c r="AD4057"/>
      <c r="AE4057" t="s">
        <v>7524</v>
      </c>
      <c r="AF4057" t="s">
        <v>7524</v>
      </c>
      <c r="AG4057" t="s">
        <v>89</v>
      </c>
    </row>
    <row r="4058" spans="2:33">
      <c r="B4058" s="14">
        <f>10000000+INDEX(编号表!$B:$B,MATCH(H4058,编号表!$A:$A,0))*100000+INDEX(编号表!$F:$F,MATCH(D4058,编号表!$E:$E,0))*10000+INDEX(编号表!$D:$D,MATCH(AG4058,编号表!$C:$C,0))*1000+F4058</f>
        <v>11813070</v>
      </c>
      <c r="C4058" t="s">
        <v>2764</v>
      </c>
      <c r="D4058" t="s">
        <v>72</v>
      </c>
      <c r="E4058" t="s">
        <v>89</v>
      </c>
      <c r="F4058">
        <v>70</v>
      </c>
      <c r="G4058">
        <v>60</v>
      </c>
      <c r="H4058" t="s">
        <v>7524</v>
      </c>
      <c r="I4058" t="s">
        <v>75</v>
      </c>
      <c r="J4058" t="s">
        <v>201</v>
      </c>
      <c r="K4058">
        <v>1</v>
      </c>
      <c r="L4058" t="s">
        <v>7524</v>
      </c>
      <c r="M4058"/>
      <c r="N4058">
        <v>0</v>
      </c>
      <c r="O4058" t="b">
        <v>1</v>
      </c>
      <c r="P4058"/>
      <c r="Q4058" t="b">
        <v>0</v>
      </c>
      <c r="R4058">
        <v>1</v>
      </c>
      <c r="S4058" t="s">
        <v>77</v>
      </c>
      <c r="T4058">
        <v>999</v>
      </c>
      <c r="U4058" t="s">
        <v>7525</v>
      </c>
      <c r="V4058">
        <f t="shared" si="3"/>
        <v>31813070</v>
      </c>
      <c r="W4058"/>
      <c r="X4058" t="s">
        <v>2765</v>
      </c>
      <c r="Y4058" t="s">
        <v>215</v>
      </c>
      <c r="Z4058">
        <v>20586</v>
      </c>
      <c r="AA4058" t="s">
        <v>2766</v>
      </c>
      <c r="AB4058">
        <v>40001</v>
      </c>
      <c r="AC4058"/>
      <c r="AD4058"/>
      <c r="AE4058" t="s">
        <v>7524</v>
      </c>
      <c r="AF4058" t="s">
        <v>7524</v>
      </c>
      <c r="AG4058" t="s">
        <v>89</v>
      </c>
    </row>
    <row r="4059" spans="2:33">
      <c r="B4059" s="14">
        <f>10000000+INDEX(编号表!$B:$B,MATCH(H4059,编号表!$A:$A,0))*100000+INDEX(编号表!$F:$F,MATCH(D4059,编号表!$E:$E,0))*10000+INDEX(编号表!$D:$D,MATCH(AG4059,编号表!$C:$C,0))*1000+F4059</f>
        <v>11813071</v>
      </c>
      <c r="C4059" t="s">
        <v>2771</v>
      </c>
      <c r="D4059" t="s">
        <v>72</v>
      </c>
      <c r="E4059" t="s">
        <v>89</v>
      </c>
      <c r="F4059">
        <v>71</v>
      </c>
      <c r="G4059">
        <v>60</v>
      </c>
      <c r="H4059" t="s">
        <v>7524</v>
      </c>
      <c r="I4059" t="s">
        <v>75</v>
      </c>
      <c r="J4059" t="s">
        <v>201</v>
      </c>
      <c r="K4059">
        <v>1</v>
      </c>
      <c r="L4059" t="s">
        <v>7524</v>
      </c>
      <c r="M4059"/>
      <c r="N4059">
        <v>0</v>
      </c>
      <c r="O4059" t="b">
        <v>1</v>
      </c>
      <c r="P4059"/>
      <c r="Q4059" t="b">
        <v>0</v>
      </c>
      <c r="R4059">
        <v>1</v>
      </c>
      <c r="S4059" t="s">
        <v>77</v>
      </c>
      <c r="T4059">
        <v>999</v>
      </c>
      <c r="U4059" t="s">
        <v>7525</v>
      </c>
      <c r="V4059">
        <f t="shared" si="3"/>
        <v>31813071</v>
      </c>
      <c r="W4059"/>
      <c r="X4059" t="s">
        <v>2772</v>
      </c>
      <c r="Y4059" t="s">
        <v>215</v>
      </c>
      <c r="Z4059">
        <v>20589</v>
      </c>
      <c r="AA4059" t="s">
        <v>2773</v>
      </c>
      <c r="AB4059">
        <v>40001</v>
      </c>
      <c r="AC4059"/>
      <c r="AD4059"/>
      <c r="AE4059" t="s">
        <v>7524</v>
      </c>
      <c r="AF4059" t="s">
        <v>7524</v>
      </c>
      <c r="AG4059" t="s">
        <v>89</v>
      </c>
    </row>
    <row r="4060" spans="2:33">
      <c r="B4060" s="14">
        <f>10000000+INDEX(编号表!$B:$B,MATCH(H4060,编号表!$A:$A,0))*100000+INDEX(编号表!$F:$F,MATCH(D4060,编号表!$E:$E,0))*10000+INDEX(编号表!$D:$D,MATCH(AG4060,编号表!$C:$C,0))*1000+F4060</f>
        <v>11813072</v>
      </c>
      <c r="C4060" t="s">
        <v>2778</v>
      </c>
      <c r="D4060" t="s">
        <v>72</v>
      </c>
      <c r="E4060" t="s">
        <v>89</v>
      </c>
      <c r="F4060">
        <v>72</v>
      </c>
      <c r="G4060">
        <v>60</v>
      </c>
      <c r="H4060" t="s">
        <v>7524</v>
      </c>
      <c r="I4060" t="s">
        <v>75</v>
      </c>
      <c r="J4060" t="s">
        <v>201</v>
      </c>
      <c r="K4060">
        <v>1</v>
      </c>
      <c r="L4060" t="s">
        <v>7524</v>
      </c>
      <c r="M4060"/>
      <c r="N4060">
        <v>0</v>
      </c>
      <c r="O4060" t="b">
        <v>1</v>
      </c>
      <c r="P4060"/>
      <c r="Q4060" t="b">
        <v>0</v>
      </c>
      <c r="R4060">
        <v>1</v>
      </c>
      <c r="S4060" t="s">
        <v>77</v>
      </c>
      <c r="T4060">
        <v>999</v>
      </c>
      <c r="U4060" t="s">
        <v>7525</v>
      </c>
      <c r="V4060">
        <f t="shared" si="3"/>
        <v>31813072</v>
      </c>
      <c r="W4060"/>
      <c r="X4060" t="s">
        <v>2779</v>
      </c>
      <c r="Y4060" t="s">
        <v>215</v>
      </c>
      <c r="Z4060">
        <v>20592</v>
      </c>
      <c r="AA4060" t="s">
        <v>2780</v>
      </c>
      <c r="AB4060">
        <v>40001</v>
      </c>
      <c r="AC4060"/>
      <c r="AD4060"/>
      <c r="AE4060" t="s">
        <v>7524</v>
      </c>
      <c r="AF4060" t="s">
        <v>7524</v>
      </c>
      <c r="AG4060" t="s">
        <v>89</v>
      </c>
    </row>
    <row r="4061" spans="2:33">
      <c r="B4061" s="14">
        <f>10000000+INDEX(编号表!$B:$B,MATCH(H4061,编号表!$A:$A,0))*100000+INDEX(编号表!$F:$F,MATCH(D4061,编号表!$E:$E,0))*10000+INDEX(编号表!$D:$D,MATCH(AG4061,编号表!$C:$C,0))*1000+F4061</f>
        <v>11813073</v>
      </c>
      <c r="C4061" t="s">
        <v>2785</v>
      </c>
      <c r="D4061" t="s">
        <v>72</v>
      </c>
      <c r="E4061" t="s">
        <v>89</v>
      </c>
      <c r="F4061">
        <v>73</v>
      </c>
      <c r="G4061">
        <v>60</v>
      </c>
      <c r="H4061" t="s">
        <v>7524</v>
      </c>
      <c r="I4061" t="s">
        <v>75</v>
      </c>
      <c r="J4061" t="s">
        <v>201</v>
      </c>
      <c r="K4061">
        <v>1</v>
      </c>
      <c r="L4061" t="s">
        <v>7524</v>
      </c>
      <c r="M4061"/>
      <c r="N4061">
        <v>0</v>
      </c>
      <c r="O4061" t="b">
        <v>1</v>
      </c>
      <c r="P4061"/>
      <c r="Q4061" t="b">
        <v>0</v>
      </c>
      <c r="R4061">
        <v>1</v>
      </c>
      <c r="S4061" t="s">
        <v>77</v>
      </c>
      <c r="T4061">
        <v>999</v>
      </c>
      <c r="U4061" t="s">
        <v>7525</v>
      </c>
      <c r="V4061">
        <f t="shared" si="3"/>
        <v>31813073</v>
      </c>
      <c r="W4061"/>
      <c r="X4061" t="s">
        <v>2786</v>
      </c>
      <c r="Y4061" t="s">
        <v>215</v>
      </c>
      <c r="Z4061">
        <v>20595</v>
      </c>
      <c r="AA4061" t="s">
        <v>2787</v>
      </c>
      <c r="AB4061">
        <v>40001</v>
      </c>
      <c r="AC4061"/>
      <c r="AD4061"/>
      <c r="AE4061" t="s">
        <v>7524</v>
      </c>
      <c r="AF4061" t="s">
        <v>7524</v>
      </c>
      <c r="AG4061" t="s">
        <v>89</v>
      </c>
    </row>
    <row r="4062" spans="2:33">
      <c r="B4062" s="14">
        <f>10000000+INDEX(编号表!$B:$B,MATCH(H4062,编号表!$A:$A,0))*100000+INDEX(编号表!$F:$F,MATCH(D4062,编号表!$E:$E,0))*10000+INDEX(编号表!$D:$D,MATCH(AG4062,编号表!$C:$C,0))*1000+F4062</f>
        <v>11813074</v>
      </c>
      <c r="C4062" t="s">
        <v>2792</v>
      </c>
      <c r="D4062" t="s">
        <v>72</v>
      </c>
      <c r="E4062" t="s">
        <v>89</v>
      </c>
      <c r="F4062">
        <v>74</v>
      </c>
      <c r="G4062">
        <v>60</v>
      </c>
      <c r="H4062" t="s">
        <v>7524</v>
      </c>
      <c r="I4062" t="s">
        <v>75</v>
      </c>
      <c r="J4062" t="s">
        <v>201</v>
      </c>
      <c r="K4062">
        <v>1</v>
      </c>
      <c r="L4062" t="s">
        <v>7524</v>
      </c>
      <c r="M4062"/>
      <c r="N4062">
        <v>0</v>
      </c>
      <c r="O4062" t="b">
        <v>1</v>
      </c>
      <c r="P4062"/>
      <c r="Q4062" t="b">
        <v>0</v>
      </c>
      <c r="R4062">
        <v>1</v>
      </c>
      <c r="S4062" t="s">
        <v>77</v>
      </c>
      <c r="T4062">
        <v>999</v>
      </c>
      <c r="U4062" t="s">
        <v>7525</v>
      </c>
      <c r="V4062">
        <f t="shared" si="3"/>
        <v>31813074</v>
      </c>
      <c r="W4062"/>
      <c r="X4062" t="s">
        <v>2793</v>
      </c>
      <c r="Y4062" t="s">
        <v>215</v>
      </c>
      <c r="Z4062">
        <v>20598</v>
      </c>
      <c r="AA4062" t="s">
        <v>2794</v>
      </c>
      <c r="AB4062">
        <v>40001</v>
      </c>
      <c r="AC4062"/>
      <c r="AD4062"/>
      <c r="AE4062" t="s">
        <v>7524</v>
      </c>
      <c r="AF4062" t="s">
        <v>7524</v>
      </c>
      <c r="AG4062" t="s">
        <v>89</v>
      </c>
    </row>
    <row r="4063" spans="2:33">
      <c r="B4063" s="14">
        <f>10000000+INDEX(编号表!$B:$B,MATCH(H4063,编号表!$A:$A,0))*100000+INDEX(编号表!$F:$F,MATCH(D4063,编号表!$E:$E,0))*10000+INDEX(编号表!$D:$D,MATCH(AG4063,编号表!$C:$C,0))*1000+F4063</f>
        <v>11813075</v>
      </c>
      <c r="C4063" t="s">
        <v>2799</v>
      </c>
      <c r="D4063" t="s">
        <v>72</v>
      </c>
      <c r="E4063" t="s">
        <v>89</v>
      </c>
      <c r="F4063">
        <v>75</v>
      </c>
      <c r="G4063">
        <v>60</v>
      </c>
      <c r="H4063" t="s">
        <v>7524</v>
      </c>
      <c r="I4063" t="s">
        <v>75</v>
      </c>
      <c r="J4063" t="s">
        <v>201</v>
      </c>
      <c r="K4063">
        <v>1</v>
      </c>
      <c r="L4063" t="s">
        <v>7524</v>
      </c>
      <c r="M4063"/>
      <c r="N4063">
        <v>0</v>
      </c>
      <c r="O4063" t="b">
        <v>1</v>
      </c>
      <c r="P4063"/>
      <c r="Q4063" t="b">
        <v>0</v>
      </c>
      <c r="R4063">
        <v>1</v>
      </c>
      <c r="S4063" t="s">
        <v>77</v>
      </c>
      <c r="T4063">
        <v>999</v>
      </c>
      <c r="U4063" t="s">
        <v>7525</v>
      </c>
      <c r="V4063">
        <f t="shared" si="3"/>
        <v>31813075</v>
      </c>
      <c r="W4063"/>
      <c r="X4063" t="s">
        <v>2800</v>
      </c>
      <c r="Y4063" t="s">
        <v>215</v>
      </c>
      <c r="Z4063">
        <v>20601</v>
      </c>
      <c r="AA4063" t="s">
        <v>2801</v>
      </c>
      <c r="AB4063">
        <v>40001</v>
      </c>
      <c r="AC4063"/>
      <c r="AD4063"/>
      <c r="AE4063" t="s">
        <v>7524</v>
      </c>
      <c r="AF4063" t="s">
        <v>7524</v>
      </c>
      <c r="AG4063" t="s">
        <v>89</v>
      </c>
    </row>
    <row r="4064" spans="2:33">
      <c r="B4064" s="14">
        <f>10000000+INDEX(编号表!$B:$B,MATCH(H4064,编号表!$A:$A,0))*100000+INDEX(编号表!$F:$F,MATCH(D4064,编号表!$E:$E,0))*10000+INDEX(编号表!$D:$D,MATCH(AG4064,编号表!$C:$C,0))*1000+F4064</f>
        <v>11813076</v>
      </c>
      <c r="C4064" t="s">
        <v>2806</v>
      </c>
      <c r="D4064" t="s">
        <v>72</v>
      </c>
      <c r="E4064" t="s">
        <v>89</v>
      </c>
      <c r="F4064">
        <v>76</v>
      </c>
      <c r="G4064">
        <v>60</v>
      </c>
      <c r="H4064" t="s">
        <v>7524</v>
      </c>
      <c r="I4064" t="s">
        <v>75</v>
      </c>
      <c r="J4064" t="s">
        <v>201</v>
      </c>
      <c r="K4064">
        <v>1</v>
      </c>
      <c r="L4064" t="s">
        <v>7524</v>
      </c>
      <c r="M4064"/>
      <c r="N4064">
        <v>0</v>
      </c>
      <c r="O4064" t="b">
        <v>1</v>
      </c>
      <c r="P4064"/>
      <c r="Q4064" t="b">
        <v>0</v>
      </c>
      <c r="R4064">
        <v>1</v>
      </c>
      <c r="S4064" t="s">
        <v>77</v>
      </c>
      <c r="T4064">
        <v>999</v>
      </c>
      <c r="U4064" t="s">
        <v>7525</v>
      </c>
      <c r="V4064">
        <f t="shared" si="3"/>
        <v>31813076</v>
      </c>
      <c r="W4064"/>
      <c r="X4064" t="s">
        <v>2807</v>
      </c>
      <c r="Y4064" t="s">
        <v>215</v>
      </c>
      <c r="Z4064">
        <v>20604</v>
      </c>
      <c r="AA4064" t="s">
        <v>2808</v>
      </c>
      <c r="AB4064">
        <v>40001</v>
      </c>
      <c r="AC4064"/>
      <c r="AD4064"/>
      <c r="AE4064" t="s">
        <v>7524</v>
      </c>
      <c r="AF4064" t="s">
        <v>7524</v>
      </c>
      <c r="AG4064" t="s">
        <v>89</v>
      </c>
    </row>
    <row r="4065" spans="2:33">
      <c r="B4065" s="14">
        <f>10000000+INDEX(编号表!$B:$B,MATCH(H4065,编号表!$A:$A,0))*100000+INDEX(编号表!$F:$F,MATCH(D4065,编号表!$E:$E,0))*10000+INDEX(编号表!$D:$D,MATCH(AG4065,编号表!$C:$C,0))*1000+F4065</f>
        <v>11813077</v>
      </c>
      <c r="C4065" t="s">
        <v>2813</v>
      </c>
      <c r="D4065" t="s">
        <v>72</v>
      </c>
      <c r="E4065" t="s">
        <v>89</v>
      </c>
      <c r="F4065">
        <v>77</v>
      </c>
      <c r="G4065">
        <v>60</v>
      </c>
      <c r="H4065" t="s">
        <v>7524</v>
      </c>
      <c r="I4065" t="s">
        <v>75</v>
      </c>
      <c r="J4065" t="s">
        <v>201</v>
      </c>
      <c r="K4065">
        <v>1</v>
      </c>
      <c r="L4065" t="s">
        <v>7524</v>
      </c>
      <c r="M4065"/>
      <c r="N4065">
        <v>0</v>
      </c>
      <c r="O4065" t="b">
        <v>1</v>
      </c>
      <c r="P4065"/>
      <c r="Q4065" t="b">
        <v>0</v>
      </c>
      <c r="R4065">
        <v>1</v>
      </c>
      <c r="S4065" t="s">
        <v>77</v>
      </c>
      <c r="T4065">
        <v>999</v>
      </c>
      <c r="U4065" t="s">
        <v>7525</v>
      </c>
      <c r="V4065">
        <f t="shared" si="3"/>
        <v>31813077</v>
      </c>
      <c r="W4065"/>
      <c r="X4065" t="s">
        <v>2814</v>
      </c>
      <c r="Y4065" t="s">
        <v>215</v>
      </c>
      <c r="Z4065">
        <v>20607</v>
      </c>
      <c r="AA4065" t="s">
        <v>2815</v>
      </c>
      <c r="AB4065">
        <v>40001</v>
      </c>
      <c r="AC4065"/>
      <c r="AD4065"/>
      <c r="AE4065" t="s">
        <v>7524</v>
      </c>
      <c r="AF4065" t="s">
        <v>7524</v>
      </c>
      <c r="AG4065" t="s">
        <v>89</v>
      </c>
    </row>
    <row r="4066" spans="2:33">
      <c r="B4066" s="14">
        <f>10000000+INDEX(编号表!$B:$B,MATCH(H4066,编号表!$A:$A,0))*100000+INDEX(编号表!$F:$F,MATCH(D4066,编号表!$E:$E,0))*10000+INDEX(编号表!$D:$D,MATCH(AG4066,编号表!$C:$C,0))*1000+F4066</f>
        <v>11813078</v>
      </c>
      <c r="C4066" t="s">
        <v>2820</v>
      </c>
      <c r="D4066" t="s">
        <v>72</v>
      </c>
      <c r="E4066" t="s">
        <v>89</v>
      </c>
      <c r="F4066">
        <v>78</v>
      </c>
      <c r="G4066">
        <v>60</v>
      </c>
      <c r="H4066" t="s">
        <v>7524</v>
      </c>
      <c r="I4066" t="s">
        <v>75</v>
      </c>
      <c r="J4066" t="s">
        <v>201</v>
      </c>
      <c r="K4066">
        <v>1</v>
      </c>
      <c r="L4066" t="s">
        <v>7524</v>
      </c>
      <c r="M4066"/>
      <c r="N4066">
        <v>0</v>
      </c>
      <c r="O4066" t="b">
        <v>1</v>
      </c>
      <c r="P4066"/>
      <c r="Q4066" t="b">
        <v>0</v>
      </c>
      <c r="R4066">
        <v>1</v>
      </c>
      <c r="S4066" t="s">
        <v>77</v>
      </c>
      <c r="T4066">
        <v>999</v>
      </c>
      <c r="U4066" t="s">
        <v>7525</v>
      </c>
      <c r="V4066">
        <f t="shared" si="3"/>
        <v>31813078</v>
      </c>
      <c r="W4066"/>
      <c r="X4066" t="s">
        <v>2821</v>
      </c>
      <c r="Y4066" t="s">
        <v>215</v>
      </c>
      <c r="Z4066">
        <v>20610</v>
      </c>
      <c r="AA4066" t="s">
        <v>2822</v>
      </c>
      <c r="AB4066">
        <v>40001</v>
      </c>
      <c r="AC4066"/>
      <c r="AD4066"/>
      <c r="AE4066" t="s">
        <v>7524</v>
      </c>
      <c r="AF4066" t="s">
        <v>7524</v>
      </c>
      <c r="AG4066" t="s">
        <v>89</v>
      </c>
    </row>
    <row r="4067" spans="2:33">
      <c r="B4067" s="14">
        <f>10000000+INDEX(编号表!$B:$B,MATCH(H4067,编号表!$A:$A,0))*100000+INDEX(编号表!$F:$F,MATCH(D4067,编号表!$E:$E,0))*10000+INDEX(编号表!$D:$D,MATCH(AG4067,编号表!$C:$C,0))*1000+F4067</f>
        <v>11813079</v>
      </c>
      <c r="C4067" t="s">
        <v>2827</v>
      </c>
      <c r="D4067" t="s">
        <v>72</v>
      </c>
      <c r="E4067" t="s">
        <v>89</v>
      </c>
      <c r="F4067">
        <v>79</v>
      </c>
      <c r="G4067">
        <v>60</v>
      </c>
      <c r="H4067" t="s">
        <v>7524</v>
      </c>
      <c r="I4067" t="s">
        <v>75</v>
      </c>
      <c r="J4067" t="s">
        <v>201</v>
      </c>
      <c r="K4067">
        <v>1</v>
      </c>
      <c r="L4067" t="s">
        <v>7524</v>
      </c>
      <c r="M4067"/>
      <c r="N4067">
        <v>0</v>
      </c>
      <c r="O4067" t="b">
        <v>1</v>
      </c>
      <c r="P4067"/>
      <c r="Q4067" t="b">
        <v>0</v>
      </c>
      <c r="R4067">
        <v>1</v>
      </c>
      <c r="S4067" t="s">
        <v>77</v>
      </c>
      <c r="T4067">
        <v>999</v>
      </c>
      <c r="U4067" t="s">
        <v>7525</v>
      </c>
      <c r="V4067">
        <f t="shared" si="3"/>
        <v>31813079</v>
      </c>
      <c r="W4067"/>
      <c r="X4067" t="s">
        <v>2828</v>
      </c>
      <c r="Y4067" t="s">
        <v>215</v>
      </c>
      <c r="Z4067">
        <v>20613</v>
      </c>
      <c r="AA4067" t="s">
        <v>2829</v>
      </c>
      <c r="AB4067">
        <v>40001</v>
      </c>
      <c r="AC4067"/>
      <c r="AD4067"/>
      <c r="AE4067" t="s">
        <v>7524</v>
      </c>
      <c r="AF4067" t="s">
        <v>7524</v>
      </c>
      <c r="AG4067" t="s">
        <v>89</v>
      </c>
    </row>
    <row r="4068" spans="2:33">
      <c r="B4068" s="14">
        <f>10000000+INDEX(编号表!$B:$B,MATCH(H4068,编号表!$A:$A,0))*100000+INDEX(编号表!$F:$F,MATCH(D4068,编号表!$E:$E,0))*10000+INDEX(编号表!$D:$D,MATCH(AG4068,编号表!$C:$C,0))*1000+F4068</f>
        <v>11813080</v>
      </c>
      <c r="C4068" t="s">
        <v>2834</v>
      </c>
      <c r="D4068" t="s">
        <v>72</v>
      </c>
      <c r="E4068" t="s">
        <v>89</v>
      </c>
      <c r="F4068">
        <v>80</v>
      </c>
      <c r="G4068">
        <v>60</v>
      </c>
      <c r="H4068" t="s">
        <v>7524</v>
      </c>
      <c r="I4068" t="s">
        <v>75</v>
      </c>
      <c r="J4068" t="s">
        <v>201</v>
      </c>
      <c r="K4068">
        <v>1</v>
      </c>
      <c r="L4068" t="s">
        <v>7524</v>
      </c>
      <c r="M4068"/>
      <c r="N4068">
        <v>0</v>
      </c>
      <c r="O4068" t="b">
        <v>1</v>
      </c>
      <c r="P4068"/>
      <c r="Q4068" t="b">
        <v>0</v>
      </c>
      <c r="R4068">
        <v>1</v>
      </c>
      <c r="S4068" t="s">
        <v>77</v>
      </c>
      <c r="T4068">
        <v>999</v>
      </c>
      <c r="U4068" t="s">
        <v>7525</v>
      </c>
      <c r="V4068">
        <f t="shared" si="3"/>
        <v>31813080</v>
      </c>
      <c r="W4068"/>
      <c r="X4068" t="s">
        <v>2835</v>
      </c>
      <c r="Y4068" t="s">
        <v>215</v>
      </c>
      <c r="Z4068">
        <v>20616</v>
      </c>
      <c r="AA4068" t="s">
        <v>2836</v>
      </c>
      <c r="AB4068">
        <v>40001</v>
      </c>
      <c r="AC4068"/>
      <c r="AD4068"/>
      <c r="AE4068" t="s">
        <v>7524</v>
      </c>
      <c r="AF4068" t="s">
        <v>7524</v>
      </c>
      <c r="AG4068" t="s">
        <v>89</v>
      </c>
    </row>
    <row r="4069" spans="2:33">
      <c r="B4069" s="14">
        <f>10000000+INDEX(编号表!$B:$B,MATCH(H4069,编号表!$A:$A,0))*100000+INDEX(编号表!$F:$F,MATCH(D4069,编号表!$E:$E,0))*10000+INDEX(编号表!$D:$D,MATCH(AG4069,编号表!$C:$C,0))*1000+F4069</f>
        <v>11813081</v>
      </c>
      <c r="C4069" t="s">
        <v>2841</v>
      </c>
      <c r="D4069" t="s">
        <v>72</v>
      </c>
      <c r="E4069" t="s">
        <v>89</v>
      </c>
      <c r="F4069">
        <v>81</v>
      </c>
      <c r="G4069">
        <v>60</v>
      </c>
      <c r="H4069" t="s">
        <v>7524</v>
      </c>
      <c r="I4069" t="s">
        <v>75</v>
      </c>
      <c r="J4069" t="s">
        <v>201</v>
      </c>
      <c r="K4069">
        <v>1</v>
      </c>
      <c r="L4069" t="s">
        <v>7524</v>
      </c>
      <c r="M4069"/>
      <c r="N4069">
        <v>0</v>
      </c>
      <c r="O4069" t="b">
        <v>1</v>
      </c>
      <c r="P4069"/>
      <c r="Q4069" t="b">
        <v>0</v>
      </c>
      <c r="R4069">
        <v>1</v>
      </c>
      <c r="S4069" t="s">
        <v>77</v>
      </c>
      <c r="T4069">
        <v>999</v>
      </c>
      <c r="U4069" t="s">
        <v>7525</v>
      </c>
      <c r="V4069">
        <f t="shared" si="3"/>
        <v>31813081</v>
      </c>
      <c r="W4069"/>
      <c r="X4069" t="s">
        <v>2842</v>
      </c>
      <c r="Y4069" t="s">
        <v>215</v>
      </c>
      <c r="Z4069">
        <v>20619</v>
      </c>
      <c r="AA4069" t="s">
        <v>2843</v>
      </c>
      <c r="AB4069">
        <v>40001</v>
      </c>
      <c r="AC4069"/>
      <c r="AD4069"/>
      <c r="AE4069" t="s">
        <v>7524</v>
      </c>
      <c r="AF4069" t="s">
        <v>7524</v>
      </c>
      <c r="AG4069" t="s">
        <v>89</v>
      </c>
    </row>
    <row r="4070" spans="2:33">
      <c r="B4070" s="14">
        <f>10000000+INDEX(编号表!$B:$B,MATCH(H4070,编号表!$A:$A,0))*100000+INDEX(编号表!$F:$F,MATCH(D4070,编号表!$E:$E,0))*10000+INDEX(编号表!$D:$D,MATCH(AG4070,编号表!$C:$C,0))*1000+F4070</f>
        <v>11813082</v>
      </c>
      <c r="C4070" t="s">
        <v>2848</v>
      </c>
      <c r="D4070" t="s">
        <v>72</v>
      </c>
      <c r="E4070" t="s">
        <v>89</v>
      </c>
      <c r="F4070">
        <v>82</v>
      </c>
      <c r="G4070">
        <v>60</v>
      </c>
      <c r="H4070" t="s">
        <v>7524</v>
      </c>
      <c r="I4070" t="s">
        <v>75</v>
      </c>
      <c r="J4070" t="s">
        <v>201</v>
      </c>
      <c r="K4070">
        <v>1</v>
      </c>
      <c r="L4070" t="s">
        <v>7524</v>
      </c>
      <c r="M4070"/>
      <c r="N4070">
        <v>0</v>
      </c>
      <c r="O4070" t="b">
        <v>1</v>
      </c>
      <c r="P4070"/>
      <c r="Q4070" t="b">
        <v>0</v>
      </c>
      <c r="R4070">
        <v>1</v>
      </c>
      <c r="S4070" t="s">
        <v>77</v>
      </c>
      <c r="T4070">
        <v>999</v>
      </c>
      <c r="U4070" t="s">
        <v>7525</v>
      </c>
      <c r="V4070">
        <f t="shared" si="3"/>
        <v>31813082</v>
      </c>
      <c r="W4070"/>
      <c r="X4070" t="s">
        <v>2849</v>
      </c>
      <c r="Y4070" t="s">
        <v>215</v>
      </c>
      <c r="Z4070">
        <v>20622</v>
      </c>
      <c r="AA4070" t="s">
        <v>2850</v>
      </c>
      <c r="AB4070">
        <v>40001</v>
      </c>
      <c r="AC4070"/>
      <c r="AD4070"/>
      <c r="AE4070" t="s">
        <v>7524</v>
      </c>
      <c r="AF4070" t="s">
        <v>7524</v>
      </c>
      <c r="AG4070" t="s">
        <v>89</v>
      </c>
    </row>
    <row r="4071" spans="2:33">
      <c r="B4071" s="14">
        <f>10000000+INDEX(编号表!$B:$B,MATCH(H4071,编号表!$A:$A,0))*100000+INDEX(编号表!$F:$F,MATCH(D4071,编号表!$E:$E,0))*10000+INDEX(编号表!$D:$D,MATCH(AG4071,编号表!$C:$C,0))*1000+F4071</f>
        <v>11813083</v>
      </c>
      <c r="C4071" t="s">
        <v>2855</v>
      </c>
      <c r="D4071" t="s">
        <v>72</v>
      </c>
      <c r="E4071" t="s">
        <v>89</v>
      </c>
      <c r="F4071">
        <v>83</v>
      </c>
      <c r="G4071">
        <v>60</v>
      </c>
      <c r="H4071" t="s">
        <v>7524</v>
      </c>
      <c r="I4071" t="s">
        <v>75</v>
      </c>
      <c r="J4071" t="s">
        <v>201</v>
      </c>
      <c r="K4071">
        <v>1</v>
      </c>
      <c r="L4071" t="s">
        <v>7524</v>
      </c>
      <c r="M4071"/>
      <c r="N4071">
        <v>0</v>
      </c>
      <c r="O4071" t="b">
        <v>1</v>
      </c>
      <c r="P4071"/>
      <c r="Q4071" t="b">
        <v>0</v>
      </c>
      <c r="R4071">
        <v>1</v>
      </c>
      <c r="S4071" t="s">
        <v>77</v>
      </c>
      <c r="T4071">
        <v>999</v>
      </c>
      <c r="U4071" t="s">
        <v>7525</v>
      </c>
      <c r="V4071">
        <f t="shared" si="3"/>
        <v>31813083</v>
      </c>
      <c r="W4071"/>
      <c r="X4071" t="s">
        <v>2856</v>
      </c>
      <c r="Y4071" t="s">
        <v>215</v>
      </c>
      <c r="Z4071">
        <v>20625</v>
      </c>
      <c r="AA4071" t="s">
        <v>2857</v>
      </c>
      <c r="AB4071">
        <v>40001</v>
      </c>
      <c r="AC4071"/>
      <c r="AD4071"/>
      <c r="AE4071" t="s">
        <v>7524</v>
      </c>
      <c r="AF4071" t="s">
        <v>7524</v>
      </c>
      <c r="AG4071" t="s">
        <v>89</v>
      </c>
    </row>
    <row r="4072" spans="2:33">
      <c r="B4072" s="14">
        <f>10000000+INDEX(编号表!$B:$B,MATCH(H4072,编号表!$A:$A,0))*100000+INDEX(编号表!$F:$F,MATCH(D4072,编号表!$E:$E,0))*10000+INDEX(编号表!$D:$D,MATCH(AG4072,编号表!$C:$C,0))*1000+F4072</f>
        <v>11813084</v>
      </c>
      <c r="C4072" t="s">
        <v>2862</v>
      </c>
      <c r="D4072" t="s">
        <v>72</v>
      </c>
      <c r="E4072" t="s">
        <v>89</v>
      </c>
      <c r="F4072">
        <v>84</v>
      </c>
      <c r="G4072">
        <v>60</v>
      </c>
      <c r="H4072" t="s">
        <v>7524</v>
      </c>
      <c r="I4072" t="s">
        <v>75</v>
      </c>
      <c r="J4072" t="s">
        <v>201</v>
      </c>
      <c r="K4072">
        <v>1</v>
      </c>
      <c r="L4072" t="s">
        <v>7524</v>
      </c>
      <c r="M4072"/>
      <c r="N4072">
        <v>0</v>
      </c>
      <c r="O4072" t="b">
        <v>1</v>
      </c>
      <c r="P4072"/>
      <c r="Q4072" t="b">
        <v>0</v>
      </c>
      <c r="R4072">
        <v>1</v>
      </c>
      <c r="S4072" t="s">
        <v>77</v>
      </c>
      <c r="T4072">
        <v>999</v>
      </c>
      <c r="U4072" t="s">
        <v>7525</v>
      </c>
      <c r="V4072">
        <f t="shared" si="3"/>
        <v>31813084</v>
      </c>
      <c r="W4072"/>
      <c r="X4072" t="s">
        <v>2863</v>
      </c>
      <c r="Y4072" t="s">
        <v>215</v>
      </c>
      <c r="Z4072">
        <v>20628</v>
      </c>
      <c r="AA4072" t="s">
        <v>2864</v>
      </c>
      <c r="AB4072">
        <v>40001</v>
      </c>
      <c r="AC4072"/>
      <c r="AD4072"/>
      <c r="AE4072" t="s">
        <v>7524</v>
      </c>
      <c r="AF4072" t="s">
        <v>7524</v>
      </c>
      <c r="AG4072" t="s">
        <v>89</v>
      </c>
    </row>
    <row r="4073" spans="2:33">
      <c r="B4073" s="14">
        <f>10000000+INDEX(编号表!$B:$B,MATCH(H4073,编号表!$A:$A,0))*100000+INDEX(编号表!$F:$F,MATCH(D4073,编号表!$E:$E,0))*10000+INDEX(编号表!$D:$D,MATCH(AG4073,编号表!$C:$C,0))*1000+F4073</f>
        <v>11813085</v>
      </c>
      <c r="C4073" t="s">
        <v>2869</v>
      </c>
      <c r="D4073" t="s">
        <v>72</v>
      </c>
      <c r="E4073" t="s">
        <v>89</v>
      </c>
      <c r="F4073">
        <v>85</v>
      </c>
      <c r="G4073">
        <v>60</v>
      </c>
      <c r="H4073" t="s">
        <v>7524</v>
      </c>
      <c r="I4073" t="s">
        <v>75</v>
      </c>
      <c r="J4073" t="s">
        <v>201</v>
      </c>
      <c r="K4073">
        <v>1</v>
      </c>
      <c r="L4073" t="s">
        <v>7524</v>
      </c>
      <c r="M4073"/>
      <c r="N4073">
        <v>0</v>
      </c>
      <c r="O4073" t="b">
        <v>1</v>
      </c>
      <c r="P4073"/>
      <c r="Q4073" t="b">
        <v>0</v>
      </c>
      <c r="R4073">
        <v>1</v>
      </c>
      <c r="S4073" t="s">
        <v>77</v>
      </c>
      <c r="T4073">
        <v>999</v>
      </c>
      <c r="U4073" t="s">
        <v>7525</v>
      </c>
      <c r="V4073">
        <f t="shared" si="3"/>
        <v>31813085</v>
      </c>
      <c r="W4073"/>
      <c r="X4073" t="s">
        <v>2870</v>
      </c>
      <c r="Y4073" t="s">
        <v>215</v>
      </c>
      <c r="Z4073">
        <v>20631</v>
      </c>
      <c r="AA4073" t="s">
        <v>2871</v>
      </c>
      <c r="AB4073">
        <v>40001</v>
      </c>
      <c r="AC4073"/>
      <c r="AD4073"/>
      <c r="AE4073" t="s">
        <v>7524</v>
      </c>
      <c r="AF4073" t="s">
        <v>7524</v>
      </c>
      <c r="AG4073" t="s">
        <v>89</v>
      </c>
    </row>
    <row r="4074" spans="2:33">
      <c r="B4074" s="14">
        <f>10000000+INDEX(编号表!$B:$B,MATCH(H4074,编号表!$A:$A,0))*100000+INDEX(编号表!$F:$F,MATCH(D4074,编号表!$E:$E,0))*10000+INDEX(编号表!$D:$D,MATCH(AG4074,编号表!$C:$C,0))*1000+F4074</f>
        <v>11813086</v>
      </c>
      <c r="C4074" t="s">
        <v>2876</v>
      </c>
      <c r="D4074" t="s">
        <v>72</v>
      </c>
      <c r="E4074" t="s">
        <v>89</v>
      </c>
      <c r="F4074">
        <v>86</v>
      </c>
      <c r="G4074">
        <v>60</v>
      </c>
      <c r="H4074" t="s">
        <v>7524</v>
      </c>
      <c r="I4074" t="s">
        <v>75</v>
      </c>
      <c r="J4074" t="s">
        <v>201</v>
      </c>
      <c r="K4074">
        <v>1</v>
      </c>
      <c r="L4074" t="s">
        <v>7524</v>
      </c>
      <c r="M4074"/>
      <c r="N4074">
        <v>0</v>
      </c>
      <c r="O4074" t="b">
        <v>1</v>
      </c>
      <c r="P4074"/>
      <c r="Q4074" t="b">
        <v>0</v>
      </c>
      <c r="R4074">
        <v>1</v>
      </c>
      <c r="S4074" t="s">
        <v>77</v>
      </c>
      <c r="T4074">
        <v>999</v>
      </c>
      <c r="U4074" t="s">
        <v>7525</v>
      </c>
      <c r="V4074">
        <f t="shared" si="3"/>
        <v>31813086</v>
      </c>
      <c r="W4074"/>
      <c r="X4074" t="s">
        <v>2877</v>
      </c>
      <c r="Y4074" t="s">
        <v>215</v>
      </c>
      <c r="Z4074">
        <v>20634</v>
      </c>
      <c r="AA4074" t="s">
        <v>2878</v>
      </c>
      <c r="AB4074">
        <v>40001</v>
      </c>
      <c r="AC4074"/>
      <c r="AD4074"/>
      <c r="AE4074" t="s">
        <v>7524</v>
      </c>
      <c r="AF4074" t="s">
        <v>7524</v>
      </c>
      <c r="AG4074" t="s">
        <v>89</v>
      </c>
    </row>
    <row r="4075" spans="2:33">
      <c r="B4075" s="14">
        <f>10000000+INDEX(编号表!$B:$B,MATCH(H4075,编号表!$A:$A,0))*100000+INDEX(编号表!$F:$F,MATCH(D4075,编号表!$E:$E,0))*10000+INDEX(编号表!$D:$D,MATCH(AG4075,编号表!$C:$C,0))*1000+F4075</f>
        <v>11813087</v>
      </c>
      <c r="C4075" t="s">
        <v>2883</v>
      </c>
      <c r="D4075" t="s">
        <v>72</v>
      </c>
      <c r="E4075" t="s">
        <v>89</v>
      </c>
      <c r="F4075">
        <v>87</v>
      </c>
      <c r="G4075">
        <v>60</v>
      </c>
      <c r="H4075" t="s">
        <v>7524</v>
      </c>
      <c r="I4075" t="s">
        <v>75</v>
      </c>
      <c r="J4075" t="s">
        <v>201</v>
      </c>
      <c r="K4075">
        <v>1</v>
      </c>
      <c r="L4075" t="s">
        <v>7524</v>
      </c>
      <c r="M4075"/>
      <c r="N4075">
        <v>0</v>
      </c>
      <c r="O4075" t="b">
        <v>1</v>
      </c>
      <c r="P4075"/>
      <c r="Q4075" t="b">
        <v>0</v>
      </c>
      <c r="R4075">
        <v>1</v>
      </c>
      <c r="S4075" t="s">
        <v>77</v>
      </c>
      <c r="T4075">
        <v>999</v>
      </c>
      <c r="U4075" t="s">
        <v>7525</v>
      </c>
      <c r="V4075">
        <f t="shared" si="3"/>
        <v>31813087</v>
      </c>
      <c r="W4075"/>
      <c r="X4075" t="s">
        <v>2884</v>
      </c>
      <c r="Y4075" t="s">
        <v>215</v>
      </c>
      <c r="Z4075">
        <v>20637</v>
      </c>
      <c r="AA4075" t="s">
        <v>2885</v>
      </c>
      <c r="AB4075">
        <v>40001</v>
      </c>
      <c r="AC4075"/>
      <c r="AD4075"/>
      <c r="AE4075" t="s">
        <v>7524</v>
      </c>
      <c r="AF4075" t="s">
        <v>7524</v>
      </c>
      <c r="AG4075" t="s">
        <v>89</v>
      </c>
    </row>
    <row r="4076" spans="2:33">
      <c r="B4076" s="14">
        <f>10000000+INDEX(编号表!$B:$B,MATCH(H4076,编号表!$A:$A,0))*100000+INDEX(编号表!$F:$F,MATCH(D4076,编号表!$E:$E,0))*10000+INDEX(编号表!$D:$D,MATCH(AG4076,编号表!$C:$C,0))*1000+F4076</f>
        <v>11813088</v>
      </c>
      <c r="C4076" t="s">
        <v>2890</v>
      </c>
      <c r="D4076" t="s">
        <v>72</v>
      </c>
      <c r="E4076" t="s">
        <v>89</v>
      </c>
      <c r="F4076">
        <v>88</v>
      </c>
      <c r="G4076">
        <v>60</v>
      </c>
      <c r="H4076" t="s">
        <v>7524</v>
      </c>
      <c r="I4076" t="s">
        <v>75</v>
      </c>
      <c r="J4076" t="s">
        <v>201</v>
      </c>
      <c r="K4076">
        <v>1</v>
      </c>
      <c r="L4076" t="s">
        <v>7524</v>
      </c>
      <c r="M4076"/>
      <c r="N4076">
        <v>0</v>
      </c>
      <c r="O4076" t="b">
        <v>1</v>
      </c>
      <c r="P4076"/>
      <c r="Q4076" t="b">
        <v>0</v>
      </c>
      <c r="R4076">
        <v>1</v>
      </c>
      <c r="S4076" t="s">
        <v>77</v>
      </c>
      <c r="T4076">
        <v>999</v>
      </c>
      <c r="U4076" t="s">
        <v>7525</v>
      </c>
      <c r="V4076">
        <f t="shared" si="3"/>
        <v>31813088</v>
      </c>
      <c r="W4076"/>
      <c r="X4076" t="s">
        <v>2891</v>
      </c>
      <c r="Y4076" t="s">
        <v>215</v>
      </c>
      <c r="Z4076">
        <v>20640</v>
      </c>
      <c r="AA4076" t="s">
        <v>2892</v>
      </c>
      <c r="AB4076">
        <v>40001</v>
      </c>
      <c r="AC4076"/>
      <c r="AD4076"/>
      <c r="AE4076" t="s">
        <v>7524</v>
      </c>
      <c r="AF4076" t="s">
        <v>7524</v>
      </c>
      <c r="AG4076" t="s">
        <v>89</v>
      </c>
    </row>
    <row r="4077" spans="2:33">
      <c r="B4077" s="14">
        <f>10000000+INDEX(编号表!$B:$B,MATCH(H4077,编号表!$A:$A,0))*100000+INDEX(编号表!$F:$F,MATCH(D4077,编号表!$E:$E,0))*10000+INDEX(编号表!$D:$D,MATCH(AG4077,编号表!$C:$C,0))*1000+F4077</f>
        <v>11813089</v>
      </c>
      <c r="C4077" t="s">
        <v>2897</v>
      </c>
      <c r="D4077" t="s">
        <v>72</v>
      </c>
      <c r="E4077" t="s">
        <v>89</v>
      </c>
      <c r="F4077">
        <v>89</v>
      </c>
      <c r="G4077">
        <v>60</v>
      </c>
      <c r="H4077" t="s">
        <v>7524</v>
      </c>
      <c r="I4077" t="s">
        <v>75</v>
      </c>
      <c r="J4077" t="s">
        <v>201</v>
      </c>
      <c r="K4077">
        <v>1</v>
      </c>
      <c r="L4077" t="s">
        <v>7524</v>
      </c>
      <c r="M4077"/>
      <c r="N4077">
        <v>0</v>
      </c>
      <c r="O4077" t="b">
        <v>1</v>
      </c>
      <c r="P4077"/>
      <c r="Q4077" t="b">
        <v>0</v>
      </c>
      <c r="R4077">
        <v>1</v>
      </c>
      <c r="S4077" t="s">
        <v>77</v>
      </c>
      <c r="T4077">
        <v>999</v>
      </c>
      <c r="U4077" t="s">
        <v>7525</v>
      </c>
      <c r="V4077">
        <f t="shared" si="3"/>
        <v>31813089</v>
      </c>
      <c r="W4077"/>
      <c r="X4077" t="s">
        <v>2898</v>
      </c>
      <c r="Y4077" t="s">
        <v>215</v>
      </c>
      <c r="Z4077">
        <v>20643</v>
      </c>
      <c r="AA4077" t="s">
        <v>2899</v>
      </c>
      <c r="AB4077">
        <v>40001</v>
      </c>
      <c r="AC4077"/>
      <c r="AD4077"/>
      <c r="AE4077" t="s">
        <v>7524</v>
      </c>
      <c r="AF4077" t="s">
        <v>7524</v>
      </c>
      <c r="AG4077" t="s">
        <v>89</v>
      </c>
    </row>
    <row r="4078" spans="2:33">
      <c r="B4078" s="14">
        <f>10000000+INDEX(编号表!$B:$B,MATCH(H4078,编号表!$A:$A,0))*100000+INDEX(编号表!$F:$F,MATCH(D4078,编号表!$E:$E,0))*10000+INDEX(编号表!$D:$D,MATCH(AG4078,编号表!$C:$C,0))*1000+F4078</f>
        <v>11813090</v>
      </c>
      <c r="C4078" t="s">
        <v>2904</v>
      </c>
      <c r="D4078" t="s">
        <v>72</v>
      </c>
      <c r="E4078" t="s">
        <v>89</v>
      </c>
      <c r="F4078">
        <v>90</v>
      </c>
      <c r="G4078">
        <v>60</v>
      </c>
      <c r="H4078" t="s">
        <v>7524</v>
      </c>
      <c r="I4078" t="s">
        <v>75</v>
      </c>
      <c r="J4078" t="s">
        <v>201</v>
      </c>
      <c r="K4078">
        <v>1</v>
      </c>
      <c r="L4078" t="s">
        <v>7524</v>
      </c>
      <c r="M4078"/>
      <c r="N4078">
        <v>0</v>
      </c>
      <c r="O4078" t="b">
        <v>1</v>
      </c>
      <c r="P4078"/>
      <c r="Q4078" t="b">
        <v>0</v>
      </c>
      <c r="R4078">
        <v>1</v>
      </c>
      <c r="S4078" t="s">
        <v>77</v>
      </c>
      <c r="T4078">
        <v>999</v>
      </c>
      <c r="U4078" t="s">
        <v>7525</v>
      </c>
      <c r="V4078">
        <f t="shared" si="3"/>
        <v>31813090</v>
      </c>
      <c r="W4078"/>
      <c r="X4078" t="s">
        <v>2905</v>
      </c>
      <c r="Y4078" t="s">
        <v>215</v>
      </c>
      <c r="Z4078">
        <v>20646</v>
      </c>
      <c r="AA4078" t="s">
        <v>2906</v>
      </c>
      <c r="AB4078">
        <v>40001</v>
      </c>
      <c r="AC4078"/>
      <c r="AD4078"/>
      <c r="AE4078" t="s">
        <v>7524</v>
      </c>
      <c r="AF4078" t="s">
        <v>7524</v>
      </c>
      <c r="AG4078" t="s">
        <v>89</v>
      </c>
    </row>
    <row r="4079" spans="2:33">
      <c r="B4079" s="14">
        <f>10000000+INDEX(编号表!$B:$B,MATCH(H4079,编号表!$A:$A,0))*100000+INDEX(编号表!$F:$F,MATCH(D4079,编号表!$E:$E,0))*10000+INDEX(编号表!$D:$D,MATCH(AG4079,编号表!$C:$C,0))*1000+F4079</f>
        <v>11813091</v>
      </c>
      <c r="C4079" t="s">
        <v>2911</v>
      </c>
      <c r="D4079" t="s">
        <v>72</v>
      </c>
      <c r="E4079" t="s">
        <v>89</v>
      </c>
      <c r="F4079">
        <v>91</v>
      </c>
      <c r="G4079">
        <v>60</v>
      </c>
      <c r="H4079" t="s">
        <v>7524</v>
      </c>
      <c r="I4079" t="s">
        <v>75</v>
      </c>
      <c r="J4079" t="s">
        <v>201</v>
      </c>
      <c r="K4079">
        <v>1</v>
      </c>
      <c r="L4079" t="s">
        <v>7524</v>
      </c>
      <c r="M4079"/>
      <c r="N4079">
        <v>0</v>
      </c>
      <c r="O4079" t="b">
        <v>1</v>
      </c>
      <c r="P4079"/>
      <c r="Q4079" t="b">
        <v>0</v>
      </c>
      <c r="R4079">
        <v>1</v>
      </c>
      <c r="S4079" t="s">
        <v>77</v>
      </c>
      <c r="T4079">
        <v>999</v>
      </c>
      <c r="U4079" t="s">
        <v>7525</v>
      </c>
      <c r="V4079">
        <f t="shared" si="3"/>
        <v>31813091</v>
      </c>
      <c r="W4079"/>
      <c r="X4079" t="s">
        <v>2912</v>
      </c>
      <c r="Y4079" t="s">
        <v>215</v>
      </c>
      <c r="Z4079">
        <v>20649</v>
      </c>
      <c r="AA4079" t="s">
        <v>2913</v>
      </c>
      <c r="AB4079">
        <v>40001</v>
      </c>
      <c r="AC4079"/>
      <c r="AD4079"/>
      <c r="AE4079" t="s">
        <v>7524</v>
      </c>
      <c r="AF4079" t="s">
        <v>7524</v>
      </c>
      <c r="AG4079" t="s">
        <v>89</v>
      </c>
    </row>
    <row r="4080" spans="2:33">
      <c r="B4080" s="14">
        <f>10000000+INDEX(编号表!$B:$B,MATCH(H4080,编号表!$A:$A,0))*100000+INDEX(编号表!$F:$F,MATCH(D4080,编号表!$E:$E,0))*10000+INDEX(编号表!$D:$D,MATCH(AG4080,编号表!$C:$C,0))*1000+F4080</f>
        <v>11813092</v>
      </c>
      <c r="C4080" t="s">
        <v>2918</v>
      </c>
      <c r="D4080" t="s">
        <v>72</v>
      </c>
      <c r="E4080" t="s">
        <v>89</v>
      </c>
      <c r="F4080">
        <v>92</v>
      </c>
      <c r="G4080">
        <v>60</v>
      </c>
      <c r="H4080" t="s">
        <v>7524</v>
      </c>
      <c r="I4080" t="s">
        <v>75</v>
      </c>
      <c r="J4080" t="s">
        <v>201</v>
      </c>
      <c r="K4080">
        <v>1</v>
      </c>
      <c r="L4080" t="s">
        <v>7524</v>
      </c>
      <c r="M4080"/>
      <c r="N4080">
        <v>0</v>
      </c>
      <c r="O4080" t="b">
        <v>1</v>
      </c>
      <c r="P4080"/>
      <c r="Q4080" t="b">
        <v>0</v>
      </c>
      <c r="R4080">
        <v>1</v>
      </c>
      <c r="S4080" t="s">
        <v>77</v>
      </c>
      <c r="T4080">
        <v>999</v>
      </c>
      <c r="U4080" t="s">
        <v>7525</v>
      </c>
      <c r="V4080">
        <f t="shared" si="3"/>
        <v>31813092</v>
      </c>
      <c r="W4080"/>
      <c r="X4080" t="s">
        <v>2919</v>
      </c>
      <c r="Y4080" t="s">
        <v>215</v>
      </c>
      <c r="Z4080">
        <v>20652</v>
      </c>
      <c r="AA4080" t="s">
        <v>2920</v>
      </c>
      <c r="AB4080">
        <v>40001</v>
      </c>
      <c r="AC4080"/>
      <c r="AD4080"/>
      <c r="AE4080" t="s">
        <v>7524</v>
      </c>
      <c r="AF4080" t="s">
        <v>7524</v>
      </c>
      <c r="AG4080" t="s">
        <v>89</v>
      </c>
    </row>
    <row r="4081" spans="2:33">
      <c r="B4081" s="14">
        <f>10000000+INDEX(编号表!$B:$B,MATCH(H4081,编号表!$A:$A,0))*100000+INDEX(编号表!$F:$F,MATCH(D4081,编号表!$E:$E,0))*10000+INDEX(编号表!$D:$D,MATCH(AG4081,编号表!$C:$C,0))*1000+F4081</f>
        <v>11813093</v>
      </c>
      <c r="C4081" t="s">
        <v>2925</v>
      </c>
      <c r="D4081" t="s">
        <v>72</v>
      </c>
      <c r="E4081" t="s">
        <v>89</v>
      </c>
      <c r="F4081">
        <v>93</v>
      </c>
      <c r="G4081">
        <v>60</v>
      </c>
      <c r="H4081" t="s">
        <v>7524</v>
      </c>
      <c r="I4081" t="s">
        <v>75</v>
      </c>
      <c r="J4081" t="s">
        <v>201</v>
      </c>
      <c r="K4081">
        <v>1</v>
      </c>
      <c r="L4081" t="s">
        <v>7524</v>
      </c>
      <c r="M4081"/>
      <c r="N4081">
        <v>0</v>
      </c>
      <c r="O4081" t="b">
        <v>1</v>
      </c>
      <c r="P4081"/>
      <c r="Q4081" t="b">
        <v>0</v>
      </c>
      <c r="R4081">
        <v>1</v>
      </c>
      <c r="S4081" t="s">
        <v>77</v>
      </c>
      <c r="T4081">
        <v>999</v>
      </c>
      <c r="U4081" t="s">
        <v>7525</v>
      </c>
      <c r="V4081">
        <f t="shared" si="3"/>
        <v>31813093</v>
      </c>
      <c r="W4081"/>
      <c r="X4081" t="s">
        <v>2926</v>
      </c>
      <c r="Y4081" t="s">
        <v>215</v>
      </c>
      <c r="Z4081">
        <v>20655</v>
      </c>
      <c r="AA4081" t="s">
        <v>2927</v>
      </c>
      <c r="AB4081">
        <v>40001</v>
      </c>
      <c r="AC4081"/>
      <c r="AD4081"/>
      <c r="AE4081" t="s">
        <v>7524</v>
      </c>
      <c r="AF4081" t="s">
        <v>7524</v>
      </c>
      <c r="AG4081" t="s">
        <v>89</v>
      </c>
    </row>
    <row r="4082" spans="2:33">
      <c r="B4082" s="14">
        <f>10000000+INDEX(编号表!$B:$B,MATCH(H4082,编号表!$A:$A,0))*100000+INDEX(编号表!$F:$F,MATCH(D4082,编号表!$E:$E,0))*10000+INDEX(编号表!$D:$D,MATCH(AG4082,编号表!$C:$C,0))*1000+F4082</f>
        <v>11813094</v>
      </c>
      <c r="C4082" t="s">
        <v>2932</v>
      </c>
      <c r="D4082" t="s">
        <v>72</v>
      </c>
      <c r="E4082" t="s">
        <v>89</v>
      </c>
      <c r="F4082">
        <v>94</v>
      </c>
      <c r="G4082">
        <v>60</v>
      </c>
      <c r="H4082" t="s">
        <v>7524</v>
      </c>
      <c r="I4082" t="s">
        <v>75</v>
      </c>
      <c r="J4082" t="s">
        <v>201</v>
      </c>
      <c r="K4082">
        <v>1</v>
      </c>
      <c r="L4082" t="s">
        <v>7524</v>
      </c>
      <c r="M4082"/>
      <c r="N4082">
        <v>0</v>
      </c>
      <c r="O4082" t="b">
        <v>1</v>
      </c>
      <c r="P4082"/>
      <c r="Q4082" t="b">
        <v>0</v>
      </c>
      <c r="R4082">
        <v>1</v>
      </c>
      <c r="S4082" t="s">
        <v>77</v>
      </c>
      <c r="T4082">
        <v>999</v>
      </c>
      <c r="U4082" t="s">
        <v>7525</v>
      </c>
      <c r="V4082">
        <f t="shared" si="3"/>
        <v>31813094</v>
      </c>
      <c r="W4082"/>
      <c r="X4082" t="s">
        <v>2933</v>
      </c>
      <c r="Y4082" t="s">
        <v>215</v>
      </c>
      <c r="Z4082">
        <v>20658</v>
      </c>
      <c r="AA4082" t="s">
        <v>2934</v>
      </c>
      <c r="AB4082">
        <v>40001</v>
      </c>
      <c r="AC4082"/>
      <c r="AD4082"/>
      <c r="AE4082" t="s">
        <v>7524</v>
      </c>
      <c r="AF4082" t="s">
        <v>7524</v>
      </c>
      <c r="AG4082" t="s">
        <v>89</v>
      </c>
    </row>
    <row r="4083" spans="2:33">
      <c r="B4083" s="14">
        <f>10000000+INDEX(编号表!$B:$B,MATCH(H4083,编号表!$A:$A,0))*100000+INDEX(编号表!$F:$F,MATCH(D4083,编号表!$E:$E,0))*10000+INDEX(编号表!$D:$D,MATCH(AG4083,编号表!$C:$C,0))*1000+F4083</f>
        <v>11813095</v>
      </c>
      <c r="C4083" t="s">
        <v>2939</v>
      </c>
      <c r="D4083" t="s">
        <v>72</v>
      </c>
      <c r="E4083" t="s">
        <v>89</v>
      </c>
      <c r="F4083">
        <v>95</v>
      </c>
      <c r="G4083">
        <v>60</v>
      </c>
      <c r="H4083" t="s">
        <v>7524</v>
      </c>
      <c r="I4083" t="s">
        <v>75</v>
      </c>
      <c r="J4083" t="s">
        <v>201</v>
      </c>
      <c r="K4083">
        <v>1</v>
      </c>
      <c r="L4083" t="s">
        <v>7524</v>
      </c>
      <c r="M4083"/>
      <c r="N4083">
        <v>0</v>
      </c>
      <c r="O4083" t="b">
        <v>1</v>
      </c>
      <c r="P4083"/>
      <c r="Q4083" t="b">
        <v>0</v>
      </c>
      <c r="R4083">
        <v>1</v>
      </c>
      <c r="S4083" t="s">
        <v>77</v>
      </c>
      <c r="T4083">
        <v>999</v>
      </c>
      <c r="U4083" t="s">
        <v>7525</v>
      </c>
      <c r="V4083">
        <f t="shared" si="3"/>
        <v>31813095</v>
      </c>
      <c r="W4083"/>
      <c r="X4083" t="s">
        <v>2940</v>
      </c>
      <c r="Y4083" t="s">
        <v>215</v>
      </c>
      <c r="Z4083">
        <v>20661</v>
      </c>
      <c r="AA4083" t="s">
        <v>2941</v>
      </c>
      <c r="AB4083">
        <v>40001</v>
      </c>
      <c r="AC4083"/>
      <c r="AD4083"/>
      <c r="AE4083" t="s">
        <v>7524</v>
      </c>
      <c r="AF4083" t="s">
        <v>7524</v>
      </c>
      <c r="AG4083" t="s">
        <v>89</v>
      </c>
    </row>
    <row r="4084" spans="2:33">
      <c r="B4084" s="14">
        <f>10000000+INDEX(编号表!$B:$B,MATCH(H4084,编号表!$A:$A,0))*100000+INDEX(编号表!$F:$F,MATCH(D4084,编号表!$E:$E,0))*10000+INDEX(编号表!$D:$D,MATCH(AG4084,编号表!$C:$C,0))*1000+F4084</f>
        <v>11813096</v>
      </c>
      <c r="C4084" t="s">
        <v>2946</v>
      </c>
      <c r="D4084" t="s">
        <v>72</v>
      </c>
      <c r="E4084" t="s">
        <v>89</v>
      </c>
      <c r="F4084">
        <v>96</v>
      </c>
      <c r="G4084">
        <v>60</v>
      </c>
      <c r="H4084" t="s">
        <v>7524</v>
      </c>
      <c r="I4084" t="s">
        <v>75</v>
      </c>
      <c r="J4084" t="s">
        <v>201</v>
      </c>
      <c r="K4084">
        <v>1</v>
      </c>
      <c r="L4084" t="s">
        <v>7524</v>
      </c>
      <c r="M4084"/>
      <c r="N4084">
        <v>0</v>
      </c>
      <c r="O4084" t="b">
        <v>1</v>
      </c>
      <c r="P4084"/>
      <c r="Q4084" t="b">
        <v>0</v>
      </c>
      <c r="R4084">
        <v>1</v>
      </c>
      <c r="S4084" t="s">
        <v>77</v>
      </c>
      <c r="T4084">
        <v>999</v>
      </c>
      <c r="U4084" t="s">
        <v>7525</v>
      </c>
      <c r="V4084">
        <f t="shared" si="3"/>
        <v>31813096</v>
      </c>
      <c r="W4084"/>
      <c r="X4084" t="s">
        <v>2947</v>
      </c>
      <c r="Y4084" t="s">
        <v>215</v>
      </c>
      <c r="Z4084">
        <v>20664</v>
      </c>
      <c r="AA4084" t="s">
        <v>2948</v>
      </c>
      <c r="AB4084">
        <v>40001</v>
      </c>
      <c r="AC4084"/>
      <c r="AD4084"/>
      <c r="AE4084" t="s">
        <v>7524</v>
      </c>
      <c r="AF4084" t="s">
        <v>7524</v>
      </c>
      <c r="AG4084" t="s">
        <v>89</v>
      </c>
    </row>
    <row r="4085" spans="2:33">
      <c r="B4085" s="14">
        <f>10000000+INDEX(编号表!$B:$B,MATCH(H4085,编号表!$A:$A,0))*100000+INDEX(编号表!$F:$F,MATCH(D4085,编号表!$E:$E,0))*10000+INDEX(编号表!$D:$D,MATCH(AG4085,编号表!$C:$C,0))*1000+F4085</f>
        <v>11813097</v>
      </c>
      <c r="C4085" t="s">
        <v>2953</v>
      </c>
      <c r="D4085" t="s">
        <v>72</v>
      </c>
      <c r="E4085" t="s">
        <v>89</v>
      </c>
      <c r="F4085">
        <v>97</v>
      </c>
      <c r="G4085">
        <v>60</v>
      </c>
      <c r="H4085" t="s">
        <v>7524</v>
      </c>
      <c r="I4085" t="s">
        <v>75</v>
      </c>
      <c r="J4085" t="s">
        <v>201</v>
      </c>
      <c r="K4085">
        <v>1</v>
      </c>
      <c r="L4085" t="s">
        <v>7524</v>
      </c>
      <c r="M4085"/>
      <c r="N4085">
        <v>0</v>
      </c>
      <c r="O4085" t="b">
        <v>1</v>
      </c>
      <c r="P4085"/>
      <c r="Q4085" t="b">
        <v>0</v>
      </c>
      <c r="R4085">
        <v>1</v>
      </c>
      <c r="S4085" t="s">
        <v>77</v>
      </c>
      <c r="T4085">
        <v>999</v>
      </c>
      <c r="U4085" t="s">
        <v>7525</v>
      </c>
      <c r="V4085">
        <f t="shared" si="3"/>
        <v>31813097</v>
      </c>
      <c r="W4085"/>
      <c r="X4085" t="s">
        <v>2954</v>
      </c>
      <c r="Y4085" t="s">
        <v>215</v>
      </c>
      <c r="Z4085">
        <v>20667</v>
      </c>
      <c r="AA4085" t="s">
        <v>2955</v>
      </c>
      <c r="AB4085">
        <v>40001</v>
      </c>
      <c r="AC4085"/>
      <c r="AD4085"/>
      <c r="AE4085" t="s">
        <v>7524</v>
      </c>
      <c r="AF4085" t="s">
        <v>7524</v>
      </c>
      <c r="AG4085" t="s">
        <v>89</v>
      </c>
    </row>
    <row r="4086" spans="2:33">
      <c r="B4086" s="14">
        <f>10000000+INDEX(编号表!$B:$B,MATCH(H4086,编号表!$A:$A,0))*100000+INDEX(编号表!$F:$F,MATCH(D4086,编号表!$E:$E,0))*10000+INDEX(编号表!$D:$D,MATCH(AG4086,编号表!$C:$C,0))*1000+F4086</f>
        <v>11813098</v>
      </c>
      <c r="C4086" t="s">
        <v>2960</v>
      </c>
      <c r="D4086" t="s">
        <v>72</v>
      </c>
      <c r="E4086" t="s">
        <v>89</v>
      </c>
      <c r="F4086">
        <v>98</v>
      </c>
      <c r="G4086">
        <v>60</v>
      </c>
      <c r="H4086" t="s">
        <v>7524</v>
      </c>
      <c r="I4086" t="s">
        <v>75</v>
      </c>
      <c r="J4086" t="s">
        <v>201</v>
      </c>
      <c r="K4086">
        <v>1</v>
      </c>
      <c r="L4086" t="s">
        <v>7524</v>
      </c>
      <c r="M4086"/>
      <c r="N4086">
        <v>0</v>
      </c>
      <c r="O4086" t="b">
        <v>1</v>
      </c>
      <c r="P4086"/>
      <c r="Q4086" t="b">
        <v>0</v>
      </c>
      <c r="R4086">
        <v>1</v>
      </c>
      <c r="S4086" t="s">
        <v>77</v>
      </c>
      <c r="T4086">
        <v>999</v>
      </c>
      <c r="U4086" t="s">
        <v>7525</v>
      </c>
      <c r="V4086">
        <f t="shared" si="3"/>
        <v>31813098</v>
      </c>
      <c r="W4086"/>
      <c r="X4086" t="s">
        <v>2961</v>
      </c>
      <c r="Y4086" t="s">
        <v>215</v>
      </c>
      <c r="Z4086">
        <v>20670</v>
      </c>
      <c r="AA4086" t="s">
        <v>2962</v>
      </c>
      <c r="AB4086">
        <v>40001</v>
      </c>
      <c r="AC4086"/>
      <c r="AD4086"/>
      <c r="AE4086" t="s">
        <v>7524</v>
      </c>
      <c r="AF4086" t="s">
        <v>7524</v>
      </c>
      <c r="AG4086" t="s">
        <v>89</v>
      </c>
    </row>
    <row r="4087" spans="2:33">
      <c r="B4087" s="14">
        <f>10000000+INDEX(编号表!$B:$B,MATCH(H4087,编号表!$A:$A,0))*100000+INDEX(编号表!$F:$F,MATCH(D4087,编号表!$E:$E,0))*10000+INDEX(编号表!$D:$D,MATCH(AG4087,编号表!$C:$C,0))*1000+F4087</f>
        <v>11813099</v>
      </c>
      <c r="C4087" t="s">
        <v>2967</v>
      </c>
      <c r="D4087" t="s">
        <v>72</v>
      </c>
      <c r="E4087" t="s">
        <v>89</v>
      </c>
      <c r="F4087">
        <v>99</v>
      </c>
      <c r="G4087">
        <v>60</v>
      </c>
      <c r="H4087" t="s">
        <v>7524</v>
      </c>
      <c r="I4087" t="s">
        <v>75</v>
      </c>
      <c r="J4087" t="s">
        <v>201</v>
      </c>
      <c r="K4087">
        <v>1</v>
      </c>
      <c r="L4087" t="s">
        <v>7524</v>
      </c>
      <c r="M4087"/>
      <c r="N4087">
        <v>0</v>
      </c>
      <c r="O4087" t="b">
        <v>1</v>
      </c>
      <c r="P4087"/>
      <c r="Q4087" t="b">
        <v>0</v>
      </c>
      <c r="R4087">
        <v>1</v>
      </c>
      <c r="S4087" t="s">
        <v>77</v>
      </c>
      <c r="T4087">
        <v>999</v>
      </c>
      <c r="U4087" t="s">
        <v>7525</v>
      </c>
      <c r="V4087">
        <f t="shared" si="3"/>
        <v>31813099</v>
      </c>
      <c r="W4087"/>
      <c r="X4087" t="s">
        <v>2968</v>
      </c>
      <c r="Y4087" t="s">
        <v>215</v>
      </c>
      <c r="Z4087">
        <v>20673</v>
      </c>
      <c r="AA4087" t="s">
        <v>2969</v>
      </c>
      <c r="AB4087">
        <v>40001</v>
      </c>
      <c r="AC4087"/>
      <c r="AD4087"/>
      <c r="AE4087" t="s">
        <v>7524</v>
      </c>
      <c r="AF4087" t="s">
        <v>7524</v>
      </c>
      <c r="AG4087" t="s">
        <v>89</v>
      </c>
    </row>
    <row r="4088" spans="2:33">
      <c r="B4088" s="14">
        <f>10000000+INDEX(编号表!$B:$B,MATCH(H4088,编号表!$A:$A,0))*100000+INDEX(编号表!$F:$F,MATCH(D4088,编号表!$E:$E,0))*10000+INDEX(编号表!$D:$D,MATCH(AG4088,编号表!$C:$C,0))*1000+F4088</f>
        <v>11813100</v>
      </c>
      <c r="C4088" t="s">
        <v>2974</v>
      </c>
      <c r="D4088" t="s">
        <v>72</v>
      </c>
      <c r="E4088" t="s">
        <v>89</v>
      </c>
      <c r="F4088">
        <v>100</v>
      </c>
      <c r="G4088">
        <v>60</v>
      </c>
      <c r="H4088" t="s">
        <v>7524</v>
      </c>
      <c r="I4088" t="s">
        <v>75</v>
      </c>
      <c r="J4088" t="s">
        <v>201</v>
      </c>
      <c r="K4088">
        <v>1</v>
      </c>
      <c r="L4088" t="s">
        <v>7524</v>
      </c>
      <c r="M4088"/>
      <c r="N4088">
        <v>0</v>
      </c>
      <c r="O4088" t="b">
        <v>1</v>
      </c>
      <c r="P4088"/>
      <c r="Q4088" t="b">
        <v>0</v>
      </c>
      <c r="R4088">
        <v>1</v>
      </c>
      <c r="S4088" t="s">
        <v>77</v>
      </c>
      <c r="T4088">
        <v>999</v>
      </c>
      <c r="U4088" t="s">
        <v>7525</v>
      </c>
      <c r="V4088">
        <f t="shared" si="3"/>
        <v>31813100</v>
      </c>
      <c r="W4088"/>
      <c r="X4088" t="s">
        <v>2975</v>
      </c>
      <c r="Y4088" t="s">
        <v>215</v>
      </c>
      <c r="Z4088">
        <v>20676</v>
      </c>
      <c r="AA4088" t="s">
        <v>2976</v>
      </c>
      <c r="AB4088">
        <v>40001</v>
      </c>
      <c r="AC4088"/>
      <c r="AD4088"/>
      <c r="AE4088" t="s">
        <v>7524</v>
      </c>
      <c r="AF4088" t="s">
        <v>7524</v>
      </c>
      <c r="AG4088" t="s">
        <v>89</v>
      </c>
    </row>
    <row r="4089" spans="2:33">
      <c r="B4089" s="14">
        <f>10000000+INDEX(编号表!$B:$B,MATCH(H4089,编号表!$A:$A,0))*100000+INDEX(编号表!$F:$F,MATCH(D4089,编号表!$E:$E,0))*10000+INDEX(编号表!$D:$D,MATCH(AG4089,编号表!$C:$C,0))*1000+F4089</f>
        <v>11813101</v>
      </c>
      <c r="C4089" t="s">
        <v>2981</v>
      </c>
      <c r="D4089" t="s">
        <v>72</v>
      </c>
      <c r="E4089" t="s">
        <v>89</v>
      </c>
      <c r="F4089">
        <v>101</v>
      </c>
      <c r="G4089">
        <v>60</v>
      </c>
      <c r="H4089" t="s">
        <v>7524</v>
      </c>
      <c r="I4089" t="s">
        <v>75</v>
      </c>
      <c r="J4089" t="s">
        <v>201</v>
      </c>
      <c r="K4089">
        <v>1</v>
      </c>
      <c r="L4089" t="s">
        <v>7524</v>
      </c>
      <c r="M4089"/>
      <c r="N4089">
        <v>0</v>
      </c>
      <c r="O4089" t="b">
        <v>1</v>
      </c>
      <c r="P4089"/>
      <c r="Q4089" t="b">
        <v>0</v>
      </c>
      <c r="R4089">
        <v>1</v>
      </c>
      <c r="S4089" t="s">
        <v>77</v>
      </c>
      <c r="T4089">
        <v>999</v>
      </c>
      <c r="U4089" t="s">
        <v>7525</v>
      </c>
      <c r="V4089">
        <f t="shared" si="3"/>
        <v>31813101</v>
      </c>
      <c r="W4089"/>
      <c r="X4089" t="s">
        <v>2982</v>
      </c>
      <c r="Y4089" t="s">
        <v>215</v>
      </c>
      <c r="Z4089">
        <v>20679</v>
      </c>
      <c r="AA4089" t="s">
        <v>2983</v>
      </c>
      <c r="AB4089">
        <v>40001</v>
      </c>
      <c r="AC4089"/>
      <c r="AD4089"/>
      <c r="AE4089" t="s">
        <v>7524</v>
      </c>
      <c r="AF4089" t="s">
        <v>7524</v>
      </c>
      <c r="AG4089" t="s">
        <v>89</v>
      </c>
    </row>
    <row r="4090" spans="2:33">
      <c r="B4090" s="14">
        <f>10000000+INDEX(编号表!$B:$B,MATCH(H4090,编号表!$A:$A,0))*100000+INDEX(编号表!$F:$F,MATCH(D4090,编号表!$E:$E,0))*10000+INDEX(编号表!$D:$D,MATCH(AG4090,编号表!$C:$C,0))*1000+F4090</f>
        <v>11813102</v>
      </c>
      <c r="C4090" t="s">
        <v>2988</v>
      </c>
      <c r="D4090" t="s">
        <v>72</v>
      </c>
      <c r="E4090" t="s">
        <v>89</v>
      </c>
      <c r="F4090">
        <v>102</v>
      </c>
      <c r="G4090">
        <v>60</v>
      </c>
      <c r="H4090" t="s">
        <v>7524</v>
      </c>
      <c r="I4090" t="s">
        <v>75</v>
      </c>
      <c r="J4090" t="s">
        <v>201</v>
      </c>
      <c r="K4090">
        <v>1</v>
      </c>
      <c r="L4090" t="s">
        <v>7524</v>
      </c>
      <c r="M4090"/>
      <c r="N4090">
        <v>0</v>
      </c>
      <c r="O4090" t="b">
        <v>1</v>
      </c>
      <c r="P4090"/>
      <c r="Q4090" t="b">
        <v>0</v>
      </c>
      <c r="R4090">
        <v>1</v>
      </c>
      <c r="S4090" t="s">
        <v>77</v>
      </c>
      <c r="T4090">
        <v>999</v>
      </c>
      <c r="U4090" t="s">
        <v>7525</v>
      </c>
      <c r="V4090">
        <f t="shared" si="3"/>
        <v>31813102</v>
      </c>
      <c r="W4090"/>
      <c r="X4090" t="s">
        <v>2989</v>
      </c>
      <c r="Y4090" t="s">
        <v>215</v>
      </c>
      <c r="Z4090">
        <v>20682</v>
      </c>
      <c r="AA4090" t="s">
        <v>2990</v>
      </c>
      <c r="AB4090">
        <v>40001</v>
      </c>
      <c r="AC4090"/>
      <c r="AD4090"/>
      <c r="AE4090" t="s">
        <v>7524</v>
      </c>
      <c r="AF4090" t="s">
        <v>7524</v>
      </c>
      <c r="AG4090" t="s">
        <v>89</v>
      </c>
    </row>
    <row r="4091" spans="2:33">
      <c r="B4091" s="14">
        <f>10000000+INDEX(编号表!$B:$B,MATCH(H4091,编号表!$A:$A,0))*100000+INDEX(编号表!$F:$F,MATCH(D4091,编号表!$E:$E,0))*10000+INDEX(编号表!$D:$D,MATCH(AG4091,编号表!$C:$C,0))*1000+F4091</f>
        <v>11813103</v>
      </c>
      <c r="C4091" t="s">
        <v>2995</v>
      </c>
      <c r="D4091" t="s">
        <v>72</v>
      </c>
      <c r="E4091" t="s">
        <v>89</v>
      </c>
      <c r="F4091">
        <v>103</v>
      </c>
      <c r="G4091">
        <v>60</v>
      </c>
      <c r="H4091" t="s">
        <v>7524</v>
      </c>
      <c r="I4091" t="s">
        <v>75</v>
      </c>
      <c r="J4091" t="s">
        <v>201</v>
      </c>
      <c r="K4091">
        <v>1</v>
      </c>
      <c r="L4091" t="s">
        <v>7524</v>
      </c>
      <c r="M4091"/>
      <c r="N4091">
        <v>0</v>
      </c>
      <c r="O4091" t="b">
        <v>1</v>
      </c>
      <c r="P4091"/>
      <c r="Q4091" t="b">
        <v>0</v>
      </c>
      <c r="R4091">
        <v>1</v>
      </c>
      <c r="S4091" t="s">
        <v>77</v>
      </c>
      <c r="T4091">
        <v>999</v>
      </c>
      <c r="U4091" t="s">
        <v>7525</v>
      </c>
      <c r="V4091">
        <f t="shared" si="3"/>
        <v>31813103</v>
      </c>
      <c r="W4091"/>
      <c r="X4091" t="s">
        <v>2996</v>
      </c>
      <c r="Y4091" t="s">
        <v>215</v>
      </c>
      <c r="Z4091">
        <v>20685</v>
      </c>
      <c r="AA4091" t="s">
        <v>2997</v>
      </c>
      <c r="AB4091">
        <v>40001</v>
      </c>
      <c r="AC4091"/>
      <c r="AD4091"/>
      <c r="AE4091" t="s">
        <v>7524</v>
      </c>
      <c r="AF4091" t="s">
        <v>7524</v>
      </c>
      <c r="AG4091" t="s">
        <v>89</v>
      </c>
    </row>
    <row r="4092" spans="2:33">
      <c r="B4092" s="14">
        <f>10000000+INDEX(编号表!$B:$B,MATCH(H4092,编号表!$A:$A,0))*100000+INDEX(编号表!$F:$F,MATCH(D4092,编号表!$E:$E,0))*10000+INDEX(编号表!$D:$D,MATCH(AG4092,编号表!$C:$C,0))*1000+F4092</f>
        <v>11813104</v>
      </c>
      <c r="C4092" t="s">
        <v>3002</v>
      </c>
      <c r="D4092" t="s">
        <v>72</v>
      </c>
      <c r="E4092" t="s">
        <v>89</v>
      </c>
      <c r="F4092">
        <v>104</v>
      </c>
      <c r="G4092">
        <v>60</v>
      </c>
      <c r="H4092" t="s">
        <v>7524</v>
      </c>
      <c r="I4092" t="s">
        <v>75</v>
      </c>
      <c r="J4092" t="s">
        <v>201</v>
      </c>
      <c r="K4092">
        <v>1</v>
      </c>
      <c r="L4092" t="s">
        <v>7524</v>
      </c>
      <c r="M4092"/>
      <c r="N4092">
        <v>0</v>
      </c>
      <c r="O4092" t="b">
        <v>1</v>
      </c>
      <c r="P4092"/>
      <c r="Q4092" t="b">
        <v>0</v>
      </c>
      <c r="R4092">
        <v>1</v>
      </c>
      <c r="S4092" t="s">
        <v>77</v>
      </c>
      <c r="T4092">
        <v>999</v>
      </c>
      <c r="U4092" t="s">
        <v>7525</v>
      </c>
      <c r="V4092">
        <f t="shared" si="3"/>
        <v>31813104</v>
      </c>
      <c r="W4092"/>
      <c r="X4092" t="s">
        <v>3003</v>
      </c>
      <c r="Y4092" t="s">
        <v>215</v>
      </c>
      <c r="Z4092">
        <v>20688</v>
      </c>
      <c r="AA4092" t="s">
        <v>3004</v>
      </c>
      <c r="AB4092">
        <v>40001</v>
      </c>
      <c r="AC4092"/>
      <c r="AD4092"/>
      <c r="AE4092" t="s">
        <v>7524</v>
      </c>
      <c r="AF4092" t="s">
        <v>7524</v>
      </c>
      <c r="AG4092" t="s">
        <v>89</v>
      </c>
    </row>
    <row r="4093" spans="2:33">
      <c r="B4093" s="14">
        <f>10000000+INDEX(编号表!$B:$B,MATCH(H4093,编号表!$A:$A,0))*100000+INDEX(编号表!$F:$F,MATCH(D4093,编号表!$E:$E,0))*10000+INDEX(编号表!$D:$D,MATCH(AG4093,编号表!$C:$C,0))*1000+F4093</f>
        <v>11813105</v>
      </c>
      <c r="C4093" t="s">
        <v>3009</v>
      </c>
      <c r="D4093" t="s">
        <v>72</v>
      </c>
      <c r="E4093" t="s">
        <v>89</v>
      </c>
      <c r="F4093">
        <v>105</v>
      </c>
      <c r="G4093">
        <v>60</v>
      </c>
      <c r="H4093" t="s">
        <v>7524</v>
      </c>
      <c r="I4093" t="s">
        <v>75</v>
      </c>
      <c r="J4093" t="s">
        <v>201</v>
      </c>
      <c r="K4093">
        <v>1</v>
      </c>
      <c r="L4093" t="s">
        <v>7524</v>
      </c>
      <c r="M4093"/>
      <c r="N4093">
        <v>0</v>
      </c>
      <c r="O4093" t="b">
        <v>1</v>
      </c>
      <c r="P4093"/>
      <c r="Q4093" t="b">
        <v>0</v>
      </c>
      <c r="R4093">
        <v>1</v>
      </c>
      <c r="S4093" t="s">
        <v>77</v>
      </c>
      <c r="T4093">
        <v>999</v>
      </c>
      <c r="U4093" t="s">
        <v>7525</v>
      </c>
      <c r="V4093">
        <f t="shared" si="3"/>
        <v>31813105</v>
      </c>
      <c r="W4093"/>
      <c r="X4093" t="s">
        <v>3010</v>
      </c>
      <c r="Y4093" t="s">
        <v>215</v>
      </c>
      <c r="Z4093">
        <v>20691</v>
      </c>
      <c r="AA4093" t="s">
        <v>3011</v>
      </c>
      <c r="AB4093">
        <v>40001</v>
      </c>
      <c r="AC4093"/>
      <c r="AD4093"/>
      <c r="AE4093" t="s">
        <v>7524</v>
      </c>
      <c r="AF4093" t="s">
        <v>7524</v>
      </c>
      <c r="AG4093" t="s">
        <v>89</v>
      </c>
    </row>
    <row r="4094" spans="2:33">
      <c r="B4094" s="14">
        <f>10000000+INDEX(编号表!$B:$B,MATCH(H4094,编号表!$A:$A,0))*100000+INDEX(编号表!$F:$F,MATCH(D4094,编号表!$E:$E,0))*10000+INDEX(编号表!$D:$D,MATCH(AG4094,编号表!$C:$C,0))*1000+F4094</f>
        <v>11813106</v>
      </c>
      <c r="C4094" t="s">
        <v>3016</v>
      </c>
      <c r="D4094" t="s">
        <v>72</v>
      </c>
      <c r="E4094" t="s">
        <v>89</v>
      </c>
      <c r="F4094">
        <v>106</v>
      </c>
      <c r="G4094">
        <v>60</v>
      </c>
      <c r="H4094" t="s">
        <v>7524</v>
      </c>
      <c r="I4094" t="s">
        <v>75</v>
      </c>
      <c r="J4094" t="s">
        <v>201</v>
      </c>
      <c r="K4094">
        <v>1</v>
      </c>
      <c r="L4094" t="s">
        <v>7524</v>
      </c>
      <c r="M4094"/>
      <c r="N4094">
        <v>0</v>
      </c>
      <c r="O4094" t="b">
        <v>1</v>
      </c>
      <c r="P4094"/>
      <c r="Q4094" t="b">
        <v>0</v>
      </c>
      <c r="R4094">
        <v>1</v>
      </c>
      <c r="S4094" t="s">
        <v>77</v>
      </c>
      <c r="T4094">
        <v>999</v>
      </c>
      <c r="U4094" t="s">
        <v>7525</v>
      </c>
      <c r="V4094">
        <f t="shared" si="3"/>
        <v>31813106</v>
      </c>
      <c r="W4094"/>
      <c r="X4094" t="s">
        <v>3017</v>
      </c>
      <c r="Y4094" t="s">
        <v>215</v>
      </c>
      <c r="Z4094">
        <v>20694</v>
      </c>
      <c r="AA4094" t="s">
        <v>3018</v>
      </c>
      <c r="AB4094">
        <v>40001</v>
      </c>
      <c r="AC4094"/>
      <c r="AD4094"/>
      <c r="AE4094" t="s">
        <v>7524</v>
      </c>
      <c r="AF4094" t="s">
        <v>7524</v>
      </c>
      <c r="AG4094" t="s">
        <v>89</v>
      </c>
    </row>
    <row r="4095" spans="2:33">
      <c r="B4095" s="14">
        <f>10000000+INDEX(编号表!$B:$B,MATCH(H4095,编号表!$A:$A,0))*100000+INDEX(编号表!$F:$F,MATCH(D4095,编号表!$E:$E,0))*10000+INDEX(编号表!$D:$D,MATCH(AG4095,编号表!$C:$C,0))*1000+F4095</f>
        <v>11813107</v>
      </c>
      <c r="C4095" t="s">
        <v>3023</v>
      </c>
      <c r="D4095" t="s">
        <v>72</v>
      </c>
      <c r="E4095" t="s">
        <v>89</v>
      </c>
      <c r="F4095">
        <v>107</v>
      </c>
      <c r="G4095">
        <v>60</v>
      </c>
      <c r="H4095" t="s">
        <v>7524</v>
      </c>
      <c r="I4095" t="s">
        <v>75</v>
      </c>
      <c r="J4095" t="s">
        <v>201</v>
      </c>
      <c r="K4095">
        <v>1</v>
      </c>
      <c r="L4095" t="s">
        <v>7524</v>
      </c>
      <c r="M4095"/>
      <c r="N4095">
        <v>0</v>
      </c>
      <c r="O4095" t="b">
        <v>1</v>
      </c>
      <c r="P4095"/>
      <c r="Q4095" t="b">
        <v>0</v>
      </c>
      <c r="R4095">
        <v>1</v>
      </c>
      <c r="S4095" t="s">
        <v>77</v>
      </c>
      <c r="T4095">
        <v>999</v>
      </c>
      <c r="U4095" t="s">
        <v>7525</v>
      </c>
      <c r="V4095">
        <f t="shared" si="3"/>
        <v>31813107</v>
      </c>
      <c r="W4095"/>
      <c r="X4095" t="s">
        <v>3024</v>
      </c>
      <c r="Y4095" t="s">
        <v>215</v>
      </c>
      <c r="Z4095">
        <v>20697</v>
      </c>
      <c r="AA4095" t="s">
        <v>3025</v>
      </c>
      <c r="AB4095">
        <v>40001</v>
      </c>
      <c r="AC4095"/>
      <c r="AD4095"/>
      <c r="AE4095" t="s">
        <v>7524</v>
      </c>
      <c r="AF4095" t="s">
        <v>7524</v>
      </c>
      <c r="AG4095" t="s">
        <v>89</v>
      </c>
    </row>
    <row r="4096" spans="2:33">
      <c r="B4096" s="14">
        <f>10000000+INDEX(编号表!$B:$B,MATCH(H4096,编号表!$A:$A,0))*100000+INDEX(编号表!$F:$F,MATCH(D4096,编号表!$E:$E,0))*10000+INDEX(编号表!$D:$D,MATCH(AG4096,编号表!$C:$C,0))*1000+F4096</f>
        <v>11813108</v>
      </c>
      <c r="C4096" t="s">
        <v>3030</v>
      </c>
      <c r="D4096" t="s">
        <v>72</v>
      </c>
      <c r="E4096" t="s">
        <v>89</v>
      </c>
      <c r="F4096">
        <v>108</v>
      </c>
      <c r="G4096">
        <v>60</v>
      </c>
      <c r="H4096" t="s">
        <v>7524</v>
      </c>
      <c r="I4096" t="s">
        <v>75</v>
      </c>
      <c r="J4096" t="s">
        <v>201</v>
      </c>
      <c r="K4096">
        <v>1</v>
      </c>
      <c r="L4096" t="s">
        <v>7524</v>
      </c>
      <c r="M4096"/>
      <c r="N4096">
        <v>0</v>
      </c>
      <c r="O4096" t="b">
        <v>1</v>
      </c>
      <c r="P4096"/>
      <c r="Q4096" t="b">
        <v>0</v>
      </c>
      <c r="R4096">
        <v>1</v>
      </c>
      <c r="S4096" t="s">
        <v>77</v>
      </c>
      <c r="T4096">
        <v>999</v>
      </c>
      <c r="U4096" t="s">
        <v>7525</v>
      </c>
      <c r="V4096">
        <f t="shared" si="3"/>
        <v>31813108</v>
      </c>
      <c r="W4096"/>
      <c r="X4096" t="s">
        <v>3031</v>
      </c>
      <c r="Y4096" t="s">
        <v>215</v>
      </c>
      <c r="Z4096">
        <v>20700</v>
      </c>
      <c r="AA4096" t="s">
        <v>3032</v>
      </c>
      <c r="AB4096">
        <v>40001</v>
      </c>
      <c r="AC4096"/>
      <c r="AD4096"/>
      <c r="AE4096" t="s">
        <v>7524</v>
      </c>
      <c r="AF4096" t="s">
        <v>7524</v>
      </c>
      <c r="AG4096" t="s">
        <v>89</v>
      </c>
    </row>
    <row r="4097" spans="2:33">
      <c r="B4097" s="14">
        <f>10000000+INDEX(编号表!$B:$B,MATCH(H4097,编号表!$A:$A,0))*100000+INDEX(编号表!$F:$F,MATCH(D4097,编号表!$E:$E,0))*10000+INDEX(编号表!$D:$D,MATCH(AG4097,编号表!$C:$C,0))*1000+F4097</f>
        <v>11813109</v>
      </c>
      <c r="C4097" t="s">
        <v>3037</v>
      </c>
      <c r="D4097" t="s">
        <v>72</v>
      </c>
      <c r="E4097" t="s">
        <v>89</v>
      </c>
      <c r="F4097">
        <v>109</v>
      </c>
      <c r="G4097">
        <v>60</v>
      </c>
      <c r="H4097" t="s">
        <v>7524</v>
      </c>
      <c r="I4097" t="s">
        <v>75</v>
      </c>
      <c r="J4097" t="s">
        <v>201</v>
      </c>
      <c r="K4097">
        <v>1</v>
      </c>
      <c r="L4097" t="s">
        <v>7524</v>
      </c>
      <c r="M4097"/>
      <c r="N4097">
        <v>0</v>
      </c>
      <c r="O4097" t="b">
        <v>1</v>
      </c>
      <c r="P4097"/>
      <c r="Q4097" t="b">
        <v>0</v>
      </c>
      <c r="R4097">
        <v>1</v>
      </c>
      <c r="S4097" t="s">
        <v>77</v>
      </c>
      <c r="T4097">
        <v>999</v>
      </c>
      <c r="U4097" t="s">
        <v>7525</v>
      </c>
      <c r="V4097">
        <f t="shared" si="3"/>
        <v>31813109</v>
      </c>
      <c r="W4097"/>
      <c r="X4097" t="s">
        <v>3038</v>
      </c>
      <c r="Y4097" t="s">
        <v>215</v>
      </c>
      <c r="Z4097">
        <v>20703</v>
      </c>
      <c r="AA4097" t="s">
        <v>3039</v>
      </c>
      <c r="AB4097">
        <v>40001</v>
      </c>
      <c r="AC4097"/>
      <c r="AD4097"/>
      <c r="AE4097" t="s">
        <v>7524</v>
      </c>
      <c r="AF4097" t="s">
        <v>7524</v>
      </c>
      <c r="AG4097" t="s">
        <v>89</v>
      </c>
    </row>
    <row r="4098" spans="2:33">
      <c r="B4098" s="14">
        <f>10000000+INDEX(编号表!$B:$B,MATCH(H4098,编号表!$A:$A,0))*100000+INDEX(编号表!$F:$F,MATCH(D4098,编号表!$E:$E,0))*10000+INDEX(编号表!$D:$D,MATCH(AG4098,编号表!$C:$C,0))*1000+F4098</f>
        <v>11813110</v>
      </c>
      <c r="C4098" t="s">
        <v>3044</v>
      </c>
      <c r="D4098" t="s">
        <v>72</v>
      </c>
      <c r="E4098" t="s">
        <v>89</v>
      </c>
      <c r="F4098">
        <v>110</v>
      </c>
      <c r="G4098">
        <v>60</v>
      </c>
      <c r="H4098" t="s">
        <v>7524</v>
      </c>
      <c r="I4098" t="s">
        <v>75</v>
      </c>
      <c r="J4098" t="s">
        <v>201</v>
      </c>
      <c r="K4098">
        <v>1</v>
      </c>
      <c r="L4098" t="s">
        <v>7524</v>
      </c>
      <c r="M4098"/>
      <c r="N4098">
        <v>0</v>
      </c>
      <c r="O4098" t="b">
        <v>1</v>
      </c>
      <c r="P4098"/>
      <c r="Q4098" t="b">
        <v>0</v>
      </c>
      <c r="R4098">
        <v>1</v>
      </c>
      <c r="S4098" t="s">
        <v>77</v>
      </c>
      <c r="T4098">
        <v>999</v>
      </c>
      <c r="U4098" t="s">
        <v>7525</v>
      </c>
      <c r="V4098">
        <f t="shared" si="3"/>
        <v>31813110</v>
      </c>
      <c r="W4098"/>
      <c r="X4098" t="s">
        <v>3045</v>
      </c>
      <c r="Y4098" t="s">
        <v>215</v>
      </c>
      <c r="Z4098">
        <v>20706</v>
      </c>
      <c r="AA4098" t="s">
        <v>3046</v>
      </c>
      <c r="AB4098">
        <v>40001</v>
      </c>
      <c r="AC4098"/>
      <c r="AD4098"/>
      <c r="AE4098" t="s">
        <v>7524</v>
      </c>
      <c r="AF4098" t="s">
        <v>7524</v>
      </c>
      <c r="AG4098" t="s">
        <v>89</v>
      </c>
    </row>
    <row r="4099" spans="2:33">
      <c r="B4099" s="14">
        <f>10000000+INDEX(编号表!$B:$B,MATCH(H4099,编号表!$A:$A,0))*100000+INDEX(编号表!$F:$F,MATCH(D4099,编号表!$E:$E,0))*10000+INDEX(编号表!$D:$D,MATCH(AG4099,编号表!$C:$C,0))*1000+F4099</f>
        <v>11813111</v>
      </c>
      <c r="C4099" t="s">
        <v>3051</v>
      </c>
      <c r="D4099" t="s">
        <v>72</v>
      </c>
      <c r="E4099" t="s">
        <v>89</v>
      </c>
      <c r="F4099">
        <v>111</v>
      </c>
      <c r="G4099">
        <v>60</v>
      </c>
      <c r="H4099" t="s">
        <v>7524</v>
      </c>
      <c r="I4099" t="s">
        <v>75</v>
      </c>
      <c r="J4099" t="s">
        <v>201</v>
      </c>
      <c r="K4099">
        <v>1</v>
      </c>
      <c r="L4099" t="s">
        <v>7524</v>
      </c>
      <c r="M4099"/>
      <c r="N4099">
        <v>0</v>
      </c>
      <c r="O4099" t="b">
        <v>1</v>
      </c>
      <c r="P4099"/>
      <c r="Q4099" t="b">
        <v>0</v>
      </c>
      <c r="R4099">
        <v>1</v>
      </c>
      <c r="S4099" t="s">
        <v>77</v>
      </c>
      <c r="T4099">
        <v>999</v>
      </c>
      <c r="U4099" t="s">
        <v>7525</v>
      </c>
      <c r="V4099">
        <f t="shared" si="3"/>
        <v>31813111</v>
      </c>
      <c r="W4099"/>
      <c r="X4099" t="s">
        <v>3052</v>
      </c>
      <c r="Y4099" t="s">
        <v>215</v>
      </c>
      <c r="Z4099">
        <v>20709</v>
      </c>
      <c r="AA4099" t="s">
        <v>3053</v>
      </c>
      <c r="AB4099">
        <v>40001</v>
      </c>
      <c r="AC4099"/>
      <c r="AD4099"/>
      <c r="AE4099" t="s">
        <v>7524</v>
      </c>
      <c r="AF4099" t="s">
        <v>7524</v>
      </c>
      <c r="AG4099" t="s">
        <v>89</v>
      </c>
    </row>
    <row r="4100" spans="2:33">
      <c r="B4100" s="14">
        <f>10000000+INDEX(编号表!$B:$B,MATCH(H4100,编号表!$A:$A,0))*100000+INDEX(编号表!$F:$F,MATCH(D4100,编号表!$E:$E,0))*10000+INDEX(编号表!$D:$D,MATCH(AG4100,编号表!$C:$C,0))*1000+F4100</f>
        <v>11813112</v>
      </c>
      <c r="C4100" t="s">
        <v>3058</v>
      </c>
      <c r="D4100" t="s">
        <v>72</v>
      </c>
      <c r="E4100" t="s">
        <v>89</v>
      </c>
      <c r="F4100">
        <v>112</v>
      </c>
      <c r="G4100">
        <v>60</v>
      </c>
      <c r="H4100" t="s">
        <v>7524</v>
      </c>
      <c r="I4100" t="s">
        <v>75</v>
      </c>
      <c r="J4100" t="s">
        <v>201</v>
      </c>
      <c r="K4100">
        <v>1</v>
      </c>
      <c r="L4100" t="s">
        <v>7524</v>
      </c>
      <c r="M4100"/>
      <c r="N4100">
        <v>0</v>
      </c>
      <c r="O4100" t="b">
        <v>1</v>
      </c>
      <c r="P4100"/>
      <c r="Q4100" t="b">
        <v>0</v>
      </c>
      <c r="R4100">
        <v>1</v>
      </c>
      <c r="S4100" t="s">
        <v>77</v>
      </c>
      <c r="T4100">
        <v>999</v>
      </c>
      <c r="U4100" t="s">
        <v>7525</v>
      </c>
      <c r="V4100">
        <f t="shared" si="3"/>
        <v>31813112</v>
      </c>
      <c r="W4100"/>
      <c r="X4100" t="s">
        <v>3059</v>
      </c>
      <c r="Y4100" t="s">
        <v>215</v>
      </c>
      <c r="Z4100">
        <v>20712</v>
      </c>
      <c r="AA4100" t="s">
        <v>3060</v>
      </c>
      <c r="AB4100">
        <v>40001</v>
      </c>
      <c r="AC4100"/>
      <c r="AD4100"/>
      <c r="AE4100" t="s">
        <v>7524</v>
      </c>
      <c r="AF4100" t="s">
        <v>7524</v>
      </c>
      <c r="AG4100" t="s">
        <v>89</v>
      </c>
    </row>
    <row r="4101" spans="2:33">
      <c r="B4101" s="14">
        <f>10000000+INDEX(编号表!$B:$B,MATCH(H4101,编号表!$A:$A,0))*100000+INDEX(编号表!$F:$F,MATCH(D4101,编号表!$E:$E,0))*10000+INDEX(编号表!$D:$D,MATCH(AG4101,编号表!$C:$C,0))*1000+F4101</f>
        <v>11813113</v>
      </c>
      <c r="C4101" t="s">
        <v>3065</v>
      </c>
      <c r="D4101" t="s">
        <v>72</v>
      </c>
      <c r="E4101" t="s">
        <v>89</v>
      </c>
      <c r="F4101">
        <v>113</v>
      </c>
      <c r="G4101">
        <v>60</v>
      </c>
      <c r="H4101" t="s">
        <v>7524</v>
      </c>
      <c r="I4101" t="s">
        <v>75</v>
      </c>
      <c r="J4101" t="s">
        <v>201</v>
      </c>
      <c r="K4101">
        <v>1</v>
      </c>
      <c r="L4101" t="s">
        <v>7524</v>
      </c>
      <c r="M4101"/>
      <c r="N4101">
        <v>0</v>
      </c>
      <c r="O4101" t="b">
        <v>1</v>
      </c>
      <c r="P4101"/>
      <c r="Q4101" t="b">
        <v>0</v>
      </c>
      <c r="R4101">
        <v>1</v>
      </c>
      <c r="S4101" t="s">
        <v>77</v>
      </c>
      <c r="T4101">
        <v>999</v>
      </c>
      <c r="U4101" t="s">
        <v>7525</v>
      </c>
      <c r="V4101">
        <f t="shared" si="3"/>
        <v>31813113</v>
      </c>
      <c r="W4101"/>
      <c r="X4101" t="s">
        <v>3066</v>
      </c>
      <c r="Y4101" t="s">
        <v>215</v>
      </c>
      <c r="Z4101">
        <v>20715</v>
      </c>
      <c r="AA4101" t="s">
        <v>3067</v>
      </c>
      <c r="AB4101">
        <v>40001</v>
      </c>
      <c r="AC4101"/>
      <c r="AD4101"/>
      <c r="AE4101" t="s">
        <v>7524</v>
      </c>
      <c r="AF4101" t="s">
        <v>7524</v>
      </c>
      <c r="AG4101" t="s">
        <v>89</v>
      </c>
    </row>
    <row r="4102" spans="2:33">
      <c r="B4102" s="14">
        <f>10000000+INDEX(编号表!$B:$B,MATCH(H4102,编号表!$A:$A,0))*100000+INDEX(编号表!$F:$F,MATCH(D4102,编号表!$E:$E,0))*10000+INDEX(编号表!$D:$D,MATCH(AG4102,编号表!$C:$C,0))*1000+F4102</f>
        <v>11813114</v>
      </c>
      <c r="C4102" t="s">
        <v>3072</v>
      </c>
      <c r="D4102" t="s">
        <v>72</v>
      </c>
      <c r="E4102" t="s">
        <v>89</v>
      </c>
      <c r="F4102">
        <v>114</v>
      </c>
      <c r="G4102">
        <v>60</v>
      </c>
      <c r="H4102" t="s">
        <v>7524</v>
      </c>
      <c r="I4102" t="s">
        <v>75</v>
      </c>
      <c r="J4102" t="s">
        <v>201</v>
      </c>
      <c r="K4102">
        <v>1</v>
      </c>
      <c r="L4102" t="s">
        <v>7524</v>
      </c>
      <c r="M4102"/>
      <c r="N4102">
        <v>0</v>
      </c>
      <c r="O4102" t="b">
        <v>1</v>
      </c>
      <c r="P4102"/>
      <c r="Q4102" t="b">
        <v>0</v>
      </c>
      <c r="R4102">
        <v>1</v>
      </c>
      <c r="S4102" t="s">
        <v>77</v>
      </c>
      <c r="T4102">
        <v>999</v>
      </c>
      <c r="U4102" t="s">
        <v>7525</v>
      </c>
      <c r="V4102">
        <f t="shared" si="3"/>
        <v>31813114</v>
      </c>
      <c r="W4102"/>
      <c r="X4102" t="s">
        <v>3073</v>
      </c>
      <c r="Y4102" t="s">
        <v>215</v>
      </c>
      <c r="Z4102">
        <v>20718</v>
      </c>
      <c r="AA4102" t="s">
        <v>3074</v>
      </c>
      <c r="AB4102">
        <v>40001</v>
      </c>
      <c r="AC4102"/>
      <c r="AD4102"/>
      <c r="AE4102" t="s">
        <v>7524</v>
      </c>
      <c r="AF4102" t="s">
        <v>7524</v>
      </c>
      <c r="AG4102" t="s">
        <v>89</v>
      </c>
    </row>
    <row r="4103" spans="2:33">
      <c r="B4103" s="14">
        <f>10000000+INDEX(编号表!$B:$B,MATCH(H4103,编号表!$A:$A,0))*100000+INDEX(编号表!$F:$F,MATCH(D4103,编号表!$E:$E,0))*10000+INDEX(编号表!$D:$D,MATCH(AG4103,编号表!$C:$C,0))*1000+F4103</f>
        <v>11813115</v>
      </c>
      <c r="C4103" t="s">
        <v>3079</v>
      </c>
      <c r="D4103" t="s">
        <v>72</v>
      </c>
      <c r="E4103" t="s">
        <v>89</v>
      </c>
      <c r="F4103">
        <v>115</v>
      </c>
      <c r="G4103">
        <v>60</v>
      </c>
      <c r="H4103" t="s">
        <v>7524</v>
      </c>
      <c r="I4103" t="s">
        <v>75</v>
      </c>
      <c r="J4103" t="s">
        <v>201</v>
      </c>
      <c r="K4103">
        <v>1</v>
      </c>
      <c r="L4103" t="s">
        <v>7524</v>
      </c>
      <c r="M4103"/>
      <c r="N4103">
        <v>0</v>
      </c>
      <c r="O4103" t="b">
        <v>1</v>
      </c>
      <c r="P4103"/>
      <c r="Q4103" t="b">
        <v>0</v>
      </c>
      <c r="R4103">
        <v>1</v>
      </c>
      <c r="S4103" t="s">
        <v>77</v>
      </c>
      <c r="T4103">
        <v>999</v>
      </c>
      <c r="U4103" t="s">
        <v>7525</v>
      </c>
      <c r="V4103">
        <f t="shared" si="3"/>
        <v>31813115</v>
      </c>
      <c r="W4103"/>
      <c r="X4103" t="s">
        <v>3080</v>
      </c>
      <c r="Y4103" t="s">
        <v>215</v>
      </c>
      <c r="Z4103">
        <v>20721</v>
      </c>
      <c r="AA4103" t="s">
        <v>3081</v>
      </c>
      <c r="AB4103">
        <v>40001</v>
      </c>
      <c r="AC4103"/>
      <c r="AD4103"/>
      <c r="AE4103" t="s">
        <v>7524</v>
      </c>
      <c r="AF4103" t="s">
        <v>7524</v>
      </c>
      <c r="AG4103" t="s">
        <v>89</v>
      </c>
    </row>
    <row r="4104" spans="2:33">
      <c r="B4104" s="14">
        <f>10000000+INDEX(编号表!$B:$B,MATCH(H4104,编号表!$A:$A,0))*100000+INDEX(编号表!$F:$F,MATCH(D4104,编号表!$E:$E,0))*10000+INDEX(编号表!$D:$D,MATCH(AG4104,编号表!$C:$C,0))*1000+F4104</f>
        <v>11813116</v>
      </c>
      <c r="C4104" t="s">
        <v>3086</v>
      </c>
      <c r="D4104" t="s">
        <v>72</v>
      </c>
      <c r="E4104" t="s">
        <v>89</v>
      </c>
      <c r="F4104">
        <v>116</v>
      </c>
      <c r="G4104">
        <v>60</v>
      </c>
      <c r="H4104" t="s">
        <v>7524</v>
      </c>
      <c r="I4104" t="s">
        <v>75</v>
      </c>
      <c r="J4104" t="s">
        <v>201</v>
      </c>
      <c r="K4104">
        <v>1</v>
      </c>
      <c r="L4104" t="s">
        <v>7524</v>
      </c>
      <c r="M4104"/>
      <c r="N4104">
        <v>0</v>
      </c>
      <c r="O4104" t="b">
        <v>1</v>
      </c>
      <c r="P4104"/>
      <c r="Q4104" t="b">
        <v>0</v>
      </c>
      <c r="R4104">
        <v>1</v>
      </c>
      <c r="S4104" t="s">
        <v>77</v>
      </c>
      <c r="T4104">
        <v>999</v>
      </c>
      <c r="U4104" t="s">
        <v>7525</v>
      </c>
      <c r="V4104">
        <f t="shared" si="3"/>
        <v>31813116</v>
      </c>
      <c r="W4104"/>
      <c r="X4104" t="s">
        <v>3087</v>
      </c>
      <c r="Y4104" t="s">
        <v>215</v>
      </c>
      <c r="Z4104">
        <v>20724</v>
      </c>
      <c r="AA4104" t="s">
        <v>3088</v>
      </c>
      <c r="AB4104">
        <v>40001</v>
      </c>
      <c r="AC4104"/>
      <c r="AD4104"/>
      <c r="AE4104" t="s">
        <v>7524</v>
      </c>
      <c r="AF4104" t="s">
        <v>7524</v>
      </c>
      <c r="AG4104" t="s">
        <v>89</v>
      </c>
    </row>
    <row r="4105" spans="2:33">
      <c r="B4105" s="14">
        <f>10000000+INDEX(编号表!$B:$B,MATCH(H4105,编号表!$A:$A,0))*100000+INDEX(编号表!$F:$F,MATCH(D4105,编号表!$E:$E,0))*10000+INDEX(编号表!$D:$D,MATCH(AG4105,编号表!$C:$C,0))*1000+F4105</f>
        <v>11813117</v>
      </c>
      <c r="C4105" t="s">
        <v>3093</v>
      </c>
      <c r="D4105" t="s">
        <v>72</v>
      </c>
      <c r="E4105" t="s">
        <v>89</v>
      </c>
      <c r="F4105">
        <v>117</v>
      </c>
      <c r="G4105">
        <v>60</v>
      </c>
      <c r="H4105" t="s">
        <v>7524</v>
      </c>
      <c r="I4105" t="s">
        <v>75</v>
      </c>
      <c r="J4105" t="s">
        <v>201</v>
      </c>
      <c r="K4105">
        <v>1</v>
      </c>
      <c r="L4105" t="s">
        <v>7524</v>
      </c>
      <c r="M4105"/>
      <c r="N4105">
        <v>0</v>
      </c>
      <c r="O4105" t="b">
        <v>1</v>
      </c>
      <c r="P4105"/>
      <c r="Q4105" t="b">
        <v>0</v>
      </c>
      <c r="R4105">
        <v>1</v>
      </c>
      <c r="S4105" t="s">
        <v>77</v>
      </c>
      <c r="T4105">
        <v>999</v>
      </c>
      <c r="U4105" t="s">
        <v>7525</v>
      </c>
      <c r="V4105">
        <f t="shared" si="3"/>
        <v>31813117</v>
      </c>
      <c r="W4105"/>
      <c r="X4105" t="s">
        <v>3094</v>
      </c>
      <c r="Y4105" t="s">
        <v>215</v>
      </c>
      <c r="Z4105">
        <v>20727</v>
      </c>
      <c r="AA4105" t="s">
        <v>3095</v>
      </c>
      <c r="AB4105">
        <v>40001</v>
      </c>
      <c r="AC4105"/>
      <c r="AD4105"/>
      <c r="AE4105" t="s">
        <v>7524</v>
      </c>
      <c r="AF4105" t="s">
        <v>7524</v>
      </c>
      <c r="AG4105" t="s">
        <v>89</v>
      </c>
    </row>
    <row r="4106" spans="2:33">
      <c r="B4106" s="14">
        <f>10000000+INDEX(编号表!$B:$B,MATCH(H4106,编号表!$A:$A,0))*100000+INDEX(编号表!$F:$F,MATCH(D4106,编号表!$E:$E,0))*10000+INDEX(编号表!$D:$D,MATCH(AG4106,编号表!$C:$C,0))*1000+F4106</f>
        <v>11813118</v>
      </c>
      <c r="C4106" t="s">
        <v>3100</v>
      </c>
      <c r="D4106" t="s">
        <v>72</v>
      </c>
      <c r="E4106" t="s">
        <v>89</v>
      </c>
      <c r="F4106">
        <v>118</v>
      </c>
      <c r="G4106">
        <v>60</v>
      </c>
      <c r="H4106" t="s">
        <v>7524</v>
      </c>
      <c r="I4106" t="s">
        <v>75</v>
      </c>
      <c r="J4106" t="s">
        <v>201</v>
      </c>
      <c r="K4106">
        <v>1</v>
      </c>
      <c r="L4106" t="s">
        <v>7524</v>
      </c>
      <c r="M4106"/>
      <c r="N4106">
        <v>0</v>
      </c>
      <c r="O4106" t="b">
        <v>1</v>
      </c>
      <c r="P4106"/>
      <c r="Q4106" t="b">
        <v>0</v>
      </c>
      <c r="R4106">
        <v>1</v>
      </c>
      <c r="S4106" t="s">
        <v>77</v>
      </c>
      <c r="T4106">
        <v>999</v>
      </c>
      <c r="U4106" t="s">
        <v>7525</v>
      </c>
      <c r="V4106">
        <f t="shared" si="3"/>
        <v>31813118</v>
      </c>
      <c r="W4106"/>
      <c r="X4106" t="s">
        <v>3101</v>
      </c>
      <c r="Y4106" t="s">
        <v>215</v>
      </c>
      <c r="Z4106">
        <v>20730</v>
      </c>
      <c r="AA4106" t="s">
        <v>3102</v>
      </c>
      <c r="AB4106">
        <v>40001</v>
      </c>
      <c r="AC4106"/>
      <c r="AD4106"/>
      <c r="AE4106" t="s">
        <v>7524</v>
      </c>
      <c r="AF4106" t="s">
        <v>7524</v>
      </c>
      <c r="AG4106" t="s">
        <v>89</v>
      </c>
    </row>
    <row r="4107" spans="2:33">
      <c r="B4107" s="14">
        <f>10000000+INDEX(编号表!$B:$B,MATCH(H4107,编号表!$A:$A,0))*100000+INDEX(编号表!$F:$F,MATCH(D4107,编号表!$E:$E,0))*10000+INDEX(编号表!$D:$D,MATCH(AG4107,编号表!$C:$C,0))*1000+F4107</f>
        <v>11813119</v>
      </c>
      <c r="C4107" t="s">
        <v>3107</v>
      </c>
      <c r="D4107" t="s">
        <v>72</v>
      </c>
      <c r="E4107" t="s">
        <v>89</v>
      </c>
      <c r="F4107">
        <v>119</v>
      </c>
      <c r="G4107">
        <v>60</v>
      </c>
      <c r="H4107" t="s">
        <v>7524</v>
      </c>
      <c r="I4107" t="s">
        <v>75</v>
      </c>
      <c r="J4107" t="s">
        <v>201</v>
      </c>
      <c r="K4107">
        <v>1</v>
      </c>
      <c r="L4107" t="s">
        <v>7524</v>
      </c>
      <c r="M4107"/>
      <c r="N4107">
        <v>0</v>
      </c>
      <c r="O4107" t="b">
        <v>1</v>
      </c>
      <c r="P4107"/>
      <c r="Q4107" t="b">
        <v>0</v>
      </c>
      <c r="R4107">
        <v>1</v>
      </c>
      <c r="S4107" t="s">
        <v>77</v>
      </c>
      <c r="T4107">
        <v>999</v>
      </c>
      <c r="U4107" t="s">
        <v>7525</v>
      </c>
      <c r="V4107">
        <f t="shared" si="3"/>
        <v>31813119</v>
      </c>
      <c r="W4107"/>
      <c r="X4107" t="s">
        <v>3108</v>
      </c>
      <c r="Y4107" t="s">
        <v>215</v>
      </c>
      <c r="Z4107">
        <v>20733</v>
      </c>
      <c r="AA4107" t="s">
        <v>3109</v>
      </c>
      <c r="AB4107">
        <v>40001</v>
      </c>
      <c r="AC4107"/>
      <c r="AD4107"/>
      <c r="AE4107" t="s">
        <v>7524</v>
      </c>
      <c r="AF4107" t="s">
        <v>7524</v>
      </c>
      <c r="AG4107" t="s">
        <v>89</v>
      </c>
    </row>
    <row r="4108" spans="2:33">
      <c r="B4108" s="14">
        <f>10000000+INDEX(编号表!$B:$B,MATCH(H4108,编号表!$A:$A,0))*100000+INDEX(编号表!$F:$F,MATCH(D4108,编号表!$E:$E,0))*10000+INDEX(编号表!$D:$D,MATCH(AG4108,编号表!$C:$C,0))*1000+F4108</f>
        <v>11813120</v>
      </c>
      <c r="C4108" t="s">
        <v>3114</v>
      </c>
      <c r="D4108" t="s">
        <v>72</v>
      </c>
      <c r="E4108" t="s">
        <v>89</v>
      </c>
      <c r="F4108">
        <v>120</v>
      </c>
      <c r="G4108">
        <v>60</v>
      </c>
      <c r="H4108" t="s">
        <v>7524</v>
      </c>
      <c r="I4108" t="s">
        <v>75</v>
      </c>
      <c r="J4108" t="s">
        <v>201</v>
      </c>
      <c r="K4108">
        <v>1</v>
      </c>
      <c r="L4108" t="s">
        <v>7524</v>
      </c>
      <c r="M4108"/>
      <c r="N4108">
        <v>0</v>
      </c>
      <c r="O4108" t="b">
        <v>1</v>
      </c>
      <c r="P4108"/>
      <c r="Q4108" t="b">
        <v>0</v>
      </c>
      <c r="R4108">
        <v>1</v>
      </c>
      <c r="S4108" t="s">
        <v>77</v>
      </c>
      <c r="T4108">
        <v>999</v>
      </c>
      <c r="U4108" t="s">
        <v>7525</v>
      </c>
      <c r="V4108">
        <f t="shared" si="3"/>
        <v>31813120</v>
      </c>
      <c r="W4108"/>
      <c r="X4108" t="s">
        <v>3115</v>
      </c>
      <c r="Y4108" t="s">
        <v>215</v>
      </c>
      <c r="Z4108">
        <v>20736</v>
      </c>
      <c r="AA4108" t="s">
        <v>3116</v>
      </c>
      <c r="AB4108">
        <v>40001</v>
      </c>
      <c r="AC4108"/>
      <c r="AD4108"/>
      <c r="AE4108" t="s">
        <v>7524</v>
      </c>
      <c r="AF4108" t="s">
        <v>7524</v>
      </c>
      <c r="AG4108" t="s">
        <v>89</v>
      </c>
    </row>
    <row r="4109" spans="2:33">
      <c r="B4109" s="14">
        <f>10000000+INDEX(编号表!$B:$B,MATCH(H4109,编号表!$A:$A,0))*100000+INDEX(编号表!$F:$F,MATCH(D4109,编号表!$E:$E,0))*10000+INDEX(编号表!$D:$D,MATCH(AG4109,编号表!$C:$C,0))*1000+F4109</f>
        <v>11813121</v>
      </c>
      <c r="C4109" t="s">
        <v>3121</v>
      </c>
      <c r="D4109" t="s">
        <v>72</v>
      </c>
      <c r="E4109" t="s">
        <v>89</v>
      </c>
      <c r="F4109">
        <v>121</v>
      </c>
      <c r="G4109">
        <v>60</v>
      </c>
      <c r="H4109" t="s">
        <v>7524</v>
      </c>
      <c r="I4109" t="s">
        <v>75</v>
      </c>
      <c r="J4109" t="s">
        <v>201</v>
      </c>
      <c r="K4109">
        <v>1</v>
      </c>
      <c r="L4109" t="s">
        <v>7524</v>
      </c>
      <c r="M4109"/>
      <c r="N4109">
        <v>0</v>
      </c>
      <c r="O4109" t="b">
        <v>1</v>
      </c>
      <c r="P4109"/>
      <c r="Q4109" t="b">
        <v>0</v>
      </c>
      <c r="R4109">
        <v>1</v>
      </c>
      <c r="S4109" t="s">
        <v>77</v>
      </c>
      <c r="T4109">
        <v>999</v>
      </c>
      <c r="U4109" t="s">
        <v>7525</v>
      </c>
      <c r="V4109">
        <f t="shared" si="3"/>
        <v>31813121</v>
      </c>
      <c r="W4109"/>
      <c r="X4109" t="s">
        <v>3122</v>
      </c>
      <c r="Y4109" t="s">
        <v>215</v>
      </c>
      <c r="Z4109">
        <v>20739</v>
      </c>
      <c r="AA4109" t="s">
        <v>3123</v>
      </c>
      <c r="AB4109">
        <v>40001</v>
      </c>
      <c r="AC4109"/>
      <c r="AD4109"/>
      <c r="AE4109" t="s">
        <v>7524</v>
      </c>
      <c r="AF4109" t="s">
        <v>7524</v>
      </c>
      <c r="AG4109" t="s">
        <v>89</v>
      </c>
    </row>
    <row r="4110" spans="2:33">
      <c r="B4110" s="14">
        <f>10000000+INDEX(编号表!$B:$B,MATCH(H4110,编号表!$A:$A,0))*100000+INDEX(编号表!$F:$F,MATCH(D4110,编号表!$E:$E,0))*10000+INDEX(编号表!$D:$D,MATCH(AG4110,编号表!$C:$C,0))*1000+F4110</f>
        <v>11813122</v>
      </c>
      <c r="C4110" t="s">
        <v>3128</v>
      </c>
      <c r="D4110" t="s">
        <v>72</v>
      </c>
      <c r="E4110" t="s">
        <v>89</v>
      </c>
      <c r="F4110">
        <v>122</v>
      </c>
      <c r="G4110">
        <v>60</v>
      </c>
      <c r="H4110" t="s">
        <v>7524</v>
      </c>
      <c r="I4110" t="s">
        <v>75</v>
      </c>
      <c r="J4110" t="s">
        <v>201</v>
      </c>
      <c r="K4110">
        <v>1</v>
      </c>
      <c r="L4110" t="s">
        <v>7524</v>
      </c>
      <c r="M4110"/>
      <c r="N4110">
        <v>0</v>
      </c>
      <c r="O4110" t="b">
        <v>1</v>
      </c>
      <c r="P4110"/>
      <c r="Q4110" t="b">
        <v>0</v>
      </c>
      <c r="R4110">
        <v>1</v>
      </c>
      <c r="S4110" t="s">
        <v>77</v>
      </c>
      <c r="T4110">
        <v>999</v>
      </c>
      <c r="U4110" t="s">
        <v>7525</v>
      </c>
      <c r="V4110">
        <f t="shared" si="3"/>
        <v>31813122</v>
      </c>
      <c r="W4110"/>
      <c r="X4110" t="s">
        <v>3129</v>
      </c>
      <c r="Y4110" t="s">
        <v>215</v>
      </c>
      <c r="Z4110">
        <v>20742</v>
      </c>
      <c r="AA4110" t="s">
        <v>3130</v>
      </c>
      <c r="AB4110">
        <v>40001</v>
      </c>
      <c r="AC4110"/>
      <c r="AD4110"/>
      <c r="AE4110" t="s">
        <v>7524</v>
      </c>
      <c r="AF4110" t="s">
        <v>7524</v>
      </c>
      <c r="AG4110" t="s">
        <v>89</v>
      </c>
    </row>
    <row r="4111" spans="2:33">
      <c r="B4111" s="14">
        <f>10000000+INDEX(编号表!$B:$B,MATCH(H4111,编号表!$A:$A,0))*100000+INDEX(编号表!$F:$F,MATCH(D4111,编号表!$E:$E,0))*10000+INDEX(编号表!$D:$D,MATCH(AG4111,编号表!$C:$C,0))*1000+F4111</f>
        <v>11813123</v>
      </c>
      <c r="C4111" t="s">
        <v>3135</v>
      </c>
      <c r="D4111" t="s">
        <v>72</v>
      </c>
      <c r="E4111" t="s">
        <v>89</v>
      </c>
      <c r="F4111">
        <v>123</v>
      </c>
      <c r="G4111">
        <v>60</v>
      </c>
      <c r="H4111" t="s">
        <v>7524</v>
      </c>
      <c r="I4111" t="s">
        <v>75</v>
      </c>
      <c r="J4111" t="s">
        <v>201</v>
      </c>
      <c r="K4111">
        <v>1</v>
      </c>
      <c r="L4111" t="s">
        <v>7524</v>
      </c>
      <c r="M4111"/>
      <c r="N4111">
        <v>0</v>
      </c>
      <c r="O4111" t="b">
        <v>1</v>
      </c>
      <c r="P4111"/>
      <c r="Q4111" t="b">
        <v>0</v>
      </c>
      <c r="R4111">
        <v>1</v>
      </c>
      <c r="S4111" t="s">
        <v>77</v>
      </c>
      <c r="T4111">
        <v>999</v>
      </c>
      <c r="U4111" t="s">
        <v>7525</v>
      </c>
      <c r="V4111">
        <f t="shared" si="3"/>
        <v>31813123</v>
      </c>
      <c r="W4111"/>
      <c r="X4111" t="s">
        <v>3136</v>
      </c>
      <c r="Y4111" t="s">
        <v>215</v>
      </c>
      <c r="Z4111">
        <v>20745</v>
      </c>
      <c r="AA4111" t="s">
        <v>3137</v>
      </c>
      <c r="AB4111">
        <v>40001</v>
      </c>
      <c r="AC4111"/>
      <c r="AD4111"/>
      <c r="AE4111" t="s">
        <v>7524</v>
      </c>
      <c r="AF4111" t="s">
        <v>7524</v>
      </c>
      <c r="AG4111" t="s">
        <v>89</v>
      </c>
    </row>
    <row r="4112" spans="2:33">
      <c r="B4112" s="14">
        <f>10000000+INDEX(编号表!$B:$B,MATCH(H4112,编号表!$A:$A,0))*100000+INDEX(编号表!$F:$F,MATCH(D4112,编号表!$E:$E,0))*10000+INDEX(编号表!$D:$D,MATCH(AG4112,编号表!$C:$C,0))*1000+F4112</f>
        <v>11813124</v>
      </c>
      <c r="C4112" t="s">
        <v>3142</v>
      </c>
      <c r="D4112" t="s">
        <v>72</v>
      </c>
      <c r="E4112" t="s">
        <v>89</v>
      </c>
      <c r="F4112">
        <v>124</v>
      </c>
      <c r="G4112">
        <v>60</v>
      </c>
      <c r="H4112" t="s">
        <v>7524</v>
      </c>
      <c r="I4112" t="s">
        <v>75</v>
      </c>
      <c r="J4112" t="s">
        <v>201</v>
      </c>
      <c r="K4112">
        <v>1</v>
      </c>
      <c r="L4112" t="s">
        <v>7524</v>
      </c>
      <c r="M4112"/>
      <c r="N4112">
        <v>0</v>
      </c>
      <c r="O4112" t="b">
        <v>1</v>
      </c>
      <c r="P4112"/>
      <c r="Q4112" t="b">
        <v>0</v>
      </c>
      <c r="R4112">
        <v>1</v>
      </c>
      <c r="S4112" t="s">
        <v>77</v>
      </c>
      <c r="T4112">
        <v>999</v>
      </c>
      <c r="U4112" t="s">
        <v>7525</v>
      </c>
      <c r="V4112">
        <f t="shared" si="3"/>
        <v>31813124</v>
      </c>
      <c r="W4112"/>
      <c r="X4112" t="s">
        <v>3143</v>
      </c>
      <c r="Y4112" t="s">
        <v>215</v>
      </c>
      <c r="Z4112">
        <v>20748</v>
      </c>
      <c r="AA4112" t="s">
        <v>3144</v>
      </c>
      <c r="AB4112">
        <v>40001</v>
      </c>
      <c r="AC4112"/>
      <c r="AD4112"/>
      <c r="AE4112" t="s">
        <v>7524</v>
      </c>
      <c r="AF4112" t="s">
        <v>7524</v>
      </c>
      <c r="AG4112" t="s">
        <v>89</v>
      </c>
    </row>
    <row r="4113" spans="2:33">
      <c r="B4113" s="14">
        <f>10000000+INDEX(编号表!$B:$B,MATCH(H4113,编号表!$A:$A,0))*100000+INDEX(编号表!$F:$F,MATCH(D4113,编号表!$E:$E,0))*10000+INDEX(编号表!$D:$D,MATCH(AG4113,编号表!$C:$C,0))*1000+F4113</f>
        <v>11814000</v>
      </c>
      <c r="C4113" t="s">
        <v>3149</v>
      </c>
      <c r="D4113" t="s">
        <v>72</v>
      </c>
      <c r="E4113" t="s">
        <v>92</v>
      </c>
      <c r="F4113">
        <v>0</v>
      </c>
      <c r="G4113">
        <v>60</v>
      </c>
      <c r="H4113" t="s">
        <v>7524</v>
      </c>
      <c r="I4113" t="s">
        <v>75</v>
      </c>
      <c r="J4113" t="s">
        <v>201</v>
      </c>
      <c r="K4113">
        <v>1</v>
      </c>
      <c r="L4113" t="s">
        <v>7524</v>
      </c>
      <c r="M4113"/>
      <c r="N4113">
        <v>0</v>
      </c>
      <c r="O4113" t="b">
        <v>1</v>
      </c>
      <c r="P4113"/>
      <c r="Q4113" t="b">
        <v>0</v>
      </c>
      <c r="R4113">
        <v>1</v>
      </c>
      <c r="S4113" t="s">
        <v>77</v>
      </c>
      <c r="T4113">
        <v>999</v>
      </c>
      <c r="U4113" t="s">
        <v>7525</v>
      </c>
      <c r="V4113">
        <f t="shared" si="3"/>
        <v>31814000</v>
      </c>
      <c r="W4113"/>
      <c r="X4113" t="s">
        <v>3150</v>
      </c>
      <c r="Y4113" t="s">
        <v>215</v>
      </c>
      <c r="Z4113">
        <v>20751</v>
      </c>
      <c r="AA4113" t="s">
        <v>3151</v>
      </c>
      <c r="AB4113">
        <v>40001</v>
      </c>
      <c r="AC4113"/>
      <c r="AD4113"/>
      <c r="AE4113" t="s">
        <v>7524</v>
      </c>
      <c r="AF4113" t="s">
        <v>7524</v>
      </c>
      <c r="AG4113" t="s">
        <v>92</v>
      </c>
    </row>
    <row r="4114" spans="2:33">
      <c r="B4114" s="14">
        <f>10000000+INDEX(编号表!$B:$B,MATCH(H4114,编号表!$A:$A,0))*100000+INDEX(编号表!$F:$F,MATCH(D4114,编号表!$E:$E,0))*10000+INDEX(编号表!$D:$D,MATCH(AG4114,编号表!$C:$C,0))*1000+F4114</f>
        <v>11814001</v>
      </c>
      <c r="C4114" t="s">
        <v>3156</v>
      </c>
      <c r="D4114" t="s">
        <v>72</v>
      </c>
      <c r="E4114" t="s">
        <v>92</v>
      </c>
      <c r="F4114">
        <v>1</v>
      </c>
      <c r="G4114">
        <v>60</v>
      </c>
      <c r="H4114" t="s">
        <v>7524</v>
      </c>
      <c r="I4114" t="s">
        <v>75</v>
      </c>
      <c r="J4114" t="s">
        <v>201</v>
      </c>
      <c r="K4114">
        <v>1</v>
      </c>
      <c r="L4114" t="s">
        <v>7524</v>
      </c>
      <c r="M4114"/>
      <c r="N4114">
        <v>0</v>
      </c>
      <c r="O4114" t="b">
        <v>1</v>
      </c>
      <c r="P4114"/>
      <c r="Q4114" t="b">
        <v>0</v>
      </c>
      <c r="R4114">
        <v>1</v>
      </c>
      <c r="S4114" t="s">
        <v>77</v>
      </c>
      <c r="T4114">
        <v>999</v>
      </c>
      <c r="U4114" t="s">
        <v>7525</v>
      </c>
      <c r="V4114">
        <f t="shared" si="3"/>
        <v>31814001</v>
      </c>
      <c r="W4114"/>
      <c r="X4114" t="s">
        <v>3157</v>
      </c>
      <c r="Y4114" t="s">
        <v>215</v>
      </c>
      <c r="Z4114">
        <v>20754</v>
      </c>
      <c r="AA4114" t="s">
        <v>3158</v>
      </c>
      <c r="AB4114">
        <v>40001</v>
      </c>
      <c r="AC4114"/>
      <c r="AD4114"/>
      <c r="AE4114" t="s">
        <v>7524</v>
      </c>
      <c r="AF4114" t="s">
        <v>7524</v>
      </c>
      <c r="AG4114" t="s">
        <v>92</v>
      </c>
    </row>
    <row r="4115" spans="2:33">
      <c r="B4115" s="14">
        <f>10000000+INDEX(编号表!$B:$B,MATCH(H4115,编号表!$A:$A,0))*100000+INDEX(编号表!$F:$F,MATCH(D4115,编号表!$E:$E,0))*10000+INDEX(编号表!$D:$D,MATCH(AG4115,编号表!$C:$C,0))*1000+F4115</f>
        <v>11814002</v>
      </c>
      <c r="C4115" t="s">
        <v>3163</v>
      </c>
      <c r="D4115" t="s">
        <v>72</v>
      </c>
      <c r="E4115" t="s">
        <v>92</v>
      </c>
      <c r="F4115">
        <v>2</v>
      </c>
      <c r="G4115">
        <v>60</v>
      </c>
      <c r="H4115" t="s">
        <v>7524</v>
      </c>
      <c r="I4115" t="s">
        <v>75</v>
      </c>
      <c r="J4115" t="s">
        <v>201</v>
      </c>
      <c r="K4115">
        <v>1</v>
      </c>
      <c r="L4115" t="s">
        <v>7524</v>
      </c>
      <c r="M4115"/>
      <c r="N4115">
        <v>0</v>
      </c>
      <c r="O4115" t="b">
        <v>1</v>
      </c>
      <c r="P4115"/>
      <c r="Q4115" t="b">
        <v>0</v>
      </c>
      <c r="R4115">
        <v>1</v>
      </c>
      <c r="S4115" t="s">
        <v>77</v>
      </c>
      <c r="T4115">
        <v>999</v>
      </c>
      <c r="U4115" t="s">
        <v>7525</v>
      </c>
      <c r="V4115">
        <f t="shared" si="3"/>
        <v>31814002</v>
      </c>
      <c r="W4115"/>
      <c r="X4115" t="s">
        <v>3164</v>
      </c>
      <c r="Y4115" t="s">
        <v>215</v>
      </c>
      <c r="Z4115">
        <v>20757</v>
      </c>
      <c r="AA4115" t="s">
        <v>3165</v>
      </c>
      <c r="AB4115">
        <v>40001</v>
      </c>
      <c r="AC4115"/>
      <c r="AD4115"/>
      <c r="AE4115" t="s">
        <v>7524</v>
      </c>
      <c r="AF4115" t="s">
        <v>7524</v>
      </c>
      <c r="AG4115" t="s">
        <v>92</v>
      </c>
    </row>
    <row r="4116" spans="2:33">
      <c r="B4116" s="14">
        <f>10000000+INDEX(编号表!$B:$B,MATCH(H4116,编号表!$A:$A,0))*100000+INDEX(编号表!$F:$F,MATCH(D4116,编号表!$E:$E,0))*10000+INDEX(编号表!$D:$D,MATCH(AG4116,编号表!$C:$C,0))*1000+F4116</f>
        <v>11814003</v>
      </c>
      <c r="C4116" t="s">
        <v>3170</v>
      </c>
      <c r="D4116" t="s">
        <v>72</v>
      </c>
      <c r="E4116" t="s">
        <v>92</v>
      </c>
      <c r="F4116">
        <v>3</v>
      </c>
      <c r="G4116">
        <v>60</v>
      </c>
      <c r="H4116" t="s">
        <v>7524</v>
      </c>
      <c r="I4116" t="s">
        <v>75</v>
      </c>
      <c r="J4116" t="s">
        <v>201</v>
      </c>
      <c r="K4116">
        <v>1</v>
      </c>
      <c r="L4116" t="s">
        <v>7524</v>
      </c>
      <c r="M4116"/>
      <c r="N4116">
        <v>0</v>
      </c>
      <c r="O4116" t="b">
        <v>1</v>
      </c>
      <c r="P4116"/>
      <c r="Q4116" t="b">
        <v>0</v>
      </c>
      <c r="R4116">
        <v>1</v>
      </c>
      <c r="S4116" t="s">
        <v>77</v>
      </c>
      <c r="T4116">
        <v>999</v>
      </c>
      <c r="U4116" t="s">
        <v>7525</v>
      </c>
      <c r="V4116">
        <f t="shared" si="3"/>
        <v>31814003</v>
      </c>
      <c r="W4116"/>
      <c r="X4116" t="s">
        <v>3171</v>
      </c>
      <c r="Y4116" t="s">
        <v>215</v>
      </c>
      <c r="Z4116">
        <v>20760</v>
      </c>
      <c r="AA4116" t="s">
        <v>3172</v>
      </c>
      <c r="AB4116">
        <v>40001</v>
      </c>
      <c r="AC4116"/>
      <c r="AD4116"/>
      <c r="AE4116" t="s">
        <v>7524</v>
      </c>
      <c r="AF4116" t="s">
        <v>7524</v>
      </c>
      <c r="AG4116" t="s">
        <v>92</v>
      </c>
    </row>
    <row r="4117" spans="2:33">
      <c r="B4117" s="14">
        <f>10000000+INDEX(编号表!$B:$B,MATCH(H4117,编号表!$A:$A,0))*100000+INDEX(编号表!$F:$F,MATCH(D4117,编号表!$E:$E,0))*10000+INDEX(编号表!$D:$D,MATCH(AG4117,编号表!$C:$C,0))*1000+F4117</f>
        <v>11814004</v>
      </c>
      <c r="C4117" t="s">
        <v>3177</v>
      </c>
      <c r="D4117" t="s">
        <v>72</v>
      </c>
      <c r="E4117" t="s">
        <v>92</v>
      </c>
      <c r="F4117">
        <v>4</v>
      </c>
      <c r="G4117">
        <v>60</v>
      </c>
      <c r="H4117" t="s">
        <v>7524</v>
      </c>
      <c r="I4117" t="s">
        <v>75</v>
      </c>
      <c r="J4117" t="s">
        <v>201</v>
      </c>
      <c r="K4117">
        <v>1</v>
      </c>
      <c r="L4117" t="s">
        <v>7524</v>
      </c>
      <c r="M4117"/>
      <c r="N4117">
        <v>0</v>
      </c>
      <c r="O4117" t="b">
        <v>1</v>
      </c>
      <c r="P4117"/>
      <c r="Q4117" t="b">
        <v>0</v>
      </c>
      <c r="R4117">
        <v>1</v>
      </c>
      <c r="S4117" t="s">
        <v>77</v>
      </c>
      <c r="T4117">
        <v>999</v>
      </c>
      <c r="U4117" t="s">
        <v>7525</v>
      </c>
      <c r="V4117">
        <f t="shared" si="3"/>
        <v>31814004</v>
      </c>
      <c r="W4117"/>
      <c r="X4117" t="s">
        <v>3178</v>
      </c>
      <c r="Y4117" t="s">
        <v>215</v>
      </c>
      <c r="Z4117">
        <v>20763</v>
      </c>
      <c r="AA4117" t="s">
        <v>3179</v>
      </c>
      <c r="AB4117">
        <v>40001</v>
      </c>
      <c r="AC4117"/>
      <c r="AD4117"/>
      <c r="AE4117" t="s">
        <v>7524</v>
      </c>
      <c r="AF4117" t="s">
        <v>7524</v>
      </c>
      <c r="AG4117" t="s">
        <v>92</v>
      </c>
    </row>
    <row r="4118" spans="2:33">
      <c r="B4118" s="14">
        <f>10000000+INDEX(编号表!$B:$B,MATCH(H4118,编号表!$A:$A,0))*100000+INDEX(编号表!$F:$F,MATCH(D4118,编号表!$E:$E,0))*10000+INDEX(编号表!$D:$D,MATCH(AG4118,编号表!$C:$C,0))*1000+F4118</f>
        <v>11814005</v>
      </c>
      <c r="C4118" t="s">
        <v>3184</v>
      </c>
      <c r="D4118" t="s">
        <v>72</v>
      </c>
      <c r="E4118" t="s">
        <v>92</v>
      </c>
      <c r="F4118">
        <v>5</v>
      </c>
      <c r="G4118">
        <v>60</v>
      </c>
      <c r="H4118" t="s">
        <v>7524</v>
      </c>
      <c r="I4118" t="s">
        <v>75</v>
      </c>
      <c r="J4118" t="s">
        <v>201</v>
      </c>
      <c r="K4118">
        <v>1</v>
      </c>
      <c r="L4118" t="s">
        <v>7524</v>
      </c>
      <c r="M4118"/>
      <c r="N4118">
        <v>0</v>
      </c>
      <c r="O4118" t="b">
        <v>1</v>
      </c>
      <c r="P4118"/>
      <c r="Q4118" t="b">
        <v>0</v>
      </c>
      <c r="R4118">
        <v>1</v>
      </c>
      <c r="S4118" t="s">
        <v>77</v>
      </c>
      <c r="T4118">
        <v>999</v>
      </c>
      <c r="U4118" t="s">
        <v>7525</v>
      </c>
      <c r="V4118">
        <f t="shared" si="3"/>
        <v>31814005</v>
      </c>
      <c r="W4118"/>
      <c r="X4118" t="s">
        <v>3185</v>
      </c>
      <c r="Y4118" t="s">
        <v>215</v>
      </c>
      <c r="Z4118">
        <v>20766</v>
      </c>
      <c r="AA4118" t="s">
        <v>3186</v>
      </c>
      <c r="AB4118">
        <v>40001</v>
      </c>
      <c r="AC4118"/>
      <c r="AD4118"/>
      <c r="AE4118" t="s">
        <v>7524</v>
      </c>
      <c r="AF4118" t="s">
        <v>7524</v>
      </c>
      <c r="AG4118" t="s">
        <v>92</v>
      </c>
    </row>
    <row r="4119" spans="2:33">
      <c r="B4119" s="14">
        <f>10000000+INDEX(编号表!$B:$B,MATCH(H4119,编号表!$A:$A,0))*100000+INDEX(编号表!$F:$F,MATCH(D4119,编号表!$E:$E,0))*10000+INDEX(编号表!$D:$D,MATCH(AG4119,编号表!$C:$C,0))*1000+F4119</f>
        <v>11814006</v>
      </c>
      <c r="C4119" t="s">
        <v>3191</v>
      </c>
      <c r="D4119" t="s">
        <v>72</v>
      </c>
      <c r="E4119" t="s">
        <v>92</v>
      </c>
      <c r="F4119">
        <v>6</v>
      </c>
      <c r="G4119">
        <v>60</v>
      </c>
      <c r="H4119" t="s">
        <v>7524</v>
      </c>
      <c r="I4119" t="s">
        <v>75</v>
      </c>
      <c r="J4119" t="s">
        <v>201</v>
      </c>
      <c r="K4119">
        <v>1</v>
      </c>
      <c r="L4119" t="s">
        <v>7524</v>
      </c>
      <c r="M4119"/>
      <c r="N4119">
        <v>0</v>
      </c>
      <c r="O4119" t="b">
        <v>1</v>
      </c>
      <c r="P4119"/>
      <c r="Q4119" t="b">
        <v>0</v>
      </c>
      <c r="R4119">
        <v>1</v>
      </c>
      <c r="S4119" t="s">
        <v>77</v>
      </c>
      <c r="T4119">
        <v>999</v>
      </c>
      <c r="U4119" t="s">
        <v>7525</v>
      </c>
      <c r="V4119">
        <f t="shared" si="3"/>
        <v>31814006</v>
      </c>
      <c r="W4119"/>
      <c r="X4119" t="s">
        <v>3192</v>
      </c>
      <c r="Y4119" t="s">
        <v>215</v>
      </c>
      <c r="Z4119">
        <v>20769</v>
      </c>
      <c r="AA4119" t="s">
        <v>3193</v>
      </c>
      <c r="AB4119">
        <v>40001</v>
      </c>
      <c r="AC4119"/>
      <c r="AD4119"/>
      <c r="AE4119" t="s">
        <v>7524</v>
      </c>
      <c r="AF4119" t="s">
        <v>7524</v>
      </c>
      <c r="AG4119" t="s">
        <v>92</v>
      </c>
    </row>
    <row r="4120" spans="2:33">
      <c r="B4120" s="14">
        <f>10000000+INDEX(编号表!$B:$B,MATCH(H4120,编号表!$A:$A,0))*100000+INDEX(编号表!$F:$F,MATCH(D4120,编号表!$E:$E,0))*10000+INDEX(编号表!$D:$D,MATCH(AG4120,编号表!$C:$C,0))*1000+F4120</f>
        <v>11814007</v>
      </c>
      <c r="C4120" t="s">
        <v>3198</v>
      </c>
      <c r="D4120" t="s">
        <v>72</v>
      </c>
      <c r="E4120" t="s">
        <v>92</v>
      </c>
      <c r="F4120">
        <v>7</v>
      </c>
      <c r="G4120">
        <v>60</v>
      </c>
      <c r="H4120" t="s">
        <v>7524</v>
      </c>
      <c r="I4120" t="s">
        <v>75</v>
      </c>
      <c r="J4120" t="s">
        <v>201</v>
      </c>
      <c r="K4120">
        <v>1</v>
      </c>
      <c r="L4120" t="s">
        <v>7524</v>
      </c>
      <c r="M4120"/>
      <c r="N4120">
        <v>0</v>
      </c>
      <c r="O4120" t="b">
        <v>1</v>
      </c>
      <c r="P4120"/>
      <c r="Q4120" t="b">
        <v>0</v>
      </c>
      <c r="R4120">
        <v>1</v>
      </c>
      <c r="S4120" t="s">
        <v>77</v>
      </c>
      <c r="T4120">
        <v>999</v>
      </c>
      <c r="U4120" t="s">
        <v>7525</v>
      </c>
      <c r="V4120">
        <f t="shared" ref="V4120:V4183" si="4">B4120+20000000</f>
        <v>31814007</v>
      </c>
      <c r="W4120"/>
      <c r="X4120" t="s">
        <v>3199</v>
      </c>
      <c r="Y4120" t="s">
        <v>215</v>
      </c>
      <c r="Z4120">
        <v>20772</v>
      </c>
      <c r="AA4120" t="s">
        <v>3200</v>
      </c>
      <c r="AB4120">
        <v>40001</v>
      </c>
      <c r="AC4120"/>
      <c r="AD4120"/>
      <c r="AE4120" t="s">
        <v>7524</v>
      </c>
      <c r="AF4120" t="s">
        <v>7524</v>
      </c>
      <c r="AG4120" t="s">
        <v>92</v>
      </c>
    </row>
    <row r="4121" spans="2:33">
      <c r="B4121" s="14">
        <f>10000000+INDEX(编号表!$B:$B,MATCH(H4121,编号表!$A:$A,0))*100000+INDEX(编号表!$F:$F,MATCH(D4121,编号表!$E:$E,0))*10000+INDEX(编号表!$D:$D,MATCH(AG4121,编号表!$C:$C,0))*1000+F4121</f>
        <v>11814008</v>
      </c>
      <c r="C4121" t="s">
        <v>3205</v>
      </c>
      <c r="D4121" t="s">
        <v>72</v>
      </c>
      <c r="E4121" t="s">
        <v>92</v>
      </c>
      <c r="F4121">
        <v>8</v>
      </c>
      <c r="G4121">
        <v>60</v>
      </c>
      <c r="H4121" t="s">
        <v>7524</v>
      </c>
      <c r="I4121" t="s">
        <v>75</v>
      </c>
      <c r="J4121" t="s">
        <v>201</v>
      </c>
      <c r="K4121">
        <v>1</v>
      </c>
      <c r="L4121" t="s">
        <v>7524</v>
      </c>
      <c r="M4121"/>
      <c r="N4121">
        <v>0</v>
      </c>
      <c r="O4121" t="b">
        <v>1</v>
      </c>
      <c r="P4121"/>
      <c r="Q4121" t="b">
        <v>0</v>
      </c>
      <c r="R4121">
        <v>1</v>
      </c>
      <c r="S4121" t="s">
        <v>77</v>
      </c>
      <c r="T4121">
        <v>999</v>
      </c>
      <c r="U4121" t="s">
        <v>7525</v>
      </c>
      <c r="V4121">
        <f t="shared" si="4"/>
        <v>31814008</v>
      </c>
      <c r="W4121"/>
      <c r="X4121" t="s">
        <v>3206</v>
      </c>
      <c r="Y4121" t="s">
        <v>215</v>
      </c>
      <c r="Z4121">
        <v>20775</v>
      </c>
      <c r="AA4121" t="s">
        <v>3207</v>
      </c>
      <c r="AB4121">
        <v>40001</v>
      </c>
      <c r="AC4121"/>
      <c r="AD4121"/>
      <c r="AE4121" t="s">
        <v>7524</v>
      </c>
      <c r="AF4121" t="s">
        <v>7524</v>
      </c>
      <c r="AG4121" t="s">
        <v>92</v>
      </c>
    </row>
    <row r="4122" spans="2:33">
      <c r="B4122" s="14">
        <f>10000000+INDEX(编号表!$B:$B,MATCH(H4122,编号表!$A:$A,0))*100000+INDEX(编号表!$F:$F,MATCH(D4122,编号表!$E:$E,0))*10000+INDEX(编号表!$D:$D,MATCH(AG4122,编号表!$C:$C,0))*1000+F4122</f>
        <v>11814009</v>
      </c>
      <c r="C4122" t="s">
        <v>3212</v>
      </c>
      <c r="D4122" t="s">
        <v>72</v>
      </c>
      <c r="E4122" t="s">
        <v>92</v>
      </c>
      <c r="F4122">
        <v>9</v>
      </c>
      <c r="G4122">
        <v>60</v>
      </c>
      <c r="H4122" t="s">
        <v>7524</v>
      </c>
      <c r="I4122" t="s">
        <v>75</v>
      </c>
      <c r="J4122" t="s">
        <v>201</v>
      </c>
      <c r="K4122">
        <v>1</v>
      </c>
      <c r="L4122" t="s">
        <v>7524</v>
      </c>
      <c r="M4122"/>
      <c r="N4122">
        <v>0</v>
      </c>
      <c r="O4122" t="b">
        <v>1</v>
      </c>
      <c r="P4122"/>
      <c r="Q4122" t="b">
        <v>0</v>
      </c>
      <c r="R4122">
        <v>1</v>
      </c>
      <c r="S4122" t="s">
        <v>77</v>
      </c>
      <c r="T4122">
        <v>999</v>
      </c>
      <c r="U4122" t="s">
        <v>7525</v>
      </c>
      <c r="V4122">
        <f t="shared" si="4"/>
        <v>31814009</v>
      </c>
      <c r="W4122"/>
      <c r="X4122" t="s">
        <v>3213</v>
      </c>
      <c r="Y4122" t="s">
        <v>215</v>
      </c>
      <c r="Z4122">
        <v>20778</v>
      </c>
      <c r="AA4122" t="s">
        <v>3214</v>
      </c>
      <c r="AB4122">
        <v>40001</v>
      </c>
      <c r="AC4122"/>
      <c r="AD4122"/>
      <c r="AE4122" t="s">
        <v>7524</v>
      </c>
      <c r="AF4122" t="s">
        <v>7524</v>
      </c>
      <c r="AG4122" t="s">
        <v>92</v>
      </c>
    </row>
    <row r="4123" spans="2:33">
      <c r="B4123" s="14">
        <f>10000000+INDEX(编号表!$B:$B,MATCH(H4123,编号表!$A:$A,0))*100000+INDEX(编号表!$F:$F,MATCH(D4123,编号表!$E:$E,0))*10000+INDEX(编号表!$D:$D,MATCH(AG4123,编号表!$C:$C,0))*1000+F4123</f>
        <v>11814010</v>
      </c>
      <c r="C4123" t="s">
        <v>3219</v>
      </c>
      <c r="D4123" t="s">
        <v>72</v>
      </c>
      <c r="E4123" t="s">
        <v>92</v>
      </c>
      <c r="F4123">
        <v>10</v>
      </c>
      <c r="G4123">
        <v>60</v>
      </c>
      <c r="H4123" t="s">
        <v>7524</v>
      </c>
      <c r="I4123" t="s">
        <v>75</v>
      </c>
      <c r="J4123" t="s">
        <v>201</v>
      </c>
      <c r="K4123">
        <v>1</v>
      </c>
      <c r="L4123" t="s">
        <v>7524</v>
      </c>
      <c r="M4123"/>
      <c r="N4123">
        <v>0</v>
      </c>
      <c r="O4123" t="b">
        <v>1</v>
      </c>
      <c r="P4123"/>
      <c r="Q4123" t="b">
        <v>0</v>
      </c>
      <c r="R4123">
        <v>1</v>
      </c>
      <c r="S4123" t="s">
        <v>77</v>
      </c>
      <c r="T4123">
        <v>999</v>
      </c>
      <c r="U4123" t="s">
        <v>7525</v>
      </c>
      <c r="V4123">
        <f t="shared" si="4"/>
        <v>31814010</v>
      </c>
      <c r="W4123"/>
      <c r="X4123" t="s">
        <v>3220</v>
      </c>
      <c r="Y4123" t="s">
        <v>215</v>
      </c>
      <c r="Z4123">
        <v>20781</v>
      </c>
      <c r="AA4123" t="s">
        <v>3221</v>
      </c>
      <c r="AB4123">
        <v>40001</v>
      </c>
      <c r="AC4123"/>
      <c r="AD4123"/>
      <c r="AE4123" t="s">
        <v>7524</v>
      </c>
      <c r="AF4123" t="s">
        <v>7524</v>
      </c>
      <c r="AG4123" t="s">
        <v>92</v>
      </c>
    </row>
    <row r="4124" spans="2:33">
      <c r="B4124" s="14">
        <f>10000000+INDEX(编号表!$B:$B,MATCH(H4124,编号表!$A:$A,0))*100000+INDEX(编号表!$F:$F,MATCH(D4124,编号表!$E:$E,0))*10000+INDEX(编号表!$D:$D,MATCH(AG4124,编号表!$C:$C,0))*1000+F4124</f>
        <v>11814011</v>
      </c>
      <c r="C4124" t="s">
        <v>3226</v>
      </c>
      <c r="D4124" t="s">
        <v>72</v>
      </c>
      <c r="E4124" t="s">
        <v>92</v>
      </c>
      <c r="F4124">
        <v>11</v>
      </c>
      <c r="G4124">
        <v>60</v>
      </c>
      <c r="H4124" t="s">
        <v>7524</v>
      </c>
      <c r="I4124" t="s">
        <v>75</v>
      </c>
      <c r="J4124" t="s">
        <v>201</v>
      </c>
      <c r="K4124">
        <v>1</v>
      </c>
      <c r="L4124" t="s">
        <v>7524</v>
      </c>
      <c r="M4124"/>
      <c r="N4124">
        <v>0</v>
      </c>
      <c r="O4124" t="b">
        <v>1</v>
      </c>
      <c r="P4124"/>
      <c r="Q4124" t="b">
        <v>0</v>
      </c>
      <c r="R4124">
        <v>1</v>
      </c>
      <c r="S4124" t="s">
        <v>77</v>
      </c>
      <c r="T4124">
        <v>999</v>
      </c>
      <c r="U4124" t="s">
        <v>7525</v>
      </c>
      <c r="V4124">
        <f t="shared" si="4"/>
        <v>31814011</v>
      </c>
      <c r="W4124"/>
      <c r="X4124" t="s">
        <v>3227</v>
      </c>
      <c r="Y4124" t="s">
        <v>215</v>
      </c>
      <c r="Z4124">
        <v>20784</v>
      </c>
      <c r="AA4124" t="s">
        <v>3228</v>
      </c>
      <c r="AB4124">
        <v>40001</v>
      </c>
      <c r="AC4124"/>
      <c r="AD4124"/>
      <c r="AE4124" t="s">
        <v>7524</v>
      </c>
      <c r="AF4124" t="s">
        <v>7524</v>
      </c>
      <c r="AG4124" t="s">
        <v>92</v>
      </c>
    </row>
    <row r="4125" spans="2:33">
      <c r="B4125" s="14">
        <f>10000000+INDEX(编号表!$B:$B,MATCH(H4125,编号表!$A:$A,0))*100000+INDEX(编号表!$F:$F,MATCH(D4125,编号表!$E:$E,0))*10000+INDEX(编号表!$D:$D,MATCH(AG4125,编号表!$C:$C,0))*1000+F4125</f>
        <v>11814012</v>
      </c>
      <c r="C4125" t="s">
        <v>3233</v>
      </c>
      <c r="D4125" t="s">
        <v>72</v>
      </c>
      <c r="E4125" t="s">
        <v>92</v>
      </c>
      <c r="F4125">
        <v>12</v>
      </c>
      <c r="G4125">
        <v>60</v>
      </c>
      <c r="H4125" t="s">
        <v>7524</v>
      </c>
      <c r="I4125" t="s">
        <v>75</v>
      </c>
      <c r="J4125" t="s">
        <v>201</v>
      </c>
      <c r="K4125">
        <v>1</v>
      </c>
      <c r="L4125" t="s">
        <v>7524</v>
      </c>
      <c r="M4125"/>
      <c r="N4125">
        <v>0</v>
      </c>
      <c r="O4125" t="b">
        <v>1</v>
      </c>
      <c r="P4125"/>
      <c r="Q4125" t="b">
        <v>0</v>
      </c>
      <c r="R4125">
        <v>1</v>
      </c>
      <c r="S4125" t="s">
        <v>77</v>
      </c>
      <c r="T4125">
        <v>999</v>
      </c>
      <c r="U4125" t="s">
        <v>7525</v>
      </c>
      <c r="V4125">
        <f t="shared" si="4"/>
        <v>31814012</v>
      </c>
      <c r="W4125"/>
      <c r="X4125" t="s">
        <v>3234</v>
      </c>
      <c r="Y4125" t="s">
        <v>215</v>
      </c>
      <c r="Z4125">
        <v>20787</v>
      </c>
      <c r="AA4125" t="s">
        <v>3235</v>
      </c>
      <c r="AB4125">
        <v>40001</v>
      </c>
      <c r="AC4125"/>
      <c r="AD4125"/>
      <c r="AE4125" t="s">
        <v>7524</v>
      </c>
      <c r="AF4125" t="s">
        <v>7524</v>
      </c>
      <c r="AG4125" t="s">
        <v>92</v>
      </c>
    </row>
    <row r="4126" spans="2:33">
      <c r="B4126" s="14">
        <f>10000000+INDEX(编号表!$B:$B,MATCH(H4126,编号表!$A:$A,0))*100000+INDEX(编号表!$F:$F,MATCH(D4126,编号表!$E:$E,0))*10000+INDEX(编号表!$D:$D,MATCH(AG4126,编号表!$C:$C,0))*1000+F4126</f>
        <v>11814013</v>
      </c>
      <c r="C4126" t="s">
        <v>3240</v>
      </c>
      <c r="D4126" t="s">
        <v>72</v>
      </c>
      <c r="E4126" t="s">
        <v>92</v>
      </c>
      <c r="F4126">
        <v>13</v>
      </c>
      <c r="G4126">
        <v>60</v>
      </c>
      <c r="H4126" t="s">
        <v>7524</v>
      </c>
      <c r="I4126" t="s">
        <v>75</v>
      </c>
      <c r="J4126" t="s">
        <v>201</v>
      </c>
      <c r="K4126">
        <v>1</v>
      </c>
      <c r="L4126" t="s">
        <v>7524</v>
      </c>
      <c r="M4126"/>
      <c r="N4126">
        <v>0</v>
      </c>
      <c r="O4126" t="b">
        <v>1</v>
      </c>
      <c r="P4126"/>
      <c r="Q4126" t="b">
        <v>0</v>
      </c>
      <c r="R4126">
        <v>1</v>
      </c>
      <c r="S4126" t="s">
        <v>77</v>
      </c>
      <c r="T4126">
        <v>999</v>
      </c>
      <c r="U4126" t="s">
        <v>7525</v>
      </c>
      <c r="V4126">
        <f t="shared" si="4"/>
        <v>31814013</v>
      </c>
      <c r="W4126"/>
      <c r="X4126" t="s">
        <v>3241</v>
      </c>
      <c r="Y4126" t="s">
        <v>215</v>
      </c>
      <c r="Z4126">
        <v>20790</v>
      </c>
      <c r="AA4126" t="s">
        <v>3242</v>
      </c>
      <c r="AB4126">
        <v>40001</v>
      </c>
      <c r="AC4126"/>
      <c r="AD4126"/>
      <c r="AE4126" t="s">
        <v>7524</v>
      </c>
      <c r="AF4126" t="s">
        <v>7524</v>
      </c>
      <c r="AG4126" t="s">
        <v>92</v>
      </c>
    </row>
    <row r="4127" spans="2:33">
      <c r="B4127" s="14">
        <f>10000000+INDEX(编号表!$B:$B,MATCH(H4127,编号表!$A:$A,0))*100000+INDEX(编号表!$F:$F,MATCH(D4127,编号表!$E:$E,0))*10000+INDEX(编号表!$D:$D,MATCH(AG4127,编号表!$C:$C,0))*1000+F4127</f>
        <v>11814014</v>
      </c>
      <c r="C4127" t="s">
        <v>3247</v>
      </c>
      <c r="D4127" t="s">
        <v>72</v>
      </c>
      <c r="E4127" t="s">
        <v>92</v>
      </c>
      <c r="F4127">
        <v>14</v>
      </c>
      <c r="G4127">
        <v>60</v>
      </c>
      <c r="H4127" t="s">
        <v>7524</v>
      </c>
      <c r="I4127" t="s">
        <v>75</v>
      </c>
      <c r="J4127" t="s">
        <v>201</v>
      </c>
      <c r="K4127">
        <v>1</v>
      </c>
      <c r="L4127" t="s">
        <v>7524</v>
      </c>
      <c r="M4127"/>
      <c r="N4127">
        <v>0</v>
      </c>
      <c r="O4127" t="b">
        <v>1</v>
      </c>
      <c r="P4127"/>
      <c r="Q4127" t="b">
        <v>0</v>
      </c>
      <c r="R4127">
        <v>1</v>
      </c>
      <c r="S4127" t="s">
        <v>77</v>
      </c>
      <c r="T4127">
        <v>999</v>
      </c>
      <c r="U4127" t="s">
        <v>7525</v>
      </c>
      <c r="V4127">
        <f t="shared" si="4"/>
        <v>31814014</v>
      </c>
      <c r="W4127"/>
      <c r="X4127" t="s">
        <v>3248</v>
      </c>
      <c r="Y4127" t="s">
        <v>215</v>
      </c>
      <c r="Z4127">
        <v>20793</v>
      </c>
      <c r="AA4127" t="s">
        <v>3249</v>
      </c>
      <c r="AB4127">
        <v>40001</v>
      </c>
      <c r="AC4127"/>
      <c r="AD4127"/>
      <c r="AE4127" t="s">
        <v>7524</v>
      </c>
      <c r="AF4127" t="s">
        <v>7524</v>
      </c>
      <c r="AG4127" t="s">
        <v>92</v>
      </c>
    </row>
    <row r="4128" spans="2:33">
      <c r="B4128" s="14">
        <f>10000000+INDEX(编号表!$B:$B,MATCH(H4128,编号表!$A:$A,0))*100000+INDEX(编号表!$F:$F,MATCH(D4128,编号表!$E:$E,0))*10000+INDEX(编号表!$D:$D,MATCH(AG4128,编号表!$C:$C,0))*1000+F4128</f>
        <v>11814015</v>
      </c>
      <c r="C4128" t="s">
        <v>3254</v>
      </c>
      <c r="D4128" t="s">
        <v>72</v>
      </c>
      <c r="E4128" t="s">
        <v>92</v>
      </c>
      <c r="F4128">
        <v>15</v>
      </c>
      <c r="G4128">
        <v>60</v>
      </c>
      <c r="H4128" t="s">
        <v>7524</v>
      </c>
      <c r="I4128" t="s">
        <v>75</v>
      </c>
      <c r="J4128" t="s">
        <v>201</v>
      </c>
      <c r="K4128">
        <v>1</v>
      </c>
      <c r="L4128" t="s">
        <v>7524</v>
      </c>
      <c r="M4128"/>
      <c r="N4128">
        <v>0</v>
      </c>
      <c r="O4128" t="b">
        <v>1</v>
      </c>
      <c r="P4128"/>
      <c r="Q4128" t="b">
        <v>0</v>
      </c>
      <c r="R4128">
        <v>1</v>
      </c>
      <c r="S4128" t="s">
        <v>77</v>
      </c>
      <c r="T4128">
        <v>999</v>
      </c>
      <c r="U4128" t="s">
        <v>7525</v>
      </c>
      <c r="V4128">
        <f t="shared" si="4"/>
        <v>31814015</v>
      </c>
      <c r="W4128"/>
      <c r="X4128" t="s">
        <v>3255</v>
      </c>
      <c r="Y4128" t="s">
        <v>215</v>
      </c>
      <c r="Z4128">
        <v>20796</v>
      </c>
      <c r="AA4128" t="s">
        <v>3256</v>
      </c>
      <c r="AB4128">
        <v>40001</v>
      </c>
      <c r="AC4128"/>
      <c r="AD4128"/>
      <c r="AE4128" t="s">
        <v>7524</v>
      </c>
      <c r="AF4128" t="s">
        <v>7524</v>
      </c>
      <c r="AG4128" t="s">
        <v>92</v>
      </c>
    </row>
    <row r="4129" spans="2:33">
      <c r="B4129" s="14">
        <f>10000000+INDEX(编号表!$B:$B,MATCH(H4129,编号表!$A:$A,0))*100000+INDEX(编号表!$F:$F,MATCH(D4129,编号表!$E:$E,0))*10000+INDEX(编号表!$D:$D,MATCH(AG4129,编号表!$C:$C,0))*1000+F4129</f>
        <v>11814016</v>
      </c>
      <c r="C4129" t="s">
        <v>3261</v>
      </c>
      <c r="D4129" t="s">
        <v>72</v>
      </c>
      <c r="E4129" t="s">
        <v>92</v>
      </c>
      <c r="F4129">
        <v>16</v>
      </c>
      <c r="G4129">
        <v>60</v>
      </c>
      <c r="H4129" t="s">
        <v>7524</v>
      </c>
      <c r="I4129" t="s">
        <v>75</v>
      </c>
      <c r="J4129" t="s">
        <v>201</v>
      </c>
      <c r="K4129">
        <v>1</v>
      </c>
      <c r="L4129" t="s">
        <v>7524</v>
      </c>
      <c r="M4129"/>
      <c r="N4129">
        <v>0</v>
      </c>
      <c r="O4129" t="b">
        <v>1</v>
      </c>
      <c r="P4129"/>
      <c r="Q4129" t="b">
        <v>0</v>
      </c>
      <c r="R4129">
        <v>1</v>
      </c>
      <c r="S4129" t="s">
        <v>77</v>
      </c>
      <c r="T4129">
        <v>999</v>
      </c>
      <c r="U4129" t="s">
        <v>7525</v>
      </c>
      <c r="V4129">
        <f t="shared" si="4"/>
        <v>31814016</v>
      </c>
      <c r="W4129"/>
      <c r="X4129" t="s">
        <v>3262</v>
      </c>
      <c r="Y4129" t="s">
        <v>215</v>
      </c>
      <c r="Z4129">
        <v>20799</v>
      </c>
      <c r="AA4129" t="s">
        <v>3263</v>
      </c>
      <c r="AB4129">
        <v>40001</v>
      </c>
      <c r="AC4129"/>
      <c r="AD4129"/>
      <c r="AE4129" t="s">
        <v>7524</v>
      </c>
      <c r="AF4129" t="s">
        <v>7524</v>
      </c>
      <c r="AG4129" t="s">
        <v>92</v>
      </c>
    </row>
    <row r="4130" spans="2:33">
      <c r="B4130" s="14">
        <f>10000000+INDEX(编号表!$B:$B,MATCH(H4130,编号表!$A:$A,0))*100000+INDEX(编号表!$F:$F,MATCH(D4130,编号表!$E:$E,0))*10000+INDEX(编号表!$D:$D,MATCH(AG4130,编号表!$C:$C,0))*1000+F4130</f>
        <v>11814017</v>
      </c>
      <c r="C4130" t="s">
        <v>3268</v>
      </c>
      <c r="D4130" t="s">
        <v>72</v>
      </c>
      <c r="E4130" t="s">
        <v>92</v>
      </c>
      <c r="F4130">
        <v>17</v>
      </c>
      <c r="G4130">
        <v>60</v>
      </c>
      <c r="H4130" t="s">
        <v>7524</v>
      </c>
      <c r="I4130" t="s">
        <v>75</v>
      </c>
      <c r="J4130" t="s">
        <v>201</v>
      </c>
      <c r="K4130">
        <v>1</v>
      </c>
      <c r="L4130" t="s">
        <v>7524</v>
      </c>
      <c r="M4130"/>
      <c r="N4130">
        <v>0</v>
      </c>
      <c r="O4130" t="b">
        <v>1</v>
      </c>
      <c r="P4130"/>
      <c r="Q4130" t="b">
        <v>0</v>
      </c>
      <c r="R4130">
        <v>1</v>
      </c>
      <c r="S4130" t="s">
        <v>77</v>
      </c>
      <c r="T4130">
        <v>999</v>
      </c>
      <c r="U4130" t="s">
        <v>7525</v>
      </c>
      <c r="V4130">
        <f t="shared" si="4"/>
        <v>31814017</v>
      </c>
      <c r="W4130"/>
      <c r="X4130" t="s">
        <v>3269</v>
      </c>
      <c r="Y4130" t="s">
        <v>215</v>
      </c>
      <c r="Z4130">
        <v>20802</v>
      </c>
      <c r="AA4130" t="s">
        <v>3270</v>
      </c>
      <c r="AB4130">
        <v>40001</v>
      </c>
      <c r="AC4130"/>
      <c r="AD4130"/>
      <c r="AE4130" t="s">
        <v>7524</v>
      </c>
      <c r="AF4130" t="s">
        <v>7524</v>
      </c>
      <c r="AG4130" t="s">
        <v>92</v>
      </c>
    </row>
    <row r="4131" spans="2:33">
      <c r="B4131" s="14">
        <f>10000000+INDEX(编号表!$B:$B,MATCH(H4131,编号表!$A:$A,0))*100000+INDEX(编号表!$F:$F,MATCH(D4131,编号表!$E:$E,0))*10000+INDEX(编号表!$D:$D,MATCH(AG4131,编号表!$C:$C,0))*1000+F4131</f>
        <v>11814018</v>
      </c>
      <c r="C4131" t="s">
        <v>3275</v>
      </c>
      <c r="D4131" t="s">
        <v>72</v>
      </c>
      <c r="E4131" t="s">
        <v>92</v>
      </c>
      <c r="F4131">
        <v>18</v>
      </c>
      <c r="G4131">
        <v>60</v>
      </c>
      <c r="H4131" t="s">
        <v>7524</v>
      </c>
      <c r="I4131" t="s">
        <v>75</v>
      </c>
      <c r="J4131" t="s">
        <v>201</v>
      </c>
      <c r="K4131">
        <v>1</v>
      </c>
      <c r="L4131" t="s">
        <v>7524</v>
      </c>
      <c r="M4131"/>
      <c r="N4131">
        <v>0</v>
      </c>
      <c r="O4131" t="b">
        <v>1</v>
      </c>
      <c r="P4131"/>
      <c r="Q4131" t="b">
        <v>0</v>
      </c>
      <c r="R4131">
        <v>1</v>
      </c>
      <c r="S4131" t="s">
        <v>77</v>
      </c>
      <c r="T4131">
        <v>999</v>
      </c>
      <c r="U4131" t="s">
        <v>7525</v>
      </c>
      <c r="V4131">
        <f t="shared" si="4"/>
        <v>31814018</v>
      </c>
      <c r="W4131"/>
      <c r="X4131" t="s">
        <v>3276</v>
      </c>
      <c r="Y4131" t="s">
        <v>215</v>
      </c>
      <c r="Z4131">
        <v>20805</v>
      </c>
      <c r="AA4131" t="s">
        <v>3277</v>
      </c>
      <c r="AB4131">
        <v>40001</v>
      </c>
      <c r="AC4131"/>
      <c r="AD4131"/>
      <c r="AE4131" t="s">
        <v>7524</v>
      </c>
      <c r="AF4131" t="s">
        <v>7524</v>
      </c>
      <c r="AG4131" t="s">
        <v>92</v>
      </c>
    </row>
    <row r="4132" spans="2:33">
      <c r="B4132" s="14">
        <f>10000000+INDEX(编号表!$B:$B,MATCH(H4132,编号表!$A:$A,0))*100000+INDEX(编号表!$F:$F,MATCH(D4132,编号表!$E:$E,0))*10000+INDEX(编号表!$D:$D,MATCH(AG4132,编号表!$C:$C,0))*1000+F4132</f>
        <v>11814019</v>
      </c>
      <c r="C4132" t="s">
        <v>3282</v>
      </c>
      <c r="D4132" t="s">
        <v>72</v>
      </c>
      <c r="E4132" t="s">
        <v>92</v>
      </c>
      <c r="F4132">
        <v>19</v>
      </c>
      <c r="G4132">
        <v>60</v>
      </c>
      <c r="H4132" t="s">
        <v>7524</v>
      </c>
      <c r="I4132" t="s">
        <v>75</v>
      </c>
      <c r="J4132" t="s">
        <v>201</v>
      </c>
      <c r="K4132">
        <v>1</v>
      </c>
      <c r="L4132" t="s">
        <v>7524</v>
      </c>
      <c r="M4132"/>
      <c r="N4132">
        <v>0</v>
      </c>
      <c r="O4132" t="b">
        <v>1</v>
      </c>
      <c r="P4132"/>
      <c r="Q4132" t="b">
        <v>0</v>
      </c>
      <c r="R4132">
        <v>1</v>
      </c>
      <c r="S4132" t="s">
        <v>77</v>
      </c>
      <c r="T4132">
        <v>999</v>
      </c>
      <c r="U4132" t="s">
        <v>7525</v>
      </c>
      <c r="V4132">
        <f t="shared" si="4"/>
        <v>31814019</v>
      </c>
      <c r="W4132"/>
      <c r="X4132" t="s">
        <v>3283</v>
      </c>
      <c r="Y4132" t="s">
        <v>215</v>
      </c>
      <c r="Z4132">
        <v>20808</v>
      </c>
      <c r="AA4132" t="s">
        <v>3284</v>
      </c>
      <c r="AB4132">
        <v>40001</v>
      </c>
      <c r="AC4132"/>
      <c r="AD4132"/>
      <c r="AE4132" t="s">
        <v>7524</v>
      </c>
      <c r="AF4132" t="s">
        <v>7524</v>
      </c>
      <c r="AG4132" t="s">
        <v>92</v>
      </c>
    </row>
    <row r="4133" spans="2:33">
      <c r="B4133" s="14">
        <f>10000000+INDEX(编号表!$B:$B,MATCH(H4133,编号表!$A:$A,0))*100000+INDEX(编号表!$F:$F,MATCH(D4133,编号表!$E:$E,0))*10000+INDEX(编号表!$D:$D,MATCH(AG4133,编号表!$C:$C,0))*1000+F4133</f>
        <v>11814020</v>
      </c>
      <c r="C4133" t="s">
        <v>3289</v>
      </c>
      <c r="D4133" t="s">
        <v>72</v>
      </c>
      <c r="E4133" t="s">
        <v>92</v>
      </c>
      <c r="F4133">
        <v>20</v>
      </c>
      <c r="G4133">
        <v>60</v>
      </c>
      <c r="H4133" t="s">
        <v>7524</v>
      </c>
      <c r="I4133" t="s">
        <v>75</v>
      </c>
      <c r="J4133" t="s">
        <v>201</v>
      </c>
      <c r="K4133">
        <v>1</v>
      </c>
      <c r="L4133" t="s">
        <v>7524</v>
      </c>
      <c r="M4133"/>
      <c r="N4133">
        <v>0</v>
      </c>
      <c r="O4133" t="b">
        <v>1</v>
      </c>
      <c r="P4133"/>
      <c r="Q4133" t="b">
        <v>0</v>
      </c>
      <c r="R4133">
        <v>1</v>
      </c>
      <c r="S4133" t="s">
        <v>77</v>
      </c>
      <c r="T4133">
        <v>999</v>
      </c>
      <c r="U4133" t="s">
        <v>7525</v>
      </c>
      <c r="V4133">
        <f t="shared" si="4"/>
        <v>31814020</v>
      </c>
      <c r="W4133"/>
      <c r="X4133" t="s">
        <v>3290</v>
      </c>
      <c r="Y4133" t="s">
        <v>215</v>
      </c>
      <c r="Z4133">
        <v>20811</v>
      </c>
      <c r="AA4133" t="s">
        <v>3291</v>
      </c>
      <c r="AB4133">
        <v>40001</v>
      </c>
      <c r="AC4133"/>
      <c r="AD4133"/>
      <c r="AE4133" t="s">
        <v>7524</v>
      </c>
      <c r="AF4133" t="s">
        <v>7524</v>
      </c>
      <c r="AG4133" t="s">
        <v>92</v>
      </c>
    </row>
    <row r="4134" spans="2:33">
      <c r="B4134" s="14">
        <f>10000000+INDEX(编号表!$B:$B,MATCH(H4134,编号表!$A:$A,0))*100000+INDEX(编号表!$F:$F,MATCH(D4134,编号表!$E:$E,0))*10000+INDEX(编号表!$D:$D,MATCH(AG4134,编号表!$C:$C,0))*1000+F4134</f>
        <v>11814021</v>
      </c>
      <c r="C4134" t="s">
        <v>3296</v>
      </c>
      <c r="D4134" t="s">
        <v>72</v>
      </c>
      <c r="E4134" t="s">
        <v>92</v>
      </c>
      <c r="F4134">
        <v>21</v>
      </c>
      <c r="G4134">
        <v>60</v>
      </c>
      <c r="H4134" t="s">
        <v>7524</v>
      </c>
      <c r="I4134" t="s">
        <v>75</v>
      </c>
      <c r="J4134" t="s">
        <v>201</v>
      </c>
      <c r="K4134">
        <v>1</v>
      </c>
      <c r="L4134" t="s">
        <v>7524</v>
      </c>
      <c r="M4134"/>
      <c r="N4134">
        <v>0</v>
      </c>
      <c r="O4134" t="b">
        <v>1</v>
      </c>
      <c r="P4134"/>
      <c r="Q4134" t="b">
        <v>0</v>
      </c>
      <c r="R4134">
        <v>1</v>
      </c>
      <c r="S4134" t="s">
        <v>77</v>
      </c>
      <c r="T4134">
        <v>999</v>
      </c>
      <c r="U4134" t="s">
        <v>7525</v>
      </c>
      <c r="V4134">
        <f t="shared" si="4"/>
        <v>31814021</v>
      </c>
      <c r="W4134"/>
      <c r="X4134" t="s">
        <v>3297</v>
      </c>
      <c r="Y4134" t="s">
        <v>215</v>
      </c>
      <c r="Z4134">
        <v>20814</v>
      </c>
      <c r="AA4134" t="s">
        <v>3298</v>
      </c>
      <c r="AB4134">
        <v>40001</v>
      </c>
      <c r="AC4134"/>
      <c r="AD4134"/>
      <c r="AE4134" t="s">
        <v>7524</v>
      </c>
      <c r="AF4134" t="s">
        <v>7524</v>
      </c>
      <c r="AG4134" t="s">
        <v>92</v>
      </c>
    </row>
    <row r="4135" spans="2:33">
      <c r="B4135" s="14">
        <f>10000000+INDEX(编号表!$B:$B,MATCH(H4135,编号表!$A:$A,0))*100000+INDEX(编号表!$F:$F,MATCH(D4135,编号表!$E:$E,0))*10000+INDEX(编号表!$D:$D,MATCH(AG4135,编号表!$C:$C,0))*1000+F4135</f>
        <v>11814022</v>
      </c>
      <c r="C4135" t="s">
        <v>3303</v>
      </c>
      <c r="D4135" t="s">
        <v>72</v>
      </c>
      <c r="E4135" t="s">
        <v>92</v>
      </c>
      <c r="F4135">
        <v>22</v>
      </c>
      <c r="G4135">
        <v>60</v>
      </c>
      <c r="H4135" t="s">
        <v>7524</v>
      </c>
      <c r="I4135" t="s">
        <v>75</v>
      </c>
      <c r="J4135" t="s">
        <v>201</v>
      </c>
      <c r="K4135">
        <v>1</v>
      </c>
      <c r="L4135" t="s">
        <v>7524</v>
      </c>
      <c r="M4135"/>
      <c r="N4135">
        <v>0</v>
      </c>
      <c r="O4135" t="b">
        <v>1</v>
      </c>
      <c r="P4135"/>
      <c r="Q4135" t="b">
        <v>0</v>
      </c>
      <c r="R4135">
        <v>1</v>
      </c>
      <c r="S4135" t="s">
        <v>77</v>
      </c>
      <c r="T4135">
        <v>999</v>
      </c>
      <c r="U4135" t="s">
        <v>7525</v>
      </c>
      <c r="V4135">
        <f t="shared" si="4"/>
        <v>31814022</v>
      </c>
      <c r="W4135"/>
      <c r="X4135" t="s">
        <v>3304</v>
      </c>
      <c r="Y4135" t="s">
        <v>215</v>
      </c>
      <c r="Z4135">
        <v>20817</v>
      </c>
      <c r="AA4135" t="s">
        <v>3305</v>
      </c>
      <c r="AB4135">
        <v>40001</v>
      </c>
      <c r="AC4135"/>
      <c r="AD4135"/>
      <c r="AE4135" t="s">
        <v>7524</v>
      </c>
      <c r="AF4135" t="s">
        <v>7524</v>
      </c>
      <c r="AG4135" t="s">
        <v>92</v>
      </c>
    </row>
    <row r="4136" spans="2:33">
      <c r="B4136" s="14">
        <f>10000000+INDEX(编号表!$B:$B,MATCH(H4136,编号表!$A:$A,0))*100000+INDEX(编号表!$F:$F,MATCH(D4136,编号表!$E:$E,0))*10000+INDEX(编号表!$D:$D,MATCH(AG4136,编号表!$C:$C,0))*1000+F4136</f>
        <v>11814023</v>
      </c>
      <c r="C4136" t="s">
        <v>3310</v>
      </c>
      <c r="D4136" t="s">
        <v>72</v>
      </c>
      <c r="E4136" t="s">
        <v>92</v>
      </c>
      <c r="F4136">
        <v>23</v>
      </c>
      <c r="G4136">
        <v>60</v>
      </c>
      <c r="H4136" t="s">
        <v>7524</v>
      </c>
      <c r="I4136" t="s">
        <v>75</v>
      </c>
      <c r="J4136" t="s">
        <v>201</v>
      </c>
      <c r="K4136">
        <v>1</v>
      </c>
      <c r="L4136" t="s">
        <v>7524</v>
      </c>
      <c r="M4136"/>
      <c r="N4136">
        <v>0</v>
      </c>
      <c r="O4136" t="b">
        <v>1</v>
      </c>
      <c r="P4136"/>
      <c r="Q4136" t="b">
        <v>0</v>
      </c>
      <c r="R4136">
        <v>1</v>
      </c>
      <c r="S4136" t="s">
        <v>77</v>
      </c>
      <c r="T4136">
        <v>999</v>
      </c>
      <c r="U4136" t="s">
        <v>7525</v>
      </c>
      <c r="V4136">
        <f t="shared" si="4"/>
        <v>31814023</v>
      </c>
      <c r="W4136"/>
      <c r="X4136" t="s">
        <v>3311</v>
      </c>
      <c r="Y4136" t="s">
        <v>215</v>
      </c>
      <c r="Z4136">
        <v>20820</v>
      </c>
      <c r="AA4136" t="s">
        <v>3312</v>
      </c>
      <c r="AB4136">
        <v>40001</v>
      </c>
      <c r="AC4136"/>
      <c r="AD4136"/>
      <c r="AE4136" t="s">
        <v>7524</v>
      </c>
      <c r="AF4136" t="s">
        <v>7524</v>
      </c>
      <c r="AG4136" t="s">
        <v>92</v>
      </c>
    </row>
    <row r="4137" spans="2:33">
      <c r="B4137" s="14">
        <f>10000000+INDEX(编号表!$B:$B,MATCH(H4137,编号表!$A:$A,0))*100000+INDEX(编号表!$F:$F,MATCH(D4137,编号表!$E:$E,0))*10000+INDEX(编号表!$D:$D,MATCH(AG4137,编号表!$C:$C,0))*1000+F4137</f>
        <v>11814024</v>
      </c>
      <c r="C4137" t="s">
        <v>3317</v>
      </c>
      <c r="D4137" t="s">
        <v>72</v>
      </c>
      <c r="E4137" t="s">
        <v>92</v>
      </c>
      <c r="F4137">
        <v>24</v>
      </c>
      <c r="G4137">
        <v>60</v>
      </c>
      <c r="H4137" t="s">
        <v>7524</v>
      </c>
      <c r="I4137" t="s">
        <v>75</v>
      </c>
      <c r="J4137" t="s">
        <v>201</v>
      </c>
      <c r="K4137">
        <v>1</v>
      </c>
      <c r="L4137" t="s">
        <v>7524</v>
      </c>
      <c r="M4137"/>
      <c r="N4137">
        <v>0</v>
      </c>
      <c r="O4137" t="b">
        <v>1</v>
      </c>
      <c r="P4137"/>
      <c r="Q4137" t="b">
        <v>0</v>
      </c>
      <c r="R4137">
        <v>1</v>
      </c>
      <c r="S4137" t="s">
        <v>77</v>
      </c>
      <c r="T4137">
        <v>999</v>
      </c>
      <c r="U4137" t="s">
        <v>7525</v>
      </c>
      <c r="V4137">
        <f t="shared" si="4"/>
        <v>31814024</v>
      </c>
      <c r="W4137"/>
      <c r="X4137" t="s">
        <v>3318</v>
      </c>
      <c r="Y4137" t="s">
        <v>215</v>
      </c>
      <c r="Z4137">
        <v>20823</v>
      </c>
      <c r="AA4137" t="s">
        <v>3319</v>
      </c>
      <c r="AB4137">
        <v>40001</v>
      </c>
      <c r="AC4137"/>
      <c r="AD4137"/>
      <c r="AE4137" t="s">
        <v>7524</v>
      </c>
      <c r="AF4137" t="s">
        <v>7524</v>
      </c>
      <c r="AG4137" t="s">
        <v>92</v>
      </c>
    </row>
    <row r="4138" spans="2:33">
      <c r="B4138" s="14">
        <f>10000000+INDEX(编号表!$B:$B,MATCH(H4138,编号表!$A:$A,0))*100000+INDEX(编号表!$F:$F,MATCH(D4138,编号表!$E:$E,0))*10000+INDEX(编号表!$D:$D,MATCH(AG4138,编号表!$C:$C,0))*1000+F4138</f>
        <v>11814025</v>
      </c>
      <c r="C4138" t="s">
        <v>3324</v>
      </c>
      <c r="D4138" t="s">
        <v>72</v>
      </c>
      <c r="E4138" t="s">
        <v>92</v>
      </c>
      <c r="F4138">
        <v>25</v>
      </c>
      <c r="G4138">
        <v>60</v>
      </c>
      <c r="H4138" t="s">
        <v>7524</v>
      </c>
      <c r="I4138" t="s">
        <v>75</v>
      </c>
      <c r="J4138" t="s">
        <v>201</v>
      </c>
      <c r="K4138">
        <v>1</v>
      </c>
      <c r="L4138" t="s">
        <v>7524</v>
      </c>
      <c r="M4138"/>
      <c r="N4138">
        <v>0</v>
      </c>
      <c r="O4138" t="b">
        <v>1</v>
      </c>
      <c r="P4138"/>
      <c r="Q4138" t="b">
        <v>0</v>
      </c>
      <c r="R4138">
        <v>1</v>
      </c>
      <c r="S4138" t="s">
        <v>77</v>
      </c>
      <c r="T4138">
        <v>999</v>
      </c>
      <c r="U4138" t="s">
        <v>7525</v>
      </c>
      <c r="V4138">
        <f t="shared" si="4"/>
        <v>31814025</v>
      </c>
      <c r="W4138"/>
      <c r="X4138" t="s">
        <v>3325</v>
      </c>
      <c r="Y4138" t="s">
        <v>215</v>
      </c>
      <c r="Z4138">
        <v>20826</v>
      </c>
      <c r="AA4138" t="s">
        <v>3326</v>
      </c>
      <c r="AB4138">
        <v>40001</v>
      </c>
      <c r="AC4138"/>
      <c r="AD4138"/>
      <c r="AE4138" t="s">
        <v>7524</v>
      </c>
      <c r="AF4138" t="s">
        <v>7524</v>
      </c>
      <c r="AG4138" t="s">
        <v>92</v>
      </c>
    </row>
    <row r="4139" spans="2:33">
      <c r="B4139" s="14">
        <f>10000000+INDEX(编号表!$B:$B,MATCH(H4139,编号表!$A:$A,0))*100000+INDEX(编号表!$F:$F,MATCH(D4139,编号表!$E:$E,0))*10000+INDEX(编号表!$D:$D,MATCH(AG4139,编号表!$C:$C,0))*1000+F4139</f>
        <v>11814026</v>
      </c>
      <c r="C4139" t="s">
        <v>3331</v>
      </c>
      <c r="D4139" t="s">
        <v>72</v>
      </c>
      <c r="E4139" t="s">
        <v>92</v>
      </c>
      <c r="F4139">
        <v>26</v>
      </c>
      <c r="G4139">
        <v>60</v>
      </c>
      <c r="H4139" t="s">
        <v>7524</v>
      </c>
      <c r="I4139" t="s">
        <v>75</v>
      </c>
      <c r="J4139" t="s">
        <v>201</v>
      </c>
      <c r="K4139">
        <v>1</v>
      </c>
      <c r="L4139" t="s">
        <v>7524</v>
      </c>
      <c r="M4139"/>
      <c r="N4139">
        <v>0</v>
      </c>
      <c r="O4139" t="b">
        <v>1</v>
      </c>
      <c r="P4139"/>
      <c r="Q4139" t="b">
        <v>0</v>
      </c>
      <c r="R4139">
        <v>1</v>
      </c>
      <c r="S4139" t="s">
        <v>77</v>
      </c>
      <c r="T4139">
        <v>999</v>
      </c>
      <c r="U4139" t="s">
        <v>7525</v>
      </c>
      <c r="V4139">
        <f t="shared" si="4"/>
        <v>31814026</v>
      </c>
      <c r="W4139"/>
      <c r="X4139" t="s">
        <v>3332</v>
      </c>
      <c r="Y4139" t="s">
        <v>215</v>
      </c>
      <c r="Z4139">
        <v>20829</v>
      </c>
      <c r="AA4139" t="s">
        <v>3333</v>
      </c>
      <c r="AB4139">
        <v>40001</v>
      </c>
      <c r="AC4139"/>
      <c r="AD4139"/>
      <c r="AE4139" t="s">
        <v>7524</v>
      </c>
      <c r="AF4139" t="s">
        <v>7524</v>
      </c>
      <c r="AG4139" t="s">
        <v>92</v>
      </c>
    </row>
    <row r="4140" spans="2:33">
      <c r="B4140" s="14">
        <f>10000000+INDEX(编号表!$B:$B,MATCH(H4140,编号表!$A:$A,0))*100000+INDEX(编号表!$F:$F,MATCH(D4140,编号表!$E:$E,0))*10000+INDEX(编号表!$D:$D,MATCH(AG4140,编号表!$C:$C,0))*1000+F4140</f>
        <v>11814027</v>
      </c>
      <c r="C4140" t="s">
        <v>3338</v>
      </c>
      <c r="D4140" t="s">
        <v>72</v>
      </c>
      <c r="E4140" t="s">
        <v>92</v>
      </c>
      <c r="F4140">
        <v>27</v>
      </c>
      <c r="G4140">
        <v>60</v>
      </c>
      <c r="H4140" t="s">
        <v>7524</v>
      </c>
      <c r="I4140" t="s">
        <v>75</v>
      </c>
      <c r="J4140" t="s">
        <v>201</v>
      </c>
      <c r="K4140">
        <v>1</v>
      </c>
      <c r="L4140" t="s">
        <v>7524</v>
      </c>
      <c r="M4140"/>
      <c r="N4140">
        <v>0</v>
      </c>
      <c r="O4140" t="b">
        <v>1</v>
      </c>
      <c r="P4140"/>
      <c r="Q4140" t="b">
        <v>0</v>
      </c>
      <c r="R4140">
        <v>1</v>
      </c>
      <c r="S4140" t="s">
        <v>77</v>
      </c>
      <c r="T4140">
        <v>999</v>
      </c>
      <c r="U4140" t="s">
        <v>7525</v>
      </c>
      <c r="V4140">
        <f t="shared" si="4"/>
        <v>31814027</v>
      </c>
      <c r="W4140"/>
      <c r="X4140" t="s">
        <v>3339</v>
      </c>
      <c r="Y4140" t="s">
        <v>215</v>
      </c>
      <c r="Z4140">
        <v>20832</v>
      </c>
      <c r="AA4140" t="s">
        <v>3340</v>
      </c>
      <c r="AB4140">
        <v>40001</v>
      </c>
      <c r="AC4140"/>
      <c r="AD4140"/>
      <c r="AE4140" t="s">
        <v>7524</v>
      </c>
      <c r="AF4140" t="s">
        <v>7524</v>
      </c>
      <c r="AG4140" t="s">
        <v>92</v>
      </c>
    </row>
    <row r="4141" spans="2:33">
      <c r="B4141" s="14">
        <f>10000000+INDEX(编号表!$B:$B,MATCH(H4141,编号表!$A:$A,0))*100000+INDEX(编号表!$F:$F,MATCH(D4141,编号表!$E:$E,0))*10000+INDEX(编号表!$D:$D,MATCH(AG4141,编号表!$C:$C,0))*1000+F4141</f>
        <v>11814028</v>
      </c>
      <c r="C4141" t="s">
        <v>3345</v>
      </c>
      <c r="D4141" t="s">
        <v>72</v>
      </c>
      <c r="E4141" t="s">
        <v>92</v>
      </c>
      <c r="F4141">
        <v>28</v>
      </c>
      <c r="G4141">
        <v>60</v>
      </c>
      <c r="H4141" t="s">
        <v>7524</v>
      </c>
      <c r="I4141" t="s">
        <v>75</v>
      </c>
      <c r="J4141" t="s">
        <v>201</v>
      </c>
      <c r="K4141">
        <v>1</v>
      </c>
      <c r="L4141" t="s">
        <v>7524</v>
      </c>
      <c r="M4141"/>
      <c r="N4141">
        <v>0</v>
      </c>
      <c r="O4141" t="b">
        <v>1</v>
      </c>
      <c r="P4141"/>
      <c r="Q4141" t="b">
        <v>0</v>
      </c>
      <c r="R4141">
        <v>1</v>
      </c>
      <c r="S4141" t="s">
        <v>77</v>
      </c>
      <c r="T4141">
        <v>999</v>
      </c>
      <c r="U4141" t="s">
        <v>7525</v>
      </c>
      <c r="V4141">
        <f t="shared" si="4"/>
        <v>31814028</v>
      </c>
      <c r="W4141"/>
      <c r="X4141" t="s">
        <v>3346</v>
      </c>
      <c r="Y4141" t="s">
        <v>215</v>
      </c>
      <c r="Z4141">
        <v>20835</v>
      </c>
      <c r="AA4141" t="s">
        <v>3347</v>
      </c>
      <c r="AB4141">
        <v>40001</v>
      </c>
      <c r="AC4141"/>
      <c r="AD4141"/>
      <c r="AE4141" t="s">
        <v>7524</v>
      </c>
      <c r="AF4141" t="s">
        <v>7524</v>
      </c>
      <c r="AG4141" t="s">
        <v>92</v>
      </c>
    </row>
    <row r="4142" spans="2:33">
      <c r="B4142" s="14">
        <f>10000000+INDEX(编号表!$B:$B,MATCH(H4142,编号表!$A:$A,0))*100000+INDEX(编号表!$F:$F,MATCH(D4142,编号表!$E:$E,0))*10000+INDEX(编号表!$D:$D,MATCH(AG4142,编号表!$C:$C,0))*1000+F4142</f>
        <v>11814029</v>
      </c>
      <c r="C4142" t="s">
        <v>3352</v>
      </c>
      <c r="D4142" t="s">
        <v>72</v>
      </c>
      <c r="E4142" t="s">
        <v>92</v>
      </c>
      <c r="F4142">
        <v>29</v>
      </c>
      <c r="G4142">
        <v>60</v>
      </c>
      <c r="H4142" t="s">
        <v>7524</v>
      </c>
      <c r="I4142" t="s">
        <v>75</v>
      </c>
      <c r="J4142" t="s">
        <v>201</v>
      </c>
      <c r="K4142">
        <v>1</v>
      </c>
      <c r="L4142" t="s">
        <v>7524</v>
      </c>
      <c r="M4142"/>
      <c r="N4142">
        <v>0</v>
      </c>
      <c r="O4142" t="b">
        <v>1</v>
      </c>
      <c r="P4142"/>
      <c r="Q4142" t="b">
        <v>0</v>
      </c>
      <c r="R4142">
        <v>1</v>
      </c>
      <c r="S4142" t="s">
        <v>77</v>
      </c>
      <c r="T4142">
        <v>999</v>
      </c>
      <c r="U4142" t="s">
        <v>7525</v>
      </c>
      <c r="V4142">
        <f t="shared" si="4"/>
        <v>31814029</v>
      </c>
      <c r="W4142"/>
      <c r="X4142" t="s">
        <v>3353</v>
      </c>
      <c r="Y4142" t="s">
        <v>215</v>
      </c>
      <c r="Z4142">
        <v>20838</v>
      </c>
      <c r="AA4142" t="s">
        <v>3354</v>
      </c>
      <c r="AB4142">
        <v>40001</v>
      </c>
      <c r="AC4142"/>
      <c r="AD4142"/>
      <c r="AE4142" t="s">
        <v>7524</v>
      </c>
      <c r="AF4142" t="s">
        <v>7524</v>
      </c>
      <c r="AG4142" t="s">
        <v>92</v>
      </c>
    </row>
    <row r="4143" spans="2:33">
      <c r="B4143" s="14">
        <f>10000000+INDEX(编号表!$B:$B,MATCH(H4143,编号表!$A:$A,0))*100000+INDEX(编号表!$F:$F,MATCH(D4143,编号表!$E:$E,0))*10000+INDEX(编号表!$D:$D,MATCH(AG4143,编号表!$C:$C,0))*1000+F4143</f>
        <v>11814030</v>
      </c>
      <c r="C4143" t="s">
        <v>3359</v>
      </c>
      <c r="D4143" t="s">
        <v>72</v>
      </c>
      <c r="E4143" t="s">
        <v>92</v>
      </c>
      <c r="F4143">
        <v>30</v>
      </c>
      <c r="G4143">
        <v>60</v>
      </c>
      <c r="H4143" t="s">
        <v>7524</v>
      </c>
      <c r="I4143" t="s">
        <v>75</v>
      </c>
      <c r="J4143" t="s">
        <v>201</v>
      </c>
      <c r="K4143">
        <v>1</v>
      </c>
      <c r="L4143" t="s">
        <v>7524</v>
      </c>
      <c r="M4143"/>
      <c r="N4143">
        <v>0</v>
      </c>
      <c r="O4143" t="b">
        <v>1</v>
      </c>
      <c r="P4143"/>
      <c r="Q4143" t="b">
        <v>0</v>
      </c>
      <c r="R4143">
        <v>1</v>
      </c>
      <c r="S4143" t="s">
        <v>77</v>
      </c>
      <c r="T4143">
        <v>999</v>
      </c>
      <c r="U4143" t="s">
        <v>7525</v>
      </c>
      <c r="V4143">
        <f t="shared" si="4"/>
        <v>31814030</v>
      </c>
      <c r="W4143"/>
      <c r="X4143" t="s">
        <v>3360</v>
      </c>
      <c r="Y4143" t="s">
        <v>215</v>
      </c>
      <c r="Z4143">
        <v>20841</v>
      </c>
      <c r="AA4143" t="s">
        <v>3361</v>
      </c>
      <c r="AB4143">
        <v>40001</v>
      </c>
      <c r="AC4143"/>
      <c r="AD4143"/>
      <c r="AE4143" t="s">
        <v>7524</v>
      </c>
      <c r="AF4143" t="s">
        <v>7524</v>
      </c>
      <c r="AG4143" t="s">
        <v>92</v>
      </c>
    </row>
    <row r="4144" spans="2:33">
      <c r="B4144" s="14">
        <f>10000000+INDEX(编号表!$B:$B,MATCH(H4144,编号表!$A:$A,0))*100000+INDEX(编号表!$F:$F,MATCH(D4144,编号表!$E:$E,0))*10000+INDEX(编号表!$D:$D,MATCH(AG4144,编号表!$C:$C,0))*1000+F4144</f>
        <v>11814031</v>
      </c>
      <c r="C4144" t="s">
        <v>3366</v>
      </c>
      <c r="D4144" t="s">
        <v>72</v>
      </c>
      <c r="E4144" t="s">
        <v>92</v>
      </c>
      <c r="F4144">
        <v>31</v>
      </c>
      <c r="G4144">
        <v>60</v>
      </c>
      <c r="H4144" t="s">
        <v>7524</v>
      </c>
      <c r="I4144" t="s">
        <v>75</v>
      </c>
      <c r="J4144" t="s">
        <v>201</v>
      </c>
      <c r="K4144">
        <v>1</v>
      </c>
      <c r="L4144" t="s">
        <v>7524</v>
      </c>
      <c r="M4144"/>
      <c r="N4144">
        <v>0</v>
      </c>
      <c r="O4144" t="b">
        <v>1</v>
      </c>
      <c r="P4144"/>
      <c r="Q4144" t="b">
        <v>0</v>
      </c>
      <c r="R4144">
        <v>1</v>
      </c>
      <c r="S4144" t="s">
        <v>77</v>
      </c>
      <c r="T4144">
        <v>999</v>
      </c>
      <c r="U4144" t="s">
        <v>7525</v>
      </c>
      <c r="V4144">
        <f t="shared" si="4"/>
        <v>31814031</v>
      </c>
      <c r="W4144"/>
      <c r="X4144" t="s">
        <v>3367</v>
      </c>
      <c r="Y4144" t="s">
        <v>215</v>
      </c>
      <c r="Z4144">
        <v>20844</v>
      </c>
      <c r="AA4144" t="s">
        <v>3368</v>
      </c>
      <c r="AB4144">
        <v>40001</v>
      </c>
      <c r="AC4144"/>
      <c r="AD4144"/>
      <c r="AE4144" t="s">
        <v>7524</v>
      </c>
      <c r="AF4144" t="s">
        <v>7524</v>
      </c>
      <c r="AG4144" t="s">
        <v>92</v>
      </c>
    </row>
    <row r="4145" spans="2:33">
      <c r="B4145" s="14">
        <f>10000000+INDEX(编号表!$B:$B,MATCH(H4145,编号表!$A:$A,0))*100000+INDEX(编号表!$F:$F,MATCH(D4145,编号表!$E:$E,0))*10000+INDEX(编号表!$D:$D,MATCH(AG4145,编号表!$C:$C,0))*1000+F4145</f>
        <v>11814032</v>
      </c>
      <c r="C4145" t="s">
        <v>3373</v>
      </c>
      <c r="D4145" t="s">
        <v>72</v>
      </c>
      <c r="E4145" t="s">
        <v>92</v>
      </c>
      <c r="F4145">
        <v>32</v>
      </c>
      <c r="G4145">
        <v>60</v>
      </c>
      <c r="H4145" t="s">
        <v>7524</v>
      </c>
      <c r="I4145" t="s">
        <v>75</v>
      </c>
      <c r="J4145" t="s">
        <v>201</v>
      </c>
      <c r="K4145">
        <v>1</v>
      </c>
      <c r="L4145" t="s">
        <v>7524</v>
      </c>
      <c r="M4145"/>
      <c r="N4145">
        <v>0</v>
      </c>
      <c r="O4145" t="b">
        <v>1</v>
      </c>
      <c r="P4145"/>
      <c r="Q4145" t="b">
        <v>0</v>
      </c>
      <c r="R4145">
        <v>1</v>
      </c>
      <c r="S4145" t="s">
        <v>77</v>
      </c>
      <c r="T4145">
        <v>999</v>
      </c>
      <c r="U4145" t="s">
        <v>7525</v>
      </c>
      <c r="V4145">
        <f t="shared" si="4"/>
        <v>31814032</v>
      </c>
      <c r="W4145"/>
      <c r="X4145" t="s">
        <v>3374</v>
      </c>
      <c r="Y4145" t="s">
        <v>215</v>
      </c>
      <c r="Z4145">
        <v>20847</v>
      </c>
      <c r="AA4145" t="s">
        <v>3375</v>
      </c>
      <c r="AB4145">
        <v>40001</v>
      </c>
      <c r="AC4145"/>
      <c r="AD4145"/>
      <c r="AE4145" t="s">
        <v>7524</v>
      </c>
      <c r="AF4145" t="s">
        <v>7524</v>
      </c>
      <c r="AG4145" t="s">
        <v>92</v>
      </c>
    </row>
    <row r="4146" spans="2:33">
      <c r="B4146" s="14">
        <f>10000000+INDEX(编号表!$B:$B,MATCH(H4146,编号表!$A:$A,0))*100000+INDEX(编号表!$F:$F,MATCH(D4146,编号表!$E:$E,0))*10000+INDEX(编号表!$D:$D,MATCH(AG4146,编号表!$C:$C,0))*1000+F4146</f>
        <v>11814033</v>
      </c>
      <c r="C4146" t="s">
        <v>3380</v>
      </c>
      <c r="D4146" t="s">
        <v>72</v>
      </c>
      <c r="E4146" t="s">
        <v>92</v>
      </c>
      <c r="F4146">
        <v>33</v>
      </c>
      <c r="G4146">
        <v>60</v>
      </c>
      <c r="H4146" t="s">
        <v>7524</v>
      </c>
      <c r="I4146" t="s">
        <v>75</v>
      </c>
      <c r="J4146" t="s">
        <v>201</v>
      </c>
      <c r="K4146">
        <v>1</v>
      </c>
      <c r="L4146" t="s">
        <v>7524</v>
      </c>
      <c r="M4146"/>
      <c r="N4146">
        <v>0</v>
      </c>
      <c r="O4146" t="b">
        <v>1</v>
      </c>
      <c r="P4146"/>
      <c r="Q4146" t="b">
        <v>0</v>
      </c>
      <c r="R4146">
        <v>1</v>
      </c>
      <c r="S4146" t="s">
        <v>77</v>
      </c>
      <c r="T4146">
        <v>999</v>
      </c>
      <c r="U4146" t="s">
        <v>7525</v>
      </c>
      <c r="V4146">
        <f t="shared" si="4"/>
        <v>31814033</v>
      </c>
      <c r="W4146"/>
      <c r="X4146" t="s">
        <v>3381</v>
      </c>
      <c r="Y4146" t="s">
        <v>215</v>
      </c>
      <c r="Z4146">
        <v>20850</v>
      </c>
      <c r="AA4146" t="s">
        <v>3382</v>
      </c>
      <c r="AB4146">
        <v>40001</v>
      </c>
      <c r="AC4146"/>
      <c r="AD4146"/>
      <c r="AE4146" t="s">
        <v>7524</v>
      </c>
      <c r="AF4146" t="s">
        <v>7524</v>
      </c>
      <c r="AG4146" t="s">
        <v>92</v>
      </c>
    </row>
    <row r="4147" spans="2:33">
      <c r="B4147" s="14">
        <f>10000000+INDEX(编号表!$B:$B,MATCH(H4147,编号表!$A:$A,0))*100000+INDEX(编号表!$F:$F,MATCH(D4147,编号表!$E:$E,0))*10000+INDEX(编号表!$D:$D,MATCH(AG4147,编号表!$C:$C,0))*1000+F4147</f>
        <v>11814034</v>
      </c>
      <c r="C4147" t="s">
        <v>3387</v>
      </c>
      <c r="D4147" t="s">
        <v>72</v>
      </c>
      <c r="E4147" t="s">
        <v>92</v>
      </c>
      <c r="F4147">
        <v>34</v>
      </c>
      <c r="G4147">
        <v>60</v>
      </c>
      <c r="H4147" t="s">
        <v>7524</v>
      </c>
      <c r="I4147" t="s">
        <v>75</v>
      </c>
      <c r="J4147" t="s">
        <v>201</v>
      </c>
      <c r="K4147">
        <v>1</v>
      </c>
      <c r="L4147" t="s">
        <v>7524</v>
      </c>
      <c r="M4147"/>
      <c r="N4147">
        <v>0</v>
      </c>
      <c r="O4147" t="b">
        <v>1</v>
      </c>
      <c r="P4147"/>
      <c r="Q4147" t="b">
        <v>0</v>
      </c>
      <c r="R4147">
        <v>1</v>
      </c>
      <c r="S4147" t="s">
        <v>77</v>
      </c>
      <c r="T4147">
        <v>999</v>
      </c>
      <c r="U4147" t="s">
        <v>7525</v>
      </c>
      <c r="V4147">
        <f t="shared" si="4"/>
        <v>31814034</v>
      </c>
      <c r="W4147"/>
      <c r="X4147" t="s">
        <v>3388</v>
      </c>
      <c r="Y4147" t="s">
        <v>215</v>
      </c>
      <c r="Z4147">
        <v>20853</v>
      </c>
      <c r="AA4147" t="s">
        <v>3389</v>
      </c>
      <c r="AB4147">
        <v>40001</v>
      </c>
      <c r="AC4147"/>
      <c r="AD4147"/>
      <c r="AE4147" t="s">
        <v>7524</v>
      </c>
      <c r="AF4147" t="s">
        <v>7524</v>
      </c>
      <c r="AG4147" t="s">
        <v>92</v>
      </c>
    </row>
    <row r="4148" spans="2:33">
      <c r="B4148" s="14">
        <f>10000000+INDEX(编号表!$B:$B,MATCH(H4148,编号表!$A:$A,0))*100000+INDEX(编号表!$F:$F,MATCH(D4148,编号表!$E:$E,0))*10000+INDEX(编号表!$D:$D,MATCH(AG4148,编号表!$C:$C,0))*1000+F4148</f>
        <v>11814035</v>
      </c>
      <c r="C4148" t="s">
        <v>3394</v>
      </c>
      <c r="D4148" t="s">
        <v>72</v>
      </c>
      <c r="E4148" t="s">
        <v>92</v>
      </c>
      <c r="F4148">
        <v>35</v>
      </c>
      <c r="G4148">
        <v>60</v>
      </c>
      <c r="H4148" t="s">
        <v>7524</v>
      </c>
      <c r="I4148" t="s">
        <v>75</v>
      </c>
      <c r="J4148" t="s">
        <v>201</v>
      </c>
      <c r="K4148">
        <v>1</v>
      </c>
      <c r="L4148" t="s">
        <v>7524</v>
      </c>
      <c r="M4148"/>
      <c r="N4148">
        <v>0</v>
      </c>
      <c r="O4148" t="b">
        <v>1</v>
      </c>
      <c r="P4148"/>
      <c r="Q4148" t="b">
        <v>0</v>
      </c>
      <c r="R4148">
        <v>1</v>
      </c>
      <c r="S4148" t="s">
        <v>77</v>
      </c>
      <c r="T4148">
        <v>999</v>
      </c>
      <c r="U4148" t="s">
        <v>7525</v>
      </c>
      <c r="V4148">
        <f t="shared" si="4"/>
        <v>31814035</v>
      </c>
      <c r="W4148"/>
      <c r="X4148" t="s">
        <v>3395</v>
      </c>
      <c r="Y4148" t="s">
        <v>215</v>
      </c>
      <c r="Z4148">
        <v>20856</v>
      </c>
      <c r="AA4148" t="s">
        <v>3396</v>
      </c>
      <c r="AB4148">
        <v>40001</v>
      </c>
      <c r="AC4148"/>
      <c r="AD4148"/>
      <c r="AE4148" t="s">
        <v>7524</v>
      </c>
      <c r="AF4148" t="s">
        <v>7524</v>
      </c>
      <c r="AG4148" t="s">
        <v>92</v>
      </c>
    </row>
    <row r="4149" spans="2:33">
      <c r="B4149" s="14">
        <f>10000000+INDEX(编号表!$B:$B,MATCH(H4149,编号表!$A:$A,0))*100000+INDEX(编号表!$F:$F,MATCH(D4149,编号表!$E:$E,0))*10000+INDEX(编号表!$D:$D,MATCH(AG4149,编号表!$C:$C,0))*1000+F4149</f>
        <v>11814036</v>
      </c>
      <c r="C4149" t="s">
        <v>3401</v>
      </c>
      <c r="D4149" t="s">
        <v>72</v>
      </c>
      <c r="E4149" t="s">
        <v>92</v>
      </c>
      <c r="F4149">
        <v>36</v>
      </c>
      <c r="G4149">
        <v>60</v>
      </c>
      <c r="H4149" t="s">
        <v>7524</v>
      </c>
      <c r="I4149" t="s">
        <v>75</v>
      </c>
      <c r="J4149" t="s">
        <v>201</v>
      </c>
      <c r="K4149">
        <v>1</v>
      </c>
      <c r="L4149" t="s">
        <v>7524</v>
      </c>
      <c r="M4149"/>
      <c r="N4149">
        <v>0</v>
      </c>
      <c r="O4149" t="b">
        <v>1</v>
      </c>
      <c r="P4149"/>
      <c r="Q4149" t="b">
        <v>0</v>
      </c>
      <c r="R4149">
        <v>1</v>
      </c>
      <c r="S4149" t="s">
        <v>77</v>
      </c>
      <c r="T4149">
        <v>999</v>
      </c>
      <c r="U4149" t="s">
        <v>7525</v>
      </c>
      <c r="V4149">
        <f t="shared" si="4"/>
        <v>31814036</v>
      </c>
      <c r="W4149"/>
      <c r="X4149" t="s">
        <v>3402</v>
      </c>
      <c r="Y4149" t="s">
        <v>215</v>
      </c>
      <c r="Z4149">
        <v>20859</v>
      </c>
      <c r="AA4149" t="s">
        <v>3403</v>
      </c>
      <c r="AB4149">
        <v>40001</v>
      </c>
      <c r="AC4149"/>
      <c r="AD4149"/>
      <c r="AE4149" t="s">
        <v>7524</v>
      </c>
      <c r="AF4149" t="s">
        <v>7524</v>
      </c>
      <c r="AG4149" t="s">
        <v>92</v>
      </c>
    </row>
    <row r="4150" spans="2:33">
      <c r="B4150" s="14">
        <f>10000000+INDEX(编号表!$B:$B,MATCH(H4150,编号表!$A:$A,0))*100000+INDEX(编号表!$F:$F,MATCH(D4150,编号表!$E:$E,0))*10000+INDEX(编号表!$D:$D,MATCH(AG4150,编号表!$C:$C,0))*1000+F4150</f>
        <v>11814037</v>
      </c>
      <c r="C4150" t="s">
        <v>3408</v>
      </c>
      <c r="D4150" t="s">
        <v>72</v>
      </c>
      <c r="E4150" t="s">
        <v>92</v>
      </c>
      <c r="F4150">
        <v>37</v>
      </c>
      <c r="G4150">
        <v>60</v>
      </c>
      <c r="H4150" t="s">
        <v>7524</v>
      </c>
      <c r="I4150" t="s">
        <v>75</v>
      </c>
      <c r="J4150" t="s">
        <v>201</v>
      </c>
      <c r="K4150">
        <v>1</v>
      </c>
      <c r="L4150" t="s">
        <v>7524</v>
      </c>
      <c r="M4150"/>
      <c r="N4150">
        <v>0</v>
      </c>
      <c r="O4150" t="b">
        <v>1</v>
      </c>
      <c r="P4150"/>
      <c r="Q4150" t="b">
        <v>0</v>
      </c>
      <c r="R4150">
        <v>1</v>
      </c>
      <c r="S4150" t="s">
        <v>77</v>
      </c>
      <c r="T4150">
        <v>999</v>
      </c>
      <c r="U4150" t="s">
        <v>7525</v>
      </c>
      <c r="V4150">
        <f t="shared" si="4"/>
        <v>31814037</v>
      </c>
      <c r="W4150"/>
      <c r="X4150" t="s">
        <v>3409</v>
      </c>
      <c r="Y4150" t="s">
        <v>215</v>
      </c>
      <c r="Z4150">
        <v>20862</v>
      </c>
      <c r="AA4150" t="s">
        <v>3410</v>
      </c>
      <c r="AB4150">
        <v>40001</v>
      </c>
      <c r="AC4150"/>
      <c r="AD4150"/>
      <c r="AE4150" t="s">
        <v>7524</v>
      </c>
      <c r="AF4150" t="s">
        <v>7524</v>
      </c>
      <c r="AG4150" t="s">
        <v>92</v>
      </c>
    </row>
    <row r="4151" spans="2:33">
      <c r="B4151" s="14">
        <f>10000000+INDEX(编号表!$B:$B,MATCH(H4151,编号表!$A:$A,0))*100000+INDEX(编号表!$F:$F,MATCH(D4151,编号表!$E:$E,0))*10000+INDEX(编号表!$D:$D,MATCH(AG4151,编号表!$C:$C,0))*1000+F4151</f>
        <v>11814038</v>
      </c>
      <c r="C4151" t="s">
        <v>3415</v>
      </c>
      <c r="D4151" t="s">
        <v>72</v>
      </c>
      <c r="E4151" t="s">
        <v>92</v>
      </c>
      <c r="F4151">
        <v>38</v>
      </c>
      <c r="G4151">
        <v>60</v>
      </c>
      <c r="H4151" t="s">
        <v>7524</v>
      </c>
      <c r="I4151" t="s">
        <v>75</v>
      </c>
      <c r="J4151" t="s">
        <v>201</v>
      </c>
      <c r="K4151">
        <v>1</v>
      </c>
      <c r="L4151" t="s">
        <v>7524</v>
      </c>
      <c r="M4151"/>
      <c r="N4151">
        <v>0</v>
      </c>
      <c r="O4151" t="b">
        <v>1</v>
      </c>
      <c r="P4151"/>
      <c r="Q4151" t="b">
        <v>0</v>
      </c>
      <c r="R4151">
        <v>1</v>
      </c>
      <c r="S4151" t="s">
        <v>77</v>
      </c>
      <c r="T4151">
        <v>999</v>
      </c>
      <c r="U4151" t="s">
        <v>7525</v>
      </c>
      <c r="V4151">
        <f t="shared" si="4"/>
        <v>31814038</v>
      </c>
      <c r="W4151"/>
      <c r="X4151" t="s">
        <v>3416</v>
      </c>
      <c r="Y4151" t="s">
        <v>215</v>
      </c>
      <c r="Z4151">
        <v>20865</v>
      </c>
      <c r="AA4151" t="s">
        <v>3417</v>
      </c>
      <c r="AB4151">
        <v>40001</v>
      </c>
      <c r="AC4151"/>
      <c r="AD4151"/>
      <c r="AE4151" t="s">
        <v>7524</v>
      </c>
      <c r="AF4151" t="s">
        <v>7524</v>
      </c>
      <c r="AG4151" t="s">
        <v>92</v>
      </c>
    </row>
    <row r="4152" spans="2:33">
      <c r="B4152" s="14">
        <f>10000000+INDEX(编号表!$B:$B,MATCH(H4152,编号表!$A:$A,0))*100000+INDEX(编号表!$F:$F,MATCH(D4152,编号表!$E:$E,0))*10000+INDEX(编号表!$D:$D,MATCH(AG4152,编号表!$C:$C,0))*1000+F4152</f>
        <v>11814039</v>
      </c>
      <c r="C4152" t="s">
        <v>3422</v>
      </c>
      <c r="D4152" t="s">
        <v>72</v>
      </c>
      <c r="E4152" t="s">
        <v>92</v>
      </c>
      <c r="F4152">
        <v>39</v>
      </c>
      <c r="G4152">
        <v>60</v>
      </c>
      <c r="H4152" t="s">
        <v>7524</v>
      </c>
      <c r="I4152" t="s">
        <v>75</v>
      </c>
      <c r="J4152" t="s">
        <v>201</v>
      </c>
      <c r="K4152">
        <v>1</v>
      </c>
      <c r="L4152" t="s">
        <v>7524</v>
      </c>
      <c r="M4152"/>
      <c r="N4152">
        <v>0</v>
      </c>
      <c r="O4152" t="b">
        <v>1</v>
      </c>
      <c r="P4152"/>
      <c r="Q4152" t="b">
        <v>0</v>
      </c>
      <c r="R4152">
        <v>1</v>
      </c>
      <c r="S4152" t="s">
        <v>77</v>
      </c>
      <c r="T4152">
        <v>999</v>
      </c>
      <c r="U4152" t="s">
        <v>7525</v>
      </c>
      <c r="V4152">
        <f t="shared" si="4"/>
        <v>31814039</v>
      </c>
      <c r="W4152"/>
      <c r="X4152" t="s">
        <v>3423</v>
      </c>
      <c r="Y4152" t="s">
        <v>215</v>
      </c>
      <c r="Z4152">
        <v>20868</v>
      </c>
      <c r="AA4152" t="s">
        <v>3424</v>
      </c>
      <c r="AB4152">
        <v>40001</v>
      </c>
      <c r="AC4152"/>
      <c r="AD4152"/>
      <c r="AE4152" t="s">
        <v>7524</v>
      </c>
      <c r="AF4152" t="s">
        <v>7524</v>
      </c>
      <c r="AG4152" t="s">
        <v>92</v>
      </c>
    </row>
    <row r="4153" spans="2:33">
      <c r="B4153" s="14">
        <f>10000000+INDEX(编号表!$B:$B,MATCH(H4153,编号表!$A:$A,0))*100000+INDEX(编号表!$F:$F,MATCH(D4153,编号表!$E:$E,0))*10000+INDEX(编号表!$D:$D,MATCH(AG4153,编号表!$C:$C,0))*1000+F4153</f>
        <v>11814040</v>
      </c>
      <c r="C4153" t="s">
        <v>3429</v>
      </c>
      <c r="D4153" t="s">
        <v>72</v>
      </c>
      <c r="E4153" t="s">
        <v>92</v>
      </c>
      <c r="F4153">
        <v>40</v>
      </c>
      <c r="G4153">
        <v>60</v>
      </c>
      <c r="H4153" t="s">
        <v>7524</v>
      </c>
      <c r="I4153" t="s">
        <v>75</v>
      </c>
      <c r="J4153" t="s">
        <v>201</v>
      </c>
      <c r="K4153">
        <v>1</v>
      </c>
      <c r="L4153" t="s">
        <v>7524</v>
      </c>
      <c r="M4153"/>
      <c r="N4153">
        <v>0</v>
      </c>
      <c r="O4153" t="b">
        <v>1</v>
      </c>
      <c r="P4153"/>
      <c r="Q4153" t="b">
        <v>0</v>
      </c>
      <c r="R4153">
        <v>1</v>
      </c>
      <c r="S4153" t="s">
        <v>77</v>
      </c>
      <c r="T4153">
        <v>999</v>
      </c>
      <c r="U4153" t="s">
        <v>7525</v>
      </c>
      <c r="V4153">
        <f t="shared" si="4"/>
        <v>31814040</v>
      </c>
      <c r="W4153"/>
      <c r="X4153" t="s">
        <v>3430</v>
      </c>
      <c r="Y4153" t="s">
        <v>215</v>
      </c>
      <c r="Z4153">
        <v>20871</v>
      </c>
      <c r="AA4153" t="s">
        <v>3431</v>
      </c>
      <c r="AB4153">
        <v>40001</v>
      </c>
      <c r="AC4153"/>
      <c r="AD4153"/>
      <c r="AE4153" t="s">
        <v>7524</v>
      </c>
      <c r="AF4153" t="s">
        <v>7524</v>
      </c>
      <c r="AG4153" t="s">
        <v>92</v>
      </c>
    </row>
    <row r="4154" spans="2:33">
      <c r="B4154" s="14">
        <f>10000000+INDEX(编号表!$B:$B,MATCH(H4154,编号表!$A:$A,0))*100000+INDEX(编号表!$F:$F,MATCH(D4154,编号表!$E:$E,0))*10000+INDEX(编号表!$D:$D,MATCH(AG4154,编号表!$C:$C,0))*1000+F4154</f>
        <v>11814041</v>
      </c>
      <c r="C4154" t="s">
        <v>3436</v>
      </c>
      <c r="D4154" t="s">
        <v>72</v>
      </c>
      <c r="E4154" t="s">
        <v>92</v>
      </c>
      <c r="F4154">
        <v>41</v>
      </c>
      <c r="G4154">
        <v>60</v>
      </c>
      <c r="H4154" t="s">
        <v>7524</v>
      </c>
      <c r="I4154" t="s">
        <v>75</v>
      </c>
      <c r="J4154" t="s">
        <v>201</v>
      </c>
      <c r="K4154">
        <v>1</v>
      </c>
      <c r="L4154" t="s">
        <v>7524</v>
      </c>
      <c r="M4154"/>
      <c r="N4154">
        <v>0</v>
      </c>
      <c r="O4154" t="b">
        <v>1</v>
      </c>
      <c r="P4154"/>
      <c r="Q4154" t="b">
        <v>0</v>
      </c>
      <c r="R4154">
        <v>1</v>
      </c>
      <c r="S4154" t="s">
        <v>77</v>
      </c>
      <c r="T4154">
        <v>999</v>
      </c>
      <c r="U4154" t="s">
        <v>7525</v>
      </c>
      <c r="V4154">
        <f t="shared" si="4"/>
        <v>31814041</v>
      </c>
      <c r="W4154"/>
      <c r="X4154" t="s">
        <v>3437</v>
      </c>
      <c r="Y4154" t="s">
        <v>215</v>
      </c>
      <c r="Z4154">
        <v>20874</v>
      </c>
      <c r="AA4154" t="s">
        <v>3438</v>
      </c>
      <c r="AB4154">
        <v>40001</v>
      </c>
      <c r="AC4154"/>
      <c r="AD4154"/>
      <c r="AE4154" t="s">
        <v>7524</v>
      </c>
      <c r="AF4154" t="s">
        <v>7524</v>
      </c>
      <c r="AG4154" t="s">
        <v>92</v>
      </c>
    </row>
    <row r="4155" spans="2:33">
      <c r="B4155" s="14">
        <f>10000000+INDEX(编号表!$B:$B,MATCH(H4155,编号表!$A:$A,0))*100000+INDEX(编号表!$F:$F,MATCH(D4155,编号表!$E:$E,0))*10000+INDEX(编号表!$D:$D,MATCH(AG4155,编号表!$C:$C,0))*1000+F4155</f>
        <v>11814042</v>
      </c>
      <c r="C4155" t="s">
        <v>3443</v>
      </c>
      <c r="D4155" t="s">
        <v>72</v>
      </c>
      <c r="E4155" t="s">
        <v>92</v>
      </c>
      <c r="F4155">
        <v>42</v>
      </c>
      <c r="G4155">
        <v>60</v>
      </c>
      <c r="H4155" t="s">
        <v>7524</v>
      </c>
      <c r="I4155" t="s">
        <v>75</v>
      </c>
      <c r="J4155" t="s">
        <v>201</v>
      </c>
      <c r="K4155">
        <v>1</v>
      </c>
      <c r="L4155" t="s">
        <v>7524</v>
      </c>
      <c r="M4155"/>
      <c r="N4155">
        <v>0</v>
      </c>
      <c r="O4155" t="b">
        <v>1</v>
      </c>
      <c r="P4155"/>
      <c r="Q4155" t="b">
        <v>0</v>
      </c>
      <c r="R4155">
        <v>1</v>
      </c>
      <c r="S4155" t="s">
        <v>77</v>
      </c>
      <c r="T4155">
        <v>999</v>
      </c>
      <c r="U4155" t="s">
        <v>7525</v>
      </c>
      <c r="V4155">
        <f t="shared" si="4"/>
        <v>31814042</v>
      </c>
      <c r="W4155"/>
      <c r="X4155" t="s">
        <v>3444</v>
      </c>
      <c r="Y4155" t="s">
        <v>215</v>
      </c>
      <c r="Z4155">
        <v>20877</v>
      </c>
      <c r="AA4155" t="s">
        <v>3445</v>
      </c>
      <c r="AB4155">
        <v>40001</v>
      </c>
      <c r="AC4155"/>
      <c r="AD4155"/>
      <c r="AE4155" t="s">
        <v>7524</v>
      </c>
      <c r="AF4155" t="s">
        <v>7524</v>
      </c>
      <c r="AG4155" t="s">
        <v>92</v>
      </c>
    </row>
    <row r="4156" spans="2:33">
      <c r="B4156" s="14">
        <f>10000000+INDEX(编号表!$B:$B,MATCH(H4156,编号表!$A:$A,0))*100000+INDEX(编号表!$F:$F,MATCH(D4156,编号表!$E:$E,0))*10000+INDEX(编号表!$D:$D,MATCH(AG4156,编号表!$C:$C,0))*1000+F4156</f>
        <v>11814043</v>
      </c>
      <c r="C4156" t="s">
        <v>3450</v>
      </c>
      <c r="D4156" t="s">
        <v>72</v>
      </c>
      <c r="E4156" t="s">
        <v>92</v>
      </c>
      <c r="F4156">
        <v>43</v>
      </c>
      <c r="G4156">
        <v>60</v>
      </c>
      <c r="H4156" t="s">
        <v>7524</v>
      </c>
      <c r="I4156" t="s">
        <v>75</v>
      </c>
      <c r="J4156" t="s">
        <v>201</v>
      </c>
      <c r="K4156">
        <v>1</v>
      </c>
      <c r="L4156" t="s">
        <v>7524</v>
      </c>
      <c r="M4156"/>
      <c r="N4156">
        <v>0</v>
      </c>
      <c r="O4156" t="b">
        <v>1</v>
      </c>
      <c r="P4156"/>
      <c r="Q4156" t="b">
        <v>0</v>
      </c>
      <c r="R4156">
        <v>1</v>
      </c>
      <c r="S4156" t="s">
        <v>77</v>
      </c>
      <c r="T4156">
        <v>999</v>
      </c>
      <c r="U4156" t="s">
        <v>7525</v>
      </c>
      <c r="V4156">
        <f t="shared" si="4"/>
        <v>31814043</v>
      </c>
      <c r="W4156"/>
      <c r="X4156" t="s">
        <v>3451</v>
      </c>
      <c r="Y4156" t="s">
        <v>215</v>
      </c>
      <c r="Z4156">
        <v>20880</v>
      </c>
      <c r="AA4156" t="s">
        <v>3452</v>
      </c>
      <c r="AB4156">
        <v>40001</v>
      </c>
      <c r="AC4156"/>
      <c r="AD4156"/>
      <c r="AE4156" t="s">
        <v>7524</v>
      </c>
      <c r="AF4156" t="s">
        <v>7524</v>
      </c>
      <c r="AG4156" t="s">
        <v>92</v>
      </c>
    </row>
    <row r="4157" spans="2:33">
      <c r="B4157" s="14">
        <f>10000000+INDEX(编号表!$B:$B,MATCH(H4157,编号表!$A:$A,0))*100000+INDEX(编号表!$F:$F,MATCH(D4157,编号表!$E:$E,0))*10000+INDEX(编号表!$D:$D,MATCH(AG4157,编号表!$C:$C,0))*1000+F4157</f>
        <v>11814044</v>
      </c>
      <c r="C4157" t="s">
        <v>3457</v>
      </c>
      <c r="D4157" t="s">
        <v>72</v>
      </c>
      <c r="E4157" t="s">
        <v>92</v>
      </c>
      <c r="F4157">
        <v>44</v>
      </c>
      <c r="G4157">
        <v>60</v>
      </c>
      <c r="H4157" t="s">
        <v>7524</v>
      </c>
      <c r="I4157" t="s">
        <v>75</v>
      </c>
      <c r="J4157" t="s">
        <v>201</v>
      </c>
      <c r="K4157">
        <v>1</v>
      </c>
      <c r="L4157" t="s">
        <v>7524</v>
      </c>
      <c r="M4157"/>
      <c r="N4157">
        <v>0</v>
      </c>
      <c r="O4157" t="b">
        <v>1</v>
      </c>
      <c r="P4157"/>
      <c r="Q4157" t="b">
        <v>0</v>
      </c>
      <c r="R4157">
        <v>1</v>
      </c>
      <c r="S4157" t="s">
        <v>77</v>
      </c>
      <c r="T4157">
        <v>999</v>
      </c>
      <c r="U4157" t="s">
        <v>7525</v>
      </c>
      <c r="V4157">
        <f t="shared" si="4"/>
        <v>31814044</v>
      </c>
      <c r="W4157"/>
      <c r="X4157" t="s">
        <v>3458</v>
      </c>
      <c r="Y4157" t="s">
        <v>215</v>
      </c>
      <c r="Z4157">
        <v>20883</v>
      </c>
      <c r="AA4157" t="s">
        <v>3459</v>
      </c>
      <c r="AB4157">
        <v>40001</v>
      </c>
      <c r="AC4157"/>
      <c r="AD4157"/>
      <c r="AE4157" t="s">
        <v>7524</v>
      </c>
      <c r="AF4157" t="s">
        <v>7524</v>
      </c>
      <c r="AG4157" t="s">
        <v>92</v>
      </c>
    </row>
    <row r="4158" spans="2:33">
      <c r="B4158" s="14">
        <f>10000000+INDEX(编号表!$B:$B,MATCH(H4158,编号表!$A:$A,0))*100000+INDEX(编号表!$F:$F,MATCH(D4158,编号表!$E:$E,0))*10000+INDEX(编号表!$D:$D,MATCH(AG4158,编号表!$C:$C,0))*1000+F4158</f>
        <v>11814045</v>
      </c>
      <c r="C4158" t="s">
        <v>3464</v>
      </c>
      <c r="D4158" t="s">
        <v>72</v>
      </c>
      <c r="E4158" t="s">
        <v>92</v>
      </c>
      <c r="F4158">
        <v>45</v>
      </c>
      <c r="G4158">
        <v>60</v>
      </c>
      <c r="H4158" t="s">
        <v>7524</v>
      </c>
      <c r="I4158" t="s">
        <v>75</v>
      </c>
      <c r="J4158" t="s">
        <v>201</v>
      </c>
      <c r="K4158">
        <v>1</v>
      </c>
      <c r="L4158" t="s">
        <v>7524</v>
      </c>
      <c r="M4158"/>
      <c r="N4158">
        <v>0</v>
      </c>
      <c r="O4158" t="b">
        <v>1</v>
      </c>
      <c r="P4158"/>
      <c r="Q4158" t="b">
        <v>0</v>
      </c>
      <c r="R4158">
        <v>1</v>
      </c>
      <c r="S4158" t="s">
        <v>77</v>
      </c>
      <c r="T4158">
        <v>999</v>
      </c>
      <c r="U4158" t="s">
        <v>7525</v>
      </c>
      <c r="V4158">
        <f t="shared" si="4"/>
        <v>31814045</v>
      </c>
      <c r="W4158"/>
      <c r="X4158" t="s">
        <v>3465</v>
      </c>
      <c r="Y4158" t="s">
        <v>215</v>
      </c>
      <c r="Z4158">
        <v>20886</v>
      </c>
      <c r="AA4158" t="s">
        <v>3466</v>
      </c>
      <c r="AB4158">
        <v>40001</v>
      </c>
      <c r="AC4158"/>
      <c r="AD4158"/>
      <c r="AE4158" t="s">
        <v>7524</v>
      </c>
      <c r="AF4158" t="s">
        <v>7524</v>
      </c>
      <c r="AG4158" t="s">
        <v>92</v>
      </c>
    </row>
    <row r="4159" spans="2:33">
      <c r="B4159" s="14">
        <f>10000000+INDEX(编号表!$B:$B,MATCH(H4159,编号表!$A:$A,0))*100000+INDEX(编号表!$F:$F,MATCH(D4159,编号表!$E:$E,0))*10000+INDEX(编号表!$D:$D,MATCH(AG4159,编号表!$C:$C,0))*1000+F4159</f>
        <v>11814046</v>
      </c>
      <c r="C4159" t="s">
        <v>3471</v>
      </c>
      <c r="D4159" t="s">
        <v>72</v>
      </c>
      <c r="E4159" t="s">
        <v>92</v>
      </c>
      <c r="F4159">
        <v>46</v>
      </c>
      <c r="G4159">
        <v>60</v>
      </c>
      <c r="H4159" t="s">
        <v>7524</v>
      </c>
      <c r="I4159" t="s">
        <v>75</v>
      </c>
      <c r="J4159" t="s">
        <v>201</v>
      </c>
      <c r="K4159">
        <v>1</v>
      </c>
      <c r="L4159" t="s">
        <v>7524</v>
      </c>
      <c r="M4159"/>
      <c r="N4159">
        <v>0</v>
      </c>
      <c r="O4159" t="b">
        <v>1</v>
      </c>
      <c r="P4159"/>
      <c r="Q4159" t="b">
        <v>0</v>
      </c>
      <c r="R4159">
        <v>1</v>
      </c>
      <c r="S4159" t="s">
        <v>77</v>
      </c>
      <c r="T4159">
        <v>999</v>
      </c>
      <c r="U4159" t="s">
        <v>7525</v>
      </c>
      <c r="V4159">
        <f t="shared" si="4"/>
        <v>31814046</v>
      </c>
      <c r="W4159"/>
      <c r="X4159" t="s">
        <v>3472</v>
      </c>
      <c r="Y4159" t="s">
        <v>215</v>
      </c>
      <c r="Z4159">
        <v>20889</v>
      </c>
      <c r="AA4159" t="s">
        <v>3473</v>
      </c>
      <c r="AB4159">
        <v>40001</v>
      </c>
      <c r="AC4159"/>
      <c r="AD4159"/>
      <c r="AE4159" t="s">
        <v>7524</v>
      </c>
      <c r="AF4159" t="s">
        <v>7524</v>
      </c>
      <c r="AG4159" t="s">
        <v>92</v>
      </c>
    </row>
    <row r="4160" spans="2:33">
      <c r="B4160" s="14">
        <f>10000000+INDEX(编号表!$B:$B,MATCH(H4160,编号表!$A:$A,0))*100000+INDEX(编号表!$F:$F,MATCH(D4160,编号表!$E:$E,0))*10000+INDEX(编号表!$D:$D,MATCH(AG4160,编号表!$C:$C,0))*1000+F4160</f>
        <v>11814047</v>
      </c>
      <c r="C4160" t="s">
        <v>3478</v>
      </c>
      <c r="D4160" t="s">
        <v>72</v>
      </c>
      <c r="E4160" t="s">
        <v>92</v>
      </c>
      <c r="F4160">
        <v>47</v>
      </c>
      <c r="G4160">
        <v>60</v>
      </c>
      <c r="H4160" t="s">
        <v>7524</v>
      </c>
      <c r="I4160" t="s">
        <v>75</v>
      </c>
      <c r="J4160" t="s">
        <v>201</v>
      </c>
      <c r="K4160">
        <v>1</v>
      </c>
      <c r="L4160" t="s">
        <v>7524</v>
      </c>
      <c r="M4160"/>
      <c r="N4160">
        <v>0</v>
      </c>
      <c r="O4160" t="b">
        <v>1</v>
      </c>
      <c r="P4160"/>
      <c r="Q4160" t="b">
        <v>0</v>
      </c>
      <c r="R4160">
        <v>1</v>
      </c>
      <c r="S4160" t="s">
        <v>77</v>
      </c>
      <c r="T4160">
        <v>999</v>
      </c>
      <c r="U4160" t="s">
        <v>7525</v>
      </c>
      <c r="V4160">
        <f t="shared" si="4"/>
        <v>31814047</v>
      </c>
      <c r="W4160"/>
      <c r="X4160" t="s">
        <v>3479</v>
      </c>
      <c r="Y4160" t="s">
        <v>215</v>
      </c>
      <c r="Z4160">
        <v>20892</v>
      </c>
      <c r="AA4160" t="s">
        <v>3480</v>
      </c>
      <c r="AB4160">
        <v>40001</v>
      </c>
      <c r="AC4160"/>
      <c r="AD4160"/>
      <c r="AE4160" t="s">
        <v>7524</v>
      </c>
      <c r="AF4160" t="s">
        <v>7524</v>
      </c>
      <c r="AG4160" t="s">
        <v>92</v>
      </c>
    </row>
    <row r="4161" spans="2:33">
      <c r="B4161" s="14">
        <f>10000000+INDEX(编号表!$B:$B,MATCH(H4161,编号表!$A:$A,0))*100000+INDEX(编号表!$F:$F,MATCH(D4161,编号表!$E:$E,0))*10000+INDEX(编号表!$D:$D,MATCH(AG4161,编号表!$C:$C,0))*1000+F4161</f>
        <v>11814048</v>
      </c>
      <c r="C4161" t="s">
        <v>3485</v>
      </c>
      <c r="D4161" t="s">
        <v>72</v>
      </c>
      <c r="E4161" t="s">
        <v>92</v>
      </c>
      <c r="F4161">
        <v>48</v>
      </c>
      <c r="G4161">
        <v>60</v>
      </c>
      <c r="H4161" t="s">
        <v>7524</v>
      </c>
      <c r="I4161" t="s">
        <v>75</v>
      </c>
      <c r="J4161" t="s">
        <v>201</v>
      </c>
      <c r="K4161">
        <v>1</v>
      </c>
      <c r="L4161" t="s">
        <v>7524</v>
      </c>
      <c r="M4161"/>
      <c r="N4161">
        <v>0</v>
      </c>
      <c r="O4161" t="b">
        <v>1</v>
      </c>
      <c r="P4161"/>
      <c r="Q4161" t="b">
        <v>0</v>
      </c>
      <c r="R4161">
        <v>1</v>
      </c>
      <c r="S4161" t="s">
        <v>77</v>
      </c>
      <c r="T4161">
        <v>999</v>
      </c>
      <c r="U4161" t="s">
        <v>7525</v>
      </c>
      <c r="V4161">
        <f t="shared" si="4"/>
        <v>31814048</v>
      </c>
      <c r="W4161"/>
      <c r="X4161" t="s">
        <v>3486</v>
      </c>
      <c r="Y4161" t="s">
        <v>215</v>
      </c>
      <c r="Z4161">
        <v>20895</v>
      </c>
      <c r="AA4161" t="s">
        <v>3487</v>
      </c>
      <c r="AB4161">
        <v>40001</v>
      </c>
      <c r="AC4161"/>
      <c r="AD4161"/>
      <c r="AE4161" t="s">
        <v>7524</v>
      </c>
      <c r="AF4161" t="s">
        <v>7524</v>
      </c>
      <c r="AG4161" t="s">
        <v>92</v>
      </c>
    </row>
    <row r="4162" spans="2:33">
      <c r="B4162" s="14">
        <f>10000000+INDEX(编号表!$B:$B,MATCH(H4162,编号表!$A:$A,0))*100000+INDEX(编号表!$F:$F,MATCH(D4162,编号表!$E:$E,0))*10000+INDEX(编号表!$D:$D,MATCH(AG4162,编号表!$C:$C,0))*1000+F4162</f>
        <v>11814049</v>
      </c>
      <c r="C4162" t="s">
        <v>3492</v>
      </c>
      <c r="D4162" t="s">
        <v>72</v>
      </c>
      <c r="E4162" t="s">
        <v>92</v>
      </c>
      <c r="F4162">
        <v>49</v>
      </c>
      <c r="G4162">
        <v>60</v>
      </c>
      <c r="H4162" t="s">
        <v>7524</v>
      </c>
      <c r="I4162" t="s">
        <v>75</v>
      </c>
      <c r="J4162" t="s">
        <v>201</v>
      </c>
      <c r="K4162">
        <v>1</v>
      </c>
      <c r="L4162" t="s">
        <v>7524</v>
      </c>
      <c r="M4162"/>
      <c r="N4162">
        <v>0</v>
      </c>
      <c r="O4162" t="b">
        <v>1</v>
      </c>
      <c r="P4162"/>
      <c r="Q4162" t="b">
        <v>0</v>
      </c>
      <c r="R4162">
        <v>1</v>
      </c>
      <c r="S4162" t="s">
        <v>77</v>
      </c>
      <c r="T4162">
        <v>999</v>
      </c>
      <c r="U4162" t="s">
        <v>7525</v>
      </c>
      <c r="V4162">
        <f t="shared" si="4"/>
        <v>31814049</v>
      </c>
      <c r="W4162"/>
      <c r="X4162" t="s">
        <v>3493</v>
      </c>
      <c r="Y4162" t="s">
        <v>215</v>
      </c>
      <c r="Z4162">
        <v>20898</v>
      </c>
      <c r="AA4162" t="s">
        <v>3494</v>
      </c>
      <c r="AB4162">
        <v>40001</v>
      </c>
      <c r="AC4162"/>
      <c r="AD4162"/>
      <c r="AE4162" t="s">
        <v>7524</v>
      </c>
      <c r="AF4162" t="s">
        <v>7524</v>
      </c>
      <c r="AG4162" t="s">
        <v>92</v>
      </c>
    </row>
    <row r="4163" spans="2:33">
      <c r="B4163" s="14">
        <f>10000000+INDEX(编号表!$B:$B,MATCH(H4163,编号表!$A:$A,0))*100000+INDEX(编号表!$F:$F,MATCH(D4163,编号表!$E:$E,0))*10000+INDEX(编号表!$D:$D,MATCH(AG4163,编号表!$C:$C,0))*1000+F4163</f>
        <v>11814050</v>
      </c>
      <c r="C4163" t="s">
        <v>3499</v>
      </c>
      <c r="D4163" t="s">
        <v>72</v>
      </c>
      <c r="E4163" t="s">
        <v>92</v>
      </c>
      <c r="F4163">
        <v>50</v>
      </c>
      <c r="G4163">
        <v>60</v>
      </c>
      <c r="H4163" t="s">
        <v>7524</v>
      </c>
      <c r="I4163" t="s">
        <v>75</v>
      </c>
      <c r="J4163" t="s">
        <v>201</v>
      </c>
      <c r="K4163">
        <v>1</v>
      </c>
      <c r="L4163" t="s">
        <v>7524</v>
      </c>
      <c r="M4163"/>
      <c r="N4163">
        <v>0</v>
      </c>
      <c r="O4163" t="b">
        <v>1</v>
      </c>
      <c r="P4163"/>
      <c r="Q4163" t="b">
        <v>0</v>
      </c>
      <c r="R4163">
        <v>1</v>
      </c>
      <c r="S4163" t="s">
        <v>77</v>
      </c>
      <c r="T4163">
        <v>999</v>
      </c>
      <c r="U4163" t="s">
        <v>7525</v>
      </c>
      <c r="V4163">
        <f t="shared" si="4"/>
        <v>31814050</v>
      </c>
      <c r="W4163"/>
      <c r="X4163" t="s">
        <v>3500</v>
      </c>
      <c r="Y4163" t="s">
        <v>215</v>
      </c>
      <c r="Z4163">
        <v>20901</v>
      </c>
      <c r="AA4163" t="s">
        <v>3501</v>
      </c>
      <c r="AB4163">
        <v>40001</v>
      </c>
      <c r="AC4163"/>
      <c r="AD4163"/>
      <c r="AE4163" t="s">
        <v>7524</v>
      </c>
      <c r="AF4163" t="s">
        <v>7524</v>
      </c>
      <c r="AG4163" t="s">
        <v>92</v>
      </c>
    </row>
    <row r="4164" spans="2:33">
      <c r="B4164" s="14">
        <f>10000000+INDEX(编号表!$B:$B,MATCH(H4164,编号表!$A:$A,0))*100000+INDEX(编号表!$F:$F,MATCH(D4164,编号表!$E:$E,0))*10000+INDEX(编号表!$D:$D,MATCH(AG4164,编号表!$C:$C,0))*1000+F4164</f>
        <v>11814051</v>
      </c>
      <c r="C4164" t="s">
        <v>3506</v>
      </c>
      <c r="D4164" t="s">
        <v>72</v>
      </c>
      <c r="E4164" t="s">
        <v>92</v>
      </c>
      <c r="F4164">
        <v>51</v>
      </c>
      <c r="G4164">
        <v>60</v>
      </c>
      <c r="H4164" t="s">
        <v>7524</v>
      </c>
      <c r="I4164" t="s">
        <v>75</v>
      </c>
      <c r="J4164" t="s">
        <v>201</v>
      </c>
      <c r="K4164">
        <v>1</v>
      </c>
      <c r="L4164" t="s">
        <v>7524</v>
      </c>
      <c r="M4164"/>
      <c r="N4164">
        <v>0</v>
      </c>
      <c r="O4164" t="b">
        <v>1</v>
      </c>
      <c r="P4164"/>
      <c r="Q4164" t="b">
        <v>0</v>
      </c>
      <c r="R4164">
        <v>1</v>
      </c>
      <c r="S4164" t="s">
        <v>77</v>
      </c>
      <c r="T4164">
        <v>999</v>
      </c>
      <c r="U4164" t="s">
        <v>7525</v>
      </c>
      <c r="V4164">
        <f t="shared" si="4"/>
        <v>31814051</v>
      </c>
      <c r="W4164"/>
      <c r="X4164" t="s">
        <v>3507</v>
      </c>
      <c r="Y4164" t="s">
        <v>215</v>
      </c>
      <c r="Z4164">
        <v>20904</v>
      </c>
      <c r="AA4164" t="s">
        <v>3508</v>
      </c>
      <c r="AB4164">
        <v>40001</v>
      </c>
      <c r="AC4164"/>
      <c r="AD4164"/>
      <c r="AE4164" t="s">
        <v>7524</v>
      </c>
      <c r="AF4164" t="s">
        <v>7524</v>
      </c>
      <c r="AG4164" t="s">
        <v>92</v>
      </c>
    </row>
    <row r="4165" spans="2:33">
      <c r="B4165" s="14">
        <f>10000000+INDEX(编号表!$B:$B,MATCH(H4165,编号表!$A:$A,0))*100000+INDEX(编号表!$F:$F,MATCH(D4165,编号表!$E:$E,0))*10000+INDEX(编号表!$D:$D,MATCH(AG4165,编号表!$C:$C,0))*1000+F4165</f>
        <v>11814052</v>
      </c>
      <c r="C4165" t="s">
        <v>3513</v>
      </c>
      <c r="D4165" t="s">
        <v>72</v>
      </c>
      <c r="E4165" t="s">
        <v>92</v>
      </c>
      <c r="F4165">
        <v>52</v>
      </c>
      <c r="G4165">
        <v>60</v>
      </c>
      <c r="H4165" t="s">
        <v>7524</v>
      </c>
      <c r="I4165" t="s">
        <v>75</v>
      </c>
      <c r="J4165" t="s">
        <v>201</v>
      </c>
      <c r="K4165">
        <v>1</v>
      </c>
      <c r="L4165" t="s">
        <v>7524</v>
      </c>
      <c r="M4165"/>
      <c r="N4165">
        <v>0</v>
      </c>
      <c r="O4165" t="b">
        <v>1</v>
      </c>
      <c r="P4165"/>
      <c r="Q4165" t="b">
        <v>0</v>
      </c>
      <c r="R4165">
        <v>1</v>
      </c>
      <c r="S4165" t="s">
        <v>77</v>
      </c>
      <c r="T4165">
        <v>999</v>
      </c>
      <c r="U4165" t="s">
        <v>7525</v>
      </c>
      <c r="V4165">
        <f t="shared" si="4"/>
        <v>31814052</v>
      </c>
      <c r="W4165"/>
      <c r="X4165" t="s">
        <v>3514</v>
      </c>
      <c r="Y4165" t="s">
        <v>215</v>
      </c>
      <c r="Z4165">
        <v>20907</v>
      </c>
      <c r="AA4165" t="s">
        <v>3515</v>
      </c>
      <c r="AB4165">
        <v>40001</v>
      </c>
      <c r="AC4165"/>
      <c r="AD4165"/>
      <c r="AE4165" t="s">
        <v>7524</v>
      </c>
      <c r="AF4165" t="s">
        <v>7524</v>
      </c>
      <c r="AG4165" t="s">
        <v>92</v>
      </c>
    </row>
    <row r="4166" spans="2:33">
      <c r="B4166" s="14">
        <f>10000000+INDEX(编号表!$B:$B,MATCH(H4166,编号表!$A:$A,0))*100000+INDEX(编号表!$F:$F,MATCH(D4166,编号表!$E:$E,0))*10000+INDEX(编号表!$D:$D,MATCH(AG4166,编号表!$C:$C,0))*1000+F4166</f>
        <v>11814053</v>
      </c>
      <c r="C4166" t="s">
        <v>3520</v>
      </c>
      <c r="D4166" t="s">
        <v>72</v>
      </c>
      <c r="E4166" t="s">
        <v>92</v>
      </c>
      <c r="F4166">
        <v>53</v>
      </c>
      <c r="G4166">
        <v>60</v>
      </c>
      <c r="H4166" t="s">
        <v>7524</v>
      </c>
      <c r="I4166" t="s">
        <v>75</v>
      </c>
      <c r="J4166" t="s">
        <v>201</v>
      </c>
      <c r="K4166">
        <v>1</v>
      </c>
      <c r="L4166" t="s">
        <v>7524</v>
      </c>
      <c r="M4166"/>
      <c r="N4166">
        <v>0</v>
      </c>
      <c r="O4166" t="b">
        <v>1</v>
      </c>
      <c r="P4166"/>
      <c r="Q4166" t="b">
        <v>0</v>
      </c>
      <c r="R4166">
        <v>1</v>
      </c>
      <c r="S4166" t="s">
        <v>77</v>
      </c>
      <c r="T4166">
        <v>999</v>
      </c>
      <c r="U4166" t="s">
        <v>7525</v>
      </c>
      <c r="V4166">
        <f t="shared" si="4"/>
        <v>31814053</v>
      </c>
      <c r="W4166"/>
      <c r="X4166" t="s">
        <v>3521</v>
      </c>
      <c r="Y4166" t="s">
        <v>215</v>
      </c>
      <c r="Z4166">
        <v>20910</v>
      </c>
      <c r="AA4166" t="s">
        <v>3522</v>
      </c>
      <c r="AB4166">
        <v>40001</v>
      </c>
      <c r="AC4166"/>
      <c r="AD4166"/>
      <c r="AE4166" t="s">
        <v>7524</v>
      </c>
      <c r="AF4166" t="s">
        <v>7524</v>
      </c>
      <c r="AG4166" t="s">
        <v>92</v>
      </c>
    </row>
    <row r="4167" spans="2:33">
      <c r="B4167" s="14">
        <f>10000000+INDEX(编号表!$B:$B,MATCH(H4167,编号表!$A:$A,0))*100000+INDEX(编号表!$F:$F,MATCH(D4167,编号表!$E:$E,0))*10000+INDEX(编号表!$D:$D,MATCH(AG4167,编号表!$C:$C,0))*1000+F4167</f>
        <v>11814054</v>
      </c>
      <c r="C4167" t="s">
        <v>3527</v>
      </c>
      <c r="D4167" t="s">
        <v>72</v>
      </c>
      <c r="E4167" t="s">
        <v>92</v>
      </c>
      <c r="F4167">
        <v>54</v>
      </c>
      <c r="G4167">
        <v>60</v>
      </c>
      <c r="H4167" t="s">
        <v>7524</v>
      </c>
      <c r="I4167" t="s">
        <v>75</v>
      </c>
      <c r="J4167" t="s">
        <v>201</v>
      </c>
      <c r="K4167">
        <v>1</v>
      </c>
      <c r="L4167" t="s">
        <v>7524</v>
      </c>
      <c r="M4167"/>
      <c r="N4167">
        <v>0</v>
      </c>
      <c r="O4167" t="b">
        <v>1</v>
      </c>
      <c r="P4167"/>
      <c r="Q4167" t="b">
        <v>0</v>
      </c>
      <c r="R4167">
        <v>1</v>
      </c>
      <c r="S4167" t="s">
        <v>77</v>
      </c>
      <c r="T4167">
        <v>999</v>
      </c>
      <c r="U4167" t="s">
        <v>7525</v>
      </c>
      <c r="V4167">
        <f t="shared" si="4"/>
        <v>31814054</v>
      </c>
      <c r="W4167"/>
      <c r="X4167" t="s">
        <v>3528</v>
      </c>
      <c r="Y4167" t="s">
        <v>215</v>
      </c>
      <c r="Z4167">
        <v>20913</v>
      </c>
      <c r="AA4167" t="s">
        <v>3529</v>
      </c>
      <c r="AB4167">
        <v>40001</v>
      </c>
      <c r="AC4167"/>
      <c r="AD4167"/>
      <c r="AE4167" t="s">
        <v>7524</v>
      </c>
      <c r="AF4167" t="s">
        <v>7524</v>
      </c>
      <c r="AG4167" t="s">
        <v>92</v>
      </c>
    </row>
    <row r="4168" spans="2:33">
      <c r="B4168" s="14">
        <f>10000000+INDEX(编号表!$B:$B,MATCH(H4168,编号表!$A:$A,0))*100000+INDEX(编号表!$F:$F,MATCH(D4168,编号表!$E:$E,0))*10000+INDEX(编号表!$D:$D,MATCH(AG4168,编号表!$C:$C,0))*1000+F4168</f>
        <v>11814055</v>
      </c>
      <c r="C4168" t="s">
        <v>3534</v>
      </c>
      <c r="D4168" t="s">
        <v>72</v>
      </c>
      <c r="E4168" t="s">
        <v>92</v>
      </c>
      <c r="F4168">
        <v>55</v>
      </c>
      <c r="G4168">
        <v>60</v>
      </c>
      <c r="H4168" t="s">
        <v>7524</v>
      </c>
      <c r="I4168" t="s">
        <v>75</v>
      </c>
      <c r="J4168" t="s">
        <v>201</v>
      </c>
      <c r="K4168">
        <v>1</v>
      </c>
      <c r="L4168" t="s">
        <v>7524</v>
      </c>
      <c r="M4168"/>
      <c r="N4168">
        <v>0</v>
      </c>
      <c r="O4168" t="b">
        <v>1</v>
      </c>
      <c r="P4168"/>
      <c r="Q4168" t="b">
        <v>0</v>
      </c>
      <c r="R4168">
        <v>1</v>
      </c>
      <c r="S4168" t="s">
        <v>77</v>
      </c>
      <c r="T4168">
        <v>999</v>
      </c>
      <c r="U4168" t="s">
        <v>7525</v>
      </c>
      <c r="V4168">
        <f t="shared" si="4"/>
        <v>31814055</v>
      </c>
      <c r="W4168"/>
      <c r="X4168" t="s">
        <v>3535</v>
      </c>
      <c r="Y4168" t="s">
        <v>215</v>
      </c>
      <c r="Z4168">
        <v>20916</v>
      </c>
      <c r="AA4168" t="s">
        <v>3536</v>
      </c>
      <c r="AB4168">
        <v>40001</v>
      </c>
      <c r="AC4168"/>
      <c r="AD4168"/>
      <c r="AE4168" t="s">
        <v>7524</v>
      </c>
      <c r="AF4168" t="s">
        <v>7524</v>
      </c>
      <c r="AG4168" t="s">
        <v>92</v>
      </c>
    </row>
    <row r="4169" spans="2:33">
      <c r="B4169" s="14">
        <f>10000000+INDEX(编号表!$B:$B,MATCH(H4169,编号表!$A:$A,0))*100000+INDEX(编号表!$F:$F,MATCH(D4169,编号表!$E:$E,0))*10000+INDEX(编号表!$D:$D,MATCH(AG4169,编号表!$C:$C,0))*1000+F4169</f>
        <v>11814056</v>
      </c>
      <c r="C4169" t="s">
        <v>3541</v>
      </c>
      <c r="D4169" t="s">
        <v>72</v>
      </c>
      <c r="E4169" t="s">
        <v>92</v>
      </c>
      <c r="F4169">
        <v>56</v>
      </c>
      <c r="G4169">
        <v>60</v>
      </c>
      <c r="H4169" t="s">
        <v>7524</v>
      </c>
      <c r="I4169" t="s">
        <v>75</v>
      </c>
      <c r="J4169" t="s">
        <v>201</v>
      </c>
      <c r="K4169">
        <v>1</v>
      </c>
      <c r="L4169" t="s">
        <v>7524</v>
      </c>
      <c r="M4169"/>
      <c r="N4169">
        <v>0</v>
      </c>
      <c r="O4169" t="b">
        <v>1</v>
      </c>
      <c r="P4169"/>
      <c r="Q4169" t="b">
        <v>0</v>
      </c>
      <c r="R4169">
        <v>1</v>
      </c>
      <c r="S4169" t="s">
        <v>77</v>
      </c>
      <c r="T4169">
        <v>999</v>
      </c>
      <c r="U4169" t="s">
        <v>7525</v>
      </c>
      <c r="V4169">
        <f t="shared" si="4"/>
        <v>31814056</v>
      </c>
      <c r="W4169"/>
      <c r="X4169" t="s">
        <v>3542</v>
      </c>
      <c r="Y4169" t="s">
        <v>215</v>
      </c>
      <c r="Z4169">
        <v>20919</v>
      </c>
      <c r="AA4169" t="s">
        <v>3543</v>
      </c>
      <c r="AB4169">
        <v>40001</v>
      </c>
      <c r="AC4169"/>
      <c r="AD4169"/>
      <c r="AE4169" t="s">
        <v>7524</v>
      </c>
      <c r="AF4169" t="s">
        <v>7524</v>
      </c>
      <c r="AG4169" t="s">
        <v>92</v>
      </c>
    </row>
    <row r="4170" spans="2:33">
      <c r="B4170" s="14">
        <f>10000000+INDEX(编号表!$B:$B,MATCH(H4170,编号表!$A:$A,0))*100000+INDEX(编号表!$F:$F,MATCH(D4170,编号表!$E:$E,0))*10000+INDEX(编号表!$D:$D,MATCH(AG4170,编号表!$C:$C,0))*1000+F4170</f>
        <v>11814057</v>
      </c>
      <c r="C4170" t="s">
        <v>3548</v>
      </c>
      <c r="D4170" t="s">
        <v>72</v>
      </c>
      <c r="E4170" t="s">
        <v>92</v>
      </c>
      <c r="F4170">
        <v>57</v>
      </c>
      <c r="G4170">
        <v>60</v>
      </c>
      <c r="H4170" t="s">
        <v>7524</v>
      </c>
      <c r="I4170" t="s">
        <v>75</v>
      </c>
      <c r="J4170" t="s">
        <v>201</v>
      </c>
      <c r="K4170">
        <v>1</v>
      </c>
      <c r="L4170" t="s">
        <v>7524</v>
      </c>
      <c r="M4170"/>
      <c r="N4170">
        <v>0</v>
      </c>
      <c r="O4170" t="b">
        <v>1</v>
      </c>
      <c r="P4170"/>
      <c r="Q4170" t="b">
        <v>0</v>
      </c>
      <c r="R4170">
        <v>1</v>
      </c>
      <c r="S4170" t="s">
        <v>77</v>
      </c>
      <c r="T4170">
        <v>999</v>
      </c>
      <c r="U4170" t="s">
        <v>7525</v>
      </c>
      <c r="V4170">
        <f t="shared" si="4"/>
        <v>31814057</v>
      </c>
      <c r="W4170"/>
      <c r="X4170" t="s">
        <v>3549</v>
      </c>
      <c r="Y4170" t="s">
        <v>215</v>
      </c>
      <c r="Z4170">
        <v>20922</v>
      </c>
      <c r="AA4170" t="s">
        <v>3550</v>
      </c>
      <c r="AB4170">
        <v>40001</v>
      </c>
      <c r="AC4170"/>
      <c r="AD4170"/>
      <c r="AE4170" t="s">
        <v>7524</v>
      </c>
      <c r="AF4170" t="s">
        <v>7524</v>
      </c>
      <c r="AG4170" t="s">
        <v>92</v>
      </c>
    </row>
    <row r="4171" spans="2:33">
      <c r="B4171" s="14">
        <f>10000000+INDEX(编号表!$B:$B,MATCH(H4171,编号表!$A:$A,0))*100000+INDEX(编号表!$F:$F,MATCH(D4171,编号表!$E:$E,0))*10000+INDEX(编号表!$D:$D,MATCH(AG4171,编号表!$C:$C,0))*1000+F4171</f>
        <v>11814058</v>
      </c>
      <c r="C4171" t="s">
        <v>3555</v>
      </c>
      <c r="D4171" t="s">
        <v>72</v>
      </c>
      <c r="E4171" t="s">
        <v>92</v>
      </c>
      <c r="F4171">
        <v>58</v>
      </c>
      <c r="G4171">
        <v>60</v>
      </c>
      <c r="H4171" t="s">
        <v>7524</v>
      </c>
      <c r="I4171" t="s">
        <v>75</v>
      </c>
      <c r="J4171" t="s">
        <v>201</v>
      </c>
      <c r="K4171">
        <v>1</v>
      </c>
      <c r="L4171" t="s">
        <v>7524</v>
      </c>
      <c r="M4171"/>
      <c r="N4171">
        <v>0</v>
      </c>
      <c r="O4171" t="b">
        <v>1</v>
      </c>
      <c r="P4171"/>
      <c r="Q4171" t="b">
        <v>0</v>
      </c>
      <c r="R4171">
        <v>1</v>
      </c>
      <c r="S4171" t="s">
        <v>77</v>
      </c>
      <c r="T4171">
        <v>999</v>
      </c>
      <c r="U4171" t="s">
        <v>7525</v>
      </c>
      <c r="V4171">
        <f t="shared" si="4"/>
        <v>31814058</v>
      </c>
      <c r="W4171"/>
      <c r="X4171" t="s">
        <v>3556</v>
      </c>
      <c r="Y4171" t="s">
        <v>215</v>
      </c>
      <c r="Z4171">
        <v>20925</v>
      </c>
      <c r="AA4171" t="s">
        <v>3557</v>
      </c>
      <c r="AB4171">
        <v>40001</v>
      </c>
      <c r="AC4171"/>
      <c r="AD4171"/>
      <c r="AE4171" t="s">
        <v>7524</v>
      </c>
      <c r="AF4171" t="s">
        <v>7524</v>
      </c>
      <c r="AG4171" t="s">
        <v>92</v>
      </c>
    </row>
    <row r="4172" spans="2:33">
      <c r="B4172" s="14">
        <f>10000000+INDEX(编号表!$B:$B,MATCH(H4172,编号表!$A:$A,0))*100000+INDEX(编号表!$F:$F,MATCH(D4172,编号表!$E:$E,0))*10000+INDEX(编号表!$D:$D,MATCH(AG4172,编号表!$C:$C,0))*1000+F4172</f>
        <v>11814059</v>
      </c>
      <c r="C4172" t="s">
        <v>3562</v>
      </c>
      <c r="D4172" t="s">
        <v>72</v>
      </c>
      <c r="E4172" t="s">
        <v>92</v>
      </c>
      <c r="F4172">
        <v>59</v>
      </c>
      <c r="G4172">
        <v>60</v>
      </c>
      <c r="H4172" t="s">
        <v>7524</v>
      </c>
      <c r="I4172" t="s">
        <v>75</v>
      </c>
      <c r="J4172" t="s">
        <v>201</v>
      </c>
      <c r="K4172">
        <v>1</v>
      </c>
      <c r="L4172" t="s">
        <v>7524</v>
      </c>
      <c r="M4172"/>
      <c r="N4172">
        <v>0</v>
      </c>
      <c r="O4172" t="b">
        <v>1</v>
      </c>
      <c r="P4172"/>
      <c r="Q4172" t="b">
        <v>0</v>
      </c>
      <c r="R4172">
        <v>1</v>
      </c>
      <c r="S4172" t="s">
        <v>77</v>
      </c>
      <c r="T4172">
        <v>999</v>
      </c>
      <c r="U4172" t="s">
        <v>7525</v>
      </c>
      <c r="V4172">
        <f t="shared" si="4"/>
        <v>31814059</v>
      </c>
      <c r="W4172"/>
      <c r="X4172" t="s">
        <v>3563</v>
      </c>
      <c r="Y4172" t="s">
        <v>215</v>
      </c>
      <c r="Z4172">
        <v>20928</v>
      </c>
      <c r="AA4172" t="s">
        <v>3564</v>
      </c>
      <c r="AB4172">
        <v>40001</v>
      </c>
      <c r="AC4172"/>
      <c r="AD4172"/>
      <c r="AE4172" t="s">
        <v>7524</v>
      </c>
      <c r="AF4172" t="s">
        <v>7524</v>
      </c>
      <c r="AG4172" t="s">
        <v>92</v>
      </c>
    </row>
    <row r="4173" spans="2:33">
      <c r="B4173" s="14">
        <f>10000000+INDEX(编号表!$B:$B,MATCH(H4173,编号表!$A:$A,0))*100000+INDEX(编号表!$F:$F,MATCH(D4173,编号表!$E:$E,0))*10000+INDEX(编号表!$D:$D,MATCH(AG4173,编号表!$C:$C,0))*1000+F4173</f>
        <v>11814060</v>
      </c>
      <c r="C4173" t="s">
        <v>3569</v>
      </c>
      <c r="D4173" t="s">
        <v>72</v>
      </c>
      <c r="E4173" t="s">
        <v>92</v>
      </c>
      <c r="F4173">
        <v>60</v>
      </c>
      <c r="G4173">
        <v>60</v>
      </c>
      <c r="H4173" t="s">
        <v>7524</v>
      </c>
      <c r="I4173" t="s">
        <v>75</v>
      </c>
      <c r="J4173" t="s">
        <v>201</v>
      </c>
      <c r="K4173">
        <v>1</v>
      </c>
      <c r="L4173" t="s">
        <v>7524</v>
      </c>
      <c r="M4173"/>
      <c r="N4173">
        <v>0</v>
      </c>
      <c r="O4173" t="b">
        <v>1</v>
      </c>
      <c r="P4173"/>
      <c r="Q4173" t="b">
        <v>0</v>
      </c>
      <c r="R4173">
        <v>1</v>
      </c>
      <c r="S4173" t="s">
        <v>77</v>
      </c>
      <c r="T4173">
        <v>999</v>
      </c>
      <c r="U4173" t="s">
        <v>7525</v>
      </c>
      <c r="V4173">
        <f t="shared" si="4"/>
        <v>31814060</v>
      </c>
      <c r="W4173"/>
      <c r="X4173" t="s">
        <v>3570</v>
      </c>
      <c r="Y4173" t="s">
        <v>215</v>
      </c>
      <c r="Z4173">
        <v>20931</v>
      </c>
      <c r="AA4173" t="s">
        <v>3571</v>
      </c>
      <c r="AB4173">
        <v>40001</v>
      </c>
      <c r="AC4173"/>
      <c r="AD4173"/>
      <c r="AE4173" t="s">
        <v>7524</v>
      </c>
      <c r="AF4173" t="s">
        <v>7524</v>
      </c>
      <c r="AG4173" t="s">
        <v>92</v>
      </c>
    </row>
    <row r="4174" spans="2:33">
      <c r="B4174" s="14">
        <f>10000000+INDEX(编号表!$B:$B,MATCH(H4174,编号表!$A:$A,0))*100000+INDEX(编号表!$F:$F,MATCH(D4174,编号表!$E:$E,0))*10000+INDEX(编号表!$D:$D,MATCH(AG4174,编号表!$C:$C,0))*1000+F4174</f>
        <v>11814061</v>
      </c>
      <c r="C4174" t="s">
        <v>3576</v>
      </c>
      <c r="D4174" t="s">
        <v>72</v>
      </c>
      <c r="E4174" t="s">
        <v>92</v>
      </c>
      <c r="F4174">
        <v>61</v>
      </c>
      <c r="G4174">
        <v>60</v>
      </c>
      <c r="H4174" t="s">
        <v>7524</v>
      </c>
      <c r="I4174" t="s">
        <v>75</v>
      </c>
      <c r="J4174" t="s">
        <v>201</v>
      </c>
      <c r="K4174">
        <v>1</v>
      </c>
      <c r="L4174" t="s">
        <v>7524</v>
      </c>
      <c r="M4174"/>
      <c r="N4174">
        <v>0</v>
      </c>
      <c r="O4174" t="b">
        <v>1</v>
      </c>
      <c r="P4174"/>
      <c r="Q4174" t="b">
        <v>0</v>
      </c>
      <c r="R4174">
        <v>1</v>
      </c>
      <c r="S4174" t="s">
        <v>77</v>
      </c>
      <c r="T4174">
        <v>999</v>
      </c>
      <c r="U4174" t="s">
        <v>7525</v>
      </c>
      <c r="V4174">
        <f t="shared" si="4"/>
        <v>31814061</v>
      </c>
      <c r="W4174"/>
      <c r="X4174" t="s">
        <v>3577</v>
      </c>
      <c r="Y4174" t="s">
        <v>215</v>
      </c>
      <c r="Z4174">
        <v>20934</v>
      </c>
      <c r="AA4174" t="s">
        <v>3578</v>
      </c>
      <c r="AB4174">
        <v>40001</v>
      </c>
      <c r="AC4174"/>
      <c r="AD4174"/>
      <c r="AE4174" t="s">
        <v>7524</v>
      </c>
      <c r="AF4174" t="s">
        <v>7524</v>
      </c>
      <c r="AG4174" t="s">
        <v>92</v>
      </c>
    </row>
    <row r="4175" spans="2:33">
      <c r="B4175" s="14">
        <f>10000000+INDEX(编号表!$B:$B,MATCH(H4175,编号表!$A:$A,0))*100000+INDEX(编号表!$F:$F,MATCH(D4175,编号表!$E:$E,0))*10000+INDEX(编号表!$D:$D,MATCH(AG4175,编号表!$C:$C,0))*1000+F4175</f>
        <v>11814062</v>
      </c>
      <c r="C4175" t="s">
        <v>3583</v>
      </c>
      <c r="D4175" t="s">
        <v>72</v>
      </c>
      <c r="E4175" t="s">
        <v>92</v>
      </c>
      <c r="F4175">
        <v>62</v>
      </c>
      <c r="G4175">
        <v>60</v>
      </c>
      <c r="H4175" t="s">
        <v>7524</v>
      </c>
      <c r="I4175" t="s">
        <v>75</v>
      </c>
      <c r="J4175" t="s">
        <v>201</v>
      </c>
      <c r="K4175">
        <v>1</v>
      </c>
      <c r="L4175" t="s">
        <v>7524</v>
      </c>
      <c r="M4175"/>
      <c r="N4175">
        <v>0</v>
      </c>
      <c r="O4175" t="b">
        <v>1</v>
      </c>
      <c r="P4175"/>
      <c r="Q4175" t="b">
        <v>0</v>
      </c>
      <c r="R4175">
        <v>1</v>
      </c>
      <c r="S4175" t="s">
        <v>77</v>
      </c>
      <c r="T4175">
        <v>999</v>
      </c>
      <c r="U4175" t="s">
        <v>7525</v>
      </c>
      <c r="V4175">
        <f t="shared" si="4"/>
        <v>31814062</v>
      </c>
      <c r="W4175"/>
      <c r="X4175" t="s">
        <v>3584</v>
      </c>
      <c r="Y4175" t="s">
        <v>215</v>
      </c>
      <c r="Z4175">
        <v>20937</v>
      </c>
      <c r="AA4175" t="s">
        <v>3585</v>
      </c>
      <c r="AB4175">
        <v>40001</v>
      </c>
      <c r="AC4175"/>
      <c r="AD4175"/>
      <c r="AE4175" t="s">
        <v>7524</v>
      </c>
      <c r="AF4175" t="s">
        <v>7524</v>
      </c>
      <c r="AG4175" t="s">
        <v>92</v>
      </c>
    </row>
    <row r="4176" spans="2:33">
      <c r="B4176" s="14">
        <f>10000000+INDEX(编号表!$B:$B,MATCH(H4176,编号表!$A:$A,0))*100000+INDEX(编号表!$F:$F,MATCH(D4176,编号表!$E:$E,0))*10000+INDEX(编号表!$D:$D,MATCH(AG4176,编号表!$C:$C,0))*1000+F4176</f>
        <v>11814063</v>
      </c>
      <c r="C4176" t="s">
        <v>3590</v>
      </c>
      <c r="D4176" t="s">
        <v>72</v>
      </c>
      <c r="E4176" t="s">
        <v>92</v>
      </c>
      <c r="F4176">
        <v>63</v>
      </c>
      <c r="G4176">
        <v>60</v>
      </c>
      <c r="H4176" t="s">
        <v>7524</v>
      </c>
      <c r="I4176" t="s">
        <v>75</v>
      </c>
      <c r="J4176" t="s">
        <v>201</v>
      </c>
      <c r="K4176">
        <v>1</v>
      </c>
      <c r="L4176" t="s">
        <v>7524</v>
      </c>
      <c r="M4176"/>
      <c r="N4176">
        <v>0</v>
      </c>
      <c r="O4176" t="b">
        <v>1</v>
      </c>
      <c r="P4176"/>
      <c r="Q4176" t="b">
        <v>0</v>
      </c>
      <c r="R4176">
        <v>1</v>
      </c>
      <c r="S4176" t="s">
        <v>77</v>
      </c>
      <c r="T4176">
        <v>999</v>
      </c>
      <c r="U4176" t="s">
        <v>7525</v>
      </c>
      <c r="V4176">
        <f t="shared" si="4"/>
        <v>31814063</v>
      </c>
      <c r="W4176"/>
      <c r="X4176" t="s">
        <v>3591</v>
      </c>
      <c r="Y4176" t="s">
        <v>215</v>
      </c>
      <c r="Z4176">
        <v>20940</v>
      </c>
      <c r="AA4176" t="s">
        <v>3592</v>
      </c>
      <c r="AB4176">
        <v>40001</v>
      </c>
      <c r="AC4176"/>
      <c r="AD4176"/>
      <c r="AE4176" t="s">
        <v>7524</v>
      </c>
      <c r="AF4176" t="s">
        <v>7524</v>
      </c>
      <c r="AG4176" t="s">
        <v>92</v>
      </c>
    </row>
    <row r="4177" spans="2:33">
      <c r="B4177" s="14">
        <f>10000000+INDEX(编号表!$B:$B,MATCH(H4177,编号表!$A:$A,0))*100000+INDEX(编号表!$F:$F,MATCH(D4177,编号表!$E:$E,0))*10000+INDEX(编号表!$D:$D,MATCH(AG4177,编号表!$C:$C,0))*1000+F4177</f>
        <v>11814064</v>
      </c>
      <c r="C4177" t="s">
        <v>3597</v>
      </c>
      <c r="D4177" t="s">
        <v>72</v>
      </c>
      <c r="E4177" t="s">
        <v>92</v>
      </c>
      <c r="F4177">
        <v>64</v>
      </c>
      <c r="G4177">
        <v>60</v>
      </c>
      <c r="H4177" t="s">
        <v>7524</v>
      </c>
      <c r="I4177" t="s">
        <v>75</v>
      </c>
      <c r="J4177" t="s">
        <v>201</v>
      </c>
      <c r="K4177">
        <v>1</v>
      </c>
      <c r="L4177" t="s">
        <v>7524</v>
      </c>
      <c r="M4177"/>
      <c r="N4177">
        <v>0</v>
      </c>
      <c r="O4177" t="b">
        <v>1</v>
      </c>
      <c r="P4177"/>
      <c r="Q4177" t="b">
        <v>0</v>
      </c>
      <c r="R4177">
        <v>1</v>
      </c>
      <c r="S4177" t="s">
        <v>77</v>
      </c>
      <c r="T4177">
        <v>999</v>
      </c>
      <c r="U4177" t="s">
        <v>7525</v>
      </c>
      <c r="V4177">
        <f t="shared" si="4"/>
        <v>31814064</v>
      </c>
      <c r="W4177"/>
      <c r="X4177" t="s">
        <v>3598</v>
      </c>
      <c r="Y4177" t="s">
        <v>215</v>
      </c>
      <c r="Z4177">
        <v>20943</v>
      </c>
      <c r="AA4177" t="s">
        <v>3599</v>
      </c>
      <c r="AB4177">
        <v>40001</v>
      </c>
      <c r="AC4177"/>
      <c r="AD4177"/>
      <c r="AE4177" t="s">
        <v>7524</v>
      </c>
      <c r="AF4177" t="s">
        <v>7524</v>
      </c>
      <c r="AG4177" t="s">
        <v>92</v>
      </c>
    </row>
    <row r="4178" spans="2:33">
      <c r="B4178" s="14">
        <f>10000000+INDEX(编号表!$B:$B,MATCH(H4178,编号表!$A:$A,0))*100000+INDEX(编号表!$F:$F,MATCH(D4178,编号表!$E:$E,0))*10000+INDEX(编号表!$D:$D,MATCH(AG4178,编号表!$C:$C,0))*1000+F4178</f>
        <v>11814065</v>
      </c>
      <c r="C4178" t="s">
        <v>3604</v>
      </c>
      <c r="D4178" t="s">
        <v>72</v>
      </c>
      <c r="E4178" t="s">
        <v>92</v>
      </c>
      <c r="F4178">
        <v>65</v>
      </c>
      <c r="G4178">
        <v>60</v>
      </c>
      <c r="H4178" t="s">
        <v>7524</v>
      </c>
      <c r="I4178" t="s">
        <v>75</v>
      </c>
      <c r="J4178" t="s">
        <v>201</v>
      </c>
      <c r="K4178">
        <v>1</v>
      </c>
      <c r="L4178" t="s">
        <v>7524</v>
      </c>
      <c r="M4178"/>
      <c r="N4178">
        <v>0</v>
      </c>
      <c r="O4178" t="b">
        <v>1</v>
      </c>
      <c r="P4178"/>
      <c r="Q4178" t="b">
        <v>0</v>
      </c>
      <c r="R4178">
        <v>1</v>
      </c>
      <c r="S4178" t="s">
        <v>77</v>
      </c>
      <c r="T4178">
        <v>999</v>
      </c>
      <c r="U4178" t="s">
        <v>7525</v>
      </c>
      <c r="V4178">
        <f t="shared" si="4"/>
        <v>31814065</v>
      </c>
      <c r="W4178"/>
      <c r="X4178" t="s">
        <v>3605</v>
      </c>
      <c r="Y4178" t="s">
        <v>215</v>
      </c>
      <c r="Z4178">
        <v>20946</v>
      </c>
      <c r="AA4178" t="s">
        <v>3606</v>
      </c>
      <c r="AB4178">
        <v>40001</v>
      </c>
      <c r="AC4178"/>
      <c r="AD4178"/>
      <c r="AE4178" t="s">
        <v>7524</v>
      </c>
      <c r="AF4178" t="s">
        <v>7524</v>
      </c>
      <c r="AG4178" t="s">
        <v>92</v>
      </c>
    </row>
    <row r="4179" spans="2:33">
      <c r="B4179" s="14">
        <f>10000000+INDEX(编号表!$B:$B,MATCH(H4179,编号表!$A:$A,0))*100000+INDEX(编号表!$F:$F,MATCH(D4179,编号表!$E:$E,0))*10000+INDEX(编号表!$D:$D,MATCH(AG4179,编号表!$C:$C,0))*1000+F4179</f>
        <v>11814066</v>
      </c>
      <c r="C4179" t="s">
        <v>3611</v>
      </c>
      <c r="D4179" t="s">
        <v>72</v>
      </c>
      <c r="E4179" t="s">
        <v>92</v>
      </c>
      <c r="F4179">
        <v>66</v>
      </c>
      <c r="G4179">
        <v>60</v>
      </c>
      <c r="H4179" t="s">
        <v>7524</v>
      </c>
      <c r="I4179" t="s">
        <v>75</v>
      </c>
      <c r="J4179" t="s">
        <v>201</v>
      </c>
      <c r="K4179">
        <v>1</v>
      </c>
      <c r="L4179" t="s">
        <v>7524</v>
      </c>
      <c r="M4179"/>
      <c r="N4179">
        <v>0</v>
      </c>
      <c r="O4179" t="b">
        <v>1</v>
      </c>
      <c r="P4179"/>
      <c r="Q4179" t="b">
        <v>0</v>
      </c>
      <c r="R4179">
        <v>1</v>
      </c>
      <c r="S4179" t="s">
        <v>77</v>
      </c>
      <c r="T4179">
        <v>999</v>
      </c>
      <c r="U4179" t="s">
        <v>7525</v>
      </c>
      <c r="V4179">
        <f t="shared" si="4"/>
        <v>31814066</v>
      </c>
      <c r="W4179"/>
      <c r="X4179" t="s">
        <v>3612</v>
      </c>
      <c r="Y4179" t="s">
        <v>215</v>
      </c>
      <c r="Z4179">
        <v>20949</v>
      </c>
      <c r="AA4179" t="s">
        <v>3613</v>
      </c>
      <c r="AB4179">
        <v>40001</v>
      </c>
      <c r="AC4179"/>
      <c r="AD4179"/>
      <c r="AE4179" t="s">
        <v>7524</v>
      </c>
      <c r="AF4179" t="s">
        <v>7524</v>
      </c>
      <c r="AG4179" t="s">
        <v>92</v>
      </c>
    </row>
    <row r="4180" spans="2:33">
      <c r="B4180" s="14">
        <f>10000000+INDEX(编号表!$B:$B,MATCH(H4180,编号表!$A:$A,0))*100000+INDEX(编号表!$F:$F,MATCH(D4180,编号表!$E:$E,0))*10000+INDEX(编号表!$D:$D,MATCH(AG4180,编号表!$C:$C,0))*1000+F4180</f>
        <v>11814067</v>
      </c>
      <c r="C4180" t="s">
        <v>3618</v>
      </c>
      <c r="D4180" t="s">
        <v>72</v>
      </c>
      <c r="E4180" t="s">
        <v>92</v>
      </c>
      <c r="F4180">
        <v>67</v>
      </c>
      <c r="G4180">
        <v>60</v>
      </c>
      <c r="H4180" t="s">
        <v>7524</v>
      </c>
      <c r="I4180" t="s">
        <v>75</v>
      </c>
      <c r="J4180" t="s">
        <v>201</v>
      </c>
      <c r="K4180">
        <v>1</v>
      </c>
      <c r="L4180" t="s">
        <v>7524</v>
      </c>
      <c r="M4180"/>
      <c r="N4180">
        <v>0</v>
      </c>
      <c r="O4180" t="b">
        <v>1</v>
      </c>
      <c r="P4180"/>
      <c r="Q4180" t="b">
        <v>0</v>
      </c>
      <c r="R4180">
        <v>1</v>
      </c>
      <c r="S4180" t="s">
        <v>77</v>
      </c>
      <c r="T4180">
        <v>999</v>
      </c>
      <c r="U4180" t="s">
        <v>7525</v>
      </c>
      <c r="V4180">
        <f t="shared" si="4"/>
        <v>31814067</v>
      </c>
      <c r="W4180"/>
      <c r="X4180" t="s">
        <v>3619</v>
      </c>
      <c r="Y4180" t="s">
        <v>215</v>
      </c>
      <c r="Z4180">
        <v>20952</v>
      </c>
      <c r="AA4180" t="s">
        <v>3620</v>
      </c>
      <c r="AB4180">
        <v>40001</v>
      </c>
      <c r="AC4180"/>
      <c r="AD4180"/>
      <c r="AE4180" t="s">
        <v>7524</v>
      </c>
      <c r="AF4180" t="s">
        <v>7524</v>
      </c>
      <c r="AG4180" t="s">
        <v>92</v>
      </c>
    </row>
    <row r="4181" spans="2:33">
      <c r="B4181" s="14">
        <f>10000000+INDEX(编号表!$B:$B,MATCH(H4181,编号表!$A:$A,0))*100000+INDEX(编号表!$F:$F,MATCH(D4181,编号表!$E:$E,0))*10000+INDEX(编号表!$D:$D,MATCH(AG4181,编号表!$C:$C,0))*1000+F4181</f>
        <v>11814068</v>
      </c>
      <c r="C4181" t="s">
        <v>3625</v>
      </c>
      <c r="D4181" t="s">
        <v>72</v>
      </c>
      <c r="E4181" t="s">
        <v>92</v>
      </c>
      <c r="F4181">
        <v>68</v>
      </c>
      <c r="G4181">
        <v>60</v>
      </c>
      <c r="H4181" t="s">
        <v>7524</v>
      </c>
      <c r="I4181" t="s">
        <v>75</v>
      </c>
      <c r="J4181" t="s">
        <v>201</v>
      </c>
      <c r="K4181">
        <v>1</v>
      </c>
      <c r="L4181" t="s">
        <v>7524</v>
      </c>
      <c r="M4181"/>
      <c r="N4181">
        <v>0</v>
      </c>
      <c r="O4181" t="b">
        <v>1</v>
      </c>
      <c r="P4181"/>
      <c r="Q4181" t="b">
        <v>0</v>
      </c>
      <c r="R4181">
        <v>1</v>
      </c>
      <c r="S4181" t="s">
        <v>77</v>
      </c>
      <c r="T4181">
        <v>999</v>
      </c>
      <c r="U4181" t="s">
        <v>7525</v>
      </c>
      <c r="V4181">
        <f t="shared" si="4"/>
        <v>31814068</v>
      </c>
      <c r="W4181"/>
      <c r="X4181" t="s">
        <v>3626</v>
      </c>
      <c r="Y4181" t="s">
        <v>215</v>
      </c>
      <c r="Z4181">
        <v>20955</v>
      </c>
      <c r="AA4181" t="s">
        <v>3627</v>
      </c>
      <c r="AB4181">
        <v>40001</v>
      </c>
      <c r="AC4181"/>
      <c r="AD4181"/>
      <c r="AE4181" t="s">
        <v>7524</v>
      </c>
      <c r="AF4181" t="s">
        <v>7524</v>
      </c>
      <c r="AG4181" t="s">
        <v>92</v>
      </c>
    </row>
    <row r="4182" spans="2:33">
      <c r="B4182" s="14">
        <f>10000000+INDEX(编号表!$B:$B,MATCH(H4182,编号表!$A:$A,0))*100000+INDEX(编号表!$F:$F,MATCH(D4182,编号表!$E:$E,0))*10000+INDEX(编号表!$D:$D,MATCH(AG4182,编号表!$C:$C,0))*1000+F4182</f>
        <v>11814069</v>
      </c>
      <c r="C4182" t="s">
        <v>3632</v>
      </c>
      <c r="D4182" t="s">
        <v>72</v>
      </c>
      <c r="E4182" t="s">
        <v>92</v>
      </c>
      <c r="F4182">
        <v>69</v>
      </c>
      <c r="G4182">
        <v>60</v>
      </c>
      <c r="H4182" t="s">
        <v>7524</v>
      </c>
      <c r="I4182" t="s">
        <v>75</v>
      </c>
      <c r="J4182" t="s">
        <v>201</v>
      </c>
      <c r="K4182">
        <v>1</v>
      </c>
      <c r="L4182" t="s">
        <v>7524</v>
      </c>
      <c r="M4182"/>
      <c r="N4182">
        <v>0</v>
      </c>
      <c r="O4182" t="b">
        <v>1</v>
      </c>
      <c r="P4182"/>
      <c r="Q4182" t="b">
        <v>0</v>
      </c>
      <c r="R4182">
        <v>1</v>
      </c>
      <c r="S4182" t="s">
        <v>77</v>
      </c>
      <c r="T4182">
        <v>999</v>
      </c>
      <c r="U4182" t="s">
        <v>7525</v>
      </c>
      <c r="V4182">
        <f t="shared" si="4"/>
        <v>31814069</v>
      </c>
      <c r="W4182"/>
      <c r="X4182" t="s">
        <v>3633</v>
      </c>
      <c r="Y4182" t="s">
        <v>215</v>
      </c>
      <c r="Z4182">
        <v>20958</v>
      </c>
      <c r="AA4182" t="s">
        <v>3634</v>
      </c>
      <c r="AB4182">
        <v>40001</v>
      </c>
      <c r="AC4182"/>
      <c r="AD4182"/>
      <c r="AE4182" t="s">
        <v>7524</v>
      </c>
      <c r="AF4182" t="s">
        <v>7524</v>
      </c>
      <c r="AG4182" t="s">
        <v>92</v>
      </c>
    </row>
    <row r="4183" spans="2:33">
      <c r="B4183" s="14">
        <f>10000000+INDEX(编号表!$B:$B,MATCH(H4183,编号表!$A:$A,0))*100000+INDEX(编号表!$F:$F,MATCH(D4183,编号表!$E:$E,0))*10000+INDEX(编号表!$D:$D,MATCH(AG4183,编号表!$C:$C,0))*1000+F4183</f>
        <v>11814070</v>
      </c>
      <c r="C4183" t="s">
        <v>3639</v>
      </c>
      <c r="D4183" t="s">
        <v>72</v>
      </c>
      <c r="E4183" t="s">
        <v>92</v>
      </c>
      <c r="F4183">
        <v>70</v>
      </c>
      <c r="G4183">
        <v>60</v>
      </c>
      <c r="H4183" t="s">
        <v>7524</v>
      </c>
      <c r="I4183" t="s">
        <v>75</v>
      </c>
      <c r="J4183" t="s">
        <v>201</v>
      </c>
      <c r="K4183">
        <v>1</v>
      </c>
      <c r="L4183" t="s">
        <v>7524</v>
      </c>
      <c r="M4183"/>
      <c r="N4183">
        <v>0</v>
      </c>
      <c r="O4183" t="b">
        <v>1</v>
      </c>
      <c r="P4183"/>
      <c r="Q4183" t="b">
        <v>0</v>
      </c>
      <c r="R4183">
        <v>1</v>
      </c>
      <c r="S4183" t="s">
        <v>77</v>
      </c>
      <c r="T4183">
        <v>999</v>
      </c>
      <c r="U4183" t="s">
        <v>7525</v>
      </c>
      <c r="V4183">
        <f t="shared" si="4"/>
        <v>31814070</v>
      </c>
      <c r="W4183"/>
      <c r="X4183" t="s">
        <v>3640</v>
      </c>
      <c r="Y4183" t="s">
        <v>215</v>
      </c>
      <c r="Z4183">
        <v>20961</v>
      </c>
      <c r="AA4183" t="s">
        <v>3641</v>
      </c>
      <c r="AB4183">
        <v>40001</v>
      </c>
      <c r="AC4183"/>
      <c r="AD4183"/>
      <c r="AE4183" t="s">
        <v>7524</v>
      </c>
      <c r="AF4183" t="s">
        <v>7524</v>
      </c>
      <c r="AG4183" t="s">
        <v>92</v>
      </c>
    </row>
    <row r="4184" spans="2:33">
      <c r="B4184" s="14">
        <f>10000000+INDEX(编号表!$B:$B,MATCH(H4184,编号表!$A:$A,0))*100000+INDEX(编号表!$F:$F,MATCH(D4184,编号表!$E:$E,0))*10000+INDEX(编号表!$D:$D,MATCH(AG4184,编号表!$C:$C,0))*1000+F4184</f>
        <v>11814071</v>
      </c>
      <c r="C4184" t="s">
        <v>3646</v>
      </c>
      <c r="D4184" t="s">
        <v>72</v>
      </c>
      <c r="E4184" t="s">
        <v>92</v>
      </c>
      <c r="F4184">
        <v>71</v>
      </c>
      <c r="G4184">
        <v>60</v>
      </c>
      <c r="H4184" t="s">
        <v>7524</v>
      </c>
      <c r="I4184" t="s">
        <v>75</v>
      </c>
      <c r="J4184" t="s">
        <v>201</v>
      </c>
      <c r="K4184">
        <v>1</v>
      </c>
      <c r="L4184" t="s">
        <v>7524</v>
      </c>
      <c r="M4184"/>
      <c r="N4184">
        <v>0</v>
      </c>
      <c r="O4184" t="b">
        <v>1</v>
      </c>
      <c r="P4184"/>
      <c r="Q4184" t="b">
        <v>0</v>
      </c>
      <c r="R4184">
        <v>1</v>
      </c>
      <c r="S4184" t="s">
        <v>77</v>
      </c>
      <c r="T4184">
        <v>999</v>
      </c>
      <c r="U4184" t="s">
        <v>7525</v>
      </c>
      <c r="V4184">
        <f t="shared" ref="V4184:V4247" si="5">B4184+20000000</f>
        <v>31814071</v>
      </c>
      <c r="W4184"/>
      <c r="X4184" t="s">
        <v>3647</v>
      </c>
      <c r="Y4184" t="s">
        <v>215</v>
      </c>
      <c r="Z4184">
        <v>20964</v>
      </c>
      <c r="AA4184" t="s">
        <v>3648</v>
      </c>
      <c r="AB4184">
        <v>40001</v>
      </c>
      <c r="AC4184"/>
      <c r="AD4184"/>
      <c r="AE4184" t="s">
        <v>7524</v>
      </c>
      <c r="AF4184" t="s">
        <v>7524</v>
      </c>
      <c r="AG4184" t="s">
        <v>92</v>
      </c>
    </row>
    <row r="4185" spans="2:33">
      <c r="B4185" s="14">
        <f>10000000+INDEX(编号表!$B:$B,MATCH(H4185,编号表!$A:$A,0))*100000+INDEX(编号表!$F:$F,MATCH(D4185,编号表!$E:$E,0))*10000+INDEX(编号表!$D:$D,MATCH(AG4185,编号表!$C:$C,0))*1000+F4185</f>
        <v>11814072</v>
      </c>
      <c r="C4185" t="s">
        <v>3653</v>
      </c>
      <c r="D4185" t="s">
        <v>72</v>
      </c>
      <c r="E4185" t="s">
        <v>92</v>
      </c>
      <c r="F4185">
        <v>72</v>
      </c>
      <c r="G4185">
        <v>60</v>
      </c>
      <c r="H4185" t="s">
        <v>7524</v>
      </c>
      <c r="I4185" t="s">
        <v>75</v>
      </c>
      <c r="J4185" t="s">
        <v>201</v>
      </c>
      <c r="K4185">
        <v>1</v>
      </c>
      <c r="L4185" t="s">
        <v>7524</v>
      </c>
      <c r="M4185"/>
      <c r="N4185">
        <v>0</v>
      </c>
      <c r="O4185" t="b">
        <v>1</v>
      </c>
      <c r="P4185"/>
      <c r="Q4185" t="b">
        <v>0</v>
      </c>
      <c r="R4185">
        <v>1</v>
      </c>
      <c r="S4185" t="s">
        <v>77</v>
      </c>
      <c r="T4185">
        <v>999</v>
      </c>
      <c r="U4185" t="s">
        <v>7525</v>
      </c>
      <c r="V4185">
        <f t="shared" si="5"/>
        <v>31814072</v>
      </c>
      <c r="W4185"/>
      <c r="X4185" t="s">
        <v>3654</v>
      </c>
      <c r="Y4185" t="s">
        <v>215</v>
      </c>
      <c r="Z4185">
        <v>20967</v>
      </c>
      <c r="AA4185" t="s">
        <v>3655</v>
      </c>
      <c r="AB4185">
        <v>40001</v>
      </c>
      <c r="AC4185"/>
      <c r="AD4185"/>
      <c r="AE4185" t="s">
        <v>7524</v>
      </c>
      <c r="AF4185" t="s">
        <v>7524</v>
      </c>
      <c r="AG4185" t="s">
        <v>92</v>
      </c>
    </row>
    <row r="4186" spans="2:33">
      <c r="B4186" s="14">
        <f>10000000+INDEX(编号表!$B:$B,MATCH(H4186,编号表!$A:$A,0))*100000+INDEX(编号表!$F:$F,MATCH(D4186,编号表!$E:$E,0))*10000+INDEX(编号表!$D:$D,MATCH(AG4186,编号表!$C:$C,0))*1000+F4186</f>
        <v>11814073</v>
      </c>
      <c r="C4186" t="s">
        <v>3660</v>
      </c>
      <c r="D4186" t="s">
        <v>72</v>
      </c>
      <c r="E4186" t="s">
        <v>92</v>
      </c>
      <c r="F4186">
        <v>73</v>
      </c>
      <c r="G4186">
        <v>60</v>
      </c>
      <c r="H4186" t="s">
        <v>7524</v>
      </c>
      <c r="I4186" t="s">
        <v>75</v>
      </c>
      <c r="J4186" t="s">
        <v>201</v>
      </c>
      <c r="K4186">
        <v>1</v>
      </c>
      <c r="L4186" t="s">
        <v>7524</v>
      </c>
      <c r="M4186"/>
      <c r="N4186">
        <v>0</v>
      </c>
      <c r="O4186" t="b">
        <v>1</v>
      </c>
      <c r="P4186"/>
      <c r="Q4186" t="b">
        <v>0</v>
      </c>
      <c r="R4186">
        <v>1</v>
      </c>
      <c r="S4186" t="s">
        <v>77</v>
      </c>
      <c r="T4186">
        <v>999</v>
      </c>
      <c r="U4186" t="s">
        <v>7525</v>
      </c>
      <c r="V4186">
        <f t="shared" si="5"/>
        <v>31814073</v>
      </c>
      <c r="W4186"/>
      <c r="X4186" t="s">
        <v>3661</v>
      </c>
      <c r="Y4186" t="s">
        <v>215</v>
      </c>
      <c r="Z4186">
        <v>20970</v>
      </c>
      <c r="AA4186" t="s">
        <v>3662</v>
      </c>
      <c r="AB4186">
        <v>40001</v>
      </c>
      <c r="AC4186"/>
      <c r="AD4186"/>
      <c r="AE4186" t="s">
        <v>7524</v>
      </c>
      <c r="AF4186" t="s">
        <v>7524</v>
      </c>
      <c r="AG4186" t="s">
        <v>92</v>
      </c>
    </row>
    <row r="4187" spans="2:33">
      <c r="B4187" s="14">
        <f>10000000+INDEX(编号表!$B:$B,MATCH(H4187,编号表!$A:$A,0))*100000+INDEX(编号表!$F:$F,MATCH(D4187,编号表!$E:$E,0))*10000+INDEX(编号表!$D:$D,MATCH(AG4187,编号表!$C:$C,0))*1000+F4187</f>
        <v>11814074</v>
      </c>
      <c r="C4187" t="s">
        <v>3667</v>
      </c>
      <c r="D4187" t="s">
        <v>72</v>
      </c>
      <c r="E4187" t="s">
        <v>92</v>
      </c>
      <c r="F4187">
        <v>74</v>
      </c>
      <c r="G4187">
        <v>60</v>
      </c>
      <c r="H4187" t="s">
        <v>7524</v>
      </c>
      <c r="I4187" t="s">
        <v>75</v>
      </c>
      <c r="J4187" t="s">
        <v>201</v>
      </c>
      <c r="K4187">
        <v>1</v>
      </c>
      <c r="L4187" t="s">
        <v>7524</v>
      </c>
      <c r="M4187"/>
      <c r="N4187">
        <v>0</v>
      </c>
      <c r="O4187" t="b">
        <v>1</v>
      </c>
      <c r="P4187"/>
      <c r="Q4187" t="b">
        <v>0</v>
      </c>
      <c r="R4187">
        <v>1</v>
      </c>
      <c r="S4187" t="s">
        <v>77</v>
      </c>
      <c r="T4187">
        <v>999</v>
      </c>
      <c r="U4187" t="s">
        <v>7525</v>
      </c>
      <c r="V4187">
        <f t="shared" si="5"/>
        <v>31814074</v>
      </c>
      <c r="W4187"/>
      <c r="X4187" t="s">
        <v>3668</v>
      </c>
      <c r="Y4187" t="s">
        <v>215</v>
      </c>
      <c r="Z4187">
        <v>20973</v>
      </c>
      <c r="AA4187" t="s">
        <v>3669</v>
      </c>
      <c r="AB4187">
        <v>40001</v>
      </c>
      <c r="AC4187"/>
      <c r="AD4187"/>
      <c r="AE4187" t="s">
        <v>7524</v>
      </c>
      <c r="AF4187" t="s">
        <v>7524</v>
      </c>
      <c r="AG4187" t="s">
        <v>92</v>
      </c>
    </row>
    <row r="4188" spans="2:33">
      <c r="B4188" s="14">
        <f>10000000+INDEX(编号表!$B:$B,MATCH(H4188,编号表!$A:$A,0))*100000+INDEX(编号表!$F:$F,MATCH(D4188,编号表!$E:$E,0))*10000+INDEX(编号表!$D:$D,MATCH(AG4188,编号表!$C:$C,0))*1000+F4188</f>
        <v>11814075</v>
      </c>
      <c r="C4188" t="s">
        <v>3674</v>
      </c>
      <c r="D4188" t="s">
        <v>72</v>
      </c>
      <c r="E4188" t="s">
        <v>92</v>
      </c>
      <c r="F4188">
        <v>75</v>
      </c>
      <c r="G4188">
        <v>60</v>
      </c>
      <c r="H4188" t="s">
        <v>7524</v>
      </c>
      <c r="I4188" t="s">
        <v>75</v>
      </c>
      <c r="J4188" t="s">
        <v>201</v>
      </c>
      <c r="K4188">
        <v>1</v>
      </c>
      <c r="L4188" t="s">
        <v>7524</v>
      </c>
      <c r="M4188"/>
      <c r="N4188">
        <v>0</v>
      </c>
      <c r="O4188" t="b">
        <v>1</v>
      </c>
      <c r="P4188"/>
      <c r="Q4188" t="b">
        <v>0</v>
      </c>
      <c r="R4188">
        <v>1</v>
      </c>
      <c r="S4188" t="s">
        <v>77</v>
      </c>
      <c r="T4188">
        <v>999</v>
      </c>
      <c r="U4188" t="s">
        <v>7525</v>
      </c>
      <c r="V4188">
        <f t="shared" si="5"/>
        <v>31814075</v>
      </c>
      <c r="W4188"/>
      <c r="X4188" t="s">
        <v>3675</v>
      </c>
      <c r="Y4188" t="s">
        <v>215</v>
      </c>
      <c r="Z4188">
        <v>20976</v>
      </c>
      <c r="AA4188" t="s">
        <v>3676</v>
      </c>
      <c r="AB4188">
        <v>40001</v>
      </c>
      <c r="AC4188"/>
      <c r="AD4188"/>
      <c r="AE4188" t="s">
        <v>7524</v>
      </c>
      <c r="AF4188" t="s">
        <v>7524</v>
      </c>
      <c r="AG4188" t="s">
        <v>92</v>
      </c>
    </row>
    <row r="4189" spans="2:33">
      <c r="B4189" s="14">
        <f>10000000+INDEX(编号表!$B:$B,MATCH(H4189,编号表!$A:$A,0))*100000+INDEX(编号表!$F:$F,MATCH(D4189,编号表!$E:$E,0))*10000+INDEX(编号表!$D:$D,MATCH(AG4189,编号表!$C:$C,0))*1000+F4189</f>
        <v>11814076</v>
      </c>
      <c r="C4189" t="s">
        <v>3681</v>
      </c>
      <c r="D4189" t="s">
        <v>72</v>
      </c>
      <c r="E4189" t="s">
        <v>92</v>
      </c>
      <c r="F4189">
        <v>76</v>
      </c>
      <c r="G4189">
        <v>60</v>
      </c>
      <c r="H4189" t="s">
        <v>7524</v>
      </c>
      <c r="I4189" t="s">
        <v>75</v>
      </c>
      <c r="J4189" t="s">
        <v>201</v>
      </c>
      <c r="K4189">
        <v>1</v>
      </c>
      <c r="L4189" t="s">
        <v>7524</v>
      </c>
      <c r="M4189"/>
      <c r="N4189">
        <v>0</v>
      </c>
      <c r="O4189" t="b">
        <v>1</v>
      </c>
      <c r="P4189"/>
      <c r="Q4189" t="b">
        <v>0</v>
      </c>
      <c r="R4189">
        <v>1</v>
      </c>
      <c r="S4189" t="s">
        <v>77</v>
      </c>
      <c r="T4189">
        <v>999</v>
      </c>
      <c r="U4189" t="s">
        <v>7525</v>
      </c>
      <c r="V4189">
        <f t="shared" si="5"/>
        <v>31814076</v>
      </c>
      <c r="W4189"/>
      <c r="X4189" t="s">
        <v>3682</v>
      </c>
      <c r="Y4189" t="s">
        <v>215</v>
      </c>
      <c r="Z4189">
        <v>20979</v>
      </c>
      <c r="AA4189" t="s">
        <v>3683</v>
      </c>
      <c r="AB4189">
        <v>40001</v>
      </c>
      <c r="AC4189"/>
      <c r="AD4189"/>
      <c r="AE4189" t="s">
        <v>7524</v>
      </c>
      <c r="AF4189" t="s">
        <v>7524</v>
      </c>
      <c r="AG4189" t="s">
        <v>92</v>
      </c>
    </row>
    <row r="4190" spans="2:33">
      <c r="B4190" s="14">
        <f>10000000+INDEX(编号表!$B:$B,MATCH(H4190,编号表!$A:$A,0))*100000+INDEX(编号表!$F:$F,MATCH(D4190,编号表!$E:$E,0))*10000+INDEX(编号表!$D:$D,MATCH(AG4190,编号表!$C:$C,0))*1000+F4190</f>
        <v>11814077</v>
      </c>
      <c r="C4190" t="s">
        <v>3688</v>
      </c>
      <c r="D4190" t="s">
        <v>72</v>
      </c>
      <c r="E4190" t="s">
        <v>92</v>
      </c>
      <c r="F4190">
        <v>77</v>
      </c>
      <c r="G4190">
        <v>60</v>
      </c>
      <c r="H4190" t="s">
        <v>7524</v>
      </c>
      <c r="I4190" t="s">
        <v>75</v>
      </c>
      <c r="J4190" t="s">
        <v>201</v>
      </c>
      <c r="K4190">
        <v>1</v>
      </c>
      <c r="L4190" t="s">
        <v>7524</v>
      </c>
      <c r="M4190"/>
      <c r="N4190">
        <v>0</v>
      </c>
      <c r="O4190" t="b">
        <v>1</v>
      </c>
      <c r="P4190"/>
      <c r="Q4190" t="b">
        <v>0</v>
      </c>
      <c r="R4190">
        <v>1</v>
      </c>
      <c r="S4190" t="s">
        <v>77</v>
      </c>
      <c r="T4190">
        <v>999</v>
      </c>
      <c r="U4190" t="s">
        <v>7525</v>
      </c>
      <c r="V4190">
        <f t="shared" si="5"/>
        <v>31814077</v>
      </c>
      <c r="W4190"/>
      <c r="X4190" t="s">
        <v>3689</v>
      </c>
      <c r="Y4190" t="s">
        <v>215</v>
      </c>
      <c r="Z4190">
        <v>20982</v>
      </c>
      <c r="AA4190" t="s">
        <v>3690</v>
      </c>
      <c r="AB4190">
        <v>40001</v>
      </c>
      <c r="AC4190"/>
      <c r="AD4190"/>
      <c r="AE4190" t="s">
        <v>7524</v>
      </c>
      <c r="AF4190" t="s">
        <v>7524</v>
      </c>
      <c r="AG4190" t="s">
        <v>92</v>
      </c>
    </row>
    <row r="4191" spans="2:33">
      <c r="B4191" s="14">
        <f>10000000+INDEX(编号表!$B:$B,MATCH(H4191,编号表!$A:$A,0))*100000+INDEX(编号表!$F:$F,MATCH(D4191,编号表!$E:$E,0))*10000+INDEX(编号表!$D:$D,MATCH(AG4191,编号表!$C:$C,0))*1000+F4191</f>
        <v>11814078</v>
      </c>
      <c r="C4191" t="s">
        <v>3695</v>
      </c>
      <c r="D4191" t="s">
        <v>72</v>
      </c>
      <c r="E4191" t="s">
        <v>92</v>
      </c>
      <c r="F4191">
        <v>78</v>
      </c>
      <c r="G4191">
        <v>60</v>
      </c>
      <c r="H4191" t="s">
        <v>7524</v>
      </c>
      <c r="I4191" t="s">
        <v>75</v>
      </c>
      <c r="J4191" t="s">
        <v>201</v>
      </c>
      <c r="K4191">
        <v>1</v>
      </c>
      <c r="L4191" t="s">
        <v>7524</v>
      </c>
      <c r="M4191"/>
      <c r="N4191">
        <v>0</v>
      </c>
      <c r="O4191" t="b">
        <v>1</v>
      </c>
      <c r="P4191"/>
      <c r="Q4191" t="b">
        <v>0</v>
      </c>
      <c r="R4191">
        <v>1</v>
      </c>
      <c r="S4191" t="s">
        <v>77</v>
      </c>
      <c r="T4191">
        <v>999</v>
      </c>
      <c r="U4191" t="s">
        <v>7525</v>
      </c>
      <c r="V4191">
        <f t="shared" si="5"/>
        <v>31814078</v>
      </c>
      <c r="W4191"/>
      <c r="X4191" t="s">
        <v>3696</v>
      </c>
      <c r="Y4191" t="s">
        <v>215</v>
      </c>
      <c r="Z4191">
        <v>20985</v>
      </c>
      <c r="AA4191" t="s">
        <v>3697</v>
      </c>
      <c r="AB4191">
        <v>40001</v>
      </c>
      <c r="AC4191"/>
      <c r="AD4191"/>
      <c r="AE4191" t="s">
        <v>7524</v>
      </c>
      <c r="AF4191" t="s">
        <v>7524</v>
      </c>
      <c r="AG4191" t="s">
        <v>92</v>
      </c>
    </row>
    <row r="4192" spans="2:33">
      <c r="B4192" s="14">
        <f>10000000+INDEX(编号表!$B:$B,MATCH(H4192,编号表!$A:$A,0))*100000+INDEX(编号表!$F:$F,MATCH(D4192,编号表!$E:$E,0))*10000+INDEX(编号表!$D:$D,MATCH(AG4192,编号表!$C:$C,0))*1000+F4192</f>
        <v>11814079</v>
      </c>
      <c r="C4192" t="s">
        <v>3702</v>
      </c>
      <c r="D4192" t="s">
        <v>72</v>
      </c>
      <c r="E4192" t="s">
        <v>92</v>
      </c>
      <c r="F4192">
        <v>79</v>
      </c>
      <c r="G4192">
        <v>60</v>
      </c>
      <c r="H4192" t="s">
        <v>7524</v>
      </c>
      <c r="I4192" t="s">
        <v>75</v>
      </c>
      <c r="J4192" t="s">
        <v>201</v>
      </c>
      <c r="K4192">
        <v>1</v>
      </c>
      <c r="L4192" t="s">
        <v>7524</v>
      </c>
      <c r="M4192"/>
      <c r="N4192">
        <v>0</v>
      </c>
      <c r="O4192" t="b">
        <v>1</v>
      </c>
      <c r="P4192"/>
      <c r="Q4192" t="b">
        <v>0</v>
      </c>
      <c r="R4192">
        <v>1</v>
      </c>
      <c r="S4192" t="s">
        <v>77</v>
      </c>
      <c r="T4192">
        <v>999</v>
      </c>
      <c r="U4192" t="s">
        <v>7525</v>
      </c>
      <c r="V4192">
        <f t="shared" si="5"/>
        <v>31814079</v>
      </c>
      <c r="W4192"/>
      <c r="X4192" t="s">
        <v>3703</v>
      </c>
      <c r="Y4192" t="s">
        <v>215</v>
      </c>
      <c r="Z4192">
        <v>20988</v>
      </c>
      <c r="AA4192" t="s">
        <v>3704</v>
      </c>
      <c r="AB4192">
        <v>40001</v>
      </c>
      <c r="AC4192"/>
      <c r="AD4192"/>
      <c r="AE4192" t="s">
        <v>7524</v>
      </c>
      <c r="AF4192" t="s">
        <v>7524</v>
      </c>
      <c r="AG4192" t="s">
        <v>92</v>
      </c>
    </row>
    <row r="4193" spans="2:33">
      <c r="B4193" s="14">
        <f>10000000+INDEX(编号表!$B:$B,MATCH(H4193,编号表!$A:$A,0))*100000+INDEX(编号表!$F:$F,MATCH(D4193,编号表!$E:$E,0))*10000+INDEX(编号表!$D:$D,MATCH(AG4193,编号表!$C:$C,0))*1000+F4193</f>
        <v>11814080</v>
      </c>
      <c r="C4193" t="s">
        <v>3709</v>
      </c>
      <c r="D4193" t="s">
        <v>72</v>
      </c>
      <c r="E4193" t="s">
        <v>92</v>
      </c>
      <c r="F4193">
        <v>80</v>
      </c>
      <c r="G4193">
        <v>60</v>
      </c>
      <c r="H4193" t="s">
        <v>7524</v>
      </c>
      <c r="I4193" t="s">
        <v>75</v>
      </c>
      <c r="J4193" t="s">
        <v>201</v>
      </c>
      <c r="K4193">
        <v>1</v>
      </c>
      <c r="L4193" t="s">
        <v>7524</v>
      </c>
      <c r="M4193"/>
      <c r="N4193">
        <v>0</v>
      </c>
      <c r="O4193" t="b">
        <v>1</v>
      </c>
      <c r="P4193"/>
      <c r="Q4193" t="b">
        <v>0</v>
      </c>
      <c r="R4193">
        <v>1</v>
      </c>
      <c r="S4193" t="s">
        <v>77</v>
      </c>
      <c r="T4193">
        <v>999</v>
      </c>
      <c r="U4193" t="s">
        <v>7525</v>
      </c>
      <c r="V4193">
        <f t="shared" si="5"/>
        <v>31814080</v>
      </c>
      <c r="W4193"/>
      <c r="X4193" t="s">
        <v>3710</v>
      </c>
      <c r="Y4193" t="s">
        <v>215</v>
      </c>
      <c r="Z4193">
        <v>20991</v>
      </c>
      <c r="AA4193" t="s">
        <v>3711</v>
      </c>
      <c r="AB4193">
        <v>40001</v>
      </c>
      <c r="AC4193"/>
      <c r="AD4193"/>
      <c r="AE4193" t="s">
        <v>7524</v>
      </c>
      <c r="AF4193" t="s">
        <v>7524</v>
      </c>
      <c r="AG4193" t="s">
        <v>92</v>
      </c>
    </row>
    <row r="4194" spans="2:33">
      <c r="B4194" s="14">
        <f>10000000+INDEX(编号表!$B:$B,MATCH(H4194,编号表!$A:$A,0))*100000+INDEX(编号表!$F:$F,MATCH(D4194,编号表!$E:$E,0))*10000+INDEX(编号表!$D:$D,MATCH(AG4194,编号表!$C:$C,0))*1000+F4194</f>
        <v>11814081</v>
      </c>
      <c r="C4194" t="s">
        <v>3716</v>
      </c>
      <c r="D4194" t="s">
        <v>72</v>
      </c>
      <c r="E4194" t="s">
        <v>92</v>
      </c>
      <c r="F4194">
        <v>81</v>
      </c>
      <c r="G4194">
        <v>60</v>
      </c>
      <c r="H4194" t="s">
        <v>7524</v>
      </c>
      <c r="I4194" t="s">
        <v>75</v>
      </c>
      <c r="J4194" t="s">
        <v>201</v>
      </c>
      <c r="K4194">
        <v>1</v>
      </c>
      <c r="L4194" t="s">
        <v>7524</v>
      </c>
      <c r="M4194"/>
      <c r="N4194">
        <v>0</v>
      </c>
      <c r="O4194" t="b">
        <v>1</v>
      </c>
      <c r="P4194"/>
      <c r="Q4194" t="b">
        <v>0</v>
      </c>
      <c r="R4194">
        <v>1</v>
      </c>
      <c r="S4194" t="s">
        <v>77</v>
      </c>
      <c r="T4194">
        <v>999</v>
      </c>
      <c r="U4194" t="s">
        <v>7525</v>
      </c>
      <c r="V4194">
        <f t="shared" si="5"/>
        <v>31814081</v>
      </c>
      <c r="W4194"/>
      <c r="X4194" t="s">
        <v>3717</v>
      </c>
      <c r="Y4194" t="s">
        <v>215</v>
      </c>
      <c r="Z4194">
        <v>20994</v>
      </c>
      <c r="AA4194" t="s">
        <v>3718</v>
      </c>
      <c r="AB4194">
        <v>40001</v>
      </c>
      <c r="AC4194"/>
      <c r="AD4194"/>
      <c r="AE4194" t="s">
        <v>7524</v>
      </c>
      <c r="AF4194" t="s">
        <v>7524</v>
      </c>
      <c r="AG4194" t="s">
        <v>92</v>
      </c>
    </row>
    <row r="4195" spans="2:33">
      <c r="B4195" s="14">
        <f>10000000+INDEX(编号表!$B:$B,MATCH(H4195,编号表!$A:$A,0))*100000+INDEX(编号表!$F:$F,MATCH(D4195,编号表!$E:$E,0))*10000+INDEX(编号表!$D:$D,MATCH(AG4195,编号表!$C:$C,0))*1000+F4195</f>
        <v>11814082</v>
      </c>
      <c r="C4195" t="s">
        <v>3723</v>
      </c>
      <c r="D4195" t="s">
        <v>72</v>
      </c>
      <c r="E4195" t="s">
        <v>92</v>
      </c>
      <c r="F4195">
        <v>82</v>
      </c>
      <c r="G4195">
        <v>60</v>
      </c>
      <c r="H4195" t="s">
        <v>7524</v>
      </c>
      <c r="I4195" t="s">
        <v>75</v>
      </c>
      <c r="J4195" t="s">
        <v>201</v>
      </c>
      <c r="K4195">
        <v>1</v>
      </c>
      <c r="L4195" t="s">
        <v>7524</v>
      </c>
      <c r="M4195"/>
      <c r="N4195">
        <v>0</v>
      </c>
      <c r="O4195" t="b">
        <v>1</v>
      </c>
      <c r="P4195"/>
      <c r="Q4195" t="b">
        <v>0</v>
      </c>
      <c r="R4195">
        <v>1</v>
      </c>
      <c r="S4195" t="s">
        <v>77</v>
      </c>
      <c r="T4195">
        <v>999</v>
      </c>
      <c r="U4195" t="s">
        <v>7525</v>
      </c>
      <c r="V4195">
        <f t="shared" si="5"/>
        <v>31814082</v>
      </c>
      <c r="W4195"/>
      <c r="X4195" t="s">
        <v>3724</v>
      </c>
      <c r="Y4195" t="s">
        <v>215</v>
      </c>
      <c r="Z4195">
        <v>20997</v>
      </c>
      <c r="AA4195" t="s">
        <v>3725</v>
      </c>
      <c r="AB4195">
        <v>40001</v>
      </c>
      <c r="AC4195"/>
      <c r="AD4195"/>
      <c r="AE4195" t="s">
        <v>7524</v>
      </c>
      <c r="AF4195" t="s">
        <v>7524</v>
      </c>
      <c r="AG4195" t="s">
        <v>92</v>
      </c>
    </row>
    <row r="4196" spans="2:33">
      <c r="B4196" s="14">
        <f>10000000+INDEX(编号表!$B:$B,MATCH(H4196,编号表!$A:$A,0))*100000+INDEX(编号表!$F:$F,MATCH(D4196,编号表!$E:$E,0))*10000+INDEX(编号表!$D:$D,MATCH(AG4196,编号表!$C:$C,0))*1000+F4196</f>
        <v>11814083</v>
      </c>
      <c r="C4196" t="s">
        <v>3730</v>
      </c>
      <c r="D4196" t="s">
        <v>72</v>
      </c>
      <c r="E4196" t="s">
        <v>92</v>
      </c>
      <c r="F4196">
        <v>83</v>
      </c>
      <c r="G4196">
        <v>60</v>
      </c>
      <c r="H4196" t="s">
        <v>7524</v>
      </c>
      <c r="I4196" t="s">
        <v>75</v>
      </c>
      <c r="J4196" t="s">
        <v>201</v>
      </c>
      <c r="K4196">
        <v>1</v>
      </c>
      <c r="L4196" t="s">
        <v>7524</v>
      </c>
      <c r="M4196"/>
      <c r="N4196">
        <v>0</v>
      </c>
      <c r="O4196" t="b">
        <v>1</v>
      </c>
      <c r="P4196"/>
      <c r="Q4196" t="b">
        <v>0</v>
      </c>
      <c r="R4196">
        <v>1</v>
      </c>
      <c r="S4196" t="s">
        <v>77</v>
      </c>
      <c r="T4196">
        <v>999</v>
      </c>
      <c r="U4196" t="s">
        <v>7525</v>
      </c>
      <c r="V4196">
        <f t="shared" si="5"/>
        <v>31814083</v>
      </c>
      <c r="W4196"/>
      <c r="X4196" t="s">
        <v>3731</v>
      </c>
      <c r="Y4196" t="s">
        <v>215</v>
      </c>
      <c r="Z4196">
        <v>21000</v>
      </c>
      <c r="AA4196" t="s">
        <v>3732</v>
      </c>
      <c r="AB4196">
        <v>40001</v>
      </c>
      <c r="AC4196"/>
      <c r="AD4196"/>
      <c r="AE4196" t="s">
        <v>7524</v>
      </c>
      <c r="AF4196" t="s">
        <v>7524</v>
      </c>
      <c r="AG4196" t="s">
        <v>92</v>
      </c>
    </row>
    <row r="4197" spans="2:33">
      <c r="B4197" s="14">
        <f>10000000+INDEX(编号表!$B:$B,MATCH(H4197,编号表!$A:$A,0))*100000+INDEX(编号表!$F:$F,MATCH(D4197,编号表!$E:$E,0))*10000+INDEX(编号表!$D:$D,MATCH(AG4197,编号表!$C:$C,0))*1000+F4197</f>
        <v>11814084</v>
      </c>
      <c r="C4197" t="s">
        <v>3737</v>
      </c>
      <c r="D4197" t="s">
        <v>72</v>
      </c>
      <c r="E4197" t="s">
        <v>92</v>
      </c>
      <c r="F4197">
        <v>84</v>
      </c>
      <c r="G4197">
        <v>60</v>
      </c>
      <c r="H4197" t="s">
        <v>7524</v>
      </c>
      <c r="I4197" t="s">
        <v>75</v>
      </c>
      <c r="J4197" t="s">
        <v>201</v>
      </c>
      <c r="K4197">
        <v>1</v>
      </c>
      <c r="L4197" t="s">
        <v>7524</v>
      </c>
      <c r="M4197"/>
      <c r="N4197">
        <v>0</v>
      </c>
      <c r="O4197" t="b">
        <v>1</v>
      </c>
      <c r="P4197"/>
      <c r="Q4197" t="b">
        <v>0</v>
      </c>
      <c r="R4197">
        <v>1</v>
      </c>
      <c r="S4197" t="s">
        <v>77</v>
      </c>
      <c r="T4197">
        <v>999</v>
      </c>
      <c r="U4197" t="s">
        <v>7525</v>
      </c>
      <c r="V4197">
        <f t="shared" si="5"/>
        <v>31814084</v>
      </c>
      <c r="W4197"/>
      <c r="X4197" t="s">
        <v>3738</v>
      </c>
      <c r="Y4197" t="s">
        <v>215</v>
      </c>
      <c r="Z4197">
        <v>21003</v>
      </c>
      <c r="AA4197" t="s">
        <v>3739</v>
      </c>
      <c r="AB4197">
        <v>40001</v>
      </c>
      <c r="AC4197"/>
      <c r="AD4197"/>
      <c r="AE4197" t="s">
        <v>7524</v>
      </c>
      <c r="AF4197" t="s">
        <v>7524</v>
      </c>
      <c r="AG4197" t="s">
        <v>92</v>
      </c>
    </row>
    <row r="4198" spans="2:33">
      <c r="B4198" s="14">
        <f>10000000+INDEX(编号表!$B:$B,MATCH(H4198,编号表!$A:$A,0))*100000+INDEX(编号表!$F:$F,MATCH(D4198,编号表!$E:$E,0))*10000+INDEX(编号表!$D:$D,MATCH(AG4198,编号表!$C:$C,0))*1000+F4198</f>
        <v>11814085</v>
      </c>
      <c r="C4198" t="s">
        <v>3744</v>
      </c>
      <c r="D4198" t="s">
        <v>72</v>
      </c>
      <c r="E4198" t="s">
        <v>92</v>
      </c>
      <c r="F4198">
        <v>85</v>
      </c>
      <c r="G4198">
        <v>60</v>
      </c>
      <c r="H4198" t="s">
        <v>7524</v>
      </c>
      <c r="I4198" t="s">
        <v>75</v>
      </c>
      <c r="J4198" t="s">
        <v>201</v>
      </c>
      <c r="K4198">
        <v>1</v>
      </c>
      <c r="L4198" t="s">
        <v>7524</v>
      </c>
      <c r="M4198"/>
      <c r="N4198">
        <v>0</v>
      </c>
      <c r="O4198" t="b">
        <v>1</v>
      </c>
      <c r="P4198"/>
      <c r="Q4198" t="b">
        <v>0</v>
      </c>
      <c r="R4198">
        <v>1</v>
      </c>
      <c r="S4198" t="s">
        <v>77</v>
      </c>
      <c r="T4198">
        <v>999</v>
      </c>
      <c r="U4198" t="s">
        <v>7525</v>
      </c>
      <c r="V4198">
        <f t="shared" si="5"/>
        <v>31814085</v>
      </c>
      <c r="W4198"/>
      <c r="X4198" t="s">
        <v>3745</v>
      </c>
      <c r="Y4198" t="s">
        <v>215</v>
      </c>
      <c r="Z4198">
        <v>21006</v>
      </c>
      <c r="AA4198" t="s">
        <v>3746</v>
      </c>
      <c r="AB4198">
        <v>40001</v>
      </c>
      <c r="AC4198"/>
      <c r="AD4198"/>
      <c r="AE4198" t="s">
        <v>7524</v>
      </c>
      <c r="AF4198" t="s">
        <v>7524</v>
      </c>
      <c r="AG4198" t="s">
        <v>92</v>
      </c>
    </row>
    <row r="4199" spans="2:33">
      <c r="B4199" s="14">
        <f>10000000+INDEX(编号表!$B:$B,MATCH(H4199,编号表!$A:$A,0))*100000+INDEX(编号表!$F:$F,MATCH(D4199,编号表!$E:$E,0))*10000+INDEX(编号表!$D:$D,MATCH(AG4199,编号表!$C:$C,0))*1000+F4199</f>
        <v>11814086</v>
      </c>
      <c r="C4199" t="s">
        <v>3751</v>
      </c>
      <c r="D4199" t="s">
        <v>72</v>
      </c>
      <c r="E4199" t="s">
        <v>92</v>
      </c>
      <c r="F4199">
        <v>86</v>
      </c>
      <c r="G4199">
        <v>60</v>
      </c>
      <c r="H4199" t="s">
        <v>7524</v>
      </c>
      <c r="I4199" t="s">
        <v>75</v>
      </c>
      <c r="J4199" t="s">
        <v>201</v>
      </c>
      <c r="K4199">
        <v>1</v>
      </c>
      <c r="L4199" t="s">
        <v>7524</v>
      </c>
      <c r="M4199"/>
      <c r="N4199">
        <v>0</v>
      </c>
      <c r="O4199" t="b">
        <v>1</v>
      </c>
      <c r="P4199"/>
      <c r="Q4199" t="b">
        <v>0</v>
      </c>
      <c r="R4199">
        <v>1</v>
      </c>
      <c r="S4199" t="s">
        <v>77</v>
      </c>
      <c r="T4199">
        <v>999</v>
      </c>
      <c r="U4199" t="s">
        <v>7525</v>
      </c>
      <c r="V4199">
        <f t="shared" si="5"/>
        <v>31814086</v>
      </c>
      <c r="W4199"/>
      <c r="X4199" t="s">
        <v>3752</v>
      </c>
      <c r="Y4199" t="s">
        <v>215</v>
      </c>
      <c r="Z4199">
        <v>21009</v>
      </c>
      <c r="AA4199" t="s">
        <v>3753</v>
      </c>
      <c r="AB4199">
        <v>40001</v>
      </c>
      <c r="AC4199"/>
      <c r="AD4199"/>
      <c r="AE4199" t="s">
        <v>7524</v>
      </c>
      <c r="AF4199" t="s">
        <v>7524</v>
      </c>
      <c r="AG4199" t="s">
        <v>92</v>
      </c>
    </row>
    <row r="4200" spans="2:33">
      <c r="B4200" s="14">
        <f>10000000+INDEX(编号表!$B:$B,MATCH(H4200,编号表!$A:$A,0))*100000+INDEX(编号表!$F:$F,MATCH(D4200,编号表!$E:$E,0))*10000+INDEX(编号表!$D:$D,MATCH(AG4200,编号表!$C:$C,0))*1000+F4200</f>
        <v>11814087</v>
      </c>
      <c r="C4200" t="s">
        <v>3758</v>
      </c>
      <c r="D4200" t="s">
        <v>72</v>
      </c>
      <c r="E4200" t="s">
        <v>92</v>
      </c>
      <c r="F4200">
        <v>87</v>
      </c>
      <c r="G4200">
        <v>60</v>
      </c>
      <c r="H4200" t="s">
        <v>7524</v>
      </c>
      <c r="I4200" t="s">
        <v>75</v>
      </c>
      <c r="J4200" t="s">
        <v>201</v>
      </c>
      <c r="K4200">
        <v>1</v>
      </c>
      <c r="L4200" t="s">
        <v>7524</v>
      </c>
      <c r="M4200"/>
      <c r="N4200">
        <v>0</v>
      </c>
      <c r="O4200" t="b">
        <v>1</v>
      </c>
      <c r="P4200"/>
      <c r="Q4200" t="b">
        <v>0</v>
      </c>
      <c r="R4200">
        <v>1</v>
      </c>
      <c r="S4200" t="s">
        <v>77</v>
      </c>
      <c r="T4200">
        <v>999</v>
      </c>
      <c r="U4200" t="s">
        <v>7525</v>
      </c>
      <c r="V4200">
        <f t="shared" si="5"/>
        <v>31814087</v>
      </c>
      <c r="W4200"/>
      <c r="X4200" t="s">
        <v>3759</v>
      </c>
      <c r="Y4200" t="s">
        <v>215</v>
      </c>
      <c r="Z4200">
        <v>21012</v>
      </c>
      <c r="AA4200" t="s">
        <v>3760</v>
      </c>
      <c r="AB4200">
        <v>40001</v>
      </c>
      <c r="AC4200"/>
      <c r="AD4200"/>
      <c r="AE4200" t="s">
        <v>7524</v>
      </c>
      <c r="AF4200" t="s">
        <v>7524</v>
      </c>
      <c r="AG4200" t="s">
        <v>92</v>
      </c>
    </row>
    <row r="4201" spans="2:33">
      <c r="B4201" s="14">
        <f>10000000+INDEX(编号表!$B:$B,MATCH(H4201,编号表!$A:$A,0))*100000+INDEX(编号表!$F:$F,MATCH(D4201,编号表!$E:$E,0))*10000+INDEX(编号表!$D:$D,MATCH(AG4201,编号表!$C:$C,0))*1000+F4201</f>
        <v>11814088</v>
      </c>
      <c r="C4201" t="s">
        <v>3765</v>
      </c>
      <c r="D4201" t="s">
        <v>72</v>
      </c>
      <c r="E4201" t="s">
        <v>92</v>
      </c>
      <c r="F4201">
        <v>88</v>
      </c>
      <c r="G4201">
        <v>60</v>
      </c>
      <c r="H4201" t="s">
        <v>7524</v>
      </c>
      <c r="I4201" t="s">
        <v>75</v>
      </c>
      <c r="J4201" t="s">
        <v>201</v>
      </c>
      <c r="K4201">
        <v>1</v>
      </c>
      <c r="L4201" t="s">
        <v>7524</v>
      </c>
      <c r="M4201"/>
      <c r="N4201">
        <v>0</v>
      </c>
      <c r="O4201" t="b">
        <v>1</v>
      </c>
      <c r="P4201"/>
      <c r="Q4201" t="b">
        <v>0</v>
      </c>
      <c r="R4201">
        <v>1</v>
      </c>
      <c r="S4201" t="s">
        <v>77</v>
      </c>
      <c r="T4201">
        <v>999</v>
      </c>
      <c r="U4201" t="s">
        <v>7525</v>
      </c>
      <c r="V4201">
        <f t="shared" si="5"/>
        <v>31814088</v>
      </c>
      <c r="W4201"/>
      <c r="X4201" t="s">
        <v>3766</v>
      </c>
      <c r="Y4201" t="s">
        <v>215</v>
      </c>
      <c r="Z4201">
        <v>21015</v>
      </c>
      <c r="AA4201" t="s">
        <v>3767</v>
      </c>
      <c r="AB4201">
        <v>40001</v>
      </c>
      <c r="AC4201"/>
      <c r="AD4201"/>
      <c r="AE4201" t="s">
        <v>7524</v>
      </c>
      <c r="AF4201" t="s">
        <v>7524</v>
      </c>
      <c r="AG4201" t="s">
        <v>92</v>
      </c>
    </row>
    <row r="4202" spans="2:33">
      <c r="B4202" s="14">
        <f>10000000+INDEX(编号表!$B:$B,MATCH(H4202,编号表!$A:$A,0))*100000+INDEX(编号表!$F:$F,MATCH(D4202,编号表!$E:$E,0))*10000+INDEX(编号表!$D:$D,MATCH(AG4202,编号表!$C:$C,0))*1000+F4202</f>
        <v>11814089</v>
      </c>
      <c r="C4202" t="s">
        <v>3772</v>
      </c>
      <c r="D4202" t="s">
        <v>72</v>
      </c>
      <c r="E4202" t="s">
        <v>92</v>
      </c>
      <c r="F4202">
        <v>89</v>
      </c>
      <c r="G4202">
        <v>60</v>
      </c>
      <c r="H4202" t="s">
        <v>7524</v>
      </c>
      <c r="I4202" t="s">
        <v>75</v>
      </c>
      <c r="J4202" t="s">
        <v>201</v>
      </c>
      <c r="K4202">
        <v>1</v>
      </c>
      <c r="L4202" t="s">
        <v>7524</v>
      </c>
      <c r="M4202"/>
      <c r="N4202">
        <v>0</v>
      </c>
      <c r="O4202" t="b">
        <v>1</v>
      </c>
      <c r="P4202"/>
      <c r="Q4202" t="b">
        <v>0</v>
      </c>
      <c r="R4202">
        <v>1</v>
      </c>
      <c r="S4202" t="s">
        <v>77</v>
      </c>
      <c r="T4202">
        <v>999</v>
      </c>
      <c r="U4202" t="s">
        <v>7525</v>
      </c>
      <c r="V4202">
        <f t="shared" si="5"/>
        <v>31814089</v>
      </c>
      <c r="W4202"/>
      <c r="X4202" t="s">
        <v>3773</v>
      </c>
      <c r="Y4202" t="s">
        <v>215</v>
      </c>
      <c r="Z4202">
        <v>21018</v>
      </c>
      <c r="AA4202" t="s">
        <v>3774</v>
      </c>
      <c r="AB4202">
        <v>40001</v>
      </c>
      <c r="AC4202"/>
      <c r="AD4202"/>
      <c r="AE4202" t="s">
        <v>7524</v>
      </c>
      <c r="AF4202" t="s">
        <v>7524</v>
      </c>
      <c r="AG4202" t="s">
        <v>92</v>
      </c>
    </row>
    <row r="4203" spans="2:33">
      <c r="B4203" s="14">
        <f>10000000+INDEX(编号表!$B:$B,MATCH(H4203,编号表!$A:$A,0))*100000+INDEX(编号表!$F:$F,MATCH(D4203,编号表!$E:$E,0))*10000+INDEX(编号表!$D:$D,MATCH(AG4203,编号表!$C:$C,0))*1000+F4203</f>
        <v>11814090</v>
      </c>
      <c r="C4203" t="s">
        <v>3779</v>
      </c>
      <c r="D4203" t="s">
        <v>72</v>
      </c>
      <c r="E4203" t="s">
        <v>92</v>
      </c>
      <c r="F4203">
        <v>90</v>
      </c>
      <c r="G4203">
        <v>60</v>
      </c>
      <c r="H4203" t="s">
        <v>7524</v>
      </c>
      <c r="I4203" t="s">
        <v>75</v>
      </c>
      <c r="J4203" t="s">
        <v>201</v>
      </c>
      <c r="K4203">
        <v>1</v>
      </c>
      <c r="L4203" t="s">
        <v>7524</v>
      </c>
      <c r="M4203"/>
      <c r="N4203">
        <v>0</v>
      </c>
      <c r="O4203" t="b">
        <v>1</v>
      </c>
      <c r="P4203"/>
      <c r="Q4203" t="b">
        <v>0</v>
      </c>
      <c r="R4203">
        <v>1</v>
      </c>
      <c r="S4203" t="s">
        <v>77</v>
      </c>
      <c r="T4203">
        <v>999</v>
      </c>
      <c r="U4203" t="s">
        <v>7525</v>
      </c>
      <c r="V4203">
        <f t="shared" si="5"/>
        <v>31814090</v>
      </c>
      <c r="W4203"/>
      <c r="X4203" t="s">
        <v>3780</v>
      </c>
      <c r="Y4203" t="s">
        <v>215</v>
      </c>
      <c r="Z4203">
        <v>21021</v>
      </c>
      <c r="AA4203" t="s">
        <v>3781</v>
      </c>
      <c r="AB4203">
        <v>40001</v>
      </c>
      <c r="AC4203"/>
      <c r="AD4203"/>
      <c r="AE4203" t="s">
        <v>7524</v>
      </c>
      <c r="AF4203" t="s">
        <v>7524</v>
      </c>
      <c r="AG4203" t="s">
        <v>92</v>
      </c>
    </row>
    <row r="4204" spans="2:33">
      <c r="B4204" s="14">
        <f>10000000+INDEX(编号表!$B:$B,MATCH(H4204,编号表!$A:$A,0))*100000+INDEX(编号表!$F:$F,MATCH(D4204,编号表!$E:$E,0))*10000+INDEX(编号表!$D:$D,MATCH(AG4204,编号表!$C:$C,0))*1000+F4204</f>
        <v>11814091</v>
      </c>
      <c r="C4204" t="s">
        <v>3786</v>
      </c>
      <c r="D4204" t="s">
        <v>72</v>
      </c>
      <c r="E4204" t="s">
        <v>92</v>
      </c>
      <c r="F4204">
        <v>91</v>
      </c>
      <c r="G4204">
        <v>60</v>
      </c>
      <c r="H4204" t="s">
        <v>7524</v>
      </c>
      <c r="I4204" t="s">
        <v>75</v>
      </c>
      <c r="J4204" t="s">
        <v>201</v>
      </c>
      <c r="K4204">
        <v>1</v>
      </c>
      <c r="L4204" t="s">
        <v>7524</v>
      </c>
      <c r="M4204"/>
      <c r="N4204">
        <v>0</v>
      </c>
      <c r="O4204" t="b">
        <v>1</v>
      </c>
      <c r="P4204"/>
      <c r="Q4204" t="b">
        <v>0</v>
      </c>
      <c r="R4204">
        <v>1</v>
      </c>
      <c r="S4204" t="s">
        <v>77</v>
      </c>
      <c r="T4204">
        <v>999</v>
      </c>
      <c r="U4204" t="s">
        <v>7525</v>
      </c>
      <c r="V4204">
        <f t="shared" si="5"/>
        <v>31814091</v>
      </c>
      <c r="W4204"/>
      <c r="X4204" t="s">
        <v>3787</v>
      </c>
      <c r="Y4204" t="s">
        <v>215</v>
      </c>
      <c r="Z4204">
        <v>21024</v>
      </c>
      <c r="AA4204" t="s">
        <v>3788</v>
      </c>
      <c r="AB4204">
        <v>40001</v>
      </c>
      <c r="AC4204"/>
      <c r="AD4204"/>
      <c r="AE4204" t="s">
        <v>7524</v>
      </c>
      <c r="AF4204" t="s">
        <v>7524</v>
      </c>
      <c r="AG4204" t="s">
        <v>92</v>
      </c>
    </row>
    <row r="4205" spans="2:33">
      <c r="B4205" s="14">
        <f>10000000+INDEX(编号表!$B:$B,MATCH(H4205,编号表!$A:$A,0))*100000+INDEX(编号表!$F:$F,MATCH(D4205,编号表!$E:$E,0))*10000+INDEX(编号表!$D:$D,MATCH(AG4205,编号表!$C:$C,0))*1000+F4205</f>
        <v>11814092</v>
      </c>
      <c r="C4205" t="s">
        <v>3793</v>
      </c>
      <c r="D4205" t="s">
        <v>72</v>
      </c>
      <c r="E4205" t="s">
        <v>92</v>
      </c>
      <c r="F4205">
        <v>92</v>
      </c>
      <c r="G4205">
        <v>60</v>
      </c>
      <c r="H4205" t="s">
        <v>7524</v>
      </c>
      <c r="I4205" t="s">
        <v>75</v>
      </c>
      <c r="J4205" t="s">
        <v>201</v>
      </c>
      <c r="K4205">
        <v>1</v>
      </c>
      <c r="L4205" t="s">
        <v>7524</v>
      </c>
      <c r="M4205"/>
      <c r="N4205">
        <v>0</v>
      </c>
      <c r="O4205" t="b">
        <v>1</v>
      </c>
      <c r="P4205"/>
      <c r="Q4205" t="b">
        <v>0</v>
      </c>
      <c r="R4205">
        <v>1</v>
      </c>
      <c r="S4205" t="s">
        <v>77</v>
      </c>
      <c r="T4205">
        <v>999</v>
      </c>
      <c r="U4205" t="s">
        <v>7525</v>
      </c>
      <c r="V4205">
        <f t="shared" si="5"/>
        <v>31814092</v>
      </c>
      <c r="W4205"/>
      <c r="X4205" t="s">
        <v>3794</v>
      </c>
      <c r="Y4205" t="s">
        <v>215</v>
      </c>
      <c r="Z4205">
        <v>21027</v>
      </c>
      <c r="AA4205" t="s">
        <v>3795</v>
      </c>
      <c r="AB4205">
        <v>40001</v>
      </c>
      <c r="AC4205"/>
      <c r="AD4205"/>
      <c r="AE4205" t="s">
        <v>7524</v>
      </c>
      <c r="AF4205" t="s">
        <v>7524</v>
      </c>
      <c r="AG4205" t="s">
        <v>92</v>
      </c>
    </row>
    <row r="4206" spans="2:33">
      <c r="B4206" s="14">
        <f>10000000+INDEX(编号表!$B:$B,MATCH(H4206,编号表!$A:$A,0))*100000+INDEX(编号表!$F:$F,MATCH(D4206,编号表!$E:$E,0))*10000+INDEX(编号表!$D:$D,MATCH(AG4206,编号表!$C:$C,0))*1000+F4206</f>
        <v>11814093</v>
      </c>
      <c r="C4206" t="s">
        <v>3800</v>
      </c>
      <c r="D4206" t="s">
        <v>72</v>
      </c>
      <c r="E4206" t="s">
        <v>92</v>
      </c>
      <c r="F4206">
        <v>93</v>
      </c>
      <c r="G4206">
        <v>60</v>
      </c>
      <c r="H4206" t="s">
        <v>7524</v>
      </c>
      <c r="I4206" t="s">
        <v>75</v>
      </c>
      <c r="J4206" t="s">
        <v>201</v>
      </c>
      <c r="K4206">
        <v>1</v>
      </c>
      <c r="L4206" t="s">
        <v>7524</v>
      </c>
      <c r="M4206"/>
      <c r="N4206">
        <v>0</v>
      </c>
      <c r="O4206" t="b">
        <v>1</v>
      </c>
      <c r="P4206"/>
      <c r="Q4206" t="b">
        <v>0</v>
      </c>
      <c r="R4206">
        <v>1</v>
      </c>
      <c r="S4206" t="s">
        <v>77</v>
      </c>
      <c r="T4206">
        <v>999</v>
      </c>
      <c r="U4206" t="s">
        <v>7525</v>
      </c>
      <c r="V4206">
        <f t="shared" si="5"/>
        <v>31814093</v>
      </c>
      <c r="W4206"/>
      <c r="X4206" t="s">
        <v>3801</v>
      </c>
      <c r="Y4206" t="s">
        <v>215</v>
      </c>
      <c r="Z4206">
        <v>21030</v>
      </c>
      <c r="AA4206" t="s">
        <v>3802</v>
      </c>
      <c r="AB4206">
        <v>40001</v>
      </c>
      <c r="AC4206"/>
      <c r="AD4206"/>
      <c r="AE4206" t="s">
        <v>7524</v>
      </c>
      <c r="AF4206" t="s">
        <v>7524</v>
      </c>
      <c r="AG4206" t="s">
        <v>92</v>
      </c>
    </row>
    <row r="4207" spans="2:33">
      <c r="B4207" s="14">
        <f>10000000+INDEX(编号表!$B:$B,MATCH(H4207,编号表!$A:$A,0))*100000+INDEX(编号表!$F:$F,MATCH(D4207,编号表!$E:$E,0))*10000+INDEX(编号表!$D:$D,MATCH(AG4207,编号表!$C:$C,0))*1000+F4207</f>
        <v>11814094</v>
      </c>
      <c r="C4207" t="s">
        <v>3807</v>
      </c>
      <c r="D4207" t="s">
        <v>72</v>
      </c>
      <c r="E4207" t="s">
        <v>92</v>
      </c>
      <c r="F4207">
        <v>94</v>
      </c>
      <c r="G4207">
        <v>60</v>
      </c>
      <c r="H4207" t="s">
        <v>7524</v>
      </c>
      <c r="I4207" t="s">
        <v>75</v>
      </c>
      <c r="J4207" t="s">
        <v>201</v>
      </c>
      <c r="K4207">
        <v>1</v>
      </c>
      <c r="L4207" t="s">
        <v>7524</v>
      </c>
      <c r="M4207"/>
      <c r="N4207">
        <v>0</v>
      </c>
      <c r="O4207" t="b">
        <v>1</v>
      </c>
      <c r="P4207"/>
      <c r="Q4207" t="b">
        <v>0</v>
      </c>
      <c r="R4207">
        <v>1</v>
      </c>
      <c r="S4207" t="s">
        <v>77</v>
      </c>
      <c r="T4207">
        <v>999</v>
      </c>
      <c r="U4207" t="s">
        <v>7525</v>
      </c>
      <c r="V4207">
        <f t="shared" si="5"/>
        <v>31814094</v>
      </c>
      <c r="W4207"/>
      <c r="X4207" t="s">
        <v>3808</v>
      </c>
      <c r="Y4207" t="s">
        <v>215</v>
      </c>
      <c r="Z4207">
        <v>21033</v>
      </c>
      <c r="AA4207" t="s">
        <v>3809</v>
      </c>
      <c r="AB4207">
        <v>40001</v>
      </c>
      <c r="AC4207"/>
      <c r="AD4207"/>
      <c r="AE4207" t="s">
        <v>7524</v>
      </c>
      <c r="AF4207" t="s">
        <v>7524</v>
      </c>
      <c r="AG4207" t="s">
        <v>92</v>
      </c>
    </row>
    <row r="4208" spans="2:33">
      <c r="B4208" s="14">
        <f>10000000+INDEX(编号表!$B:$B,MATCH(H4208,编号表!$A:$A,0))*100000+INDEX(编号表!$F:$F,MATCH(D4208,编号表!$E:$E,0))*10000+INDEX(编号表!$D:$D,MATCH(AG4208,编号表!$C:$C,0))*1000+F4208</f>
        <v>11814095</v>
      </c>
      <c r="C4208" t="s">
        <v>3814</v>
      </c>
      <c r="D4208" t="s">
        <v>72</v>
      </c>
      <c r="E4208" t="s">
        <v>92</v>
      </c>
      <c r="F4208">
        <v>95</v>
      </c>
      <c r="G4208">
        <v>60</v>
      </c>
      <c r="H4208" t="s">
        <v>7524</v>
      </c>
      <c r="I4208" t="s">
        <v>75</v>
      </c>
      <c r="J4208" t="s">
        <v>201</v>
      </c>
      <c r="K4208">
        <v>1</v>
      </c>
      <c r="L4208" t="s">
        <v>7524</v>
      </c>
      <c r="M4208"/>
      <c r="N4208">
        <v>0</v>
      </c>
      <c r="O4208" t="b">
        <v>1</v>
      </c>
      <c r="P4208"/>
      <c r="Q4208" t="b">
        <v>0</v>
      </c>
      <c r="R4208">
        <v>1</v>
      </c>
      <c r="S4208" t="s">
        <v>77</v>
      </c>
      <c r="T4208">
        <v>999</v>
      </c>
      <c r="U4208" t="s">
        <v>7525</v>
      </c>
      <c r="V4208">
        <f t="shared" si="5"/>
        <v>31814095</v>
      </c>
      <c r="W4208"/>
      <c r="X4208" t="s">
        <v>3815</v>
      </c>
      <c r="Y4208" t="s">
        <v>215</v>
      </c>
      <c r="Z4208">
        <v>21036</v>
      </c>
      <c r="AA4208" t="s">
        <v>3816</v>
      </c>
      <c r="AB4208">
        <v>40001</v>
      </c>
      <c r="AC4208"/>
      <c r="AD4208"/>
      <c r="AE4208" t="s">
        <v>7524</v>
      </c>
      <c r="AF4208" t="s">
        <v>7524</v>
      </c>
      <c r="AG4208" t="s">
        <v>92</v>
      </c>
    </row>
    <row r="4209" spans="2:33">
      <c r="B4209" s="14">
        <f>10000000+INDEX(编号表!$B:$B,MATCH(H4209,编号表!$A:$A,0))*100000+INDEX(编号表!$F:$F,MATCH(D4209,编号表!$E:$E,0))*10000+INDEX(编号表!$D:$D,MATCH(AG4209,编号表!$C:$C,0))*1000+F4209</f>
        <v>11814096</v>
      </c>
      <c r="C4209" t="s">
        <v>3821</v>
      </c>
      <c r="D4209" t="s">
        <v>72</v>
      </c>
      <c r="E4209" t="s">
        <v>92</v>
      </c>
      <c r="F4209">
        <v>96</v>
      </c>
      <c r="G4209">
        <v>60</v>
      </c>
      <c r="H4209" t="s">
        <v>7524</v>
      </c>
      <c r="I4209" t="s">
        <v>75</v>
      </c>
      <c r="J4209" t="s">
        <v>201</v>
      </c>
      <c r="K4209">
        <v>1</v>
      </c>
      <c r="L4209" t="s">
        <v>7524</v>
      </c>
      <c r="M4209"/>
      <c r="N4209">
        <v>0</v>
      </c>
      <c r="O4209" t="b">
        <v>1</v>
      </c>
      <c r="P4209"/>
      <c r="Q4209" t="b">
        <v>0</v>
      </c>
      <c r="R4209">
        <v>1</v>
      </c>
      <c r="S4209" t="s">
        <v>77</v>
      </c>
      <c r="T4209">
        <v>999</v>
      </c>
      <c r="U4209" t="s">
        <v>7525</v>
      </c>
      <c r="V4209">
        <f t="shared" si="5"/>
        <v>31814096</v>
      </c>
      <c r="W4209"/>
      <c r="X4209" t="s">
        <v>3822</v>
      </c>
      <c r="Y4209" t="s">
        <v>215</v>
      </c>
      <c r="Z4209">
        <v>21039</v>
      </c>
      <c r="AA4209" t="s">
        <v>3823</v>
      </c>
      <c r="AB4209">
        <v>40001</v>
      </c>
      <c r="AC4209"/>
      <c r="AD4209"/>
      <c r="AE4209" t="s">
        <v>7524</v>
      </c>
      <c r="AF4209" t="s">
        <v>7524</v>
      </c>
      <c r="AG4209" t="s">
        <v>92</v>
      </c>
    </row>
    <row r="4210" spans="2:33">
      <c r="B4210" s="14">
        <f>10000000+INDEX(编号表!$B:$B,MATCH(H4210,编号表!$A:$A,0))*100000+INDEX(编号表!$F:$F,MATCH(D4210,编号表!$E:$E,0))*10000+INDEX(编号表!$D:$D,MATCH(AG4210,编号表!$C:$C,0))*1000+F4210</f>
        <v>11814097</v>
      </c>
      <c r="C4210" t="s">
        <v>3828</v>
      </c>
      <c r="D4210" t="s">
        <v>72</v>
      </c>
      <c r="E4210" t="s">
        <v>92</v>
      </c>
      <c r="F4210">
        <v>97</v>
      </c>
      <c r="G4210">
        <v>60</v>
      </c>
      <c r="H4210" t="s">
        <v>7524</v>
      </c>
      <c r="I4210" t="s">
        <v>75</v>
      </c>
      <c r="J4210" t="s">
        <v>201</v>
      </c>
      <c r="K4210">
        <v>1</v>
      </c>
      <c r="L4210" t="s">
        <v>7524</v>
      </c>
      <c r="M4210"/>
      <c r="N4210">
        <v>0</v>
      </c>
      <c r="O4210" t="b">
        <v>1</v>
      </c>
      <c r="P4210"/>
      <c r="Q4210" t="b">
        <v>0</v>
      </c>
      <c r="R4210">
        <v>1</v>
      </c>
      <c r="S4210" t="s">
        <v>77</v>
      </c>
      <c r="T4210">
        <v>999</v>
      </c>
      <c r="U4210" t="s">
        <v>7525</v>
      </c>
      <c r="V4210">
        <f t="shared" si="5"/>
        <v>31814097</v>
      </c>
      <c r="W4210"/>
      <c r="X4210" t="s">
        <v>3829</v>
      </c>
      <c r="Y4210" t="s">
        <v>215</v>
      </c>
      <c r="Z4210">
        <v>21042</v>
      </c>
      <c r="AA4210" t="s">
        <v>3830</v>
      </c>
      <c r="AB4210">
        <v>40001</v>
      </c>
      <c r="AC4210"/>
      <c r="AD4210"/>
      <c r="AE4210" t="s">
        <v>7524</v>
      </c>
      <c r="AF4210" t="s">
        <v>7524</v>
      </c>
      <c r="AG4210" t="s">
        <v>92</v>
      </c>
    </row>
    <row r="4211" spans="2:33">
      <c r="B4211" s="14">
        <f>10000000+INDEX(编号表!$B:$B,MATCH(H4211,编号表!$A:$A,0))*100000+INDEX(编号表!$F:$F,MATCH(D4211,编号表!$E:$E,0))*10000+INDEX(编号表!$D:$D,MATCH(AG4211,编号表!$C:$C,0))*1000+F4211</f>
        <v>11814098</v>
      </c>
      <c r="C4211" t="s">
        <v>3835</v>
      </c>
      <c r="D4211" t="s">
        <v>72</v>
      </c>
      <c r="E4211" t="s">
        <v>92</v>
      </c>
      <c r="F4211">
        <v>98</v>
      </c>
      <c r="G4211">
        <v>60</v>
      </c>
      <c r="H4211" t="s">
        <v>7524</v>
      </c>
      <c r="I4211" t="s">
        <v>75</v>
      </c>
      <c r="J4211" t="s">
        <v>201</v>
      </c>
      <c r="K4211">
        <v>1</v>
      </c>
      <c r="L4211" t="s">
        <v>7524</v>
      </c>
      <c r="M4211"/>
      <c r="N4211">
        <v>0</v>
      </c>
      <c r="O4211" t="b">
        <v>1</v>
      </c>
      <c r="P4211"/>
      <c r="Q4211" t="b">
        <v>0</v>
      </c>
      <c r="R4211">
        <v>1</v>
      </c>
      <c r="S4211" t="s">
        <v>77</v>
      </c>
      <c r="T4211">
        <v>999</v>
      </c>
      <c r="U4211" t="s">
        <v>7525</v>
      </c>
      <c r="V4211">
        <f t="shared" si="5"/>
        <v>31814098</v>
      </c>
      <c r="W4211"/>
      <c r="X4211" t="s">
        <v>3836</v>
      </c>
      <c r="Y4211" t="s">
        <v>215</v>
      </c>
      <c r="Z4211">
        <v>21045</v>
      </c>
      <c r="AA4211" t="s">
        <v>3837</v>
      </c>
      <c r="AB4211">
        <v>40001</v>
      </c>
      <c r="AC4211"/>
      <c r="AD4211"/>
      <c r="AE4211" t="s">
        <v>7524</v>
      </c>
      <c r="AF4211" t="s">
        <v>7524</v>
      </c>
      <c r="AG4211" t="s">
        <v>92</v>
      </c>
    </row>
    <row r="4212" spans="2:33">
      <c r="B4212" s="14">
        <f>10000000+INDEX(编号表!$B:$B,MATCH(H4212,编号表!$A:$A,0))*100000+INDEX(编号表!$F:$F,MATCH(D4212,编号表!$E:$E,0))*10000+INDEX(编号表!$D:$D,MATCH(AG4212,编号表!$C:$C,0))*1000+F4212</f>
        <v>11814099</v>
      </c>
      <c r="C4212" t="s">
        <v>3842</v>
      </c>
      <c r="D4212" t="s">
        <v>72</v>
      </c>
      <c r="E4212" t="s">
        <v>92</v>
      </c>
      <c r="F4212">
        <v>99</v>
      </c>
      <c r="G4212">
        <v>60</v>
      </c>
      <c r="H4212" t="s">
        <v>7524</v>
      </c>
      <c r="I4212" t="s">
        <v>75</v>
      </c>
      <c r="J4212" t="s">
        <v>201</v>
      </c>
      <c r="K4212">
        <v>1</v>
      </c>
      <c r="L4212" t="s">
        <v>7524</v>
      </c>
      <c r="M4212"/>
      <c r="N4212">
        <v>0</v>
      </c>
      <c r="O4212" t="b">
        <v>1</v>
      </c>
      <c r="P4212"/>
      <c r="Q4212" t="b">
        <v>0</v>
      </c>
      <c r="R4212">
        <v>1</v>
      </c>
      <c r="S4212" t="s">
        <v>77</v>
      </c>
      <c r="T4212">
        <v>999</v>
      </c>
      <c r="U4212" t="s">
        <v>7525</v>
      </c>
      <c r="V4212">
        <f t="shared" si="5"/>
        <v>31814099</v>
      </c>
      <c r="W4212"/>
      <c r="X4212" t="s">
        <v>3843</v>
      </c>
      <c r="Y4212" t="s">
        <v>215</v>
      </c>
      <c r="Z4212">
        <v>21048</v>
      </c>
      <c r="AA4212" t="s">
        <v>3844</v>
      </c>
      <c r="AB4212">
        <v>40001</v>
      </c>
      <c r="AC4212"/>
      <c r="AD4212"/>
      <c r="AE4212" t="s">
        <v>7524</v>
      </c>
      <c r="AF4212" t="s">
        <v>7524</v>
      </c>
      <c r="AG4212" t="s">
        <v>92</v>
      </c>
    </row>
    <row r="4213" spans="2:33">
      <c r="B4213" s="14">
        <f>10000000+INDEX(编号表!$B:$B,MATCH(H4213,编号表!$A:$A,0))*100000+INDEX(编号表!$F:$F,MATCH(D4213,编号表!$E:$E,0))*10000+INDEX(编号表!$D:$D,MATCH(AG4213,编号表!$C:$C,0))*1000+F4213</f>
        <v>11814100</v>
      </c>
      <c r="C4213" t="s">
        <v>3849</v>
      </c>
      <c r="D4213" t="s">
        <v>72</v>
      </c>
      <c r="E4213" t="s">
        <v>92</v>
      </c>
      <c r="F4213">
        <v>100</v>
      </c>
      <c r="G4213">
        <v>60</v>
      </c>
      <c r="H4213" t="s">
        <v>7524</v>
      </c>
      <c r="I4213" t="s">
        <v>75</v>
      </c>
      <c r="J4213" t="s">
        <v>201</v>
      </c>
      <c r="K4213">
        <v>1</v>
      </c>
      <c r="L4213" t="s">
        <v>7524</v>
      </c>
      <c r="M4213"/>
      <c r="N4213">
        <v>0</v>
      </c>
      <c r="O4213" t="b">
        <v>1</v>
      </c>
      <c r="P4213"/>
      <c r="Q4213" t="b">
        <v>0</v>
      </c>
      <c r="R4213">
        <v>1</v>
      </c>
      <c r="S4213" t="s">
        <v>77</v>
      </c>
      <c r="T4213">
        <v>999</v>
      </c>
      <c r="U4213" t="s">
        <v>7525</v>
      </c>
      <c r="V4213">
        <f t="shared" si="5"/>
        <v>31814100</v>
      </c>
      <c r="W4213"/>
      <c r="X4213" t="s">
        <v>3850</v>
      </c>
      <c r="Y4213" t="s">
        <v>215</v>
      </c>
      <c r="Z4213">
        <v>21051</v>
      </c>
      <c r="AA4213" t="s">
        <v>3851</v>
      </c>
      <c r="AB4213">
        <v>40001</v>
      </c>
      <c r="AC4213"/>
      <c r="AD4213"/>
      <c r="AE4213" t="s">
        <v>7524</v>
      </c>
      <c r="AF4213" t="s">
        <v>7524</v>
      </c>
      <c r="AG4213" t="s">
        <v>92</v>
      </c>
    </row>
    <row r="4214" spans="2:33">
      <c r="B4214" s="14">
        <f>10000000+INDEX(编号表!$B:$B,MATCH(H4214,编号表!$A:$A,0))*100000+INDEX(编号表!$F:$F,MATCH(D4214,编号表!$E:$E,0))*10000+INDEX(编号表!$D:$D,MATCH(AG4214,编号表!$C:$C,0))*1000+F4214</f>
        <v>11814101</v>
      </c>
      <c r="C4214" t="s">
        <v>3856</v>
      </c>
      <c r="D4214" t="s">
        <v>72</v>
      </c>
      <c r="E4214" t="s">
        <v>92</v>
      </c>
      <c r="F4214">
        <v>101</v>
      </c>
      <c r="G4214">
        <v>60</v>
      </c>
      <c r="H4214" t="s">
        <v>7524</v>
      </c>
      <c r="I4214" t="s">
        <v>75</v>
      </c>
      <c r="J4214" t="s">
        <v>201</v>
      </c>
      <c r="K4214">
        <v>1</v>
      </c>
      <c r="L4214" t="s">
        <v>7524</v>
      </c>
      <c r="M4214"/>
      <c r="N4214">
        <v>0</v>
      </c>
      <c r="O4214" t="b">
        <v>1</v>
      </c>
      <c r="P4214"/>
      <c r="Q4214" t="b">
        <v>0</v>
      </c>
      <c r="R4214">
        <v>1</v>
      </c>
      <c r="S4214" t="s">
        <v>77</v>
      </c>
      <c r="T4214">
        <v>999</v>
      </c>
      <c r="U4214" t="s">
        <v>7525</v>
      </c>
      <c r="V4214">
        <f t="shared" si="5"/>
        <v>31814101</v>
      </c>
      <c r="W4214"/>
      <c r="X4214" t="s">
        <v>3857</v>
      </c>
      <c r="Y4214" t="s">
        <v>215</v>
      </c>
      <c r="Z4214">
        <v>21054</v>
      </c>
      <c r="AA4214" t="s">
        <v>3858</v>
      </c>
      <c r="AB4214">
        <v>40001</v>
      </c>
      <c r="AC4214"/>
      <c r="AD4214"/>
      <c r="AE4214" t="s">
        <v>7524</v>
      </c>
      <c r="AF4214" t="s">
        <v>7524</v>
      </c>
      <c r="AG4214" t="s">
        <v>92</v>
      </c>
    </row>
    <row r="4215" spans="2:33">
      <c r="B4215" s="14">
        <f>10000000+INDEX(编号表!$B:$B,MATCH(H4215,编号表!$A:$A,0))*100000+INDEX(编号表!$F:$F,MATCH(D4215,编号表!$E:$E,0))*10000+INDEX(编号表!$D:$D,MATCH(AG4215,编号表!$C:$C,0))*1000+F4215</f>
        <v>11814102</v>
      </c>
      <c r="C4215" t="s">
        <v>3863</v>
      </c>
      <c r="D4215" t="s">
        <v>72</v>
      </c>
      <c r="E4215" t="s">
        <v>92</v>
      </c>
      <c r="F4215">
        <v>102</v>
      </c>
      <c r="G4215">
        <v>60</v>
      </c>
      <c r="H4215" t="s">
        <v>7524</v>
      </c>
      <c r="I4215" t="s">
        <v>75</v>
      </c>
      <c r="J4215" t="s">
        <v>201</v>
      </c>
      <c r="K4215">
        <v>1</v>
      </c>
      <c r="L4215" t="s">
        <v>7524</v>
      </c>
      <c r="M4215"/>
      <c r="N4215">
        <v>0</v>
      </c>
      <c r="O4215" t="b">
        <v>1</v>
      </c>
      <c r="P4215"/>
      <c r="Q4215" t="b">
        <v>0</v>
      </c>
      <c r="R4215">
        <v>1</v>
      </c>
      <c r="S4215" t="s">
        <v>77</v>
      </c>
      <c r="T4215">
        <v>999</v>
      </c>
      <c r="U4215" t="s">
        <v>7525</v>
      </c>
      <c r="V4215">
        <f t="shared" si="5"/>
        <v>31814102</v>
      </c>
      <c r="W4215"/>
      <c r="X4215" t="s">
        <v>3864</v>
      </c>
      <c r="Y4215" t="s">
        <v>215</v>
      </c>
      <c r="Z4215">
        <v>21057</v>
      </c>
      <c r="AA4215" t="s">
        <v>3865</v>
      </c>
      <c r="AB4215">
        <v>40001</v>
      </c>
      <c r="AC4215"/>
      <c r="AD4215"/>
      <c r="AE4215" t="s">
        <v>7524</v>
      </c>
      <c r="AF4215" t="s">
        <v>7524</v>
      </c>
      <c r="AG4215" t="s">
        <v>92</v>
      </c>
    </row>
    <row r="4216" spans="2:33">
      <c r="B4216" s="14">
        <f>10000000+INDEX(编号表!$B:$B,MATCH(H4216,编号表!$A:$A,0))*100000+INDEX(编号表!$F:$F,MATCH(D4216,编号表!$E:$E,0))*10000+INDEX(编号表!$D:$D,MATCH(AG4216,编号表!$C:$C,0))*1000+F4216</f>
        <v>11814103</v>
      </c>
      <c r="C4216" t="s">
        <v>3870</v>
      </c>
      <c r="D4216" t="s">
        <v>72</v>
      </c>
      <c r="E4216" t="s">
        <v>92</v>
      </c>
      <c r="F4216">
        <v>103</v>
      </c>
      <c r="G4216">
        <v>60</v>
      </c>
      <c r="H4216" t="s">
        <v>7524</v>
      </c>
      <c r="I4216" t="s">
        <v>75</v>
      </c>
      <c r="J4216" t="s">
        <v>201</v>
      </c>
      <c r="K4216">
        <v>1</v>
      </c>
      <c r="L4216" t="s">
        <v>7524</v>
      </c>
      <c r="M4216"/>
      <c r="N4216">
        <v>0</v>
      </c>
      <c r="O4216" t="b">
        <v>1</v>
      </c>
      <c r="P4216"/>
      <c r="Q4216" t="b">
        <v>0</v>
      </c>
      <c r="R4216">
        <v>1</v>
      </c>
      <c r="S4216" t="s">
        <v>77</v>
      </c>
      <c r="T4216">
        <v>999</v>
      </c>
      <c r="U4216" t="s">
        <v>7525</v>
      </c>
      <c r="V4216">
        <f t="shared" si="5"/>
        <v>31814103</v>
      </c>
      <c r="W4216"/>
      <c r="X4216" t="s">
        <v>3871</v>
      </c>
      <c r="Y4216" t="s">
        <v>215</v>
      </c>
      <c r="Z4216">
        <v>21060</v>
      </c>
      <c r="AA4216" t="s">
        <v>3872</v>
      </c>
      <c r="AB4216">
        <v>40001</v>
      </c>
      <c r="AC4216"/>
      <c r="AD4216"/>
      <c r="AE4216" t="s">
        <v>7524</v>
      </c>
      <c r="AF4216" t="s">
        <v>7524</v>
      </c>
      <c r="AG4216" t="s">
        <v>92</v>
      </c>
    </row>
    <row r="4217" spans="2:33">
      <c r="B4217" s="14">
        <f>10000000+INDEX(编号表!$B:$B,MATCH(H4217,编号表!$A:$A,0))*100000+INDEX(编号表!$F:$F,MATCH(D4217,编号表!$E:$E,0))*10000+INDEX(编号表!$D:$D,MATCH(AG4217,编号表!$C:$C,0))*1000+F4217</f>
        <v>11814104</v>
      </c>
      <c r="C4217" t="s">
        <v>3877</v>
      </c>
      <c r="D4217" t="s">
        <v>72</v>
      </c>
      <c r="E4217" t="s">
        <v>92</v>
      </c>
      <c r="F4217">
        <v>104</v>
      </c>
      <c r="G4217">
        <v>60</v>
      </c>
      <c r="H4217" t="s">
        <v>7524</v>
      </c>
      <c r="I4217" t="s">
        <v>75</v>
      </c>
      <c r="J4217" t="s">
        <v>201</v>
      </c>
      <c r="K4217">
        <v>1</v>
      </c>
      <c r="L4217" t="s">
        <v>7524</v>
      </c>
      <c r="M4217"/>
      <c r="N4217">
        <v>0</v>
      </c>
      <c r="O4217" t="b">
        <v>1</v>
      </c>
      <c r="P4217"/>
      <c r="Q4217" t="b">
        <v>0</v>
      </c>
      <c r="R4217">
        <v>1</v>
      </c>
      <c r="S4217" t="s">
        <v>77</v>
      </c>
      <c r="T4217">
        <v>999</v>
      </c>
      <c r="U4217" t="s">
        <v>7525</v>
      </c>
      <c r="V4217">
        <f t="shared" si="5"/>
        <v>31814104</v>
      </c>
      <c r="W4217"/>
      <c r="X4217" t="s">
        <v>3878</v>
      </c>
      <c r="Y4217" t="s">
        <v>215</v>
      </c>
      <c r="Z4217">
        <v>21063</v>
      </c>
      <c r="AA4217" t="s">
        <v>3879</v>
      </c>
      <c r="AB4217">
        <v>40001</v>
      </c>
      <c r="AC4217"/>
      <c r="AD4217"/>
      <c r="AE4217" t="s">
        <v>7524</v>
      </c>
      <c r="AF4217" t="s">
        <v>7524</v>
      </c>
      <c r="AG4217" t="s">
        <v>92</v>
      </c>
    </row>
    <row r="4218" spans="2:33">
      <c r="B4218" s="14">
        <f>10000000+INDEX(编号表!$B:$B,MATCH(H4218,编号表!$A:$A,0))*100000+INDEX(编号表!$F:$F,MATCH(D4218,编号表!$E:$E,0))*10000+INDEX(编号表!$D:$D,MATCH(AG4218,编号表!$C:$C,0))*1000+F4218</f>
        <v>11814105</v>
      </c>
      <c r="C4218" t="s">
        <v>3884</v>
      </c>
      <c r="D4218" t="s">
        <v>72</v>
      </c>
      <c r="E4218" t="s">
        <v>92</v>
      </c>
      <c r="F4218">
        <v>105</v>
      </c>
      <c r="G4218">
        <v>60</v>
      </c>
      <c r="H4218" t="s">
        <v>7524</v>
      </c>
      <c r="I4218" t="s">
        <v>75</v>
      </c>
      <c r="J4218" t="s">
        <v>201</v>
      </c>
      <c r="K4218">
        <v>1</v>
      </c>
      <c r="L4218" t="s">
        <v>7524</v>
      </c>
      <c r="M4218"/>
      <c r="N4218">
        <v>0</v>
      </c>
      <c r="O4218" t="b">
        <v>1</v>
      </c>
      <c r="P4218"/>
      <c r="Q4218" t="b">
        <v>0</v>
      </c>
      <c r="R4218">
        <v>1</v>
      </c>
      <c r="S4218" t="s">
        <v>77</v>
      </c>
      <c r="T4218">
        <v>999</v>
      </c>
      <c r="U4218" t="s">
        <v>7525</v>
      </c>
      <c r="V4218">
        <f t="shared" si="5"/>
        <v>31814105</v>
      </c>
      <c r="W4218"/>
      <c r="X4218" t="s">
        <v>3885</v>
      </c>
      <c r="Y4218" t="s">
        <v>215</v>
      </c>
      <c r="Z4218">
        <v>21066</v>
      </c>
      <c r="AA4218" t="s">
        <v>3886</v>
      </c>
      <c r="AB4218">
        <v>40001</v>
      </c>
      <c r="AC4218"/>
      <c r="AD4218"/>
      <c r="AE4218" t="s">
        <v>7524</v>
      </c>
      <c r="AF4218" t="s">
        <v>7524</v>
      </c>
      <c r="AG4218" t="s">
        <v>92</v>
      </c>
    </row>
    <row r="4219" spans="2:33">
      <c r="B4219" s="14">
        <f>10000000+INDEX(编号表!$B:$B,MATCH(H4219,编号表!$A:$A,0))*100000+INDEX(编号表!$F:$F,MATCH(D4219,编号表!$E:$E,0))*10000+INDEX(编号表!$D:$D,MATCH(AG4219,编号表!$C:$C,0))*1000+F4219</f>
        <v>11814106</v>
      </c>
      <c r="C4219" t="s">
        <v>3891</v>
      </c>
      <c r="D4219" t="s">
        <v>72</v>
      </c>
      <c r="E4219" t="s">
        <v>92</v>
      </c>
      <c r="F4219">
        <v>106</v>
      </c>
      <c r="G4219">
        <v>60</v>
      </c>
      <c r="H4219" t="s">
        <v>7524</v>
      </c>
      <c r="I4219" t="s">
        <v>75</v>
      </c>
      <c r="J4219" t="s">
        <v>201</v>
      </c>
      <c r="K4219">
        <v>1</v>
      </c>
      <c r="L4219" t="s">
        <v>7524</v>
      </c>
      <c r="M4219"/>
      <c r="N4219">
        <v>0</v>
      </c>
      <c r="O4219" t="b">
        <v>1</v>
      </c>
      <c r="P4219"/>
      <c r="Q4219" t="b">
        <v>0</v>
      </c>
      <c r="R4219">
        <v>1</v>
      </c>
      <c r="S4219" t="s">
        <v>77</v>
      </c>
      <c r="T4219">
        <v>999</v>
      </c>
      <c r="U4219" t="s">
        <v>7525</v>
      </c>
      <c r="V4219">
        <f t="shared" si="5"/>
        <v>31814106</v>
      </c>
      <c r="W4219"/>
      <c r="X4219" t="s">
        <v>3892</v>
      </c>
      <c r="Y4219" t="s">
        <v>215</v>
      </c>
      <c r="Z4219">
        <v>21069</v>
      </c>
      <c r="AA4219" t="s">
        <v>3893</v>
      </c>
      <c r="AB4219">
        <v>40001</v>
      </c>
      <c r="AC4219"/>
      <c r="AD4219"/>
      <c r="AE4219" t="s">
        <v>7524</v>
      </c>
      <c r="AF4219" t="s">
        <v>7524</v>
      </c>
      <c r="AG4219" t="s">
        <v>92</v>
      </c>
    </row>
    <row r="4220" spans="2:33">
      <c r="B4220" s="14">
        <f>10000000+INDEX(编号表!$B:$B,MATCH(H4220,编号表!$A:$A,0))*100000+INDEX(编号表!$F:$F,MATCH(D4220,编号表!$E:$E,0))*10000+INDEX(编号表!$D:$D,MATCH(AG4220,编号表!$C:$C,0))*1000+F4220</f>
        <v>11814107</v>
      </c>
      <c r="C4220" t="s">
        <v>3898</v>
      </c>
      <c r="D4220" t="s">
        <v>72</v>
      </c>
      <c r="E4220" t="s">
        <v>92</v>
      </c>
      <c r="F4220">
        <v>107</v>
      </c>
      <c r="G4220">
        <v>60</v>
      </c>
      <c r="H4220" t="s">
        <v>7524</v>
      </c>
      <c r="I4220" t="s">
        <v>75</v>
      </c>
      <c r="J4220" t="s">
        <v>201</v>
      </c>
      <c r="K4220">
        <v>1</v>
      </c>
      <c r="L4220" t="s">
        <v>7524</v>
      </c>
      <c r="M4220"/>
      <c r="N4220">
        <v>0</v>
      </c>
      <c r="O4220" t="b">
        <v>1</v>
      </c>
      <c r="P4220"/>
      <c r="Q4220" t="b">
        <v>0</v>
      </c>
      <c r="R4220">
        <v>1</v>
      </c>
      <c r="S4220" t="s">
        <v>77</v>
      </c>
      <c r="T4220">
        <v>999</v>
      </c>
      <c r="U4220" t="s">
        <v>7525</v>
      </c>
      <c r="V4220">
        <f t="shared" si="5"/>
        <v>31814107</v>
      </c>
      <c r="W4220"/>
      <c r="X4220" t="s">
        <v>3899</v>
      </c>
      <c r="Y4220" t="s">
        <v>215</v>
      </c>
      <c r="Z4220">
        <v>21072</v>
      </c>
      <c r="AA4220" t="s">
        <v>3900</v>
      </c>
      <c r="AB4220">
        <v>40001</v>
      </c>
      <c r="AC4220"/>
      <c r="AD4220"/>
      <c r="AE4220" t="s">
        <v>7524</v>
      </c>
      <c r="AF4220" t="s">
        <v>7524</v>
      </c>
      <c r="AG4220" t="s">
        <v>92</v>
      </c>
    </row>
    <row r="4221" spans="2:33">
      <c r="B4221" s="14">
        <f>10000000+INDEX(编号表!$B:$B,MATCH(H4221,编号表!$A:$A,0))*100000+INDEX(编号表!$F:$F,MATCH(D4221,编号表!$E:$E,0))*10000+INDEX(编号表!$D:$D,MATCH(AG4221,编号表!$C:$C,0))*1000+F4221</f>
        <v>11814108</v>
      </c>
      <c r="C4221" t="s">
        <v>3905</v>
      </c>
      <c r="D4221" t="s">
        <v>72</v>
      </c>
      <c r="E4221" t="s">
        <v>92</v>
      </c>
      <c r="F4221">
        <v>108</v>
      </c>
      <c r="G4221">
        <v>60</v>
      </c>
      <c r="H4221" t="s">
        <v>7524</v>
      </c>
      <c r="I4221" t="s">
        <v>75</v>
      </c>
      <c r="J4221" t="s">
        <v>201</v>
      </c>
      <c r="K4221">
        <v>1</v>
      </c>
      <c r="L4221" t="s">
        <v>7524</v>
      </c>
      <c r="M4221"/>
      <c r="N4221">
        <v>0</v>
      </c>
      <c r="O4221" t="b">
        <v>1</v>
      </c>
      <c r="P4221"/>
      <c r="Q4221" t="b">
        <v>0</v>
      </c>
      <c r="R4221">
        <v>1</v>
      </c>
      <c r="S4221" t="s">
        <v>77</v>
      </c>
      <c r="T4221">
        <v>999</v>
      </c>
      <c r="U4221" t="s">
        <v>7525</v>
      </c>
      <c r="V4221">
        <f t="shared" si="5"/>
        <v>31814108</v>
      </c>
      <c r="W4221"/>
      <c r="X4221" t="s">
        <v>3906</v>
      </c>
      <c r="Y4221" t="s">
        <v>215</v>
      </c>
      <c r="Z4221">
        <v>21075</v>
      </c>
      <c r="AA4221" t="s">
        <v>3907</v>
      </c>
      <c r="AB4221">
        <v>40001</v>
      </c>
      <c r="AC4221"/>
      <c r="AD4221"/>
      <c r="AE4221" t="s">
        <v>7524</v>
      </c>
      <c r="AF4221" t="s">
        <v>7524</v>
      </c>
      <c r="AG4221" t="s">
        <v>92</v>
      </c>
    </row>
    <row r="4222" spans="2:33">
      <c r="B4222" s="14">
        <f>10000000+INDEX(编号表!$B:$B,MATCH(H4222,编号表!$A:$A,0))*100000+INDEX(编号表!$F:$F,MATCH(D4222,编号表!$E:$E,0))*10000+INDEX(编号表!$D:$D,MATCH(AG4222,编号表!$C:$C,0))*1000+F4222</f>
        <v>11814109</v>
      </c>
      <c r="C4222" t="s">
        <v>3912</v>
      </c>
      <c r="D4222" t="s">
        <v>72</v>
      </c>
      <c r="E4222" t="s">
        <v>92</v>
      </c>
      <c r="F4222">
        <v>109</v>
      </c>
      <c r="G4222">
        <v>60</v>
      </c>
      <c r="H4222" t="s">
        <v>7524</v>
      </c>
      <c r="I4222" t="s">
        <v>75</v>
      </c>
      <c r="J4222" t="s">
        <v>201</v>
      </c>
      <c r="K4222">
        <v>1</v>
      </c>
      <c r="L4222" t="s">
        <v>7524</v>
      </c>
      <c r="M4222"/>
      <c r="N4222">
        <v>0</v>
      </c>
      <c r="O4222" t="b">
        <v>1</v>
      </c>
      <c r="P4222"/>
      <c r="Q4222" t="b">
        <v>0</v>
      </c>
      <c r="R4222">
        <v>1</v>
      </c>
      <c r="S4222" t="s">
        <v>77</v>
      </c>
      <c r="T4222">
        <v>999</v>
      </c>
      <c r="U4222" t="s">
        <v>7525</v>
      </c>
      <c r="V4222">
        <f t="shared" si="5"/>
        <v>31814109</v>
      </c>
      <c r="W4222"/>
      <c r="X4222" t="s">
        <v>3913</v>
      </c>
      <c r="Y4222" t="s">
        <v>215</v>
      </c>
      <c r="Z4222">
        <v>21078</v>
      </c>
      <c r="AA4222" t="s">
        <v>3914</v>
      </c>
      <c r="AB4222">
        <v>40001</v>
      </c>
      <c r="AC4222"/>
      <c r="AD4222"/>
      <c r="AE4222" t="s">
        <v>7524</v>
      </c>
      <c r="AF4222" t="s">
        <v>7524</v>
      </c>
      <c r="AG4222" t="s">
        <v>92</v>
      </c>
    </row>
    <row r="4223" spans="2:33">
      <c r="B4223" s="14">
        <f>10000000+INDEX(编号表!$B:$B,MATCH(H4223,编号表!$A:$A,0))*100000+INDEX(编号表!$F:$F,MATCH(D4223,编号表!$E:$E,0))*10000+INDEX(编号表!$D:$D,MATCH(AG4223,编号表!$C:$C,0))*1000+F4223</f>
        <v>11814110</v>
      </c>
      <c r="C4223" t="s">
        <v>3919</v>
      </c>
      <c r="D4223" t="s">
        <v>72</v>
      </c>
      <c r="E4223" t="s">
        <v>92</v>
      </c>
      <c r="F4223">
        <v>110</v>
      </c>
      <c r="G4223">
        <v>60</v>
      </c>
      <c r="H4223" t="s">
        <v>7524</v>
      </c>
      <c r="I4223" t="s">
        <v>75</v>
      </c>
      <c r="J4223" t="s">
        <v>201</v>
      </c>
      <c r="K4223">
        <v>1</v>
      </c>
      <c r="L4223" t="s">
        <v>7524</v>
      </c>
      <c r="M4223"/>
      <c r="N4223">
        <v>0</v>
      </c>
      <c r="O4223" t="b">
        <v>1</v>
      </c>
      <c r="P4223"/>
      <c r="Q4223" t="b">
        <v>0</v>
      </c>
      <c r="R4223">
        <v>1</v>
      </c>
      <c r="S4223" t="s">
        <v>77</v>
      </c>
      <c r="T4223">
        <v>999</v>
      </c>
      <c r="U4223" t="s">
        <v>7525</v>
      </c>
      <c r="V4223">
        <f t="shared" si="5"/>
        <v>31814110</v>
      </c>
      <c r="W4223"/>
      <c r="X4223" t="s">
        <v>3920</v>
      </c>
      <c r="Y4223" t="s">
        <v>215</v>
      </c>
      <c r="Z4223">
        <v>21081</v>
      </c>
      <c r="AA4223" t="s">
        <v>3921</v>
      </c>
      <c r="AB4223">
        <v>40001</v>
      </c>
      <c r="AC4223"/>
      <c r="AD4223"/>
      <c r="AE4223" t="s">
        <v>7524</v>
      </c>
      <c r="AF4223" t="s">
        <v>7524</v>
      </c>
      <c r="AG4223" t="s">
        <v>92</v>
      </c>
    </row>
    <row r="4224" spans="2:33">
      <c r="B4224" s="14">
        <f>10000000+INDEX(编号表!$B:$B,MATCH(H4224,编号表!$A:$A,0))*100000+INDEX(编号表!$F:$F,MATCH(D4224,编号表!$E:$E,0))*10000+INDEX(编号表!$D:$D,MATCH(AG4224,编号表!$C:$C,0))*1000+F4224</f>
        <v>11814111</v>
      </c>
      <c r="C4224" t="s">
        <v>3926</v>
      </c>
      <c r="D4224" t="s">
        <v>72</v>
      </c>
      <c r="E4224" t="s">
        <v>92</v>
      </c>
      <c r="F4224">
        <v>111</v>
      </c>
      <c r="G4224">
        <v>60</v>
      </c>
      <c r="H4224" t="s">
        <v>7524</v>
      </c>
      <c r="I4224" t="s">
        <v>75</v>
      </c>
      <c r="J4224" t="s">
        <v>201</v>
      </c>
      <c r="K4224">
        <v>1</v>
      </c>
      <c r="L4224" t="s">
        <v>7524</v>
      </c>
      <c r="M4224"/>
      <c r="N4224">
        <v>0</v>
      </c>
      <c r="O4224" t="b">
        <v>1</v>
      </c>
      <c r="P4224"/>
      <c r="Q4224" t="b">
        <v>0</v>
      </c>
      <c r="R4224">
        <v>1</v>
      </c>
      <c r="S4224" t="s">
        <v>77</v>
      </c>
      <c r="T4224">
        <v>999</v>
      </c>
      <c r="U4224" t="s">
        <v>7525</v>
      </c>
      <c r="V4224">
        <f t="shared" si="5"/>
        <v>31814111</v>
      </c>
      <c r="W4224"/>
      <c r="X4224" t="s">
        <v>3927</v>
      </c>
      <c r="Y4224" t="s">
        <v>215</v>
      </c>
      <c r="Z4224">
        <v>21084</v>
      </c>
      <c r="AA4224" t="s">
        <v>3928</v>
      </c>
      <c r="AB4224">
        <v>40001</v>
      </c>
      <c r="AC4224"/>
      <c r="AD4224"/>
      <c r="AE4224" t="s">
        <v>7524</v>
      </c>
      <c r="AF4224" t="s">
        <v>7524</v>
      </c>
      <c r="AG4224" t="s">
        <v>92</v>
      </c>
    </row>
    <row r="4225" spans="2:33">
      <c r="B4225" s="14">
        <f>10000000+INDEX(编号表!$B:$B,MATCH(H4225,编号表!$A:$A,0))*100000+INDEX(编号表!$F:$F,MATCH(D4225,编号表!$E:$E,0))*10000+INDEX(编号表!$D:$D,MATCH(AG4225,编号表!$C:$C,0))*1000+F4225</f>
        <v>11814112</v>
      </c>
      <c r="C4225" t="s">
        <v>3933</v>
      </c>
      <c r="D4225" t="s">
        <v>72</v>
      </c>
      <c r="E4225" t="s">
        <v>92</v>
      </c>
      <c r="F4225">
        <v>112</v>
      </c>
      <c r="G4225">
        <v>60</v>
      </c>
      <c r="H4225" t="s">
        <v>7524</v>
      </c>
      <c r="I4225" t="s">
        <v>75</v>
      </c>
      <c r="J4225" t="s">
        <v>201</v>
      </c>
      <c r="K4225">
        <v>1</v>
      </c>
      <c r="L4225" t="s">
        <v>7524</v>
      </c>
      <c r="M4225"/>
      <c r="N4225">
        <v>0</v>
      </c>
      <c r="O4225" t="b">
        <v>1</v>
      </c>
      <c r="P4225"/>
      <c r="Q4225" t="b">
        <v>0</v>
      </c>
      <c r="R4225">
        <v>1</v>
      </c>
      <c r="S4225" t="s">
        <v>77</v>
      </c>
      <c r="T4225">
        <v>999</v>
      </c>
      <c r="U4225" t="s">
        <v>7525</v>
      </c>
      <c r="V4225">
        <f t="shared" si="5"/>
        <v>31814112</v>
      </c>
      <c r="W4225"/>
      <c r="X4225" t="s">
        <v>3934</v>
      </c>
      <c r="Y4225" t="s">
        <v>215</v>
      </c>
      <c r="Z4225">
        <v>21087</v>
      </c>
      <c r="AA4225" t="s">
        <v>3935</v>
      </c>
      <c r="AB4225">
        <v>40001</v>
      </c>
      <c r="AC4225"/>
      <c r="AD4225"/>
      <c r="AE4225" t="s">
        <v>7524</v>
      </c>
      <c r="AF4225" t="s">
        <v>7524</v>
      </c>
      <c r="AG4225" t="s">
        <v>92</v>
      </c>
    </row>
    <row r="4226" spans="2:33">
      <c r="B4226" s="14">
        <f>10000000+INDEX(编号表!$B:$B,MATCH(H4226,编号表!$A:$A,0))*100000+INDEX(编号表!$F:$F,MATCH(D4226,编号表!$E:$E,0))*10000+INDEX(编号表!$D:$D,MATCH(AG4226,编号表!$C:$C,0))*1000+F4226</f>
        <v>11814113</v>
      </c>
      <c r="C4226" t="s">
        <v>3940</v>
      </c>
      <c r="D4226" t="s">
        <v>72</v>
      </c>
      <c r="E4226" t="s">
        <v>92</v>
      </c>
      <c r="F4226">
        <v>113</v>
      </c>
      <c r="G4226">
        <v>60</v>
      </c>
      <c r="H4226" t="s">
        <v>7524</v>
      </c>
      <c r="I4226" t="s">
        <v>75</v>
      </c>
      <c r="J4226" t="s">
        <v>201</v>
      </c>
      <c r="K4226">
        <v>1</v>
      </c>
      <c r="L4226" t="s">
        <v>7524</v>
      </c>
      <c r="M4226"/>
      <c r="N4226">
        <v>0</v>
      </c>
      <c r="O4226" t="b">
        <v>1</v>
      </c>
      <c r="P4226"/>
      <c r="Q4226" t="b">
        <v>0</v>
      </c>
      <c r="R4226">
        <v>1</v>
      </c>
      <c r="S4226" t="s">
        <v>77</v>
      </c>
      <c r="T4226">
        <v>999</v>
      </c>
      <c r="U4226" t="s">
        <v>7525</v>
      </c>
      <c r="V4226">
        <f t="shared" si="5"/>
        <v>31814113</v>
      </c>
      <c r="W4226"/>
      <c r="X4226" t="s">
        <v>3941</v>
      </c>
      <c r="Y4226" t="s">
        <v>215</v>
      </c>
      <c r="Z4226">
        <v>21090</v>
      </c>
      <c r="AA4226" t="s">
        <v>3942</v>
      </c>
      <c r="AB4226">
        <v>40001</v>
      </c>
      <c r="AC4226"/>
      <c r="AD4226"/>
      <c r="AE4226" t="s">
        <v>7524</v>
      </c>
      <c r="AF4226" t="s">
        <v>7524</v>
      </c>
      <c r="AG4226" t="s">
        <v>92</v>
      </c>
    </row>
    <row r="4227" spans="2:33">
      <c r="B4227" s="14">
        <f>10000000+INDEX(编号表!$B:$B,MATCH(H4227,编号表!$A:$A,0))*100000+INDEX(编号表!$F:$F,MATCH(D4227,编号表!$E:$E,0))*10000+INDEX(编号表!$D:$D,MATCH(AG4227,编号表!$C:$C,0))*1000+F4227</f>
        <v>11814114</v>
      </c>
      <c r="C4227" t="s">
        <v>3947</v>
      </c>
      <c r="D4227" t="s">
        <v>72</v>
      </c>
      <c r="E4227" t="s">
        <v>92</v>
      </c>
      <c r="F4227">
        <v>114</v>
      </c>
      <c r="G4227">
        <v>60</v>
      </c>
      <c r="H4227" t="s">
        <v>7524</v>
      </c>
      <c r="I4227" t="s">
        <v>75</v>
      </c>
      <c r="J4227" t="s">
        <v>201</v>
      </c>
      <c r="K4227">
        <v>1</v>
      </c>
      <c r="L4227" t="s">
        <v>7524</v>
      </c>
      <c r="M4227"/>
      <c r="N4227">
        <v>0</v>
      </c>
      <c r="O4227" t="b">
        <v>1</v>
      </c>
      <c r="P4227"/>
      <c r="Q4227" t="b">
        <v>0</v>
      </c>
      <c r="R4227">
        <v>1</v>
      </c>
      <c r="S4227" t="s">
        <v>77</v>
      </c>
      <c r="T4227">
        <v>999</v>
      </c>
      <c r="U4227" t="s">
        <v>7525</v>
      </c>
      <c r="V4227">
        <f t="shared" si="5"/>
        <v>31814114</v>
      </c>
      <c r="W4227"/>
      <c r="X4227" t="s">
        <v>3948</v>
      </c>
      <c r="Y4227" t="s">
        <v>215</v>
      </c>
      <c r="Z4227">
        <v>21093</v>
      </c>
      <c r="AA4227" t="s">
        <v>3949</v>
      </c>
      <c r="AB4227">
        <v>40001</v>
      </c>
      <c r="AC4227"/>
      <c r="AD4227"/>
      <c r="AE4227" t="s">
        <v>7524</v>
      </c>
      <c r="AF4227" t="s">
        <v>7524</v>
      </c>
      <c r="AG4227" t="s">
        <v>92</v>
      </c>
    </row>
    <row r="4228" spans="2:33">
      <c r="B4228" s="14">
        <f>10000000+INDEX(编号表!$B:$B,MATCH(H4228,编号表!$A:$A,0))*100000+INDEX(编号表!$F:$F,MATCH(D4228,编号表!$E:$E,0))*10000+INDEX(编号表!$D:$D,MATCH(AG4228,编号表!$C:$C,0))*1000+F4228</f>
        <v>11814115</v>
      </c>
      <c r="C4228" t="s">
        <v>3954</v>
      </c>
      <c r="D4228" t="s">
        <v>72</v>
      </c>
      <c r="E4228" t="s">
        <v>92</v>
      </c>
      <c r="F4228">
        <v>115</v>
      </c>
      <c r="G4228">
        <v>60</v>
      </c>
      <c r="H4228" t="s">
        <v>7524</v>
      </c>
      <c r="I4228" t="s">
        <v>75</v>
      </c>
      <c r="J4228" t="s">
        <v>201</v>
      </c>
      <c r="K4228">
        <v>1</v>
      </c>
      <c r="L4228" t="s">
        <v>7524</v>
      </c>
      <c r="M4228"/>
      <c r="N4228">
        <v>0</v>
      </c>
      <c r="O4228" t="b">
        <v>1</v>
      </c>
      <c r="P4228"/>
      <c r="Q4228" t="b">
        <v>0</v>
      </c>
      <c r="R4228">
        <v>1</v>
      </c>
      <c r="S4228" t="s">
        <v>77</v>
      </c>
      <c r="T4228">
        <v>999</v>
      </c>
      <c r="U4228" t="s">
        <v>7525</v>
      </c>
      <c r="V4228">
        <f t="shared" si="5"/>
        <v>31814115</v>
      </c>
      <c r="W4228"/>
      <c r="X4228" t="s">
        <v>3955</v>
      </c>
      <c r="Y4228" t="s">
        <v>215</v>
      </c>
      <c r="Z4228">
        <v>21096</v>
      </c>
      <c r="AA4228" t="s">
        <v>3956</v>
      </c>
      <c r="AB4228">
        <v>40001</v>
      </c>
      <c r="AC4228"/>
      <c r="AD4228"/>
      <c r="AE4228" t="s">
        <v>7524</v>
      </c>
      <c r="AF4228" t="s">
        <v>7524</v>
      </c>
      <c r="AG4228" t="s">
        <v>92</v>
      </c>
    </row>
    <row r="4229" spans="2:33">
      <c r="B4229" s="14">
        <f>10000000+INDEX(编号表!$B:$B,MATCH(H4229,编号表!$A:$A,0))*100000+INDEX(编号表!$F:$F,MATCH(D4229,编号表!$E:$E,0))*10000+INDEX(编号表!$D:$D,MATCH(AG4229,编号表!$C:$C,0))*1000+F4229</f>
        <v>11814116</v>
      </c>
      <c r="C4229" t="s">
        <v>3961</v>
      </c>
      <c r="D4229" t="s">
        <v>72</v>
      </c>
      <c r="E4229" t="s">
        <v>92</v>
      </c>
      <c r="F4229">
        <v>116</v>
      </c>
      <c r="G4229">
        <v>60</v>
      </c>
      <c r="H4229" t="s">
        <v>7524</v>
      </c>
      <c r="I4229" t="s">
        <v>75</v>
      </c>
      <c r="J4229" t="s">
        <v>201</v>
      </c>
      <c r="K4229">
        <v>1</v>
      </c>
      <c r="L4229" t="s">
        <v>7524</v>
      </c>
      <c r="M4229"/>
      <c r="N4229">
        <v>0</v>
      </c>
      <c r="O4229" t="b">
        <v>1</v>
      </c>
      <c r="P4229"/>
      <c r="Q4229" t="b">
        <v>0</v>
      </c>
      <c r="R4229">
        <v>1</v>
      </c>
      <c r="S4229" t="s">
        <v>77</v>
      </c>
      <c r="T4229">
        <v>999</v>
      </c>
      <c r="U4229" t="s">
        <v>7525</v>
      </c>
      <c r="V4229">
        <f t="shared" si="5"/>
        <v>31814116</v>
      </c>
      <c r="W4229"/>
      <c r="X4229" t="s">
        <v>3962</v>
      </c>
      <c r="Y4229" t="s">
        <v>215</v>
      </c>
      <c r="Z4229">
        <v>21099</v>
      </c>
      <c r="AA4229" t="s">
        <v>3963</v>
      </c>
      <c r="AB4229">
        <v>40001</v>
      </c>
      <c r="AC4229"/>
      <c r="AD4229"/>
      <c r="AE4229" t="s">
        <v>7524</v>
      </c>
      <c r="AF4229" t="s">
        <v>7524</v>
      </c>
      <c r="AG4229" t="s">
        <v>92</v>
      </c>
    </row>
    <row r="4230" spans="2:33">
      <c r="B4230" s="14">
        <f>10000000+INDEX(编号表!$B:$B,MATCH(H4230,编号表!$A:$A,0))*100000+INDEX(编号表!$F:$F,MATCH(D4230,编号表!$E:$E,0))*10000+INDEX(编号表!$D:$D,MATCH(AG4230,编号表!$C:$C,0))*1000+F4230</f>
        <v>11814117</v>
      </c>
      <c r="C4230" t="s">
        <v>3968</v>
      </c>
      <c r="D4230" t="s">
        <v>72</v>
      </c>
      <c r="E4230" t="s">
        <v>92</v>
      </c>
      <c r="F4230">
        <v>117</v>
      </c>
      <c r="G4230">
        <v>60</v>
      </c>
      <c r="H4230" t="s">
        <v>7524</v>
      </c>
      <c r="I4230" t="s">
        <v>75</v>
      </c>
      <c r="J4230" t="s">
        <v>201</v>
      </c>
      <c r="K4230">
        <v>1</v>
      </c>
      <c r="L4230" t="s">
        <v>7524</v>
      </c>
      <c r="M4230"/>
      <c r="N4230">
        <v>0</v>
      </c>
      <c r="O4230" t="b">
        <v>1</v>
      </c>
      <c r="P4230"/>
      <c r="Q4230" t="b">
        <v>0</v>
      </c>
      <c r="R4230">
        <v>1</v>
      </c>
      <c r="S4230" t="s">
        <v>77</v>
      </c>
      <c r="T4230">
        <v>999</v>
      </c>
      <c r="U4230" t="s">
        <v>7525</v>
      </c>
      <c r="V4230">
        <f t="shared" si="5"/>
        <v>31814117</v>
      </c>
      <c r="W4230"/>
      <c r="X4230" t="s">
        <v>3969</v>
      </c>
      <c r="Y4230" t="s">
        <v>215</v>
      </c>
      <c r="Z4230">
        <v>21102</v>
      </c>
      <c r="AA4230" t="s">
        <v>3970</v>
      </c>
      <c r="AB4230">
        <v>40001</v>
      </c>
      <c r="AC4230"/>
      <c r="AD4230"/>
      <c r="AE4230" t="s">
        <v>7524</v>
      </c>
      <c r="AF4230" t="s">
        <v>7524</v>
      </c>
      <c r="AG4230" t="s">
        <v>92</v>
      </c>
    </row>
    <row r="4231" spans="2:33">
      <c r="B4231" s="14">
        <f>10000000+INDEX(编号表!$B:$B,MATCH(H4231,编号表!$A:$A,0))*100000+INDEX(编号表!$F:$F,MATCH(D4231,编号表!$E:$E,0))*10000+INDEX(编号表!$D:$D,MATCH(AG4231,编号表!$C:$C,0))*1000+F4231</f>
        <v>11814118</v>
      </c>
      <c r="C4231" t="s">
        <v>3975</v>
      </c>
      <c r="D4231" t="s">
        <v>72</v>
      </c>
      <c r="E4231" t="s">
        <v>92</v>
      </c>
      <c r="F4231">
        <v>118</v>
      </c>
      <c r="G4231">
        <v>60</v>
      </c>
      <c r="H4231" t="s">
        <v>7524</v>
      </c>
      <c r="I4231" t="s">
        <v>75</v>
      </c>
      <c r="J4231" t="s">
        <v>201</v>
      </c>
      <c r="K4231">
        <v>1</v>
      </c>
      <c r="L4231" t="s">
        <v>7524</v>
      </c>
      <c r="M4231"/>
      <c r="N4231">
        <v>0</v>
      </c>
      <c r="O4231" t="b">
        <v>1</v>
      </c>
      <c r="P4231"/>
      <c r="Q4231" t="b">
        <v>0</v>
      </c>
      <c r="R4231">
        <v>1</v>
      </c>
      <c r="S4231" t="s">
        <v>77</v>
      </c>
      <c r="T4231">
        <v>999</v>
      </c>
      <c r="U4231" t="s">
        <v>7525</v>
      </c>
      <c r="V4231">
        <f t="shared" si="5"/>
        <v>31814118</v>
      </c>
      <c r="W4231"/>
      <c r="X4231" t="s">
        <v>3976</v>
      </c>
      <c r="Y4231" t="s">
        <v>215</v>
      </c>
      <c r="Z4231">
        <v>21105</v>
      </c>
      <c r="AA4231" t="s">
        <v>3977</v>
      </c>
      <c r="AB4231">
        <v>40001</v>
      </c>
      <c r="AC4231"/>
      <c r="AD4231"/>
      <c r="AE4231" t="s">
        <v>7524</v>
      </c>
      <c r="AF4231" t="s">
        <v>7524</v>
      </c>
      <c r="AG4231" t="s">
        <v>92</v>
      </c>
    </row>
    <row r="4232" spans="2:33">
      <c r="B4232" s="14">
        <f>10000000+INDEX(编号表!$B:$B,MATCH(H4232,编号表!$A:$A,0))*100000+INDEX(编号表!$F:$F,MATCH(D4232,编号表!$E:$E,0))*10000+INDEX(编号表!$D:$D,MATCH(AG4232,编号表!$C:$C,0))*1000+F4232</f>
        <v>11814119</v>
      </c>
      <c r="C4232" t="s">
        <v>3982</v>
      </c>
      <c r="D4232" t="s">
        <v>72</v>
      </c>
      <c r="E4232" t="s">
        <v>92</v>
      </c>
      <c r="F4232">
        <v>119</v>
      </c>
      <c r="G4232">
        <v>60</v>
      </c>
      <c r="H4232" t="s">
        <v>7524</v>
      </c>
      <c r="I4232" t="s">
        <v>75</v>
      </c>
      <c r="J4232" t="s">
        <v>201</v>
      </c>
      <c r="K4232">
        <v>1</v>
      </c>
      <c r="L4232" t="s">
        <v>7524</v>
      </c>
      <c r="M4232"/>
      <c r="N4232">
        <v>0</v>
      </c>
      <c r="O4232" t="b">
        <v>1</v>
      </c>
      <c r="P4232"/>
      <c r="Q4232" t="b">
        <v>0</v>
      </c>
      <c r="R4232">
        <v>1</v>
      </c>
      <c r="S4232" t="s">
        <v>77</v>
      </c>
      <c r="T4232">
        <v>999</v>
      </c>
      <c r="U4232" t="s">
        <v>7525</v>
      </c>
      <c r="V4232">
        <f t="shared" si="5"/>
        <v>31814119</v>
      </c>
      <c r="W4232"/>
      <c r="X4232" t="s">
        <v>3983</v>
      </c>
      <c r="Y4232" t="s">
        <v>215</v>
      </c>
      <c r="Z4232">
        <v>21108</v>
      </c>
      <c r="AA4232" t="s">
        <v>3984</v>
      </c>
      <c r="AB4232">
        <v>40001</v>
      </c>
      <c r="AC4232"/>
      <c r="AD4232"/>
      <c r="AE4232" t="s">
        <v>7524</v>
      </c>
      <c r="AF4232" t="s">
        <v>7524</v>
      </c>
      <c r="AG4232" t="s">
        <v>92</v>
      </c>
    </row>
    <row r="4233" spans="2:33">
      <c r="B4233" s="14">
        <f>10000000+INDEX(编号表!$B:$B,MATCH(H4233,编号表!$A:$A,0))*100000+INDEX(编号表!$F:$F,MATCH(D4233,编号表!$E:$E,0))*10000+INDEX(编号表!$D:$D,MATCH(AG4233,编号表!$C:$C,0))*1000+F4233</f>
        <v>11814120</v>
      </c>
      <c r="C4233" t="s">
        <v>3989</v>
      </c>
      <c r="D4233" t="s">
        <v>72</v>
      </c>
      <c r="E4233" t="s">
        <v>92</v>
      </c>
      <c r="F4233">
        <v>120</v>
      </c>
      <c r="G4233">
        <v>60</v>
      </c>
      <c r="H4233" t="s">
        <v>7524</v>
      </c>
      <c r="I4233" t="s">
        <v>75</v>
      </c>
      <c r="J4233" t="s">
        <v>201</v>
      </c>
      <c r="K4233">
        <v>1</v>
      </c>
      <c r="L4233" t="s">
        <v>7524</v>
      </c>
      <c r="M4233"/>
      <c r="N4233">
        <v>0</v>
      </c>
      <c r="O4233" t="b">
        <v>1</v>
      </c>
      <c r="P4233"/>
      <c r="Q4233" t="b">
        <v>0</v>
      </c>
      <c r="R4233">
        <v>1</v>
      </c>
      <c r="S4233" t="s">
        <v>77</v>
      </c>
      <c r="T4233">
        <v>999</v>
      </c>
      <c r="U4233" t="s">
        <v>7525</v>
      </c>
      <c r="V4233">
        <f t="shared" si="5"/>
        <v>31814120</v>
      </c>
      <c r="W4233"/>
      <c r="X4233" t="s">
        <v>3990</v>
      </c>
      <c r="Y4233" t="s">
        <v>215</v>
      </c>
      <c r="Z4233">
        <v>21111</v>
      </c>
      <c r="AA4233" t="s">
        <v>3991</v>
      </c>
      <c r="AB4233">
        <v>40001</v>
      </c>
      <c r="AC4233"/>
      <c r="AD4233"/>
      <c r="AE4233" t="s">
        <v>7524</v>
      </c>
      <c r="AF4233" t="s">
        <v>7524</v>
      </c>
      <c r="AG4233" t="s">
        <v>92</v>
      </c>
    </row>
    <row r="4234" spans="2:33">
      <c r="B4234" s="14">
        <f>10000000+INDEX(编号表!$B:$B,MATCH(H4234,编号表!$A:$A,0))*100000+INDEX(编号表!$F:$F,MATCH(D4234,编号表!$E:$E,0))*10000+INDEX(编号表!$D:$D,MATCH(AG4234,编号表!$C:$C,0))*1000+F4234</f>
        <v>11814121</v>
      </c>
      <c r="C4234" t="s">
        <v>3996</v>
      </c>
      <c r="D4234" t="s">
        <v>72</v>
      </c>
      <c r="E4234" t="s">
        <v>92</v>
      </c>
      <c r="F4234">
        <v>121</v>
      </c>
      <c r="G4234">
        <v>60</v>
      </c>
      <c r="H4234" t="s">
        <v>7524</v>
      </c>
      <c r="I4234" t="s">
        <v>75</v>
      </c>
      <c r="J4234" t="s">
        <v>201</v>
      </c>
      <c r="K4234">
        <v>1</v>
      </c>
      <c r="L4234" t="s">
        <v>7524</v>
      </c>
      <c r="M4234"/>
      <c r="N4234">
        <v>0</v>
      </c>
      <c r="O4234" t="b">
        <v>1</v>
      </c>
      <c r="P4234"/>
      <c r="Q4234" t="b">
        <v>0</v>
      </c>
      <c r="R4234">
        <v>1</v>
      </c>
      <c r="S4234" t="s">
        <v>77</v>
      </c>
      <c r="T4234">
        <v>999</v>
      </c>
      <c r="U4234" t="s">
        <v>7525</v>
      </c>
      <c r="V4234">
        <f t="shared" si="5"/>
        <v>31814121</v>
      </c>
      <c r="W4234"/>
      <c r="X4234" t="s">
        <v>3997</v>
      </c>
      <c r="Y4234" t="s">
        <v>215</v>
      </c>
      <c r="Z4234">
        <v>21114</v>
      </c>
      <c r="AA4234" t="s">
        <v>3998</v>
      </c>
      <c r="AB4234">
        <v>40001</v>
      </c>
      <c r="AC4234"/>
      <c r="AD4234"/>
      <c r="AE4234" t="s">
        <v>7524</v>
      </c>
      <c r="AF4234" t="s">
        <v>7524</v>
      </c>
      <c r="AG4234" t="s">
        <v>92</v>
      </c>
    </row>
    <row r="4235" spans="2:33">
      <c r="B4235" s="14">
        <f>10000000+INDEX(编号表!$B:$B,MATCH(H4235,编号表!$A:$A,0))*100000+INDEX(编号表!$F:$F,MATCH(D4235,编号表!$E:$E,0))*10000+INDEX(编号表!$D:$D,MATCH(AG4235,编号表!$C:$C,0))*1000+F4235</f>
        <v>11814122</v>
      </c>
      <c r="C4235" t="s">
        <v>4003</v>
      </c>
      <c r="D4235" t="s">
        <v>72</v>
      </c>
      <c r="E4235" t="s">
        <v>92</v>
      </c>
      <c r="F4235">
        <v>122</v>
      </c>
      <c r="G4235">
        <v>60</v>
      </c>
      <c r="H4235" t="s">
        <v>7524</v>
      </c>
      <c r="I4235" t="s">
        <v>75</v>
      </c>
      <c r="J4235" t="s">
        <v>201</v>
      </c>
      <c r="K4235">
        <v>1</v>
      </c>
      <c r="L4235" t="s">
        <v>7524</v>
      </c>
      <c r="M4235"/>
      <c r="N4235">
        <v>0</v>
      </c>
      <c r="O4235" t="b">
        <v>1</v>
      </c>
      <c r="P4235"/>
      <c r="Q4235" t="b">
        <v>0</v>
      </c>
      <c r="R4235">
        <v>1</v>
      </c>
      <c r="S4235" t="s">
        <v>77</v>
      </c>
      <c r="T4235">
        <v>999</v>
      </c>
      <c r="U4235" t="s">
        <v>7525</v>
      </c>
      <c r="V4235">
        <f t="shared" si="5"/>
        <v>31814122</v>
      </c>
      <c r="W4235"/>
      <c r="X4235" t="s">
        <v>4004</v>
      </c>
      <c r="Y4235" t="s">
        <v>215</v>
      </c>
      <c r="Z4235">
        <v>21117</v>
      </c>
      <c r="AA4235" t="s">
        <v>4005</v>
      </c>
      <c r="AB4235">
        <v>40001</v>
      </c>
      <c r="AC4235"/>
      <c r="AD4235"/>
      <c r="AE4235" t="s">
        <v>7524</v>
      </c>
      <c r="AF4235" t="s">
        <v>7524</v>
      </c>
      <c r="AG4235" t="s">
        <v>92</v>
      </c>
    </row>
    <row r="4236" spans="2:33">
      <c r="B4236" s="14">
        <f>10000000+INDEX(编号表!$B:$B,MATCH(H4236,编号表!$A:$A,0))*100000+INDEX(编号表!$F:$F,MATCH(D4236,编号表!$E:$E,0))*10000+INDEX(编号表!$D:$D,MATCH(AG4236,编号表!$C:$C,0))*1000+F4236</f>
        <v>11814123</v>
      </c>
      <c r="C4236" t="s">
        <v>4010</v>
      </c>
      <c r="D4236" t="s">
        <v>72</v>
      </c>
      <c r="E4236" t="s">
        <v>92</v>
      </c>
      <c r="F4236">
        <v>123</v>
      </c>
      <c r="G4236">
        <v>60</v>
      </c>
      <c r="H4236" t="s">
        <v>7524</v>
      </c>
      <c r="I4236" t="s">
        <v>75</v>
      </c>
      <c r="J4236" t="s">
        <v>201</v>
      </c>
      <c r="K4236">
        <v>1</v>
      </c>
      <c r="L4236" t="s">
        <v>7524</v>
      </c>
      <c r="M4236"/>
      <c r="N4236">
        <v>0</v>
      </c>
      <c r="O4236" t="b">
        <v>1</v>
      </c>
      <c r="P4236"/>
      <c r="Q4236" t="b">
        <v>0</v>
      </c>
      <c r="R4236">
        <v>1</v>
      </c>
      <c r="S4236" t="s">
        <v>77</v>
      </c>
      <c r="T4236">
        <v>999</v>
      </c>
      <c r="U4236" t="s">
        <v>7525</v>
      </c>
      <c r="V4236">
        <f t="shared" si="5"/>
        <v>31814123</v>
      </c>
      <c r="W4236"/>
      <c r="X4236" t="s">
        <v>4011</v>
      </c>
      <c r="Y4236" t="s">
        <v>215</v>
      </c>
      <c r="Z4236">
        <v>21120</v>
      </c>
      <c r="AA4236" t="s">
        <v>4012</v>
      </c>
      <c r="AB4236">
        <v>40001</v>
      </c>
      <c r="AC4236"/>
      <c r="AD4236"/>
      <c r="AE4236" t="s">
        <v>7524</v>
      </c>
      <c r="AF4236" t="s">
        <v>7524</v>
      </c>
      <c r="AG4236" t="s">
        <v>92</v>
      </c>
    </row>
    <row r="4237" spans="2:33">
      <c r="B4237" s="14">
        <f>10000000+INDEX(编号表!$B:$B,MATCH(H4237,编号表!$A:$A,0))*100000+INDEX(编号表!$F:$F,MATCH(D4237,编号表!$E:$E,0))*10000+INDEX(编号表!$D:$D,MATCH(AG4237,编号表!$C:$C,0))*1000+F4237</f>
        <v>11814124</v>
      </c>
      <c r="C4237" t="s">
        <v>4017</v>
      </c>
      <c r="D4237" t="s">
        <v>72</v>
      </c>
      <c r="E4237" t="s">
        <v>92</v>
      </c>
      <c r="F4237">
        <v>124</v>
      </c>
      <c r="G4237">
        <v>60</v>
      </c>
      <c r="H4237" t="s">
        <v>7524</v>
      </c>
      <c r="I4237" t="s">
        <v>75</v>
      </c>
      <c r="J4237" t="s">
        <v>201</v>
      </c>
      <c r="K4237">
        <v>1</v>
      </c>
      <c r="L4237" t="s">
        <v>7524</v>
      </c>
      <c r="M4237"/>
      <c r="N4237">
        <v>0</v>
      </c>
      <c r="O4237" t="b">
        <v>1</v>
      </c>
      <c r="P4237"/>
      <c r="Q4237" t="b">
        <v>0</v>
      </c>
      <c r="R4237">
        <v>1</v>
      </c>
      <c r="S4237" t="s">
        <v>77</v>
      </c>
      <c r="T4237">
        <v>999</v>
      </c>
      <c r="U4237" t="s">
        <v>7525</v>
      </c>
      <c r="V4237">
        <f t="shared" si="5"/>
        <v>31814124</v>
      </c>
      <c r="W4237"/>
      <c r="X4237" t="s">
        <v>4018</v>
      </c>
      <c r="Y4237" t="s">
        <v>215</v>
      </c>
      <c r="Z4237">
        <v>21123</v>
      </c>
      <c r="AA4237" t="s">
        <v>4019</v>
      </c>
      <c r="AB4237">
        <v>40001</v>
      </c>
      <c r="AC4237"/>
      <c r="AD4237"/>
      <c r="AE4237" t="s">
        <v>7524</v>
      </c>
      <c r="AF4237" t="s">
        <v>7524</v>
      </c>
      <c r="AG4237" t="s">
        <v>92</v>
      </c>
    </row>
    <row r="4238" spans="2:33">
      <c r="B4238" s="14">
        <f>10000000+INDEX(编号表!$B:$B,MATCH(H4238,编号表!$A:$A,0))*100000+INDEX(编号表!$F:$F,MATCH(D4238,编号表!$E:$E,0))*10000+INDEX(编号表!$D:$D,MATCH(AG4238,编号表!$C:$C,0))*1000+F4238</f>
        <v>11825000</v>
      </c>
      <c r="C4238" t="s">
        <v>4024</v>
      </c>
      <c r="D4238" t="s">
        <v>112</v>
      </c>
      <c r="E4238" t="s">
        <v>95</v>
      </c>
      <c r="F4238">
        <v>0</v>
      </c>
      <c r="G4238">
        <v>60</v>
      </c>
      <c r="H4238" t="s">
        <v>7524</v>
      </c>
      <c r="I4238" t="s">
        <v>75</v>
      </c>
      <c r="J4238" t="s">
        <v>201</v>
      </c>
      <c r="K4238">
        <v>1</v>
      </c>
      <c r="L4238" t="s">
        <v>7524</v>
      </c>
      <c r="M4238"/>
      <c r="N4238">
        <v>0</v>
      </c>
      <c r="O4238" t="b">
        <v>1</v>
      </c>
      <c r="P4238"/>
      <c r="Q4238" t="b">
        <v>0</v>
      </c>
      <c r="R4238">
        <v>1</v>
      </c>
      <c r="S4238" t="s">
        <v>77</v>
      </c>
      <c r="T4238">
        <v>999</v>
      </c>
      <c r="U4238" t="s">
        <v>7525</v>
      </c>
      <c r="V4238">
        <f t="shared" si="5"/>
        <v>31825000</v>
      </c>
      <c r="W4238"/>
      <c r="X4238" t="s">
        <v>4025</v>
      </c>
      <c r="Y4238" t="s">
        <v>215</v>
      </c>
      <c r="Z4238">
        <v>21126</v>
      </c>
      <c r="AA4238" t="s">
        <v>4026</v>
      </c>
      <c r="AB4238">
        <v>40001</v>
      </c>
      <c r="AC4238"/>
      <c r="AD4238"/>
      <c r="AE4238" t="s">
        <v>7524</v>
      </c>
      <c r="AF4238" t="s">
        <v>7524</v>
      </c>
      <c r="AG4238" t="s">
        <v>95</v>
      </c>
    </row>
    <row r="4239" spans="2:33">
      <c r="B4239" s="14">
        <f>10000000+INDEX(编号表!$B:$B,MATCH(H4239,编号表!$A:$A,0))*100000+INDEX(编号表!$F:$F,MATCH(D4239,编号表!$E:$E,0))*10000+INDEX(编号表!$D:$D,MATCH(AG4239,编号表!$C:$C,0))*1000+F4239</f>
        <v>11825001</v>
      </c>
      <c r="C4239" t="s">
        <v>4031</v>
      </c>
      <c r="D4239" t="s">
        <v>112</v>
      </c>
      <c r="E4239" t="s">
        <v>95</v>
      </c>
      <c r="F4239">
        <v>1</v>
      </c>
      <c r="G4239">
        <v>60</v>
      </c>
      <c r="H4239" t="s">
        <v>7524</v>
      </c>
      <c r="I4239" t="s">
        <v>75</v>
      </c>
      <c r="J4239" t="s">
        <v>201</v>
      </c>
      <c r="K4239">
        <v>1</v>
      </c>
      <c r="L4239" t="s">
        <v>7524</v>
      </c>
      <c r="M4239"/>
      <c r="N4239">
        <v>0</v>
      </c>
      <c r="O4239" t="b">
        <v>1</v>
      </c>
      <c r="P4239"/>
      <c r="Q4239" t="b">
        <v>0</v>
      </c>
      <c r="R4239">
        <v>1</v>
      </c>
      <c r="S4239" t="s">
        <v>77</v>
      </c>
      <c r="T4239">
        <v>999</v>
      </c>
      <c r="U4239" t="s">
        <v>7525</v>
      </c>
      <c r="V4239">
        <f t="shared" si="5"/>
        <v>31825001</v>
      </c>
      <c r="W4239"/>
      <c r="X4239" t="s">
        <v>4032</v>
      </c>
      <c r="Y4239" t="s">
        <v>215</v>
      </c>
      <c r="Z4239">
        <v>21129</v>
      </c>
      <c r="AA4239" t="s">
        <v>4033</v>
      </c>
      <c r="AB4239">
        <v>40001</v>
      </c>
      <c r="AC4239"/>
      <c r="AD4239"/>
      <c r="AE4239" t="s">
        <v>7524</v>
      </c>
      <c r="AF4239" t="s">
        <v>7524</v>
      </c>
      <c r="AG4239" t="s">
        <v>95</v>
      </c>
    </row>
    <row r="4240" spans="2:33">
      <c r="B4240" s="14">
        <f>10000000+INDEX(编号表!$B:$B,MATCH(H4240,编号表!$A:$A,0))*100000+INDEX(编号表!$F:$F,MATCH(D4240,编号表!$E:$E,0))*10000+INDEX(编号表!$D:$D,MATCH(AG4240,编号表!$C:$C,0))*1000+F4240</f>
        <v>11825002</v>
      </c>
      <c r="C4240" t="s">
        <v>4038</v>
      </c>
      <c r="D4240" t="s">
        <v>112</v>
      </c>
      <c r="E4240" t="s">
        <v>95</v>
      </c>
      <c r="F4240">
        <v>2</v>
      </c>
      <c r="G4240">
        <v>60</v>
      </c>
      <c r="H4240" t="s">
        <v>7524</v>
      </c>
      <c r="I4240" t="s">
        <v>75</v>
      </c>
      <c r="J4240" t="s">
        <v>201</v>
      </c>
      <c r="K4240">
        <v>1</v>
      </c>
      <c r="L4240" t="s">
        <v>7524</v>
      </c>
      <c r="M4240"/>
      <c r="N4240">
        <v>0</v>
      </c>
      <c r="O4240" t="b">
        <v>1</v>
      </c>
      <c r="P4240"/>
      <c r="Q4240" t="b">
        <v>0</v>
      </c>
      <c r="R4240">
        <v>1</v>
      </c>
      <c r="S4240" t="s">
        <v>77</v>
      </c>
      <c r="T4240">
        <v>999</v>
      </c>
      <c r="U4240" t="s">
        <v>7525</v>
      </c>
      <c r="V4240">
        <f t="shared" si="5"/>
        <v>31825002</v>
      </c>
      <c r="W4240"/>
      <c r="X4240" t="s">
        <v>4039</v>
      </c>
      <c r="Y4240" t="s">
        <v>215</v>
      </c>
      <c r="Z4240">
        <v>21132</v>
      </c>
      <c r="AA4240" t="s">
        <v>4040</v>
      </c>
      <c r="AB4240">
        <v>40001</v>
      </c>
      <c r="AC4240"/>
      <c r="AD4240"/>
      <c r="AE4240" t="s">
        <v>7524</v>
      </c>
      <c r="AF4240" t="s">
        <v>7524</v>
      </c>
      <c r="AG4240" t="s">
        <v>95</v>
      </c>
    </row>
    <row r="4241" spans="2:33">
      <c r="B4241" s="14">
        <f>10000000+INDEX(编号表!$B:$B,MATCH(H4241,编号表!$A:$A,0))*100000+INDEX(编号表!$F:$F,MATCH(D4241,编号表!$E:$E,0))*10000+INDEX(编号表!$D:$D,MATCH(AG4241,编号表!$C:$C,0))*1000+F4241</f>
        <v>11825003</v>
      </c>
      <c r="C4241" t="s">
        <v>4045</v>
      </c>
      <c r="D4241" t="s">
        <v>112</v>
      </c>
      <c r="E4241" t="s">
        <v>95</v>
      </c>
      <c r="F4241">
        <v>3</v>
      </c>
      <c r="G4241">
        <v>60</v>
      </c>
      <c r="H4241" t="s">
        <v>7524</v>
      </c>
      <c r="I4241" t="s">
        <v>75</v>
      </c>
      <c r="J4241" t="s">
        <v>201</v>
      </c>
      <c r="K4241">
        <v>1</v>
      </c>
      <c r="L4241" t="s">
        <v>7524</v>
      </c>
      <c r="M4241"/>
      <c r="N4241">
        <v>0</v>
      </c>
      <c r="O4241" t="b">
        <v>1</v>
      </c>
      <c r="P4241"/>
      <c r="Q4241" t="b">
        <v>0</v>
      </c>
      <c r="R4241">
        <v>1</v>
      </c>
      <c r="S4241" t="s">
        <v>77</v>
      </c>
      <c r="T4241">
        <v>999</v>
      </c>
      <c r="U4241" t="s">
        <v>7525</v>
      </c>
      <c r="V4241">
        <f t="shared" si="5"/>
        <v>31825003</v>
      </c>
      <c r="W4241"/>
      <c r="X4241" t="s">
        <v>4046</v>
      </c>
      <c r="Y4241" t="s">
        <v>215</v>
      </c>
      <c r="Z4241">
        <v>21135</v>
      </c>
      <c r="AA4241" t="s">
        <v>4047</v>
      </c>
      <c r="AB4241">
        <v>40001</v>
      </c>
      <c r="AC4241"/>
      <c r="AD4241"/>
      <c r="AE4241" t="s">
        <v>7524</v>
      </c>
      <c r="AF4241" t="s">
        <v>7524</v>
      </c>
      <c r="AG4241" t="s">
        <v>95</v>
      </c>
    </row>
    <row r="4242" spans="2:33">
      <c r="B4242" s="14">
        <f>10000000+INDEX(编号表!$B:$B,MATCH(H4242,编号表!$A:$A,0))*100000+INDEX(编号表!$F:$F,MATCH(D4242,编号表!$E:$E,0))*10000+INDEX(编号表!$D:$D,MATCH(AG4242,编号表!$C:$C,0))*1000+F4242</f>
        <v>11825004</v>
      </c>
      <c r="C4242" t="s">
        <v>4052</v>
      </c>
      <c r="D4242" t="s">
        <v>112</v>
      </c>
      <c r="E4242" t="s">
        <v>95</v>
      </c>
      <c r="F4242">
        <v>4</v>
      </c>
      <c r="G4242">
        <v>60</v>
      </c>
      <c r="H4242" t="s">
        <v>7524</v>
      </c>
      <c r="I4242" t="s">
        <v>75</v>
      </c>
      <c r="J4242" t="s">
        <v>201</v>
      </c>
      <c r="K4242">
        <v>1</v>
      </c>
      <c r="L4242" t="s">
        <v>7524</v>
      </c>
      <c r="M4242"/>
      <c r="N4242">
        <v>0</v>
      </c>
      <c r="O4242" t="b">
        <v>1</v>
      </c>
      <c r="P4242"/>
      <c r="Q4242" t="b">
        <v>0</v>
      </c>
      <c r="R4242">
        <v>1</v>
      </c>
      <c r="S4242" t="s">
        <v>77</v>
      </c>
      <c r="T4242">
        <v>999</v>
      </c>
      <c r="U4242" t="s">
        <v>7525</v>
      </c>
      <c r="V4242">
        <f t="shared" si="5"/>
        <v>31825004</v>
      </c>
      <c r="W4242"/>
      <c r="X4242" t="s">
        <v>4053</v>
      </c>
      <c r="Y4242" t="s">
        <v>215</v>
      </c>
      <c r="Z4242">
        <v>21138</v>
      </c>
      <c r="AA4242" t="s">
        <v>4054</v>
      </c>
      <c r="AB4242">
        <v>40001</v>
      </c>
      <c r="AC4242"/>
      <c r="AD4242"/>
      <c r="AE4242" t="s">
        <v>7524</v>
      </c>
      <c r="AF4242" t="s">
        <v>7524</v>
      </c>
      <c r="AG4242" t="s">
        <v>95</v>
      </c>
    </row>
    <row r="4243" spans="2:33">
      <c r="B4243" s="14">
        <f>10000000+INDEX(编号表!$B:$B,MATCH(H4243,编号表!$A:$A,0))*100000+INDEX(编号表!$F:$F,MATCH(D4243,编号表!$E:$E,0))*10000+INDEX(编号表!$D:$D,MATCH(AG4243,编号表!$C:$C,0))*1000+F4243</f>
        <v>11825005</v>
      </c>
      <c r="C4243" t="s">
        <v>4059</v>
      </c>
      <c r="D4243" t="s">
        <v>112</v>
      </c>
      <c r="E4243" t="s">
        <v>95</v>
      </c>
      <c r="F4243">
        <v>5</v>
      </c>
      <c r="G4243">
        <v>60</v>
      </c>
      <c r="H4243" t="s">
        <v>7524</v>
      </c>
      <c r="I4243" t="s">
        <v>75</v>
      </c>
      <c r="J4243" t="s">
        <v>201</v>
      </c>
      <c r="K4243">
        <v>1</v>
      </c>
      <c r="L4243" t="s">
        <v>7524</v>
      </c>
      <c r="M4243"/>
      <c r="N4243">
        <v>0</v>
      </c>
      <c r="O4243" t="b">
        <v>1</v>
      </c>
      <c r="P4243"/>
      <c r="Q4243" t="b">
        <v>0</v>
      </c>
      <c r="R4243">
        <v>1</v>
      </c>
      <c r="S4243" t="s">
        <v>77</v>
      </c>
      <c r="T4243">
        <v>999</v>
      </c>
      <c r="U4243" t="s">
        <v>7525</v>
      </c>
      <c r="V4243">
        <f t="shared" si="5"/>
        <v>31825005</v>
      </c>
      <c r="W4243"/>
      <c r="X4243" t="s">
        <v>4060</v>
      </c>
      <c r="Y4243" t="s">
        <v>215</v>
      </c>
      <c r="Z4243">
        <v>21141</v>
      </c>
      <c r="AA4243" t="s">
        <v>4061</v>
      </c>
      <c r="AB4243">
        <v>40001</v>
      </c>
      <c r="AC4243"/>
      <c r="AD4243"/>
      <c r="AE4243" t="s">
        <v>7524</v>
      </c>
      <c r="AF4243" t="s">
        <v>7524</v>
      </c>
      <c r="AG4243" t="s">
        <v>95</v>
      </c>
    </row>
    <row r="4244" spans="2:33">
      <c r="B4244" s="14">
        <f>10000000+INDEX(编号表!$B:$B,MATCH(H4244,编号表!$A:$A,0))*100000+INDEX(编号表!$F:$F,MATCH(D4244,编号表!$E:$E,0))*10000+INDEX(编号表!$D:$D,MATCH(AG4244,编号表!$C:$C,0))*1000+F4244</f>
        <v>11825006</v>
      </c>
      <c r="C4244" t="s">
        <v>4066</v>
      </c>
      <c r="D4244" t="s">
        <v>112</v>
      </c>
      <c r="E4244" t="s">
        <v>95</v>
      </c>
      <c r="F4244">
        <v>6</v>
      </c>
      <c r="G4244">
        <v>60</v>
      </c>
      <c r="H4244" t="s">
        <v>7524</v>
      </c>
      <c r="I4244" t="s">
        <v>75</v>
      </c>
      <c r="J4244" t="s">
        <v>201</v>
      </c>
      <c r="K4244">
        <v>1</v>
      </c>
      <c r="L4244" t="s">
        <v>7524</v>
      </c>
      <c r="M4244"/>
      <c r="N4244">
        <v>0</v>
      </c>
      <c r="O4244" t="b">
        <v>1</v>
      </c>
      <c r="P4244"/>
      <c r="Q4244" t="b">
        <v>0</v>
      </c>
      <c r="R4244">
        <v>1</v>
      </c>
      <c r="S4244" t="s">
        <v>77</v>
      </c>
      <c r="T4244">
        <v>999</v>
      </c>
      <c r="U4244" t="s">
        <v>7525</v>
      </c>
      <c r="V4244">
        <f t="shared" si="5"/>
        <v>31825006</v>
      </c>
      <c r="W4244"/>
      <c r="X4244" t="s">
        <v>4067</v>
      </c>
      <c r="Y4244" t="s">
        <v>215</v>
      </c>
      <c r="Z4244">
        <v>21144</v>
      </c>
      <c r="AA4244" t="s">
        <v>4068</v>
      </c>
      <c r="AB4244">
        <v>40001</v>
      </c>
      <c r="AC4244"/>
      <c r="AD4244"/>
      <c r="AE4244" t="s">
        <v>7524</v>
      </c>
      <c r="AF4244" t="s">
        <v>7524</v>
      </c>
      <c r="AG4244" t="s">
        <v>95</v>
      </c>
    </row>
    <row r="4245" spans="2:33">
      <c r="B4245" s="14">
        <f>10000000+INDEX(编号表!$B:$B,MATCH(H4245,编号表!$A:$A,0))*100000+INDEX(编号表!$F:$F,MATCH(D4245,编号表!$E:$E,0))*10000+INDEX(编号表!$D:$D,MATCH(AG4245,编号表!$C:$C,0))*1000+F4245</f>
        <v>11825007</v>
      </c>
      <c r="C4245" t="s">
        <v>4073</v>
      </c>
      <c r="D4245" t="s">
        <v>112</v>
      </c>
      <c r="E4245" t="s">
        <v>95</v>
      </c>
      <c r="F4245">
        <v>7</v>
      </c>
      <c r="G4245">
        <v>60</v>
      </c>
      <c r="H4245" t="s">
        <v>7524</v>
      </c>
      <c r="I4245" t="s">
        <v>75</v>
      </c>
      <c r="J4245" t="s">
        <v>201</v>
      </c>
      <c r="K4245">
        <v>1</v>
      </c>
      <c r="L4245" t="s">
        <v>7524</v>
      </c>
      <c r="M4245"/>
      <c r="N4245">
        <v>0</v>
      </c>
      <c r="O4245" t="b">
        <v>1</v>
      </c>
      <c r="P4245"/>
      <c r="Q4245" t="b">
        <v>0</v>
      </c>
      <c r="R4245">
        <v>1</v>
      </c>
      <c r="S4245" t="s">
        <v>77</v>
      </c>
      <c r="T4245">
        <v>999</v>
      </c>
      <c r="U4245" t="s">
        <v>7525</v>
      </c>
      <c r="V4245">
        <f t="shared" si="5"/>
        <v>31825007</v>
      </c>
      <c r="W4245"/>
      <c r="X4245" t="s">
        <v>4074</v>
      </c>
      <c r="Y4245" t="s">
        <v>215</v>
      </c>
      <c r="Z4245">
        <v>21147</v>
      </c>
      <c r="AA4245" t="s">
        <v>4075</v>
      </c>
      <c r="AB4245">
        <v>40001</v>
      </c>
      <c r="AC4245"/>
      <c r="AD4245"/>
      <c r="AE4245" t="s">
        <v>7524</v>
      </c>
      <c r="AF4245" t="s">
        <v>7524</v>
      </c>
      <c r="AG4245" t="s">
        <v>95</v>
      </c>
    </row>
    <row r="4246" spans="2:33">
      <c r="B4246" s="14">
        <f>10000000+INDEX(编号表!$B:$B,MATCH(H4246,编号表!$A:$A,0))*100000+INDEX(编号表!$F:$F,MATCH(D4246,编号表!$E:$E,0))*10000+INDEX(编号表!$D:$D,MATCH(AG4246,编号表!$C:$C,0))*1000+F4246</f>
        <v>11825008</v>
      </c>
      <c r="C4246" t="s">
        <v>4080</v>
      </c>
      <c r="D4246" t="s">
        <v>112</v>
      </c>
      <c r="E4246" t="s">
        <v>95</v>
      </c>
      <c r="F4246">
        <v>8</v>
      </c>
      <c r="G4246">
        <v>60</v>
      </c>
      <c r="H4246" t="s">
        <v>7524</v>
      </c>
      <c r="I4246" t="s">
        <v>75</v>
      </c>
      <c r="J4246" t="s">
        <v>201</v>
      </c>
      <c r="K4246">
        <v>1</v>
      </c>
      <c r="L4246" t="s">
        <v>7524</v>
      </c>
      <c r="M4246"/>
      <c r="N4246">
        <v>0</v>
      </c>
      <c r="O4246" t="b">
        <v>1</v>
      </c>
      <c r="P4246"/>
      <c r="Q4246" t="b">
        <v>0</v>
      </c>
      <c r="R4246">
        <v>1</v>
      </c>
      <c r="S4246" t="s">
        <v>77</v>
      </c>
      <c r="T4246">
        <v>999</v>
      </c>
      <c r="U4246" t="s">
        <v>7525</v>
      </c>
      <c r="V4246">
        <f t="shared" si="5"/>
        <v>31825008</v>
      </c>
      <c r="W4246"/>
      <c r="X4246" t="s">
        <v>4081</v>
      </c>
      <c r="Y4246" t="s">
        <v>215</v>
      </c>
      <c r="Z4246">
        <v>21150</v>
      </c>
      <c r="AA4246" t="s">
        <v>4082</v>
      </c>
      <c r="AB4246">
        <v>40001</v>
      </c>
      <c r="AC4246"/>
      <c r="AD4246"/>
      <c r="AE4246" t="s">
        <v>7524</v>
      </c>
      <c r="AF4246" t="s">
        <v>7524</v>
      </c>
      <c r="AG4246" t="s">
        <v>95</v>
      </c>
    </row>
    <row r="4247" spans="2:33">
      <c r="B4247" s="14">
        <f>10000000+INDEX(编号表!$B:$B,MATCH(H4247,编号表!$A:$A,0))*100000+INDEX(编号表!$F:$F,MATCH(D4247,编号表!$E:$E,0))*10000+INDEX(编号表!$D:$D,MATCH(AG4247,编号表!$C:$C,0))*1000+F4247</f>
        <v>11825009</v>
      </c>
      <c r="C4247" t="s">
        <v>4087</v>
      </c>
      <c r="D4247" t="s">
        <v>112</v>
      </c>
      <c r="E4247" t="s">
        <v>95</v>
      </c>
      <c r="F4247">
        <v>9</v>
      </c>
      <c r="G4247">
        <v>60</v>
      </c>
      <c r="H4247" t="s">
        <v>7524</v>
      </c>
      <c r="I4247" t="s">
        <v>75</v>
      </c>
      <c r="J4247" t="s">
        <v>201</v>
      </c>
      <c r="K4247">
        <v>1</v>
      </c>
      <c r="L4247" t="s">
        <v>7524</v>
      </c>
      <c r="M4247"/>
      <c r="N4247">
        <v>0</v>
      </c>
      <c r="O4247" t="b">
        <v>1</v>
      </c>
      <c r="P4247"/>
      <c r="Q4247" t="b">
        <v>0</v>
      </c>
      <c r="R4247">
        <v>1</v>
      </c>
      <c r="S4247" t="s">
        <v>77</v>
      </c>
      <c r="T4247">
        <v>999</v>
      </c>
      <c r="U4247" t="s">
        <v>7525</v>
      </c>
      <c r="V4247">
        <f t="shared" si="5"/>
        <v>31825009</v>
      </c>
      <c r="W4247"/>
      <c r="X4247" t="s">
        <v>4088</v>
      </c>
      <c r="Y4247" t="s">
        <v>215</v>
      </c>
      <c r="Z4247">
        <v>21153</v>
      </c>
      <c r="AA4247" t="s">
        <v>4089</v>
      </c>
      <c r="AB4247">
        <v>40001</v>
      </c>
      <c r="AC4247"/>
      <c r="AD4247"/>
      <c r="AE4247" t="s">
        <v>7524</v>
      </c>
      <c r="AF4247" t="s">
        <v>7524</v>
      </c>
      <c r="AG4247" t="s">
        <v>95</v>
      </c>
    </row>
    <row r="4248" spans="2:33">
      <c r="B4248" s="14">
        <f>10000000+INDEX(编号表!$B:$B,MATCH(H4248,编号表!$A:$A,0))*100000+INDEX(编号表!$F:$F,MATCH(D4248,编号表!$E:$E,0))*10000+INDEX(编号表!$D:$D,MATCH(AG4248,编号表!$C:$C,0))*1000+F4248</f>
        <v>11825010</v>
      </c>
      <c r="C4248" t="s">
        <v>4094</v>
      </c>
      <c r="D4248" t="s">
        <v>112</v>
      </c>
      <c r="E4248" t="s">
        <v>95</v>
      </c>
      <c r="F4248">
        <v>10</v>
      </c>
      <c r="G4248">
        <v>60</v>
      </c>
      <c r="H4248" t="s">
        <v>7524</v>
      </c>
      <c r="I4248" t="s">
        <v>75</v>
      </c>
      <c r="J4248" t="s">
        <v>201</v>
      </c>
      <c r="K4248">
        <v>1</v>
      </c>
      <c r="L4248" t="s">
        <v>7524</v>
      </c>
      <c r="M4248"/>
      <c r="N4248">
        <v>0</v>
      </c>
      <c r="O4248" t="b">
        <v>1</v>
      </c>
      <c r="P4248"/>
      <c r="Q4248" t="b">
        <v>0</v>
      </c>
      <c r="R4248">
        <v>1</v>
      </c>
      <c r="S4248" t="s">
        <v>77</v>
      </c>
      <c r="T4248">
        <v>999</v>
      </c>
      <c r="U4248" t="s">
        <v>7525</v>
      </c>
      <c r="V4248">
        <f t="shared" ref="V4248:V4311" si="6">B4248+20000000</f>
        <v>31825010</v>
      </c>
      <c r="W4248"/>
      <c r="X4248" t="s">
        <v>4095</v>
      </c>
      <c r="Y4248" t="s">
        <v>215</v>
      </c>
      <c r="Z4248">
        <v>21156</v>
      </c>
      <c r="AA4248" t="s">
        <v>4096</v>
      </c>
      <c r="AB4248">
        <v>40001</v>
      </c>
      <c r="AC4248"/>
      <c r="AD4248"/>
      <c r="AE4248" t="s">
        <v>7524</v>
      </c>
      <c r="AF4248" t="s">
        <v>7524</v>
      </c>
      <c r="AG4248" t="s">
        <v>95</v>
      </c>
    </row>
    <row r="4249" spans="2:33">
      <c r="B4249" s="14">
        <f>10000000+INDEX(编号表!$B:$B,MATCH(H4249,编号表!$A:$A,0))*100000+INDEX(编号表!$F:$F,MATCH(D4249,编号表!$E:$E,0))*10000+INDEX(编号表!$D:$D,MATCH(AG4249,编号表!$C:$C,0))*1000+F4249</f>
        <v>11825011</v>
      </c>
      <c r="C4249" t="s">
        <v>4101</v>
      </c>
      <c r="D4249" t="s">
        <v>112</v>
      </c>
      <c r="E4249" t="s">
        <v>95</v>
      </c>
      <c r="F4249">
        <v>11</v>
      </c>
      <c r="G4249">
        <v>60</v>
      </c>
      <c r="H4249" t="s">
        <v>7524</v>
      </c>
      <c r="I4249" t="s">
        <v>75</v>
      </c>
      <c r="J4249" t="s">
        <v>201</v>
      </c>
      <c r="K4249">
        <v>1</v>
      </c>
      <c r="L4249" t="s">
        <v>7524</v>
      </c>
      <c r="M4249"/>
      <c r="N4249">
        <v>0</v>
      </c>
      <c r="O4249" t="b">
        <v>1</v>
      </c>
      <c r="P4249"/>
      <c r="Q4249" t="b">
        <v>0</v>
      </c>
      <c r="R4249">
        <v>1</v>
      </c>
      <c r="S4249" t="s">
        <v>77</v>
      </c>
      <c r="T4249">
        <v>999</v>
      </c>
      <c r="U4249" t="s">
        <v>7525</v>
      </c>
      <c r="V4249">
        <f t="shared" si="6"/>
        <v>31825011</v>
      </c>
      <c r="W4249"/>
      <c r="X4249" t="s">
        <v>4102</v>
      </c>
      <c r="Y4249" t="s">
        <v>215</v>
      </c>
      <c r="Z4249">
        <v>21159</v>
      </c>
      <c r="AA4249" t="s">
        <v>4103</v>
      </c>
      <c r="AB4249">
        <v>40001</v>
      </c>
      <c r="AC4249"/>
      <c r="AD4249"/>
      <c r="AE4249" t="s">
        <v>7524</v>
      </c>
      <c r="AF4249" t="s">
        <v>7524</v>
      </c>
      <c r="AG4249" t="s">
        <v>95</v>
      </c>
    </row>
    <row r="4250" spans="2:33">
      <c r="B4250" s="14">
        <f>10000000+INDEX(编号表!$B:$B,MATCH(H4250,编号表!$A:$A,0))*100000+INDEX(编号表!$F:$F,MATCH(D4250,编号表!$E:$E,0))*10000+INDEX(编号表!$D:$D,MATCH(AG4250,编号表!$C:$C,0))*1000+F4250</f>
        <v>11825012</v>
      </c>
      <c r="C4250" t="s">
        <v>4108</v>
      </c>
      <c r="D4250" t="s">
        <v>112</v>
      </c>
      <c r="E4250" t="s">
        <v>95</v>
      </c>
      <c r="F4250">
        <v>12</v>
      </c>
      <c r="G4250">
        <v>60</v>
      </c>
      <c r="H4250" t="s">
        <v>7524</v>
      </c>
      <c r="I4250" t="s">
        <v>75</v>
      </c>
      <c r="J4250" t="s">
        <v>201</v>
      </c>
      <c r="K4250">
        <v>1</v>
      </c>
      <c r="L4250" t="s">
        <v>7524</v>
      </c>
      <c r="M4250"/>
      <c r="N4250">
        <v>0</v>
      </c>
      <c r="O4250" t="b">
        <v>1</v>
      </c>
      <c r="P4250"/>
      <c r="Q4250" t="b">
        <v>0</v>
      </c>
      <c r="R4250">
        <v>1</v>
      </c>
      <c r="S4250" t="s">
        <v>77</v>
      </c>
      <c r="T4250">
        <v>999</v>
      </c>
      <c r="U4250" t="s">
        <v>7525</v>
      </c>
      <c r="V4250">
        <f t="shared" si="6"/>
        <v>31825012</v>
      </c>
      <c r="W4250"/>
      <c r="X4250" t="s">
        <v>4109</v>
      </c>
      <c r="Y4250" t="s">
        <v>215</v>
      </c>
      <c r="Z4250">
        <v>21162</v>
      </c>
      <c r="AA4250" t="s">
        <v>4110</v>
      </c>
      <c r="AB4250">
        <v>40001</v>
      </c>
      <c r="AC4250"/>
      <c r="AD4250"/>
      <c r="AE4250" t="s">
        <v>7524</v>
      </c>
      <c r="AF4250" t="s">
        <v>7524</v>
      </c>
      <c r="AG4250" t="s">
        <v>95</v>
      </c>
    </row>
    <row r="4251" spans="2:33">
      <c r="B4251" s="14">
        <f>10000000+INDEX(编号表!$B:$B,MATCH(H4251,编号表!$A:$A,0))*100000+INDEX(编号表!$F:$F,MATCH(D4251,编号表!$E:$E,0))*10000+INDEX(编号表!$D:$D,MATCH(AG4251,编号表!$C:$C,0))*1000+F4251</f>
        <v>11825013</v>
      </c>
      <c r="C4251" t="s">
        <v>4115</v>
      </c>
      <c r="D4251" t="s">
        <v>112</v>
      </c>
      <c r="E4251" t="s">
        <v>95</v>
      </c>
      <c r="F4251">
        <v>13</v>
      </c>
      <c r="G4251">
        <v>60</v>
      </c>
      <c r="H4251" t="s">
        <v>7524</v>
      </c>
      <c r="I4251" t="s">
        <v>75</v>
      </c>
      <c r="J4251" t="s">
        <v>201</v>
      </c>
      <c r="K4251">
        <v>1</v>
      </c>
      <c r="L4251" t="s">
        <v>7524</v>
      </c>
      <c r="M4251"/>
      <c r="N4251">
        <v>0</v>
      </c>
      <c r="O4251" t="b">
        <v>1</v>
      </c>
      <c r="P4251"/>
      <c r="Q4251" t="b">
        <v>0</v>
      </c>
      <c r="R4251">
        <v>1</v>
      </c>
      <c r="S4251" t="s">
        <v>77</v>
      </c>
      <c r="T4251">
        <v>999</v>
      </c>
      <c r="U4251" t="s">
        <v>7525</v>
      </c>
      <c r="V4251">
        <f t="shared" si="6"/>
        <v>31825013</v>
      </c>
      <c r="W4251"/>
      <c r="X4251" t="s">
        <v>4116</v>
      </c>
      <c r="Y4251" t="s">
        <v>215</v>
      </c>
      <c r="Z4251">
        <v>21165</v>
      </c>
      <c r="AA4251" t="s">
        <v>4117</v>
      </c>
      <c r="AB4251">
        <v>40001</v>
      </c>
      <c r="AC4251"/>
      <c r="AD4251"/>
      <c r="AE4251" t="s">
        <v>7524</v>
      </c>
      <c r="AF4251" t="s">
        <v>7524</v>
      </c>
      <c r="AG4251" t="s">
        <v>95</v>
      </c>
    </row>
    <row r="4252" spans="2:33">
      <c r="B4252" s="14">
        <f>10000000+INDEX(编号表!$B:$B,MATCH(H4252,编号表!$A:$A,0))*100000+INDEX(编号表!$F:$F,MATCH(D4252,编号表!$E:$E,0))*10000+INDEX(编号表!$D:$D,MATCH(AG4252,编号表!$C:$C,0))*1000+F4252</f>
        <v>11825014</v>
      </c>
      <c r="C4252" t="s">
        <v>4122</v>
      </c>
      <c r="D4252" t="s">
        <v>112</v>
      </c>
      <c r="E4252" t="s">
        <v>95</v>
      </c>
      <c r="F4252">
        <v>14</v>
      </c>
      <c r="G4252">
        <v>60</v>
      </c>
      <c r="H4252" t="s">
        <v>7524</v>
      </c>
      <c r="I4252" t="s">
        <v>75</v>
      </c>
      <c r="J4252" t="s">
        <v>201</v>
      </c>
      <c r="K4252">
        <v>1</v>
      </c>
      <c r="L4252" t="s">
        <v>7524</v>
      </c>
      <c r="M4252"/>
      <c r="N4252">
        <v>0</v>
      </c>
      <c r="O4252" t="b">
        <v>1</v>
      </c>
      <c r="P4252"/>
      <c r="Q4252" t="b">
        <v>0</v>
      </c>
      <c r="R4252">
        <v>1</v>
      </c>
      <c r="S4252" t="s">
        <v>77</v>
      </c>
      <c r="T4252">
        <v>999</v>
      </c>
      <c r="U4252" t="s">
        <v>7525</v>
      </c>
      <c r="V4252">
        <f t="shared" si="6"/>
        <v>31825014</v>
      </c>
      <c r="W4252"/>
      <c r="X4252" t="s">
        <v>4123</v>
      </c>
      <c r="Y4252" t="s">
        <v>215</v>
      </c>
      <c r="Z4252">
        <v>21168</v>
      </c>
      <c r="AA4252" t="s">
        <v>4124</v>
      </c>
      <c r="AB4252">
        <v>40001</v>
      </c>
      <c r="AC4252"/>
      <c r="AD4252"/>
      <c r="AE4252" t="s">
        <v>7524</v>
      </c>
      <c r="AF4252" t="s">
        <v>7524</v>
      </c>
      <c r="AG4252" t="s">
        <v>95</v>
      </c>
    </row>
    <row r="4253" spans="2:33">
      <c r="B4253" s="14">
        <f>10000000+INDEX(编号表!$B:$B,MATCH(H4253,编号表!$A:$A,0))*100000+INDEX(编号表!$F:$F,MATCH(D4253,编号表!$E:$E,0))*10000+INDEX(编号表!$D:$D,MATCH(AG4253,编号表!$C:$C,0))*1000+F4253</f>
        <v>11825015</v>
      </c>
      <c r="C4253" t="s">
        <v>4129</v>
      </c>
      <c r="D4253" t="s">
        <v>112</v>
      </c>
      <c r="E4253" t="s">
        <v>95</v>
      </c>
      <c r="F4253">
        <v>15</v>
      </c>
      <c r="G4253">
        <v>60</v>
      </c>
      <c r="H4253" t="s">
        <v>7524</v>
      </c>
      <c r="I4253" t="s">
        <v>75</v>
      </c>
      <c r="J4253" t="s">
        <v>201</v>
      </c>
      <c r="K4253">
        <v>1</v>
      </c>
      <c r="L4253" t="s">
        <v>7524</v>
      </c>
      <c r="M4253"/>
      <c r="N4253">
        <v>0</v>
      </c>
      <c r="O4253" t="b">
        <v>1</v>
      </c>
      <c r="P4253"/>
      <c r="Q4253" t="b">
        <v>0</v>
      </c>
      <c r="R4253">
        <v>1</v>
      </c>
      <c r="S4253" t="s">
        <v>77</v>
      </c>
      <c r="T4253">
        <v>999</v>
      </c>
      <c r="U4253" t="s">
        <v>7525</v>
      </c>
      <c r="V4253">
        <f t="shared" si="6"/>
        <v>31825015</v>
      </c>
      <c r="W4253"/>
      <c r="X4253" t="s">
        <v>4130</v>
      </c>
      <c r="Y4253" t="s">
        <v>215</v>
      </c>
      <c r="Z4253">
        <v>21171</v>
      </c>
      <c r="AA4253" t="s">
        <v>4131</v>
      </c>
      <c r="AB4253">
        <v>40001</v>
      </c>
      <c r="AC4253"/>
      <c r="AD4253"/>
      <c r="AE4253" t="s">
        <v>7524</v>
      </c>
      <c r="AF4253" t="s">
        <v>7524</v>
      </c>
      <c r="AG4253" t="s">
        <v>95</v>
      </c>
    </row>
    <row r="4254" spans="2:33">
      <c r="B4254" s="14">
        <f>10000000+INDEX(编号表!$B:$B,MATCH(H4254,编号表!$A:$A,0))*100000+INDEX(编号表!$F:$F,MATCH(D4254,编号表!$E:$E,0))*10000+INDEX(编号表!$D:$D,MATCH(AG4254,编号表!$C:$C,0))*1000+F4254</f>
        <v>11825016</v>
      </c>
      <c r="C4254" t="s">
        <v>4136</v>
      </c>
      <c r="D4254" t="s">
        <v>112</v>
      </c>
      <c r="E4254" t="s">
        <v>95</v>
      </c>
      <c r="F4254">
        <v>16</v>
      </c>
      <c r="G4254">
        <v>60</v>
      </c>
      <c r="H4254" t="s">
        <v>7524</v>
      </c>
      <c r="I4254" t="s">
        <v>75</v>
      </c>
      <c r="J4254" t="s">
        <v>201</v>
      </c>
      <c r="K4254">
        <v>1</v>
      </c>
      <c r="L4254" t="s">
        <v>7524</v>
      </c>
      <c r="M4254"/>
      <c r="N4254">
        <v>0</v>
      </c>
      <c r="O4254" t="b">
        <v>1</v>
      </c>
      <c r="P4254"/>
      <c r="Q4254" t="b">
        <v>0</v>
      </c>
      <c r="R4254">
        <v>1</v>
      </c>
      <c r="S4254" t="s">
        <v>77</v>
      </c>
      <c r="T4254">
        <v>999</v>
      </c>
      <c r="U4254" t="s">
        <v>7525</v>
      </c>
      <c r="V4254">
        <f t="shared" si="6"/>
        <v>31825016</v>
      </c>
      <c r="W4254"/>
      <c r="X4254" t="s">
        <v>4137</v>
      </c>
      <c r="Y4254" t="s">
        <v>215</v>
      </c>
      <c r="Z4254">
        <v>21174</v>
      </c>
      <c r="AA4254" t="s">
        <v>4138</v>
      </c>
      <c r="AB4254">
        <v>40001</v>
      </c>
      <c r="AC4254"/>
      <c r="AD4254"/>
      <c r="AE4254" t="s">
        <v>7524</v>
      </c>
      <c r="AF4254" t="s">
        <v>7524</v>
      </c>
      <c r="AG4254" t="s">
        <v>95</v>
      </c>
    </row>
    <row r="4255" spans="2:33">
      <c r="B4255" s="14">
        <f>10000000+INDEX(编号表!$B:$B,MATCH(H4255,编号表!$A:$A,0))*100000+INDEX(编号表!$F:$F,MATCH(D4255,编号表!$E:$E,0))*10000+INDEX(编号表!$D:$D,MATCH(AG4255,编号表!$C:$C,0))*1000+F4255</f>
        <v>11825017</v>
      </c>
      <c r="C4255" t="s">
        <v>4143</v>
      </c>
      <c r="D4255" t="s">
        <v>112</v>
      </c>
      <c r="E4255" t="s">
        <v>95</v>
      </c>
      <c r="F4255">
        <v>17</v>
      </c>
      <c r="G4255">
        <v>60</v>
      </c>
      <c r="H4255" t="s">
        <v>7524</v>
      </c>
      <c r="I4255" t="s">
        <v>75</v>
      </c>
      <c r="J4255" t="s">
        <v>201</v>
      </c>
      <c r="K4255">
        <v>1</v>
      </c>
      <c r="L4255" t="s">
        <v>7524</v>
      </c>
      <c r="M4255"/>
      <c r="N4255">
        <v>0</v>
      </c>
      <c r="O4255" t="b">
        <v>1</v>
      </c>
      <c r="P4255"/>
      <c r="Q4255" t="b">
        <v>0</v>
      </c>
      <c r="R4255">
        <v>1</v>
      </c>
      <c r="S4255" t="s">
        <v>77</v>
      </c>
      <c r="T4255">
        <v>999</v>
      </c>
      <c r="U4255" t="s">
        <v>7525</v>
      </c>
      <c r="V4255">
        <f t="shared" si="6"/>
        <v>31825017</v>
      </c>
      <c r="W4255"/>
      <c r="X4255" t="s">
        <v>4144</v>
      </c>
      <c r="Y4255" t="s">
        <v>215</v>
      </c>
      <c r="Z4255">
        <v>21177</v>
      </c>
      <c r="AA4255" t="s">
        <v>4145</v>
      </c>
      <c r="AB4255">
        <v>40001</v>
      </c>
      <c r="AC4255"/>
      <c r="AD4255"/>
      <c r="AE4255" t="s">
        <v>7524</v>
      </c>
      <c r="AF4255" t="s">
        <v>7524</v>
      </c>
      <c r="AG4255" t="s">
        <v>95</v>
      </c>
    </row>
    <row r="4256" spans="2:33">
      <c r="B4256" s="14">
        <f>10000000+INDEX(编号表!$B:$B,MATCH(H4256,编号表!$A:$A,0))*100000+INDEX(编号表!$F:$F,MATCH(D4256,编号表!$E:$E,0))*10000+INDEX(编号表!$D:$D,MATCH(AG4256,编号表!$C:$C,0))*1000+F4256</f>
        <v>11825018</v>
      </c>
      <c r="C4256" t="s">
        <v>4150</v>
      </c>
      <c r="D4256" t="s">
        <v>112</v>
      </c>
      <c r="E4256" t="s">
        <v>95</v>
      </c>
      <c r="F4256">
        <v>18</v>
      </c>
      <c r="G4256">
        <v>60</v>
      </c>
      <c r="H4256" t="s">
        <v>7524</v>
      </c>
      <c r="I4256" t="s">
        <v>75</v>
      </c>
      <c r="J4256" t="s">
        <v>201</v>
      </c>
      <c r="K4256">
        <v>1</v>
      </c>
      <c r="L4256" t="s">
        <v>7524</v>
      </c>
      <c r="M4256"/>
      <c r="N4256">
        <v>0</v>
      </c>
      <c r="O4256" t="b">
        <v>1</v>
      </c>
      <c r="P4256"/>
      <c r="Q4256" t="b">
        <v>0</v>
      </c>
      <c r="R4256">
        <v>1</v>
      </c>
      <c r="S4256" t="s">
        <v>77</v>
      </c>
      <c r="T4256">
        <v>999</v>
      </c>
      <c r="U4256" t="s">
        <v>7525</v>
      </c>
      <c r="V4256">
        <f t="shared" si="6"/>
        <v>31825018</v>
      </c>
      <c r="W4256"/>
      <c r="X4256" t="s">
        <v>4151</v>
      </c>
      <c r="Y4256" t="s">
        <v>215</v>
      </c>
      <c r="Z4256">
        <v>21180</v>
      </c>
      <c r="AA4256" t="s">
        <v>4152</v>
      </c>
      <c r="AB4256">
        <v>40001</v>
      </c>
      <c r="AC4256"/>
      <c r="AD4256"/>
      <c r="AE4256" t="s">
        <v>7524</v>
      </c>
      <c r="AF4256" t="s">
        <v>7524</v>
      </c>
      <c r="AG4256" t="s">
        <v>95</v>
      </c>
    </row>
    <row r="4257" spans="2:33">
      <c r="B4257" s="14">
        <f>10000000+INDEX(编号表!$B:$B,MATCH(H4257,编号表!$A:$A,0))*100000+INDEX(编号表!$F:$F,MATCH(D4257,编号表!$E:$E,0))*10000+INDEX(编号表!$D:$D,MATCH(AG4257,编号表!$C:$C,0))*1000+F4257</f>
        <v>11825019</v>
      </c>
      <c r="C4257" t="s">
        <v>4157</v>
      </c>
      <c r="D4257" t="s">
        <v>112</v>
      </c>
      <c r="E4257" t="s">
        <v>95</v>
      </c>
      <c r="F4257">
        <v>19</v>
      </c>
      <c r="G4257">
        <v>60</v>
      </c>
      <c r="H4257" t="s">
        <v>7524</v>
      </c>
      <c r="I4257" t="s">
        <v>75</v>
      </c>
      <c r="J4257" t="s">
        <v>201</v>
      </c>
      <c r="K4257">
        <v>1</v>
      </c>
      <c r="L4257" t="s">
        <v>7524</v>
      </c>
      <c r="M4257"/>
      <c r="N4257">
        <v>0</v>
      </c>
      <c r="O4257" t="b">
        <v>1</v>
      </c>
      <c r="P4257"/>
      <c r="Q4257" t="b">
        <v>0</v>
      </c>
      <c r="R4257">
        <v>1</v>
      </c>
      <c r="S4257" t="s">
        <v>77</v>
      </c>
      <c r="T4257">
        <v>999</v>
      </c>
      <c r="U4257" t="s">
        <v>7525</v>
      </c>
      <c r="V4257">
        <f t="shared" si="6"/>
        <v>31825019</v>
      </c>
      <c r="W4257"/>
      <c r="X4257" t="s">
        <v>4158</v>
      </c>
      <c r="Y4257" t="s">
        <v>215</v>
      </c>
      <c r="Z4257">
        <v>21183</v>
      </c>
      <c r="AA4257" t="s">
        <v>4159</v>
      </c>
      <c r="AB4257">
        <v>40001</v>
      </c>
      <c r="AC4257"/>
      <c r="AD4257"/>
      <c r="AE4257" t="s">
        <v>7524</v>
      </c>
      <c r="AF4257" t="s">
        <v>7524</v>
      </c>
      <c r="AG4257" t="s">
        <v>95</v>
      </c>
    </row>
    <row r="4258" spans="2:33">
      <c r="B4258" s="14">
        <f>10000000+INDEX(编号表!$B:$B,MATCH(H4258,编号表!$A:$A,0))*100000+INDEX(编号表!$F:$F,MATCH(D4258,编号表!$E:$E,0))*10000+INDEX(编号表!$D:$D,MATCH(AG4258,编号表!$C:$C,0))*1000+F4258</f>
        <v>11825020</v>
      </c>
      <c r="C4258" t="s">
        <v>4164</v>
      </c>
      <c r="D4258" t="s">
        <v>112</v>
      </c>
      <c r="E4258" t="s">
        <v>95</v>
      </c>
      <c r="F4258">
        <v>20</v>
      </c>
      <c r="G4258">
        <v>60</v>
      </c>
      <c r="H4258" t="s">
        <v>7524</v>
      </c>
      <c r="I4258" t="s">
        <v>75</v>
      </c>
      <c r="J4258" t="s">
        <v>201</v>
      </c>
      <c r="K4258">
        <v>1</v>
      </c>
      <c r="L4258" t="s">
        <v>7524</v>
      </c>
      <c r="M4258"/>
      <c r="N4258">
        <v>0</v>
      </c>
      <c r="O4258" t="b">
        <v>1</v>
      </c>
      <c r="P4258"/>
      <c r="Q4258" t="b">
        <v>0</v>
      </c>
      <c r="R4258">
        <v>1</v>
      </c>
      <c r="S4258" t="s">
        <v>77</v>
      </c>
      <c r="T4258">
        <v>999</v>
      </c>
      <c r="U4258" t="s">
        <v>7525</v>
      </c>
      <c r="V4258">
        <f t="shared" si="6"/>
        <v>31825020</v>
      </c>
      <c r="W4258"/>
      <c r="X4258" t="s">
        <v>4165</v>
      </c>
      <c r="Y4258" t="s">
        <v>215</v>
      </c>
      <c r="Z4258">
        <v>21186</v>
      </c>
      <c r="AA4258" t="s">
        <v>4166</v>
      </c>
      <c r="AB4258">
        <v>40001</v>
      </c>
      <c r="AC4258"/>
      <c r="AD4258"/>
      <c r="AE4258" t="s">
        <v>7524</v>
      </c>
      <c r="AF4258" t="s">
        <v>7524</v>
      </c>
      <c r="AG4258" t="s">
        <v>95</v>
      </c>
    </row>
    <row r="4259" spans="2:33">
      <c r="B4259" s="14">
        <f>10000000+INDEX(编号表!$B:$B,MATCH(H4259,编号表!$A:$A,0))*100000+INDEX(编号表!$F:$F,MATCH(D4259,编号表!$E:$E,0))*10000+INDEX(编号表!$D:$D,MATCH(AG4259,编号表!$C:$C,0))*1000+F4259</f>
        <v>11825021</v>
      </c>
      <c r="C4259" t="s">
        <v>4171</v>
      </c>
      <c r="D4259" t="s">
        <v>112</v>
      </c>
      <c r="E4259" t="s">
        <v>95</v>
      </c>
      <c r="F4259">
        <v>21</v>
      </c>
      <c r="G4259">
        <v>60</v>
      </c>
      <c r="H4259" t="s">
        <v>7524</v>
      </c>
      <c r="I4259" t="s">
        <v>75</v>
      </c>
      <c r="J4259" t="s">
        <v>201</v>
      </c>
      <c r="K4259">
        <v>1</v>
      </c>
      <c r="L4259" t="s">
        <v>7524</v>
      </c>
      <c r="M4259"/>
      <c r="N4259">
        <v>0</v>
      </c>
      <c r="O4259" t="b">
        <v>1</v>
      </c>
      <c r="P4259"/>
      <c r="Q4259" t="b">
        <v>0</v>
      </c>
      <c r="R4259">
        <v>1</v>
      </c>
      <c r="S4259" t="s">
        <v>77</v>
      </c>
      <c r="T4259">
        <v>999</v>
      </c>
      <c r="U4259" t="s">
        <v>7525</v>
      </c>
      <c r="V4259">
        <f t="shared" si="6"/>
        <v>31825021</v>
      </c>
      <c r="W4259"/>
      <c r="X4259" t="s">
        <v>4172</v>
      </c>
      <c r="Y4259" t="s">
        <v>215</v>
      </c>
      <c r="Z4259">
        <v>21189</v>
      </c>
      <c r="AA4259" t="s">
        <v>4173</v>
      </c>
      <c r="AB4259">
        <v>40001</v>
      </c>
      <c r="AC4259"/>
      <c r="AD4259"/>
      <c r="AE4259" t="s">
        <v>7524</v>
      </c>
      <c r="AF4259" t="s">
        <v>7524</v>
      </c>
      <c r="AG4259" t="s">
        <v>95</v>
      </c>
    </row>
    <row r="4260" spans="2:33">
      <c r="B4260" s="14">
        <f>10000000+INDEX(编号表!$B:$B,MATCH(H4260,编号表!$A:$A,0))*100000+INDEX(编号表!$F:$F,MATCH(D4260,编号表!$E:$E,0))*10000+INDEX(编号表!$D:$D,MATCH(AG4260,编号表!$C:$C,0))*1000+F4260</f>
        <v>11825022</v>
      </c>
      <c r="C4260" t="s">
        <v>4178</v>
      </c>
      <c r="D4260" t="s">
        <v>112</v>
      </c>
      <c r="E4260" t="s">
        <v>95</v>
      </c>
      <c r="F4260">
        <v>22</v>
      </c>
      <c r="G4260">
        <v>60</v>
      </c>
      <c r="H4260" t="s">
        <v>7524</v>
      </c>
      <c r="I4260" t="s">
        <v>75</v>
      </c>
      <c r="J4260" t="s">
        <v>201</v>
      </c>
      <c r="K4260">
        <v>1</v>
      </c>
      <c r="L4260" t="s">
        <v>7524</v>
      </c>
      <c r="M4260"/>
      <c r="N4260">
        <v>0</v>
      </c>
      <c r="O4260" t="b">
        <v>1</v>
      </c>
      <c r="P4260"/>
      <c r="Q4260" t="b">
        <v>0</v>
      </c>
      <c r="R4260">
        <v>1</v>
      </c>
      <c r="S4260" t="s">
        <v>77</v>
      </c>
      <c r="T4260">
        <v>999</v>
      </c>
      <c r="U4260" t="s">
        <v>7525</v>
      </c>
      <c r="V4260">
        <f t="shared" si="6"/>
        <v>31825022</v>
      </c>
      <c r="W4260"/>
      <c r="X4260" t="s">
        <v>4179</v>
      </c>
      <c r="Y4260" t="s">
        <v>215</v>
      </c>
      <c r="Z4260">
        <v>21192</v>
      </c>
      <c r="AA4260" t="s">
        <v>4180</v>
      </c>
      <c r="AB4260">
        <v>40001</v>
      </c>
      <c r="AC4260"/>
      <c r="AD4260"/>
      <c r="AE4260" t="s">
        <v>7524</v>
      </c>
      <c r="AF4260" t="s">
        <v>7524</v>
      </c>
      <c r="AG4260" t="s">
        <v>95</v>
      </c>
    </row>
    <row r="4261" spans="2:33">
      <c r="B4261" s="14">
        <f>10000000+INDEX(编号表!$B:$B,MATCH(H4261,编号表!$A:$A,0))*100000+INDEX(编号表!$F:$F,MATCH(D4261,编号表!$E:$E,0))*10000+INDEX(编号表!$D:$D,MATCH(AG4261,编号表!$C:$C,0))*1000+F4261</f>
        <v>11825023</v>
      </c>
      <c r="C4261" t="s">
        <v>4185</v>
      </c>
      <c r="D4261" t="s">
        <v>112</v>
      </c>
      <c r="E4261" t="s">
        <v>95</v>
      </c>
      <c r="F4261">
        <v>23</v>
      </c>
      <c r="G4261">
        <v>60</v>
      </c>
      <c r="H4261" t="s">
        <v>7524</v>
      </c>
      <c r="I4261" t="s">
        <v>75</v>
      </c>
      <c r="J4261" t="s">
        <v>201</v>
      </c>
      <c r="K4261">
        <v>1</v>
      </c>
      <c r="L4261" t="s">
        <v>7524</v>
      </c>
      <c r="M4261"/>
      <c r="N4261">
        <v>0</v>
      </c>
      <c r="O4261" t="b">
        <v>1</v>
      </c>
      <c r="P4261"/>
      <c r="Q4261" t="b">
        <v>0</v>
      </c>
      <c r="R4261">
        <v>1</v>
      </c>
      <c r="S4261" t="s">
        <v>77</v>
      </c>
      <c r="T4261">
        <v>999</v>
      </c>
      <c r="U4261" t="s">
        <v>7525</v>
      </c>
      <c r="V4261">
        <f t="shared" si="6"/>
        <v>31825023</v>
      </c>
      <c r="W4261"/>
      <c r="X4261" t="s">
        <v>4186</v>
      </c>
      <c r="Y4261" t="s">
        <v>215</v>
      </c>
      <c r="Z4261">
        <v>21195</v>
      </c>
      <c r="AA4261" t="s">
        <v>4187</v>
      </c>
      <c r="AB4261">
        <v>40001</v>
      </c>
      <c r="AC4261"/>
      <c r="AD4261"/>
      <c r="AE4261" t="s">
        <v>7524</v>
      </c>
      <c r="AF4261" t="s">
        <v>7524</v>
      </c>
      <c r="AG4261" t="s">
        <v>95</v>
      </c>
    </row>
    <row r="4262" spans="2:33">
      <c r="B4262" s="14">
        <f>10000000+INDEX(编号表!$B:$B,MATCH(H4262,编号表!$A:$A,0))*100000+INDEX(编号表!$F:$F,MATCH(D4262,编号表!$E:$E,0))*10000+INDEX(编号表!$D:$D,MATCH(AG4262,编号表!$C:$C,0))*1000+F4262</f>
        <v>11825024</v>
      </c>
      <c r="C4262" t="s">
        <v>4192</v>
      </c>
      <c r="D4262" t="s">
        <v>112</v>
      </c>
      <c r="E4262" t="s">
        <v>95</v>
      </c>
      <c r="F4262">
        <v>24</v>
      </c>
      <c r="G4262">
        <v>60</v>
      </c>
      <c r="H4262" t="s">
        <v>7524</v>
      </c>
      <c r="I4262" t="s">
        <v>75</v>
      </c>
      <c r="J4262" t="s">
        <v>201</v>
      </c>
      <c r="K4262">
        <v>1</v>
      </c>
      <c r="L4262" t="s">
        <v>7524</v>
      </c>
      <c r="M4262"/>
      <c r="N4262">
        <v>0</v>
      </c>
      <c r="O4262" t="b">
        <v>1</v>
      </c>
      <c r="P4262"/>
      <c r="Q4262" t="b">
        <v>0</v>
      </c>
      <c r="R4262">
        <v>1</v>
      </c>
      <c r="S4262" t="s">
        <v>77</v>
      </c>
      <c r="T4262">
        <v>999</v>
      </c>
      <c r="U4262" t="s">
        <v>7525</v>
      </c>
      <c r="V4262">
        <f t="shared" si="6"/>
        <v>31825024</v>
      </c>
      <c r="W4262"/>
      <c r="X4262" t="s">
        <v>4193</v>
      </c>
      <c r="Y4262" t="s">
        <v>215</v>
      </c>
      <c r="Z4262">
        <v>21198</v>
      </c>
      <c r="AA4262" t="s">
        <v>4194</v>
      </c>
      <c r="AB4262">
        <v>40001</v>
      </c>
      <c r="AC4262"/>
      <c r="AD4262"/>
      <c r="AE4262" t="s">
        <v>7524</v>
      </c>
      <c r="AF4262" t="s">
        <v>7524</v>
      </c>
      <c r="AG4262" t="s">
        <v>95</v>
      </c>
    </row>
    <row r="4263" spans="2:33">
      <c r="B4263" s="14">
        <f>10000000+INDEX(编号表!$B:$B,MATCH(H4263,编号表!$A:$A,0))*100000+INDEX(编号表!$F:$F,MATCH(D4263,编号表!$E:$E,0))*10000+INDEX(编号表!$D:$D,MATCH(AG4263,编号表!$C:$C,0))*1000+F4263</f>
        <v>11825025</v>
      </c>
      <c r="C4263" t="s">
        <v>4199</v>
      </c>
      <c r="D4263" t="s">
        <v>112</v>
      </c>
      <c r="E4263" t="s">
        <v>95</v>
      </c>
      <c r="F4263">
        <v>25</v>
      </c>
      <c r="G4263">
        <v>60</v>
      </c>
      <c r="H4263" t="s">
        <v>7524</v>
      </c>
      <c r="I4263" t="s">
        <v>75</v>
      </c>
      <c r="J4263" t="s">
        <v>201</v>
      </c>
      <c r="K4263">
        <v>1</v>
      </c>
      <c r="L4263" t="s">
        <v>7524</v>
      </c>
      <c r="M4263"/>
      <c r="N4263">
        <v>0</v>
      </c>
      <c r="O4263" t="b">
        <v>1</v>
      </c>
      <c r="P4263"/>
      <c r="Q4263" t="b">
        <v>0</v>
      </c>
      <c r="R4263">
        <v>1</v>
      </c>
      <c r="S4263" t="s">
        <v>77</v>
      </c>
      <c r="T4263">
        <v>999</v>
      </c>
      <c r="U4263" t="s">
        <v>7525</v>
      </c>
      <c r="V4263">
        <f t="shared" si="6"/>
        <v>31825025</v>
      </c>
      <c r="W4263"/>
      <c r="X4263" t="s">
        <v>4200</v>
      </c>
      <c r="Y4263" t="s">
        <v>215</v>
      </c>
      <c r="Z4263">
        <v>21201</v>
      </c>
      <c r="AA4263" t="s">
        <v>4201</v>
      </c>
      <c r="AB4263">
        <v>40001</v>
      </c>
      <c r="AC4263"/>
      <c r="AD4263"/>
      <c r="AE4263" t="s">
        <v>7524</v>
      </c>
      <c r="AF4263" t="s">
        <v>7524</v>
      </c>
      <c r="AG4263" t="s">
        <v>95</v>
      </c>
    </row>
    <row r="4264" spans="2:33">
      <c r="B4264" s="14">
        <f>10000000+INDEX(编号表!$B:$B,MATCH(H4264,编号表!$A:$A,0))*100000+INDEX(编号表!$F:$F,MATCH(D4264,编号表!$E:$E,0))*10000+INDEX(编号表!$D:$D,MATCH(AG4264,编号表!$C:$C,0))*1000+F4264</f>
        <v>11825026</v>
      </c>
      <c r="C4264" t="s">
        <v>4206</v>
      </c>
      <c r="D4264" t="s">
        <v>112</v>
      </c>
      <c r="E4264" t="s">
        <v>95</v>
      </c>
      <c r="F4264">
        <v>26</v>
      </c>
      <c r="G4264">
        <v>60</v>
      </c>
      <c r="H4264" t="s">
        <v>7524</v>
      </c>
      <c r="I4264" t="s">
        <v>75</v>
      </c>
      <c r="J4264" t="s">
        <v>201</v>
      </c>
      <c r="K4264">
        <v>1</v>
      </c>
      <c r="L4264" t="s">
        <v>7524</v>
      </c>
      <c r="M4264"/>
      <c r="N4264">
        <v>0</v>
      </c>
      <c r="O4264" t="b">
        <v>1</v>
      </c>
      <c r="P4264"/>
      <c r="Q4264" t="b">
        <v>0</v>
      </c>
      <c r="R4264">
        <v>1</v>
      </c>
      <c r="S4264" t="s">
        <v>77</v>
      </c>
      <c r="T4264">
        <v>999</v>
      </c>
      <c r="U4264" t="s">
        <v>7525</v>
      </c>
      <c r="V4264">
        <f t="shared" si="6"/>
        <v>31825026</v>
      </c>
      <c r="W4264"/>
      <c r="X4264" t="s">
        <v>4207</v>
      </c>
      <c r="Y4264" t="s">
        <v>215</v>
      </c>
      <c r="Z4264">
        <v>21204</v>
      </c>
      <c r="AA4264" t="s">
        <v>4208</v>
      </c>
      <c r="AB4264">
        <v>40001</v>
      </c>
      <c r="AC4264"/>
      <c r="AD4264"/>
      <c r="AE4264" t="s">
        <v>7524</v>
      </c>
      <c r="AF4264" t="s">
        <v>7524</v>
      </c>
      <c r="AG4264" t="s">
        <v>95</v>
      </c>
    </row>
    <row r="4265" spans="2:33">
      <c r="B4265" s="14">
        <f>10000000+INDEX(编号表!$B:$B,MATCH(H4265,编号表!$A:$A,0))*100000+INDEX(编号表!$F:$F,MATCH(D4265,编号表!$E:$E,0))*10000+INDEX(编号表!$D:$D,MATCH(AG4265,编号表!$C:$C,0))*1000+F4265</f>
        <v>11825027</v>
      </c>
      <c r="C4265" t="s">
        <v>4213</v>
      </c>
      <c r="D4265" t="s">
        <v>112</v>
      </c>
      <c r="E4265" t="s">
        <v>95</v>
      </c>
      <c r="F4265">
        <v>27</v>
      </c>
      <c r="G4265">
        <v>60</v>
      </c>
      <c r="H4265" t="s">
        <v>7524</v>
      </c>
      <c r="I4265" t="s">
        <v>75</v>
      </c>
      <c r="J4265" t="s">
        <v>201</v>
      </c>
      <c r="K4265">
        <v>1</v>
      </c>
      <c r="L4265" t="s">
        <v>7524</v>
      </c>
      <c r="M4265"/>
      <c r="N4265">
        <v>0</v>
      </c>
      <c r="O4265" t="b">
        <v>1</v>
      </c>
      <c r="P4265"/>
      <c r="Q4265" t="b">
        <v>0</v>
      </c>
      <c r="R4265">
        <v>1</v>
      </c>
      <c r="S4265" t="s">
        <v>77</v>
      </c>
      <c r="T4265">
        <v>999</v>
      </c>
      <c r="U4265" t="s">
        <v>7525</v>
      </c>
      <c r="V4265">
        <f t="shared" si="6"/>
        <v>31825027</v>
      </c>
      <c r="W4265"/>
      <c r="X4265" t="s">
        <v>4214</v>
      </c>
      <c r="Y4265" t="s">
        <v>215</v>
      </c>
      <c r="Z4265">
        <v>21207</v>
      </c>
      <c r="AA4265" t="s">
        <v>4215</v>
      </c>
      <c r="AB4265">
        <v>40001</v>
      </c>
      <c r="AC4265"/>
      <c r="AD4265"/>
      <c r="AE4265" t="s">
        <v>7524</v>
      </c>
      <c r="AF4265" t="s">
        <v>7524</v>
      </c>
      <c r="AG4265" t="s">
        <v>95</v>
      </c>
    </row>
    <row r="4266" spans="2:33">
      <c r="B4266" s="14">
        <f>10000000+INDEX(编号表!$B:$B,MATCH(H4266,编号表!$A:$A,0))*100000+INDEX(编号表!$F:$F,MATCH(D4266,编号表!$E:$E,0))*10000+INDEX(编号表!$D:$D,MATCH(AG4266,编号表!$C:$C,0))*1000+F4266</f>
        <v>11825028</v>
      </c>
      <c r="C4266" t="s">
        <v>4220</v>
      </c>
      <c r="D4266" t="s">
        <v>112</v>
      </c>
      <c r="E4266" t="s">
        <v>95</v>
      </c>
      <c r="F4266">
        <v>28</v>
      </c>
      <c r="G4266">
        <v>60</v>
      </c>
      <c r="H4266" t="s">
        <v>7524</v>
      </c>
      <c r="I4266" t="s">
        <v>75</v>
      </c>
      <c r="J4266" t="s">
        <v>201</v>
      </c>
      <c r="K4266">
        <v>1</v>
      </c>
      <c r="L4266" t="s">
        <v>7524</v>
      </c>
      <c r="M4266"/>
      <c r="N4266">
        <v>0</v>
      </c>
      <c r="O4266" t="b">
        <v>1</v>
      </c>
      <c r="P4266"/>
      <c r="Q4266" t="b">
        <v>0</v>
      </c>
      <c r="R4266">
        <v>1</v>
      </c>
      <c r="S4266" t="s">
        <v>77</v>
      </c>
      <c r="T4266">
        <v>999</v>
      </c>
      <c r="U4266" t="s">
        <v>7525</v>
      </c>
      <c r="V4266">
        <f t="shared" si="6"/>
        <v>31825028</v>
      </c>
      <c r="W4266"/>
      <c r="X4266" t="s">
        <v>4221</v>
      </c>
      <c r="Y4266" t="s">
        <v>215</v>
      </c>
      <c r="Z4266">
        <v>21210</v>
      </c>
      <c r="AA4266" t="s">
        <v>4222</v>
      </c>
      <c r="AB4266">
        <v>40001</v>
      </c>
      <c r="AC4266"/>
      <c r="AD4266"/>
      <c r="AE4266" t="s">
        <v>7524</v>
      </c>
      <c r="AF4266" t="s">
        <v>7524</v>
      </c>
      <c r="AG4266" t="s">
        <v>95</v>
      </c>
    </row>
    <row r="4267" spans="2:33">
      <c r="B4267" s="14">
        <f>10000000+INDEX(编号表!$B:$B,MATCH(H4267,编号表!$A:$A,0))*100000+INDEX(编号表!$F:$F,MATCH(D4267,编号表!$E:$E,0))*10000+INDEX(编号表!$D:$D,MATCH(AG4267,编号表!$C:$C,0))*1000+F4267</f>
        <v>11825029</v>
      </c>
      <c r="C4267" t="s">
        <v>4227</v>
      </c>
      <c r="D4267" t="s">
        <v>112</v>
      </c>
      <c r="E4267" t="s">
        <v>95</v>
      </c>
      <c r="F4267">
        <v>29</v>
      </c>
      <c r="G4267">
        <v>60</v>
      </c>
      <c r="H4267" t="s">
        <v>7524</v>
      </c>
      <c r="I4267" t="s">
        <v>75</v>
      </c>
      <c r="J4267" t="s">
        <v>201</v>
      </c>
      <c r="K4267">
        <v>1</v>
      </c>
      <c r="L4267" t="s">
        <v>7524</v>
      </c>
      <c r="M4267"/>
      <c r="N4267">
        <v>0</v>
      </c>
      <c r="O4267" t="b">
        <v>1</v>
      </c>
      <c r="P4267"/>
      <c r="Q4267" t="b">
        <v>0</v>
      </c>
      <c r="R4267">
        <v>1</v>
      </c>
      <c r="S4267" t="s">
        <v>77</v>
      </c>
      <c r="T4267">
        <v>999</v>
      </c>
      <c r="U4267" t="s">
        <v>7525</v>
      </c>
      <c r="V4267">
        <f t="shared" si="6"/>
        <v>31825029</v>
      </c>
      <c r="W4267"/>
      <c r="X4267" t="s">
        <v>4228</v>
      </c>
      <c r="Y4267" t="s">
        <v>215</v>
      </c>
      <c r="Z4267">
        <v>21213</v>
      </c>
      <c r="AA4267" t="s">
        <v>4229</v>
      </c>
      <c r="AB4267">
        <v>40001</v>
      </c>
      <c r="AC4267"/>
      <c r="AD4267"/>
      <c r="AE4267" t="s">
        <v>7524</v>
      </c>
      <c r="AF4267" t="s">
        <v>7524</v>
      </c>
      <c r="AG4267" t="s">
        <v>95</v>
      </c>
    </row>
    <row r="4268" spans="2:33">
      <c r="B4268" s="14">
        <f>10000000+INDEX(编号表!$B:$B,MATCH(H4268,编号表!$A:$A,0))*100000+INDEX(编号表!$F:$F,MATCH(D4268,编号表!$E:$E,0))*10000+INDEX(编号表!$D:$D,MATCH(AG4268,编号表!$C:$C,0))*1000+F4268</f>
        <v>11825030</v>
      </c>
      <c r="C4268" t="s">
        <v>4234</v>
      </c>
      <c r="D4268" t="s">
        <v>112</v>
      </c>
      <c r="E4268" t="s">
        <v>95</v>
      </c>
      <c r="F4268">
        <v>30</v>
      </c>
      <c r="G4268">
        <v>60</v>
      </c>
      <c r="H4268" t="s">
        <v>7524</v>
      </c>
      <c r="I4268" t="s">
        <v>75</v>
      </c>
      <c r="J4268" t="s">
        <v>201</v>
      </c>
      <c r="K4268">
        <v>1</v>
      </c>
      <c r="L4268" t="s">
        <v>7524</v>
      </c>
      <c r="M4268"/>
      <c r="N4268">
        <v>0</v>
      </c>
      <c r="O4268" t="b">
        <v>1</v>
      </c>
      <c r="P4268"/>
      <c r="Q4268" t="b">
        <v>0</v>
      </c>
      <c r="R4268">
        <v>1</v>
      </c>
      <c r="S4268" t="s">
        <v>77</v>
      </c>
      <c r="T4268">
        <v>999</v>
      </c>
      <c r="U4268" t="s">
        <v>7525</v>
      </c>
      <c r="V4268">
        <f t="shared" si="6"/>
        <v>31825030</v>
      </c>
      <c r="W4268"/>
      <c r="X4268" t="s">
        <v>4235</v>
      </c>
      <c r="Y4268" t="s">
        <v>215</v>
      </c>
      <c r="Z4268">
        <v>21216</v>
      </c>
      <c r="AA4268" t="s">
        <v>4236</v>
      </c>
      <c r="AB4268">
        <v>40001</v>
      </c>
      <c r="AC4268"/>
      <c r="AD4268"/>
      <c r="AE4268" t="s">
        <v>7524</v>
      </c>
      <c r="AF4268" t="s">
        <v>7524</v>
      </c>
      <c r="AG4268" t="s">
        <v>95</v>
      </c>
    </row>
    <row r="4269" spans="2:33">
      <c r="B4269" s="14">
        <f>10000000+INDEX(编号表!$B:$B,MATCH(H4269,编号表!$A:$A,0))*100000+INDEX(编号表!$F:$F,MATCH(D4269,编号表!$E:$E,0))*10000+INDEX(编号表!$D:$D,MATCH(AG4269,编号表!$C:$C,0))*1000+F4269</f>
        <v>11825031</v>
      </c>
      <c r="C4269" t="s">
        <v>4241</v>
      </c>
      <c r="D4269" t="s">
        <v>112</v>
      </c>
      <c r="E4269" t="s">
        <v>95</v>
      </c>
      <c r="F4269">
        <v>31</v>
      </c>
      <c r="G4269">
        <v>60</v>
      </c>
      <c r="H4269" t="s">
        <v>7524</v>
      </c>
      <c r="I4269" t="s">
        <v>75</v>
      </c>
      <c r="J4269" t="s">
        <v>201</v>
      </c>
      <c r="K4269">
        <v>1</v>
      </c>
      <c r="L4269" t="s">
        <v>7524</v>
      </c>
      <c r="M4269"/>
      <c r="N4269">
        <v>0</v>
      </c>
      <c r="O4269" t="b">
        <v>1</v>
      </c>
      <c r="P4269"/>
      <c r="Q4269" t="b">
        <v>0</v>
      </c>
      <c r="R4269">
        <v>1</v>
      </c>
      <c r="S4269" t="s">
        <v>77</v>
      </c>
      <c r="T4269">
        <v>999</v>
      </c>
      <c r="U4269" t="s">
        <v>7525</v>
      </c>
      <c r="V4269">
        <f t="shared" si="6"/>
        <v>31825031</v>
      </c>
      <c r="W4269"/>
      <c r="X4269" t="s">
        <v>4242</v>
      </c>
      <c r="Y4269" t="s">
        <v>215</v>
      </c>
      <c r="Z4269">
        <v>21219</v>
      </c>
      <c r="AA4269" t="s">
        <v>4243</v>
      </c>
      <c r="AB4269">
        <v>40001</v>
      </c>
      <c r="AC4269"/>
      <c r="AD4269"/>
      <c r="AE4269" t="s">
        <v>7524</v>
      </c>
      <c r="AF4269" t="s">
        <v>7524</v>
      </c>
      <c r="AG4269" t="s">
        <v>95</v>
      </c>
    </row>
    <row r="4270" spans="2:33">
      <c r="B4270" s="14">
        <f>10000000+INDEX(编号表!$B:$B,MATCH(H4270,编号表!$A:$A,0))*100000+INDEX(编号表!$F:$F,MATCH(D4270,编号表!$E:$E,0))*10000+INDEX(编号表!$D:$D,MATCH(AG4270,编号表!$C:$C,0))*1000+F4270</f>
        <v>11825032</v>
      </c>
      <c r="C4270" t="s">
        <v>4248</v>
      </c>
      <c r="D4270" t="s">
        <v>112</v>
      </c>
      <c r="E4270" t="s">
        <v>95</v>
      </c>
      <c r="F4270">
        <v>32</v>
      </c>
      <c r="G4270">
        <v>60</v>
      </c>
      <c r="H4270" t="s">
        <v>7524</v>
      </c>
      <c r="I4270" t="s">
        <v>75</v>
      </c>
      <c r="J4270" t="s">
        <v>201</v>
      </c>
      <c r="K4270">
        <v>1</v>
      </c>
      <c r="L4270" t="s">
        <v>7524</v>
      </c>
      <c r="M4270"/>
      <c r="N4270">
        <v>0</v>
      </c>
      <c r="O4270" t="b">
        <v>1</v>
      </c>
      <c r="P4270"/>
      <c r="Q4270" t="b">
        <v>0</v>
      </c>
      <c r="R4270">
        <v>1</v>
      </c>
      <c r="S4270" t="s">
        <v>77</v>
      </c>
      <c r="T4270">
        <v>999</v>
      </c>
      <c r="U4270" t="s">
        <v>7525</v>
      </c>
      <c r="V4270">
        <f t="shared" si="6"/>
        <v>31825032</v>
      </c>
      <c r="W4270"/>
      <c r="X4270" t="s">
        <v>4249</v>
      </c>
      <c r="Y4270" t="s">
        <v>215</v>
      </c>
      <c r="Z4270">
        <v>21222</v>
      </c>
      <c r="AA4270" t="s">
        <v>4250</v>
      </c>
      <c r="AB4270">
        <v>40001</v>
      </c>
      <c r="AC4270"/>
      <c r="AD4270"/>
      <c r="AE4270" t="s">
        <v>7524</v>
      </c>
      <c r="AF4270" t="s">
        <v>7524</v>
      </c>
      <c r="AG4270" t="s">
        <v>95</v>
      </c>
    </row>
    <row r="4271" spans="2:33">
      <c r="B4271" s="14">
        <f>10000000+INDEX(编号表!$B:$B,MATCH(H4271,编号表!$A:$A,0))*100000+INDEX(编号表!$F:$F,MATCH(D4271,编号表!$E:$E,0))*10000+INDEX(编号表!$D:$D,MATCH(AG4271,编号表!$C:$C,0))*1000+F4271</f>
        <v>11825033</v>
      </c>
      <c r="C4271" t="s">
        <v>4255</v>
      </c>
      <c r="D4271" t="s">
        <v>112</v>
      </c>
      <c r="E4271" t="s">
        <v>95</v>
      </c>
      <c r="F4271">
        <v>33</v>
      </c>
      <c r="G4271">
        <v>60</v>
      </c>
      <c r="H4271" t="s">
        <v>7524</v>
      </c>
      <c r="I4271" t="s">
        <v>75</v>
      </c>
      <c r="J4271" t="s">
        <v>201</v>
      </c>
      <c r="K4271">
        <v>1</v>
      </c>
      <c r="L4271" t="s">
        <v>7524</v>
      </c>
      <c r="M4271"/>
      <c r="N4271">
        <v>0</v>
      </c>
      <c r="O4271" t="b">
        <v>1</v>
      </c>
      <c r="P4271"/>
      <c r="Q4271" t="b">
        <v>0</v>
      </c>
      <c r="R4271">
        <v>1</v>
      </c>
      <c r="S4271" t="s">
        <v>77</v>
      </c>
      <c r="T4271">
        <v>999</v>
      </c>
      <c r="U4271" t="s">
        <v>7525</v>
      </c>
      <c r="V4271">
        <f t="shared" si="6"/>
        <v>31825033</v>
      </c>
      <c r="W4271"/>
      <c r="X4271" t="s">
        <v>4256</v>
      </c>
      <c r="Y4271" t="s">
        <v>215</v>
      </c>
      <c r="Z4271">
        <v>21225</v>
      </c>
      <c r="AA4271" t="s">
        <v>4257</v>
      </c>
      <c r="AB4271">
        <v>40001</v>
      </c>
      <c r="AC4271"/>
      <c r="AD4271"/>
      <c r="AE4271" t="s">
        <v>7524</v>
      </c>
      <c r="AF4271" t="s">
        <v>7524</v>
      </c>
      <c r="AG4271" t="s">
        <v>95</v>
      </c>
    </row>
    <row r="4272" spans="2:33">
      <c r="B4272" s="14">
        <f>10000000+INDEX(编号表!$B:$B,MATCH(H4272,编号表!$A:$A,0))*100000+INDEX(编号表!$F:$F,MATCH(D4272,编号表!$E:$E,0))*10000+INDEX(编号表!$D:$D,MATCH(AG4272,编号表!$C:$C,0))*1000+F4272</f>
        <v>11825034</v>
      </c>
      <c r="C4272" t="s">
        <v>4262</v>
      </c>
      <c r="D4272" t="s">
        <v>112</v>
      </c>
      <c r="E4272" t="s">
        <v>95</v>
      </c>
      <c r="F4272">
        <v>34</v>
      </c>
      <c r="G4272">
        <v>60</v>
      </c>
      <c r="H4272" t="s">
        <v>7524</v>
      </c>
      <c r="I4272" t="s">
        <v>75</v>
      </c>
      <c r="J4272" t="s">
        <v>201</v>
      </c>
      <c r="K4272">
        <v>1</v>
      </c>
      <c r="L4272" t="s">
        <v>7524</v>
      </c>
      <c r="M4272"/>
      <c r="N4272">
        <v>0</v>
      </c>
      <c r="O4272" t="b">
        <v>1</v>
      </c>
      <c r="P4272"/>
      <c r="Q4272" t="b">
        <v>0</v>
      </c>
      <c r="R4272">
        <v>1</v>
      </c>
      <c r="S4272" t="s">
        <v>77</v>
      </c>
      <c r="T4272">
        <v>999</v>
      </c>
      <c r="U4272" t="s">
        <v>7525</v>
      </c>
      <c r="V4272">
        <f t="shared" si="6"/>
        <v>31825034</v>
      </c>
      <c r="W4272"/>
      <c r="X4272" t="s">
        <v>4263</v>
      </c>
      <c r="Y4272" t="s">
        <v>215</v>
      </c>
      <c r="Z4272">
        <v>21228</v>
      </c>
      <c r="AA4272" t="s">
        <v>4264</v>
      </c>
      <c r="AB4272">
        <v>40001</v>
      </c>
      <c r="AC4272"/>
      <c r="AD4272"/>
      <c r="AE4272" t="s">
        <v>7524</v>
      </c>
      <c r="AF4272" t="s">
        <v>7524</v>
      </c>
      <c r="AG4272" t="s">
        <v>95</v>
      </c>
    </row>
    <row r="4273" spans="2:33">
      <c r="B4273" s="14">
        <f>10000000+INDEX(编号表!$B:$B,MATCH(H4273,编号表!$A:$A,0))*100000+INDEX(编号表!$F:$F,MATCH(D4273,编号表!$E:$E,0))*10000+INDEX(编号表!$D:$D,MATCH(AG4273,编号表!$C:$C,0))*1000+F4273</f>
        <v>11825035</v>
      </c>
      <c r="C4273" t="s">
        <v>4269</v>
      </c>
      <c r="D4273" t="s">
        <v>112</v>
      </c>
      <c r="E4273" t="s">
        <v>95</v>
      </c>
      <c r="F4273">
        <v>35</v>
      </c>
      <c r="G4273">
        <v>60</v>
      </c>
      <c r="H4273" t="s">
        <v>7524</v>
      </c>
      <c r="I4273" t="s">
        <v>75</v>
      </c>
      <c r="J4273" t="s">
        <v>201</v>
      </c>
      <c r="K4273">
        <v>1</v>
      </c>
      <c r="L4273" t="s">
        <v>7524</v>
      </c>
      <c r="M4273"/>
      <c r="N4273">
        <v>0</v>
      </c>
      <c r="O4273" t="b">
        <v>1</v>
      </c>
      <c r="P4273"/>
      <c r="Q4273" t="b">
        <v>0</v>
      </c>
      <c r="R4273">
        <v>1</v>
      </c>
      <c r="S4273" t="s">
        <v>77</v>
      </c>
      <c r="T4273">
        <v>999</v>
      </c>
      <c r="U4273" t="s">
        <v>7525</v>
      </c>
      <c r="V4273">
        <f t="shared" si="6"/>
        <v>31825035</v>
      </c>
      <c r="W4273"/>
      <c r="X4273" t="s">
        <v>4270</v>
      </c>
      <c r="Y4273" t="s">
        <v>215</v>
      </c>
      <c r="Z4273">
        <v>21231</v>
      </c>
      <c r="AA4273" t="s">
        <v>4271</v>
      </c>
      <c r="AB4273">
        <v>40001</v>
      </c>
      <c r="AC4273"/>
      <c r="AD4273"/>
      <c r="AE4273" t="s">
        <v>7524</v>
      </c>
      <c r="AF4273" t="s">
        <v>7524</v>
      </c>
      <c r="AG4273" t="s">
        <v>95</v>
      </c>
    </row>
    <row r="4274" spans="2:33">
      <c r="B4274" s="14">
        <f>10000000+INDEX(编号表!$B:$B,MATCH(H4274,编号表!$A:$A,0))*100000+INDEX(编号表!$F:$F,MATCH(D4274,编号表!$E:$E,0))*10000+INDEX(编号表!$D:$D,MATCH(AG4274,编号表!$C:$C,0))*1000+F4274</f>
        <v>11825036</v>
      </c>
      <c r="C4274" t="s">
        <v>4276</v>
      </c>
      <c r="D4274" t="s">
        <v>112</v>
      </c>
      <c r="E4274" t="s">
        <v>95</v>
      </c>
      <c r="F4274">
        <v>36</v>
      </c>
      <c r="G4274">
        <v>60</v>
      </c>
      <c r="H4274" t="s">
        <v>7524</v>
      </c>
      <c r="I4274" t="s">
        <v>75</v>
      </c>
      <c r="J4274" t="s">
        <v>201</v>
      </c>
      <c r="K4274">
        <v>1</v>
      </c>
      <c r="L4274" t="s">
        <v>7524</v>
      </c>
      <c r="M4274"/>
      <c r="N4274">
        <v>0</v>
      </c>
      <c r="O4274" t="b">
        <v>1</v>
      </c>
      <c r="P4274"/>
      <c r="Q4274" t="b">
        <v>0</v>
      </c>
      <c r="R4274">
        <v>1</v>
      </c>
      <c r="S4274" t="s">
        <v>77</v>
      </c>
      <c r="T4274">
        <v>999</v>
      </c>
      <c r="U4274" t="s">
        <v>7525</v>
      </c>
      <c r="V4274">
        <f t="shared" si="6"/>
        <v>31825036</v>
      </c>
      <c r="W4274"/>
      <c r="X4274" t="s">
        <v>4277</v>
      </c>
      <c r="Y4274" t="s">
        <v>215</v>
      </c>
      <c r="Z4274">
        <v>21234</v>
      </c>
      <c r="AA4274" t="s">
        <v>4278</v>
      </c>
      <c r="AB4274">
        <v>40001</v>
      </c>
      <c r="AC4274"/>
      <c r="AD4274"/>
      <c r="AE4274" t="s">
        <v>7524</v>
      </c>
      <c r="AF4274" t="s">
        <v>7524</v>
      </c>
      <c r="AG4274" t="s">
        <v>95</v>
      </c>
    </row>
    <row r="4275" spans="2:33">
      <c r="B4275" s="14">
        <f>10000000+INDEX(编号表!$B:$B,MATCH(H4275,编号表!$A:$A,0))*100000+INDEX(编号表!$F:$F,MATCH(D4275,编号表!$E:$E,0))*10000+INDEX(编号表!$D:$D,MATCH(AG4275,编号表!$C:$C,0))*1000+F4275</f>
        <v>11825037</v>
      </c>
      <c r="C4275" t="s">
        <v>4283</v>
      </c>
      <c r="D4275" t="s">
        <v>112</v>
      </c>
      <c r="E4275" t="s">
        <v>95</v>
      </c>
      <c r="F4275">
        <v>37</v>
      </c>
      <c r="G4275">
        <v>60</v>
      </c>
      <c r="H4275" t="s">
        <v>7524</v>
      </c>
      <c r="I4275" t="s">
        <v>75</v>
      </c>
      <c r="J4275" t="s">
        <v>201</v>
      </c>
      <c r="K4275">
        <v>1</v>
      </c>
      <c r="L4275" t="s">
        <v>7524</v>
      </c>
      <c r="M4275"/>
      <c r="N4275">
        <v>0</v>
      </c>
      <c r="O4275" t="b">
        <v>1</v>
      </c>
      <c r="P4275"/>
      <c r="Q4275" t="b">
        <v>0</v>
      </c>
      <c r="R4275">
        <v>1</v>
      </c>
      <c r="S4275" t="s">
        <v>77</v>
      </c>
      <c r="T4275">
        <v>999</v>
      </c>
      <c r="U4275" t="s">
        <v>7525</v>
      </c>
      <c r="V4275">
        <f t="shared" si="6"/>
        <v>31825037</v>
      </c>
      <c r="W4275"/>
      <c r="X4275" t="s">
        <v>4284</v>
      </c>
      <c r="Y4275" t="s">
        <v>215</v>
      </c>
      <c r="Z4275">
        <v>21237</v>
      </c>
      <c r="AA4275" t="s">
        <v>4285</v>
      </c>
      <c r="AB4275">
        <v>40001</v>
      </c>
      <c r="AC4275"/>
      <c r="AD4275"/>
      <c r="AE4275" t="s">
        <v>7524</v>
      </c>
      <c r="AF4275" t="s">
        <v>7524</v>
      </c>
      <c r="AG4275" t="s">
        <v>95</v>
      </c>
    </row>
    <row r="4276" spans="2:33">
      <c r="B4276" s="14">
        <f>10000000+INDEX(编号表!$B:$B,MATCH(H4276,编号表!$A:$A,0))*100000+INDEX(编号表!$F:$F,MATCH(D4276,编号表!$E:$E,0))*10000+INDEX(编号表!$D:$D,MATCH(AG4276,编号表!$C:$C,0))*1000+F4276</f>
        <v>11825038</v>
      </c>
      <c r="C4276" t="s">
        <v>4290</v>
      </c>
      <c r="D4276" t="s">
        <v>112</v>
      </c>
      <c r="E4276" t="s">
        <v>95</v>
      </c>
      <c r="F4276">
        <v>38</v>
      </c>
      <c r="G4276">
        <v>60</v>
      </c>
      <c r="H4276" t="s">
        <v>7524</v>
      </c>
      <c r="I4276" t="s">
        <v>75</v>
      </c>
      <c r="J4276" t="s">
        <v>201</v>
      </c>
      <c r="K4276">
        <v>1</v>
      </c>
      <c r="L4276" t="s">
        <v>7524</v>
      </c>
      <c r="M4276"/>
      <c r="N4276">
        <v>0</v>
      </c>
      <c r="O4276" t="b">
        <v>1</v>
      </c>
      <c r="P4276"/>
      <c r="Q4276" t="b">
        <v>0</v>
      </c>
      <c r="R4276">
        <v>1</v>
      </c>
      <c r="S4276" t="s">
        <v>77</v>
      </c>
      <c r="T4276">
        <v>999</v>
      </c>
      <c r="U4276" t="s">
        <v>7525</v>
      </c>
      <c r="V4276">
        <f t="shared" si="6"/>
        <v>31825038</v>
      </c>
      <c r="W4276"/>
      <c r="X4276" t="s">
        <v>4291</v>
      </c>
      <c r="Y4276" t="s">
        <v>215</v>
      </c>
      <c r="Z4276">
        <v>21240</v>
      </c>
      <c r="AA4276" t="s">
        <v>4292</v>
      </c>
      <c r="AB4276">
        <v>40001</v>
      </c>
      <c r="AC4276"/>
      <c r="AD4276"/>
      <c r="AE4276" t="s">
        <v>7524</v>
      </c>
      <c r="AF4276" t="s">
        <v>7524</v>
      </c>
      <c r="AG4276" t="s">
        <v>95</v>
      </c>
    </row>
    <row r="4277" spans="2:33">
      <c r="B4277" s="14">
        <f>10000000+INDEX(编号表!$B:$B,MATCH(H4277,编号表!$A:$A,0))*100000+INDEX(编号表!$F:$F,MATCH(D4277,编号表!$E:$E,0))*10000+INDEX(编号表!$D:$D,MATCH(AG4277,编号表!$C:$C,0))*1000+F4277</f>
        <v>11825039</v>
      </c>
      <c r="C4277" t="s">
        <v>4297</v>
      </c>
      <c r="D4277" t="s">
        <v>112</v>
      </c>
      <c r="E4277" t="s">
        <v>95</v>
      </c>
      <c r="F4277">
        <v>39</v>
      </c>
      <c r="G4277">
        <v>60</v>
      </c>
      <c r="H4277" t="s">
        <v>7524</v>
      </c>
      <c r="I4277" t="s">
        <v>75</v>
      </c>
      <c r="J4277" t="s">
        <v>201</v>
      </c>
      <c r="K4277">
        <v>1</v>
      </c>
      <c r="L4277" t="s">
        <v>7524</v>
      </c>
      <c r="M4277"/>
      <c r="N4277">
        <v>0</v>
      </c>
      <c r="O4277" t="b">
        <v>1</v>
      </c>
      <c r="P4277"/>
      <c r="Q4277" t="b">
        <v>0</v>
      </c>
      <c r="R4277">
        <v>1</v>
      </c>
      <c r="S4277" t="s">
        <v>77</v>
      </c>
      <c r="T4277">
        <v>999</v>
      </c>
      <c r="U4277" t="s">
        <v>7525</v>
      </c>
      <c r="V4277">
        <f t="shared" si="6"/>
        <v>31825039</v>
      </c>
      <c r="W4277"/>
      <c r="X4277" t="s">
        <v>4298</v>
      </c>
      <c r="Y4277" t="s">
        <v>215</v>
      </c>
      <c r="Z4277">
        <v>21243</v>
      </c>
      <c r="AA4277" t="s">
        <v>4299</v>
      </c>
      <c r="AB4277">
        <v>40001</v>
      </c>
      <c r="AC4277"/>
      <c r="AD4277"/>
      <c r="AE4277" t="s">
        <v>7524</v>
      </c>
      <c r="AF4277" t="s">
        <v>7524</v>
      </c>
      <c r="AG4277" t="s">
        <v>95</v>
      </c>
    </row>
    <row r="4278" spans="2:33">
      <c r="B4278" s="14">
        <f>10000000+INDEX(编号表!$B:$B,MATCH(H4278,编号表!$A:$A,0))*100000+INDEX(编号表!$F:$F,MATCH(D4278,编号表!$E:$E,0))*10000+INDEX(编号表!$D:$D,MATCH(AG4278,编号表!$C:$C,0))*1000+F4278</f>
        <v>11825040</v>
      </c>
      <c r="C4278" t="s">
        <v>4304</v>
      </c>
      <c r="D4278" t="s">
        <v>112</v>
      </c>
      <c r="E4278" t="s">
        <v>95</v>
      </c>
      <c r="F4278">
        <v>40</v>
      </c>
      <c r="G4278">
        <v>60</v>
      </c>
      <c r="H4278" t="s">
        <v>7524</v>
      </c>
      <c r="I4278" t="s">
        <v>75</v>
      </c>
      <c r="J4278" t="s">
        <v>201</v>
      </c>
      <c r="K4278">
        <v>1</v>
      </c>
      <c r="L4278" t="s">
        <v>7524</v>
      </c>
      <c r="M4278"/>
      <c r="N4278">
        <v>0</v>
      </c>
      <c r="O4278" t="b">
        <v>1</v>
      </c>
      <c r="P4278"/>
      <c r="Q4278" t="b">
        <v>0</v>
      </c>
      <c r="R4278">
        <v>1</v>
      </c>
      <c r="S4278" t="s">
        <v>77</v>
      </c>
      <c r="T4278">
        <v>999</v>
      </c>
      <c r="U4278" t="s">
        <v>7525</v>
      </c>
      <c r="V4278">
        <f t="shared" si="6"/>
        <v>31825040</v>
      </c>
      <c r="W4278"/>
      <c r="X4278" t="s">
        <v>4305</v>
      </c>
      <c r="Y4278" t="s">
        <v>215</v>
      </c>
      <c r="Z4278">
        <v>21246</v>
      </c>
      <c r="AA4278" t="s">
        <v>4306</v>
      </c>
      <c r="AB4278">
        <v>40001</v>
      </c>
      <c r="AC4278"/>
      <c r="AD4278"/>
      <c r="AE4278" t="s">
        <v>7524</v>
      </c>
      <c r="AF4278" t="s">
        <v>7524</v>
      </c>
      <c r="AG4278" t="s">
        <v>95</v>
      </c>
    </row>
    <row r="4279" spans="2:33">
      <c r="B4279" s="14">
        <f>10000000+INDEX(编号表!$B:$B,MATCH(H4279,编号表!$A:$A,0))*100000+INDEX(编号表!$F:$F,MATCH(D4279,编号表!$E:$E,0))*10000+INDEX(编号表!$D:$D,MATCH(AG4279,编号表!$C:$C,0))*1000+F4279</f>
        <v>11825041</v>
      </c>
      <c r="C4279" t="s">
        <v>4311</v>
      </c>
      <c r="D4279" t="s">
        <v>112</v>
      </c>
      <c r="E4279" t="s">
        <v>95</v>
      </c>
      <c r="F4279">
        <v>41</v>
      </c>
      <c r="G4279">
        <v>60</v>
      </c>
      <c r="H4279" t="s">
        <v>7524</v>
      </c>
      <c r="I4279" t="s">
        <v>75</v>
      </c>
      <c r="J4279" t="s">
        <v>201</v>
      </c>
      <c r="K4279">
        <v>1</v>
      </c>
      <c r="L4279" t="s">
        <v>7524</v>
      </c>
      <c r="M4279"/>
      <c r="N4279">
        <v>0</v>
      </c>
      <c r="O4279" t="b">
        <v>1</v>
      </c>
      <c r="P4279"/>
      <c r="Q4279" t="b">
        <v>0</v>
      </c>
      <c r="R4279">
        <v>1</v>
      </c>
      <c r="S4279" t="s">
        <v>77</v>
      </c>
      <c r="T4279">
        <v>999</v>
      </c>
      <c r="U4279" t="s">
        <v>7525</v>
      </c>
      <c r="V4279">
        <f t="shared" si="6"/>
        <v>31825041</v>
      </c>
      <c r="W4279"/>
      <c r="X4279" t="s">
        <v>4312</v>
      </c>
      <c r="Y4279" t="s">
        <v>215</v>
      </c>
      <c r="Z4279">
        <v>21249</v>
      </c>
      <c r="AA4279" t="s">
        <v>4313</v>
      </c>
      <c r="AB4279">
        <v>40001</v>
      </c>
      <c r="AC4279"/>
      <c r="AD4279"/>
      <c r="AE4279" t="s">
        <v>7524</v>
      </c>
      <c r="AF4279" t="s">
        <v>7524</v>
      </c>
      <c r="AG4279" t="s">
        <v>95</v>
      </c>
    </row>
    <row r="4280" spans="2:33">
      <c r="B4280" s="14">
        <f>10000000+INDEX(编号表!$B:$B,MATCH(H4280,编号表!$A:$A,0))*100000+INDEX(编号表!$F:$F,MATCH(D4280,编号表!$E:$E,0))*10000+INDEX(编号表!$D:$D,MATCH(AG4280,编号表!$C:$C,0))*1000+F4280</f>
        <v>11825042</v>
      </c>
      <c r="C4280" t="s">
        <v>4318</v>
      </c>
      <c r="D4280" t="s">
        <v>112</v>
      </c>
      <c r="E4280" t="s">
        <v>95</v>
      </c>
      <c r="F4280">
        <v>42</v>
      </c>
      <c r="G4280">
        <v>60</v>
      </c>
      <c r="H4280" t="s">
        <v>7524</v>
      </c>
      <c r="I4280" t="s">
        <v>75</v>
      </c>
      <c r="J4280" t="s">
        <v>201</v>
      </c>
      <c r="K4280">
        <v>1</v>
      </c>
      <c r="L4280" t="s">
        <v>7524</v>
      </c>
      <c r="M4280"/>
      <c r="N4280">
        <v>0</v>
      </c>
      <c r="O4280" t="b">
        <v>1</v>
      </c>
      <c r="P4280"/>
      <c r="Q4280" t="b">
        <v>0</v>
      </c>
      <c r="R4280">
        <v>1</v>
      </c>
      <c r="S4280" t="s">
        <v>77</v>
      </c>
      <c r="T4280">
        <v>999</v>
      </c>
      <c r="U4280" t="s">
        <v>7525</v>
      </c>
      <c r="V4280">
        <f t="shared" si="6"/>
        <v>31825042</v>
      </c>
      <c r="W4280"/>
      <c r="X4280" t="s">
        <v>4319</v>
      </c>
      <c r="Y4280" t="s">
        <v>215</v>
      </c>
      <c r="Z4280">
        <v>21252</v>
      </c>
      <c r="AA4280" t="s">
        <v>4320</v>
      </c>
      <c r="AB4280">
        <v>40001</v>
      </c>
      <c r="AC4280"/>
      <c r="AD4280"/>
      <c r="AE4280" t="s">
        <v>7524</v>
      </c>
      <c r="AF4280" t="s">
        <v>7524</v>
      </c>
      <c r="AG4280" t="s">
        <v>95</v>
      </c>
    </row>
    <row r="4281" spans="2:33">
      <c r="B4281" s="14">
        <f>10000000+INDEX(编号表!$B:$B,MATCH(H4281,编号表!$A:$A,0))*100000+INDEX(编号表!$F:$F,MATCH(D4281,编号表!$E:$E,0))*10000+INDEX(编号表!$D:$D,MATCH(AG4281,编号表!$C:$C,0))*1000+F4281</f>
        <v>11825043</v>
      </c>
      <c r="C4281" t="s">
        <v>4325</v>
      </c>
      <c r="D4281" t="s">
        <v>112</v>
      </c>
      <c r="E4281" t="s">
        <v>95</v>
      </c>
      <c r="F4281">
        <v>43</v>
      </c>
      <c r="G4281">
        <v>60</v>
      </c>
      <c r="H4281" t="s">
        <v>7524</v>
      </c>
      <c r="I4281" t="s">
        <v>75</v>
      </c>
      <c r="J4281" t="s">
        <v>201</v>
      </c>
      <c r="K4281">
        <v>1</v>
      </c>
      <c r="L4281" t="s">
        <v>7524</v>
      </c>
      <c r="M4281"/>
      <c r="N4281">
        <v>0</v>
      </c>
      <c r="O4281" t="b">
        <v>1</v>
      </c>
      <c r="P4281"/>
      <c r="Q4281" t="b">
        <v>0</v>
      </c>
      <c r="R4281">
        <v>1</v>
      </c>
      <c r="S4281" t="s">
        <v>77</v>
      </c>
      <c r="T4281">
        <v>999</v>
      </c>
      <c r="U4281" t="s">
        <v>7525</v>
      </c>
      <c r="V4281">
        <f t="shared" si="6"/>
        <v>31825043</v>
      </c>
      <c r="W4281"/>
      <c r="X4281" t="s">
        <v>4326</v>
      </c>
      <c r="Y4281" t="s">
        <v>215</v>
      </c>
      <c r="Z4281">
        <v>21255</v>
      </c>
      <c r="AA4281" t="s">
        <v>4327</v>
      </c>
      <c r="AB4281">
        <v>40001</v>
      </c>
      <c r="AC4281"/>
      <c r="AD4281"/>
      <c r="AE4281" t="s">
        <v>7524</v>
      </c>
      <c r="AF4281" t="s">
        <v>7524</v>
      </c>
      <c r="AG4281" t="s">
        <v>95</v>
      </c>
    </row>
    <row r="4282" spans="2:33">
      <c r="B4282" s="14">
        <f>10000000+INDEX(编号表!$B:$B,MATCH(H4282,编号表!$A:$A,0))*100000+INDEX(编号表!$F:$F,MATCH(D4282,编号表!$E:$E,0))*10000+INDEX(编号表!$D:$D,MATCH(AG4282,编号表!$C:$C,0))*1000+F4282</f>
        <v>11825044</v>
      </c>
      <c r="C4282" t="s">
        <v>4332</v>
      </c>
      <c r="D4282" t="s">
        <v>112</v>
      </c>
      <c r="E4282" t="s">
        <v>95</v>
      </c>
      <c r="F4282">
        <v>44</v>
      </c>
      <c r="G4282">
        <v>60</v>
      </c>
      <c r="H4282" t="s">
        <v>7524</v>
      </c>
      <c r="I4282" t="s">
        <v>75</v>
      </c>
      <c r="J4282" t="s">
        <v>201</v>
      </c>
      <c r="K4282">
        <v>1</v>
      </c>
      <c r="L4282" t="s">
        <v>7524</v>
      </c>
      <c r="M4282"/>
      <c r="N4282">
        <v>0</v>
      </c>
      <c r="O4282" t="b">
        <v>1</v>
      </c>
      <c r="P4282"/>
      <c r="Q4282" t="b">
        <v>0</v>
      </c>
      <c r="R4282">
        <v>1</v>
      </c>
      <c r="S4282" t="s">
        <v>77</v>
      </c>
      <c r="T4282">
        <v>999</v>
      </c>
      <c r="U4282" t="s">
        <v>7525</v>
      </c>
      <c r="V4282">
        <f t="shared" si="6"/>
        <v>31825044</v>
      </c>
      <c r="W4282"/>
      <c r="X4282" t="s">
        <v>4333</v>
      </c>
      <c r="Y4282" t="s">
        <v>215</v>
      </c>
      <c r="Z4282">
        <v>21258</v>
      </c>
      <c r="AA4282" t="s">
        <v>4334</v>
      </c>
      <c r="AB4282">
        <v>40001</v>
      </c>
      <c r="AC4282"/>
      <c r="AD4282"/>
      <c r="AE4282" t="s">
        <v>7524</v>
      </c>
      <c r="AF4282" t="s">
        <v>7524</v>
      </c>
      <c r="AG4282" t="s">
        <v>95</v>
      </c>
    </row>
    <row r="4283" spans="2:33">
      <c r="B4283" s="14">
        <f>10000000+INDEX(编号表!$B:$B,MATCH(H4283,编号表!$A:$A,0))*100000+INDEX(编号表!$F:$F,MATCH(D4283,编号表!$E:$E,0))*10000+INDEX(编号表!$D:$D,MATCH(AG4283,编号表!$C:$C,0))*1000+F4283</f>
        <v>11825045</v>
      </c>
      <c r="C4283" t="s">
        <v>4339</v>
      </c>
      <c r="D4283" t="s">
        <v>112</v>
      </c>
      <c r="E4283" t="s">
        <v>95</v>
      </c>
      <c r="F4283">
        <v>45</v>
      </c>
      <c r="G4283">
        <v>60</v>
      </c>
      <c r="H4283" t="s">
        <v>7524</v>
      </c>
      <c r="I4283" t="s">
        <v>75</v>
      </c>
      <c r="J4283" t="s">
        <v>201</v>
      </c>
      <c r="K4283">
        <v>1</v>
      </c>
      <c r="L4283" t="s">
        <v>7524</v>
      </c>
      <c r="M4283"/>
      <c r="N4283">
        <v>0</v>
      </c>
      <c r="O4283" t="b">
        <v>1</v>
      </c>
      <c r="P4283"/>
      <c r="Q4283" t="b">
        <v>0</v>
      </c>
      <c r="R4283">
        <v>1</v>
      </c>
      <c r="S4283" t="s">
        <v>77</v>
      </c>
      <c r="T4283">
        <v>999</v>
      </c>
      <c r="U4283" t="s">
        <v>7525</v>
      </c>
      <c r="V4283">
        <f t="shared" si="6"/>
        <v>31825045</v>
      </c>
      <c r="W4283"/>
      <c r="X4283" t="s">
        <v>4340</v>
      </c>
      <c r="Y4283" t="s">
        <v>215</v>
      </c>
      <c r="Z4283">
        <v>21261</v>
      </c>
      <c r="AA4283" t="s">
        <v>4341</v>
      </c>
      <c r="AB4283">
        <v>40001</v>
      </c>
      <c r="AC4283"/>
      <c r="AD4283"/>
      <c r="AE4283" t="s">
        <v>7524</v>
      </c>
      <c r="AF4283" t="s">
        <v>7524</v>
      </c>
      <c r="AG4283" t="s">
        <v>95</v>
      </c>
    </row>
    <row r="4284" spans="2:33">
      <c r="B4284" s="14">
        <f>10000000+INDEX(编号表!$B:$B,MATCH(H4284,编号表!$A:$A,0))*100000+INDEX(编号表!$F:$F,MATCH(D4284,编号表!$E:$E,0))*10000+INDEX(编号表!$D:$D,MATCH(AG4284,编号表!$C:$C,0))*1000+F4284</f>
        <v>11825046</v>
      </c>
      <c r="C4284" t="s">
        <v>4346</v>
      </c>
      <c r="D4284" t="s">
        <v>112</v>
      </c>
      <c r="E4284" t="s">
        <v>95</v>
      </c>
      <c r="F4284">
        <v>46</v>
      </c>
      <c r="G4284">
        <v>60</v>
      </c>
      <c r="H4284" t="s">
        <v>7524</v>
      </c>
      <c r="I4284" t="s">
        <v>75</v>
      </c>
      <c r="J4284" t="s">
        <v>201</v>
      </c>
      <c r="K4284">
        <v>1</v>
      </c>
      <c r="L4284" t="s">
        <v>7524</v>
      </c>
      <c r="M4284"/>
      <c r="N4284">
        <v>0</v>
      </c>
      <c r="O4284" t="b">
        <v>1</v>
      </c>
      <c r="P4284"/>
      <c r="Q4284" t="b">
        <v>0</v>
      </c>
      <c r="R4284">
        <v>1</v>
      </c>
      <c r="S4284" t="s">
        <v>77</v>
      </c>
      <c r="T4284">
        <v>999</v>
      </c>
      <c r="U4284" t="s">
        <v>7525</v>
      </c>
      <c r="V4284">
        <f t="shared" si="6"/>
        <v>31825046</v>
      </c>
      <c r="W4284"/>
      <c r="X4284" t="s">
        <v>4347</v>
      </c>
      <c r="Y4284" t="s">
        <v>215</v>
      </c>
      <c r="Z4284">
        <v>21264</v>
      </c>
      <c r="AA4284" t="s">
        <v>4348</v>
      </c>
      <c r="AB4284">
        <v>40001</v>
      </c>
      <c r="AC4284"/>
      <c r="AD4284"/>
      <c r="AE4284" t="s">
        <v>7524</v>
      </c>
      <c r="AF4284" t="s">
        <v>7524</v>
      </c>
      <c r="AG4284" t="s">
        <v>95</v>
      </c>
    </row>
    <row r="4285" spans="2:33">
      <c r="B4285" s="14">
        <f>10000000+INDEX(编号表!$B:$B,MATCH(H4285,编号表!$A:$A,0))*100000+INDEX(编号表!$F:$F,MATCH(D4285,编号表!$E:$E,0))*10000+INDEX(编号表!$D:$D,MATCH(AG4285,编号表!$C:$C,0))*1000+F4285</f>
        <v>11825047</v>
      </c>
      <c r="C4285" t="s">
        <v>4353</v>
      </c>
      <c r="D4285" t="s">
        <v>112</v>
      </c>
      <c r="E4285" t="s">
        <v>95</v>
      </c>
      <c r="F4285">
        <v>47</v>
      </c>
      <c r="G4285">
        <v>60</v>
      </c>
      <c r="H4285" t="s">
        <v>7524</v>
      </c>
      <c r="I4285" t="s">
        <v>75</v>
      </c>
      <c r="J4285" t="s">
        <v>201</v>
      </c>
      <c r="K4285">
        <v>1</v>
      </c>
      <c r="L4285" t="s">
        <v>7524</v>
      </c>
      <c r="M4285"/>
      <c r="N4285">
        <v>0</v>
      </c>
      <c r="O4285" t="b">
        <v>1</v>
      </c>
      <c r="P4285"/>
      <c r="Q4285" t="b">
        <v>0</v>
      </c>
      <c r="R4285">
        <v>1</v>
      </c>
      <c r="S4285" t="s">
        <v>77</v>
      </c>
      <c r="T4285">
        <v>999</v>
      </c>
      <c r="U4285" t="s">
        <v>7525</v>
      </c>
      <c r="V4285">
        <f t="shared" si="6"/>
        <v>31825047</v>
      </c>
      <c r="W4285"/>
      <c r="X4285" t="s">
        <v>4354</v>
      </c>
      <c r="Y4285" t="s">
        <v>215</v>
      </c>
      <c r="Z4285">
        <v>21267</v>
      </c>
      <c r="AA4285" t="s">
        <v>4355</v>
      </c>
      <c r="AB4285">
        <v>40001</v>
      </c>
      <c r="AC4285"/>
      <c r="AD4285"/>
      <c r="AE4285" t="s">
        <v>7524</v>
      </c>
      <c r="AF4285" t="s">
        <v>7524</v>
      </c>
      <c r="AG4285" t="s">
        <v>95</v>
      </c>
    </row>
    <row r="4286" spans="2:33">
      <c r="B4286" s="14">
        <f>10000000+INDEX(编号表!$B:$B,MATCH(H4286,编号表!$A:$A,0))*100000+INDEX(编号表!$F:$F,MATCH(D4286,编号表!$E:$E,0))*10000+INDEX(编号表!$D:$D,MATCH(AG4286,编号表!$C:$C,0))*1000+F4286</f>
        <v>11825048</v>
      </c>
      <c r="C4286" t="s">
        <v>4360</v>
      </c>
      <c r="D4286" t="s">
        <v>112</v>
      </c>
      <c r="E4286" t="s">
        <v>95</v>
      </c>
      <c r="F4286">
        <v>48</v>
      </c>
      <c r="G4286">
        <v>60</v>
      </c>
      <c r="H4286" t="s">
        <v>7524</v>
      </c>
      <c r="I4286" t="s">
        <v>75</v>
      </c>
      <c r="J4286" t="s">
        <v>201</v>
      </c>
      <c r="K4286">
        <v>1</v>
      </c>
      <c r="L4286" t="s">
        <v>7524</v>
      </c>
      <c r="M4286"/>
      <c r="N4286">
        <v>0</v>
      </c>
      <c r="O4286" t="b">
        <v>1</v>
      </c>
      <c r="P4286"/>
      <c r="Q4286" t="b">
        <v>0</v>
      </c>
      <c r="R4286">
        <v>1</v>
      </c>
      <c r="S4286" t="s">
        <v>77</v>
      </c>
      <c r="T4286">
        <v>999</v>
      </c>
      <c r="U4286" t="s">
        <v>7525</v>
      </c>
      <c r="V4286">
        <f t="shared" si="6"/>
        <v>31825048</v>
      </c>
      <c r="W4286"/>
      <c r="X4286" t="s">
        <v>4361</v>
      </c>
      <c r="Y4286" t="s">
        <v>215</v>
      </c>
      <c r="Z4286">
        <v>21270</v>
      </c>
      <c r="AA4286" t="s">
        <v>4362</v>
      </c>
      <c r="AB4286">
        <v>40001</v>
      </c>
      <c r="AC4286"/>
      <c r="AD4286"/>
      <c r="AE4286" t="s">
        <v>7524</v>
      </c>
      <c r="AF4286" t="s">
        <v>7524</v>
      </c>
      <c r="AG4286" t="s">
        <v>95</v>
      </c>
    </row>
    <row r="4287" spans="2:33">
      <c r="B4287" s="14">
        <f>10000000+INDEX(编号表!$B:$B,MATCH(H4287,编号表!$A:$A,0))*100000+INDEX(编号表!$F:$F,MATCH(D4287,编号表!$E:$E,0))*10000+INDEX(编号表!$D:$D,MATCH(AG4287,编号表!$C:$C,0))*1000+F4287</f>
        <v>11825049</v>
      </c>
      <c r="C4287" t="s">
        <v>4367</v>
      </c>
      <c r="D4287" t="s">
        <v>112</v>
      </c>
      <c r="E4287" t="s">
        <v>95</v>
      </c>
      <c r="F4287">
        <v>49</v>
      </c>
      <c r="G4287">
        <v>60</v>
      </c>
      <c r="H4287" t="s">
        <v>7524</v>
      </c>
      <c r="I4287" t="s">
        <v>75</v>
      </c>
      <c r="J4287" t="s">
        <v>201</v>
      </c>
      <c r="K4287">
        <v>1</v>
      </c>
      <c r="L4287" t="s">
        <v>7524</v>
      </c>
      <c r="M4287"/>
      <c r="N4287">
        <v>0</v>
      </c>
      <c r="O4287" t="b">
        <v>1</v>
      </c>
      <c r="P4287"/>
      <c r="Q4287" t="b">
        <v>0</v>
      </c>
      <c r="R4287">
        <v>1</v>
      </c>
      <c r="S4287" t="s">
        <v>77</v>
      </c>
      <c r="T4287">
        <v>999</v>
      </c>
      <c r="U4287" t="s">
        <v>7525</v>
      </c>
      <c r="V4287">
        <f t="shared" si="6"/>
        <v>31825049</v>
      </c>
      <c r="W4287"/>
      <c r="X4287" t="s">
        <v>4368</v>
      </c>
      <c r="Y4287" t="s">
        <v>215</v>
      </c>
      <c r="Z4287">
        <v>21273</v>
      </c>
      <c r="AA4287" t="s">
        <v>4369</v>
      </c>
      <c r="AB4287">
        <v>40001</v>
      </c>
      <c r="AC4287"/>
      <c r="AD4287"/>
      <c r="AE4287" t="s">
        <v>7524</v>
      </c>
      <c r="AF4287" t="s">
        <v>7524</v>
      </c>
      <c r="AG4287" t="s">
        <v>95</v>
      </c>
    </row>
    <row r="4288" spans="2:33">
      <c r="B4288" s="14">
        <f>10000000+INDEX(编号表!$B:$B,MATCH(H4288,编号表!$A:$A,0))*100000+INDEX(编号表!$F:$F,MATCH(D4288,编号表!$E:$E,0))*10000+INDEX(编号表!$D:$D,MATCH(AG4288,编号表!$C:$C,0))*1000+F4288</f>
        <v>11825050</v>
      </c>
      <c r="C4288" t="s">
        <v>4374</v>
      </c>
      <c r="D4288" t="s">
        <v>112</v>
      </c>
      <c r="E4288" t="s">
        <v>95</v>
      </c>
      <c r="F4288">
        <v>50</v>
      </c>
      <c r="G4288">
        <v>60</v>
      </c>
      <c r="H4288" t="s">
        <v>7524</v>
      </c>
      <c r="I4288" t="s">
        <v>75</v>
      </c>
      <c r="J4288" t="s">
        <v>201</v>
      </c>
      <c r="K4288">
        <v>1</v>
      </c>
      <c r="L4288" t="s">
        <v>7524</v>
      </c>
      <c r="M4288"/>
      <c r="N4288">
        <v>0</v>
      </c>
      <c r="O4288" t="b">
        <v>1</v>
      </c>
      <c r="P4288"/>
      <c r="Q4288" t="b">
        <v>0</v>
      </c>
      <c r="R4288">
        <v>1</v>
      </c>
      <c r="S4288" t="s">
        <v>77</v>
      </c>
      <c r="T4288">
        <v>999</v>
      </c>
      <c r="U4288" t="s">
        <v>7525</v>
      </c>
      <c r="V4288">
        <f t="shared" si="6"/>
        <v>31825050</v>
      </c>
      <c r="W4288"/>
      <c r="X4288" t="s">
        <v>4375</v>
      </c>
      <c r="Y4288" t="s">
        <v>215</v>
      </c>
      <c r="Z4288">
        <v>21276</v>
      </c>
      <c r="AA4288" t="s">
        <v>4376</v>
      </c>
      <c r="AB4288">
        <v>40001</v>
      </c>
      <c r="AC4288"/>
      <c r="AD4288"/>
      <c r="AE4288" t="s">
        <v>7524</v>
      </c>
      <c r="AF4288" t="s">
        <v>7524</v>
      </c>
      <c r="AG4288" t="s">
        <v>95</v>
      </c>
    </row>
    <row r="4289" spans="2:33">
      <c r="B4289" s="14">
        <f>10000000+INDEX(编号表!$B:$B,MATCH(H4289,编号表!$A:$A,0))*100000+INDEX(编号表!$F:$F,MATCH(D4289,编号表!$E:$E,0))*10000+INDEX(编号表!$D:$D,MATCH(AG4289,编号表!$C:$C,0))*1000+F4289</f>
        <v>11825051</v>
      </c>
      <c r="C4289" t="s">
        <v>4381</v>
      </c>
      <c r="D4289" t="s">
        <v>112</v>
      </c>
      <c r="E4289" t="s">
        <v>95</v>
      </c>
      <c r="F4289">
        <v>51</v>
      </c>
      <c r="G4289">
        <v>60</v>
      </c>
      <c r="H4289" t="s">
        <v>7524</v>
      </c>
      <c r="I4289" t="s">
        <v>75</v>
      </c>
      <c r="J4289" t="s">
        <v>201</v>
      </c>
      <c r="K4289">
        <v>1</v>
      </c>
      <c r="L4289" t="s">
        <v>7524</v>
      </c>
      <c r="M4289"/>
      <c r="N4289">
        <v>0</v>
      </c>
      <c r="O4289" t="b">
        <v>1</v>
      </c>
      <c r="P4289"/>
      <c r="Q4289" t="b">
        <v>0</v>
      </c>
      <c r="R4289">
        <v>1</v>
      </c>
      <c r="S4289" t="s">
        <v>77</v>
      </c>
      <c r="T4289">
        <v>999</v>
      </c>
      <c r="U4289" t="s">
        <v>7525</v>
      </c>
      <c r="V4289">
        <f t="shared" si="6"/>
        <v>31825051</v>
      </c>
      <c r="W4289"/>
      <c r="X4289" t="s">
        <v>4382</v>
      </c>
      <c r="Y4289" t="s">
        <v>215</v>
      </c>
      <c r="Z4289">
        <v>21279</v>
      </c>
      <c r="AA4289" t="s">
        <v>4383</v>
      </c>
      <c r="AB4289">
        <v>40001</v>
      </c>
      <c r="AC4289"/>
      <c r="AD4289"/>
      <c r="AE4289" t="s">
        <v>7524</v>
      </c>
      <c r="AF4289" t="s">
        <v>7524</v>
      </c>
      <c r="AG4289" t="s">
        <v>95</v>
      </c>
    </row>
    <row r="4290" spans="2:33">
      <c r="B4290" s="14">
        <f>10000000+INDEX(编号表!$B:$B,MATCH(H4290,编号表!$A:$A,0))*100000+INDEX(编号表!$F:$F,MATCH(D4290,编号表!$E:$E,0))*10000+INDEX(编号表!$D:$D,MATCH(AG4290,编号表!$C:$C,0))*1000+F4290</f>
        <v>11825052</v>
      </c>
      <c r="C4290" t="s">
        <v>4388</v>
      </c>
      <c r="D4290" t="s">
        <v>112</v>
      </c>
      <c r="E4290" t="s">
        <v>95</v>
      </c>
      <c r="F4290">
        <v>52</v>
      </c>
      <c r="G4290">
        <v>60</v>
      </c>
      <c r="H4290" t="s">
        <v>7524</v>
      </c>
      <c r="I4290" t="s">
        <v>75</v>
      </c>
      <c r="J4290" t="s">
        <v>201</v>
      </c>
      <c r="K4290">
        <v>1</v>
      </c>
      <c r="L4290" t="s">
        <v>7524</v>
      </c>
      <c r="M4290"/>
      <c r="N4290">
        <v>0</v>
      </c>
      <c r="O4290" t="b">
        <v>1</v>
      </c>
      <c r="P4290"/>
      <c r="Q4290" t="b">
        <v>0</v>
      </c>
      <c r="R4290">
        <v>1</v>
      </c>
      <c r="S4290" t="s">
        <v>77</v>
      </c>
      <c r="T4290">
        <v>999</v>
      </c>
      <c r="U4290" t="s">
        <v>7525</v>
      </c>
      <c r="V4290">
        <f t="shared" si="6"/>
        <v>31825052</v>
      </c>
      <c r="W4290"/>
      <c r="X4290" t="s">
        <v>4389</v>
      </c>
      <c r="Y4290" t="s">
        <v>215</v>
      </c>
      <c r="Z4290">
        <v>21282</v>
      </c>
      <c r="AA4290" t="s">
        <v>4390</v>
      </c>
      <c r="AB4290">
        <v>40001</v>
      </c>
      <c r="AC4290"/>
      <c r="AD4290"/>
      <c r="AE4290" t="s">
        <v>7524</v>
      </c>
      <c r="AF4290" t="s">
        <v>7524</v>
      </c>
      <c r="AG4290" t="s">
        <v>95</v>
      </c>
    </row>
    <row r="4291" spans="2:33">
      <c r="B4291" s="14">
        <f>10000000+INDEX(编号表!$B:$B,MATCH(H4291,编号表!$A:$A,0))*100000+INDEX(编号表!$F:$F,MATCH(D4291,编号表!$E:$E,0))*10000+INDEX(编号表!$D:$D,MATCH(AG4291,编号表!$C:$C,0))*1000+F4291</f>
        <v>11825053</v>
      </c>
      <c r="C4291" t="s">
        <v>4395</v>
      </c>
      <c r="D4291" t="s">
        <v>112</v>
      </c>
      <c r="E4291" t="s">
        <v>95</v>
      </c>
      <c r="F4291">
        <v>53</v>
      </c>
      <c r="G4291">
        <v>60</v>
      </c>
      <c r="H4291" t="s">
        <v>7524</v>
      </c>
      <c r="I4291" t="s">
        <v>75</v>
      </c>
      <c r="J4291" t="s">
        <v>201</v>
      </c>
      <c r="K4291">
        <v>1</v>
      </c>
      <c r="L4291" t="s">
        <v>7524</v>
      </c>
      <c r="M4291"/>
      <c r="N4291">
        <v>0</v>
      </c>
      <c r="O4291" t="b">
        <v>1</v>
      </c>
      <c r="P4291"/>
      <c r="Q4291" t="b">
        <v>0</v>
      </c>
      <c r="R4291">
        <v>1</v>
      </c>
      <c r="S4291" t="s">
        <v>77</v>
      </c>
      <c r="T4291">
        <v>999</v>
      </c>
      <c r="U4291" t="s">
        <v>7525</v>
      </c>
      <c r="V4291">
        <f t="shared" si="6"/>
        <v>31825053</v>
      </c>
      <c r="W4291"/>
      <c r="X4291" t="s">
        <v>4396</v>
      </c>
      <c r="Y4291" t="s">
        <v>215</v>
      </c>
      <c r="Z4291">
        <v>21285</v>
      </c>
      <c r="AA4291" t="s">
        <v>4397</v>
      </c>
      <c r="AB4291">
        <v>40001</v>
      </c>
      <c r="AC4291"/>
      <c r="AD4291"/>
      <c r="AE4291" t="s">
        <v>7524</v>
      </c>
      <c r="AF4291" t="s">
        <v>7524</v>
      </c>
      <c r="AG4291" t="s">
        <v>95</v>
      </c>
    </row>
    <row r="4292" spans="2:33">
      <c r="B4292" s="14">
        <f>10000000+INDEX(编号表!$B:$B,MATCH(H4292,编号表!$A:$A,0))*100000+INDEX(编号表!$F:$F,MATCH(D4292,编号表!$E:$E,0))*10000+INDEX(编号表!$D:$D,MATCH(AG4292,编号表!$C:$C,0))*1000+F4292</f>
        <v>11825054</v>
      </c>
      <c r="C4292" t="s">
        <v>4402</v>
      </c>
      <c r="D4292" t="s">
        <v>112</v>
      </c>
      <c r="E4292" t="s">
        <v>95</v>
      </c>
      <c r="F4292">
        <v>54</v>
      </c>
      <c r="G4292">
        <v>60</v>
      </c>
      <c r="H4292" t="s">
        <v>7524</v>
      </c>
      <c r="I4292" t="s">
        <v>75</v>
      </c>
      <c r="J4292" t="s">
        <v>201</v>
      </c>
      <c r="K4292">
        <v>1</v>
      </c>
      <c r="L4292" t="s">
        <v>7524</v>
      </c>
      <c r="M4292"/>
      <c r="N4292">
        <v>0</v>
      </c>
      <c r="O4292" t="b">
        <v>1</v>
      </c>
      <c r="P4292"/>
      <c r="Q4292" t="b">
        <v>0</v>
      </c>
      <c r="R4292">
        <v>1</v>
      </c>
      <c r="S4292" t="s">
        <v>77</v>
      </c>
      <c r="T4292">
        <v>999</v>
      </c>
      <c r="U4292" t="s">
        <v>7525</v>
      </c>
      <c r="V4292">
        <f t="shared" si="6"/>
        <v>31825054</v>
      </c>
      <c r="W4292"/>
      <c r="X4292" t="s">
        <v>4403</v>
      </c>
      <c r="Y4292" t="s">
        <v>215</v>
      </c>
      <c r="Z4292">
        <v>21288</v>
      </c>
      <c r="AA4292" t="s">
        <v>4404</v>
      </c>
      <c r="AB4292">
        <v>40001</v>
      </c>
      <c r="AC4292"/>
      <c r="AD4292"/>
      <c r="AE4292" t="s">
        <v>7524</v>
      </c>
      <c r="AF4292" t="s">
        <v>7524</v>
      </c>
      <c r="AG4292" t="s">
        <v>95</v>
      </c>
    </row>
    <row r="4293" spans="2:33">
      <c r="B4293" s="14">
        <f>10000000+INDEX(编号表!$B:$B,MATCH(H4293,编号表!$A:$A,0))*100000+INDEX(编号表!$F:$F,MATCH(D4293,编号表!$E:$E,0))*10000+INDEX(编号表!$D:$D,MATCH(AG4293,编号表!$C:$C,0))*1000+F4293</f>
        <v>11825055</v>
      </c>
      <c r="C4293" t="s">
        <v>4409</v>
      </c>
      <c r="D4293" t="s">
        <v>112</v>
      </c>
      <c r="E4293" t="s">
        <v>95</v>
      </c>
      <c r="F4293">
        <v>55</v>
      </c>
      <c r="G4293">
        <v>60</v>
      </c>
      <c r="H4293" t="s">
        <v>7524</v>
      </c>
      <c r="I4293" t="s">
        <v>75</v>
      </c>
      <c r="J4293" t="s">
        <v>201</v>
      </c>
      <c r="K4293">
        <v>1</v>
      </c>
      <c r="L4293" t="s">
        <v>7524</v>
      </c>
      <c r="M4293"/>
      <c r="N4293">
        <v>0</v>
      </c>
      <c r="O4293" t="b">
        <v>1</v>
      </c>
      <c r="P4293"/>
      <c r="Q4293" t="b">
        <v>0</v>
      </c>
      <c r="R4293">
        <v>1</v>
      </c>
      <c r="S4293" t="s">
        <v>77</v>
      </c>
      <c r="T4293">
        <v>999</v>
      </c>
      <c r="U4293" t="s">
        <v>7525</v>
      </c>
      <c r="V4293">
        <f t="shared" si="6"/>
        <v>31825055</v>
      </c>
      <c r="W4293"/>
      <c r="X4293" t="s">
        <v>4410</v>
      </c>
      <c r="Y4293" t="s">
        <v>215</v>
      </c>
      <c r="Z4293">
        <v>21291</v>
      </c>
      <c r="AA4293" t="s">
        <v>4411</v>
      </c>
      <c r="AB4293">
        <v>40001</v>
      </c>
      <c r="AC4293"/>
      <c r="AD4293"/>
      <c r="AE4293" t="s">
        <v>7524</v>
      </c>
      <c r="AF4293" t="s">
        <v>7524</v>
      </c>
      <c r="AG4293" t="s">
        <v>95</v>
      </c>
    </row>
    <row r="4294" spans="2:33">
      <c r="B4294" s="14">
        <f>10000000+INDEX(编号表!$B:$B,MATCH(H4294,编号表!$A:$A,0))*100000+INDEX(编号表!$F:$F,MATCH(D4294,编号表!$E:$E,0))*10000+INDEX(编号表!$D:$D,MATCH(AG4294,编号表!$C:$C,0))*1000+F4294</f>
        <v>11825056</v>
      </c>
      <c r="C4294" t="s">
        <v>4416</v>
      </c>
      <c r="D4294" t="s">
        <v>112</v>
      </c>
      <c r="E4294" t="s">
        <v>95</v>
      </c>
      <c r="F4294">
        <v>56</v>
      </c>
      <c r="G4294">
        <v>60</v>
      </c>
      <c r="H4294" t="s">
        <v>7524</v>
      </c>
      <c r="I4294" t="s">
        <v>75</v>
      </c>
      <c r="J4294" t="s">
        <v>201</v>
      </c>
      <c r="K4294">
        <v>1</v>
      </c>
      <c r="L4294" t="s">
        <v>7524</v>
      </c>
      <c r="M4294"/>
      <c r="N4294">
        <v>0</v>
      </c>
      <c r="O4294" t="b">
        <v>1</v>
      </c>
      <c r="P4294"/>
      <c r="Q4294" t="b">
        <v>0</v>
      </c>
      <c r="R4294">
        <v>1</v>
      </c>
      <c r="S4294" t="s">
        <v>77</v>
      </c>
      <c r="T4294">
        <v>999</v>
      </c>
      <c r="U4294" t="s">
        <v>7525</v>
      </c>
      <c r="V4294">
        <f t="shared" si="6"/>
        <v>31825056</v>
      </c>
      <c r="W4294"/>
      <c r="X4294" t="s">
        <v>4417</v>
      </c>
      <c r="Y4294" t="s">
        <v>215</v>
      </c>
      <c r="Z4294">
        <v>21294</v>
      </c>
      <c r="AA4294" t="s">
        <v>4418</v>
      </c>
      <c r="AB4294">
        <v>40001</v>
      </c>
      <c r="AC4294"/>
      <c r="AD4294"/>
      <c r="AE4294" t="s">
        <v>7524</v>
      </c>
      <c r="AF4294" t="s">
        <v>7524</v>
      </c>
      <c r="AG4294" t="s">
        <v>95</v>
      </c>
    </row>
    <row r="4295" spans="2:33">
      <c r="B4295" s="14">
        <f>10000000+INDEX(编号表!$B:$B,MATCH(H4295,编号表!$A:$A,0))*100000+INDEX(编号表!$F:$F,MATCH(D4295,编号表!$E:$E,0))*10000+INDEX(编号表!$D:$D,MATCH(AG4295,编号表!$C:$C,0))*1000+F4295</f>
        <v>11825057</v>
      </c>
      <c r="C4295" t="s">
        <v>4423</v>
      </c>
      <c r="D4295" t="s">
        <v>112</v>
      </c>
      <c r="E4295" t="s">
        <v>95</v>
      </c>
      <c r="F4295">
        <v>57</v>
      </c>
      <c r="G4295">
        <v>60</v>
      </c>
      <c r="H4295" t="s">
        <v>7524</v>
      </c>
      <c r="I4295" t="s">
        <v>75</v>
      </c>
      <c r="J4295" t="s">
        <v>201</v>
      </c>
      <c r="K4295">
        <v>1</v>
      </c>
      <c r="L4295" t="s">
        <v>7524</v>
      </c>
      <c r="M4295"/>
      <c r="N4295">
        <v>0</v>
      </c>
      <c r="O4295" t="b">
        <v>1</v>
      </c>
      <c r="P4295"/>
      <c r="Q4295" t="b">
        <v>0</v>
      </c>
      <c r="R4295">
        <v>1</v>
      </c>
      <c r="S4295" t="s">
        <v>77</v>
      </c>
      <c r="T4295">
        <v>999</v>
      </c>
      <c r="U4295" t="s">
        <v>7525</v>
      </c>
      <c r="V4295">
        <f t="shared" si="6"/>
        <v>31825057</v>
      </c>
      <c r="W4295"/>
      <c r="X4295" t="s">
        <v>4424</v>
      </c>
      <c r="Y4295" t="s">
        <v>215</v>
      </c>
      <c r="Z4295">
        <v>21297</v>
      </c>
      <c r="AA4295" t="s">
        <v>4425</v>
      </c>
      <c r="AB4295">
        <v>40001</v>
      </c>
      <c r="AC4295"/>
      <c r="AD4295"/>
      <c r="AE4295" t="s">
        <v>7524</v>
      </c>
      <c r="AF4295" t="s">
        <v>7524</v>
      </c>
      <c r="AG4295" t="s">
        <v>95</v>
      </c>
    </row>
    <row r="4296" spans="2:33">
      <c r="B4296" s="14">
        <f>10000000+INDEX(编号表!$B:$B,MATCH(H4296,编号表!$A:$A,0))*100000+INDEX(编号表!$F:$F,MATCH(D4296,编号表!$E:$E,0))*10000+INDEX(编号表!$D:$D,MATCH(AG4296,编号表!$C:$C,0))*1000+F4296</f>
        <v>11825058</v>
      </c>
      <c r="C4296" t="s">
        <v>4430</v>
      </c>
      <c r="D4296" t="s">
        <v>112</v>
      </c>
      <c r="E4296" t="s">
        <v>95</v>
      </c>
      <c r="F4296">
        <v>58</v>
      </c>
      <c r="G4296">
        <v>60</v>
      </c>
      <c r="H4296" t="s">
        <v>7524</v>
      </c>
      <c r="I4296" t="s">
        <v>75</v>
      </c>
      <c r="J4296" t="s">
        <v>201</v>
      </c>
      <c r="K4296">
        <v>1</v>
      </c>
      <c r="L4296" t="s">
        <v>7524</v>
      </c>
      <c r="M4296"/>
      <c r="N4296">
        <v>0</v>
      </c>
      <c r="O4296" t="b">
        <v>1</v>
      </c>
      <c r="P4296"/>
      <c r="Q4296" t="b">
        <v>0</v>
      </c>
      <c r="R4296">
        <v>1</v>
      </c>
      <c r="S4296" t="s">
        <v>77</v>
      </c>
      <c r="T4296">
        <v>999</v>
      </c>
      <c r="U4296" t="s">
        <v>7525</v>
      </c>
      <c r="V4296">
        <f t="shared" si="6"/>
        <v>31825058</v>
      </c>
      <c r="W4296"/>
      <c r="X4296" t="s">
        <v>4431</v>
      </c>
      <c r="Y4296" t="s">
        <v>215</v>
      </c>
      <c r="Z4296">
        <v>21300</v>
      </c>
      <c r="AA4296" t="s">
        <v>4432</v>
      </c>
      <c r="AB4296">
        <v>40001</v>
      </c>
      <c r="AC4296"/>
      <c r="AD4296"/>
      <c r="AE4296" t="s">
        <v>7524</v>
      </c>
      <c r="AF4296" t="s">
        <v>7524</v>
      </c>
      <c r="AG4296" t="s">
        <v>95</v>
      </c>
    </row>
    <row r="4297" spans="2:33">
      <c r="B4297" s="14">
        <f>10000000+INDEX(编号表!$B:$B,MATCH(H4297,编号表!$A:$A,0))*100000+INDEX(编号表!$F:$F,MATCH(D4297,编号表!$E:$E,0))*10000+INDEX(编号表!$D:$D,MATCH(AG4297,编号表!$C:$C,0))*1000+F4297</f>
        <v>11825059</v>
      </c>
      <c r="C4297" t="s">
        <v>4437</v>
      </c>
      <c r="D4297" t="s">
        <v>112</v>
      </c>
      <c r="E4297" t="s">
        <v>95</v>
      </c>
      <c r="F4297">
        <v>59</v>
      </c>
      <c r="G4297">
        <v>60</v>
      </c>
      <c r="H4297" t="s">
        <v>7524</v>
      </c>
      <c r="I4297" t="s">
        <v>75</v>
      </c>
      <c r="J4297" t="s">
        <v>201</v>
      </c>
      <c r="K4297">
        <v>1</v>
      </c>
      <c r="L4297" t="s">
        <v>7524</v>
      </c>
      <c r="M4297"/>
      <c r="N4297">
        <v>0</v>
      </c>
      <c r="O4297" t="b">
        <v>1</v>
      </c>
      <c r="P4297"/>
      <c r="Q4297" t="b">
        <v>0</v>
      </c>
      <c r="R4297">
        <v>1</v>
      </c>
      <c r="S4297" t="s">
        <v>77</v>
      </c>
      <c r="T4297">
        <v>999</v>
      </c>
      <c r="U4297" t="s">
        <v>7525</v>
      </c>
      <c r="V4297">
        <f t="shared" si="6"/>
        <v>31825059</v>
      </c>
      <c r="W4297"/>
      <c r="X4297" t="s">
        <v>4438</v>
      </c>
      <c r="Y4297" t="s">
        <v>215</v>
      </c>
      <c r="Z4297">
        <v>21303</v>
      </c>
      <c r="AA4297" t="s">
        <v>4439</v>
      </c>
      <c r="AB4297">
        <v>40001</v>
      </c>
      <c r="AC4297"/>
      <c r="AD4297"/>
      <c r="AE4297" t="s">
        <v>7524</v>
      </c>
      <c r="AF4297" t="s">
        <v>7524</v>
      </c>
      <c r="AG4297" t="s">
        <v>95</v>
      </c>
    </row>
    <row r="4298" spans="2:33">
      <c r="B4298" s="14">
        <f>10000000+INDEX(编号表!$B:$B,MATCH(H4298,编号表!$A:$A,0))*100000+INDEX(编号表!$F:$F,MATCH(D4298,编号表!$E:$E,0))*10000+INDEX(编号表!$D:$D,MATCH(AG4298,编号表!$C:$C,0))*1000+F4298</f>
        <v>11825060</v>
      </c>
      <c r="C4298" t="s">
        <v>4444</v>
      </c>
      <c r="D4298" t="s">
        <v>112</v>
      </c>
      <c r="E4298" t="s">
        <v>95</v>
      </c>
      <c r="F4298">
        <v>60</v>
      </c>
      <c r="G4298">
        <v>60</v>
      </c>
      <c r="H4298" t="s">
        <v>7524</v>
      </c>
      <c r="I4298" t="s">
        <v>75</v>
      </c>
      <c r="J4298" t="s">
        <v>201</v>
      </c>
      <c r="K4298">
        <v>1</v>
      </c>
      <c r="L4298" t="s">
        <v>7524</v>
      </c>
      <c r="M4298"/>
      <c r="N4298">
        <v>0</v>
      </c>
      <c r="O4298" t="b">
        <v>1</v>
      </c>
      <c r="P4298"/>
      <c r="Q4298" t="b">
        <v>0</v>
      </c>
      <c r="R4298">
        <v>1</v>
      </c>
      <c r="S4298" t="s">
        <v>77</v>
      </c>
      <c r="T4298">
        <v>999</v>
      </c>
      <c r="U4298" t="s">
        <v>7525</v>
      </c>
      <c r="V4298">
        <f t="shared" si="6"/>
        <v>31825060</v>
      </c>
      <c r="W4298"/>
      <c r="X4298" t="s">
        <v>4445</v>
      </c>
      <c r="Y4298" t="s">
        <v>215</v>
      </c>
      <c r="Z4298">
        <v>21306</v>
      </c>
      <c r="AA4298" t="s">
        <v>4446</v>
      </c>
      <c r="AB4298">
        <v>40001</v>
      </c>
      <c r="AC4298"/>
      <c r="AD4298"/>
      <c r="AE4298" t="s">
        <v>7524</v>
      </c>
      <c r="AF4298" t="s">
        <v>7524</v>
      </c>
      <c r="AG4298" t="s">
        <v>95</v>
      </c>
    </row>
    <row r="4299" spans="2:33">
      <c r="B4299" s="14">
        <f>10000000+INDEX(编号表!$B:$B,MATCH(H4299,编号表!$A:$A,0))*100000+INDEX(编号表!$F:$F,MATCH(D4299,编号表!$E:$E,0))*10000+INDEX(编号表!$D:$D,MATCH(AG4299,编号表!$C:$C,0))*1000+F4299</f>
        <v>11825061</v>
      </c>
      <c r="C4299" t="s">
        <v>4451</v>
      </c>
      <c r="D4299" t="s">
        <v>112</v>
      </c>
      <c r="E4299" t="s">
        <v>95</v>
      </c>
      <c r="F4299">
        <v>61</v>
      </c>
      <c r="G4299">
        <v>60</v>
      </c>
      <c r="H4299" t="s">
        <v>7524</v>
      </c>
      <c r="I4299" t="s">
        <v>75</v>
      </c>
      <c r="J4299" t="s">
        <v>201</v>
      </c>
      <c r="K4299">
        <v>1</v>
      </c>
      <c r="L4299" t="s">
        <v>7524</v>
      </c>
      <c r="M4299"/>
      <c r="N4299">
        <v>0</v>
      </c>
      <c r="O4299" t="b">
        <v>1</v>
      </c>
      <c r="P4299"/>
      <c r="Q4299" t="b">
        <v>0</v>
      </c>
      <c r="R4299">
        <v>1</v>
      </c>
      <c r="S4299" t="s">
        <v>77</v>
      </c>
      <c r="T4299">
        <v>999</v>
      </c>
      <c r="U4299" t="s">
        <v>7525</v>
      </c>
      <c r="V4299">
        <f t="shared" si="6"/>
        <v>31825061</v>
      </c>
      <c r="W4299"/>
      <c r="X4299" t="s">
        <v>4452</v>
      </c>
      <c r="Y4299" t="s">
        <v>215</v>
      </c>
      <c r="Z4299">
        <v>21309</v>
      </c>
      <c r="AA4299" t="s">
        <v>4453</v>
      </c>
      <c r="AB4299">
        <v>40001</v>
      </c>
      <c r="AC4299"/>
      <c r="AD4299"/>
      <c r="AE4299" t="s">
        <v>7524</v>
      </c>
      <c r="AF4299" t="s">
        <v>7524</v>
      </c>
      <c r="AG4299" t="s">
        <v>95</v>
      </c>
    </row>
    <row r="4300" spans="2:33">
      <c r="B4300" s="14">
        <f>10000000+INDEX(编号表!$B:$B,MATCH(H4300,编号表!$A:$A,0))*100000+INDEX(编号表!$F:$F,MATCH(D4300,编号表!$E:$E,0))*10000+INDEX(编号表!$D:$D,MATCH(AG4300,编号表!$C:$C,0))*1000+F4300</f>
        <v>11825062</v>
      </c>
      <c r="C4300" t="s">
        <v>4458</v>
      </c>
      <c r="D4300" t="s">
        <v>112</v>
      </c>
      <c r="E4300" t="s">
        <v>95</v>
      </c>
      <c r="F4300">
        <v>62</v>
      </c>
      <c r="G4300">
        <v>60</v>
      </c>
      <c r="H4300" t="s">
        <v>7524</v>
      </c>
      <c r="I4300" t="s">
        <v>75</v>
      </c>
      <c r="J4300" t="s">
        <v>201</v>
      </c>
      <c r="K4300">
        <v>1</v>
      </c>
      <c r="L4300" t="s">
        <v>7524</v>
      </c>
      <c r="M4300"/>
      <c r="N4300">
        <v>0</v>
      </c>
      <c r="O4300" t="b">
        <v>1</v>
      </c>
      <c r="P4300"/>
      <c r="Q4300" t="b">
        <v>0</v>
      </c>
      <c r="R4300">
        <v>1</v>
      </c>
      <c r="S4300" t="s">
        <v>77</v>
      </c>
      <c r="T4300">
        <v>999</v>
      </c>
      <c r="U4300" t="s">
        <v>7525</v>
      </c>
      <c r="V4300">
        <f t="shared" si="6"/>
        <v>31825062</v>
      </c>
      <c r="W4300"/>
      <c r="X4300" t="s">
        <v>4459</v>
      </c>
      <c r="Y4300" t="s">
        <v>215</v>
      </c>
      <c r="Z4300">
        <v>21312</v>
      </c>
      <c r="AA4300" t="s">
        <v>4460</v>
      </c>
      <c r="AB4300">
        <v>40001</v>
      </c>
      <c r="AC4300"/>
      <c r="AD4300"/>
      <c r="AE4300" t="s">
        <v>7524</v>
      </c>
      <c r="AF4300" t="s">
        <v>7524</v>
      </c>
      <c r="AG4300" t="s">
        <v>95</v>
      </c>
    </row>
    <row r="4301" spans="2:33">
      <c r="B4301" s="14">
        <f>10000000+INDEX(编号表!$B:$B,MATCH(H4301,编号表!$A:$A,0))*100000+INDEX(编号表!$F:$F,MATCH(D4301,编号表!$E:$E,0))*10000+INDEX(编号表!$D:$D,MATCH(AG4301,编号表!$C:$C,0))*1000+F4301</f>
        <v>11825063</v>
      </c>
      <c r="C4301" t="s">
        <v>4465</v>
      </c>
      <c r="D4301" t="s">
        <v>112</v>
      </c>
      <c r="E4301" t="s">
        <v>95</v>
      </c>
      <c r="F4301">
        <v>63</v>
      </c>
      <c r="G4301">
        <v>60</v>
      </c>
      <c r="H4301" t="s">
        <v>7524</v>
      </c>
      <c r="I4301" t="s">
        <v>75</v>
      </c>
      <c r="J4301" t="s">
        <v>201</v>
      </c>
      <c r="K4301">
        <v>1</v>
      </c>
      <c r="L4301" t="s">
        <v>7524</v>
      </c>
      <c r="M4301"/>
      <c r="N4301">
        <v>0</v>
      </c>
      <c r="O4301" t="b">
        <v>1</v>
      </c>
      <c r="P4301"/>
      <c r="Q4301" t="b">
        <v>0</v>
      </c>
      <c r="R4301">
        <v>1</v>
      </c>
      <c r="S4301" t="s">
        <v>77</v>
      </c>
      <c r="T4301">
        <v>999</v>
      </c>
      <c r="U4301" t="s">
        <v>7525</v>
      </c>
      <c r="V4301">
        <f t="shared" si="6"/>
        <v>31825063</v>
      </c>
      <c r="W4301"/>
      <c r="X4301" t="s">
        <v>4466</v>
      </c>
      <c r="Y4301" t="s">
        <v>215</v>
      </c>
      <c r="Z4301">
        <v>21315</v>
      </c>
      <c r="AA4301" t="s">
        <v>4467</v>
      </c>
      <c r="AB4301">
        <v>40001</v>
      </c>
      <c r="AC4301"/>
      <c r="AD4301"/>
      <c r="AE4301" t="s">
        <v>7524</v>
      </c>
      <c r="AF4301" t="s">
        <v>7524</v>
      </c>
      <c r="AG4301" t="s">
        <v>95</v>
      </c>
    </row>
    <row r="4302" spans="2:33">
      <c r="B4302" s="14">
        <f>10000000+INDEX(编号表!$B:$B,MATCH(H4302,编号表!$A:$A,0))*100000+INDEX(编号表!$F:$F,MATCH(D4302,编号表!$E:$E,0))*10000+INDEX(编号表!$D:$D,MATCH(AG4302,编号表!$C:$C,0))*1000+F4302</f>
        <v>11825064</v>
      </c>
      <c r="C4302" t="s">
        <v>4472</v>
      </c>
      <c r="D4302" t="s">
        <v>112</v>
      </c>
      <c r="E4302" t="s">
        <v>95</v>
      </c>
      <c r="F4302">
        <v>64</v>
      </c>
      <c r="G4302">
        <v>60</v>
      </c>
      <c r="H4302" t="s">
        <v>7524</v>
      </c>
      <c r="I4302" t="s">
        <v>75</v>
      </c>
      <c r="J4302" t="s">
        <v>201</v>
      </c>
      <c r="K4302">
        <v>1</v>
      </c>
      <c r="L4302" t="s">
        <v>7524</v>
      </c>
      <c r="M4302"/>
      <c r="N4302">
        <v>0</v>
      </c>
      <c r="O4302" t="b">
        <v>1</v>
      </c>
      <c r="P4302"/>
      <c r="Q4302" t="b">
        <v>0</v>
      </c>
      <c r="R4302">
        <v>1</v>
      </c>
      <c r="S4302" t="s">
        <v>77</v>
      </c>
      <c r="T4302">
        <v>999</v>
      </c>
      <c r="U4302" t="s">
        <v>7525</v>
      </c>
      <c r="V4302">
        <f t="shared" si="6"/>
        <v>31825064</v>
      </c>
      <c r="W4302"/>
      <c r="X4302" t="s">
        <v>4473</v>
      </c>
      <c r="Y4302" t="s">
        <v>215</v>
      </c>
      <c r="Z4302">
        <v>21318</v>
      </c>
      <c r="AA4302" t="s">
        <v>4474</v>
      </c>
      <c r="AB4302">
        <v>40001</v>
      </c>
      <c r="AC4302"/>
      <c r="AD4302"/>
      <c r="AE4302" t="s">
        <v>7524</v>
      </c>
      <c r="AF4302" t="s">
        <v>7524</v>
      </c>
      <c r="AG4302" t="s">
        <v>95</v>
      </c>
    </row>
    <row r="4303" spans="2:33">
      <c r="B4303" s="14">
        <f>10000000+INDEX(编号表!$B:$B,MATCH(H4303,编号表!$A:$A,0))*100000+INDEX(编号表!$F:$F,MATCH(D4303,编号表!$E:$E,0))*10000+INDEX(编号表!$D:$D,MATCH(AG4303,编号表!$C:$C,0))*1000+F4303</f>
        <v>11825065</v>
      </c>
      <c r="C4303" t="s">
        <v>4479</v>
      </c>
      <c r="D4303" t="s">
        <v>112</v>
      </c>
      <c r="E4303" t="s">
        <v>95</v>
      </c>
      <c r="F4303">
        <v>65</v>
      </c>
      <c r="G4303">
        <v>60</v>
      </c>
      <c r="H4303" t="s">
        <v>7524</v>
      </c>
      <c r="I4303" t="s">
        <v>75</v>
      </c>
      <c r="J4303" t="s">
        <v>201</v>
      </c>
      <c r="K4303">
        <v>1</v>
      </c>
      <c r="L4303" t="s">
        <v>7524</v>
      </c>
      <c r="M4303"/>
      <c r="N4303">
        <v>0</v>
      </c>
      <c r="O4303" t="b">
        <v>1</v>
      </c>
      <c r="P4303"/>
      <c r="Q4303" t="b">
        <v>0</v>
      </c>
      <c r="R4303">
        <v>1</v>
      </c>
      <c r="S4303" t="s">
        <v>77</v>
      </c>
      <c r="T4303">
        <v>999</v>
      </c>
      <c r="U4303" t="s">
        <v>7525</v>
      </c>
      <c r="V4303">
        <f t="shared" si="6"/>
        <v>31825065</v>
      </c>
      <c r="W4303"/>
      <c r="X4303" t="s">
        <v>4480</v>
      </c>
      <c r="Y4303" t="s">
        <v>215</v>
      </c>
      <c r="Z4303">
        <v>21321</v>
      </c>
      <c r="AA4303" t="s">
        <v>4481</v>
      </c>
      <c r="AB4303">
        <v>40001</v>
      </c>
      <c r="AC4303"/>
      <c r="AD4303"/>
      <c r="AE4303" t="s">
        <v>7524</v>
      </c>
      <c r="AF4303" t="s">
        <v>7524</v>
      </c>
      <c r="AG4303" t="s">
        <v>95</v>
      </c>
    </row>
    <row r="4304" spans="2:33">
      <c r="B4304" s="14">
        <f>10000000+INDEX(编号表!$B:$B,MATCH(H4304,编号表!$A:$A,0))*100000+INDEX(编号表!$F:$F,MATCH(D4304,编号表!$E:$E,0))*10000+INDEX(编号表!$D:$D,MATCH(AG4304,编号表!$C:$C,0))*1000+F4304</f>
        <v>11825066</v>
      </c>
      <c r="C4304" t="s">
        <v>4486</v>
      </c>
      <c r="D4304" t="s">
        <v>112</v>
      </c>
      <c r="E4304" t="s">
        <v>95</v>
      </c>
      <c r="F4304">
        <v>66</v>
      </c>
      <c r="G4304">
        <v>60</v>
      </c>
      <c r="H4304" t="s">
        <v>7524</v>
      </c>
      <c r="I4304" t="s">
        <v>75</v>
      </c>
      <c r="J4304" t="s">
        <v>201</v>
      </c>
      <c r="K4304">
        <v>1</v>
      </c>
      <c r="L4304" t="s">
        <v>7524</v>
      </c>
      <c r="M4304"/>
      <c r="N4304">
        <v>0</v>
      </c>
      <c r="O4304" t="b">
        <v>1</v>
      </c>
      <c r="P4304"/>
      <c r="Q4304" t="b">
        <v>0</v>
      </c>
      <c r="R4304">
        <v>1</v>
      </c>
      <c r="S4304" t="s">
        <v>77</v>
      </c>
      <c r="T4304">
        <v>999</v>
      </c>
      <c r="U4304" t="s">
        <v>7525</v>
      </c>
      <c r="V4304">
        <f t="shared" si="6"/>
        <v>31825066</v>
      </c>
      <c r="W4304"/>
      <c r="X4304" t="s">
        <v>4487</v>
      </c>
      <c r="Y4304" t="s">
        <v>215</v>
      </c>
      <c r="Z4304">
        <v>21324</v>
      </c>
      <c r="AA4304" t="s">
        <v>4488</v>
      </c>
      <c r="AB4304">
        <v>40001</v>
      </c>
      <c r="AC4304"/>
      <c r="AD4304"/>
      <c r="AE4304" t="s">
        <v>7524</v>
      </c>
      <c r="AF4304" t="s">
        <v>7524</v>
      </c>
      <c r="AG4304" t="s">
        <v>95</v>
      </c>
    </row>
    <row r="4305" spans="2:33">
      <c r="B4305" s="14">
        <f>10000000+INDEX(编号表!$B:$B,MATCH(H4305,编号表!$A:$A,0))*100000+INDEX(编号表!$F:$F,MATCH(D4305,编号表!$E:$E,0))*10000+INDEX(编号表!$D:$D,MATCH(AG4305,编号表!$C:$C,0))*1000+F4305</f>
        <v>11825067</v>
      </c>
      <c r="C4305" t="s">
        <v>4493</v>
      </c>
      <c r="D4305" t="s">
        <v>112</v>
      </c>
      <c r="E4305" t="s">
        <v>95</v>
      </c>
      <c r="F4305">
        <v>67</v>
      </c>
      <c r="G4305">
        <v>60</v>
      </c>
      <c r="H4305" t="s">
        <v>7524</v>
      </c>
      <c r="I4305" t="s">
        <v>75</v>
      </c>
      <c r="J4305" t="s">
        <v>201</v>
      </c>
      <c r="K4305">
        <v>1</v>
      </c>
      <c r="L4305" t="s">
        <v>7524</v>
      </c>
      <c r="M4305"/>
      <c r="N4305">
        <v>0</v>
      </c>
      <c r="O4305" t="b">
        <v>1</v>
      </c>
      <c r="P4305"/>
      <c r="Q4305" t="b">
        <v>0</v>
      </c>
      <c r="R4305">
        <v>1</v>
      </c>
      <c r="S4305" t="s">
        <v>77</v>
      </c>
      <c r="T4305">
        <v>999</v>
      </c>
      <c r="U4305" t="s">
        <v>7525</v>
      </c>
      <c r="V4305">
        <f t="shared" si="6"/>
        <v>31825067</v>
      </c>
      <c r="W4305"/>
      <c r="X4305" t="s">
        <v>4494</v>
      </c>
      <c r="Y4305" t="s">
        <v>215</v>
      </c>
      <c r="Z4305">
        <v>21327</v>
      </c>
      <c r="AA4305" t="s">
        <v>4495</v>
      </c>
      <c r="AB4305">
        <v>40001</v>
      </c>
      <c r="AC4305"/>
      <c r="AD4305"/>
      <c r="AE4305" t="s">
        <v>7524</v>
      </c>
      <c r="AF4305" t="s">
        <v>7524</v>
      </c>
      <c r="AG4305" t="s">
        <v>95</v>
      </c>
    </row>
    <row r="4306" spans="2:33">
      <c r="B4306" s="14">
        <f>10000000+INDEX(编号表!$B:$B,MATCH(H4306,编号表!$A:$A,0))*100000+INDEX(编号表!$F:$F,MATCH(D4306,编号表!$E:$E,0))*10000+INDEX(编号表!$D:$D,MATCH(AG4306,编号表!$C:$C,0))*1000+F4306</f>
        <v>11825068</v>
      </c>
      <c r="C4306" t="s">
        <v>4500</v>
      </c>
      <c r="D4306" t="s">
        <v>112</v>
      </c>
      <c r="E4306" t="s">
        <v>95</v>
      </c>
      <c r="F4306">
        <v>68</v>
      </c>
      <c r="G4306">
        <v>60</v>
      </c>
      <c r="H4306" t="s">
        <v>7524</v>
      </c>
      <c r="I4306" t="s">
        <v>75</v>
      </c>
      <c r="J4306" t="s">
        <v>201</v>
      </c>
      <c r="K4306">
        <v>1</v>
      </c>
      <c r="L4306" t="s">
        <v>7524</v>
      </c>
      <c r="M4306"/>
      <c r="N4306">
        <v>0</v>
      </c>
      <c r="O4306" t="b">
        <v>1</v>
      </c>
      <c r="P4306"/>
      <c r="Q4306" t="b">
        <v>0</v>
      </c>
      <c r="R4306">
        <v>1</v>
      </c>
      <c r="S4306" t="s">
        <v>77</v>
      </c>
      <c r="T4306">
        <v>999</v>
      </c>
      <c r="U4306" t="s">
        <v>7525</v>
      </c>
      <c r="V4306">
        <f t="shared" si="6"/>
        <v>31825068</v>
      </c>
      <c r="W4306"/>
      <c r="X4306" t="s">
        <v>4501</v>
      </c>
      <c r="Y4306" t="s">
        <v>215</v>
      </c>
      <c r="Z4306">
        <v>21330</v>
      </c>
      <c r="AA4306" t="s">
        <v>4502</v>
      </c>
      <c r="AB4306">
        <v>40001</v>
      </c>
      <c r="AC4306"/>
      <c r="AD4306"/>
      <c r="AE4306" t="s">
        <v>7524</v>
      </c>
      <c r="AF4306" t="s">
        <v>7524</v>
      </c>
      <c r="AG4306" t="s">
        <v>95</v>
      </c>
    </row>
    <row r="4307" spans="2:33">
      <c r="B4307" s="14">
        <f>10000000+INDEX(编号表!$B:$B,MATCH(H4307,编号表!$A:$A,0))*100000+INDEX(编号表!$F:$F,MATCH(D4307,编号表!$E:$E,0))*10000+INDEX(编号表!$D:$D,MATCH(AG4307,编号表!$C:$C,0))*1000+F4307</f>
        <v>11825069</v>
      </c>
      <c r="C4307" t="s">
        <v>4507</v>
      </c>
      <c r="D4307" t="s">
        <v>112</v>
      </c>
      <c r="E4307" t="s">
        <v>95</v>
      </c>
      <c r="F4307">
        <v>69</v>
      </c>
      <c r="G4307">
        <v>60</v>
      </c>
      <c r="H4307" t="s">
        <v>7524</v>
      </c>
      <c r="I4307" t="s">
        <v>75</v>
      </c>
      <c r="J4307" t="s">
        <v>201</v>
      </c>
      <c r="K4307">
        <v>1</v>
      </c>
      <c r="L4307" t="s">
        <v>7524</v>
      </c>
      <c r="M4307"/>
      <c r="N4307">
        <v>0</v>
      </c>
      <c r="O4307" t="b">
        <v>1</v>
      </c>
      <c r="P4307"/>
      <c r="Q4307" t="b">
        <v>0</v>
      </c>
      <c r="R4307">
        <v>1</v>
      </c>
      <c r="S4307" t="s">
        <v>77</v>
      </c>
      <c r="T4307">
        <v>999</v>
      </c>
      <c r="U4307" t="s">
        <v>7525</v>
      </c>
      <c r="V4307">
        <f t="shared" si="6"/>
        <v>31825069</v>
      </c>
      <c r="W4307"/>
      <c r="X4307" t="s">
        <v>4508</v>
      </c>
      <c r="Y4307" t="s">
        <v>215</v>
      </c>
      <c r="Z4307">
        <v>21333</v>
      </c>
      <c r="AA4307" t="s">
        <v>4509</v>
      </c>
      <c r="AB4307">
        <v>40001</v>
      </c>
      <c r="AC4307"/>
      <c r="AD4307"/>
      <c r="AE4307" t="s">
        <v>7524</v>
      </c>
      <c r="AF4307" t="s">
        <v>7524</v>
      </c>
      <c r="AG4307" t="s">
        <v>95</v>
      </c>
    </row>
    <row r="4308" spans="2:33">
      <c r="B4308" s="14">
        <f>10000000+INDEX(编号表!$B:$B,MATCH(H4308,编号表!$A:$A,0))*100000+INDEX(编号表!$F:$F,MATCH(D4308,编号表!$E:$E,0))*10000+INDEX(编号表!$D:$D,MATCH(AG4308,编号表!$C:$C,0))*1000+F4308</f>
        <v>11825070</v>
      </c>
      <c r="C4308" t="s">
        <v>4514</v>
      </c>
      <c r="D4308" t="s">
        <v>112</v>
      </c>
      <c r="E4308" t="s">
        <v>95</v>
      </c>
      <c r="F4308">
        <v>70</v>
      </c>
      <c r="G4308">
        <v>60</v>
      </c>
      <c r="H4308" t="s">
        <v>7524</v>
      </c>
      <c r="I4308" t="s">
        <v>75</v>
      </c>
      <c r="J4308" t="s">
        <v>201</v>
      </c>
      <c r="K4308">
        <v>1</v>
      </c>
      <c r="L4308" t="s">
        <v>7524</v>
      </c>
      <c r="M4308"/>
      <c r="N4308">
        <v>0</v>
      </c>
      <c r="O4308" t="b">
        <v>1</v>
      </c>
      <c r="P4308"/>
      <c r="Q4308" t="b">
        <v>0</v>
      </c>
      <c r="R4308">
        <v>1</v>
      </c>
      <c r="S4308" t="s">
        <v>77</v>
      </c>
      <c r="T4308">
        <v>999</v>
      </c>
      <c r="U4308" t="s">
        <v>7525</v>
      </c>
      <c r="V4308">
        <f t="shared" si="6"/>
        <v>31825070</v>
      </c>
      <c r="W4308"/>
      <c r="X4308" t="s">
        <v>4515</v>
      </c>
      <c r="Y4308" t="s">
        <v>215</v>
      </c>
      <c r="Z4308">
        <v>21336</v>
      </c>
      <c r="AA4308" t="s">
        <v>4516</v>
      </c>
      <c r="AB4308">
        <v>40001</v>
      </c>
      <c r="AC4308"/>
      <c r="AD4308"/>
      <c r="AE4308" t="s">
        <v>7524</v>
      </c>
      <c r="AF4308" t="s">
        <v>7524</v>
      </c>
      <c r="AG4308" t="s">
        <v>95</v>
      </c>
    </row>
    <row r="4309" spans="2:33">
      <c r="B4309" s="14">
        <f>10000000+INDEX(编号表!$B:$B,MATCH(H4309,编号表!$A:$A,0))*100000+INDEX(编号表!$F:$F,MATCH(D4309,编号表!$E:$E,0))*10000+INDEX(编号表!$D:$D,MATCH(AG4309,编号表!$C:$C,0))*1000+F4309</f>
        <v>11825071</v>
      </c>
      <c r="C4309" t="s">
        <v>4521</v>
      </c>
      <c r="D4309" t="s">
        <v>112</v>
      </c>
      <c r="E4309" t="s">
        <v>95</v>
      </c>
      <c r="F4309">
        <v>71</v>
      </c>
      <c r="G4309">
        <v>60</v>
      </c>
      <c r="H4309" t="s">
        <v>7524</v>
      </c>
      <c r="I4309" t="s">
        <v>75</v>
      </c>
      <c r="J4309" t="s">
        <v>201</v>
      </c>
      <c r="K4309">
        <v>1</v>
      </c>
      <c r="L4309" t="s">
        <v>7524</v>
      </c>
      <c r="M4309"/>
      <c r="N4309">
        <v>0</v>
      </c>
      <c r="O4309" t="b">
        <v>1</v>
      </c>
      <c r="P4309"/>
      <c r="Q4309" t="b">
        <v>0</v>
      </c>
      <c r="R4309">
        <v>1</v>
      </c>
      <c r="S4309" t="s">
        <v>77</v>
      </c>
      <c r="T4309">
        <v>999</v>
      </c>
      <c r="U4309" t="s">
        <v>7525</v>
      </c>
      <c r="V4309">
        <f t="shared" si="6"/>
        <v>31825071</v>
      </c>
      <c r="W4309"/>
      <c r="X4309" t="s">
        <v>4522</v>
      </c>
      <c r="Y4309" t="s">
        <v>215</v>
      </c>
      <c r="Z4309">
        <v>21339</v>
      </c>
      <c r="AA4309" t="s">
        <v>4523</v>
      </c>
      <c r="AB4309">
        <v>40001</v>
      </c>
      <c r="AC4309"/>
      <c r="AD4309"/>
      <c r="AE4309" t="s">
        <v>7524</v>
      </c>
      <c r="AF4309" t="s">
        <v>7524</v>
      </c>
      <c r="AG4309" t="s">
        <v>95</v>
      </c>
    </row>
    <row r="4310" spans="2:33">
      <c r="B4310" s="14">
        <f>10000000+INDEX(编号表!$B:$B,MATCH(H4310,编号表!$A:$A,0))*100000+INDEX(编号表!$F:$F,MATCH(D4310,编号表!$E:$E,0))*10000+INDEX(编号表!$D:$D,MATCH(AG4310,编号表!$C:$C,0))*1000+F4310</f>
        <v>11825072</v>
      </c>
      <c r="C4310" t="s">
        <v>4528</v>
      </c>
      <c r="D4310" t="s">
        <v>112</v>
      </c>
      <c r="E4310" t="s">
        <v>95</v>
      </c>
      <c r="F4310">
        <v>72</v>
      </c>
      <c r="G4310">
        <v>60</v>
      </c>
      <c r="H4310" t="s">
        <v>7524</v>
      </c>
      <c r="I4310" t="s">
        <v>75</v>
      </c>
      <c r="J4310" t="s">
        <v>201</v>
      </c>
      <c r="K4310">
        <v>1</v>
      </c>
      <c r="L4310" t="s">
        <v>7524</v>
      </c>
      <c r="M4310"/>
      <c r="N4310">
        <v>0</v>
      </c>
      <c r="O4310" t="b">
        <v>1</v>
      </c>
      <c r="P4310"/>
      <c r="Q4310" t="b">
        <v>0</v>
      </c>
      <c r="R4310">
        <v>1</v>
      </c>
      <c r="S4310" t="s">
        <v>77</v>
      </c>
      <c r="T4310">
        <v>999</v>
      </c>
      <c r="U4310" t="s">
        <v>7525</v>
      </c>
      <c r="V4310">
        <f t="shared" si="6"/>
        <v>31825072</v>
      </c>
      <c r="W4310"/>
      <c r="X4310" t="s">
        <v>4529</v>
      </c>
      <c r="Y4310" t="s">
        <v>215</v>
      </c>
      <c r="Z4310">
        <v>21342</v>
      </c>
      <c r="AA4310" t="s">
        <v>4530</v>
      </c>
      <c r="AB4310">
        <v>40001</v>
      </c>
      <c r="AC4310"/>
      <c r="AD4310"/>
      <c r="AE4310" t="s">
        <v>7524</v>
      </c>
      <c r="AF4310" t="s">
        <v>7524</v>
      </c>
      <c r="AG4310" t="s">
        <v>95</v>
      </c>
    </row>
    <row r="4311" spans="2:33">
      <c r="B4311" s="14">
        <f>10000000+INDEX(编号表!$B:$B,MATCH(H4311,编号表!$A:$A,0))*100000+INDEX(编号表!$F:$F,MATCH(D4311,编号表!$E:$E,0))*10000+INDEX(编号表!$D:$D,MATCH(AG4311,编号表!$C:$C,0))*1000+F4311</f>
        <v>11825073</v>
      </c>
      <c r="C4311" t="s">
        <v>4535</v>
      </c>
      <c r="D4311" t="s">
        <v>112</v>
      </c>
      <c r="E4311" t="s">
        <v>95</v>
      </c>
      <c r="F4311">
        <v>73</v>
      </c>
      <c r="G4311">
        <v>60</v>
      </c>
      <c r="H4311" t="s">
        <v>7524</v>
      </c>
      <c r="I4311" t="s">
        <v>75</v>
      </c>
      <c r="J4311" t="s">
        <v>201</v>
      </c>
      <c r="K4311">
        <v>1</v>
      </c>
      <c r="L4311" t="s">
        <v>7524</v>
      </c>
      <c r="M4311"/>
      <c r="N4311">
        <v>0</v>
      </c>
      <c r="O4311" t="b">
        <v>1</v>
      </c>
      <c r="P4311"/>
      <c r="Q4311" t="b">
        <v>0</v>
      </c>
      <c r="R4311">
        <v>1</v>
      </c>
      <c r="S4311" t="s">
        <v>77</v>
      </c>
      <c r="T4311">
        <v>999</v>
      </c>
      <c r="U4311" t="s">
        <v>7525</v>
      </c>
      <c r="V4311">
        <f t="shared" si="6"/>
        <v>31825073</v>
      </c>
      <c r="W4311"/>
      <c r="X4311" t="s">
        <v>4536</v>
      </c>
      <c r="Y4311" t="s">
        <v>215</v>
      </c>
      <c r="Z4311">
        <v>21345</v>
      </c>
      <c r="AA4311" t="s">
        <v>4537</v>
      </c>
      <c r="AB4311">
        <v>40001</v>
      </c>
      <c r="AC4311"/>
      <c r="AD4311"/>
      <c r="AE4311" t="s">
        <v>7524</v>
      </c>
      <c r="AF4311" t="s">
        <v>7524</v>
      </c>
      <c r="AG4311" t="s">
        <v>95</v>
      </c>
    </row>
    <row r="4312" spans="2:33">
      <c r="B4312" s="14">
        <f>10000000+INDEX(编号表!$B:$B,MATCH(H4312,编号表!$A:$A,0))*100000+INDEX(编号表!$F:$F,MATCH(D4312,编号表!$E:$E,0))*10000+INDEX(编号表!$D:$D,MATCH(AG4312,编号表!$C:$C,0))*1000+F4312</f>
        <v>11825074</v>
      </c>
      <c r="C4312" t="s">
        <v>4542</v>
      </c>
      <c r="D4312" t="s">
        <v>112</v>
      </c>
      <c r="E4312" t="s">
        <v>95</v>
      </c>
      <c r="F4312">
        <v>74</v>
      </c>
      <c r="G4312">
        <v>60</v>
      </c>
      <c r="H4312" t="s">
        <v>7524</v>
      </c>
      <c r="I4312" t="s">
        <v>75</v>
      </c>
      <c r="J4312" t="s">
        <v>201</v>
      </c>
      <c r="K4312">
        <v>1</v>
      </c>
      <c r="L4312" t="s">
        <v>7524</v>
      </c>
      <c r="M4312"/>
      <c r="N4312">
        <v>0</v>
      </c>
      <c r="O4312" t="b">
        <v>1</v>
      </c>
      <c r="P4312"/>
      <c r="Q4312" t="b">
        <v>0</v>
      </c>
      <c r="R4312">
        <v>1</v>
      </c>
      <c r="S4312" t="s">
        <v>77</v>
      </c>
      <c r="T4312">
        <v>999</v>
      </c>
      <c r="U4312" t="s">
        <v>7525</v>
      </c>
      <c r="V4312">
        <f t="shared" ref="V4312:V4375" si="7">B4312+20000000</f>
        <v>31825074</v>
      </c>
      <c r="W4312"/>
      <c r="X4312" t="s">
        <v>4543</v>
      </c>
      <c r="Y4312" t="s">
        <v>215</v>
      </c>
      <c r="Z4312">
        <v>21348</v>
      </c>
      <c r="AA4312" t="s">
        <v>4544</v>
      </c>
      <c r="AB4312">
        <v>40001</v>
      </c>
      <c r="AC4312"/>
      <c r="AD4312"/>
      <c r="AE4312" t="s">
        <v>7524</v>
      </c>
      <c r="AF4312" t="s">
        <v>7524</v>
      </c>
      <c r="AG4312" t="s">
        <v>95</v>
      </c>
    </row>
    <row r="4313" spans="2:33">
      <c r="B4313" s="14">
        <f>10000000+INDEX(编号表!$B:$B,MATCH(H4313,编号表!$A:$A,0))*100000+INDEX(编号表!$F:$F,MATCH(D4313,编号表!$E:$E,0))*10000+INDEX(编号表!$D:$D,MATCH(AG4313,编号表!$C:$C,0))*1000+F4313</f>
        <v>11825075</v>
      </c>
      <c r="C4313" t="s">
        <v>4549</v>
      </c>
      <c r="D4313" t="s">
        <v>112</v>
      </c>
      <c r="E4313" t="s">
        <v>95</v>
      </c>
      <c r="F4313">
        <v>75</v>
      </c>
      <c r="G4313">
        <v>60</v>
      </c>
      <c r="H4313" t="s">
        <v>7524</v>
      </c>
      <c r="I4313" t="s">
        <v>75</v>
      </c>
      <c r="J4313" t="s">
        <v>201</v>
      </c>
      <c r="K4313">
        <v>1</v>
      </c>
      <c r="L4313" t="s">
        <v>7524</v>
      </c>
      <c r="M4313"/>
      <c r="N4313">
        <v>0</v>
      </c>
      <c r="O4313" t="b">
        <v>1</v>
      </c>
      <c r="P4313"/>
      <c r="Q4313" t="b">
        <v>0</v>
      </c>
      <c r="R4313">
        <v>1</v>
      </c>
      <c r="S4313" t="s">
        <v>77</v>
      </c>
      <c r="T4313">
        <v>999</v>
      </c>
      <c r="U4313" t="s">
        <v>7525</v>
      </c>
      <c r="V4313">
        <f t="shared" si="7"/>
        <v>31825075</v>
      </c>
      <c r="W4313"/>
      <c r="X4313" t="s">
        <v>4550</v>
      </c>
      <c r="Y4313" t="s">
        <v>215</v>
      </c>
      <c r="Z4313">
        <v>21351</v>
      </c>
      <c r="AA4313" t="s">
        <v>4551</v>
      </c>
      <c r="AB4313">
        <v>40001</v>
      </c>
      <c r="AC4313"/>
      <c r="AD4313"/>
      <c r="AE4313" t="s">
        <v>7524</v>
      </c>
      <c r="AF4313" t="s">
        <v>7524</v>
      </c>
      <c r="AG4313" t="s">
        <v>95</v>
      </c>
    </row>
    <row r="4314" spans="2:33">
      <c r="B4314" s="14">
        <f>10000000+INDEX(编号表!$B:$B,MATCH(H4314,编号表!$A:$A,0))*100000+INDEX(编号表!$F:$F,MATCH(D4314,编号表!$E:$E,0))*10000+INDEX(编号表!$D:$D,MATCH(AG4314,编号表!$C:$C,0))*1000+F4314</f>
        <v>11825076</v>
      </c>
      <c r="C4314" t="s">
        <v>4556</v>
      </c>
      <c r="D4314" t="s">
        <v>112</v>
      </c>
      <c r="E4314" t="s">
        <v>95</v>
      </c>
      <c r="F4314">
        <v>76</v>
      </c>
      <c r="G4314">
        <v>60</v>
      </c>
      <c r="H4314" t="s">
        <v>7524</v>
      </c>
      <c r="I4314" t="s">
        <v>75</v>
      </c>
      <c r="J4314" t="s">
        <v>201</v>
      </c>
      <c r="K4314">
        <v>1</v>
      </c>
      <c r="L4314" t="s">
        <v>7524</v>
      </c>
      <c r="M4314"/>
      <c r="N4314">
        <v>0</v>
      </c>
      <c r="O4314" t="b">
        <v>1</v>
      </c>
      <c r="P4314"/>
      <c r="Q4314" t="b">
        <v>0</v>
      </c>
      <c r="R4314">
        <v>1</v>
      </c>
      <c r="S4314" t="s">
        <v>77</v>
      </c>
      <c r="T4314">
        <v>999</v>
      </c>
      <c r="U4314" t="s">
        <v>7525</v>
      </c>
      <c r="V4314">
        <f t="shared" si="7"/>
        <v>31825076</v>
      </c>
      <c r="W4314"/>
      <c r="X4314" t="s">
        <v>4557</v>
      </c>
      <c r="Y4314" t="s">
        <v>215</v>
      </c>
      <c r="Z4314">
        <v>21354</v>
      </c>
      <c r="AA4314" t="s">
        <v>4558</v>
      </c>
      <c r="AB4314">
        <v>40001</v>
      </c>
      <c r="AC4314"/>
      <c r="AD4314"/>
      <c r="AE4314" t="s">
        <v>7524</v>
      </c>
      <c r="AF4314" t="s">
        <v>7524</v>
      </c>
      <c r="AG4314" t="s">
        <v>95</v>
      </c>
    </row>
    <row r="4315" spans="2:33">
      <c r="B4315" s="14">
        <f>10000000+INDEX(编号表!$B:$B,MATCH(H4315,编号表!$A:$A,0))*100000+INDEX(编号表!$F:$F,MATCH(D4315,编号表!$E:$E,0))*10000+INDEX(编号表!$D:$D,MATCH(AG4315,编号表!$C:$C,0))*1000+F4315</f>
        <v>11825077</v>
      </c>
      <c r="C4315" t="s">
        <v>4563</v>
      </c>
      <c r="D4315" t="s">
        <v>112</v>
      </c>
      <c r="E4315" t="s">
        <v>95</v>
      </c>
      <c r="F4315">
        <v>77</v>
      </c>
      <c r="G4315">
        <v>60</v>
      </c>
      <c r="H4315" t="s">
        <v>7524</v>
      </c>
      <c r="I4315" t="s">
        <v>75</v>
      </c>
      <c r="J4315" t="s">
        <v>201</v>
      </c>
      <c r="K4315">
        <v>1</v>
      </c>
      <c r="L4315" t="s">
        <v>7524</v>
      </c>
      <c r="M4315"/>
      <c r="N4315">
        <v>0</v>
      </c>
      <c r="O4315" t="b">
        <v>1</v>
      </c>
      <c r="P4315"/>
      <c r="Q4315" t="b">
        <v>0</v>
      </c>
      <c r="R4315">
        <v>1</v>
      </c>
      <c r="S4315" t="s">
        <v>77</v>
      </c>
      <c r="T4315">
        <v>999</v>
      </c>
      <c r="U4315" t="s">
        <v>7525</v>
      </c>
      <c r="V4315">
        <f t="shared" si="7"/>
        <v>31825077</v>
      </c>
      <c r="W4315"/>
      <c r="X4315" t="s">
        <v>4564</v>
      </c>
      <c r="Y4315" t="s">
        <v>215</v>
      </c>
      <c r="Z4315">
        <v>21357</v>
      </c>
      <c r="AA4315" t="s">
        <v>4565</v>
      </c>
      <c r="AB4315">
        <v>40001</v>
      </c>
      <c r="AC4315"/>
      <c r="AD4315"/>
      <c r="AE4315" t="s">
        <v>7524</v>
      </c>
      <c r="AF4315" t="s">
        <v>7524</v>
      </c>
      <c r="AG4315" t="s">
        <v>95</v>
      </c>
    </row>
    <row r="4316" spans="2:33">
      <c r="B4316" s="14">
        <f>10000000+INDEX(编号表!$B:$B,MATCH(H4316,编号表!$A:$A,0))*100000+INDEX(编号表!$F:$F,MATCH(D4316,编号表!$E:$E,0))*10000+INDEX(编号表!$D:$D,MATCH(AG4316,编号表!$C:$C,0))*1000+F4316</f>
        <v>11825078</v>
      </c>
      <c r="C4316" t="s">
        <v>4570</v>
      </c>
      <c r="D4316" t="s">
        <v>112</v>
      </c>
      <c r="E4316" t="s">
        <v>95</v>
      </c>
      <c r="F4316">
        <v>78</v>
      </c>
      <c r="G4316">
        <v>60</v>
      </c>
      <c r="H4316" t="s">
        <v>7524</v>
      </c>
      <c r="I4316" t="s">
        <v>75</v>
      </c>
      <c r="J4316" t="s">
        <v>201</v>
      </c>
      <c r="K4316">
        <v>1</v>
      </c>
      <c r="L4316" t="s">
        <v>7524</v>
      </c>
      <c r="M4316"/>
      <c r="N4316">
        <v>0</v>
      </c>
      <c r="O4316" t="b">
        <v>1</v>
      </c>
      <c r="P4316"/>
      <c r="Q4316" t="b">
        <v>0</v>
      </c>
      <c r="R4316">
        <v>1</v>
      </c>
      <c r="S4316" t="s">
        <v>77</v>
      </c>
      <c r="T4316">
        <v>999</v>
      </c>
      <c r="U4316" t="s">
        <v>7525</v>
      </c>
      <c r="V4316">
        <f t="shared" si="7"/>
        <v>31825078</v>
      </c>
      <c r="W4316"/>
      <c r="X4316" t="s">
        <v>4571</v>
      </c>
      <c r="Y4316" t="s">
        <v>215</v>
      </c>
      <c r="Z4316">
        <v>21360</v>
      </c>
      <c r="AA4316" t="s">
        <v>4572</v>
      </c>
      <c r="AB4316">
        <v>40001</v>
      </c>
      <c r="AC4316"/>
      <c r="AD4316"/>
      <c r="AE4316" t="s">
        <v>7524</v>
      </c>
      <c r="AF4316" t="s">
        <v>7524</v>
      </c>
      <c r="AG4316" t="s">
        <v>95</v>
      </c>
    </row>
    <row r="4317" spans="2:33">
      <c r="B4317" s="14">
        <f>10000000+INDEX(编号表!$B:$B,MATCH(H4317,编号表!$A:$A,0))*100000+INDEX(编号表!$F:$F,MATCH(D4317,编号表!$E:$E,0))*10000+INDEX(编号表!$D:$D,MATCH(AG4317,编号表!$C:$C,0))*1000+F4317</f>
        <v>11825079</v>
      </c>
      <c r="C4317" t="s">
        <v>4577</v>
      </c>
      <c r="D4317" t="s">
        <v>112</v>
      </c>
      <c r="E4317" t="s">
        <v>95</v>
      </c>
      <c r="F4317">
        <v>79</v>
      </c>
      <c r="G4317">
        <v>60</v>
      </c>
      <c r="H4317" t="s">
        <v>7524</v>
      </c>
      <c r="I4317" t="s">
        <v>75</v>
      </c>
      <c r="J4317" t="s">
        <v>201</v>
      </c>
      <c r="K4317">
        <v>1</v>
      </c>
      <c r="L4317" t="s">
        <v>7524</v>
      </c>
      <c r="M4317"/>
      <c r="N4317">
        <v>0</v>
      </c>
      <c r="O4317" t="b">
        <v>1</v>
      </c>
      <c r="P4317"/>
      <c r="Q4317" t="b">
        <v>0</v>
      </c>
      <c r="R4317">
        <v>1</v>
      </c>
      <c r="S4317" t="s">
        <v>77</v>
      </c>
      <c r="T4317">
        <v>999</v>
      </c>
      <c r="U4317" t="s">
        <v>7525</v>
      </c>
      <c r="V4317">
        <f t="shared" si="7"/>
        <v>31825079</v>
      </c>
      <c r="W4317"/>
      <c r="X4317" t="s">
        <v>4578</v>
      </c>
      <c r="Y4317" t="s">
        <v>215</v>
      </c>
      <c r="Z4317">
        <v>21363</v>
      </c>
      <c r="AA4317" t="s">
        <v>4579</v>
      </c>
      <c r="AB4317">
        <v>40001</v>
      </c>
      <c r="AC4317"/>
      <c r="AD4317"/>
      <c r="AE4317" t="s">
        <v>7524</v>
      </c>
      <c r="AF4317" t="s">
        <v>7524</v>
      </c>
      <c r="AG4317" t="s">
        <v>95</v>
      </c>
    </row>
    <row r="4318" spans="2:33">
      <c r="B4318" s="14">
        <f>10000000+INDEX(编号表!$B:$B,MATCH(H4318,编号表!$A:$A,0))*100000+INDEX(编号表!$F:$F,MATCH(D4318,编号表!$E:$E,0))*10000+INDEX(编号表!$D:$D,MATCH(AG4318,编号表!$C:$C,0))*1000+F4318</f>
        <v>11825080</v>
      </c>
      <c r="C4318" t="s">
        <v>4584</v>
      </c>
      <c r="D4318" t="s">
        <v>112</v>
      </c>
      <c r="E4318" t="s">
        <v>95</v>
      </c>
      <c r="F4318">
        <v>80</v>
      </c>
      <c r="G4318">
        <v>60</v>
      </c>
      <c r="H4318" t="s">
        <v>7524</v>
      </c>
      <c r="I4318" t="s">
        <v>75</v>
      </c>
      <c r="J4318" t="s">
        <v>201</v>
      </c>
      <c r="K4318">
        <v>1</v>
      </c>
      <c r="L4318" t="s">
        <v>7524</v>
      </c>
      <c r="M4318"/>
      <c r="N4318">
        <v>0</v>
      </c>
      <c r="O4318" t="b">
        <v>1</v>
      </c>
      <c r="P4318"/>
      <c r="Q4318" t="b">
        <v>0</v>
      </c>
      <c r="R4318">
        <v>1</v>
      </c>
      <c r="S4318" t="s">
        <v>77</v>
      </c>
      <c r="T4318">
        <v>999</v>
      </c>
      <c r="U4318" t="s">
        <v>7525</v>
      </c>
      <c r="V4318">
        <f t="shared" si="7"/>
        <v>31825080</v>
      </c>
      <c r="W4318"/>
      <c r="X4318" t="s">
        <v>4585</v>
      </c>
      <c r="Y4318" t="s">
        <v>215</v>
      </c>
      <c r="Z4318">
        <v>21366</v>
      </c>
      <c r="AA4318" t="s">
        <v>4586</v>
      </c>
      <c r="AB4318">
        <v>40001</v>
      </c>
      <c r="AC4318"/>
      <c r="AD4318"/>
      <c r="AE4318" t="s">
        <v>7524</v>
      </c>
      <c r="AF4318" t="s">
        <v>7524</v>
      </c>
      <c r="AG4318" t="s">
        <v>95</v>
      </c>
    </row>
    <row r="4319" spans="2:33">
      <c r="B4319" s="14">
        <f>10000000+INDEX(编号表!$B:$B,MATCH(H4319,编号表!$A:$A,0))*100000+INDEX(编号表!$F:$F,MATCH(D4319,编号表!$E:$E,0))*10000+INDEX(编号表!$D:$D,MATCH(AG4319,编号表!$C:$C,0))*1000+F4319</f>
        <v>11825081</v>
      </c>
      <c r="C4319" t="s">
        <v>4591</v>
      </c>
      <c r="D4319" t="s">
        <v>112</v>
      </c>
      <c r="E4319" t="s">
        <v>95</v>
      </c>
      <c r="F4319">
        <v>81</v>
      </c>
      <c r="G4319">
        <v>60</v>
      </c>
      <c r="H4319" t="s">
        <v>7524</v>
      </c>
      <c r="I4319" t="s">
        <v>75</v>
      </c>
      <c r="J4319" t="s">
        <v>201</v>
      </c>
      <c r="K4319">
        <v>1</v>
      </c>
      <c r="L4319" t="s">
        <v>7524</v>
      </c>
      <c r="M4319"/>
      <c r="N4319">
        <v>0</v>
      </c>
      <c r="O4319" t="b">
        <v>1</v>
      </c>
      <c r="P4319"/>
      <c r="Q4319" t="b">
        <v>0</v>
      </c>
      <c r="R4319">
        <v>1</v>
      </c>
      <c r="S4319" t="s">
        <v>77</v>
      </c>
      <c r="T4319">
        <v>999</v>
      </c>
      <c r="U4319" t="s">
        <v>7525</v>
      </c>
      <c r="V4319">
        <f t="shared" si="7"/>
        <v>31825081</v>
      </c>
      <c r="W4319"/>
      <c r="X4319" t="s">
        <v>4592</v>
      </c>
      <c r="Y4319" t="s">
        <v>215</v>
      </c>
      <c r="Z4319">
        <v>21369</v>
      </c>
      <c r="AA4319" t="s">
        <v>4593</v>
      </c>
      <c r="AB4319">
        <v>40001</v>
      </c>
      <c r="AC4319"/>
      <c r="AD4319"/>
      <c r="AE4319" t="s">
        <v>7524</v>
      </c>
      <c r="AF4319" t="s">
        <v>7524</v>
      </c>
      <c r="AG4319" t="s">
        <v>95</v>
      </c>
    </row>
    <row r="4320" spans="2:33">
      <c r="B4320" s="14">
        <f>10000000+INDEX(编号表!$B:$B,MATCH(H4320,编号表!$A:$A,0))*100000+INDEX(编号表!$F:$F,MATCH(D4320,编号表!$E:$E,0))*10000+INDEX(编号表!$D:$D,MATCH(AG4320,编号表!$C:$C,0))*1000+F4320</f>
        <v>11825082</v>
      </c>
      <c r="C4320" t="s">
        <v>4598</v>
      </c>
      <c r="D4320" t="s">
        <v>112</v>
      </c>
      <c r="E4320" t="s">
        <v>95</v>
      </c>
      <c r="F4320">
        <v>82</v>
      </c>
      <c r="G4320">
        <v>60</v>
      </c>
      <c r="H4320" t="s">
        <v>7524</v>
      </c>
      <c r="I4320" t="s">
        <v>75</v>
      </c>
      <c r="J4320" t="s">
        <v>201</v>
      </c>
      <c r="K4320">
        <v>1</v>
      </c>
      <c r="L4320" t="s">
        <v>7524</v>
      </c>
      <c r="M4320"/>
      <c r="N4320">
        <v>0</v>
      </c>
      <c r="O4320" t="b">
        <v>1</v>
      </c>
      <c r="P4320"/>
      <c r="Q4320" t="b">
        <v>0</v>
      </c>
      <c r="R4320">
        <v>1</v>
      </c>
      <c r="S4320" t="s">
        <v>77</v>
      </c>
      <c r="T4320">
        <v>999</v>
      </c>
      <c r="U4320" t="s">
        <v>7525</v>
      </c>
      <c r="V4320">
        <f t="shared" si="7"/>
        <v>31825082</v>
      </c>
      <c r="W4320"/>
      <c r="X4320" t="s">
        <v>4599</v>
      </c>
      <c r="Y4320" t="s">
        <v>215</v>
      </c>
      <c r="Z4320">
        <v>21372</v>
      </c>
      <c r="AA4320" t="s">
        <v>4600</v>
      </c>
      <c r="AB4320">
        <v>40001</v>
      </c>
      <c r="AC4320"/>
      <c r="AD4320"/>
      <c r="AE4320" t="s">
        <v>7524</v>
      </c>
      <c r="AF4320" t="s">
        <v>7524</v>
      </c>
      <c r="AG4320" t="s">
        <v>95</v>
      </c>
    </row>
    <row r="4321" spans="2:33">
      <c r="B4321" s="14">
        <f>10000000+INDEX(编号表!$B:$B,MATCH(H4321,编号表!$A:$A,0))*100000+INDEX(编号表!$F:$F,MATCH(D4321,编号表!$E:$E,0))*10000+INDEX(编号表!$D:$D,MATCH(AG4321,编号表!$C:$C,0))*1000+F4321</f>
        <v>11825083</v>
      </c>
      <c r="C4321" t="s">
        <v>4605</v>
      </c>
      <c r="D4321" t="s">
        <v>112</v>
      </c>
      <c r="E4321" t="s">
        <v>95</v>
      </c>
      <c r="F4321">
        <v>83</v>
      </c>
      <c r="G4321">
        <v>60</v>
      </c>
      <c r="H4321" t="s">
        <v>7524</v>
      </c>
      <c r="I4321" t="s">
        <v>75</v>
      </c>
      <c r="J4321" t="s">
        <v>201</v>
      </c>
      <c r="K4321">
        <v>1</v>
      </c>
      <c r="L4321" t="s">
        <v>7524</v>
      </c>
      <c r="M4321"/>
      <c r="N4321">
        <v>0</v>
      </c>
      <c r="O4321" t="b">
        <v>1</v>
      </c>
      <c r="P4321"/>
      <c r="Q4321" t="b">
        <v>0</v>
      </c>
      <c r="R4321">
        <v>1</v>
      </c>
      <c r="S4321" t="s">
        <v>77</v>
      </c>
      <c r="T4321">
        <v>999</v>
      </c>
      <c r="U4321" t="s">
        <v>7525</v>
      </c>
      <c r="V4321">
        <f t="shared" si="7"/>
        <v>31825083</v>
      </c>
      <c r="W4321"/>
      <c r="X4321" t="s">
        <v>4606</v>
      </c>
      <c r="Y4321" t="s">
        <v>215</v>
      </c>
      <c r="Z4321">
        <v>21375</v>
      </c>
      <c r="AA4321" t="s">
        <v>4607</v>
      </c>
      <c r="AB4321">
        <v>40001</v>
      </c>
      <c r="AC4321"/>
      <c r="AD4321"/>
      <c r="AE4321" t="s">
        <v>7524</v>
      </c>
      <c r="AF4321" t="s">
        <v>7524</v>
      </c>
      <c r="AG4321" t="s">
        <v>95</v>
      </c>
    </row>
    <row r="4322" spans="2:33">
      <c r="B4322" s="14">
        <f>10000000+INDEX(编号表!$B:$B,MATCH(H4322,编号表!$A:$A,0))*100000+INDEX(编号表!$F:$F,MATCH(D4322,编号表!$E:$E,0))*10000+INDEX(编号表!$D:$D,MATCH(AG4322,编号表!$C:$C,0))*1000+F4322</f>
        <v>11825084</v>
      </c>
      <c r="C4322" t="s">
        <v>4612</v>
      </c>
      <c r="D4322" t="s">
        <v>112</v>
      </c>
      <c r="E4322" t="s">
        <v>95</v>
      </c>
      <c r="F4322">
        <v>84</v>
      </c>
      <c r="G4322">
        <v>60</v>
      </c>
      <c r="H4322" t="s">
        <v>7524</v>
      </c>
      <c r="I4322" t="s">
        <v>75</v>
      </c>
      <c r="J4322" t="s">
        <v>201</v>
      </c>
      <c r="K4322">
        <v>1</v>
      </c>
      <c r="L4322" t="s">
        <v>7524</v>
      </c>
      <c r="M4322"/>
      <c r="N4322">
        <v>0</v>
      </c>
      <c r="O4322" t="b">
        <v>1</v>
      </c>
      <c r="P4322"/>
      <c r="Q4322" t="b">
        <v>0</v>
      </c>
      <c r="R4322">
        <v>1</v>
      </c>
      <c r="S4322" t="s">
        <v>77</v>
      </c>
      <c r="T4322">
        <v>999</v>
      </c>
      <c r="U4322" t="s">
        <v>7525</v>
      </c>
      <c r="V4322">
        <f t="shared" si="7"/>
        <v>31825084</v>
      </c>
      <c r="W4322"/>
      <c r="X4322" t="s">
        <v>4613</v>
      </c>
      <c r="Y4322" t="s">
        <v>215</v>
      </c>
      <c r="Z4322">
        <v>21378</v>
      </c>
      <c r="AA4322" t="s">
        <v>4614</v>
      </c>
      <c r="AB4322">
        <v>40001</v>
      </c>
      <c r="AC4322"/>
      <c r="AD4322"/>
      <c r="AE4322" t="s">
        <v>7524</v>
      </c>
      <c r="AF4322" t="s">
        <v>7524</v>
      </c>
      <c r="AG4322" t="s">
        <v>95</v>
      </c>
    </row>
    <row r="4323" spans="2:33">
      <c r="B4323" s="14">
        <f>10000000+INDEX(编号表!$B:$B,MATCH(H4323,编号表!$A:$A,0))*100000+INDEX(编号表!$F:$F,MATCH(D4323,编号表!$E:$E,0))*10000+INDEX(编号表!$D:$D,MATCH(AG4323,编号表!$C:$C,0))*1000+F4323</f>
        <v>11825085</v>
      </c>
      <c r="C4323" t="s">
        <v>4619</v>
      </c>
      <c r="D4323" t="s">
        <v>112</v>
      </c>
      <c r="E4323" t="s">
        <v>95</v>
      </c>
      <c r="F4323">
        <v>85</v>
      </c>
      <c r="G4323">
        <v>60</v>
      </c>
      <c r="H4323" t="s">
        <v>7524</v>
      </c>
      <c r="I4323" t="s">
        <v>75</v>
      </c>
      <c r="J4323" t="s">
        <v>201</v>
      </c>
      <c r="K4323">
        <v>1</v>
      </c>
      <c r="L4323" t="s">
        <v>7524</v>
      </c>
      <c r="M4323"/>
      <c r="N4323">
        <v>0</v>
      </c>
      <c r="O4323" t="b">
        <v>1</v>
      </c>
      <c r="P4323"/>
      <c r="Q4323" t="b">
        <v>0</v>
      </c>
      <c r="R4323">
        <v>1</v>
      </c>
      <c r="S4323" t="s">
        <v>77</v>
      </c>
      <c r="T4323">
        <v>999</v>
      </c>
      <c r="U4323" t="s">
        <v>7525</v>
      </c>
      <c r="V4323">
        <f t="shared" si="7"/>
        <v>31825085</v>
      </c>
      <c r="W4323"/>
      <c r="X4323" t="s">
        <v>4620</v>
      </c>
      <c r="Y4323" t="s">
        <v>215</v>
      </c>
      <c r="Z4323">
        <v>21381</v>
      </c>
      <c r="AA4323" t="s">
        <v>4621</v>
      </c>
      <c r="AB4323">
        <v>40001</v>
      </c>
      <c r="AC4323"/>
      <c r="AD4323"/>
      <c r="AE4323" t="s">
        <v>7524</v>
      </c>
      <c r="AF4323" t="s">
        <v>7524</v>
      </c>
      <c r="AG4323" t="s">
        <v>95</v>
      </c>
    </row>
    <row r="4324" spans="2:33">
      <c r="B4324" s="14">
        <f>10000000+INDEX(编号表!$B:$B,MATCH(H4324,编号表!$A:$A,0))*100000+INDEX(编号表!$F:$F,MATCH(D4324,编号表!$E:$E,0))*10000+INDEX(编号表!$D:$D,MATCH(AG4324,编号表!$C:$C,0))*1000+F4324</f>
        <v>11825086</v>
      </c>
      <c r="C4324" t="s">
        <v>4626</v>
      </c>
      <c r="D4324" t="s">
        <v>112</v>
      </c>
      <c r="E4324" t="s">
        <v>95</v>
      </c>
      <c r="F4324">
        <v>86</v>
      </c>
      <c r="G4324">
        <v>60</v>
      </c>
      <c r="H4324" t="s">
        <v>7524</v>
      </c>
      <c r="I4324" t="s">
        <v>75</v>
      </c>
      <c r="J4324" t="s">
        <v>201</v>
      </c>
      <c r="K4324">
        <v>1</v>
      </c>
      <c r="L4324" t="s">
        <v>7524</v>
      </c>
      <c r="M4324"/>
      <c r="N4324">
        <v>0</v>
      </c>
      <c r="O4324" t="b">
        <v>1</v>
      </c>
      <c r="P4324"/>
      <c r="Q4324" t="b">
        <v>0</v>
      </c>
      <c r="R4324">
        <v>1</v>
      </c>
      <c r="S4324" t="s">
        <v>77</v>
      </c>
      <c r="T4324">
        <v>999</v>
      </c>
      <c r="U4324" t="s">
        <v>7525</v>
      </c>
      <c r="V4324">
        <f t="shared" si="7"/>
        <v>31825086</v>
      </c>
      <c r="W4324"/>
      <c r="X4324" t="s">
        <v>4627</v>
      </c>
      <c r="Y4324" t="s">
        <v>215</v>
      </c>
      <c r="Z4324">
        <v>21384</v>
      </c>
      <c r="AA4324" t="s">
        <v>4628</v>
      </c>
      <c r="AB4324">
        <v>40001</v>
      </c>
      <c r="AC4324"/>
      <c r="AD4324"/>
      <c r="AE4324" t="s">
        <v>7524</v>
      </c>
      <c r="AF4324" t="s">
        <v>7524</v>
      </c>
      <c r="AG4324" t="s">
        <v>95</v>
      </c>
    </row>
    <row r="4325" spans="2:33">
      <c r="B4325" s="14">
        <f>10000000+INDEX(编号表!$B:$B,MATCH(H4325,编号表!$A:$A,0))*100000+INDEX(编号表!$F:$F,MATCH(D4325,编号表!$E:$E,0))*10000+INDEX(编号表!$D:$D,MATCH(AG4325,编号表!$C:$C,0))*1000+F4325</f>
        <v>11825087</v>
      </c>
      <c r="C4325" t="s">
        <v>4633</v>
      </c>
      <c r="D4325" t="s">
        <v>112</v>
      </c>
      <c r="E4325" t="s">
        <v>95</v>
      </c>
      <c r="F4325">
        <v>87</v>
      </c>
      <c r="G4325">
        <v>60</v>
      </c>
      <c r="H4325" t="s">
        <v>7524</v>
      </c>
      <c r="I4325" t="s">
        <v>75</v>
      </c>
      <c r="J4325" t="s">
        <v>201</v>
      </c>
      <c r="K4325">
        <v>1</v>
      </c>
      <c r="L4325" t="s">
        <v>7524</v>
      </c>
      <c r="M4325"/>
      <c r="N4325">
        <v>0</v>
      </c>
      <c r="O4325" t="b">
        <v>1</v>
      </c>
      <c r="P4325"/>
      <c r="Q4325" t="b">
        <v>0</v>
      </c>
      <c r="R4325">
        <v>1</v>
      </c>
      <c r="S4325" t="s">
        <v>77</v>
      </c>
      <c r="T4325">
        <v>999</v>
      </c>
      <c r="U4325" t="s">
        <v>7525</v>
      </c>
      <c r="V4325">
        <f t="shared" si="7"/>
        <v>31825087</v>
      </c>
      <c r="W4325"/>
      <c r="X4325" t="s">
        <v>4634</v>
      </c>
      <c r="Y4325" t="s">
        <v>215</v>
      </c>
      <c r="Z4325">
        <v>21387</v>
      </c>
      <c r="AA4325" t="s">
        <v>4635</v>
      </c>
      <c r="AB4325">
        <v>40001</v>
      </c>
      <c r="AC4325"/>
      <c r="AD4325"/>
      <c r="AE4325" t="s">
        <v>7524</v>
      </c>
      <c r="AF4325" t="s">
        <v>7524</v>
      </c>
      <c r="AG4325" t="s">
        <v>95</v>
      </c>
    </row>
    <row r="4326" spans="2:33">
      <c r="B4326" s="14">
        <f>10000000+INDEX(编号表!$B:$B,MATCH(H4326,编号表!$A:$A,0))*100000+INDEX(编号表!$F:$F,MATCH(D4326,编号表!$E:$E,0))*10000+INDEX(编号表!$D:$D,MATCH(AG4326,编号表!$C:$C,0))*1000+F4326</f>
        <v>11825088</v>
      </c>
      <c r="C4326" t="s">
        <v>4640</v>
      </c>
      <c r="D4326" t="s">
        <v>112</v>
      </c>
      <c r="E4326" t="s">
        <v>95</v>
      </c>
      <c r="F4326">
        <v>88</v>
      </c>
      <c r="G4326">
        <v>60</v>
      </c>
      <c r="H4326" t="s">
        <v>7524</v>
      </c>
      <c r="I4326" t="s">
        <v>75</v>
      </c>
      <c r="J4326" t="s">
        <v>201</v>
      </c>
      <c r="K4326">
        <v>1</v>
      </c>
      <c r="L4326" t="s">
        <v>7524</v>
      </c>
      <c r="M4326"/>
      <c r="N4326">
        <v>0</v>
      </c>
      <c r="O4326" t="b">
        <v>1</v>
      </c>
      <c r="P4326"/>
      <c r="Q4326" t="b">
        <v>0</v>
      </c>
      <c r="R4326">
        <v>1</v>
      </c>
      <c r="S4326" t="s">
        <v>77</v>
      </c>
      <c r="T4326">
        <v>999</v>
      </c>
      <c r="U4326" t="s">
        <v>7525</v>
      </c>
      <c r="V4326">
        <f t="shared" si="7"/>
        <v>31825088</v>
      </c>
      <c r="W4326"/>
      <c r="X4326" t="s">
        <v>4641</v>
      </c>
      <c r="Y4326" t="s">
        <v>215</v>
      </c>
      <c r="Z4326">
        <v>21390</v>
      </c>
      <c r="AA4326" t="s">
        <v>4642</v>
      </c>
      <c r="AB4326">
        <v>40001</v>
      </c>
      <c r="AC4326"/>
      <c r="AD4326"/>
      <c r="AE4326" t="s">
        <v>7524</v>
      </c>
      <c r="AF4326" t="s">
        <v>7524</v>
      </c>
      <c r="AG4326" t="s">
        <v>95</v>
      </c>
    </row>
    <row r="4327" spans="2:33">
      <c r="B4327" s="14">
        <f>10000000+INDEX(编号表!$B:$B,MATCH(H4327,编号表!$A:$A,0))*100000+INDEX(编号表!$F:$F,MATCH(D4327,编号表!$E:$E,0))*10000+INDEX(编号表!$D:$D,MATCH(AG4327,编号表!$C:$C,0))*1000+F4327</f>
        <v>11825089</v>
      </c>
      <c r="C4327" t="s">
        <v>4647</v>
      </c>
      <c r="D4327" t="s">
        <v>112</v>
      </c>
      <c r="E4327" t="s">
        <v>95</v>
      </c>
      <c r="F4327">
        <v>89</v>
      </c>
      <c r="G4327">
        <v>60</v>
      </c>
      <c r="H4327" t="s">
        <v>7524</v>
      </c>
      <c r="I4327" t="s">
        <v>75</v>
      </c>
      <c r="J4327" t="s">
        <v>201</v>
      </c>
      <c r="K4327">
        <v>1</v>
      </c>
      <c r="L4327" t="s">
        <v>7524</v>
      </c>
      <c r="M4327"/>
      <c r="N4327">
        <v>0</v>
      </c>
      <c r="O4327" t="b">
        <v>1</v>
      </c>
      <c r="P4327"/>
      <c r="Q4327" t="b">
        <v>0</v>
      </c>
      <c r="R4327">
        <v>1</v>
      </c>
      <c r="S4327" t="s">
        <v>77</v>
      </c>
      <c r="T4327">
        <v>999</v>
      </c>
      <c r="U4327" t="s">
        <v>7525</v>
      </c>
      <c r="V4327">
        <f t="shared" si="7"/>
        <v>31825089</v>
      </c>
      <c r="W4327"/>
      <c r="X4327" t="s">
        <v>4648</v>
      </c>
      <c r="Y4327" t="s">
        <v>215</v>
      </c>
      <c r="Z4327">
        <v>21393</v>
      </c>
      <c r="AA4327" t="s">
        <v>4649</v>
      </c>
      <c r="AB4327">
        <v>40001</v>
      </c>
      <c r="AC4327"/>
      <c r="AD4327"/>
      <c r="AE4327" t="s">
        <v>7524</v>
      </c>
      <c r="AF4327" t="s">
        <v>7524</v>
      </c>
      <c r="AG4327" t="s">
        <v>95</v>
      </c>
    </row>
    <row r="4328" spans="2:33">
      <c r="B4328" s="14">
        <f>10000000+INDEX(编号表!$B:$B,MATCH(H4328,编号表!$A:$A,0))*100000+INDEX(编号表!$F:$F,MATCH(D4328,编号表!$E:$E,0))*10000+INDEX(编号表!$D:$D,MATCH(AG4328,编号表!$C:$C,0))*1000+F4328</f>
        <v>11825090</v>
      </c>
      <c r="C4328" t="s">
        <v>4654</v>
      </c>
      <c r="D4328" t="s">
        <v>112</v>
      </c>
      <c r="E4328" t="s">
        <v>95</v>
      </c>
      <c r="F4328">
        <v>90</v>
      </c>
      <c r="G4328">
        <v>60</v>
      </c>
      <c r="H4328" t="s">
        <v>7524</v>
      </c>
      <c r="I4328" t="s">
        <v>75</v>
      </c>
      <c r="J4328" t="s">
        <v>201</v>
      </c>
      <c r="K4328">
        <v>1</v>
      </c>
      <c r="L4328" t="s">
        <v>7524</v>
      </c>
      <c r="M4328"/>
      <c r="N4328">
        <v>0</v>
      </c>
      <c r="O4328" t="b">
        <v>1</v>
      </c>
      <c r="P4328"/>
      <c r="Q4328" t="b">
        <v>0</v>
      </c>
      <c r="R4328">
        <v>1</v>
      </c>
      <c r="S4328" t="s">
        <v>77</v>
      </c>
      <c r="T4328">
        <v>999</v>
      </c>
      <c r="U4328" t="s">
        <v>7525</v>
      </c>
      <c r="V4328">
        <f t="shared" si="7"/>
        <v>31825090</v>
      </c>
      <c r="W4328"/>
      <c r="X4328" t="s">
        <v>4655</v>
      </c>
      <c r="Y4328" t="s">
        <v>215</v>
      </c>
      <c r="Z4328">
        <v>21396</v>
      </c>
      <c r="AA4328" t="s">
        <v>4656</v>
      </c>
      <c r="AB4328">
        <v>40001</v>
      </c>
      <c r="AC4328"/>
      <c r="AD4328"/>
      <c r="AE4328" t="s">
        <v>7524</v>
      </c>
      <c r="AF4328" t="s">
        <v>7524</v>
      </c>
      <c r="AG4328" t="s">
        <v>95</v>
      </c>
    </row>
    <row r="4329" spans="2:33">
      <c r="B4329" s="14">
        <f>10000000+INDEX(编号表!$B:$B,MATCH(H4329,编号表!$A:$A,0))*100000+INDEX(编号表!$F:$F,MATCH(D4329,编号表!$E:$E,0))*10000+INDEX(编号表!$D:$D,MATCH(AG4329,编号表!$C:$C,0))*1000+F4329</f>
        <v>11825091</v>
      </c>
      <c r="C4329" t="s">
        <v>4661</v>
      </c>
      <c r="D4329" t="s">
        <v>112</v>
      </c>
      <c r="E4329" t="s">
        <v>95</v>
      </c>
      <c r="F4329">
        <v>91</v>
      </c>
      <c r="G4329">
        <v>60</v>
      </c>
      <c r="H4329" t="s">
        <v>7524</v>
      </c>
      <c r="I4329" t="s">
        <v>75</v>
      </c>
      <c r="J4329" t="s">
        <v>201</v>
      </c>
      <c r="K4329">
        <v>1</v>
      </c>
      <c r="L4329" t="s">
        <v>7524</v>
      </c>
      <c r="M4329"/>
      <c r="N4329">
        <v>0</v>
      </c>
      <c r="O4329" t="b">
        <v>1</v>
      </c>
      <c r="P4329"/>
      <c r="Q4329" t="b">
        <v>0</v>
      </c>
      <c r="R4329">
        <v>1</v>
      </c>
      <c r="S4329" t="s">
        <v>77</v>
      </c>
      <c r="T4329">
        <v>999</v>
      </c>
      <c r="U4329" t="s">
        <v>7525</v>
      </c>
      <c r="V4329">
        <f t="shared" si="7"/>
        <v>31825091</v>
      </c>
      <c r="W4329"/>
      <c r="X4329" t="s">
        <v>4662</v>
      </c>
      <c r="Y4329" t="s">
        <v>215</v>
      </c>
      <c r="Z4329">
        <v>21399</v>
      </c>
      <c r="AA4329" t="s">
        <v>4663</v>
      </c>
      <c r="AB4329">
        <v>40001</v>
      </c>
      <c r="AC4329"/>
      <c r="AD4329"/>
      <c r="AE4329" t="s">
        <v>7524</v>
      </c>
      <c r="AF4329" t="s">
        <v>7524</v>
      </c>
      <c r="AG4329" t="s">
        <v>95</v>
      </c>
    </row>
    <row r="4330" spans="2:33">
      <c r="B4330" s="14">
        <f>10000000+INDEX(编号表!$B:$B,MATCH(H4330,编号表!$A:$A,0))*100000+INDEX(编号表!$F:$F,MATCH(D4330,编号表!$E:$E,0))*10000+INDEX(编号表!$D:$D,MATCH(AG4330,编号表!$C:$C,0))*1000+F4330</f>
        <v>11825092</v>
      </c>
      <c r="C4330" t="s">
        <v>4668</v>
      </c>
      <c r="D4330" t="s">
        <v>112</v>
      </c>
      <c r="E4330" t="s">
        <v>95</v>
      </c>
      <c r="F4330">
        <v>92</v>
      </c>
      <c r="G4330">
        <v>60</v>
      </c>
      <c r="H4330" t="s">
        <v>7524</v>
      </c>
      <c r="I4330" t="s">
        <v>75</v>
      </c>
      <c r="J4330" t="s">
        <v>201</v>
      </c>
      <c r="K4330">
        <v>1</v>
      </c>
      <c r="L4330" t="s">
        <v>7524</v>
      </c>
      <c r="M4330"/>
      <c r="N4330">
        <v>0</v>
      </c>
      <c r="O4330" t="b">
        <v>1</v>
      </c>
      <c r="P4330"/>
      <c r="Q4330" t="b">
        <v>0</v>
      </c>
      <c r="R4330">
        <v>1</v>
      </c>
      <c r="S4330" t="s">
        <v>77</v>
      </c>
      <c r="T4330">
        <v>999</v>
      </c>
      <c r="U4330" t="s">
        <v>7525</v>
      </c>
      <c r="V4330">
        <f t="shared" si="7"/>
        <v>31825092</v>
      </c>
      <c r="W4330"/>
      <c r="X4330" t="s">
        <v>4669</v>
      </c>
      <c r="Y4330" t="s">
        <v>215</v>
      </c>
      <c r="Z4330">
        <v>21402</v>
      </c>
      <c r="AA4330" t="s">
        <v>4670</v>
      </c>
      <c r="AB4330">
        <v>40001</v>
      </c>
      <c r="AC4330"/>
      <c r="AD4330"/>
      <c r="AE4330" t="s">
        <v>7524</v>
      </c>
      <c r="AF4330" t="s">
        <v>7524</v>
      </c>
      <c r="AG4330" t="s">
        <v>95</v>
      </c>
    </row>
    <row r="4331" spans="2:33">
      <c r="B4331" s="14">
        <f>10000000+INDEX(编号表!$B:$B,MATCH(H4331,编号表!$A:$A,0))*100000+INDEX(编号表!$F:$F,MATCH(D4331,编号表!$E:$E,0))*10000+INDEX(编号表!$D:$D,MATCH(AG4331,编号表!$C:$C,0))*1000+F4331</f>
        <v>11825093</v>
      </c>
      <c r="C4331" t="s">
        <v>4675</v>
      </c>
      <c r="D4331" t="s">
        <v>112</v>
      </c>
      <c r="E4331" t="s">
        <v>95</v>
      </c>
      <c r="F4331">
        <v>93</v>
      </c>
      <c r="G4331">
        <v>60</v>
      </c>
      <c r="H4331" t="s">
        <v>7524</v>
      </c>
      <c r="I4331" t="s">
        <v>75</v>
      </c>
      <c r="J4331" t="s">
        <v>201</v>
      </c>
      <c r="K4331">
        <v>1</v>
      </c>
      <c r="L4331" t="s">
        <v>7524</v>
      </c>
      <c r="M4331"/>
      <c r="N4331">
        <v>0</v>
      </c>
      <c r="O4331" t="b">
        <v>1</v>
      </c>
      <c r="P4331"/>
      <c r="Q4331" t="b">
        <v>0</v>
      </c>
      <c r="R4331">
        <v>1</v>
      </c>
      <c r="S4331" t="s">
        <v>77</v>
      </c>
      <c r="T4331">
        <v>999</v>
      </c>
      <c r="U4331" t="s">
        <v>7525</v>
      </c>
      <c r="V4331">
        <f t="shared" si="7"/>
        <v>31825093</v>
      </c>
      <c r="W4331"/>
      <c r="X4331" t="s">
        <v>4676</v>
      </c>
      <c r="Y4331" t="s">
        <v>215</v>
      </c>
      <c r="Z4331">
        <v>21405</v>
      </c>
      <c r="AA4331" t="s">
        <v>4677</v>
      </c>
      <c r="AB4331">
        <v>40001</v>
      </c>
      <c r="AC4331"/>
      <c r="AD4331"/>
      <c r="AE4331" t="s">
        <v>7524</v>
      </c>
      <c r="AF4331" t="s">
        <v>7524</v>
      </c>
      <c r="AG4331" t="s">
        <v>95</v>
      </c>
    </row>
    <row r="4332" spans="2:33">
      <c r="B4332" s="14">
        <f>10000000+INDEX(编号表!$B:$B,MATCH(H4332,编号表!$A:$A,0))*100000+INDEX(编号表!$F:$F,MATCH(D4332,编号表!$E:$E,0))*10000+INDEX(编号表!$D:$D,MATCH(AG4332,编号表!$C:$C,0))*1000+F4332</f>
        <v>11825094</v>
      </c>
      <c r="C4332" t="s">
        <v>4682</v>
      </c>
      <c r="D4332" t="s">
        <v>112</v>
      </c>
      <c r="E4332" t="s">
        <v>95</v>
      </c>
      <c r="F4332">
        <v>94</v>
      </c>
      <c r="G4332">
        <v>60</v>
      </c>
      <c r="H4332" t="s">
        <v>7524</v>
      </c>
      <c r="I4332" t="s">
        <v>75</v>
      </c>
      <c r="J4332" t="s">
        <v>201</v>
      </c>
      <c r="K4332">
        <v>1</v>
      </c>
      <c r="L4332" t="s">
        <v>7524</v>
      </c>
      <c r="M4332"/>
      <c r="N4332">
        <v>0</v>
      </c>
      <c r="O4332" t="b">
        <v>1</v>
      </c>
      <c r="P4332"/>
      <c r="Q4332" t="b">
        <v>0</v>
      </c>
      <c r="R4332">
        <v>1</v>
      </c>
      <c r="S4332" t="s">
        <v>77</v>
      </c>
      <c r="T4332">
        <v>999</v>
      </c>
      <c r="U4332" t="s">
        <v>7525</v>
      </c>
      <c r="V4332">
        <f t="shared" si="7"/>
        <v>31825094</v>
      </c>
      <c r="W4332"/>
      <c r="X4332" t="s">
        <v>4683</v>
      </c>
      <c r="Y4332" t="s">
        <v>215</v>
      </c>
      <c r="Z4332">
        <v>21408</v>
      </c>
      <c r="AA4332" t="s">
        <v>4684</v>
      </c>
      <c r="AB4332">
        <v>40001</v>
      </c>
      <c r="AC4332"/>
      <c r="AD4332"/>
      <c r="AE4332" t="s">
        <v>7524</v>
      </c>
      <c r="AF4332" t="s">
        <v>7524</v>
      </c>
      <c r="AG4332" t="s">
        <v>95</v>
      </c>
    </row>
    <row r="4333" spans="2:33">
      <c r="B4333" s="14">
        <f>10000000+INDEX(编号表!$B:$B,MATCH(H4333,编号表!$A:$A,0))*100000+INDEX(编号表!$F:$F,MATCH(D4333,编号表!$E:$E,0))*10000+INDEX(编号表!$D:$D,MATCH(AG4333,编号表!$C:$C,0))*1000+F4333</f>
        <v>11825095</v>
      </c>
      <c r="C4333" t="s">
        <v>4689</v>
      </c>
      <c r="D4333" t="s">
        <v>112</v>
      </c>
      <c r="E4333" t="s">
        <v>95</v>
      </c>
      <c r="F4333">
        <v>95</v>
      </c>
      <c r="G4333">
        <v>60</v>
      </c>
      <c r="H4333" t="s">
        <v>7524</v>
      </c>
      <c r="I4333" t="s">
        <v>75</v>
      </c>
      <c r="J4333" t="s">
        <v>201</v>
      </c>
      <c r="K4333">
        <v>1</v>
      </c>
      <c r="L4333" t="s">
        <v>7524</v>
      </c>
      <c r="M4333"/>
      <c r="N4333">
        <v>0</v>
      </c>
      <c r="O4333" t="b">
        <v>1</v>
      </c>
      <c r="P4333"/>
      <c r="Q4333" t="b">
        <v>0</v>
      </c>
      <c r="R4333">
        <v>1</v>
      </c>
      <c r="S4333" t="s">
        <v>77</v>
      </c>
      <c r="T4333">
        <v>999</v>
      </c>
      <c r="U4333" t="s">
        <v>7525</v>
      </c>
      <c r="V4333">
        <f t="shared" si="7"/>
        <v>31825095</v>
      </c>
      <c r="W4333"/>
      <c r="X4333" t="s">
        <v>4690</v>
      </c>
      <c r="Y4333" t="s">
        <v>215</v>
      </c>
      <c r="Z4333">
        <v>21411</v>
      </c>
      <c r="AA4333" t="s">
        <v>4691</v>
      </c>
      <c r="AB4333">
        <v>40001</v>
      </c>
      <c r="AC4333"/>
      <c r="AD4333"/>
      <c r="AE4333" t="s">
        <v>7524</v>
      </c>
      <c r="AF4333" t="s">
        <v>7524</v>
      </c>
      <c r="AG4333" t="s">
        <v>95</v>
      </c>
    </row>
    <row r="4334" spans="2:33">
      <c r="B4334" s="14">
        <f>10000000+INDEX(编号表!$B:$B,MATCH(H4334,编号表!$A:$A,0))*100000+INDEX(编号表!$F:$F,MATCH(D4334,编号表!$E:$E,0))*10000+INDEX(编号表!$D:$D,MATCH(AG4334,编号表!$C:$C,0))*1000+F4334</f>
        <v>11825096</v>
      </c>
      <c r="C4334" t="s">
        <v>4696</v>
      </c>
      <c r="D4334" t="s">
        <v>112</v>
      </c>
      <c r="E4334" t="s">
        <v>95</v>
      </c>
      <c r="F4334">
        <v>96</v>
      </c>
      <c r="G4334">
        <v>60</v>
      </c>
      <c r="H4334" t="s">
        <v>7524</v>
      </c>
      <c r="I4334" t="s">
        <v>75</v>
      </c>
      <c r="J4334" t="s">
        <v>201</v>
      </c>
      <c r="K4334">
        <v>1</v>
      </c>
      <c r="L4334" t="s">
        <v>7524</v>
      </c>
      <c r="M4334"/>
      <c r="N4334">
        <v>0</v>
      </c>
      <c r="O4334" t="b">
        <v>1</v>
      </c>
      <c r="P4334"/>
      <c r="Q4334" t="b">
        <v>0</v>
      </c>
      <c r="R4334">
        <v>1</v>
      </c>
      <c r="S4334" t="s">
        <v>77</v>
      </c>
      <c r="T4334">
        <v>999</v>
      </c>
      <c r="U4334" t="s">
        <v>7525</v>
      </c>
      <c r="V4334">
        <f t="shared" si="7"/>
        <v>31825096</v>
      </c>
      <c r="W4334"/>
      <c r="X4334" t="s">
        <v>4697</v>
      </c>
      <c r="Y4334" t="s">
        <v>215</v>
      </c>
      <c r="Z4334">
        <v>21414</v>
      </c>
      <c r="AA4334" t="s">
        <v>4698</v>
      </c>
      <c r="AB4334">
        <v>40001</v>
      </c>
      <c r="AC4334"/>
      <c r="AD4334"/>
      <c r="AE4334" t="s">
        <v>7524</v>
      </c>
      <c r="AF4334" t="s">
        <v>7524</v>
      </c>
      <c r="AG4334" t="s">
        <v>95</v>
      </c>
    </row>
    <row r="4335" spans="2:33">
      <c r="B4335" s="14">
        <f>10000000+INDEX(编号表!$B:$B,MATCH(H4335,编号表!$A:$A,0))*100000+INDEX(编号表!$F:$F,MATCH(D4335,编号表!$E:$E,0))*10000+INDEX(编号表!$D:$D,MATCH(AG4335,编号表!$C:$C,0))*1000+F4335</f>
        <v>11825097</v>
      </c>
      <c r="C4335" t="s">
        <v>4703</v>
      </c>
      <c r="D4335" t="s">
        <v>112</v>
      </c>
      <c r="E4335" t="s">
        <v>95</v>
      </c>
      <c r="F4335">
        <v>97</v>
      </c>
      <c r="G4335">
        <v>60</v>
      </c>
      <c r="H4335" t="s">
        <v>7524</v>
      </c>
      <c r="I4335" t="s">
        <v>75</v>
      </c>
      <c r="J4335" t="s">
        <v>201</v>
      </c>
      <c r="K4335">
        <v>1</v>
      </c>
      <c r="L4335" t="s">
        <v>7524</v>
      </c>
      <c r="M4335"/>
      <c r="N4335">
        <v>0</v>
      </c>
      <c r="O4335" t="b">
        <v>1</v>
      </c>
      <c r="P4335"/>
      <c r="Q4335" t="b">
        <v>0</v>
      </c>
      <c r="R4335">
        <v>1</v>
      </c>
      <c r="S4335" t="s">
        <v>77</v>
      </c>
      <c r="T4335">
        <v>999</v>
      </c>
      <c r="U4335" t="s">
        <v>7525</v>
      </c>
      <c r="V4335">
        <f t="shared" si="7"/>
        <v>31825097</v>
      </c>
      <c r="W4335"/>
      <c r="X4335" t="s">
        <v>4704</v>
      </c>
      <c r="Y4335" t="s">
        <v>215</v>
      </c>
      <c r="Z4335">
        <v>21417</v>
      </c>
      <c r="AA4335" t="s">
        <v>4705</v>
      </c>
      <c r="AB4335">
        <v>40001</v>
      </c>
      <c r="AC4335"/>
      <c r="AD4335"/>
      <c r="AE4335" t="s">
        <v>7524</v>
      </c>
      <c r="AF4335" t="s">
        <v>7524</v>
      </c>
      <c r="AG4335" t="s">
        <v>95</v>
      </c>
    </row>
    <row r="4336" spans="2:33">
      <c r="B4336" s="14">
        <f>10000000+INDEX(编号表!$B:$B,MATCH(H4336,编号表!$A:$A,0))*100000+INDEX(编号表!$F:$F,MATCH(D4336,编号表!$E:$E,0))*10000+INDEX(编号表!$D:$D,MATCH(AG4336,编号表!$C:$C,0))*1000+F4336</f>
        <v>11825098</v>
      </c>
      <c r="C4336" t="s">
        <v>4710</v>
      </c>
      <c r="D4336" t="s">
        <v>112</v>
      </c>
      <c r="E4336" t="s">
        <v>95</v>
      </c>
      <c r="F4336">
        <v>98</v>
      </c>
      <c r="G4336">
        <v>60</v>
      </c>
      <c r="H4336" t="s">
        <v>7524</v>
      </c>
      <c r="I4336" t="s">
        <v>75</v>
      </c>
      <c r="J4336" t="s">
        <v>201</v>
      </c>
      <c r="K4336">
        <v>1</v>
      </c>
      <c r="L4336" t="s">
        <v>7524</v>
      </c>
      <c r="M4336"/>
      <c r="N4336">
        <v>0</v>
      </c>
      <c r="O4336" t="b">
        <v>1</v>
      </c>
      <c r="P4336"/>
      <c r="Q4336" t="b">
        <v>0</v>
      </c>
      <c r="R4336">
        <v>1</v>
      </c>
      <c r="S4336" t="s">
        <v>77</v>
      </c>
      <c r="T4336">
        <v>999</v>
      </c>
      <c r="U4336" t="s">
        <v>7525</v>
      </c>
      <c r="V4336">
        <f t="shared" si="7"/>
        <v>31825098</v>
      </c>
      <c r="W4336"/>
      <c r="X4336" t="s">
        <v>4711</v>
      </c>
      <c r="Y4336" t="s">
        <v>215</v>
      </c>
      <c r="Z4336">
        <v>21420</v>
      </c>
      <c r="AA4336" t="s">
        <v>4712</v>
      </c>
      <c r="AB4336">
        <v>40001</v>
      </c>
      <c r="AC4336"/>
      <c r="AD4336"/>
      <c r="AE4336" t="s">
        <v>7524</v>
      </c>
      <c r="AF4336" t="s">
        <v>7524</v>
      </c>
      <c r="AG4336" t="s">
        <v>95</v>
      </c>
    </row>
    <row r="4337" spans="2:33">
      <c r="B4337" s="14">
        <f>10000000+INDEX(编号表!$B:$B,MATCH(H4337,编号表!$A:$A,0))*100000+INDEX(编号表!$F:$F,MATCH(D4337,编号表!$E:$E,0))*10000+INDEX(编号表!$D:$D,MATCH(AG4337,编号表!$C:$C,0))*1000+F4337</f>
        <v>11825099</v>
      </c>
      <c r="C4337" t="s">
        <v>4717</v>
      </c>
      <c r="D4337" t="s">
        <v>112</v>
      </c>
      <c r="E4337" t="s">
        <v>95</v>
      </c>
      <c r="F4337">
        <v>99</v>
      </c>
      <c r="G4337">
        <v>60</v>
      </c>
      <c r="H4337" t="s">
        <v>7524</v>
      </c>
      <c r="I4337" t="s">
        <v>75</v>
      </c>
      <c r="J4337" t="s">
        <v>201</v>
      </c>
      <c r="K4337">
        <v>1</v>
      </c>
      <c r="L4337" t="s">
        <v>7524</v>
      </c>
      <c r="M4337"/>
      <c r="N4337">
        <v>0</v>
      </c>
      <c r="O4337" t="b">
        <v>1</v>
      </c>
      <c r="P4337"/>
      <c r="Q4337" t="b">
        <v>0</v>
      </c>
      <c r="R4337">
        <v>1</v>
      </c>
      <c r="S4337" t="s">
        <v>77</v>
      </c>
      <c r="T4337">
        <v>999</v>
      </c>
      <c r="U4337" t="s">
        <v>7525</v>
      </c>
      <c r="V4337">
        <f t="shared" si="7"/>
        <v>31825099</v>
      </c>
      <c r="W4337"/>
      <c r="X4337" t="s">
        <v>4718</v>
      </c>
      <c r="Y4337" t="s">
        <v>215</v>
      </c>
      <c r="Z4337">
        <v>21423</v>
      </c>
      <c r="AA4337" t="s">
        <v>4719</v>
      </c>
      <c r="AB4337">
        <v>40001</v>
      </c>
      <c r="AC4337"/>
      <c r="AD4337"/>
      <c r="AE4337" t="s">
        <v>7524</v>
      </c>
      <c r="AF4337" t="s">
        <v>7524</v>
      </c>
      <c r="AG4337" t="s">
        <v>95</v>
      </c>
    </row>
    <row r="4338" spans="2:33">
      <c r="B4338" s="14">
        <f>10000000+INDEX(编号表!$B:$B,MATCH(H4338,编号表!$A:$A,0))*100000+INDEX(编号表!$F:$F,MATCH(D4338,编号表!$E:$E,0))*10000+INDEX(编号表!$D:$D,MATCH(AG4338,编号表!$C:$C,0))*1000+F4338</f>
        <v>11825100</v>
      </c>
      <c r="C4338" t="s">
        <v>4724</v>
      </c>
      <c r="D4338" t="s">
        <v>112</v>
      </c>
      <c r="E4338" t="s">
        <v>95</v>
      </c>
      <c r="F4338">
        <v>100</v>
      </c>
      <c r="G4338">
        <v>60</v>
      </c>
      <c r="H4338" t="s">
        <v>7524</v>
      </c>
      <c r="I4338" t="s">
        <v>75</v>
      </c>
      <c r="J4338" t="s">
        <v>201</v>
      </c>
      <c r="K4338">
        <v>1</v>
      </c>
      <c r="L4338" t="s">
        <v>7524</v>
      </c>
      <c r="M4338"/>
      <c r="N4338">
        <v>0</v>
      </c>
      <c r="O4338" t="b">
        <v>1</v>
      </c>
      <c r="P4338"/>
      <c r="Q4338" t="b">
        <v>0</v>
      </c>
      <c r="R4338">
        <v>1</v>
      </c>
      <c r="S4338" t="s">
        <v>77</v>
      </c>
      <c r="T4338">
        <v>999</v>
      </c>
      <c r="U4338" t="s">
        <v>7525</v>
      </c>
      <c r="V4338">
        <f t="shared" si="7"/>
        <v>31825100</v>
      </c>
      <c r="W4338"/>
      <c r="X4338" t="s">
        <v>4725</v>
      </c>
      <c r="Y4338" t="s">
        <v>215</v>
      </c>
      <c r="Z4338">
        <v>21426</v>
      </c>
      <c r="AA4338" t="s">
        <v>4726</v>
      </c>
      <c r="AB4338">
        <v>40001</v>
      </c>
      <c r="AC4338"/>
      <c r="AD4338"/>
      <c r="AE4338" t="s">
        <v>7524</v>
      </c>
      <c r="AF4338" t="s">
        <v>7524</v>
      </c>
      <c r="AG4338" t="s">
        <v>95</v>
      </c>
    </row>
    <row r="4339" spans="2:33">
      <c r="B4339" s="14">
        <f>10000000+INDEX(编号表!$B:$B,MATCH(H4339,编号表!$A:$A,0))*100000+INDEX(编号表!$F:$F,MATCH(D4339,编号表!$E:$E,0))*10000+INDEX(编号表!$D:$D,MATCH(AG4339,编号表!$C:$C,0))*1000+F4339</f>
        <v>11825101</v>
      </c>
      <c r="C4339" t="s">
        <v>4731</v>
      </c>
      <c r="D4339" t="s">
        <v>112</v>
      </c>
      <c r="E4339" t="s">
        <v>95</v>
      </c>
      <c r="F4339">
        <v>101</v>
      </c>
      <c r="G4339">
        <v>60</v>
      </c>
      <c r="H4339" t="s">
        <v>7524</v>
      </c>
      <c r="I4339" t="s">
        <v>75</v>
      </c>
      <c r="J4339" t="s">
        <v>201</v>
      </c>
      <c r="K4339">
        <v>1</v>
      </c>
      <c r="L4339" t="s">
        <v>7524</v>
      </c>
      <c r="M4339"/>
      <c r="N4339">
        <v>0</v>
      </c>
      <c r="O4339" t="b">
        <v>1</v>
      </c>
      <c r="P4339"/>
      <c r="Q4339" t="b">
        <v>0</v>
      </c>
      <c r="R4339">
        <v>1</v>
      </c>
      <c r="S4339" t="s">
        <v>77</v>
      </c>
      <c r="T4339">
        <v>999</v>
      </c>
      <c r="U4339" t="s">
        <v>7525</v>
      </c>
      <c r="V4339">
        <f t="shared" si="7"/>
        <v>31825101</v>
      </c>
      <c r="W4339"/>
      <c r="X4339" t="s">
        <v>4732</v>
      </c>
      <c r="Y4339" t="s">
        <v>215</v>
      </c>
      <c r="Z4339">
        <v>21429</v>
      </c>
      <c r="AA4339" t="s">
        <v>4733</v>
      </c>
      <c r="AB4339">
        <v>40001</v>
      </c>
      <c r="AC4339"/>
      <c r="AD4339"/>
      <c r="AE4339" t="s">
        <v>7524</v>
      </c>
      <c r="AF4339" t="s">
        <v>7524</v>
      </c>
      <c r="AG4339" t="s">
        <v>95</v>
      </c>
    </row>
    <row r="4340" spans="2:33">
      <c r="B4340" s="14">
        <f>10000000+INDEX(编号表!$B:$B,MATCH(H4340,编号表!$A:$A,0))*100000+INDEX(编号表!$F:$F,MATCH(D4340,编号表!$E:$E,0))*10000+INDEX(编号表!$D:$D,MATCH(AG4340,编号表!$C:$C,0))*1000+F4340</f>
        <v>11825102</v>
      </c>
      <c r="C4340" t="s">
        <v>4738</v>
      </c>
      <c r="D4340" t="s">
        <v>112</v>
      </c>
      <c r="E4340" t="s">
        <v>95</v>
      </c>
      <c r="F4340">
        <v>102</v>
      </c>
      <c r="G4340">
        <v>60</v>
      </c>
      <c r="H4340" t="s">
        <v>7524</v>
      </c>
      <c r="I4340" t="s">
        <v>75</v>
      </c>
      <c r="J4340" t="s">
        <v>201</v>
      </c>
      <c r="K4340">
        <v>1</v>
      </c>
      <c r="L4340" t="s">
        <v>7524</v>
      </c>
      <c r="M4340"/>
      <c r="N4340">
        <v>0</v>
      </c>
      <c r="O4340" t="b">
        <v>1</v>
      </c>
      <c r="P4340"/>
      <c r="Q4340" t="b">
        <v>0</v>
      </c>
      <c r="R4340">
        <v>1</v>
      </c>
      <c r="S4340" t="s">
        <v>77</v>
      </c>
      <c r="T4340">
        <v>999</v>
      </c>
      <c r="U4340" t="s">
        <v>7525</v>
      </c>
      <c r="V4340">
        <f t="shared" si="7"/>
        <v>31825102</v>
      </c>
      <c r="W4340"/>
      <c r="X4340" t="s">
        <v>4739</v>
      </c>
      <c r="Y4340" t="s">
        <v>215</v>
      </c>
      <c r="Z4340">
        <v>21432</v>
      </c>
      <c r="AA4340" t="s">
        <v>4740</v>
      </c>
      <c r="AB4340">
        <v>40001</v>
      </c>
      <c r="AC4340"/>
      <c r="AD4340"/>
      <c r="AE4340" t="s">
        <v>7524</v>
      </c>
      <c r="AF4340" t="s">
        <v>7524</v>
      </c>
      <c r="AG4340" t="s">
        <v>95</v>
      </c>
    </row>
    <row r="4341" spans="2:33">
      <c r="B4341" s="14">
        <f>10000000+INDEX(编号表!$B:$B,MATCH(H4341,编号表!$A:$A,0))*100000+INDEX(编号表!$F:$F,MATCH(D4341,编号表!$E:$E,0))*10000+INDEX(编号表!$D:$D,MATCH(AG4341,编号表!$C:$C,0))*1000+F4341</f>
        <v>11825103</v>
      </c>
      <c r="C4341" t="s">
        <v>4745</v>
      </c>
      <c r="D4341" t="s">
        <v>112</v>
      </c>
      <c r="E4341" t="s">
        <v>95</v>
      </c>
      <c r="F4341">
        <v>103</v>
      </c>
      <c r="G4341">
        <v>60</v>
      </c>
      <c r="H4341" t="s">
        <v>7524</v>
      </c>
      <c r="I4341" t="s">
        <v>75</v>
      </c>
      <c r="J4341" t="s">
        <v>201</v>
      </c>
      <c r="K4341">
        <v>1</v>
      </c>
      <c r="L4341" t="s">
        <v>7524</v>
      </c>
      <c r="M4341"/>
      <c r="N4341">
        <v>0</v>
      </c>
      <c r="O4341" t="b">
        <v>1</v>
      </c>
      <c r="P4341"/>
      <c r="Q4341" t="b">
        <v>0</v>
      </c>
      <c r="R4341">
        <v>1</v>
      </c>
      <c r="S4341" t="s">
        <v>77</v>
      </c>
      <c r="T4341">
        <v>999</v>
      </c>
      <c r="U4341" t="s">
        <v>7525</v>
      </c>
      <c r="V4341">
        <f t="shared" si="7"/>
        <v>31825103</v>
      </c>
      <c r="W4341"/>
      <c r="X4341" t="s">
        <v>4746</v>
      </c>
      <c r="Y4341" t="s">
        <v>215</v>
      </c>
      <c r="Z4341">
        <v>21435</v>
      </c>
      <c r="AA4341" t="s">
        <v>4747</v>
      </c>
      <c r="AB4341">
        <v>40001</v>
      </c>
      <c r="AC4341"/>
      <c r="AD4341"/>
      <c r="AE4341" t="s">
        <v>7524</v>
      </c>
      <c r="AF4341" t="s">
        <v>7524</v>
      </c>
      <c r="AG4341" t="s">
        <v>95</v>
      </c>
    </row>
    <row r="4342" spans="2:33">
      <c r="B4342" s="14">
        <f>10000000+INDEX(编号表!$B:$B,MATCH(H4342,编号表!$A:$A,0))*100000+INDEX(编号表!$F:$F,MATCH(D4342,编号表!$E:$E,0))*10000+INDEX(编号表!$D:$D,MATCH(AG4342,编号表!$C:$C,0))*1000+F4342</f>
        <v>11825104</v>
      </c>
      <c r="C4342" t="s">
        <v>4752</v>
      </c>
      <c r="D4342" t="s">
        <v>112</v>
      </c>
      <c r="E4342" t="s">
        <v>95</v>
      </c>
      <c r="F4342">
        <v>104</v>
      </c>
      <c r="G4342">
        <v>60</v>
      </c>
      <c r="H4342" t="s">
        <v>7524</v>
      </c>
      <c r="I4342" t="s">
        <v>75</v>
      </c>
      <c r="J4342" t="s">
        <v>201</v>
      </c>
      <c r="K4342">
        <v>1</v>
      </c>
      <c r="L4342" t="s">
        <v>7524</v>
      </c>
      <c r="M4342"/>
      <c r="N4342">
        <v>0</v>
      </c>
      <c r="O4342" t="b">
        <v>1</v>
      </c>
      <c r="P4342"/>
      <c r="Q4342" t="b">
        <v>0</v>
      </c>
      <c r="R4342">
        <v>1</v>
      </c>
      <c r="S4342" t="s">
        <v>77</v>
      </c>
      <c r="T4342">
        <v>999</v>
      </c>
      <c r="U4342" t="s">
        <v>7525</v>
      </c>
      <c r="V4342">
        <f t="shared" si="7"/>
        <v>31825104</v>
      </c>
      <c r="W4342"/>
      <c r="X4342" t="s">
        <v>4753</v>
      </c>
      <c r="Y4342" t="s">
        <v>215</v>
      </c>
      <c r="Z4342">
        <v>21438</v>
      </c>
      <c r="AA4342" t="s">
        <v>4754</v>
      </c>
      <c r="AB4342">
        <v>40001</v>
      </c>
      <c r="AC4342"/>
      <c r="AD4342"/>
      <c r="AE4342" t="s">
        <v>7524</v>
      </c>
      <c r="AF4342" t="s">
        <v>7524</v>
      </c>
      <c r="AG4342" t="s">
        <v>95</v>
      </c>
    </row>
    <row r="4343" spans="2:33">
      <c r="B4343" s="14">
        <f>10000000+INDEX(编号表!$B:$B,MATCH(H4343,编号表!$A:$A,0))*100000+INDEX(编号表!$F:$F,MATCH(D4343,编号表!$E:$E,0))*10000+INDEX(编号表!$D:$D,MATCH(AG4343,编号表!$C:$C,0))*1000+F4343</f>
        <v>11825105</v>
      </c>
      <c r="C4343" t="s">
        <v>4759</v>
      </c>
      <c r="D4343" t="s">
        <v>112</v>
      </c>
      <c r="E4343" t="s">
        <v>95</v>
      </c>
      <c r="F4343">
        <v>105</v>
      </c>
      <c r="G4343">
        <v>60</v>
      </c>
      <c r="H4343" t="s">
        <v>7524</v>
      </c>
      <c r="I4343" t="s">
        <v>75</v>
      </c>
      <c r="J4343" t="s">
        <v>201</v>
      </c>
      <c r="K4343">
        <v>1</v>
      </c>
      <c r="L4343" t="s">
        <v>7524</v>
      </c>
      <c r="M4343"/>
      <c r="N4343">
        <v>0</v>
      </c>
      <c r="O4343" t="b">
        <v>1</v>
      </c>
      <c r="P4343"/>
      <c r="Q4343" t="b">
        <v>0</v>
      </c>
      <c r="R4343">
        <v>1</v>
      </c>
      <c r="S4343" t="s">
        <v>77</v>
      </c>
      <c r="T4343">
        <v>999</v>
      </c>
      <c r="U4343" t="s">
        <v>7525</v>
      </c>
      <c r="V4343">
        <f t="shared" si="7"/>
        <v>31825105</v>
      </c>
      <c r="W4343"/>
      <c r="X4343" t="s">
        <v>4760</v>
      </c>
      <c r="Y4343" t="s">
        <v>215</v>
      </c>
      <c r="Z4343">
        <v>21441</v>
      </c>
      <c r="AA4343" t="s">
        <v>4761</v>
      </c>
      <c r="AB4343">
        <v>40001</v>
      </c>
      <c r="AC4343"/>
      <c r="AD4343"/>
      <c r="AE4343" t="s">
        <v>7524</v>
      </c>
      <c r="AF4343" t="s">
        <v>7524</v>
      </c>
      <c r="AG4343" t="s">
        <v>95</v>
      </c>
    </row>
    <row r="4344" spans="2:33">
      <c r="B4344" s="14">
        <f>10000000+INDEX(编号表!$B:$B,MATCH(H4344,编号表!$A:$A,0))*100000+INDEX(编号表!$F:$F,MATCH(D4344,编号表!$E:$E,0))*10000+INDEX(编号表!$D:$D,MATCH(AG4344,编号表!$C:$C,0))*1000+F4344</f>
        <v>11825106</v>
      </c>
      <c r="C4344" t="s">
        <v>4766</v>
      </c>
      <c r="D4344" t="s">
        <v>112</v>
      </c>
      <c r="E4344" t="s">
        <v>95</v>
      </c>
      <c r="F4344">
        <v>106</v>
      </c>
      <c r="G4344">
        <v>60</v>
      </c>
      <c r="H4344" t="s">
        <v>7524</v>
      </c>
      <c r="I4344" t="s">
        <v>75</v>
      </c>
      <c r="J4344" t="s">
        <v>201</v>
      </c>
      <c r="K4344">
        <v>1</v>
      </c>
      <c r="L4344" t="s">
        <v>7524</v>
      </c>
      <c r="M4344"/>
      <c r="N4344">
        <v>0</v>
      </c>
      <c r="O4344" t="b">
        <v>1</v>
      </c>
      <c r="P4344"/>
      <c r="Q4344" t="b">
        <v>0</v>
      </c>
      <c r="R4344">
        <v>1</v>
      </c>
      <c r="S4344" t="s">
        <v>77</v>
      </c>
      <c r="T4344">
        <v>999</v>
      </c>
      <c r="U4344" t="s">
        <v>7525</v>
      </c>
      <c r="V4344">
        <f t="shared" si="7"/>
        <v>31825106</v>
      </c>
      <c r="W4344"/>
      <c r="X4344" t="s">
        <v>4767</v>
      </c>
      <c r="Y4344" t="s">
        <v>215</v>
      </c>
      <c r="Z4344">
        <v>21444</v>
      </c>
      <c r="AA4344" t="s">
        <v>4768</v>
      </c>
      <c r="AB4344">
        <v>40001</v>
      </c>
      <c r="AC4344"/>
      <c r="AD4344"/>
      <c r="AE4344" t="s">
        <v>7524</v>
      </c>
      <c r="AF4344" t="s">
        <v>7524</v>
      </c>
      <c r="AG4344" t="s">
        <v>95</v>
      </c>
    </row>
    <row r="4345" spans="2:33">
      <c r="B4345" s="14">
        <f>10000000+INDEX(编号表!$B:$B,MATCH(H4345,编号表!$A:$A,0))*100000+INDEX(编号表!$F:$F,MATCH(D4345,编号表!$E:$E,0))*10000+INDEX(编号表!$D:$D,MATCH(AG4345,编号表!$C:$C,0))*1000+F4345</f>
        <v>11825107</v>
      </c>
      <c r="C4345" t="s">
        <v>4773</v>
      </c>
      <c r="D4345" t="s">
        <v>112</v>
      </c>
      <c r="E4345" t="s">
        <v>95</v>
      </c>
      <c r="F4345">
        <v>107</v>
      </c>
      <c r="G4345">
        <v>60</v>
      </c>
      <c r="H4345" t="s">
        <v>7524</v>
      </c>
      <c r="I4345" t="s">
        <v>75</v>
      </c>
      <c r="J4345" t="s">
        <v>201</v>
      </c>
      <c r="K4345">
        <v>1</v>
      </c>
      <c r="L4345" t="s">
        <v>7524</v>
      </c>
      <c r="M4345"/>
      <c r="N4345">
        <v>0</v>
      </c>
      <c r="O4345" t="b">
        <v>1</v>
      </c>
      <c r="P4345"/>
      <c r="Q4345" t="b">
        <v>0</v>
      </c>
      <c r="R4345">
        <v>1</v>
      </c>
      <c r="S4345" t="s">
        <v>77</v>
      </c>
      <c r="T4345">
        <v>999</v>
      </c>
      <c r="U4345" t="s">
        <v>7525</v>
      </c>
      <c r="V4345">
        <f t="shared" si="7"/>
        <v>31825107</v>
      </c>
      <c r="W4345"/>
      <c r="X4345" t="s">
        <v>4774</v>
      </c>
      <c r="Y4345" t="s">
        <v>215</v>
      </c>
      <c r="Z4345">
        <v>21447</v>
      </c>
      <c r="AA4345" t="s">
        <v>4775</v>
      </c>
      <c r="AB4345">
        <v>40001</v>
      </c>
      <c r="AC4345"/>
      <c r="AD4345"/>
      <c r="AE4345" t="s">
        <v>7524</v>
      </c>
      <c r="AF4345" t="s">
        <v>7524</v>
      </c>
      <c r="AG4345" t="s">
        <v>95</v>
      </c>
    </row>
    <row r="4346" spans="2:33">
      <c r="B4346" s="14">
        <f>10000000+INDEX(编号表!$B:$B,MATCH(H4346,编号表!$A:$A,0))*100000+INDEX(编号表!$F:$F,MATCH(D4346,编号表!$E:$E,0))*10000+INDEX(编号表!$D:$D,MATCH(AG4346,编号表!$C:$C,0))*1000+F4346</f>
        <v>11825108</v>
      </c>
      <c r="C4346" t="s">
        <v>4780</v>
      </c>
      <c r="D4346" t="s">
        <v>112</v>
      </c>
      <c r="E4346" t="s">
        <v>95</v>
      </c>
      <c r="F4346">
        <v>108</v>
      </c>
      <c r="G4346">
        <v>60</v>
      </c>
      <c r="H4346" t="s">
        <v>7524</v>
      </c>
      <c r="I4346" t="s">
        <v>75</v>
      </c>
      <c r="J4346" t="s">
        <v>201</v>
      </c>
      <c r="K4346">
        <v>1</v>
      </c>
      <c r="L4346" t="s">
        <v>7524</v>
      </c>
      <c r="M4346"/>
      <c r="N4346">
        <v>0</v>
      </c>
      <c r="O4346" t="b">
        <v>1</v>
      </c>
      <c r="P4346"/>
      <c r="Q4346" t="b">
        <v>0</v>
      </c>
      <c r="R4346">
        <v>1</v>
      </c>
      <c r="S4346" t="s">
        <v>77</v>
      </c>
      <c r="T4346">
        <v>999</v>
      </c>
      <c r="U4346" t="s">
        <v>7525</v>
      </c>
      <c r="V4346">
        <f t="shared" si="7"/>
        <v>31825108</v>
      </c>
      <c r="W4346"/>
      <c r="X4346" t="s">
        <v>4781</v>
      </c>
      <c r="Y4346" t="s">
        <v>215</v>
      </c>
      <c r="Z4346">
        <v>21450</v>
      </c>
      <c r="AA4346" t="s">
        <v>4782</v>
      </c>
      <c r="AB4346">
        <v>40001</v>
      </c>
      <c r="AC4346"/>
      <c r="AD4346"/>
      <c r="AE4346" t="s">
        <v>7524</v>
      </c>
      <c r="AF4346" t="s">
        <v>7524</v>
      </c>
      <c r="AG4346" t="s">
        <v>95</v>
      </c>
    </row>
    <row r="4347" spans="2:33">
      <c r="B4347" s="14">
        <f>10000000+INDEX(编号表!$B:$B,MATCH(H4347,编号表!$A:$A,0))*100000+INDEX(编号表!$F:$F,MATCH(D4347,编号表!$E:$E,0))*10000+INDEX(编号表!$D:$D,MATCH(AG4347,编号表!$C:$C,0))*1000+F4347</f>
        <v>11825109</v>
      </c>
      <c r="C4347" t="s">
        <v>4787</v>
      </c>
      <c r="D4347" t="s">
        <v>112</v>
      </c>
      <c r="E4347" t="s">
        <v>95</v>
      </c>
      <c r="F4347">
        <v>109</v>
      </c>
      <c r="G4347">
        <v>60</v>
      </c>
      <c r="H4347" t="s">
        <v>7524</v>
      </c>
      <c r="I4347" t="s">
        <v>75</v>
      </c>
      <c r="J4347" t="s">
        <v>201</v>
      </c>
      <c r="K4347">
        <v>1</v>
      </c>
      <c r="L4347" t="s">
        <v>7524</v>
      </c>
      <c r="M4347"/>
      <c r="N4347">
        <v>0</v>
      </c>
      <c r="O4347" t="b">
        <v>1</v>
      </c>
      <c r="P4347"/>
      <c r="Q4347" t="b">
        <v>0</v>
      </c>
      <c r="R4347">
        <v>1</v>
      </c>
      <c r="S4347" t="s">
        <v>77</v>
      </c>
      <c r="T4347">
        <v>999</v>
      </c>
      <c r="U4347" t="s">
        <v>7525</v>
      </c>
      <c r="V4347">
        <f t="shared" si="7"/>
        <v>31825109</v>
      </c>
      <c r="W4347"/>
      <c r="X4347" t="s">
        <v>4788</v>
      </c>
      <c r="Y4347" t="s">
        <v>215</v>
      </c>
      <c r="Z4347">
        <v>21453</v>
      </c>
      <c r="AA4347" t="s">
        <v>4789</v>
      </c>
      <c r="AB4347">
        <v>40001</v>
      </c>
      <c r="AC4347"/>
      <c r="AD4347"/>
      <c r="AE4347" t="s">
        <v>7524</v>
      </c>
      <c r="AF4347" t="s">
        <v>7524</v>
      </c>
      <c r="AG4347" t="s">
        <v>95</v>
      </c>
    </row>
    <row r="4348" spans="2:33">
      <c r="B4348" s="14">
        <f>10000000+INDEX(编号表!$B:$B,MATCH(H4348,编号表!$A:$A,0))*100000+INDEX(编号表!$F:$F,MATCH(D4348,编号表!$E:$E,0))*10000+INDEX(编号表!$D:$D,MATCH(AG4348,编号表!$C:$C,0))*1000+F4348</f>
        <v>11825110</v>
      </c>
      <c r="C4348" t="s">
        <v>4794</v>
      </c>
      <c r="D4348" t="s">
        <v>112</v>
      </c>
      <c r="E4348" t="s">
        <v>95</v>
      </c>
      <c r="F4348">
        <v>110</v>
      </c>
      <c r="G4348">
        <v>60</v>
      </c>
      <c r="H4348" t="s">
        <v>7524</v>
      </c>
      <c r="I4348" t="s">
        <v>75</v>
      </c>
      <c r="J4348" t="s">
        <v>201</v>
      </c>
      <c r="K4348">
        <v>1</v>
      </c>
      <c r="L4348" t="s">
        <v>7524</v>
      </c>
      <c r="M4348"/>
      <c r="N4348">
        <v>0</v>
      </c>
      <c r="O4348" t="b">
        <v>1</v>
      </c>
      <c r="P4348"/>
      <c r="Q4348" t="b">
        <v>0</v>
      </c>
      <c r="R4348">
        <v>1</v>
      </c>
      <c r="S4348" t="s">
        <v>77</v>
      </c>
      <c r="T4348">
        <v>999</v>
      </c>
      <c r="U4348" t="s">
        <v>7525</v>
      </c>
      <c r="V4348">
        <f t="shared" si="7"/>
        <v>31825110</v>
      </c>
      <c r="W4348"/>
      <c r="X4348" t="s">
        <v>4795</v>
      </c>
      <c r="Y4348" t="s">
        <v>215</v>
      </c>
      <c r="Z4348">
        <v>21456</v>
      </c>
      <c r="AA4348" t="s">
        <v>4796</v>
      </c>
      <c r="AB4348">
        <v>40001</v>
      </c>
      <c r="AC4348"/>
      <c r="AD4348"/>
      <c r="AE4348" t="s">
        <v>7524</v>
      </c>
      <c r="AF4348" t="s">
        <v>7524</v>
      </c>
      <c r="AG4348" t="s">
        <v>95</v>
      </c>
    </row>
    <row r="4349" spans="2:33">
      <c r="B4349" s="14">
        <f>10000000+INDEX(编号表!$B:$B,MATCH(H4349,编号表!$A:$A,0))*100000+INDEX(编号表!$F:$F,MATCH(D4349,编号表!$E:$E,0))*10000+INDEX(编号表!$D:$D,MATCH(AG4349,编号表!$C:$C,0))*1000+F4349</f>
        <v>11825111</v>
      </c>
      <c r="C4349" t="s">
        <v>4801</v>
      </c>
      <c r="D4349" t="s">
        <v>112</v>
      </c>
      <c r="E4349" t="s">
        <v>95</v>
      </c>
      <c r="F4349">
        <v>111</v>
      </c>
      <c r="G4349">
        <v>60</v>
      </c>
      <c r="H4349" t="s">
        <v>7524</v>
      </c>
      <c r="I4349" t="s">
        <v>75</v>
      </c>
      <c r="J4349" t="s">
        <v>201</v>
      </c>
      <c r="K4349">
        <v>1</v>
      </c>
      <c r="L4349" t="s">
        <v>7524</v>
      </c>
      <c r="M4349"/>
      <c r="N4349">
        <v>0</v>
      </c>
      <c r="O4349" t="b">
        <v>1</v>
      </c>
      <c r="P4349"/>
      <c r="Q4349" t="b">
        <v>0</v>
      </c>
      <c r="R4349">
        <v>1</v>
      </c>
      <c r="S4349" t="s">
        <v>77</v>
      </c>
      <c r="T4349">
        <v>999</v>
      </c>
      <c r="U4349" t="s">
        <v>7525</v>
      </c>
      <c r="V4349">
        <f t="shared" si="7"/>
        <v>31825111</v>
      </c>
      <c r="W4349"/>
      <c r="X4349" t="s">
        <v>4802</v>
      </c>
      <c r="Y4349" t="s">
        <v>215</v>
      </c>
      <c r="Z4349">
        <v>21459</v>
      </c>
      <c r="AA4349" t="s">
        <v>4803</v>
      </c>
      <c r="AB4349">
        <v>40001</v>
      </c>
      <c r="AC4349"/>
      <c r="AD4349"/>
      <c r="AE4349" t="s">
        <v>7524</v>
      </c>
      <c r="AF4349" t="s">
        <v>7524</v>
      </c>
      <c r="AG4349" t="s">
        <v>95</v>
      </c>
    </row>
    <row r="4350" spans="2:33">
      <c r="B4350" s="14">
        <f>10000000+INDEX(编号表!$B:$B,MATCH(H4350,编号表!$A:$A,0))*100000+INDEX(编号表!$F:$F,MATCH(D4350,编号表!$E:$E,0))*10000+INDEX(编号表!$D:$D,MATCH(AG4350,编号表!$C:$C,0))*1000+F4350</f>
        <v>11825112</v>
      </c>
      <c r="C4350" t="s">
        <v>4808</v>
      </c>
      <c r="D4350" t="s">
        <v>112</v>
      </c>
      <c r="E4350" t="s">
        <v>95</v>
      </c>
      <c r="F4350">
        <v>112</v>
      </c>
      <c r="G4350">
        <v>60</v>
      </c>
      <c r="H4350" t="s">
        <v>7524</v>
      </c>
      <c r="I4350" t="s">
        <v>75</v>
      </c>
      <c r="J4350" t="s">
        <v>201</v>
      </c>
      <c r="K4350">
        <v>1</v>
      </c>
      <c r="L4350" t="s">
        <v>7524</v>
      </c>
      <c r="M4350"/>
      <c r="N4350">
        <v>0</v>
      </c>
      <c r="O4350" t="b">
        <v>1</v>
      </c>
      <c r="P4350"/>
      <c r="Q4350" t="b">
        <v>0</v>
      </c>
      <c r="R4350">
        <v>1</v>
      </c>
      <c r="S4350" t="s">
        <v>77</v>
      </c>
      <c r="T4350">
        <v>999</v>
      </c>
      <c r="U4350" t="s">
        <v>7525</v>
      </c>
      <c r="V4350">
        <f t="shared" si="7"/>
        <v>31825112</v>
      </c>
      <c r="W4350"/>
      <c r="X4350" t="s">
        <v>4809</v>
      </c>
      <c r="Y4350" t="s">
        <v>215</v>
      </c>
      <c r="Z4350">
        <v>21462</v>
      </c>
      <c r="AA4350" t="s">
        <v>4810</v>
      </c>
      <c r="AB4350">
        <v>40001</v>
      </c>
      <c r="AC4350"/>
      <c r="AD4350"/>
      <c r="AE4350" t="s">
        <v>7524</v>
      </c>
      <c r="AF4350" t="s">
        <v>7524</v>
      </c>
      <c r="AG4350" t="s">
        <v>95</v>
      </c>
    </row>
    <row r="4351" spans="2:33">
      <c r="B4351" s="14">
        <f>10000000+INDEX(编号表!$B:$B,MATCH(H4351,编号表!$A:$A,0))*100000+INDEX(编号表!$F:$F,MATCH(D4351,编号表!$E:$E,0))*10000+INDEX(编号表!$D:$D,MATCH(AG4351,编号表!$C:$C,0))*1000+F4351</f>
        <v>11825113</v>
      </c>
      <c r="C4351" t="s">
        <v>4815</v>
      </c>
      <c r="D4351" t="s">
        <v>112</v>
      </c>
      <c r="E4351" t="s">
        <v>95</v>
      </c>
      <c r="F4351">
        <v>113</v>
      </c>
      <c r="G4351">
        <v>60</v>
      </c>
      <c r="H4351" t="s">
        <v>7524</v>
      </c>
      <c r="I4351" t="s">
        <v>75</v>
      </c>
      <c r="J4351" t="s">
        <v>201</v>
      </c>
      <c r="K4351">
        <v>1</v>
      </c>
      <c r="L4351" t="s">
        <v>7524</v>
      </c>
      <c r="M4351"/>
      <c r="N4351">
        <v>0</v>
      </c>
      <c r="O4351" t="b">
        <v>1</v>
      </c>
      <c r="P4351"/>
      <c r="Q4351" t="b">
        <v>0</v>
      </c>
      <c r="R4351">
        <v>1</v>
      </c>
      <c r="S4351" t="s">
        <v>77</v>
      </c>
      <c r="T4351">
        <v>999</v>
      </c>
      <c r="U4351" t="s">
        <v>7525</v>
      </c>
      <c r="V4351">
        <f t="shared" si="7"/>
        <v>31825113</v>
      </c>
      <c r="W4351"/>
      <c r="X4351" t="s">
        <v>4816</v>
      </c>
      <c r="Y4351" t="s">
        <v>215</v>
      </c>
      <c r="Z4351">
        <v>21465</v>
      </c>
      <c r="AA4351" t="s">
        <v>4817</v>
      </c>
      <c r="AB4351">
        <v>40001</v>
      </c>
      <c r="AC4351"/>
      <c r="AD4351"/>
      <c r="AE4351" t="s">
        <v>7524</v>
      </c>
      <c r="AF4351" t="s">
        <v>7524</v>
      </c>
      <c r="AG4351" t="s">
        <v>95</v>
      </c>
    </row>
    <row r="4352" spans="2:33">
      <c r="B4352" s="14">
        <f>10000000+INDEX(编号表!$B:$B,MATCH(H4352,编号表!$A:$A,0))*100000+INDEX(编号表!$F:$F,MATCH(D4352,编号表!$E:$E,0))*10000+INDEX(编号表!$D:$D,MATCH(AG4352,编号表!$C:$C,0))*1000+F4352</f>
        <v>11825114</v>
      </c>
      <c r="C4352" t="s">
        <v>4822</v>
      </c>
      <c r="D4352" t="s">
        <v>112</v>
      </c>
      <c r="E4352" t="s">
        <v>95</v>
      </c>
      <c r="F4352">
        <v>114</v>
      </c>
      <c r="G4352">
        <v>60</v>
      </c>
      <c r="H4352" t="s">
        <v>7524</v>
      </c>
      <c r="I4352" t="s">
        <v>75</v>
      </c>
      <c r="J4352" t="s">
        <v>201</v>
      </c>
      <c r="K4352">
        <v>1</v>
      </c>
      <c r="L4352" t="s">
        <v>7524</v>
      </c>
      <c r="M4352"/>
      <c r="N4352">
        <v>0</v>
      </c>
      <c r="O4352" t="b">
        <v>1</v>
      </c>
      <c r="P4352"/>
      <c r="Q4352" t="b">
        <v>0</v>
      </c>
      <c r="R4352">
        <v>1</v>
      </c>
      <c r="S4352" t="s">
        <v>77</v>
      </c>
      <c r="T4352">
        <v>999</v>
      </c>
      <c r="U4352" t="s">
        <v>7525</v>
      </c>
      <c r="V4352">
        <f t="shared" si="7"/>
        <v>31825114</v>
      </c>
      <c r="W4352"/>
      <c r="X4352" t="s">
        <v>4823</v>
      </c>
      <c r="Y4352" t="s">
        <v>215</v>
      </c>
      <c r="Z4352">
        <v>21468</v>
      </c>
      <c r="AA4352" t="s">
        <v>4824</v>
      </c>
      <c r="AB4352">
        <v>40001</v>
      </c>
      <c r="AC4352"/>
      <c r="AD4352"/>
      <c r="AE4352" t="s">
        <v>7524</v>
      </c>
      <c r="AF4352" t="s">
        <v>7524</v>
      </c>
      <c r="AG4352" t="s">
        <v>95</v>
      </c>
    </row>
    <row r="4353" spans="2:33">
      <c r="B4353" s="14">
        <f>10000000+INDEX(编号表!$B:$B,MATCH(H4353,编号表!$A:$A,0))*100000+INDEX(编号表!$F:$F,MATCH(D4353,编号表!$E:$E,0))*10000+INDEX(编号表!$D:$D,MATCH(AG4353,编号表!$C:$C,0))*1000+F4353</f>
        <v>11825115</v>
      </c>
      <c r="C4353" t="s">
        <v>4829</v>
      </c>
      <c r="D4353" t="s">
        <v>112</v>
      </c>
      <c r="E4353" t="s">
        <v>95</v>
      </c>
      <c r="F4353">
        <v>115</v>
      </c>
      <c r="G4353">
        <v>60</v>
      </c>
      <c r="H4353" t="s">
        <v>7524</v>
      </c>
      <c r="I4353" t="s">
        <v>75</v>
      </c>
      <c r="J4353" t="s">
        <v>201</v>
      </c>
      <c r="K4353">
        <v>1</v>
      </c>
      <c r="L4353" t="s">
        <v>7524</v>
      </c>
      <c r="M4353"/>
      <c r="N4353">
        <v>0</v>
      </c>
      <c r="O4353" t="b">
        <v>1</v>
      </c>
      <c r="P4353"/>
      <c r="Q4353" t="b">
        <v>0</v>
      </c>
      <c r="R4353">
        <v>1</v>
      </c>
      <c r="S4353" t="s">
        <v>77</v>
      </c>
      <c r="T4353">
        <v>999</v>
      </c>
      <c r="U4353" t="s">
        <v>7525</v>
      </c>
      <c r="V4353">
        <f t="shared" si="7"/>
        <v>31825115</v>
      </c>
      <c r="W4353"/>
      <c r="X4353" t="s">
        <v>4830</v>
      </c>
      <c r="Y4353" t="s">
        <v>215</v>
      </c>
      <c r="Z4353">
        <v>21471</v>
      </c>
      <c r="AA4353" t="s">
        <v>4831</v>
      </c>
      <c r="AB4353">
        <v>40001</v>
      </c>
      <c r="AC4353"/>
      <c r="AD4353"/>
      <c r="AE4353" t="s">
        <v>7524</v>
      </c>
      <c r="AF4353" t="s">
        <v>7524</v>
      </c>
      <c r="AG4353" t="s">
        <v>95</v>
      </c>
    </row>
    <row r="4354" spans="2:33">
      <c r="B4354" s="14">
        <f>10000000+INDEX(编号表!$B:$B,MATCH(H4354,编号表!$A:$A,0))*100000+INDEX(编号表!$F:$F,MATCH(D4354,编号表!$E:$E,0))*10000+INDEX(编号表!$D:$D,MATCH(AG4354,编号表!$C:$C,0))*1000+F4354</f>
        <v>11825116</v>
      </c>
      <c r="C4354" t="s">
        <v>4836</v>
      </c>
      <c r="D4354" t="s">
        <v>112</v>
      </c>
      <c r="E4354" t="s">
        <v>95</v>
      </c>
      <c r="F4354">
        <v>116</v>
      </c>
      <c r="G4354">
        <v>60</v>
      </c>
      <c r="H4354" t="s">
        <v>7524</v>
      </c>
      <c r="I4354" t="s">
        <v>75</v>
      </c>
      <c r="J4354" t="s">
        <v>201</v>
      </c>
      <c r="K4354">
        <v>1</v>
      </c>
      <c r="L4354" t="s">
        <v>7524</v>
      </c>
      <c r="M4354"/>
      <c r="N4354">
        <v>0</v>
      </c>
      <c r="O4354" t="b">
        <v>1</v>
      </c>
      <c r="P4354"/>
      <c r="Q4354" t="b">
        <v>0</v>
      </c>
      <c r="R4354">
        <v>1</v>
      </c>
      <c r="S4354" t="s">
        <v>77</v>
      </c>
      <c r="T4354">
        <v>999</v>
      </c>
      <c r="U4354" t="s">
        <v>7525</v>
      </c>
      <c r="V4354">
        <f t="shared" si="7"/>
        <v>31825116</v>
      </c>
      <c r="W4354"/>
      <c r="X4354" t="s">
        <v>4837</v>
      </c>
      <c r="Y4354" t="s">
        <v>215</v>
      </c>
      <c r="Z4354">
        <v>21474</v>
      </c>
      <c r="AA4354" t="s">
        <v>4838</v>
      </c>
      <c r="AB4354">
        <v>40001</v>
      </c>
      <c r="AC4354"/>
      <c r="AD4354"/>
      <c r="AE4354" t="s">
        <v>7524</v>
      </c>
      <c r="AF4354" t="s">
        <v>7524</v>
      </c>
      <c r="AG4354" t="s">
        <v>95</v>
      </c>
    </row>
    <row r="4355" spans="2:33">
      <c r="B4355" s="14">
        <f>10000000+INDEX(编号表!$B:$B,MATCH(H4355,编号表!$A:$A,0))*100000+INDEX(编号表!$F:$F,MATCH(D4355,编号表!$E:$E,0))*10000+INDEX(编号表!$D:$D,MATCH(AG4355,编号表!$C:$C,0))*1000+F4355</f>
        <v>11825117</v>
      </c>
      <c r="C4355" t="s">
        <v>4843</v>
      </c>
      <c r="D4355" t="s">
        <v>112</v>
      </c>
      <c r="E4355" t="s">
        <v>95</v>
      </c>
      <c r="F4355">
        <v>117</v>
      </c>
      <c r="G4355">
        <v>60</v>
      </c>
      <c r="H4355" t="s">
        <v>7524</v>
      </c>
      <c r="I4355" t="s">
        <v>75</v>
      </c>
      <c r="J4355" t="s">
        <v>201</v>
      </c>
      <c r="K4355">
        <v>1</v>
      </c>
      <c r="L4355" t="s">
        <v>7524</v>
      </c>
      <c r="M4355"/>
      <c r="N4355">
        <v>0</v>
      </c>
      <c r="O4355" t="b">
        <v>1</v>
      </c>
      <c r="P4355"/>
      <c r="Q4355" t="b">
        <v>0</v>
      </c>
      <c r="R4355">
        <v>1</v>
      </c>
      <c r="S4355" t="s">
        <v>77</v>
      </c>
      <c r="T4355">
        <v>999</v>
      </c>
      <c r="U4355" t="s">
        <v>7525</v>
      </c>
      <c r="V4355">
        <f t="shared" si="7"/>
        <v>31825117</v>
      </c>
      <c r="W4355"/>
      <c r="X4355" t="s">
        <v>4844</v>
      </c>
      <c r="Y4355" t="s">
        <v>215</v>
      </c>
      <c r="Z4355">
        <v>21477</v>
      </c>
      <c r="AA4355" t="s">
        <v>4845</v>
      </c>
      <c r="AB4355">
        <v>40001</v>
      </c>
      <c r="AC4355"/>
      <c r="AD4355"/>
      <c r="AE4355" t="s">
        <v>7524</v>
      </c>
      <c r="AF4355" t="s">
        <v>7524</v>
      </c>
      <c r="AG4355" t="s">
        <v>95</v>
      </c>
    </row>
    <row r="4356" spans="2:33">
      <c r="B4356" s="14">
        <f>10000000+INDEX(编号表!$B:$B,MATCH(H4356,编号表!$A:$A,0))*100000+INDEX(编号表!$F:$F,MATCH(D4356,编号表!$E:$E,0))*10000+INDEX(编号表!$D:$D,MATCH(AG4356,编号表!$C:$C,0))*1000+F4356</f>
        <v>11825118</v>
      </c>
      <c r="C4356" t="s">
        <v>4850</v>
      </c>
      <c r="D4356" t="s">
        <v>112</v>
      </c>
      <c r="E4356" t="s">
        <v>95</v>
      </c>
      <c r="F4356">
        <v>118</v>
      </c>
      <c r="G4356">
        <v>60</v>
      </c>
      <c r="H4356" t="s">
        <v>7524</v>
      </c>
      <c r="I4356" t="s">
        <v>75</v>
      </c>
      <c r="J4356" t="s">
        <v>201</v>
      </c>
      <c r="K4356">
        <v>1</v>
      </c>
      <c r="L4356" t="s">
        <v>7524</v>
      </c>
      <c r="M4356"/>
      <c r="N4356">
        <v>0</v>
      </c>
      <c r="O4356" t="b">
        <v>1</v>
      </c>
      <c r="P4356"/>
      <c r="Q4356" t="b">
        <v>0</v>
      </c>
      <c r="R4356">
        <v>1</v>
      </c>
      <c r="S4356" t="s">
        <v>77</v>
      </c>
      <c r="T4356">
        <v>999</v>
      </c>
      <c r="U4356" t="s">
        <v>7525</v>
      </c>
      <c r="V4356">
        <f t="shared" si="7"/>
        <v>31825118</v>
      </c>
      <c r="W4356"/>
      <c r="X4356" t="s">
        <v>4851</v>
      </c>
      <c r="Y4356" t="s">
        <v>215</v>
      </c>
      <c r="Z4356">
        <v>21480</v>
      </c>
      <c r="AA4356" t="s">
        <v>4852</v>
      </c>
      <c r="AB4356">
        <v>40001</v>
      </c>
      <c r="AC4356"/>
      <c r="AD4356"/>
      <c r="AE4356" t="s">
        <v>7524</v>
      </c>
      <c r="AF4356" t="s">
        <v>7524</v>
      </c>
      <c r="AG4356" t="s">
        <v>95</v>
      </c>
    </row>
    <row r="4357" spans="2:33">
      <c r="B4357" s="14">
        <f>10000000+INDEX(编号表!$B:$B,MATCH(H4357,编号表!$A:$A,0))*100000+INDEX(编号表!$F:$F,MATCH(D4357,编号表!$E:$E,0))*10000+INDEX(编号表!$D:$D,MATCH(AG4357,编号表!$C:$C,0))*1000+F4357</f>
        <v>11825119</v>
      </c>
      <c r="C4357" t="s">
        <v>4857</v>
      </c>
      <c r="D4357" t="s">
        <v>112</v>
      </c>
      <c r="E4357" t="s">
        <v>95</v>
      </c>
      <c r="F4357">
        <v>119</v>
      </c>
      <c r="G4357">
        <v>60</v>
      </c>
      <c r="H4357" t="s">
        <v>7524</v>
      </c>
      <c r="I4357" t="s">
        <v>75</v>
      </c>
      <c r="J4357" t="s">
        <v>201</v>
      </c>
      <c r="K4357">
        <v>1</v>
      </c>
      <c r="L4357" t="s">
        <v>7524</v>
      </c>
      <c r="M4357"/>
      <c r="N4357">
        <v>0</v>
      </c>
      <c r="O4357" t="b">
        <v>1</v>
      </c>
      <c r="P4357"/>
      <c r="Q4357" t="b">
        <v>0</v>
      </c>
      <c r="R4357">
        <v>1</v>
      </c>
      <c r="S4357" t="s">
        <v>77</v>
      </c>
      <c r="T4357">
        <v>999</v>
      </c>
      <c r="U4357" t="s">
        <v>7525</v>
      </c>
      <c r="V4357">
        <f t="shared" si="7"/>
        <v>31825119</v>
      </c>
      <c r="W4357"/>
      <c r="X4357" t="s">
        <v>4858</v>
      </c>
      <c r="Y4357" t="s">
        <v>215</v>
      </c>
      <c r="Z4357">
        <v>21483</v>
      </c>
      <c r="AA4357" t="s">
        <v>4859</v>
      </c>
      <c r="AB4357">
        <v>40001</v>
      </c>
      <c r="AC4357"/>
      <c r="AD4357"/>
      <c r="AE4357" t="s">
        <v>7524</v>
      </c>
      <c r="AF4357" t="s">
        <v>7524</v>
      </c>
      <c r="AG4357" t="s">
        <v>95</v>
      </c>
    </row>
    <row r="4358" spans="2:33">
      <c r="B4358" s="14">
        <f>10000000+INDEX(编号表!$B:$B,MATCH(H4358,编号表!$A:$A,0))*100000+INDEX(编号表!$F:$F,MATCH(D4358,编号表!$E:$E,0))*10000+INDEX(编号表!$D:$D,MATCH(AG4358,编号表!$C:$C,0))*1000+F4358</f>
        <v>11825120</v>
      </c>
      <c r="C4358" t="s">
        <v>4864</v>
      </c>
      <c r="D4358" t="s">
        <v>112</v>
      </c>
      <c r="E4358" t="s">
        <v>95</v>
      </c>
      <c r="F4358">
        <v>120</v>
      </c>
      <c r="G4358">
        <v>60</v>
      </c>
      <c r="H4358" t="s">
        <v>7524</v>
      </c>
      <c r="I4358" t="s">
        <v>75</v>
      </c>
      <c r="J4358" t="s">
        <v>201</v>
      </c>
      <c r="K4358">
        <v>1</v>
      </c>
      <c r="L4358" t="s">
        <v>7524</v>
      </c>
      <c r="M4358"/>
      <c r="N4358">
        <v>0</v>
      </c>
      <c r="O4358" t="b">
        <v>1</v>
      </c>
      <c r="P4358"/>
      <c r="Q4358" t="b">
        <v>0</v>
      </c>
      <c r="R4358">
        <v>1</v>
      </c>
      <c r="S4358" t="s">
        <v>77</v>
      </c>
      <c r="T4358">
        <v>999</v>
      </c>
      <c r="U4358" t="s">
        <v>7525</v>
      </c>
      <c r="V4358">
        <f t="shared" si="7"/>
        <v>31825120</v>
      </c>
      <c r="W4358"/>
      <c r="X4358" t="s">
        <v>4865</v>
      </c>
      <c r="Y4358" t="s">
        <v>215</v>
      </c>
      <c r="Z4358">
        <v>21486</v>
      </c>
      <c r="AA4358" t="s">
        <v>4866</v>
      </c>
      <c r="AB4358">
        <v>40001</v>
      </c>
      <c r="AC4358"/>
      <c r="AD4358"/>
      <c r="AE4358" t="s">
        <v>7524</v>
      </c>
      <c r="AF4358" t="s">
        <v>7524</v>
      </c>
      <c r="AG4358" t="s">
        <v>95</v>
      </c>
    </row>
    <row r="4359" spans="2:33">
      <c r="B4359" s="14">
        <f>10000000+INDEX(编号表!$B:$B,MATCH(H4359,编号表!$A:$A,0))*100000+INDEX(编号表!$F:$F,MATCH(D4359,编号表!$E:$E,0))*10000+INDEX(编号表!$D:$D,MATCH(AG4359,编号表!$C:$C,0))*1000+F4359</f>
        <v>11825121</v>
      </c>
      <c r="C4359" t="s">
        <v>4871</v>
      </c>
      <c r="D4359" t="s">
        <v>112</v>
      </c>
      <c r="E4359" t="s">
        <v>95</v>
      </c>
      <c r="F4359">
        <v>121</v>
      </c>
      <c r="G4359">
        <v>60</v>
      </c>
      <c r="H4359" t="s">
        <v>7524</v>
      </c>
      <c r="I4359" t="s">
        <v>75</v>
      </c>
      <c r="J4359" t="s">
        <v>201</v>
      </c>
      <c r="K4359">
        <v>1</v>
      </c>
      <c r="L4359" t="s">
        <v>7524</v>
      </c>
      <c r="M4359"/>
      <c r="N4359">
        <v>0</v>
      </c>
      <c r="O4359" t="b">
        <v>1</v>
      </c>
      <c r="P4359"/>
      <c r="Q4359" t="b">
        <v>0</v>
      </c>
      <c r="R4359">
        <v>1</v>
      </c>
      <c r="S4359" t="s">
        <v>77</v>
      </c>
      <c r="T4359">
        <v>999</v>
      </c>
      <c r="U4359" t="s">
        <v>7525</v>
      </c>
      <c r="V4359">
        <f t="shared" si="7"/>
        <v>31825121</v>
      </c>
      <c r="W4359"/>
      <c r="X4359" t="s">
        <v>4872</v>
      </c>
      <c r="Y4359" t="s">
        <v>215</v>
      </c>
      <c r="Z4359">
        <v>21489</v>
      </c>
      <c r="AA4359" t="s">
        <v>4873</v>
      </c>
      <c r="AB4359">
        <v>40001</v>
      </c>
      <c r="AC4359"/>
      <c r="AD4359"/>
      <c r="AE4359" t="s">
        <v>7524</v>
      </c>
      <c r="AF4359" t="s">
        <v>7524</v>
      </c>
      <c r="AG4359" t="s">
        <v>95</v>
      </c>
    </row>
    <row r="4360" spans="2:33">
      <c r="B4360" s="14">
        <f>10000000+INDEX(编号表!$B:$B,MATCH(H4360,编号表!$A:$A,0))*100000+INDEX(编号表!$F:$F,MATCH(D4360,编号表!$E:$E,0))*10000+INDEX(编号表!$D:$D,MATCH(AG4360,编号表!$C:$C,0))*1000+F4360</f>
        <v>11825122</v>
      </c>
      <c r="C4360" t="s">
        <v>4878</v>
      </c>
      <c r="D4360" t="s">
        <v>112</v>
      </c>
      <c r="E4360" t="s">
        <v>95</v>
      </c>
      <c r="F4360">
        <v>122</v>
      </c>
      <c r="G4360">
        <v>60</v>
      </c>
      <c r="H4360" t="s">
        <v>7524</v>
      </c>
      <c r="I4360" t="s">
        <v>75</v>
      </c>
      <c r="J4360" t="s">
        <v>201</v>
      </c>
      <c r="K4360">
        <v>1</v>
      </c>
      <c r="L4360" t="s">
        <v>7524</v>
      </c>
      <c r="M4360"/>
      <c r="N4360">
        <v>0</v>
      </c>
      <c r="O4360" t="b">
        <v>1</v>
      </c>
      <c r="P4360"/>
      <c r="Q4360" t="b">
        <v>0</v>
      </c>
      <c r="R4360">
        <v>1</v>
      </c>
      <c r="S4360" t="s">
        <v>77</v>
      </c>
      <c r="T4360">
        <v>999</v>
      </c>
      <c r="U4360" t="s">
        <v>7525</v>
      </c>
      <c r="V4360">
        <f t="shared" si="7"/>
        <v>31825122</v>
      </c>
      <c r="W4360"/>
      <c r="X4360" t="s">
        <v>4879</v>
      </c>
      <c r="Y4360" t="s">
        <v>215</v>
      </c>
      <c r="Z4360">
        <v>21492</v>
      </c>
      <c r="AA4360" t="s">
        <v>4880</v>
      </c>
      <c r="AB4360">
        <v>40001</v>
      </c>
      <c r="AC4360"/>
      <c r="AD4360"/>
      <c r="AE4360" t="s">
        <v>7524</v>
      </c>
      <c r="AF4360" t="s">
        <v>7524</v>
      </c>
      <c r="AG4360" t="s">
        <v>95</v>
      </c>
    </row>
    <row r="4361" spans="2:33">
      <c r="B4361" s="14">
        <f>10000000+INDEX(编号表!$B:$B,MATCH(H4361,编号表!$A:$A,0))*100000+INDEX(编号表!$F:$F,MATCH(D4361,编号表!$E:$E,0))*10000+INDEX(编号表!$D:$D,MATCH(AG4361,编号表!$C:$C,0))*1000+F4361</f>
        <v>11825123</v>
      </c>
      <c r="C4361" t="s">
        <v>4885</v>
      </c>
      <c r="D4361" t="s">
        <v>112</v>
      </c>
      <c r="E4361" t="s">
        <v>95</v>
      </c>
      <c r="F4361">
        <v>123</v>
      </c>
      <c r="G4361">
        <v>60</v>
      </c>
      <c r="H4361" t="s">
        <v>7524</v>
      </c>
      <c r="I4361" t="s">
        <v>75</v>
      </c>
      <c r="J4361" t="s">
        <v>201</v>
      </c>
      <c r="K4361">
        <v>1</v>
      </c>
      <c r="L4361" t="s">
        <v>7524</v>
      </c>
      <c r="M4361"/>
      <c r="N4361">
        <v>0</v>
      </c>
      <c r="O4361" t="b">
        <v>1</v>
      </c>
      <c r="P4361"/>
      <c r="Q4361" t="b">
        <v>0</v>
      </c>
      <c r="R4361">
        <v>1</v>
      </c>
      <c r="S4361" t="s">
        <v>77</v>
      </c>
      <c r="T4361">
        <v>999</v>
      </c>
      <c r="U4361" t="s">
        <v>7525</v>
      </c>
      <c r="V4361">
        <f t="shared" si="7"/>
        <v>31825123</v>
      </c>
      <c r="W4361"/>
      <c r="X4361" t="s">
        <v>4886</v>
      </c>
      <c r="Y4361" t="s">
        <v>215</v>
      </c>
      <c r="Z4361">
        <v>21495</v>
      </c>
      <c r="AA4361" t="s">
        <v>4887</v>
      </c>
      <c r="AB4361">
        <v>40001</v>
      </c>
      <c r="AC4361"/>
      <c r="AD4361"/>
      <c r="AE4361" t="s">
        <v>7524</v>
      </c>
      <c r="AF4361" t="s">
        <v>7524</v>
      </c>
      <c r="AG4361" t="s">
        <v>95</v>
      </c>
    </row>
    <row r="4362" spans="2:33">
      <c r="B4362" s="14">
        <f>10000000+INDEX(编号表!$B:$B,MATCH(H4362,编号表!$A:$A,0))*100000+INDEX(编号表!$F:$F,MATCH(D4362,编号表!$E:$E,0))*10000+INDEX(编号表!$D:$D,MATCH(AG4362,编号表!$C:$C,0))*1000+F4362</f>
        <v>11825124</v>
      </c>
      <c r="C4362" t="s">
        <v>4892</v>
      </c>
      <c r="D4362" t="s">
        <v>112</v>
      </c>
      <c r="E4362" t="s">
        <v>95</v>
      </c>
      <c r="F4362">
        <v>124</v>
      </c>
      <c r="G4362">
        <v>60</v>
      </c>
      <c r="H4362" t="s">
        <v>7524</v>
      </c>
      <c r="I4362" t="s">
        <v>75</v>
      </c>
      <c r="J4362" t="s">
        <v>201</v>
      </c>
      <c r="K4362">
        <v>1</v>
      </c>
      <c r="L4362" t="s">
        <v>7524</v>
      </c>
      <c r="M4362"/>
      <c r="N4362">
        <v>0</v>
      </c>
      <c r="O4362" t="b">
        <v>1</v>
      </c>
      <c r="P4362"/>
      <c r="Q4362" t="b">
        <v>0</v>
      </c>
      <c r="R4362">
        <v>1</v>
      </c>
      <c r="S4362" t="s">
        <v>77</v>
      </c>
      <c r="T4362">
        <v>999</v>
      </c>
      <c r="U4362" t="s">
        <v>7525</v>
      </c>
      <c r="V4362">
        <f t="shared" si="7"/>
        <v>31825124</v>
      </c>
      <c r="W4362"/>
      <c r="X4362" t="s">
        <v>4893</v>
      </c>
      <c r="Y4362" t="s">
        <v>215</v>
      </c>
      <c r="Z4362">
        <v>21498</v>
      </c>
      <c r="AA4362" t="s">
        <v>4894</v>
      </c>
      <c r="AB4362">
        <v>40001</v>
      </c>
      <c r="AC4362"/>
      <c r="AD4362"/>
      <c r="AE4362" t="s">
        <v>7524</v>
      </c>
      <c r="AF4362" t="s">
        <v>7524</v>
      </c>
      <c r="AG4362" t="s">
        <v>95</v>
      </c>
    </row>
    <row r="4363" spans="2:33">
      <c r="B4363" s="14">
        <f>10000000+INDEX(编号表!$B:$B,MATCH(H4363,编号表!$A:$A,0))*100000+INDEX(编号表!$F:$F,MATCH(D4363,编号表!$E:$E,0))*10000+INDEX(编号表!$D:$D,MATCH(AG4363,编号表!$C:$C,0))*1000+F4363</f>
        <v>11826000</v>
      </c>
      <c r="C4363" t="s">
        <v>4899</v>
      </c>
      <c r="D4363" t="s">
        <v>112</v>
      </c>
      <c r="E4363" t="s">
        <v>98</v>
      </c>
      <c r="F4363">
        <v>0</v>
      </c>
      <c r="G4363">
        <v>60</v>
      </c>
      <c r="H4363" t="s">
        <v>7524</v>
      </c>
      <c r="I4363" t="s">
        <v>75</v>
      </c>
      <c r="J4363" t="s">
        <v>201</v>
      </c>
      <c r="K4363">
        <v>1</v>
      </c>
      <c r="L4363" t="s">
        <v>7524</v>
      </c>
      <c r="M4363"/>
      <c r="N4363">
        <v>0</v>
      </c>
      <c r="O4363" t="b">
        <v>1</v>
      </c>
      <c r="P4363"/>
      <c r="Q4363" t="b">
        <v>0</v>
      </c>
      <c r="R4363">
        <v>1</v>
      </c>
      <c r="S4363" t="s">
        <v>77</v>
      </c>
      <c r="T4363">
        <v>999</v>
      </c>
      <c r="U4363" t="s">
        <v>7525</v>
      </c>
      <c r="V4363">
        <f t="shared" si="7"/>
        <v>31826000</v>
      </c>
      <c r="W4363"/>
      <c r="X4363" t="s">
        <v>4900</v>
      </c>
      <c r="Y4363" t="s">
        <v>215</v>
      </c>
      <c r="Z4363">
        <v>21501</v>
      </c>
      <c r="AA4363" t="s">
        <v>4901</v>
      </c>
      <c r="AB4363">
        <v>40001</v>
      </c>
      <c r="AC4363"/>
      <c r="AD4363"/>
      <c r="AE4363" t="s">
        <v>7524</v>
      </c>
      <c r="AF4363" t="s">
        <v>7524</v>
      </c>
      <c r="AG4363" t="s">
        <v>98</v>
      </c>
    </row>
    <row r="4364" spans="2:33">
      <c r="B4364" s="14">
        <f>10000000+INDEX(编号表!$B:$B,MATCH(H4364,编号表!$A:$A,0))*100000+INDEX(编号表!$F:$F,MATCH(D4364,编号表!$E:$E,0))*10000+INDEX(编号表!$D:$D,MATCH(AG4364,编号表!$C:$C,0))*1000+F4364</f>
        <v>11826001</v>
      </c>
      <c r="C4364" t="s">
        <v>4906</v>
      </c>
      <c r="D4364" t="s">
        <v>112</v>
      </c>
      <c r="E4364" t="s">
        <v>98</v>
      </c>
      <c r="F4364">
        <v>1</v>
      </c>
      <c r="G4364">
        <v>60</v>
      </c>
      <c r="H4364" t="s">
        <v>7524</v>
      </c>
      <c r="I4364" t="s">
        <v>75</v>
      </c>
      <c r="J4364" t="s">
        <v>201</v>
      </c>
      <c r="K4364">
        <v>1</v>
      </c>
      <c r="L4364" t="s">
        <v>7524</v>
      </c>
      <c r="M4364"/>
      <c r="N4364">
        <v>0</v>
      </c>
      <c r="O4364" t="b">
        <v>1</v>
      </c>
      <c r="P4364"/>
      <c r="Q4364" t="b">
        <v>0</v>
      </c>
      <c r="R4364">
        <v>1</v>
      </c>
      <c r="S4364" t="s">
        <v>77</v>
      </c>
      <c r="T4364">
        <v>999</v>
      </c>
      <c r="U4364" t="s">
        <v>7525</v>
      </c>
      <c r="V4364">
        <f t="shared" si="7"/>
        <v>31826001</v>
      </c>
      <c r="W4364"/>
      <c r="X4364" t="s">
        <v>4907</v>
      </c>
      <c r="Y4364" t="s">
        <v>215</v>
      </c>
      <c r="Z4364">
        <v>21504</v>
      </c>
      <c r="AA4364" t="s">
        <v>4908</v>
      </c>
      <c r="AB4364">
        <v>40001</v>
      </c>
      <c r="AC4364"/>
      <c r="AD4364"/>
      <c r="AE4364" t="s">
        <v>7524</v>
      </c>
      <c r="AF4364" t="s">
        <v>7524</v>
      </c>
      <c r="AG4364" t="s">
        <v>98</v>
      </c>
    </row>
    <row r="4365" spans="2:33">
      <c r="B4365" s="14">
        <f>10000000+INDEX(编号表!$B:$B,MATCH(H4365,编号表!$A:$A,0))*100000+INDEX(编号表!$F:$F,MATCH(D4365,编号表!$E:$E,0))*10000+INDEX(编号表!$D:$D,MATCH(AG4365,编号表!$C:$C,0))*1000+F4365</f>
        <v>11826002</v>
      </c>
      <c r="C4365" t="s">
        <v>4913</v>
      </c>
      <c r="D4365" t="s">
        <v>112</v>
      </c>
      <c r="E4365" t="s">
        <v>98</v>
      </c>
      <c r="F4365">
        <v>2</v>
      </c>
      <c r="G4365">
        <v>60</v>
      </c>
      <c r="H4365" t="s">
        <v>7524</v>
      </c>
      <c r="I4365" t="s">
        <v>75</v>
      </c>
      <c r="J4365" t="s">
        <v>201</v>
      </c>
      <c r="K4365">
        <v>1</v>
      </c>
      <c r="L4365" t="s">
        <v>7524</v>
      </c>
      <c r="M4365"/>
      <c r="N4365">
        <v>0</v>
      </c>
      <c r="O4365" t="b">
        <v>1</v>
      </c>
      <c r="P4365"/>
      <c r="Q4365" t="b">
        <v>0</v>
      </c>
      <c r="R4365">
        <v>1</v>
      </c>
      <c r="S4365" t="s">
        <v>77</v>
      </c>
      <c r="T4365">
        <v>999</v>
      </c>
      <c r="U4365" t="s">
        <v>7525</v>
      </c>
      <c r="V4365">
        <f t="shared" si="7"/>
        <v>31826002</v>
      </c>
      <c r="W4365"/>
      <c r="X4365" t="s">
        <v>4914</v>
      </c>
      <c r="Y4365" t="s">
        <v>215</v>
      </c>
      <c r="Z4365">
        <v>21507</v>
      </c>
      <c r="AA4365" t="s">
        <v>4915</v>
      </c>
      <c r="AB4365">
        <v>40001</v>
      </c>
      <c r="AC4365"/>
      <c r="AD4365"/>
      <c r="AE4365" t="s">
        <v>7524</v>
      </c>
      <c r="AF4365" t="s">
        <v>7524</v>
      </c>
      <c r="AG4365" t="s">
        <v>98</v>
      </c>
    </row>
    <row r="4366" spans="2:33">
      <c r="B4366" s="14">
        <f>10000000+INDEX(编号表!$B:$B,MATCH(H4366,编号表!$A:$A,0))*100000+INDEX(编号表!$F:$F,MATCH(D4366,编号表!$E:$E,0))*10000+INDEX(编号表!$D:$D,MATCH(AG4366,编号表!$C:$C,0))*1000+F4366</f>
        <v>11826003</v>
      </c>
      <c r="C4366" t="s">
        <v>4920</v>
      </c>
      <c r="D4366" t="s">
        <v>112</v>
      </c>
      <c r="E4366" t="s">
        <v>98</v>
      </c>
      <c r="F4366">
        <v>3</v>
      </c>
      <c r="G4366">
        <v>60</v>
      </c>
      <c r="H4366" t="s">
        <v>7524</v>
      </c>
      <c r="I4366" t="s">
        <v>75</v>
      </c>
      <c r="J4366" t="s">
        <v>201</v>
      </c>
      <c r="K4366">
        <v>1</v>
      </c>
      <c r="L4366" t="s">
        <v>7524</v>
      </c>
      <c r="M4366"/>
      <c r="N4366">
        <v>0</v>
      </c>
      <c r="O4366" t="b">
        <v>1</v>
      </c>
      <c r="P4366"/>
      <c r="Q4366" t="b">
        <v>0</v>
      </c>
      <c r="R4366">
        <v>1</v>
      </c>
      <c r="S4366" t="s">
        <v>77</v>
      </c>
      <c r="T4366">
        <v>999</v>
      </c>
      <c r="U4366" t="s">
        <v>7525</v>
      </c>
      <c r="V4366">
        <f t="shared" si="7"/>
        <v>31826003</v>
      </c>
      <c r="W4366"/>
      <c r="X4366" t="s">
        <v>4921</v>
      </c>
      <c r="Y4366" t="s">
        <v>215</v>
      </c>
      <c r="Z4366">
        <v>21510</v>
      </c>
      <c r="AA4366" t="s">
        <v>4922</v>
      </c>
      <c r="AB4366">
        <v>40001</v>
      </c>
      <c r="AC4366"/>
      <c r="AD4366"/>
      <c r="AE4366" t="s">
        <v>7524</v>
      </c>
      <c r="AF4366" t="s">
        <v>7524</v>
      </c>
      <c r="AG4366" t="s">
        <v>98</v>
      </c>
    </row>
    <row r="4367" spans="2:33">
      <c r="B4367" s="14">
        <f>10000000+INDEX(编号表!$B:$B,MATCH(H4367,编号表!$A:$A,0))*100000+INDEX(编号表!$F:$F,MATCH(D4367,编号表!$E:$E,0))*10000+INDEX(编号表!$D:$D,MATCH(AG4367,编号表!$C:$C,0))*1000+F4367</f>
        <v>11826004</v>
      </c>
      <c r="C4367" t="s">
        <v>4927</v>
      </c>
      <c r="D4367" t="s">
        <v>112</v>
      </c>
      <c r="E4367" t="s">
        <v>98</v>
      </c>
      <c r="F4367">
        <v>4</v>
      </c>
      <c r="G4367">
        <v>60</v>
      </c>
      <c r="H4367" t="s">
        <v>7524</v>
      </c>
      <c r="I4367" t="s">
        <v>75</v>
      </c>
      <c r="J4367" t="s">
        <v>201</v>
      </c>
      <c r="K4367">
        <v>1</v>
      </c>
      <c r="L4367" t="s">
        <v>7524</v>
      </c>
      <c r="M4367"/>
      <c r="N4367">
        <v>0</v>
      </c>
      <c r="O4367" t="b">
        <v>1</v>
      </c>
      <c r="P4367"/>
      <c r="Q4367" t="b">
        <v>0</v>
      </c>
      <c r="R4367">
        <v>1</v>
      </c>
      <c r="S4367" t="s">
        <v>77</v>
      </c>
      <c r="T4367">
        <v>999</v>
      </c>
      <c r="U4367" t="s">
        <v>7525</v>
      </c>
      <c r="V4367">
        <f t="shared" si="7"/>
        <v>31826004</v>
      </c>
      <c r="W4367"/>
      <c r="X4367" t="s">
        <v>4928</v>
      </c>
      <c r="Y4367" t="s">
        <v>215</v>
      </c>
      <c r="Z4367">
        <v>21513</v>
      </c>
      <c r="AA4367" t="s">
        <v>4929</v>
      </c>
      <c r="AB4367">
        <v>40001</v>
      </c>
      <c r="AC4367"/>
      <c r="AD4367"/>
      <c r="AE4367" t="s">
        <v>7524</v>
      </c>
      <c r="AF4367" t="s">
        <v>7524</v>
      </c>
      <c r="AG4367" t="s">
        <v>98</v>
      </c>
    </row>
    <row r="4368" spans="2:33">
      <c r="B4368" s="14">
        <f>10000000+INDEX(编号表!$B:$B,MATCH(H4368,编号表!$A:$A,0))*100000+INDEX(编号表!$F:$F,MATCH(D4368,编号表!$E:$E,0))*10000+INDEX(编号表!$D:$D,MATCH(AG4368,编号表!$C:$C,0))*1000+F4368</f>
        <v>11826005</v>
      </c>
      <c r="C4368" t="s">
        <v>4934</v>
      </c>
      <c r="D4368" t="s">
        <v>112</v>
      </c>
      <c r="E4368" t="s">
        <v>98</v>
      </c>
      <c r="F4368">
        <v>5</v>
      </c>
      <c r="G4368">
        <v>60</v>
      </c>
      <c r="H4368" t="s">
        <v>7524</v>
      </c>
      <c r="I4368" t="s">
        <v>75</v>
      </c>
      <c r="J4368" t="s">
        <v>201</v>
      </c>
      <c r="K4368">
        <v>1</v>
      </c>
      <c r="L4368" t="s">
        <v>7524</v>
      </c>
      <c r="M4368"/>
      <c r="N4368">
        <v>0</v>
      </c>
      <c r="O4368" t="b">
        <v>1</v>
      </c>
      <c r="P4368"/>
      <c r="Q4368" t="b">
        <v>0</v>
      </c>
      <c r="R4368">
        <v>1</v>
      </c>
      <c r="S4368" t="s">
        <v>77</v>
      </c>
      <c r="T4368">
        <v>999</v>
      </c>
      <c r="U4368" t="s">
        <v>7525</v>
      </c>
      <c r="V4368">
        <f t="shared" si="7"/>
        <v>31826005</v>
      </c>
      <c r="W4368"/>
      <c r="X4368" t="s">
        <v>4935</v>
      </c>
      <c r="Y4368" t="s">
        <v>215</v>
      </c>
      <c r="Z4368">
        <v>21516</v>
      </c>
      <c r="AA4368" t="s">
        <v>4936</v>
      </c>
      <c r="AB4368">
        <v>40001</v>
      </c>
      <c r="AC4368"/>
      <c r="AD4368"/>
      <c r="AE4368" t="s">
        <v>7524</v>
      </c>
      <c r="AF4368" t="s">
        <v>7524</v>
      </c>
      <c r="AG4368" t="s">
        <v>98</v>
      </c>
    </row>
    <row r="4369" spans="2:33">
      <c r="B4369" s="14">
        <f>10000000+INDEX(编号表!$B:$B,MATCH(H4369,编号表!$A:$A,0))*100000+INDEX(编号表!$F:$F,MATCH(D4369,编号表!$E:$E,0))*10000+INDEX(编号表!$D:$D,MATCH(AG4369,编号表!$C:$C,0))*1000+F4369</f>
        <v>11826006</v>
      </c>
      <c r="C4369" t="s">
        <v>4941</v>
      </c>
      <c r="D4369" t="s">
        <v>112</v>
      </c>
      <c r="E4369" t="s">
        <v>98</v>
      </c>
      <c r="F4369">
        <v>6</v>
      </c>
      <c r="G4369">
        <v>60</v>
      </c>
      <c r="H4369" t="s">
        <v>7524</v>
      </c>
      <c r="I4369" t="s">
        <v>75</v>
      </c>
      <c r="J4369" t="s">
        <v>201</v>
      </c>
      <c r="K4369">
        <v>1</v>
      </c>
      <c r="L4369" t="s">
        <v>7524</v>
      </c>
      <c r="M4369"/>
      <c r="N4369">
        <v>0</v>
      </c>
      <c r="O4369" t="b">
        <v>1</v>
      </c>
      <c r="P4369"/>
      <c r="Q4369" t="b">
        <v>0</v>
      </c>
      <c r="R4369">
        <v>1</v>
      </c>
      <c r="S4369" t="s">
        <v>77</v>
      </c>
      <c r="T4369">
        <v>999</v>
      </c>
      <c r="U4369" t="s">
        <v>7525</v>
      </c>
      <c r="V4369">
        <f t="shared" si="7"/>
        <v>31826006</v>
      </c>
      <c r="W4369"/>
      <c r="X4369" t="s">
        <v>4942</v>
      </c>
      <c r="Y4369" t="s">
        <v>215</v>
      </c>
      <c r="Z4369">
        <v>21519</v>
      </c>
      <c r="AA4369" t="s">
        <v>4943</v>
      </c>
      <c r="AB4369">
        <v>40001</v>
      </c>
      <c r="AC4369"/>
      <c r="AD4369"/>
      <c r="AE4369" t="s">
        <v>7524</v>
      </c>
      <c r="AF4369" t="s">
        <v>7524</v>
      </c>
      <c r="AG4369" t="s">
        <v>98</v>
      </c>
    </row>
    <row r="4370" spans="2:33">
      <c r="B4370" s="14">
        <f>10000000+INDEX(编号表!$B:$B,MATCH(H4370,编号表!$A:$A,0))*100000+INDEX(编号表!$F:$F,MATCH(D4370,编号表!$E:$E,0))*10000+INDEX(编号表!$D:$D,MATCH(AG4370,编号表!$C:$C,0))*1000+F4370</f>
        <v>11826007</v>
      </c>
      <c r="C4370" t="s">
        <v>4948</v>
      </c>
      <c r="D4370" t="s">
        <v>112</v>
      </c>
      <c r="E4370" t="s">
        <v>98</v>
      </c>
      <c r="F4370">
        <v>7</v>
      </c>
      <c r="G4370">
        <v>60</v>
      </c>
      <c r="H4370" t="s">
        <v>7524</v>
      </c>
      <c r="I4370" t="s">
        <v>75</v>
      </c>
      <c r="J4370" t="s">
        <v>201</v>
      </c>
      <c r="K4370">
        <v>1</v>
      </c>
      <c r="L4370" t="s">
        <v>7524</v>
      </c>
      <c r="M4370"/>
      <c r="N4370">
        <v>0</v>
      </c>
      <c r="O4370" t="b">
        <v>1</v>
      </c>
      <c r="P4370"/>
      <c r="Q4370" t="b">
        <v>0</v>
      </c>
      <c r="R4370">
        <v>1</v>
      </c>
      <c r="S4370" t="s">
        <v>77</v>
      </c>
      <c r="T4370">
        <v>999</v>
      </c>
      <c r="U4370" t="s">
        <v>7525</v>
      </c>
      <c r="V4370">
        <f t="shared" si="7"/>
        <v>31826007</v>
      </c>
      <c r="W4370"/>
      <c r="X4370" t="s">
        <v>4949</v>
      </c>
      <c r="Y4370" t="s">
        <v>215</v>
      </c>
      <c r="Z4370">
        <v>21522</v>
      </c>
      <c r="AA4370" t="s">
        <v>4950</v>
      </c>
      <c r="AB4370">
        <v>40001</v>
      </c>
      <c r="AC4370"/>
      <c r="AD4370"/>
      <c r="AE4370" t="s">
        <v>7524</v>
      </c>
      <c r="AF4370" t="s">
        <v>7524</v>
      </c>
      <c r="AG4370" t="s">
        <v>98</v>
      </c>
    </row>
    <row r="4371" spans="2:33">
      <c r="B4371" s="14">
        <f>10000000+INDEX(编号表!$B:$B,MATCH(H4371,编号表!$A:$A,0))*100000+INDEX(编号表!$F:$F,MATCH(D4371,编号表!$E:$E,0))*10000+INDEX(编号表!$D:$D,MATCH(AG4371,编号表!$C:$C,0))*1000+F4371</f>
        <v>11826008</v>
      </c>
      <c r="C4371" t="s">
        <v>4955</v>
      </c>
      <c r="D4371" t="s">
        <v>112</v>
      </c>
      <c r="E4371" t="s">
        <v>98</v>
      </c>
      <c r="F4371">
        <v>8</v>
      </c>
      <c r="G4371">
        <v>60</v>
      </c>
      <c r="H4371" t="s">
        <v>7524</v>
      </c>
      <c r="I4371" t="s">
        <v>75</v>
      </c>
      <c r="J4371" t="s">
        <v>201</v>
      </c>
      <c r="K4371">
        <v>1</v>
      </c>
      <c r="L4371" t="s">
        <v>7524</v>
      </c>
      <c r="M4371"/>
      <c r="N4371">
        <v>0</v>
      </c>
      <c r="O4371" t="b">
        <v>1</v>
      </c>
      <c r="P4371"/>
      <c r="Q4371" t="b">
        <v>0</v>
      </c>
      <c r="R4371">
        <v>1</v>
      </c>
      <c r="S4371" t="s">
        <v>77</v>
      </c>
      <c r="T4371">
        <v>999</v>
      </c>
      <c r="U4371" t="s">
        <v>7525</v>
      </c>
      <c r="V4371">
        <f t="shared" si="7"/>
        <v>31826008</v>
      </c>
      <c r="W4371"/>
      <c r="X4371" t="s">
        <v>4956</v>
      </c>
      <c r="Y4371" t="s">
        <v>215</v>
      </c>
      <c r="Z4371">
        <v>21525</v>
      </c>
      <c r="AA4371" t="s">
        <v>4957</v>
      </c>
      <c r="AB4371">
        <v>40001</v>
      </c>
      <c r="AC4371"/>
      <c r="AD4371"/>
      <c r="AE4371" t="s">
        <v>7524</v>
      </c>
      <c r="AF4371" t="s">
        <v>7524</v>
      </c>
      <c r="AG4371" t="s">
        <v>98</v>
      </c>
    </row>
    <row r="4372" spans="2:33">
      <c r="B4372" s="14">
        <f>10000000+INDEX(编号表!$B:$B,MATCH(H4372,编号表!$A:$A,0))*100000+INDEX(编号表!$F:$F,MATCH(D4372,编号表!$E:$E,0))*10000+INDEX(编号表!$D:$D,MATCH(AG4372,编号表!$C:$C,0))*1000+F4372</f>
        <v>11826009</v>
      </c>
      <c r="C4372" t="s">
        <v>4962</v>
      </c>
      <c r="D4372" t="s">
        <v>112</v>
      </c>
      <c r="E4372" t="s">
        <v>98</v>
      </c>
      <c r="F4372">
        <v>9</v>
      </c>
      <c r="G4372">
        <v>60</v>
      </c>
      <c r="H4372" t="s">
        <v>7524</v>
      </c>
      <c r="I4372" t="s">
        <v>75</v>
      </c>
      <c r="J4372" t="s">
        <v>201</v>
      </c>
      <c r="K4372">
        <v>1</v>
      </c>
      <c r="L4372" t="s">
        <v>7524</v>
      </c>
      <c r="M4372"/>
      <c r="N4372">
        <v>0</v>
      </c>
      <c r="O4372" t="b">
        <v>1</v>
      </c>
      <c r="P4372"/>
      <c r="Q4372" t="b">
        <v>0</v>
      </c>
      <c r="R4372">
        <v>1</v>
      </c>
      <c r="S4372" t="s">
        <v>77</v>
      </c>
      <c r="T4372">
        <v>999</v>
      </c>
      <c r="U4372" t="s">
        <v>7525</v>
      </c>
      <c r="V4372">
        <f t="shared" si="7"/>
        <v>31826009</v>
      </c>
      <c r="W4372"/>
      <c r="X4372" t="s">
        <v>4963</v>
      </c>
      <c r="Y4372" t="s">
        <v>215</v>
      </c>
      <c r="Z4372">
        <v>21528</v>
      </c>
      <c r="AA4372" t="s">
        <v>4964</v>
      </c>
      <c r="AB4372">
        <v>40001</v>
      </c>
      <c r="AC4372"/>
      <c r="AD4372"/>
      <c r="AE4372" t="s">
        <v>7524</v>
      </c>
      <c r="AF4372" t="s">
        <v>7524</v>
      </c>
      <c r="AG4372" t="s">
        <v>98</v>
      </c>
    </row>
    <row r="4373" spans="2:33">
      <c r="B4373" s="14">
        <f>10000000+INDEX(编号表!$B:$B,MATCH(H4373,编号表!$A:$A,0))*100000+INDEX(编号表!$F:$F,MATCH(D4373,编号表!$E:$E,0))*10000+INDEX(编号表!$D:$D,MATCH(AG4373,编号表!$C:$C,0))*1000+F4373</f>
        <v>11826010</v>
      </c>
      <c r="C4373" t="s">
        <v>4969</v>
      </c>
      <c r="D4373" t="s">
        <v>112</v>
      </c>
      <c r="E4373" t="s">
        <v>98</v>
      </c>
      <c r="F4373">
        <v>10</v>
      </c>
      <c r="G4373">
        <v>60</v>
      </c>
      <c r="H4373" t="s">
        <v>7524</v>
      </c>
      <c r="I4373" t="s">
        <v>75</v>
      </c>
      <c r="J4373" t="s">
        <v>201</v>
      </c>
      <c r="K4373">
        <v>1</v>
      </c>
      <c r="L4373" t="s">
        <v>7524</v>
      </c>
      <c r="M4373"/>
      <c r="N4373">
        <v>0</v>
      </c>
      <c r="O4373" t="b">
        <v>1</v>
      </c>
      <c r="P4373"/>
      <c r="Q4373" t="b">
        <v>0</v>
      </c>
      <c r="R4373">
        <v>1</v>
      </c>
      <c r="S4373" t="s">
        <v>77</v>
      </c>
      <c r="T4373">
        <v>999</v>
      </c>
      <c r="U4373" t="s">
        <v>7525</v>
      </c>
      <c r="V4373">
        <f t="shared" si="7"/>
        <v>31826010</v>
      </c>
      <c r="W4373"/>
      <c r="X4373" t="s">
        <v>4970</v>
      </c>
      <c r="Y4373" t="s">
        <v>215</v>
      </c>
      <c r="Z4373">
        <v>21531</v>
      </c>
      <c r="AA4373" t="s">
        <v>4971</v>
      </c>
      <c r="AB4373">
        <v>40001</v>
      </c>
      <c r="AC4373"/>
      <c r="AD4373"/>
      <c r="AE4373" t="s">
        <v>7524</v>
      </c>
      <c r="AF4373" t="s">
        <v>7524</v>
      </c>
      <c r="AG4373" t="s">
        <v>98</v>
      </c>
    </row>
    <row r="4374" spans="2:33">
      <c r="B4374" s="14">
        <f>10000000+INDEX(编号表!$B:$B,MATCH(H4374,编号表!$A:$A,0))*100000+INDEX(编号表!$F:$F,MATCH(D4374,编号表!$E:$E,0))*10000+INDEX(编号表!$D:$D,MATCH(AG4374,编号表!$C:$C,0))*1000+F4374</f>
        <v>11826011</v>
      </c>
      <c r="C4374" t="s">
        <v>4976</v>
      </c>
      <c r="D4374" t="s">
        <v>112</v>
      </c>
      <c r="E4374" t="s">
        <v>98</v>
      </c>
      <c r="F4374">
        <v>11</v>
      </c>
      <c r="G4374">
        <v>60</v>
      </c>
      <c r="H4374" t="s">
        <v>7524</v>
      </c>
      <c r="I4374" t="s">
        <v>75</v>
      </c>
      <c r="J4374" t="s">
        <v>201</v>
      </c>
      <c r="K4374">
        <v>1</v>
      </c>
      <c r="L4374" t="s">
        <v>7524</v>
      </c>
      <c r="M4374"/>
      <c r="N4374">
        <v>0</v>
      </c>
      <c r="O4374" t="b">
        <v>1</v>
      </c>
      <c r="P4374"/>
      <c r="Q4374" t="b">
        <v>0</v>
      </c>
      <c r="R4374">
        <v>1</v>
      </c>
      <c r="S4374" t="s">
        <v>77</v>
      </c>
      <c r="T4374">
        <v>999</v>
      </c>
      <c r="U4374" t="s">
        <v>7525</v>
      </c>
      <c r="V4374">
        <f t="shared" si="7"/>
        <v>31826011</v>
      </c>
      <c r="W4374"/>
      <c r="X4374" t="s">
        <v>4977</v>
      </c>
      <c r="Y4374" t="s">
        <v>215</v>
      </c>
      <c r="Z4374">
        <v>21534</v>
      </c>
      <c r="AA4374" t="s">
        <v>4978</v>
      </c>
      <c r="AB4374">
        <v>40001</v>
      </c>
      <c r="AC4374"/>
      <c r="AD4374"/>
      <c r="AE4374" t="s">
        <v>7524</v>
      </c>
      <c r="AF4374" t="s">
        <v>7524</v>
      </c>
      <c r="AG4374" t="s">
        <v>98</v>
      </c>
    </row>
    <row r="4375" spans="2:33">
      <c r="B4375" s="14">
        <f>10000000+INDEX(编号表!$B:$B,MATCH(H4375,编号表!$A:$A,0))*100000+INDEX(编号表!$F:$F,MATCH(D4375,编号表!$E:$E,0))*10000+INDEX(编号表!$D:$D,MATCH(AG4375,编号表!$C:$C,0))*1000+F4375</f>
        <v>11826012</v>
      </c>
      <c r="C4375" t="s">
        <v>4983</v>
      </c>
      <c r="D4375" t="s">
        <v>112</v>
      </c>
      <c r="E4375" t="s">
        <v>98</v>
      </c>
      <c r="F4375">
        <v>12</v>
      </c>
      <c r="G4375">
        <v>60</v>
      </c>
      <c r="H4375" t="s">
        <v>7524</v>
      </c>
      <c r="I4375" t="s">
        <v>75</v>
      </c>
      <c r="J4375" t="s">
        <v>201</v>
      </c>
      <c r="K4375">
        <v>1</v>
      </c>
      <c r="L4375" t="s">
        <v>7524</v>
      </c>
      <c r="M4375"/>
      <c r="N4375">
        <v>0</v>
      </c>
      <c r="O4375" t="b">
        <v>1</v>
      </c>
      <c r="P4375"/>
      <c r="Q4375" t="b">
        <v>0</v>
      </c>
      <c r="R4375">
        <v>1</v>
      </c>
      <c r="S4375" t="s">
        <v>77</v>
      </c>
      <c r="T4375">
        <v>999</v>
      </c>
      <c r="U4375" t="s">
        <v>7525</v>
      </c>
      <c r="V4375">
        <f t="shared" si="7"/>
        <v>31826012</v>
      </c>
      <c r="W4375"/>
      <c r="X4375" t="s">
        <v>4984</v>
      </c>
      <c r="Y4375" t="s">
        <v>215</v>
      </c>
      <c r="Z4375">
        <v>21537</v>
      </c>
      <c r="AA4375" t="s">
        <v>4985</v>
      </c>
      <c r="AB4375">
        <v>40001</v>
      </c>
      <c r="AC4375"/>
      <c r="AD4375"/>
      <c r="AE4375" t="s">
        <v>7524</v>
      </c>
      <c r="AF4375" t="s">
        <v>7524</v>
      </c>
      <c r="AG4375" t="s">
        <v>98</v>
      </c>
    </row>
    <row r="4376" spans="2:33">
      <c r="B4376" s="14">
        <f>10000000+INDEX(编号表!$B:$B,MATCH(H4376,编号表!$A:$A,0))*100000+INDEX(编号表!$F:$F,MATCH(D4376,编号表!$E:$E,0))*10000+INDEX(编号表!$D:$D,MATCH(AG4376,编号表!$C:$C,0))*1000+F4376</f>
        <v>11826013</v>
      </c>
      <c r="C4376" t="s">
        <v>4990</v>
      </c>
      <c r="D4376" t="s">
        <v>112</v>
      </c>
      <c r="E4376" t="s">
        <v>98</v>
      </c>
      <c r="F4376">
        <v>13</v>
      </c>
      <c r="G4376">
        <v>60</v>
      </c>
      <c r="H4376" t="s">
        <v>7524</v>
      </c>
      <c r="I4376" t="s">
        <v>75</v>
      </c>
      <c r="J4376" t="s">
        <v>201</v>
      </c>
      <c r="K4376">
        <v>1</v>
      </c>
      <c r="L4376" t="s">
        <v>7524</v>
      </c>
      <c r="M4376"/>
      <c r="N4376">
        <v>0</v>
      </c>
      <c r="O4376" t="b">
        <v>1</v>
      </c>
      <c r="P4376"/>
      <c r="Q4376" t="b">
        <v>0</v>
      </c>
      <c r="R4376">
        <v>1</v>
      </c>
      <c r="S4376" t="s">
        <v>77</v>
      </c>
      <c r="T4376">
        <v>999</v>
      </c>
      <c r="U4376" t="s">
        <v>7525</v>
      </c>
      <c r="V4376">
        <f t="shared" ref="V4376:V4439" si="8">B4376+20000000</f>
        <v>31826013</v>
      </c>
      <c r="W4376"/>
      <c r="X4376" t="s">
        <v>4991</v>
      </c>
      <c r="Y4376" t="s">
        <v>215</v>
      </c>
      <c r="Z4376">
        <v>21540</v>
      </c>
      <c r="AA4376" t="s">
        <v>4992</v>
      </c>
      <c r="AB4376">
        <v>40001</v>
      </c>
      <c r="AC4376"/>
      <c r="AD4376"/>
      <c r="AE4376" t="s">
        <v>7524</v>
      </c>
      <c r="AF4376" t="s">
        <v>7524</v>
      </c>
      <c r="AG4376" t="s">
        <v>98</v>
      </c>
    </row>
    <row r="4377" spans="2:33">
      <c r="B4377" s="14">
        <f>10000000+INDEX(编号表!$B:$B,MATCH(H4377,编号表!$A:$A,0))*100000+INDEX(编号表!$F:$F,MATCH(D4377,编号表!$E:$E,0))*10000+INDEX(编号表!$D:$D,MATCH(AG4377,编号表!$C:$C,0))*1000+F4377</f>
        <v>11826014</v>
      </c>
      <c r="C4377" t="s">
        <v>4997</v>
      </c>
      <c r="D4377" t="s">
        <v>112</v>
      </c>
      <c r="E4377" t="s">
        <v>98</v>
      </c>
      <c r="F4377">
        <v>14</v>
      </c>
      <c r="G4377">
        <v>60</v>
      </c>
      <c r="H4377" t="s">
        <v>7524</v>
      </c>
      <c r="I4377" t="s">
        <v>75</v>
      </c>
      <c r="J4377" t="s">
        <v>201</v>
      </c>
      <c r="K4377">
        <v>1</v>
      </c>
      <c r="L4377" t="s">
        <v>7524</v>
      </c>
      <c r="M4377"/>
      <c r="N4377">
        <v>0</v>
      </c>
      <c r="O4377" t="b">
        <v>1</v>
      </c>
      <c r="P4377"/>
      <c r="Q4377" t="b">
        <v>0</v>
      </c>
      <c r="R4377">
        <v>1</v>
      </c>
      <c r="S4377" t="s">
        <v>77</v>
      </c>
      <c r="T4377">
        <v>999</v>
      </c>
      <c r="U4377" t="s">
        <v>7525</v>
      </c>
      <c r="V4377">
        <f t="shared" si="8"/>
        <v>31826014</v>
      </c>
      <c r="W4377"/>
      <c r="X4377" t="s">
        <v>4998</v>
      </c>
      <c r="Y4377" t="s">
        <v>215</v>
      </c>
      <c r="Z4377">
        <v>21543</v>
      </c>
      <c r="AA4377" t="s">
        <v>4999</v>
      </c>
      <c r="AB4377">
        <v>40001</v>
      </c>
      <c r="AC4377"/>
      <c r="AD4377"/>
      <c r="AE4377" t="s">
        <v>7524</v>
      </c>
      <c r="AF4377" t="s">
        <v>7524</v>
      </c>
      <c r="AG4377" t="s">
        <v>98</v>
      </c>
    </row>
    <row r="4378" spans="2:33">
      <c r="B4378" s="14">
        <f>10000000+INDEX(编号表!$B:$B,MATCH(H4378,编号表!$A:$A,0))*100000+INDEX(编号表!$F:$F,MATCH(D4378,编号表!$E:$E,0))*10000+INDEX(编号表!$D:$D,MATCH(AG4378,编号表!$C:$C,0))*1000+F4378</f>
        <v>11826015</v>
      </c>
      <c r="C4378" t="s">
        <v>5004</v>
      </c>
      <c r="D4378" t="s">
        <v>112</v>
      </c>
      <c r="E4378" t="s">
        <v>98</v>
      </c>
      <c r="F4378">
        <v>15</v>
      </c>
      <c r="G4378">
        <v>60</v>
      </c>
      <c r="H4378" t="s">
        <v>7524</v>
      </c>
      <c r="I4378" t="s">
        <v>75</v>
      </c>
      <c r="J4378" t="s">
        <v>201</v>
      </c>
      <c r="K4378">
        <v>1</v>
      </c>
      <c r="L4378" t="s">
        <v>7524</v>
      </c>
      <c r="M4378"/>
      <c r="N4378">
        <v>0</v>
      </c>
      <c r="O4378" t="b">
        <v>1</v>
      </c>
      <c r="P4378"/>
      <c r="Q4378" t="b">
        <v>0</v>
      </c>
      <c r="R4378">
        <v>1</v>
      </c>
      <c r="S4378" t="s">
        <v>77</v>
      </c>
      <c r="T4378">
        <v>999</v>
      </c>
      <c r="U4378" t="s">
        <v>7525</v>
      </c>
      <c r="V4378">
        <f t="shared" si="8"/>
        <v>31826015</v>
      </c>
      <c r="W4378"/>
      <c r="X4378" t="s">
        <v>5005</v>
      </c>
      <c r="Y4378" t="s">
        <v>215</v>
      </c>
      <c r="Z4378">
        <v>21546</v>
      </c>
      <c r="AA4378" t="s">
        <v>5006</v>
      </c>
      <c r="AB4378">
        <v>40001</v>
      </c>
      <c r="AC4378"/>
      <c r="AD4378"/>
      <c r="AE4378" t="s">
        <v>7524</v>
      </c>
      <c r="AF4378" t="s">
        <v>7524</v>
      </c>
      <c r="AG4378" t="s">
        <v>98</v>
      </c>
    </row>
    <row r="4379" spans="2:33">
      <c r="B4379" s="14">
        <f>10000000+INDEX(编号表!$B:$B,MATCH(H4379,编号表!$A:$A,0))*100000+INDEX(编号表!$F:$F,MATCH(D4379,编号表!$E:$E,0))*10000+INDEX(编号表!$D:$D,MATCH(AG4379,编号表!$C:$C,0))*1000+F4379</f>
        <v>11826016</v>
      </c>
      <c r="C4379" t="s">
        <v>5011</v>
      </c>
      <c r="D4379" t="s">
        <v>112</v>
      </c>
      <c r="E4379" t="s">
        <v>98</v>
      </c>
      <c r="F4379">
        <v>16</v>
      </c>
      <c r="G4379">
        <v>60</v>
      </c>
      <c r="H4379" t="s">
        <v>7524</v>
      </c>
      <c r="I4379" t="s">
        <v>75</v>
      </c>
      <c r="J4379" t="s">
        <v>201</v>
      </c>
      <c r="K4379">
        <v>1</v>
      </c>
      <c r="L4379" t="s">
        <v>7524</v>
      </c>
      <c r="M4379"/>
      <c r="N4379">
        <v>0</v>
      </c>
      <c r="O4379" t="b">
        <v>1</v>
      </c>
      <c r="P4379"/>
      <c r="Q4379" t="b">
        <v>0</v>
      </c>
      <c r="R4379">
        <v>1</v>
      </c>
      <c r="S4379" t="s">
        <v>77</v>
      </c>
      <c r="T4379">
        <v>999</v>
      </c>
      <c r="U4379" t="s">
        <v>7525</v>
      </c>
      <c r="V4379">
        <f t="shared" si="8"/>
        <v>31826016</v>
      </c>
      <c r="W4379"/>
      <c r="X4379" t="s">
        <v>5012</v>
      </c>
      <c r="Y4379" t="s">
        <v>215</v>
      </c>
      <c r="Z4379">
        <v>21549</v>
      </c>
      <c r="AA4379" t="s">
        <v>5013</v>
      </c>
      <c r="AB4379">
        <v>40001</v>
      </c>
      <c r="AC4379"/>
      <c r="AD4379"/>
      <c r="AE4379" t="s">
        <v>7524</v>
      </c>
      <c r="AF4379" t="s">
        <v>7524</v>
      </c>
      <c r="AG4379" t="s">
        <v>98</v>
      </c>
    </row>
    <row r="4380" spans="2:33">
      <c r="B4380" s="14">
        <f>10000000+INDEX(编号表!$B:$B,MATCH(H4380,编号表!$A:$A,0))*100000+INDEX(编号表!$F:$F,MATCH(D4380,编号表!$E:$E,0))*10000+INDEX(编号表!$D:$D,MATCH(AG4380,编号表!$C:$C,0))*1000+F4380</f>
        <v>11826017</v>
      </c>
      <c r="C4380" t="s">
        <v>5018</v>
      </c>
      <c r="D4380" t="s">
        <v>112</v>
      </c>
      <c r="E4380" t="s">
        <v>98</v>
      </c>
      <c r="F4380">
        <v>17</v>
      </c>
      <c r="G4380">
        <v>60</v>
      </c>
      <c r="H4380" t="s">
        <v>7524</v>
      </c>
      <c r="I4380" t="s">
        <v>75</v>
      </c>
      <c r="J4380" t="s">
        <v>201</v>
      </c>
      <c r="K4380">
        <v>1</v>
      </c>
      <c r="L4380" t="s">
        <v>7524</v>
      </c>
      <c r="M4380"/>
      <c r="N4380">
        <v>0</v>
      </c>
      <c r="O4380" t="b">
        <v>1</v>
      </c>
      <c r="P4380"/>
      <c r="Q4380" t="b">
        <v>0</v>
      </c>
      <c r="R4380">
        <v>1</v>
      </c>
      <c r="S4380" t="s">
        <v>77</v>
      </c>
      <c r="T4380">
        <v>999</v>
      </c>
      <c r="U4380" t="s">
        <v>7525</v>
      </c>
      <c r="V4380">
        <f t="shared" si="8"/>
        <v>31826017</v>
      </c>
      <c r="W4380"/>
      <c r="X4380" t="s">
        <v>5019</v>
      </c>
      <c r="Y4380" t="s">
        <v>215</v>
      </c>
      <c r="Z4380">
        <v>21552</v>
      </c>
      <c r="AA4380" t="s">
        <v>5020</v>
      </c>
      <c r="AB4380">
        <v>40001</v>
      </c>
      <c r="AC4380"/>
      <c r="AD4380"/>
      <c r="AE4380" t="s">
        <v>7524</v>
      </c>
      <c r="AF4380" t="s">
        <v>7524</v>
      </c>
      <c r="AG4380" t="s">
        <v>98</v>
      </c>
    </row>
    <row r="4381" spans="2:33">
      <c r="B4381" s="14">
        <f>10000000+INDEX(编号表!$B:$B,MATCH(H4381,编号表!$A:$A,0))*100000+INDEX(编号表!$F:$F,MATCH(D4381,编号表!$E:$E,0))*10000+INDEX(编号表!$D:$D,MATCH(AG4381,编号表!$C:$C,0))*1000+F4381</f>
        <v>11826018</v>
      </c>
      <c r="C4381" t="s">
        <v>5025</v>
      </c>
      <c r="D4381" t="s">
        <v>112</v>
      </c>
      <c r="E4381" t="s">
        <v>98</v>
      </c>
      <c r="F4381">
        <v>18</v>
      </c>
      <c r="G4381">
        <v>60</v>
      </c>
      <c r="H4381" t="s">
        <v>7524</v>
      </c>
      <c r="I4381" t="s">
        <v>75</v>
      </c>
      <c r="J4381" t="s">
        <v>201</v>
      </c>
      <c r="K4381">
        <v>1</v>
      </c>
      <c r="L4381" t="s">
        <v>7524</v>
      </c>
      <c r="M4381"/>
      <c r="N4381">
        <v>0</v>
      </c>
      <c r="O4381" t="b">
        <v>1</v>
      </c>
      <c r="P4381"/>
      <c r="Q4381" t="b">
        <v>0</v>
      </c>
      <c r="R4381">
        <v>1</v>
      </c>
      <c r="S4381" t="s">
        <v>77</v>
      </c>
      <c r="T4381">
        <v>999</v>
      </c>
      <c r="U4381" t="s">
        <v>7525</v>
      </c>
      <c r="V4381">
        <f t="shared" si="8"/>
        <v>31826018</v>
      </c>
      <c r="W4381"/>
      <c r="X4381" t="s">
        <v>5026</v>
      </c>
      <c r="Y4381" t="s">
        <v>215</v>
      </c>
      <c r="Z4381">
        <v>21555</v>
      </c>
      <c r="AA4381" t="s">
        <v>5027</v>
      </c>
      <c r="AB4381">
        <v>40001</v>
      </c>
      <c r="AC4381"/>
      <c r="AD4381"/>
      <c r="AE4381" t="s">
        <v>7524</v>
      </c>
      <c r="AF4381" t="s">
        <v>7524</v>
      </c>
      <c r="AG4381" t="s">
        <v>98</v>
      </c>
    </row>
    <row r="4382" spans="2:33">
      <c r="B4382" s="14">
        <f>10000000+INDEX(编号表!$B:$B,MATCH(H4382,编号表!$A:$A,0))*100000+INDEX(编号表!$F:$F,MATCH(D4382,编号表!$E:$E,0))*10000+INDEX(编号表!$D:$D,MATCH(AG4382,编号表!$C:$C,0))*1000+F4382</f>
        <v>11826019</v>
      </c>
      <c r="C4382" t="s">
        <v>5032</v>
      </c>
      <c r="D4382" t="s">
        <v>112</v>
      </c>
      <c r="E4382" t="s">
        <v>98</v>
      </c>
      <c r="F4382">
        <v>19</v>
      </c>
      <c r="G4382">
        <v>60</v>
      </c>
      <c r="H4382" t="s">
        <v>7524</v>
      </c>
      <c r="I4382" t="s">
        <v>75</v>
      </c>
      <c r="J4382" t="s">
        <v>201</v>
      </c>
      <c r="K4382">
        <v>1</v>
      </c>
      <c r="L4382" t="s">
        <v>7524</v>
      </c>
      <c r="M4382"/>
      <c r="N4382">
        <v>0</v>
      </c>
      <c r="O4382" t="b">
        <v>1</v>
      </c>
      <c r="P4382"/>
      <c r="Q4382" t="b">
        <v>0</v>
      </c>
      <c r="R4382">
        <v>1</v>
      </c>
      <c r="S4382" t="s">
        <v>77</v>
      </c>
      <c r="T4382">
        <v>999</v>
      </c>
      <c r="U4382" t="s">
        <v>7525</v>
      </c>
      <c r="V4382">
        <f t="shared" si="8"/>
        <v>31826019</v>
      </c>
      <c r="W4382"/>
      <c r="X4382" t="s">
        <v>5033</v>
      </c>
      <c r="Y4382" t="s">
        <v>215</v>
      </c>
      <c r="Z4382">
        <v>21558</v>
      </c>
      <c r="AA4382" t="s">
        <v>5034</v>
      </c>
      <c r="AB4382">
        <v>40001</v>
      </c>
      <c r="AC4382"/>
      <c r="AD4382"/>
      <c r="AE4382" t="s">
        <v>7524</v>
      </c>
      <c r="AF4382" t="s">
        <v>7524</v>
      </c>
      <c r="AG4382" t="s">
        <v>98</v>
      </c>
    </row>
    <row r="4383" spans="2:33">
      <c r="B4383" s="14">
        <f>10000000+INDEX(编号表!$B:$B,MATCH(H4383,编号表!$A:$A,0))*100000+INDEX(编号表!$F:$F,MATCH(D4383,编号表!$E:$E,0))*10000+INDEX(编号表!$D:$D,MATCH(AG4383,编号表!$C:$C,0))*1000+F4383</f>
        <v>11826020</v>
      </c>
      <c r="C4383" t="s">
        <v>5039</v>
      </c>
      <c r="D4383" t="s">
        <v>112</v>
      </c>
      <c r="E4383" t="s">
        <v>98</v>
      </c>
      <c r="F4383">
        <v>20</v>
      </c>
      <c r="G4383">
        <v>60</v>
      </c>
      <c r="H4383" t="s">
        <v>7524</v>
      </c>
      <c r="I4383" t="s">
        <v>75</v>
      </c>
      <c r="J4383" t="s">
        <v>201</v>
      </c>
      <c r="K4383">
        <v>1</v>
      </c>
      <c r="L4383" t="s">
        <v>7524</v>
      </c>
      <c r="M4383"/>
      <c r="N4383">
        <v>0</v>
      </c>
      <c r="O4383" t="b">
        <v>1</v>
      </c>
      <c r="P4383"/>
      <c r="Q4383" t="b">
        <v>0</v>
      </c>
      <c r="R4383">
        <v>1</v>
      </c>
      <c r="S4383" t="s">
        <v>77</v>
      </c>
      <c r="T4383">
        <v>999</v>
      </c>
      <c r="U4383" t="s">
        <v>7525</v>
      </c>
      <c r="V4383">
        <f t="shared" si="8"/>
        <v>31826020</v>
      </c>
      <c r="W4383"/>
      <c r="X4383" t="s">
        <v>5040</v>
      </c>
      <c r="Y4383" t="s">
        <v>215</v>
      </c>
      <c r="Z4383">
        <v>21561</v>
      </c>
      <c r="AA4383" t="s">
        <v>5041</v>
      </c>
      <c r="AB4383">
        <v>40001</v>
      </c>
      <c r="AC4383"/>
      <c r="AD4383"/>
      <c r="AE4383" t="s">
        <v>7524</v>
      </c>
      <c r="AF4383" t="s">
        <v>7524</v>
      </c>
      <c r="AG4383" t="s">
        <v>98</v>
      </c>
    </row>
    <row r="4384" spans="2:33">
      <c r="B4384" s="14">
        <f>10000000+INDEX(编号表!$B:$B,MATCH(H4384,编号表!$A:$A,0))*100000+INDEX(编号表!$F:$F,MATCH(D4384,编号表!$E:$E,0))*10000+INDEX(编号表!$D:$D,MATCH(AG4384,编号表!$C:$C,0))*1000+F4384</f>
        <v>11826021</v>
      </c>
      <c r="C4384" t="s">
        <v>5046</v>
      </c>
      <c r="D4384" t="s">
        <v>112</v>
      </c>
      <c r="E4384" t="s">
        <v>98</v>
      </c>
      <c r="F4384">
        <v>21</v>
      </c>
      <c r="G4384">
        <v>60</v>
      </c>
      <c r="H4384" t="s">
        <v>7524</v>
      </c>
      <c r="I4384" t="s">
        <v>75</v>
      </c>
      <c r="J4384" t="s">
        <v>201</v>
      </c>
      <c r="K4384">
        <v>1</v>
      </c>
      <c r="L4384" t="s">
        <v>7524</v>
      </c>
      <c r="M4384"/>
      <c r="N4384">
        <v>0</v>
      </c>
      <c r="O4384" t="b">
        <v>1</v>
      </c>
      <c r="P4384"/>
      <c r="Q4384" t="b">
        <v>0</v>
      </c>
      <c r="R4384">
        <v>1</v>
      </c>
      <c r="S4384" t="s">
        <v>77</v>
      </c>
      <c r="T4384">
        <v>999</v>
      </c>
      <c r="U4384" t="s">
        <v>7525</v>
      </c>
      <c r="V4384">
        <f t="shared" si="8"/>
        <v>31826021</v>
      </c>
      <c r="W4384"/>
      <c r="X4384" t="s">
        <v>5047</v>
      </c>
      <c r="Y4384" t="s">
        <v>215</v>
      </c>
      <c r="Z4384">
        <v>21564</v>
      </c>
      <c r="AA4384" t="s">
        <v>5048</v>
      </c>
      <c r="AB4384">
        <v>40001</v>
      </c>
      <c r="AC4384"/>
      <c r="AD4384"/>
      <c r="AE4384" t="s">
        <v>7524</v>
      </c>
      <c r="AF4384" t="s">
        <v>7524</v>
      </c>
      <c r="AG4384" t="s">
        <v>98</v>
      </c>
    </row>
    <row r="4385" spans="2:33">
      <c r="B4385" s="14">
        <f>10000000+INDEX(编号表!$B:$B,MATCH(H4385,编号表!$A:$A,0))*100000+INDEX(编号表!$F:$F,MATCH(D4385,编号表!$E:$E,0))*10000+INDEX(编号表!$D:$D,MATCH(AG4385,编号表!$C:$C,0))*1000+F4385</f>
        <v>11826022</v>
      </c>
      <c r="C4385" t="s">
        <v>5053</v>
      </c>
      <c r="D4385" t="s">
        <v>112</v>
      </c>
      <c r="E4385" t="s">
        <v>98</v>
      </c>
      <c r="F4385">
        <v>22</v>
      </c>
      <c r="G4385">
        <v>60</v>
      </c>
      <c r="H4385" t="s">
        <v>7524</v>
      </c>
      <c r="I4385" t="s">
        <v>75</v>
      </c>
      <c r="J4385" t="s">
        <v>201</v>
      </c>
      <c r="K4385">
        <v>1</v>
      </c>
      <c r="L4385" t="s">
        <v>7524</v>
      </c>
      <c r="M4385"/>
      <c r="N4385">
        <v>0</v>
      </c>
      <c r="O4385" t="b">
        <v>1</v>
      </c>
      <c r="P4385"/>
      <c r="Q4385" t="b">
        <v>0</v>
      </c>
      <c r="R4385">
        <v>1</v>
      </c>
      <c r="S4385" t="s">
        <v>77</v>
      </c>
      <c r="T4385">
        <v>999</v>
      </c>
      <c r="U4385" t="s">
        <v>7525</v>
      </c>
      <c r="V4385">
        <f t="shared" si="8"/>
        <v>31826022</v>
      </c>
      <c r="W4385"/>
      <c r="X4385" t="s">
        <v>5054</v>
      </c>
      <c r="Y4385" t="s">
        <v>215</v>
      </c>
      <c r="Z4385">
        <v>21567</v>
      </c>
      <c r="AA4385" t="s">
        <v>5055</v>
      </c>
      <c r="AB4385">
        <v>40001</v>
      </c>
      <c r="AC4385"/>
      <c r="AD4385"/>
      <c r="AE4385" t="s">
        <v>7524</v>
      </c>
      <c r="AF4385" t="s">
        <v>7524</v>
      </c>
      <c r="AG4385" t="s">
        <v>98</v>
      </c>
    </row>
    <row r="4386" spans="2:33">
      <c r="B4386" s="14">
        <f>10000000+INDEX(编号表!$B:$B,MATCH(H4386,编号表!$A:$A,0))*100000+INDEX(编号表!$F:$F,MATCH(D4386,编号表!$E:$E,0))*10000+INDEX(编号表!$D:$D,MATCH(AG4386,编号表!$C:$C,0))*1000+F4386</f>
        <v>11826023</v>
      </c>
      <c r="C4386" t="s">
        <v>5060</v>
      </c>
      <c r="D4386" t="s">
        <v>112</v>
      </c>
      <c r="E4386" t="s">
        <v>98</v>
      </c>
      <c r="F4386">
        <v>23</v>
      </c>
      <c r="G4386">
        <v>60</v>
      </c>
      <c r="H4386" t="s">
        <v>7524</v>
      </c>
      <c r="I4386" t="s">
        <v>75</v>
      </c>
      <c r="J4386" t="s">
        <v>201</v>
      </c>
      <c r="K4386">
        <v>1</v>
      </c>
      <c r="L4386" t="s">
        <v>7524</v>
      </c>
      <c r="M4386"/>
      <c r="N4386">
        <v>0</v>
      </c>
      <c r="O4386" t="b">
        <v>1</v>
      </c>
      <c r="P4386"/>
      <c r="Q4386" t="b">
        <v>0</v>
      </c>
      <c r="R4386">
        <v>1</v>
      </c>
      <c r="S4386" t="s">
        <v>77</v>
      </c>
      <c r="T4386">
        <v>999</v>
      </c>
      <c r="U4386" t="s">
        <v>7525</v>
      </c>
      <c r="V4386">
        <f t="shared" si="8"/>
        <v>31826023</v>
      </c>
      <c r="W4386"/>
      <c r="X4386" t="s">
        <v>5061</v>
      </c>
      <c r="Y4386" t="s">
        <v>215</v>
      </c>
      <c r="Z4386">
        <v>21570</v>
      </c>
      <c r="AA4386" t="s">
        <v>5062</v>
      </c>
      <c r="AB4386">
        <v>40001</v>
      </c>
      <c r="AC4386"/>
      <c r="AD4386"/>
      <c r="AE4386" t="s">
        <v>7524</v>
      </c>
      <c r="AF4386" t="s">
        <v>7524</v>
      </c>
      <c r="AG4386" t="s">
        <v>98</v>
      </c>
    </row>
    <row r="4387" spans="2:33">
      <c r="B4387" s="14">
        <f>10000000+INDEX(编号表!$B:$B,MATCH(H4387,编号表!$A:$A,0))*100000+INDEX(编号表!$F:$F,MATCH(D4387,编号表!$E:$E,0))*10000+INDEX(编号表!$D:$D,MATCH(AG4387,编号表!$C:$C,0))*1000+F4387</f>
        <v>11826024</v>
      </c>
      <c r="C4387" t="s">
        <v>5067</v>
      </c>
      <c r="D4387" t="s">
        <v>112</v>
      </c>
      <c r="E4387" t="s">
        <v>98</v>
      </c>
      <c r="F4387">
        <v>24</v>
      </c>
      <c r="G4387">
        <v>60</v>
      </c>
      <c r="H4387" t="s">
        <v>7524</v>
      </c>
      <c r="I4387" t="s">
        <v>75</v>
      </c>
      <c r="J4387" t="s">
        <v>201</v>
      </c>
      <c r="K4387">
        <v>1</v>
      </c>
      <c r="L4387" t="s">
        <v>7524</v>
      </c>
      <c r="M4387"/>
      <c r="N4387">
        <v>0</v>
      </c>
      <c r="O4387" t="b">
        <v>1</v>
      </c>
      <c r="P4387"/>
      <c r="Q4387" t="b">
        <v>0</v>
      </c>
      <c r="R4387">
        <v>1</v>
      </c>
      <c r="S4387" t="s">
        <v>77</v>
      </c>
      <c r="T4387">
        <v>999</v>
      </c>
      <c r="U4387" t="s">
        <v>7525</v>
      </c>
      <c r="V4387">
        <f t="shared" si="8"/>
        <v>31826024</v>
      </c>
      <c r="W4387"/>
      <c r="X4387" t="s">
        <v>5068</v>
      </c>
      <c r="Y4387" t="s">
        <v>215</v>
      </c>
      <c r="Z4387">
        <v>21573</v>
      </c>
      <c r="AA4387" t="s">
        <v>5069</v>
      </c>
      <c r="AB4387">
        <v>40001</v>
      </c>
      <c r="AC4387"/>
      <c r="AD4387"/>
      <c r="AE4387" t="s">
        <v>7524</v>
      </c>
      <c r="AF4387" t="s">
        <v>7524</v>
      </c>
      <c r="AG4387" t="s">
        <v>98</v>
      </c>
    </row>
    <row r="4388" spans="2:33">
      <c r="B4388" s="14">
        <f>10000000+INDEX(编号表!$B:$B,MATCH(H4388,编号表!$A:$A,0))*100000+INDEX(编号表!$F:$F,MATCH(D4388,编号表!$E:$E,0))*10000+INDEX(编号表!$D:$D,MATCH(AG4388,编号表!$C:$C,0))*1000+F4388</f>
        <v>11826025</v>
      </c>
      <c r="C4388" t="s">
        <v>5074</v>
      </c>
      <c r="D4388" t="s">
        <v>112</v>
      </c>
      <c r="E4388" t="s">
        <v>98</v>
      </c>
      <c r="F4388">
        <v>25</v>
      </c>
      <c r="G4388">
        <v>60</v>
      </c>
      <c r="H4388" t="s">
        <v>7524</v>
      </c>
      <c r="I4388" t="s">
        <v>75</v>
      </c>
      <c r="J4388" t="s">
        <v>201</v>
      </c>
      <c r="K4388">
        <v>1</v>
      </c>
      <c r="L4388" t="s">
        <v>7524</v>
      </c>
      <c r="M4388"/>
      <c r="N4388">
        <v>0</v>
      </c>
      <c r="O4388" t="b">
        <v>1</v>
      </c>
      <c r="P4388"/>
      <c r="Q4388" t="b">
        <v>0</v>
      </c>
      <c r="R4388">
        <v>1</v>
      </c>
      <c r="S4388" t="s">
        <v>77</v>
      </c>
      <c r="T4388">
        <v>999</v>
      </c>
      <c r="U4388" t="s">
        <v>7525</v>
      </c>
      <c r="V4388">
        <f t="shared" si="8"/>
        <v>31826025</v>
      </c>
      <c r="W4388"/>
      <c r="X4388" t="s">
        <v>5075</v>
      </c>
      <c r="Y4388" t="s">
        <v>215</v>
      </c>
      <c r="Z4388">
        <v>21576</v>
      </c>
      <c r="AA4388" t="s">
        <v>5076</v>
      </c>
      <c r="AB4388">
        <v>40001</v>
      </c>
      <c r="AC4388"/>
      <c r="AD4388"/>
      <c r="AE4388" t="s">
        <v>7524</v>
      </c>
      <c r="AF4388" t="s">
        <v>7524</v>
      </c>
      <c r="AG4388" t="s">
        <v>98</v>
      </c>
    </row>
    <row r="4389" spans="2:33">
      <c r="B4389" s="14">
        <f>10000000+INDEX(编号表!$B:$B,MATCH(H4389,编号表!$A:$A,0))*100000+INDEX(编号表!$F:$F,MATCH(D4389,编号表!$E:$E,0))*10000+INDEX(编号表!$D:$D,MATCH(AG4389,编号表!$C:$C,0))*1000+F4389</f>
        <v>11826026</v>
      </c>
      <c r="C4389" t="s">
        <v>5081</v>
      </c>
      <c r="D4389" t="s">
        <v>112</v>
      </c>
      <c r="E4389" t="s">
        <v>98</v>
      </c>
      <c r="F4389">
        <v>26</v>
      </c>
      <c r="G4389">
        <v>60</v>
      </c>
      <c r="H4389" t="s">
        <v>7524</v>
      </c>
      <c r="I4389" t="s">
        <v>75</v>
      </c>
      <c r="J4389" t="s">
        <v>201</v>
      </c>
      <c r="K4389">
        <v>1</v>
      </c>
      <c r="L4389" t="s">
        <v>7524</v>
      </c>
      <c r="M4389"/>
      <c r="N4389">
        <v>0</v>
      </c>
      <c r="O4389" t="b">
        <v>1</v>
      </c>
      <c r="P4389"/>
      <c r="Q4389" t="b">
        <v>0</v>
      </c>
      <c r="R4389">
        <v>1</v>
      </c>
      <c r="S4389" t="s">
        <v>77</v>
      </c>
      <c r="T4389">
        <v>999</v>
      </c>
      <c r="U4389" t="s">
        <v>7525</v>
      </c>
      <c r="V4389">
        <f t="shared" si="8"/>
        <v>31826026</v>
      </c>
      <c r="W4389"/>
      <c r="X4389" t="s">
        <v>5082</v>
      </c>
      <c r="Y4389" t="s">
        <v>215</v>
      </c>
      <c r="Z4389">
        <v>21579</v>
      </c>
      <c r="AA4389" t="s">
        <v>5083</v>
      </c>
      <c r="AB4389">
        <v>40001</v>
      </c>
      <c r="AC4389"/>
      <c r="AD4389"/>
      <c r="AE4389" t="s">
        <v>7524</v>
      </c>
      <c r="AF4389" t="s">
        <v>7524</v>
      </c>
      <c r="AG4389" t="s">
        <v>98</v>
      </c>
    </row>
    <row r="4390" spans="2:33">
      <c r="B4390" s="14">
        <f>10000000+INDEX(编号表!$B:$B,MATCH(H4390,编号表!$A:$A,0))*100000+INDEX(编号表!$F:$F,MATCH(D4390,编号表!$E:$E,0))*10000+INDEX(编号表!$D:$D,MATCH(AG4390,编号表!$C:$C,0))*1000+F4390</f>
        <v>11826027</v>
      </c>
      <c r="C4390" t="s">
        <v>5088</v>
      </c>
      <c r="D4390" t="s">
        <v>112</v>
      </c>
      <c r="E4390" t="s">
        <v>98</v>
      </c>
      <c r="F4390">
        <v>27</v>
      </c>
      <c r="G4390">
        <v>60</v>
      </c>
      <c r="H4390" t="s">
        <v>7524</v>
      </c>
      <c r="I4390" t="s">
        <v>75</v>
      </c>
      <c r="J4390" t="s">
        <v>201</v>
      </c>
      <c r="K4390">
        <v>1</v>
      </c>
      <c r="L4390" t="s">
        <v>7524</v>
      </c>
      <c r="M4390"/>
      <c r="N4390">
        <v>0</v>
      </c>
      <c r="O4390" t="b">
        <v>1</v>
      </c>
      <c r="P4390"/>
      <c r="Q4390" t="b">
        <v>0</v>
      </c>
      <c r="R4390">
        <v>1</v>
      </c>
      <c r="S4390" t="s">
        <v>77</v>
      </c>
      <c r="T4390">
        <v>999</v>
      </c>
      <c r="U4390" t="s">
        <v>7525</v>
      </c>
      <c r="V4390">
        <f t="shared" si="8"/>
        <v>31826027</v>
      </c>
      <c r="W4390"/>
      <c r="X4390" t="s">
        <v>5089</v>
      </c>
      <c r="Y4390" t="s">
        <v>215</v>
      </c>
      <c r="Z4390">
        <v>21582</v>
      </c>
      <c r="AA4390" t="s">
        <v>5090</v>
      </c>
      <c r="AB4390">
        <v>40001</v>
      </c>
      <c r="AC4390"/>
      <c r="AD4390"/>
      <c r="AE4390" t="s">
        <v>7524</v>
      </c>
      <c r="AF4390" t="s">
        <v>7524</v>
      </c>
      <c r="AG4390" t="s">
        <v>98</v>
      </c>
    </row>
    <row r="4391" spans="2:33">
      <c r="B4391" s="14">
        <f>10000000+INDEX(编号表!$B:$B,MATCH(H4391,编号表!$A:$A,0))*100000+INDEX(编号表!$F:$F,MATCH(D4391,编号表!$E:$E,0))*10000+INDEX(编号表!$D:$D,MATCH(AG4391,编号表!$C:$C,0))*1000+F4391</f>
        <v>11826028</v>
      </c>
      <c r="C4391" t="s">
        <v>5095</v>
      </c>
      <c r="D4391" t="s">
        <v>112</v>
      </c>
      <c r="E4391" t="s">
        <v>98</v>
      </c>
      <c r="F4391">
        <v>28</v>
      </c>
      <c r="G4391">
        <v>60</v>
      </c>
      <c r="H4391" t="s">
        <v>7524</v>
      </c>
      <c r="I4391" t="s">
        <v>75</v>
      </c>
      <c r="J4391" t="s">
        <v>201</v>
      </c>
      <c r="K4391">
        <v>1</v>
      </c>
      <c r="L4391" t="s">
        <v>7524</v>
      </c>
      <c r="M4391"/>
      <c r="N4391">
        <v>0</v>
      </c>
      <c r="O4391" t="b">
        <v>1</v>
      </c>
      <c r="P4391"/>
      <c r="Q4391" t="b">
        <v>0</v>
      </c>
      <c r="R4391">
        <v>1</v>
      </c>
      <c r="S4391" t="s">
        <v>77</v>
      </c>
      <c r="T4391">
        <v>999</v>
      </c>
      <c r="U4391" t="s">
        <v>7525</v>
      </c>
      <c r="V4391">
        <f t="shared" si="8"/>
        <v>31826028</v>
      </c>
      <c r="W4391"/>
      <c r="X4391" t="s">
        <v>5096</v>
      </c>
      <c r="Y4391" t="s">
        <v>215</v>
      </c>
      <c r="Z4391">
        <v>21585</v>
      </c>
      <c r="AA4391" t="s">
        <v>5097</v>
      </c>
      <c r="AB4391">
        <v>40001</v>
      </c>
      <c r="AC4391"/>
      <c r="AD4391"/>
      <c r="AE4391" t="s">
        <v>7524</v>
      </c>
      <c r="AF4391" t="s">
        <v>7524</v>
      </c>
      <c r="AG4391" t="s">
        <v>98</v>
      </c>
    </row>
    <row r="4392" spans="2:33">
      <c r="B4392" s="14">
        <f>10000000+INDEX(编号表!$B:$B,MATCH(H4392,编号表!$A:$A,0))*100000+INDEX(编号表!$F:$F,MATCH(D4392,编号表!$E:$E,0))*10000+INDEX(编号表!$D:$D,MATCH(AG4392,编号表!$C:$C,0))*1000+F4392</f>
        <v>11826029</v>
      </c>
      <c r="C4392" t="s">
        <v>5102</v>
      </c>
      <c r="D4392" t="s">
        <v>112</v>
      </c>
      <c r="E4392" t="s">
        <v>98</v>
      </c>
      <c r="F4392">
        <v>29</v>
      </c>
      <c r="G4392">
        <v>60</v>
      </c>
      <c r="H4392" t="s">
        <v>7524</v>
      </c>
      <c r="I4392" t="s">
        <v>75</v>
      </c>
      <c r="J4392" t="s">
        <v>201</v>
      </c>
      <c r="K4392">
        <v>1</v>
      </c>
      <c r="L4392" t="s">
        <v>7524</v>
      </c>
      <c r="M4392"/>
      <c r="N4392">
        <v>0</v>
      </c>
      <c r="O4392" t="b">
        <v>1</v>
      </c>
      <c r="P4392"/>
      <c r="Q4392" t="b">
        <v>0</v>
      </c>
      <c r="R4392">
        <v>1</v>
      </c>
      <c r="S4392" t="s">
        <v>77</v>
      </c>
      <c r="T4392">
        <v>999</v>
      </c>
      <c r="U4392" t="s">
        <v>7525</v>
      </c>
      <c r="V4392">
        <f t="shared" si="8"/>
        <v>31826029</v>
      </c>
      <c r="W4392"/>
      <c r="X4392" t="s">
        <v>5103</v>
      </c>
      <c r="Y4392" t="s">
        <v>215</v>
      </c>
      <c r="Z4392">
        <v>21588</v>
      </c>
      <c r="AA4392" t="s">
        <v>5104</v>
      </c>
      <c r="AB4392">
        <v>40001</v>
      </c>
      <c r="AC4392"/>
      <c r="AD4392"/>
      <c r="AE4392" t="s">
        <v>7524</v>
      </c>
      <c r="AF4392" t="s">
        <v>7524</v>
      </c>
      <c r="AG4392" t="s">
        <v>98</v>
      </c>
    </row>
    <row r="4393" spans="2:33">
      <c r="B4393" s="14">
        <f>10000000+INDEX(编号表!$B:$B,MATCH(H4393,编号表!$A:$A,0))*100000+INDEX(编号表!$F:$F,MATCH(D4393,编号表!$E:$E,0))*10000+INDEX(编号表!$D:$D,MATCH(AG4393,编号表!$C:$C,0))*1000+F4393</f>
        <v>11826030</v>
      </c>
      <c r="C4393" t="s">
        <v>5109</v>
      </c>
      <c r="D4393" t="s">
        <v>112</v>
      </c>
      <c r="E4393" t="s">
        <v>98</v>
      </c>
      <c r="F4393">
        <v>30</v>
      </c>
      <c r="G4393">
        <v>60</v>
      </c>
      <c r="H4393" t="s">
        <v>7524</v>
      </c>
      <c r="I4393" t="s">
        <v>75</v>
      </c>
      <c r="J4393" t="s">
        <v>201</v>
      </c>
      <c r="K4393">
        <v>1</v>
      </c>
      <c r="L4393" t="s">
        <v>7524</v>
      </c>
      <c r="M4393"/>
      <c r="N4393">
        <v>0</v>
      </c>
      <c r="O4393" t="b">
        <v>1</v>
      </c>
      <c r="P4393"/>
      <c r="Q4393" t="b">
        <v>0</v>
      </c>
      <c r="R4393">
        <v>1</v>
      </c>
      <c r="S4393" t="s">
        <v>77</v>
      </c>
      <c r="T4393">
        <v>999</v>
      </c>
      <c r="U4393" t="s">
        <v>7525</v>
      </c>
      <c r="V4393">
        <f t="shared" si="8"/>
        <v>31826030</v>
      </c>
      <c r="W4393"/>
      <c r="X4393" t="s">
        <v>5110</v>
      </c>
      <c r="Y4393" t="s">
        <v>215</v>
      </c>
      <c r="Z4393">
        <v>21591</v>
      </c>
      <c r="AA4393" t="s">
        <v>5111</v>
      </c>
      <c r="AB4393">
        <v>40001</v>
      </c>
      <c r="AC4393"/>
      <c r="AD4393"/>
      <c r="AE4393" t="s">
        <v>7524</v>
      </c>
      <c r="AF4393" t="s">
        <v>7524</v>
      </c>
      <c r="AG4393" t="s">
        <v>98</v>
      </c>
    </row>
    <row r="4394" spans="2:33">
      <c r="B4394" s="14">
        <f>10000000+INDEX(编号表!$B:$B,MATCH(H4394,编号表!$A:$A,0))*100000+INDEX(编号表!$F:$F,MATCH(D4394,编号表!$E:$E,0))*10000+INDEX(编号表!$D:$D,MATCH(AG4394,编号表!$C:$C,0))*1000+F4394</f>
        <v>11826031</v>
      </c>
      <c r="C4394" t="s">
        <v>5116</v>
      </c>
      <c r="D4394" t="s">
        <v>112</v>
      </c>
      <c r="E4394" t="s">
        <v>98</v>
      </c>
      <c r="F4394">
        <v>31</v>
      </c>
      <c r="G4394">
        <v>60</v>
      </c>
      <c r="H4394" t="s">
        <v>7524</v>
      </c>
      <c r="I4394" t="s">
        <v>75</v>
      </c>
      <c r="J4394" t="s">
        <v>201</v>
      </c>
      <c r="K4394">
        <v>1</v>
      </c>
      <c r="L4394" t="s">
        <v>7524</v>
      </c>
      <c r="M4394"/>
      <c r="N4394">
        <v>0</v>
      </c>
      <c r="O4394" t="b">
        <v>1</v>
      </c>
      <c r="P4394"/>
      <c r="Q4394" t="b">
        <v>0</v>
      </c>
      <c r="R4394">
        <v>1</v>
      </c>
      <c r="S4394" t="s">
        <v>77</v>
      </c>
      <c r="T4394">
        <v>999</v>
      </c>
      <c r="U4394" t="s">
        <v>7525</v>
      </c>
      <c r="V4394">
        <f t="shared" si="8"/>
        <v>31826031</v>
      </c>
      <c r="W4394"/>
      <c r="X4394" t="s">
        <v>5117</v>
      </c>
      <c r="Y4394" t="s">
        <v>215</v>
      </c>
      <c r="Z4394">
        <v>21594</v>
      </c>
      <c r="AA4394" t="s">
        <v>5118</v>
      </c>
      <c r="AB4394">
        <v>40001</v>
      </c>
      <c r="AC4394"/>
      <c r="AD4394"/>
      <c r="AE4394" t="s">
        <v>7524</v>
      </c>
      <c r="AF4394" t="s">
        <v>7524</v>
      </c>
      <c r="AG4394" t="s">
        <v>98</v>
      </c>
    </row>
    <row r="4395" spans="2:33">
      <c r="B4395" s="14">
        <f>10000000+INDEX(编号表!$B:$B,MATCH(H4395,编号表!$A:$A,0))*100000+INDEX(编号表!$F:$F,MATCH(D4395,编号表!$E:$E,0))*10000+INDEX(编号表!$D:$D,MATCH(AG4395,编号表!$C:$C,0))*1000+F4395</f>
        <v>11826032</v>
      </c>
      <c r="C4395" t="s">
        <v>5123</v>
      </c>
      <c r="D4395" t="s">
        <v>112</v>
      </c>
      <c r="E4395" t="s">
        <v>98</v>
      </c>
      <c r="F4395">
        <v>32</v>
      </c>
      <c r="G4395">
        <v>60</v>
      </c>
      <c r="H4395" t="s">
        <v>7524</v>
      </c>
      <c r="I4395" t="s">
        <v>75</v>
      </c>
      <c r="J4395" t="s">
        <v>201</v>
      </c>
      <c r="K4395">
        <v>1</v>
      </c>
      <c r="L4395" t="s">
        <v>7524</v>
      </c>
      <c r="M4395"/>
      <c r="N4395">
        <v>0</v>
      </c>
      <c r="O4395" t="b">
        <v>1</v>
      </c>
      <c r="P4395"/>
      <c r="Q4395" t="b">
        <v>0</v>
      </c>
      <c r="R4395">
        <v>1</v>
      </c>
      <c r="S4395" t="s">
        <v>77</v>
      </c>
      <c r="T4395">
        <v>999</v>
      </c>
      <c r="U4395" t="s">
        <v>7525</v>
      </c>
      <c r="V4395">
        <f t="shared" si="8"/>
        <v>31826032</v>
      </c>
      <c r="W4395"/>
      <c r="X4395" t="s">
        <v>5124</v>
      </c>
      <c r="Y4395" t="s">
        <v>215</v>
      </c>
      <c r="Z4395">
        <v>21597</v>
      </c>
      <c r="AA4395" t="s">
        <v>5125</v>
      </c>
      <c r="AB4395">
        <v>40001</v>
      </c>
      <c r="AC4395"/>
      <c r="AD4395"/>
      <c r="AE4395" t="s">
        <v>7524</v>
      </c>
      <c r="AF4395" t="s">
        <v>7524</v>
      </c>
      <c r="AG4395" t="s">
        <v>98</v>
      </c>
    </row>
    <row r="4396" spans="2:33">
      <c r="B4396" s="14">
        <f>10000000+INDEX(编号表!$B:$B,MATCH(H4396,编号表!$A:$A,0))*100000+INDEX(编号表!$F:$F,MATCH(D4396,编号表!$E:$E,0))*10000+INDEX(编号表!$D:$D,MATCH(AG4396,编号表!$C:$C,0))*1000+F4396</f>
        <v>11826033</v>
      </c>
      <c r="C4396" t="s">
        <v>5130</v>
      </c>
      <c r="D4396" t="s">
        <v>112</v>
      </c>
      <c r="E4396" t="s">
        <v>98</v>
      </c>
      <c r="F4396">
        <v>33</v>
      </c>
      <c r="G4396">
        <v>60</v>
      </c>
      <c r="H4396" t="s">
        <v>7524</v>
      </c>
      <c r="I4396" t="s">
        <v>75</v>
      </c>
      <c r="J4396" t="s">
        <v>201</v>
      </c>
      <c r="K4396">
        <v>1</v>
      </c>
      <c r="L4396" t="s">
        <v>7524</v>
      </c>
      <c r="M4396"/>
      <c r="N4396">
        <v>0</v>
      </c>
      <c r="O4396" t="b">
        <v>1</v>
      </c>
      <c r="P4396"/>
      <c r="Q4396" t="b">
        <v>0</v>
      </c>
      <c r="R4396">
        <v>1</v>
      </c>
      <c r="S4396" t="s">
        <v>77</v>
      </c>
      <c r="T4396">
        <v>999</v>
      </c>
      <c r="U4396" t="s">
        <v>7525</v>
      </c>
      <c r="V4396">
        <f t="shared" si="8"/>
        <v>31826033</v>
      </c>
      <c r="W4396"/>
      <c r="X4396" t="s">
        <v>5131</v>
      </c>
      <c r="Y4396" t="s">
        <v>215</v>
      </c>
      <c r="Z4396">
        <v>21600</v>
      </c>
      <c r="AA4396" t="s">
        <v>5132</v>
      </c>
      <c r="AB4396">
        <v>40001</v>
      </c>
      <c r="AC4396"/>
      <c r="AD4396"/>
      <c r="AE4396" t="s">
        <v>7524</v>
      </c>
      <c r="AF4396" t="s">
        <v>7524</v>
      </c>
      <c r="AG4396" t="s">
        <v>98</v>
      </c>
    </row>
    <row r="4397" spans="2:33">
      <c r="B4397" s="14">
        <f>10000000+INDEX(编号表!$B:$B,MATCH(H4397,编号表!$A:$A,0))*100000+INDEX(编号表!$F:$F,MATCH(D4397,编号表!$E:$E,0))*10000+INDEX(编号表!$D:$D,MATCH(AG4397,编号表!$C:$C,0))*1000+F4397</f>
        <v>11826034</v>
      </c>
      <c r="C4397" t="s">
        <v>5137</v>
      </c>
      <c r="D4397" t="s">
        <v>112</v>
      </c>
      <c r="E4397" t="s">
        <v>98</v>
      </c>
      <c r="F4397">
        <v>34</v>
      </c>
      <c r="G4397">
        <v>60</v>
      </c>
      <c r="H4397" t="s">
        <v>7524</v>
      </c>
      <c r="I4397" t="s">
        <v>75</v>
      </c>
      <c r="J4397" t="s">
        <v>201</v>
      </c>
      <c r="K4397">
        <v>1</v>
      </c>
      <c r="L4397" t="s">
        <v>7524</v>
      </c>
      <c r="M4397"/>
      <c r="N4397">
        <v>0</v>
      </c>
      <c r="O4397" t="b">
        <v>1</v>
      </c>
      <c r="P4397"/>
      <c r="Q4397" t="b">
        <v>0</v>
      </c>
      <c r="R4397">
        <v>1</v>
      </c>
      <c r="S4397" t="s">
        <v>77</v>
      </c>
      <c r="T4397">
        <v>999</v>
      </c>
      <c r="U4397" t="s">
        <v>7525</v>
      </c>
      <c r="V4397">
        <f t="shared" si="8"/>
        <v>31826034</v>
      </c>
      <c r="W4397"/>
      <c r="X4397" t="s">
        <v>5138</v>
      </c>
      <c r="Y4397" t="s">
        <v>215</v>
      </c>
      <c r="Z4397">
        <v>21603</v>
      </c>
      <c r="AA4397" t="s">
        <v>5139</v>
      </c>
      <c r="AB4397">
        <v>40001</v>
      </c>
      <c r="AC4397"/>
      <c r="AD4397"/>
      <c r="AE4397" t="s">
        <v>7524</v>
      </c>
      <c r="AF4397" t="s">
        <v>7524</v>
      </c>
      <c r="AG4397" t="s">
        <v>98</v>
      </c>
    </row>
    <row r="4398" spans="2:33">
      <c r="B4398" s="14">
        <f>10000000+INDEX(编号表!$B:$B,MATCH(H4398,编号表!$A:$A,0))*100000+INDEX(编号表!$F:$F,MATCH(D4398,编号表!$E:$E,0))*10000+INDEX(编号表!$D:$D,MATCH(AG4398,编号表!$C:$C,0))*1000+F4398</f>
        <v>11826035</v>
      </c>
      <c r="C4398" t="s">
        <v>5144</v>
      </c>
      <c r="D4398" t="s">
        <v>112</v>
      </c>
      <c r="E4398" t="s">
        <v>98</v>
      </c>
      <c r="F4398">
        <v>35</v>
      </c>
      <c r="G4398">
        <v>60</v>
      </c>
      <c r="H4398" t="s">
        <v>7524</v>
      </c>
      <c r="I4398" t="s">
        <v>75</v>
      </c>
      <c r="J4398" t="s">
        <v>201</v>
      </c>
      <c r="K4398">
        <v>1</v>
      </c>
      <c r="L4398" t="s">
        <v>7524</v>
      </c>
      <c r="M4398"/>
      <c r="N4398">
        <v>0</v>
      </c>
      <c r="O4398" t="b">
        <v>1</v>
      </c>
      <c r="P4398"/>
      <c r="Q4398" t="b">
        <v>0</v>
      </c>
      <c r="R4398">
        <v>1</v>
      </c>
      <c r="S4398" t="s">
        <v>77</v>
      </c>
      <c r="T4398">
        <v>999</v>
      </c>
      <c r="U4398" t="s">
        <v>7525</v>
      </c>
      <c r="V4398">
        <f t="shared" si="8"/>
        <v>31826035</v>
      </c>
      <c r="W4398"/>
      <c r="X4398" t="s">
        <v>5145</v>
      </c>
      <c r="Y4398" t="s">
        <v>215</v>
      </c>
      <c r="Z4398">
        <v>21606</v>
      </c>
      <c r="AA4398" t="s">
        <v>5146</v>
      </c>
      <c r="AB4398">
        <v>40001</v>
      </c>
      <c r="AC4398"/>
      <c r="AD4398"/>
      <c r="AE4398" t="s">
        <v>7524</v>
      </c>
      <c r="AF4398" t="s">
        <v>7524</v>
      </c>
      <c r="AG4398" t="s">
        <v>98</v>
      </c>
    </row>
    <row r="4399" spans="2:33">
      <c r="B4399" s="14">
        <f>10000000+INDEX(编号表!$B:$B,MATCH(H4399,编号表!$A:$A,0))*100000+INDEX(编号表!$F:$F,MATCH(D4399,编号表!$E:$E,0))*10000+INDEX(编号表!$D:$D,MATCH(AG4399,编号表!$C:$C,0))*1000+F4399</f>
        <v>11826036</v>
      </c>
      <c r="C4399" t="s">
        <v>5151</v>
      </c>
      <c r="D4399" t="s">
        <v>112</v>
      </c>
      <c r="E4399" t="s">
        <v>98</v>
      </c>
      <c r="F4399">
        <v>36</v>
      </c>
      <c r="G4399">
        <v>60</v>
      </c>
      <c r="H4399" t="s">
        <v>7524</v>
      </c>
      <c r="I4399" t="s">
        <v>75</v>
      </c>
      <c r="J4399" t="s">
        <v>201</v>
      </c>
      <c r="K4399">
        <v>1</v>
      </c>
      <c r="L4399" t="s">
        <v>7524</v>
      </c>
      <c r="M4399"/>
      <c r="N4399">
        <v>0</v>
      </c>
      <c r="O4399" t="b">
        <v>1</v>
      </c>
      <c r="P4399"/>
      <c r="Q4399" t="b">
        <v>0</v>
      </c>
      <c r="R4399">
        <v>1</v>
      </c>
      <c r="S4399" t="s">
        <v>77</v>
      </c>
      <c r="T4399">
        <v>999</v>
      </c>
      <c r="U4399" t="s">
        <v>7525</v>
      </c>
      <c r="V4399">
        <f t="shared" si="8"/>
        <v>31826036</v>
      </c>
      <c r="W4399"/>
      <c r="X4399" t="s">
        <v>5152</v>
      </c>
      <c r="Y4399" t="s">
        <v>215</v>
      </c>
      <c r="Z4399">
        <v>21609</v>
      </c>
      <c r="AA4399" t="s">
        <v>5153</v>
      </c>
      <c r="AB4399">
        <v>40001</v>
      </c>
      <c r="AC4399"/>
      <c r="AD4399"/>
      <c r="AE4399" t="s">
        <v>7524</v>
      </c>
      <c r="AF4399" t="s">
        <v>7524</v>
      </c>
      <c r="AG4399" t="s">
        <v>98</v>
      </c>
    </row>
    <row r="4400" spans="2:33">
      <c r="B4400" s="14">
        <f>10000000+INDEX(编号表!$B:$B,MATCH(H4400,编号表!$A:$A,0))*100000+INDEX(编号表!$F:$F,MATCH(D4400,编号表!$E:$E,0))*10000+INDEX(编号表!$D:$D,MATCH(AG4400,编号表!$C:$C,0))*1000+F4400</f>
        <v>11826037</v>
      </c>
      <c r="C4400" t="s">
        <v>5158</v>
      </c>
      <c r="D4400" t="s">
        <v>112</v>
      </c>
      <c r="E4400" t="s">
        <v>98</v>
      </c>
      <c r="F4400">
        <v>37</v>
      </c>
      <c r="G4400">
        <v>60</v>
      </c>
      <c r="H4400" t="s">
        <v>7524</v>
      </c>
      <c r="I4400" t="s">
        <v>75</v>
      </c>
      <c r="J4400" t="s">
        <v>201</v>
      </c>
      <c r="K4400">
        <v>1</v>
      </c>
      <c r="L4400" t="s">
        <v>7524</v>
      </c>
      <c r="M4400"/>
      <c r="N4400">
        <v>0</v>
      </c>
      <c r="O4400" t="b">
        <v>1</v>
      </c>
      <c r="P4400"/>
      <c r="Q4400" t="b">
        <v>0</v>
      </c>
      <c r="R4400">
        <v>1</v>
      </c>
      <c r="S4400" t="s">
        <v>77</v>
      </c>
      <c r="T4400">
        <v>999</v>
      </c>
      <c r="U4400" t="s">
        <v>7525</v>
      </c>
      <c r="V4400">
        <f t="shared" si="8"/>
        <v>31826037</v>
      </c>
      <c r="W4400"/>
      <c r="X4400" t="s">
        <v>5159</v>
      </c>
      <c r="Y4400" t="s">
        <v>215</v>
      </c>
      <c r="Z4400">
        <v>21612</v>
      </c>
      <c r="AA4400" t="s">
        <v>5160</v>
      </c>
      <c r="AB4400">
        <v>40001</v>
      </c>
      <c r="AC4400"/>
      <c r="AD4400"/>
      <c r="AE4400" t="s">
        <v>7524</v>
      </c>
      <c r="AF4400" t="s">
        <v>7524</v>
      </c>
      <c r="AG4400" t="s">
        <v>98</v>
      </c>
    </row>
    <row r="4401" spans="2:33">
      <c r="B4401" s="14">
        <f>10000000+INDEX(编号表!$B:$B,MATCH(H4401,编号表!$A:$A,0))*100000+INDEX(编号表!$F:$F,MATCH(D4401,编号表!$E:$E,0))*10000+INDEX(编号表!$D:$D,MATCH(AG4401,编号表!$C:$C,0))*1000+F4401</f>
        <v>11826038</v>
      </c>
      <c r="C4401" t="s">
        <v>5165</v>
      </c>
      <c r="D4401" t="s">
        <v>112</v>
      </c>
      <c r="E4401" t="s">
        <v>98</v>
      </c>
      <c r="F4401">
        <v>38</v>
      </c>
      <c r="G4401">
        <v>60</v>
      </c>
      <c r="H4401" t="s">
        <v>7524</v>
      </c>
      <c r="I4401" t="s">
        <v>75</v>
      </c>
      <c r="J4401" t="s">
        <v>201</v>
      </c>
      <c r="K4401">
        <v>1</v>
      </c>
      <c r="L4401" t="s">
        <v>7524</v>
      </c>
      <c r="M4401"/>
      <c r="N4401">
        <v>0</v>
      </c>
      <c r="O4401" t="b">
        <v>1</v>
      </c>
      <c r="P4401"/>
      <c r="Q4401" t="b">
        <v>0</v>
      </c>
      <c r="R4401">
        <v>1</v>
      </c>
      <c r="S4401" t="s">
        <v>77</v>
      </c>
      <c r="T4401">
        <v>999</v>
      </c>
      <c r="U4401" t="s">
        <v>7525</v>
      </c>
      <c r="V4401">
        <f t="shared" si="8"/>
        <v>31826038</v>
      </c>
      <c r="W4401"/>
      <c r="X4401" t="s">
        <v>5166</v>
      </c>
      <c r="Y4401" t="s">
        <v>215</v>
      </c>
      <c r="Z4401">
        <v>21615</v>
      </c>
      <c r="AA4401" t="s">
        <v>5167</v>
      </c>
      <c r="AB4401">
        <v>40001</v>
      </c>
      <c r="AC4401"/>
      <c r="AD4401"/>
      <c r="AE4401" t="s">
        <v>7524</v>
      </c>
      <c r="AF4401" t="s">
        <v>7524</v>
      </c>
      <c r="AG4401" t="s">
        <v>98</v>
      </c>
    </row>
    <row r="4402" spans="2:33">
      <c r="B4402" s="14">
        <f>10000000+INDEX(编号表!$B:$B,MATCH(H4402,编号表!$A:$A,0))*100000+INDEX(编号表!$F:$F,MATCH(D4402,编号表!$E:$E,0))*10000+INDEX(编号表!$D:$D,MATCH(AG4402,编号表!$C:$C,0))*1000+F4402</f>
        <v>11826039</v>
      </c>
      <c r="C4402" t="s">
        <v>5172</v>
      </c>
      <c r="D4402" t="s">
        <v>112</v>
      </c>
      <c r="E4402" t="s">
        <v>98</v>
      </c>
      <c r="F4402">
        <v>39</v>
      </c>
      <c r="G4402">
        <v>60</v>
      </c>
      <c r="H4402" t="s">
        <v>7524</v>
      </c>
      <c r="I4402" t="s">
        <v>75</v>
      </c>
      <c r="J4402" t="s">
        <v>201</v>
      </c>
      <c r="K4402">
        <v>1</v>
      </c>
      <c r="L4402" t="s">
        <v>7524</v>
      </c>
      <c r="M4402"/>
      <c r="N4402">
        <v>0</v>
      </c>
      <c r="O4402" t="b">
        <v>1</v>
      </c>
      <c r="P4402"/>
      <c r="Q4402" t="b">
        <v>0</v>
      </c>
      <c r="R4402">
        <v>1</v>
      </c>
      <c r="S4402" t="s">
        <v>77</v>
      </c>
      <c r="T4402">
        <v>999</v>
      </c>
      <c r="U4402" t="s">
        <v>7525</v>
      </c>
      <c r="V4402">
        <f t="shared" si="8"/>
        <v>31826039</v>
      </c>
      <c r="W4402"/>
      <c r="X4402" t="s">
        <v>5173</v>
      </c>
      <c r="Y4402" t="s">
        <v>215</v>
      </c>
      <c r="Z4402">
        <v>21618</v>
      </c>
      <c r="AA4402" t="s">
        <v>5174</v>
      </c>
      <c r="AB4402">
        <v>40001</v>
      </c>
      <c r="AC4402"/>
      <c r="AD4402"/>
      <c r="AE4402" t="s">
        <v>7524</v>
      </c>
      <c r="AF4402" t="s">
        <v>7524</v>
      </c>
      <c r="AG4402" t="s">
        <v>98</v>
      </c>
    </row>
    <row r="4403" spans="2:33">
      <c r="B4403" s="14">
        <f>10000000+INDEX(编号表!$B:$B,MATCH(H4403,编号表!$A:$A,0))*100000+INDEX(编号表!$F:$F,MATCH(D4403,编号表!$E:$E,0))*10000+INDEX(编号表!$D:$D,MATCH(AG4403,编号表!$C:$C,0))*1000+F4403</f>
        <v>11826040</v>
      </c>
      <c r="C4403" t="s">
        <v>5179</v>
      </c>
      <c r="D4403" t="s">
        <v>112</v>
      </c>
      <c r="E4403" t="s">
        <v>98</v>
      </c>
      <c r="F4403">
        <v>40</v>
      </c>
      <c r="G4403">
        <v>60</v>
      </c>
      <c r="H4403" t="s">
        <v>7524</v>
      </c>
      <c r="I4403" t="s">
        <v>75</v>
      </c>
      <c r="J4403" t="s">
        <v>201</v>
      </c>
      <c r="K4403">
        <v>1</v>
      </c>
      <c r="L4403" t="s">
        <v>7524</v>
      </c>
      <c r="M4403"/>
      <c r="N4403">
        <v>0</v>
      </c>
      <c r="O4403" t="b">
        <v>1</v>
      </c>
      <c r="P4403"/>
      <c r="Q4403" t="b">
        <v>0</v>
      </c>
      <c r="R4403">
        <v>1</v>
      </c>
      <c r="S4403" t="s">
        <v>77</v>
      </c>
      <c r="T4403">
        <v>999</v>
      </c>
      <c r="U4403" t="s">
        <v>7525</v>
      </c>
      <c r="V4403">
        <f t="shared" si="8"/>
        <v>31826040</v>
      </c>
      <c r="W4403"/>
      <c r="X4403" t="s">
        <v>5180</v>
      </c>
      <c r="Y4403" t="s">
        <v>215</v>
      </c>
      <c r="Z4403">
        <v>21621</v>
      </c>
      <c r="AA4403" t="s">
        <v>5181</v>
      </c>
      <c r="AB4403">
        <v>40001</v>
      </c>
      <c r="AC4403"/>
      <c r="AD4403"/>
      <c r="AE4403" t="s">
        <v>7524</v>
      </c>
      <c r="AF4403" t="s">
        <v>7524</v>
      </c>
      <c r="AG4403" t="s">
        <v>98</v>
      </c>
    </row>
    <row r="4404" spans="2:33">
      <c r="B4404" s="14">
        <f>10000000+INDEX(编号表!$B:$B,MATCH(H4404,编号表!$A:$A,0))*100000+INDEX(编号表!$F:$F,MATCH(D4404,编号表!$E:$E,0))*10000+INDEX(编号表!$D:$D,MATCH(AG4404,编号表!$C:$C,0))*1000+F4404</f>
        <v>11826041</v>
      </c>
      <c r="C4404" t="s">
        <v>5186</v>
      </c>
      <c r="D4404" t="s">
        <v>112</v>
      </c>
      <c r="E4404" t="s">
        <v>98</v>
      </c>
      <c r="F4404">
        <v>41</v>
      </c>
      <c r="G4404">
        <v>60</v>
      </c>
      <c r="H4404" t="s">
        <v>7524</v>
      </c>
      <c r="I4404" t="s">
        <v>75</v>
      </c>
      <c r="J4404" t="s">
        <v>201</v>
      </c>
      <c r="K4404">
        <v>1</v>
      </c>
      <c r="L4404" t="s">
        <v>7524</v>
      </c>
      <c r="M4404"/>
      <c r="N4404">
        <v>0</v>
      </c>
      <c r="O4404" t="b">
        <v>1</v>
      </c>
      <c r="P4404"/>
      <c r="Q4404" t="b">
        <v>0</v>
      </c>
      <c r="R4404">
        <v>1</v>
      </c>
      <c r="S4404" t="s">
        <v>77</v>
      </c>
      <c r="T4404">
        <v>999</v>
      </c>
      <c r="U4404" t="s">
        <v>7525</v>
      </c>
      <c r="V4404">
        <f t="shared" si="8"/>
        <v>31826041</v>
      </c>
      <c r="W4404"/>
      <c r="X4404" t="s">
        <v>5187</v>
      </c>
      <c r="Y4404" t="s">
        <v>215</v>
      </c>
      <c r="Z4404">
        <v>21624</v>
      </c>
      <c r="AA4404" t="s">
        <v>5188</v>
      </c>
      <c r="AB4404">
        <v>40001</v>
      </c>
      <c r="AC4404"/>
      <c r="AD4404"/>
      <c r="AE4404" t="s">
        <v>7524</v>
      </c>
      <c r="AF4404" t="s">
        <v>7524</v>
      </c>
      <c r="AG4404" t="s">
        <v>98</v>
      </c>
    </row>
    <row r="4405" spans="2:33">
      <c r="B4405" s="14">
        <f>10000000+INDEX(编号表!$B:$B,MATCH(H4405,编号表!$A:$A,0))*100000+INDEX(编号表!$F:$F,MATCH(D4405,编号表!$E:$E,0))*10000+INDEX(编号表!$D:$D,MATCH(AG4405,编号表!$C:$C,0))*1000+F4405</f>
        <v>11826042</v>
      </c>
      <c r="C4405" t="s">
        <v>5193</v>
      </c>
      <c r="D4405" t="s">
        <v>112</v>
      </c>
      <c r="E4405" t="s">
        <v>98</v>
      </c>
      <c r="F4405">
        <v>42</v>
      </c>
      <c r="G4405">
        <v>60</v>
      </c>
      <c r="H4405" t="s">
        <v>7524</v>
      </c>
      <c r="I4405" t="s">
        <v>75</v>
      </c>
      <c r="J4405" t="s">
        <v>201</v>
      </c>
      <c r="K4405">
        <v>1</v>
      </c>
      <c r="L4405" t="s">
        <v>7524</v>
      </c>
      <c r="M4405"/>
      <c r="N4405">
        <v>0</v>
      </c>
      <c r="O4405" t="b">
        <v>1</v>
      </c>
      <c r="P4405"/>
      <c r="Q4405" t="b">
        <v>0</v>
      </c>
      <c r="R4405">
        <v>1</v>
      </c>
      <c r="S4405" t="s">
        <v>77</v>
      </c>
      <c r="T4405">
        <v>999</v>
      </c>
      <c r="U4405" t="s">
        <v>7525</v>
      </c>
      <c r="V4405">
        <f t="shared" si="8"/>
        <v>31826042</v>
      </c>
      <c r="W4405"/>
      <c r="X4405" t="s">
        <v>5194</v>
      </c>
      <c r="Y4405" t="s">
        <v>215</v>
      </c>
      <c r="Z4405">
        <v>21627</v>
      </c>
      <c r="AA4405" t="s">
        <v>5195</v>
      </c>
      <c r="AB4405">
        <v>40001</v>
      </c>
      <c r="AC4405"/>
      <c r="AD4405"/>
      <c r="AE4405" t="s">
        <v>7524</v>
      </c>
      <c r="AF4405" t="s">
        <v>7524</v>
      </c>
      <c r="AG4405" t="s">
        <v>98</v>
      </c>
    </row>
    <row r="4406" spans="2:33">
      <c r="B4406" s="14">
        <f>10000000+INDEX(编号表!$B:$B,MATCH(H4406,编号表!$A:$A,0))*100000+INDEX(编号表!$F:$F,MATCH(D4406,编号表!$E:$E,0))*10000+INDEX(编号表!$D:$D,MATCH(AG4406,编号表!$C:$C,0))*1000+F4406</f>
        <v>11826043</v>
      </c>
      <c r="C4406" t="s">
        <v>5200</v>
      </c>
      <c r="D4406" t="s">
        <v>112</v>
      </c>
      <c r="E4406" t="s">
        <v>98</v>
      </c>
      <c r="F4406">
        <v>43</v>
      </c>
      <c r="G4406">
        <v>60</v>
      </c>
      <c r="H4406" t="s">
        <v>7524</v>
      </c>
      <c r="I4406" t="s">
        <v>75</v>
      </c>
      <c r="J4406" t="s">
        <v>201</v>
      </c>
      <c r="K4406">
        <v>1</v>
      </c>
      <c r="L4406" t="s">
        <v>7524</v>
      </c>
      <c r="M4406"/>
      <c r="N4406">
        <v>0</v>
      </c>
      <c r="O4406" t="b">
        <v>1</v>
      </c>
      <c r="P4406"/>
      <c r="Q4406" t="b">
        <v>0</v>
      </c>
      <c r="R4406">
        <v>1</v>
      </c>
      <c r="S4406" t="s">
        <v>77</v>
      </c>
      <c r="T4406">
        <v>999</v>
      </c>
      <c r="U4406" t="s">
        <v>7525</v>
      </c>
      <c r="V4406">
        <f t="shared" si="8"/>
        <v>31826043</v>
      </c>
      <c r="W4406"/>
      <c r="X4406" t="s">
        <v>5201</v>
      </c>
      <c r="Y4406" t="s">
        <v>215</v>
      </c>
      <c r="Z4406">
        <v>21630</v>
      </c>
      <c r="AA4406" t="s">
        <v>5202</v>
      </c>
      <c r="AB4406">
        <v>40001</v>
      </c>
      <c r="AC4406"/>
      <c r="AD4406"/>
      <c r="AE4406" t="s">
        <v>7524</v>
      </c>
      <c r="AF4406" t="s">
        <v>7524</v>
      </c>
      <c r="AG4406" t="s">
        <v>98</v>
      </c>
    </row>
    <row r="4407" spans="2:33">
      <c r="B4407" s="14">
        <f>10000000+INDEX(编号表!$B:$B,MATCH(H4407,编号表!$A:$A,0))*100000+INDEX(编号表!$F:$F,MATCH(D4407,编号表!$E:$E,0))*10000+INDEX(编号表!$D:$D,MATCH(AG4407,编号表!$C:$C,0))*1000+F4407</f>
        <v>11826044</v>
      </c>
      <c r="C4407" t="s">
        <v>5207</v>
      </c>
      <c r="D4407" t="s">
        <v>112</v>
      </c>
      <c r="E4407" t="s">
        <v>98</v>
      </c>
      <c r="F4407">
        <v>44</v>
      </c>
      <c r="G4407">
        <v>60</v>
      </c>
      <c r="H4407" t="s">
        <v>7524</v>
      </c>
      <c r="I4407" t="s">
        <v>75</v>
      </c>
      <c r="J4407" t="s">
        <v>201</v>
      </c>
      <c r="K4407">
        <v>1</v>
      </c>
      <c r="L4407" t="s">
        <v>7524</v>
      </c>
      <c r="M4407"/>
      <c r="N4407">
        <v>0</v>
      </c>
      <c r="O4407" t="b">
        <v>1</v>
      </c>
      <c r="P4407"/>
      <c r="Q4407" t="b">
        <v>0</v>
      </c>
      <c r="R4407">
        <v>1</v>
      </c>
      <c r="S4407" t="s">
        <v>77</v>
      </c>
      <c r="T4407">
        <v>999</v>
      </c>
      <c r="U4407" t="s">
        <v>7525</v>
      </c>
      <c r="V4407">
        <f t="shared" si="8"/>
        <v>31826044</v>
      </c>
      <c r="W4407"/>
      <c r="X4407" t="s">
        <v>5208</v>
      </c>
      <c r="Y4407" t="s">
        <v>215</v>
      </c>
      <c r="Z4407">
        <v>21633</v>
      </c>
      <c r="AA4407" t="s">
        <v>5209</v>
      </c>
      <c r="AB4407">
        <v>40001</v>
      </c>
      <c r="AC4407"/>
      <c r="AD4407"/>
      <c r="AE4407" t="s">
        <v>7524</v>
      </c>
      <c r="AF4407" t="s">
        <v>7524</v>
      </c>
      <c r="AG4407" t="s">
        <v>98</v>
      </c>
    </row>
    <row r="4408" spans="2:33">
      <c r="B4408" s="14">
        <f>10000000+INDEX(编号表!$B:$B,MATCH(H4408,编号表!$A:$A,0))*100000+INDEX(编号表!$F:$F,MATCH(D4408,编号表!$E:$E,0))*10000+INDEX(编号表!$D:$D,MATCH(AG4408,编号表!$C:$C,0))*1000+F4408</f>
        <v>11826045</v>
      </c>
      <c r="C4408" t="s">
        <v>5214</v>
      </c>
      <c r="D4408" t="s">
        <v>112</v>
      </c>
      <c r="E4408" t="s">
        <v>98</v>
      </c>
      <c r="F4408">
        <v>45</v>
      </c>
      <c r="G4408">
        <v>60</v>
      </c>
      <c r="H4408" t="s">
        <v>7524</v>
      </c>
      <c r="I4408" t="s">
        <v>75</v>
      </c>
      <c r="J4408" t="s">
        <v>201</v>
      </c>
      <c r="K4408">
        <v>1</v>
      </c>
      <c r="L4408" t="s">
        <v>7524</v>
      </c>
      <c r="M4408"/>
      <c r="N4408">
        <v>0</v>
      </c>
      <c r="O4408" t="b">
        <v>1</v>
      </c>
      <c r="P4408"/>
      <c r="Q4408" t="b">
        <v>0</v>
      </c>
      <c r="R4408">
        <v>1</v>
      </c>
      <c r="S4408" t="s">
        <v>77</v>
      </c>
      <c r="T4408">
        <v>999</v>
      </c>
      <c r="U4408" t="s">
        <v>7525</v>
      </c>
      <c r="V4408">
        <f t="shared" si="8"/>
        <v>31826045</v>
      </c>
      <c r="W4408"/>
      <c r="X4408" t="s">
        <v>5215</v>
      </c>
      <c r="Y4408" t="s">
        <v>215</v>
      </c>
      <c r="Z4408">
        <v>21636</v>
      </c>
      <c r="AA4408" t="s">
        <v>5216</v>
      </c>
      <c r="AB4408">
        <v>40001</v>
      </c>
      <c r="AC4408"/>
      <c r="AD4408"/>
      <c r="AE4408" t="s">
        <v>7524</v>
      </c>
      <c r="AF4408" t="s">
        <v>7524</v>
      </c>
      <c r="AG4408" t="s">
        <v>98</v>
      </c>
    </row>
    <row r="4409" spans="2:33">
      <c r="B4409" s="14">
        <f>10000000+INDEX(编号表!$B:$B,MATCH(H4409,编号表!$A:$A,0))*100000+INDEX(编号表!$F:$F,MATCH(D4409,编号表!$E:$E,0))*10000+INDEX(编号表!$D:$D,MATCH(AG4409,编号表!$C:$C,0))*1000+F4409</f>
        <v>11826046</v>
      </c>
      <c r="C4409" t="s">
        <v>5221</v>
      </c>
      <c r="D4409" t="s">
        <v>112</v>
      </c>
      <c r="E4409" t="s">
        <v>98</v>
      </c>
      <c r="F4409">
        <v>46</v>
      </c>
      <c r="G4409">
        <v>60</v>
      </c>
      <c r="H4409" t="s">
        <v>7524</v>
      </c>
      <c r="I4409" t="s">
        <v>75</v>
      </c>
      <c r="J4409" t="s">
        <v>201</v>
      </c>
      <c r="K4409">
        <v>1</v>
      </c>
      <c r="L4409" t="s">
        <v>7524</v>
      </c>
      <c r="M4409"/>
      <c r="N4409">
        <v>0</v>
      </c>
      <c r="O4409" t="b">
        <v>1</v>
      </c>
      <c r="P4409"/>
      <c r="Q4409" t="b">
        <v>0</v>
      </c>
      <c r="R4409">
        <v>1</v>
      </c>
      <c r="S4409" t="s">
        <v>77</v>
      </c>
      <c r="T4409">
        <v>999</v>
      </c>
      <c r="U4409" t="s">
        <v>7525</v>
      </c>
      <c r="V4409">
        <f t="shared" si="8"/>
        <v>31826046</v>
      </c>
      <c r="W4409"/>
      <c r="X4409" t="s">
        <v>5222</v>
      </c>
      <c r="Y4409" t="s">
        <v>215</v>
      </c>
      <c r="Z4409">
        <v>21639</v>
      </c>
      <c r="AA4409" t="s">
        <v>5223</v>
      </c>
      <c r="AB4409">
        <v>40001</v>
      </c>
      <c r="AC4409"/>
      <c r="AD4409"/>
      <c r="AE4409" t="s">
        <v>7524</v>
      </c>
      <c r="AF4409" t="s">
        <v>7524</v>
      </c>
      <c r="AG4409" t="s">
        <v>98</v>
      </c>
    </row>
    <row r="4410" spans="2:33">
      <c r="B4410" s="14">
        <f>10000000+INDEX(编号表!$B:$B,MATCH(H4410,编号表!$A:$A,0))*100000+INDEX(编号表!$F:$F,MATCH(D4410,编号表!$E:$E,0))*10000+INDEX(编号表!$D:$D,MATCH(AG4410,编号表!$C:$C,0))*1000+F4410</f>
        <v>11826047</v>
      </c>
      <c r="C4410" t="s">
        <v>5228</v>
      </c>
      <c r="D4410" t="s">
        <v>112</v>
      </c>
      <c r="E4410" t="s">
        <v>98</v>
      </c>
      <c r="F4410">
        <v>47</v>
      </c>
      <c r="G4410">
        <v>60</v>
      </c>
      <c r="H4410" t="s">
        <v>7524</v>
      </c>
      <c r="I4410" t="s">
        <v>75</v>
      </c>
      <c r="J4410" t="s">
        <v>201</v>
      </c>
      <c r="K4410">
        <v>1</v>
      </c>
      <c r="L4410" t="s">
        <v>7524</v>
      </c>
      <c r="M4410"/>
      <c r="N4410">
        <v>0</v>
      </c>
      <c r="O4410" t="b">
        <v>1</v>
      </c>
      <c r="P4410"/>
      <c r="Q4410" t="b">
        <v>0</v>
      </c>
      <c r="R4410">
        <v>1</v>
      </c>
      <c r="S4410" t="s">
        <v>77</v>
      </c>
      <c r="T4410">
        <v>999</v>
      </c>
      <c r="U4410" t="s">
        <v>7525</v>
      </c>
      <c r="V4410">
        <f t="shared" si="8"/>
        <v>31826047</v>
      </c>
      <c r="W4410"/>
      <c r="X4410" t="s">
        <v>5229</v>
      </c>
      <c r="Y4410" t="s">
        <v>215</v>
      </c>
      <c r="Z4410">
        <v>21642</v>
      </c>
      <c r="AA4410" t="s">
        <v>5230</v>
      </c>
      <c r="AB4410">
        <v>40001</v>
      </c>
      <c r="AC4410"/>
      <c r="AD4410"/>
      <c r="AE4410" t="s">
        <v>7524</v>
      </c>
      <c r="AF4410" t="s">
        <v>7524</v>
      </c>
      <c r="AG4410" t="s">
        <v>98</v>
      </c>
    </row>
    <row r="4411" spans="2:33">
      <c r="B4411" s="14">
        <f>10000000+INDEX(编号表!$B:$B,MATCH(H4411,编号表!$A:$A,0))*100000+INDEX(编号表!$F:$F,MATCH(D4411,编号表!$E:$E,0))*10000+INDEX(编号表!$D:$D,MATCH(AG4411,编号表!$C:$C,0))*1000+F4411</f>
        <v>11826048</v>
      </c>
      <c r="C4411" t="s">
        <v>5235</v>
      </c>
      <c r="D4411" t="s">
        <v>112</v>
      </c>
      <c r="E4411" t="s">
        <v>98</v>
      </c>
      <c r="F4411">
        <v>48</v>
      </c>
      <c r="G4411">
        <v>60</v>
      </c>
      <c r="H4411" t="s">
        <v>7524</v>
      </c>
      <c r="I4411" t="s">
        <v>75</v>
      </c>
      <c r="J4411" t="s">
        <v>201</v>
      </c>
      <c r="K4411">
        <v>1</v>
      </c>
      <c r="L4411" t="s">
        <v>7524</v>
      </c>
      <c r="M4411"/>
      <c r="N4411">
        <v>0</v>
      </c>
      <c r="O4411" t="b">
        <v>1</v>
      </c>
      <c r="P4411"/>
      <c r="Q4411" t="b">
        <v>0</v>
      </c>
      <c r="R4411">
        <v>1</v>
      </c>
      <c r="S4411" t="s">
        <v>77</v>
      </c>
      <c r="T4411">
        <v>999</v>
      </c>
      <c r="U4411" t="s">
        <v>7525</v>
      </c>
      <c r="V4411">
        <f t="shared" si="8"/>
        <v>31826048</v>
      </c>
      <c r="W4411"/>
      <c r="X4411" t="s">
        <v>5236</v>
      </c>
      <c r="Y4411" t="s">
        <v>215</v>
      </c>
      <c r="Z4411">
        <v>21645</v>
      </c>
      <c r="AA4411" t="s">
        <v>5237</v>
      </c>
      <c r="AB4411">
        <v>40001</v>
      </c>
      <c r="AC4411"/>
      <c r="AD4411"/>
      <c r="AE4411" t="s">
        <v>7524</v>
      </c>
      <c r="AF4411" t="s">
        <v>7524</v>
      </c>
      <c r="AG4411" t="s">
        <v>98</v>
      </c>
    </row>
    <row r="4412" spans="2:33">
      <c r="B4412" s="14">
        <f>10000000+INDEX(编号表!$B:$B,MATCH(H4412,编号表!$A:$A,0))*100000+INDEX(编号表!$F:$F,MATCH(D4412,编号表!$E:$E,0))*10000+INDEX(编号表!$D:$D,MATCH(AG4412,编号表!$C:$C,0))*1000+F4412</f>
        <v>11826049</v>
      </c>
      <c r="C4412" t="s">
        <v>5242</v>
      </c>
      <c r="D4412" t="s">
        <v>112</v>
      </c>
      <c r="E4412" t="s">
        <v>98</v>
      </c>
      <c r="F4412">
        <v>49</v>
      </c>
      <c r="G4412">
        <v>60</v>
      </c>
      <c r="H4412" t="s">
        <v>7524</v>
      </c>
      <c r="I4412" t="s">
        <v>75</v>
      </c>
      <c r="J4412" t="s">
        <v>201</v>
      </c>
      <c r="K4412">
        <v>1</v>
      </c>
      <c r="L4412" t="s">
        <v>7524</v>
      </c>
      <c r="M4412"/>
      <c r="N4412">
        <v>0</v>
      </c>
      <c r="O4412" t="b">
        <v>1</v>
      </c>
      <c r="P4412"/>
      <c r="Q4412" t="b">
        <v>0</v>
      </c>
      <c r="R4412">
        <v>1</v>
      </c>
      <c r="S4412" t="s">
        <v>77</v>
      </c>
      <c r="T4412">
        <v>999</v>
      </c>
      <c r="U4412" t="s">
        <v>7525</v>
      </c>
      <c r="V4412">
        <f t="shared" si="8"/>
        <v>31826049</v>
      </c>
      <c r="W4412"/>
      <c r="X4412" t="s">
        <v>5243</v>
      </c>
      <c r="Y4412" t="s">
        <v>215</v>
      </c>
      <c r="Z4412">
        <v>21648</v>
      </c>
      <c r="AA4412" t="s">
        <v>5244</v>
      </c>
      <c r="AB4412">
        <v>40001</v>
      </c>
      <c r="AC4412"/>
      <c r="AD4412"/>
      <c r="AE4412" t="s">
        <v>7524</v>
      </c>
      <c r="AF4412" t="s">
        <v>7524</v>
      </c>
      <c r="AG4412" t="s">
        <v>98</v>
      </c>
    </row>
    <row r="4413" spans="2:33">
      <c r="B4413" s="14">
        <f>10000000+INDEX(编号表!$B:$B,MATCH(H4413,编号表!$A:$A,0))*100000+INDEX(编号表!$F:$F,MATCH(D4413,编号表!$E:$E,0))*10000+INDEX(编号表!$D:$D,MATCH(AG4413,编号表!$C:$C,0))*1000+F4413</f>
        <v>11826050</v>
      </c>
      <c r="C4413" t="s">
        <v>5249</v>
      </c>
      <c r="D4413" t="s">
        <v>112</v>
      </c>
      <c r="E4413" t="s">
        <v>98</v>
      </c>
      <c r="F4413">
        <v>50</v>
      </c>
      <c r="G4413">
        <v>60</v>
      </c>
      <c r="H4413" t="s">
        <v>7524</v>
      </c>
      <c r="I4413" t="s">
        <v>75</v>
      </c>
      <c r="J4413" t="s">
        <v>201</v>
      </c>
      <c r="K4413">
        <v>1</v>
      </c>
      <c r="L4413" t="s">
        <v>7524</v>
      </c>
      <c r="M4413"/>
      <c r="N4413">
        <v>0</v>
      </c>
      <c r="O4413" t="b">
        <v>1</v>
      </c>
      <c r="P4413"/>
      <c r="Q4413" t="b">
        <v>0</v>
      </c>
      <c r="R4413">
        <v>1</v>
      </c>
      <c r="S4413" t="s">
        <v>77</v>
      </c>
      <c r="T4413">
        <v>999</v>
      </c>
      <c r="U4413" t="s">
        <v>7525</v>
      </c>
      <c r="V4413">
        <f t="shared" si="8"/>
        <v>31826050</v>
      </c>
      <c r="W4413"/>
      <c r="X4413" t="s">
        <v>5250</v>
      </c>
      <c r="Y4413" t="s">
        <v>215</v>
      </c>
      <c r="Z4413">
        <v>21651</v>
      </c>
      <c r="AA4413" t="s">
        <v>5251</v>
      </c>
      <c r="AB4413">
        <v>40001</v>
      </c>
      <c r="AC4413"/>
      <c r="AD4413"/>
      <c r="AE4413" t="s">
        <v>7524</v>
      </c>
      <c r="AF4413" t="s">
        <v>7524</v>
      </c>
      <c r="AG4413" t="s">
        <v>98</v>
      </c>
    </row>
    <row r="4414" spans="2:33">
      <c r="B4414" s="14">
        <f>10000000+INDEX(编号表!$B:$B,MATCH(H4414,编号表!$A:$A,0))*100000+INDEX(编号表!$F:$F,MATCH(D4414,编号表!$E:$E,0))*10000+INDEX(编号表!$D:$D,MATCH(AG4414,编号表!$C:$C,0))*1000+F4414</f>
        <v>11826051</v>
      </c>
      <c r="C4414" t="s">
        <v>5256</v>
      </c>
      <c r="D4414" t="s">
        <v>112</v>
      </c>
      <c r="E4414" t="s">
        <v>98</v>
      </c>
      <c r="F4414">
        <v>51</v>
      </c>
      <c r="G4414">
        <v>60</v>
      </c>
      <c r="H4414" t="s">
        <v>7524</v>
      </c>
      <c r="I4414" t="s">
        <v>75</v>
      </c>
      <c r="J4414" t="s">
        <v>201</v>
      </c>
      <c r="K4414">
        <v>1</v>
      </c>
      <c r="L4414" t="s">
        <v>7524</v>
      </c>
      <c r="M4414"/>
      <c r="N4414">
        <v>0</v>
      </c>
      <c r="O4414" t="b">
        <v>1</v>
      </c>
      <c r="P4414"/>
      <c r="Q4414" t="b">
        <v>0</v>
      </c>
      <c r="R4414">
        <v>1</v>
      </c>
      <c r="S4414" t="s">
        <v>77</v>
      </c>
      <c r="T4414">
        <v>999</v>
      </c>
      <c r="U4414" t="s">
        <v>7525</v>
      </c>
      <c r="V4414">
        <f t="shared" si="8"/>
        <v>31826051</v>
      </c>
      <c r="W4414"/>
      <c r="X4414" t="s">
        <v>5257</v>
      </c>
      <c r="Y4414" t="s">
        <v>215</v>
      </c>
      <c r="Z4414">
        <v>21654</v>
      </c>
      <c r="AA4414" t="s">
        <v>5258</v>
      </c>
      <c r="AB4414">
        <v>40001</v>
      </c>
      <c r="AC4414"/>
      <c r="AD4414"/>
      <c r="AE4414" t="s">
        <v>7524</v>
      </c>
      <c r="AF4414" t="s">
        <v>7524</v>
      </c>
      <c r="AG4414" t="s">
        <v>98</v>
      </c>
    </row>
    <row r="4415" spans="2:33">
      <c r="B4415" s="14">
        <f>10000000+INDEX(编号表!$B:$B,MATCH(H4415,编号表!$A:$A,0))*100000+INDEX(编号表!$F:$F,MATCH(D4415,编号表!$E:$E,0))*10000+INDEX(编号表!$D:$D,MATCH(AG4415,编号表!$C:$C,0))*1000+F4415</f>
        <v>11826052</v>
      </c>
      <c r="C4415" t="s">
        <v>5263</v>
      </c>
      <c r="D4415" t="s">
        <v>112</v>
      </c>
      <c r="E4415" t="s">
        <v>98</v>
      </c>
      <c r="F4415">
        <v>52</v>
      </c>
      <c r="G4415">
        <v>60</v>
      </c>
      <c r="H4415" t="s">
        <v>7524</v>
      </c>
      <c r="I4415" t="s">
        <v>75</v>
      </c>
      <c r="J4415" t="s">
        <v>201</v>
      </c>
      <c r="K4415">
        <v>1</v>
      </c>
      <c r="L4415" t="s">
        <v>7524</v>
      </c>
      <c r="M4415"/>
      <c r="N4415">
        <v>0</v>
      </c>
      <c r="O4415" t="b">
        <v>1</v>
      </c>
      <c r="P4415"/>
      <c r="Q4415" t="b">
        <v>0</v>
      </c>
      <c r="R4415">
        <v>1</v>
      </c>
      <c r="S4415" t="s">
        <v>77</v>
      </c>
      <c r="T4415">
        <v>999</v>
      </c>
      <c r="U4415" t="s">
        <v>7525</v>
      </c>
      <c r="V4415">
        <f t="shared" si="8"/>
        <v>31826052</v>
      </c>
      <c r="W4415"/>
      <c r="X4415" t="s">
        <v>5264</v>
      </c>
      <c r="Y4415" t="s">
        <v>215</v>
      </c>
      <c r="Z4415">
        <v>21657</v>
      </c>
      <c r="AA4415" t="s">
        <v>5265</v>
      </c>
      <c r="AB4415">
        <v>40001</v>
      </c>
      <c r="AC4415"/>
      <c r="AD4415"/>
      <c r="AE4415" t="s">
        <v>7524</v>
      </c>
      <c r="AF4415" t="s">
        <v>7524</v>
      </c>
      <c r="AG4415" t="s">
        <v>98</v>
      </c>
    </row>
    <row r="4416" spans="2:33">
      <c r="B4416" s="14">
        <f>10000000+INDEX(编号表!$B:$B,MATCH(H4416,编号表!$A:$A,0))*100000+INDEX(编号表!$F:$F,MATCH(D4416,编号表!$E:$E,0))*10000+INDEX(编号表!$D:$D,MATCH(AG4416,编号表!$C:$C,0))*1000+F4416</f>
        <v>11826053</v>
      </c>
      <c r="C4416" t="s">
        <v>5270</v>
      </c>
      <c r="D4416" t="s">
        <v>112</v>
      </c>
      <c r="E4416" t="s">
        <v>98</v>
      </c>
      <c r="F4416">
        <v>53</v>
      </c>
      <c r="G4416">
        <v>60</v>
      </c>
      <c r="H4416" t="s">
        <v>7524</v>
      </c>
      <c r="I4416" t="s">
        <v>75</v>
      </c>
      <c r="J4416" t="s">
        <v>201</v>
      </c>
      <c r="K4416">
        <v>1</v>
      </c>
      <c r="L4416" t="s">
        <v>7524</v>
      </c>
      <c r="M4416"/>
      <c r="N4416">
        <v>0</v>
      </c>
      <c r="O4416" t="b">
        <v>1</v>
      </c>
      <c r="P4416"/>
      <c r="Q4416" t="b">
        <v>0</v>
      </c>
      <c r="R4416">
        <v>1</v>
      </c>
      <c r="S4416" t="s">
        <v>77</v>
      </c>
      <c r="T4416">
        <v>999</v>
      </c>
      <c r="U4416" t="s">
        <v>7525</v>
      </c>
      <c r="V4416">
        <f t="shared" si="8"/>
        <v>31826053</v>
      </c>
      <c r="W4416"/>
      <c r="X4416" t="s">
        <v>5271</v>
      </c>
      <c r="Y4416" t="s">
        <v>215</v>
      </c>
      <c r="Z4416">
        <v>21660</v>
      </c>
      <c r="AA4416" t="s">
        <v>5272</v>
      </c>
      <c r="AB4416">
        <v>40001</v>
      </c>
      <c r="AC4416"/>
      <c r="AD4416"/>
      <c r="AE4416" t="s">
        <v>7524</v>
      </c>
      <c r="AF4416" t="s">
        <v>7524</v>
      </c>
      <c r="AG4416" t="s">
        <v>98</v>
      </c>
    </row>
    <row r="4417" spans="2:33">
      <c r="B4417" s="14">
        <f>10000000+INDEX(编号表!$B:$B,MATCH(H4417,编号表!$A:$A,0))*100000+INDEX(编号表!$F:$F,MATCH(D4417,编号表!$E:$E,0))*10000+INDEX(编号表!$D:$D,MATCH(AG4417,编号表!$C:$C,0))*1000+F4417</f>
        <v>11826054</v>
      </c>
      <c r="C4417" t="s">
        <v>5277</v>
      </c>
      <c r="D4417" t="s">
        <v>112</v>
      </c>
      <c r="E4417" t="s">
        <v>98</v>
      </c>
      <c r="F4417">
        <v>54</v>
      </c>
      <c r="G4417">
        <v>60</v>
      </c>
      <c r="H4417" t="s">
        <v>7524</v>
      </c>
      <c r="I4417" t="s">
        <v>75</v>
      </c>
      <c r="J4417" t="s">
        <v>201</v>
      </c>
      <c r="K4417">
        <v>1</v>
      </c>
      <c r="L4417" t="s">
        <v>7524</v>
      </c>
      <c r="M4417"/>
      <c r="N4417">
        <v>0</v>
      </c>
      <c r="O4417" t="b">
        <v>1</v>
      </c>
      <c r="P4417"/>
      <c r="Q4417" t="b">
        <v>0</v>
      </c>
      <c r="R4417">
        <v>1</v>
      </c>
      <c r="S4417" t="s">
        <v>77</v>
      </c>
      <c r="T4417">
        <v>999</v>
      </c>
      <c r="U4417" t="s">
        <v>7525</v>
      </c>
      <c r="V4417">
        <f t="shared" si="8"/>
        <v>31826054</v>
      </c>
      <c r="W4417"/>
      <c r="X4417" t="s">
        <v>5278</v>
      </c>
      <c r="Y4417" t="s">
        <v>215</v>
      </c>
      <c r="Z4417">
        <v>21663</v>
      </c>
      <c r="AA4417" t="s">
        <v>5279</v>
      </c>
      <c r="AB4417">
        <v>40001</v>
      </c>
      <c r="AC4417"/>
      <c r="AD4417"/>
      <c r="AE4417" t="s">
        <v>7524</v>
      </c>
      <c r="AF4417" t="s">
        <v>7524</v>
      </c>
      <c r="AG4417" t="s">
        <v>98</v>
      </c>
    </row>
    <row r="4418" spans="2:33">
      <c r="B4418" s="14">
        <f>10000000+INDEX(编号表!$B:$B,MATCH(H4418,编号表!$A:$A,0))*100000+INDEX(编号表!$F:$F,MATCH(D4418,编号表!$E:$E,0))*10000+INDEX(编号表!$D:$D,MATCH(AG4418,编号表!$C:$C,0))*1000+F4418</f>
        <v>11826055</v>
      </c>
      <c r="C4418" t="s">
        <v>5284</v>
      </c>
      <c r="D4418" t="s">
        <v>112</v>
      </c>
      <c r="E4418" t="s">
        <v>98</v>
      </c>
      <c r="F4418">
        <v>55</v>
      </c>
      <c r="G4418">
        <v>60</v>
      </c>
      <c r="H4418" t="s">
        <v>7524</v>
      </c>
      <c r="I4418" t="s">
        <v>75</v>
      </c>
      <c r="J4418" t="s">
        <v>201</v>
      </c>
      <c r="K4418">
        <v>1</v>
      </c>
      <c r="L4418" t="s">
        <v>7524</v>
      </c>
      <c r="M4418"/>
      <c r="N4418">
        <v>0</v>
      </c>
      <c r="O4418" t="b">
        <v>1</v>
      </c>
      <c r="P4418"/>
      <c r="Q4418" t="b">
        <v>0</v>
      </c>
      <c r="R4418">
        <v>1</v>
      </c>
      <c r="S4418" t="s">
        <v>77</v>
      </c>
      <c r="T4418">
        <v>999</v>
      </c>
      <c r="U4418" t="s">
        <v>7525</v>
      </c>
      <c r="V4418">
        <f t="shared" si="8"/>
        <v>31826055</v>
      </c>
      <c r="W4418"/>
      <c r="X4418" t="s">
        <v>5285</v>
      </c>
      <c r="Y4418" t="s">
        <v>215</v>
      </c>
      <c r="Z4418">
        <v>21666</v>
      </c>
      <c r="AA4418" t="s">
        <v>5286</v>
      </c>
      <c r="AB4418">
        <v>40001</v>
      </c>
      <c r="AC4418"/>
      <c r="AD4418"/>
      <c r="AE4418" t="s">
        <v>7524</v>
      </c>
      <c r="AF4418" t="s">
        <v>7524</v>
      </c>
      <c r="AG4418" t="s">
        <v>98</v>
      </c>
    </row>
    <row r="4419" spans="2:33">
      <c r="B4419" s="14">
        <f>10000000+INDEX(编号表!$B:$B,MATCH(H4419,编号表!$A:$A,0))*100000+INDEX(编号表!$F:$F,MATCH(D4419,编号表!$E:$E,0))*10000+INDEX(编号表!$D:$D,MATCH(AG4419,编号表!$C:$C,0))*1000+F4419</f>
        <v>11826056</v>
      </c>
      <c r="C4419" t="s">
        <v>5291</v>
      </c>
      <c r="D4419" t="s">
        <v>112</v>
      </c>
      <c r="E4419" t="s">
        <v>98</v>
      </c>
      <c r="F4419">
        <v>56</v>
      </c>
      <c r="G4419">
        <v>60</v>
      </c>
      <c r="H4419" t="s">
        <v>7524</v>
      </c>
      <c r="I4419" t="s">
        <v>75</v>
      </c>
      <c r="J4419" t="s">
        <v>201</v>
      </c>
      <c r="K4419">
        <v>1</v>
      </c>
      <c r="L4419" t="s">
        <v>7524</v>
      </c>
      <c r="M4419"/>
      <c r="N4419">
        <v>0</v>
      </c>
      <c r="O4419" t="b">
        <v>1</v>
      </c>
      <c r="P4419"/>
      <c r="Q4419" t="b">
        <v>0</v>
      </c>
      <c r="R4419">
        <v>1</v>
      </c>
      <c r="S4419" t="s">
        <v>77</v>
      </c>
      <c r="T4419">
        <v>999</v>
      </c>
      <c r="U4419" t="s">
        <v>7525</v>
      </c>
      <c r="V4419">
        <f t="shared" si="8"/>
        <v>31826056</v>
      </c>
      <c r="W4419"/>
      <c r="X4419" t="s">
        <v>5292</v>
      </c>
      <c r="Y4419" t="s">
        <v>215</v>
      </c>
      <c r="Z4419">
        <v>21669</v>
      </c>
      <c r="AA4419" t="s">
        <v>5293</v>
      </c>
      <c r="AB4419">
        <v>40001</v>
      </c>
      <c r="AC4419"/>
      <c r="AD4419"/>
      <c r="AE4419" t="s">
        <v>7524</v>
      </c>
      <c r="AF4419" t="s">
        <v>7524</v>
      </c>
      <c r="AG4419" t="s">
        <v>98</v>
      </c>
    </row>
    <row r="4420" spans="2:33">
      <c r="B4420" s="14">
        <f>10000000+INDEX(编号表!$B:$B,MATCH(H4420,编号表!$A:$A,0))*100000+INDEX(编号表!$F:$F,MATCH(D4420,编号表!$E:$E,0))*10000+INDEX(编号表!$D:$D,MATCH(AG4420,编号表!$C:$C,0))*1000+F4420</f>
        <v>11826057</v>
      </c>
      <c r="C4420" t="s">
        <v>5298</v>
      </c>
      <c r="D4420" t="s">
        <v>112</v>
      </c>
      <c r="E4420" t="s">
        <v>98</v>
      </c>
      <c r="F4420">
        <v>57</v>
      </c>
      <c r="G4420">
        <v>60</v>
      </c>
      <c r="H4420" t="s">
        <v>7524</v>
      </c>
      <c r="I4420" t="s">
        <v>75</v>
      </c>
      <c r="J4420" t="s">
        <v>201</v>
      </c>
      <c r="K4420">
        <v>1</v>
      </c>
      <c r="L4420" t="s">
        <v>7524</v>
      </c>
      <c r="M4420"/>
      <c r="N4420">
        <v>0</v>
      </c>
      <c r="O4420" t="b">
        <v>1</v>
      </c>
      <c r="P4420"/>
      <c r="Q4420" t="b">
        <v>0</v>
      </c>
      <c r="R4420">
        <v>1</v>
      </c>
      <c r="S4420" t="s">
        <v>77</v>
      </c>
      <c r="T4420">
        <v>999</v>
      </c>
      <c r="U4420" t="s">
        <v>7525</v>
      </c>
      <c r="V4420">
        <f t="shared" si="8"/>
        <v>31826057</v>
      </c>
      <c r="W4420"/>
      <c r="X4420" t="s">
        <v>5299</v>
      </c>
      <c r="Y4420" t="s">
        <v>215</v>
      </c>
      <c r="Z4420">
        <v>21672</v>
      </c>
      <c r="AA4420" t="s">
        <v>5300</v>
      </c>
      <c r="AB4420">
        <v>40001</v>
      </c>
      <c r="AC4420"/>
      <c r="AD4420"/>
      <c r="AE4420" t="s">
        <v>7524</v>
      </c>
      <c r="AF4420" t="s">
        <v>7524</v>
      </c>
      <c r="AG4420" t="s">
        <v>98</v>
      </c>
    </row>
    <row r="4421" spans="2:33">
      <c r="B4421" s="14">
        <f>10000000+INDEX(编号表!$B:$B,MATCH(H4421,编号表!$A:$A,0))*100000+INDEX(编号表!$F:$F,MATCH(D4421,编号表!$E:$E,0))*10000+INDEX(编号表!$D:$D,MATCH(AG4421,编号表!$C:$C,0))*1000+F4421</f>
        <v>11826058</v>
      </c>
      <c r="C4421" t="s">
        <v>5305</v>
      </c>
      <c r="D4421" t="s">
        <v>112</v>
      </c>
      <c r="E4421" t="s">
        <v>98</v>
      </c>
      <c r="F4421">
        <v>58</v>
      </c>
      <c r="G4421">
        <v>60</v>
      </c>
      <c r="H4421" t="s">
        <v>7524</v>
      </c>
      <c r="I4421" t="s">
        <v>75</v>
      </c>
      <c r="J4421" t="s">
        <v>201</v>
      </c>
      <c r="K4421">
        <v>1</v>
      </c>
      <c r="L4421" t="s">
        <v>7524</v>
      </c>
      <c r="M4421"/>
      <c r="N4421">
        <v>0</v>
      </c>
      <c r="O4421" t="b">
        <v>1</v>
      </c>
      <c r="P4421"/>
      <c r="Q4421" t="b">
        <v>0</v>
      </c>
      <c r="R4421">
        <v>1</v>
      </c>
      <c r="S4421" t="s">
        <v>77</v>
      </c>
      <c r="T4421">
        <v>999</v>
      </c>
      <c r="U4421" t="s">
        <v>7525</v>
      </c>
      <c r="V4421">
        <f t="shared" si="8"/>
        <v>31826058</v>
      </c>
      <c r="W4421"/>
      <c r="X4421" t="s">
        <v>5306</v>
      </c>
      <c r="Y4421" t="s">
        <v>215</v>
      </c>
      <c r="Z4421">
        <v>21675</v>
      </c>
      <c r="AA4421" t="s">
        <v>5307</v>
      </c>
      <c r="AB4421">
        <v>40001</v>
      </c>
      <c r="AC4421"/>
      <c r="AD4421"/>
      <c r="AE4421" t="s">
        <v>7524</v>
      </c>
      <c r="AF4421" t="s">
        <v>7524</v>
      </c>
      <c r="AG4421" t="s">
        <v>98</v>
      </c>
    </row>
    <row r="4422" spans="2:33">
      <c r="B4422" s="14">
        <f>10000000+INDEX(编号表!$B:$B,MATCH(H4422,编号表!$A:$A,0))*100000+INDEX(编号表!$F:$F,MATCH(D4422,编号表!$E:$E,0))*10000+INDEX(编号表!$D:$D,MATCH(AG4422,编号表!$C:$C,0))*1000+F4422</f>
        <v>11826059</v>
      </c>
      <c r="C4422" t="s">
        <v>5312</v>
      </c>
      <c r="D4422" t="s">
        <v>112</v>
      </c>
      <c r="E4422" t="s">
        <v>98</v>
      </c>
      <c r="F4422">
        <v>59</v>
      </c>
      <c r="G4422">
        <v>60</v>
      </c>
      <c r="H4422" t="s">
        <v>7524</v>
      </c>
      <c r="I4422" t="s">
        <v>75</v>
      </c>
      <c r="J4422" t="s">
        <v>201</v>
      </c>
      <c r="K4422">
        <v>1</v>
      </c>
      <c r="L4422" t="s">
        <v>7524</v>
      </c>
      <c r="M4422"/>
      <c r="N4422">
        <v>0</v>
      </c>
      <c r="O4422" t="b">
        <v>1</v>
      </c>
      <c r="P4422"/>
      <c r="Q4422" t="b">
        <v>0</v>
      </c>
      <c r="R4422">
        <v>1</v>
      </c>
      <c r="S4422" t="s">
        <v>77</v>
      </c>
      <c r="T4422">
        <v>999</v>
      </c>
      <c r="U4422" t="s">
        <v>7525</v>
      </c>
      <c r="V4422">
        <f t="shared" si="8"/>
        <v>31826059</v>
      </c>
      <c r="W4422"/>
      <c r="X4422" t="s">
        <v>5313</v>
      </c>
      <c r="Y4422" t="s">
        <v>215</v>
      </c>
      <c r="Z4422">
        <v>21678</v>
      </c>
      <c r="AA4422" t="s">
        <v>5314</v>
      </c>
      <c r="AB4422">
        <v>40001</v>
      </c>
      <c r="AC4422"/>
      <c r="AD4422"/>
      <c r="AE4422" t="s">
        <v>7524</v>
      </c>
      <c r="AF4422" t="s">
        <v>7524</v>
      </c>
      <c r="AG4422" t="s">
        <v>98</v>
      </c>
    </row>
    <row r="4423" spans="2:33">
      <c r="B4423" s="14">
        <f>10000000+INDEX(编号表!$B:$B,MATCH(H4423,编号表!$A:$A,0))*100000+INDEX(编号表!$F:$F,MATCH(D4423,编号表!$E:$E,0))*10000+INDEX(编号表!$D:$D,MATCH(AG4423,编号表!$C:$C,0))*1000+F4423</f>
        <v>11826060</v>
      </c>
      <c r="C4423" t="s">
        <v>5319</v>
      </c>
      <c r="D4423" t="s">
        <v>112</v>
      </c>
      <c r="E4423" t="s">
        <v>98</v>
      </c>
      <c r="F4423">
        <v>60</v>
      </c>
      <c r="G4423">
        <v>60</v>
      </c>
      <c r="H4423" t="s">
        <v>7524</v>
      </c>
      <c r="I4423" t="s">
        <v>75</v>
      </c>
      <c r="J4423" t="s">
        <v>201</v>
      </c>
      <c r="K4423">
        <v>1</v>
      </c>
      <c r="L4423" t="s">
        <v>7524</v>
      </c>
      <c r="M4423"/>
      <c r="N4423">
        <v>0</v>
      </c>
      <c r="O4423" t="b">
        <v>1</v>
      </c>
      <c r="P4423"/>
      <c r="Q4423" t="b">
        <v>0</v>
      </c>
      <c r="R4423">
        <v>1</v>
      </c>
      <c r="S4423" t="s">
        <v>77</v>
      </c>
      <c r="T4423">
        <v>999</v>
      </c>
      <c r="U4423" t="s">
        <v>7525</v>
      </c>
      <c r="V4423">
        <f t="shared" si="8"/>
        <v>31826060</v>
      </c>
      <c r="W4423"/>
      <c r="X4423" t="s">
        <v>5320</v>
      </c>
      <c r="Y4423" t="s">
        <v>215</v>
      </c>
      <c r="Z4423">
        <v>21681</v>
      </c>
      <c r="AA4423" t="s">
        <v>5321</v>
      </c>
      <c r="AB4423">
        <v>40001</v>
      </c>
      <c r="AC4423"/>
      <c r="AD4423"/>
      <c r="AE4423" t="s">
        <v>7524</v>
      </c>
      <c r="AF4423" t="s">
        <v>7524</v>
      </c>
      <c r="AG4423" t="s">
        <v>98</v>
      </c>
    </row>
    <row r="4424" spans="2:33">
      <c r="B4424" s="14">
        <f>10000000+INDEX(编号表!$B:$B,MATCH(H4424,编号表!$A:$A,0))*100000+INDEX(编号表!$F:$F,MATCH(D4424,编号表!$E:$E,0))*10000+INDEX(编号表!$D:$D,MATCH(AG4424,编号表!$C:$C,0))*1000+F4424</f>
        <v>11826061</v>
      </c>
      <c r="C4424" t="s">
        <v>5326</v>
      </c>
      <c r="D4424" t="s">
        <v>112</v>
      </c>
      <c r="E4424" t="s">
        <v>98</v>
      </c>
      <c r="F4424">
        <v>61</v>
      </c>
      <c r="G4424">
        <v>60</v>
      </c>
      <c r="H4424" t="s">
        <v>7524</v>
      </c>
      <c r="I4424" t="s">
        <v>75</v>
      </c>
      <c r="J4424" t="s">
        <v>201</v>
      </c>
      <c r="K4424">
        <v>1</v>
      </c>
      <c r="L4424" t="s">
        <v>7524</v>
      </c>
      <c r="M4424"/>
      <c r="N4424">
        <v>0</v>
      </c>
      <c r="O4424" t="b">
        <v>1</v>
      </c>
      <c r="P4424"/>
      <c r="Q4424" t="b">
        <v>0</v>
      </c>
      <c r="R4424">
        <v>1</v>
      </c>
      <c r="S4424" t="s">
        <v>77</v>
      </c>
      <c r="T4424">
        <v>999</v>
      </c>
      <c r="U4424" t="s">
        <v>7525</v>
      </c>
      <c r="V4424">
        <f t="shared" si="8"/>
        <v>31826061</v>
      </c>
      <c r="W4424"/>
      <c r="X4424" t="s">
        <v>5327</v>
      </c>
      <c r="Y4424" t="s">
        <v>215</v>
      </c>
      <c r="Z4424">
        <v>21684</v>
      </c>
      <c r="AA4424" t="s">
        <v>5328</v>
      </c>
      <c r="AB4424">
        <v>40001</v>
      </c>
      <c r="AC4424"/>
      <c r="AD4424"/>
      <c r="AE4424" t="s">
        <v>7524</v>
      </c>
      <c r="AF4424" t="s">
        <v>7524</v>
      </c>
      <c r="AG4424" t="s">
        <v>98</v>
      </c>
    </row>
    <row r="4425" spans="2:33">
      <c r="B4425" s="14">
        <f>10000000+INDEX(编号表!$B:$B,MATCH(H4425,编号表!$A:$A,0))*100000+INDEX(编号表!$F:$F,MATCH(D4425,编号表!$E:$E,0))*10000+INDEX(编号表!$D:$D,MATCH(AG4425,编号表!$C:$C,0))*1000+F4425</f>
        <v>11826062</v>
      </c>
      <c r="C4425" t="s">
        <v>5333</v>
      </c>
      <c r="D4425" t="s">
        <v>112</v>
      </c>
      <c r="E4425" t="s">
        <v>98</v>
      </c>
      <c r="F4425">
        <v>62</v>
      </c>
      <c r="G4425">
        <v>60</v>
      </c>
      <c r="H4425" t="s">
        <v>7524</v>
      </c>
      <c r="I4425" t="s">
        <v>75</v>
      </c>
      <c r="J4425" t="s">
        <v>201</v>
      </c>
      <c r="K4425">
        <v>1</v>
      </c>
      <c r="L4425" t="s">
        <v>7524</v>
      </c>
      <c r="M4425"/>
      <c r="N4425">
        <v>0</v>
      </c>
      <c r="O4425" t="b">
        <v>1</v>
      </c>
      <c r="P4425"/>
      <c r="Q4425" t="b">
        <v>0</v>
      </c>
      <c r="R4425">
        <v>1</v>
      </c>
      <c r="S4425" t="s">
        <v>77</v>
      </c>
      <c r="T4425">
        <v>999</v>
      </c>
      <c r="U4425" t="s">
        <v>7525</v>
      </c>
      <c r="V4425">
        <f t="shared" si="8"/>
        <v>31826062</v>
      </c>
      <c r="W4425"/>
      <c r="X4425" t="s">
        <v>5334</v>
      </c>
      <c r="Y4425" t="s">
        <v>215</v>
      </c>
      <c r="Z4425">
        <v>21687</v>
      </c>
      <c r="AA4425" t="s">
        <v>5335</v>
      </c>
      <c r="AB4425">
        <v>40001</v>
      </c>
      <c r="AC4425"/>
      <c r="AD4425"/>
      <c r="AE4425" t="s">
        <v>7524</v>
      </c>
      <c r="AF4425" t="s">
        <v>7524</v>
      </c>
      <c r="AG4425" t="s">
        <v>98</v>
      </c>
    </row>
    <row r="4426" spans="2:33">
      <c r="B4426" s="14">
        <f>10000000+INDEX(编号表!$B:$B,MATCH(H4426,编号表!$A:$A,0))*100000+INDEX(编号表!$F:$F,MATCH(D4426,编号表!$E:$E,0))*10000+INDEX(编号表!$D:$D,MATCH(AG4426,编号表!$C:$C,0))*1000+F4426</f>
        <v>11826063</v>
      </c>
      <c r="C4426" t="s">
        <v>5340</v>
      </c>
      <c r="D4426" t="s">
        <v>112</v>
      </c>
      <c r="E4426" t="s">
        <v>98</v>
      </c>
      <c r="F4426">
        <v>63</v>
      </c>
      <c r="G4426">
        <v>60</v>
      </c>
      <c r="H4426" t="s">
        <v>7524</v>
      </c>
      <c r="I4426" t="s">
        <v>75</v>
      </c>
      <c r="J4426" t="s">
        <v>201</v>
      </c>
      <c r="K4426">
        <v>1</v>
      </c>
      <c r="L4426" t="s">
        <v>7524</v>
      </c>
      <c r="M4426"/>
      <c r="N4426">
        <v>0</v>
      </c>
      <c r="O4426" t="b">
        <v>1</v>
      </c>
      <c r="P4426"/>
      <c r="Q4426" t="b">
        <v>0</v>
      </c>
      <c r="R4426">
        <v>1</v>
      </c>
      <c r="S4426" t="s">
        <v>77</v>
      </c>
      <c r="T4426">
        <v>999</v>
      </c>
      <c r="U4426" t="s">
        <v>7525</v>
      </c>
      <c r="V4426">
        <f t="shared" si="8"/>
        <v>31826063</v>
      </c>
      <c r="W4426"/>
      <c r="X4426" t="s">
        <v>5341</v>
      </c>
      <c r="Y4426" t="s">
        <v>215</v>
      </c>
      <c r="Z4426">
        <v>21690</v>
      </c>
      <c r="AA4426" t="s">
        <v>5342</v>
      </c>
      <c r="AB4426">
        <v>40001</v>
      </c>
      <c r="AC4426"/>
      <c r="AD4426"/>
      <c r="AE4426" t="s">
        <v>7524</v>
      </c>
      <c r="AF4426" t="s">
        <v>7524</v>
      </c>
      <c r="AG4426" t="s">
        <v>98</v>
      </c>
    </row>
    <row r="4427" spans="2:33">
      <c r="B4427" s="14">
        <f>10000000+INDEX(编号表!$B:$B,MATCH(H4427,编号表!$A:$A,0))*100000+INDEX(编号表!$F:$F,MATCH(D4427,编号表!$E:$E,0))*10000+INDEX(编号表!$D:$D,MATCH(AG4427,编号表!$C:$C,0))*1000+F4427</f>
        <v>11826064</v>
      </c>
      <c r="C4427" t="s">
        <v>5347</v>
      </c>
      <c r="D4427" t="s">
        <v>112</v>
      </c>
      <c r="E4427" t="s">
        <v>98</v>
      </c>
      <c r="F4427">
        <v>64</v>
      </c>
      <c r="G4427">
        <v>60</v>
      </c>
      <c r="H4427" t="s">
        <v>7524</v>
      </c>
      <c r="I4427" t="s">
        <v>75</v>
      </c>
      <c r="J4427" t="s">
        <v>201</v>
      </c>
      <c r="K4427">
        <v>1</v>
      </c>
      <c r="L4427" t="s">
        <v>7524</v>
      </c>
      <c r="M4427"/>
      <c r="N4427">
        <v>0</v>
      </c>
      <c r="O4427" t="b">
        <v>1</v>
      </c>
      <c r="P4427"/>
      <c r="Q4427" t="b">
        <v>0</v>
      </c>
      <c r="R4427">
        <v>1</v>
      </c>
      <c r="S4427" t="s">
        <v>77</v>
      </c>
      <c r="T4427">
        <v>999</v>
      </c>
      <c r="U4427" t="s">
        <v>7525</v>
      </c>
      <c r="V4427">
        <f t="shared" si="8"/>
        <v>31826064</v>
      </c>
      <c r="W4427"/>
      <c r="X4427" t="s">
        <v>5348</v>
      </c>
      <c r="Y4427" t="s">
        <v>215</v>
      </c>
      <c r="Z4427">
        <v>21693</v>
      </c>
      <c r="AA4427" t="s">
        <v>5349</v>
      </c>
      <c r="AB4427">
        <v>40001</v>
      </c>
      <c r="AC4427"/>
      <c r="AD4427"/>
      <c r="AE4427" t="s">
        <v>7524</v>
      </c>
      <c r="AF4427" t="s">
        <v>7524</v>
      </c>
      <c r="AG4427" t="s">
        <v>98</v>
      </c>
    </row>
    <row r="4428" spans="2:33">
      <c r="B4428" s="14">
        <f>10000000+INDEX(编号表!$B:$B,MATCH(H4428,编号表!$A:$A,0))*100000+INDEX(编号表!$F:$F,MATCH(D4428,编号表!$E:$E,0))*10000+INDEX(编号表!$D:$D,MATCH(AG4428,编号表!$C:$C,0))*1000+F4428</f>
        <v>11826065</v>
      </c>
      <c r="C4428" t="s">
        <v>5354</v>
      </c>
      <c r="D4428" t="s">
        <v>112</v>
      </c>
      <c r="E4428" t="s">
        <v>98</v>
      </c>
      <c r="F4428">
        <v>65</v>
      </c>
      <c r="G4428">
        <v>60</v>
      </c>
      <c r="H4428" t="s">
        <v>7524</v>
      </c>
      <c r="I4428" t="s">
        <v>75</v>
      </c>
      <c r="J4428" t="s">
        <v>201</v>
      </c>
      <c r="K4428">
        <v>1</v>
      </c>
      <c r="L4428" t="s">
        <v>7524</v>
      </c>
      <c r="M4428"/>
      <c r="N4428">
        <v>0</v>
      </c>
      <c r="O4428" t="b">
        <v>1</v>
      </c>
      <c r="P4428"/>
      <c r="Q4428" t="b">
        <v>0</v>
      </c>
      <c r="R4428">
        <v>1</v>
      </c>
      <c r="S4428" t="s">
        <v>77</v>
      </c>
      <c r="T4428">
        <v>999</v>
      </c>
      <c r="U4428" t="s">
        <v>7525</v>
      </c>
      <c r="V4428">
        <f t="shared" si="8"/>
        <v>31826065</v>
      </c>
      <c r="W4428"/>
      <c r="X4428" t="s">
        <v>5355</v>
      </c>
      <c r="Y4428" t="s">
        <v>215</v>
      </c>
      <c r="Z4428">
        <v>21696</v>
      </c>
      <c r="AA4428" t="s">
        <v>5356</v>
      </c>
      <c r="AB4428">
        <v>40001</v>
      </c>
      <c r="AC4428"/>
      <c r="AD4428"/>
      <c r="AE4428" t="s">
        <v>7524</v>
      </c>
      <c r="AF4428" t="s">
        <v>7524</v>
      </c>
      <c r="AG4428" t="s">
        <v>98</v>
      </c>
    </row>
    <row r="4429" spans="2:33">
      <c r="B4429" s="14">
        <f>10000000+INDEX(编号表!$B:$B,MATCH(H4429,编号表!$A:$A,0))*100000+INDEX(编号表!$F:$F,MATCH(D4429,编号表!$E:$E,0))*10000+INDEX(编号表!$D:$D,MATCH(AG4429,编号表!$C:$C,0))*1000+F4429</f>
        <v>11826066</v>
      </c>
      <c r="C4429" t="s">
        <v>5361</v>
      </c>
      <c r="D4429" t="s">
        <v>112</v>
      </c>
      <c r="E4429" t="s">
        <v>98</v>
      </c>
      <c r="F4429">
        <v>66</v>
      </c>
      <c r="G4429">
        <v>60</v>
      </c>
      <c r="H4429" t="s">
        <v>7524</v>
      </c>
      <c r="I4429" t="s">
        <v>75</v>
      </c>
      <c r="J4429" t="s">
        <v>201</v>
      </c>
      <c r="K4429">
        <v>1</v>
      </c>
      <c r="L4429" t="s">
        <v>7524</v>
      </c>
      <c r="M4429"/>
      <c r="N4429">
        <v>0</v>
      </c>
      <c r="O4429" t="b">
        <v>1</v>
      </c>
      <c r="P4429"/>
      <c r="Q4429" t="b">
        <v>0</v>
      </c>
      <c r="R4429">
        <v>1</v>
      </c>
      <c r="S4429" t="s">
        <v>77</v>
      </c>
      <c r="T4429">
        <v>999</v>
      </c>
      <c r="U4429" t="s">
        <v>7525</v>
      </c>
      <c r="V4429">
        <f t="shared" si="8"/>
        <v>31826066</v>
      </c>
      <c r="W4429"/>
      <c r="X4429" t="s">
        <v>5362</v>
      </c>
      <c r="Y4429" t="s">
        <v>215</v>
      </c>
      <c r="Z4429">
        <v>21699</v>
      </c>
      <c r="AA4429" t="s">
        <v>5363</v>
      </c>
      <c r="AB4429">
        <v>40001</v>
      </c>
      <c r="AC4429"/>
      <c r="AD4429"/>
      <c r="AE4429" t="s">
        <v>7524</v>
      </c>
      <c r="AF4429" t="s">
        <v>7524</v>
      </c>
      <c r="AG4429" t="s">
        <v>98</v>
      </c>
    </row>
    <row r="4430" spans="2:33">
      <c r="B4430" s="14">
        <f>10000000+INDEX(编号表!$B:$B,MATCH(H4430,编号表!$A:$A,0))*100000+INDEX(编号表!$F:$F,MATCH(D4430,编号表!$E:$E,0))*10000+INDEX(编号表!$D:$D,MATCH(AG4430,编号表!$C:$C,0))*1000+F4430</f>
        <v>11826067</v>
      </c>
      <c r="C4430" t="s">
        <v>5368</v>
      </c>
      <c r="D4430" t="s">
        <v>112</v>
      </c>
      <c r="E4430" t="s">
        <v>98</v>
      </c>
      <c r="F4430">
        <v>67</v>
      </c>
      <c r="G4430">
        <v>60</v>
      </c>
      <c r="H4430" t="s">
        <v>7524</v>
      </c>
      <c r="I4430" t="s">
        <v>75</v>
      </c>
      <c r="J4430" t="s">
        <v>201</v>
      </c>
      <c r="K4430">
        <v>1</v>
      </c>
      <c r="L4430" t="s">
        <v>7524</v>
      </c>
      <c r="M4430"/>
      <c r="N4430">
        <v>0</v>
      </c>
      <c r="O4430" t="b">
        <v>1</v>
      </c>
      <c r="P4430"/>
      <c r="Q4430" t="b">
        <v>0</v>
      </c>
      <c r="R4430">
        <v>1</v>
      </c>
      <c r="S4430" t="s">
        <v>77</v>
      </c>
      <c r="T4430">
        <v>999</v>
      </c>
      <c r="U4430" t="s">
        <v>7525</v>
      </c>
      <c r="V4430">
        <f t="shared" si="8"/>
        <v>31826067</v>
      </c>
      <c r="W4430"/>
      <c r="X4430" t="s">
        <v>5369</v>
      </c>
      <c r="Y4430" t="s">
        <v>215</v>
      </c>
      <c r="Z4430">
        <v>21702</v>
      </c>
      <c r="AA4430" t="s">
        <v>5370</v>
      </c>
      <c r="AB4430">
        <v>40001</v>
      </c>
      <c r="AC4430"/>
      <c r="AD4430"/>
      <c r="AE4430" t="s">
        <v>7524</v>
      </c>
      <c r="AF4430" t="s">
        <v>7524</v>
      </c>
      <c r="AG4430" t="s">
        <v>98</v>
      </c>
    </row>
    <row r="4431" spans="2:33">
      <c r="B4431" s="14">
        <f>10000000+INDEX(编号表!$B:$B,MATCH(H4431,编号表!$A:$A,0))*100000+INDEX(编号表!$F:$F,MATCH(D4431,编号表!$E:$E,0))*10000+INDEX(编号表!$D:$D,MATCH(AG4431,编号表!$C:$C,0))*1000+F4431</f>
        <v>11826068</v>
      </c>
      <c r="C4431" t="s">
        <v>5375</v>
      </c>
      <c r="D4431" t="s">
        <v>112</v>
      </c>
      <c r="E4431" t="s">
        <v>98</v>
      </c>
      <c r="F4431">
        <v>68</v>
      </c>
      <c r="G4431">
        <v>60</v>
      </c>
      <c r="H4431" t="s">
        <v>7524</v>
      </c>
      <c r="I4431" t="s">
        <v>75</v>
      </c>
      <c r="J4431" t="s">
        <v>201</v>
      </c>
      <c r="K4431">
        <v>1</v>
      </c>
      <c r="L4431" t="s">
        <v>7524</v>
      </c>
      <c r="M4431"/>
      <c r="N4431">
        <v>0</v>
      </c>
      <c r="O4431" t="b">
        <v>1</v>
      </c>
      <c r="P4431"/>
      <c r="Q4431" t="b">
        <v>0</v>
      </c>
      <c r="R4431">
        <v>1</v>
      </c>
      <c r="S4431" t="s">
        <v>77</v>
      </c>
      <c r="T4431">
        <v>999</v>
      </c>
      <c r="U4431" t="s">
        <v>7525</v>
      </c>
      <c r="V4431">
        <f t="shared" si="8"/>
        <v>31826068</v>
      </c>
      <c r="W4431"/>
      <c r="X4431" t="s">
        <v>5376</v>
      </c>
      <c r="Y4431" t="s">
        <v>215</v>
      </c>
      <c r="Z4431">
        <v>21705</v>
      </c>
      <c r="AA4431" t="s">
        <v>5377</v>
      </c>
      <c r="AB4431">
        <v>40001</v>
      </c>
      <c r="AC4431"/>
      <c r="AD4431"/>
      <c r="AE4431" t="s">
        <v>7524</v>
      </c>
      <c r="AF4431" t="s">
        <v>7524</v>
      </c>
      <c r="AG4431" t="s">
        <v>98</v>
      </c>
    </row>
    <row r="4432" spans="2:33">
      <c r="B4432" s="14">
        <f>10000000+INDEX(编号表!$B:$B,MATCH(H4432,编号表!$A:$A,0))*100000+INDEX(编号表!$F:$F,MATCH(D4432,编号表!$E:$E,0))*10000+INDEX(编号表!$D:$D,MATCH(AG4432,编号表!$C:$C,0))*1000+F4432</f>
        <v>11826069</v>
      </c>
      <c r="C4432" t="s">
        <v>5382</v>
      </c>
      <c r="D4432" t="s">
        <v>112</v>
      </c>
      <c r="E4432" t="s">
        <v>98</v>
      </c>
      <c r="F4432">
        <v>69</v>
      </c>
      <c r="G4432">
        <v>60</v>
      </c>
      <c r="H4432" t="s">
        <v>7524</v>
      </c>
      <c r="I4432" t="s">
        <v>75</v>
      </c>
      <c r="J4432" t="s">
        <v>201</v>
      </c>
      <c r="K4432">
        <v>1</v>
      </c>
      <c r="L4432" t="s">
        <v>7524</v>
      </c>
      <c r="M4432"/>
      <c r="N4432">
        <v>0</v>
      </c>
      <c r="O4432" t="b">
        <v>1</v>
      </c>
      <c r="P4432"/>
      <c r="Q4432" t="b">
        <v>0</v>
      </c>
      <c r="R4432">
        <v>1</v>
      </c>
      <c r="S4432" t="s">
        <v>77</v>
      </c>
      <c r="T4432">
        <v>999</v>
      </c>
      <c r="U4432" t="s">
        <v>7525</v>
      </c>
      <c r="V4432">
        <f t="shared" si="8"/>
        <v>31826069</v>
      </c>
      <c r="W4432"/>
      <c r="X4432" t="s">
        <v>5383</v>
      </c>
      <c r="Y4432" t="s">
        <v>215</v>
      </c>
      <c r="Z4432">
        <v>21708</v>
      </c>
      <c r="AA4432" t="s">
        <v>5384</v>
      </c>
      <c r="AB4432">
        <v>40001</v>
      </c>
      <c r="AC4432"/>
      <c r="AD4432"/>
      <c r="AE4432" t="s">
        <v>7524</v>
      </c>
      <c r="AF4432" t="s">
        <v>7524</v>
      </c>
      <c r="AG4432" t="s">
        <v>98</v>
      </c>
    </row>
    <row r="4433" spans="2:33">
      <c r="B4433" s="14">
        <f>10000000+INDEX(编号表!$B:$B,MATCH(H4433,编号表!$A:$A,0))*100000+INDEX(编号表!$F:$F,MATCH(D4433,编号表!$E:$E,0))*10000+INDEX(编号表!$D:$D,MATCH(AG4433,编号表!$C:$C,0))*1000+F4433</f>
        <v>11826070</v>
      </c>
      <c r="C4433" t="s">
        <v>5389</v>
      </c>
      <c r="D4433" t="s">
        <v>112</v>
      </c>
      <c r="E4433" t="s">
        <v>98</v>
      </c>
      <c r="F4433">
        <v>70</v>
      </c>
      <c r="G4433">
        <v>60</v>
      </c>
      <c r="H4433" t="s">
        <v>7524</v>
      </c>
      <c r="I4433" t="s">
        <v>75</v>
      </c>
      <c r="J4433" t="s">
        <v>201</v>
      </c>
      <c r="K4433">
        <v>1</v>
      </c>
      <c r="L4433" t="s">
        <v>7524</v>
      </c>
      <c r="M4433"/>
      <c r="N4433">
        <v>0</v>
      </c>
      <c r="O4433" t="b">
        <v>1</v>
      </c>
      <c r="P4433"/>
      <c r="Q4433" t="b">
        <v>0</v>
      </c>
      <c r="R4433">
        <v>1</v>
      </c>
      <c r="S4433" t="s">
        <v>77</v>
      </c>
      <c r="T4433">
        <v>999</v>
      </c>
      <c r="U4433" t="s">
        <v>7525</v>
      </c>
      <c r="V4433">
        <f t="shared" si="8"/>
        <v>31826070</v>
      </c>
      <c r="W4433"/>
      <c r="X4433" t="s">
        <v>5390</v>
      </c>
      <c r="Y4433" t="s">
        <v>215</v>
      </c>
      <c r="Z4433">
        <v>21711</v>
      </c>
      <c r="AA4433" t="s">
        <v>5391</v>
      </c>
      <c r="AB4433">
        <v>40001</v>
      </c>
      <c r="AC4433"/>
      <c r="AD4433"/>
      <c r="AE4433" t="s">
        <v>7524</v>
      </c>
      <c r="AF4433" t="s">
        <v>7524</v>
      </c>
      <c r="AG4433" t="s">
        <v>98</v>
      </c>
    </row>
    <row r="4434" spans="2:33">
      <c r="B4434" s="14">
        <f>10000000+INDEX(编号表!$B:$B,MATCH(H4434,编号表!$A:$A,0))*100000+INDEX(编号表!$F:$F,MATCH(D4434,编号表!$E:$E,0))*10000+INDEX(编号表!$D:$D,MATCH(AG4434,编号表!$C:$C,0))*1000+F4434</f>
        <v>11826071</v>
      </c>
      <c r="C4434" t="s">
        <v>5396</v>
      </c>
      <c r="D4434" t="s">
        <v>112</v>
      </c>
      <c r="E4434" t="s">
        <v>98</v>
      </c>
      <c r="F4434">
        <v>71</v>
      </c>
      <c r="G4434">
        <v>60</v>
      </c>
      <c r="H4434" t="s">
        <v>7524</v>
      </c>
      <c r="I4434" t="s">
        <v>75</v>
      </c>
      <c r="J4434" t="s">
        <v>201</v>
      </c>
      <c r="K4434">
        <v>1</v>
      </c>
      <c r="L4434" t="s">
        <v>7524</v>
      </c>
      <c r="M4434"/>
      <c r="N4434">
        <v>0</v>
      </c>
      <c r="O4434" t="b">
        <v>1</v>
      </c>
      <c r="P4434"/>
      <c r="Q4434" t="b">
        <v>0</v>
      </c>
      <c r="R4434">
        <v>1</v>
      </c>
      <c r="S4434" t="s">
        <v>77</v>
      </c>
      <c r="T4434">
        <v>999</v>
      </c>
      <c r="U4434" t="s">
        <v>7525</v>
      </c>
      <c r="V4434">
        <f t="shared" si="8"/>
        <v>31826071</v>
      </c>
      <c r="W4434"/>
      <c r="X4434" t="s">
        <v>5397</v>
      </c>
      <c r="Y4434" t="s">
        <v>215</v>
      </c>
      <c r="Z4434">
        <v>21714</v>
      </c>
      <c r="AA4434" t="s">
        <v>5398</v>
      </c>
      <c r="AB4434">
        <v>40001</v>
      </c>
      <c r="AC4434"/>
      <c r="AD4434"/>
      <c r="AE4434" t="s">
        <v>7524</v>
      </c>
      <c r="AF4434" t="s">
        <v>7524</v>
      </c>
      <c r="AG4434" t="s">
        <v>98</v>
      </c>
    </row>
    <row r="4435" spans="2:33">
      <c r="B4435" s="14">
        <f>10000000+INDEX(编号表!$B:$B,MATCH(H4435,编号表!$A:$A,0))*100000+INDEX(编号表!$F:$F,MATCH(D4435,编号表!$E:$E,0))*10000+INDEX(编号表!$D:$D,MATCH(AG4435,编号表!$C:$C,0))*1000+F4435</f>
        <v>11826072</v>
      </c>
      <c r="C4435" t="s">
        <v>5403</v>
      </c>
      <c r="D4435" t="s">
        <v>112</v>
      </c>
      <c r="E4435" t="s">
        <v>98</v>
      </c>
      <c r="F4435">
        <v>72</v>
      </c>
      <c r="G4435">
        <v>60</v>
      </c>
      <c r="H4435" t="s">
        <v>7524</v>
      </c>
      <c r="I4435" t="s">
        <v>75</v>
      </c>
      <c r="J4435" t="s">
        <v>201</v>
      </c>
      <c r="K4435">
        <v>1</v>
      </c>
      <c r="L4435" t="s">
        <v>7524</v>
      </c>
      <c r="M4435"/>
      <c r="N4435">
        <v>0</v>
      </c>
      <c r="O4435" t="b">
        <v>1</v>
      </c>
      <c r="P4435"/>
      <c r="Q4435" t="b">
        <v>0</v>
      </c>
      <c r="R4435">
        <v>1</v>
      </c>
      <c r="S4435" t="s">
        <v>77</v>
      </c>
      <c r="T4435">
        <v>999</v>
      </c>
      <c r="U4435" t="s">
        <v>7525</v>
      </c>
      <c r="V4435">
        <f t="shared" si="8"/>
        <v>31826072</v>
      </c>
      <c r="W4435"/>
      <c r="X4435" t="s">
        <v>5404</v>
      </c>
      <c r="Y4435" t="s">
        <v>215</v>
      </c>
      <c r="Z4435">
        <v>21717</v>
      </c>
      <c r="AA4435" t="s">
        <v>5405</v>
      </c>
      <c r="AB4435">
        <v>40001</v>
      </c>
      <c r="AC4435"/>
      <c r="AD4435"/>
      <c r="AE4435" t="s">
        <v>7524</v>
      </c>
      <c r="AF4435" t="s">
        <v>7524</v>
      </c>
      <c r="AG4435" t="s">
        <v>98</v>
      </c>
    </row>
    <row r="4436" spans="2:33">
      <c r="B4436" s="14">
        <f>10000000+INDEX(编号表!$B:$B,MATCH(H4436,编号表!$A:$A,0))*100000+INDEX(编号表!$F:$F,MATCH(D4436,编号表!$E:$E,0))*10000+INDEX(编号表!$D:$D,MATCH(AG4436,编号表!$C:$C,0))*1000+F4436</f>
        <v>11826073</v>
      </c>
      <c r="C4436" t="s">
        <v>5410</v>
      </c>
      <c r="D4436" t="s">
        <v>112</v>
      </c>
      <c r="E4436" t="s">
        <v>98</v>
      </c>
      <c r="F4436">
        <v>73</v>
      </c>
      <c r="G4436">
        <v>60</v>
      </c>
      <c r="H4436" t="s">
        <v>7524</v>
      </c>
      <c r="I4436" t="s">
        <v>75</v>
      </c>
      <c r="J4436" t="s">
        <v>201</v>
      </c>
      <c r="K4436">
        <v>1</v>
      </c>
      <c r="L4436" t="s">
        <v>7524</v>
      </c>
      <c r="M4436"/>
      <c r="N4436">
        <v>0</v>
      </c>
      <c r="O4436" t="b">
        <v>1</v>
      </c>
      <c r="P4436"/>
      <c r="Q4436" t="b">
        <v>0</v>
      </c>
      <c r="R4436">
        <v>1</v>
      </c>
      <c r="S4436" t="s">
        <v>77</v>
      </c>
      <c r="T4436">
        <v>999</v>
      </c>
      <c r="U4436" t="s">
        <v>7525</v>
      </c>
      <c r="V4436">
        <f t="shared" si="8"/>
        <v>31826073</v>
      </c>
      <c r="W4436"/>
      <c r="X4436" t="s">
        <v>5411</v>
      </c>
      <c r="Y4436" t="s">
        <v>215</v>
      </c>
      <c r="Z4436">
        <v>21720</v>
      </c>
      <c r="AA4436" t="s">
        <v>5412</v>
      </c>
      <c r="AB4436">
        <v>40001</v>
      </c>
      <c r="AC4436"/>
      <c r="AD4436"/>
      <c r="AE4436" t="s">
        <v>7524</v>
      </c>
      <c r="AF4436" t="s">
        <v>7524</v>
      </c>
      <c r="AG4436" t="s">
        <v>98</v>
      </c>
    </row>
    <row r="4437" spans="2:33">
      <c r="B4437" s="14">
        <f>10000000+INDEX(编号表!$B:$B,MATCH(H4437,编号表!$A:$A,0))*100000+INDEX(编号表!$F:$F,MATCH(D4437,编号表!$E:$E,0))*10000+INDEX(编号表!$D:$D,MATCH(AG4437,编号表!$C:$C,0))*1000+F4437</f>
        <v>11826074</v>
      </c>
      <c r="C4437" t="s">
        <v>5417</v>
      </c>
      <c r="D4437" t="s">
        <v>112</v>
      </c>
      <c r="E4437" t="s">
        <v>98</v>
      </c>
      <c r="F4437">
        <v>74</v>
      </c>
      <c r="G4437">
        <v>60</v>
      </c>
      <c r="H4437" t="s">
        <v>7524</v>
      </c>
      <c r="I4437" t="s">
        <v>75</v>
      </c>
      <c r="J4437" t="s">
        <v>201</v>
      </c>
      <c r="K4437">
        <v>1</v>
      </c>
      <c r="L4437" t="s">
        <v>7524</v>
      </c>
      <c r="M4437"/>
      <c r="N4437">
        <v>0</v>
      </c>
      <c r="O4437" t="b">
        <v>1</v>
      </c>
      <c r="P4437"/>
      <c r="Q4437" t="b">
        <v>0</v>
      </c>
      <c r="R4437">
        <v>1</v>
      </c>
      <c r="S4437" t="s">
        <v>77</v>
      </c>
      <c r="T4437">
        <v>999</v>
      </c>
      <c r="U4437" t="s">
        <v>7525</v>
      </c>
      <c r="V4437">
        <f t="shared" si="8"/>
        <v>31826074</v>
      </c>
      <c r="W4437"/>
      <c r="X4437" t="s">
        <v>5418</v>
      </c>
      <c r="Y4437" t="s">
        <v>215</v>
      </c>
      <c r="Z4437">
        <v>21723</v>
      </c>
      <c r="AA4437" t="s">
        <v>5419</v>
      </c>
      <c r="AB4437">
        <v>40001</v>
      </c>
      <c r="AC4437"/>
      <c r="AD4437"/>
      <c r="AE4437" t="s">
        <v>7524</v>
      </c>
      <c r="AF4437" t="s">
        <v>7524</v>
      </c>
      <c r="AG4437" t="s">
        <v>98</v>
      </c>
    </row>
    <row r="4438" spans="2:33">
      <c r="B4438" s="14">
        <f>10000000+INDEX(编号表!$B:$B,MATCH(H4438,编号表!$A:$A,0))*100000+INDEX(编号表!$F:$F,MATCH(D4438,编号表!$E:$E,0))*10000+INDEX(编号表!$D:$D,MATCH(AG4438,编号表!$C:$C,0))*1000+F4438</f>
        <v>11826075</v>
      </c>
      <c r="C4438" t="s">
        <v>5424</v>
      </c>
      <c r="D4438" t="s">
        <v>112</v>
      </c>
      <c r="E4438" t="s">
        <v>98</v>
      </c>
      <c r="F4438">
        <v>75</v>
      </c>
      <c r="G4438">
        <v>60</v>
      </c>
      <c r="H4438" t="s">
        <v>7524</v>
      </c>
      <c r="I4438" t="s">
        <v>75</v>
      </c>
      <c r="J4438" t="s">
        <v>201</v>
      </c>
      <c r="K4438">
        <v>1</v>
      </c>
      <c r="L4438" t="s">
        <v>7524</v>
      </c>
      <c r="M4438"/>
      <c r="N4438">
        <v>0</v>
      </c>
      <c r="O4438" t="b">
        <v>1</v>
      </c>
      <c r="P4438"/>
      <c r="Q4438" t="b">
        <v>0</v>
      </c>
      <c r="R4438">
        <v>1</v>
      </c>
      <c r="S4438" t="s">
        <v>77</v>
      </c>
      <c r="T4438">
        <v>999</v>
      </c>
      <c r="U4438" t="s">
        <v>7525</v>
      </c>
      <c r="V4438">
        <f t="shared" si="8"/>
        <v>31826075</v>
      </c>
      <c r="W4438"/>
      <c r="X4438" t="s">
        <v>5425</v>
      </c>
      <c r="Y4438" t="s">
        <v>215</v>
      </c>
      <c r="Z4438">
        <v>21726</v>
      </c>
      <c r="AA4438" t="s">
        <v>5426</v>
      </c>
      <c r="AB4438">
        <v>40001</v>
      </c>
      <c r="AC4438"/>
      <c r="AD4438"/>
      <c r="AE4438" t="s">
        <v>7524</v>
      </c>
      <c r="AF4438" t="s">
        <v>7524</v>
      </c>
      <c r="AG4438" t="s">
        <v>98</v>
      </c>
    </row>
    <row r="4439" spans="2:33">
      <c r="B4439" s="14">
        <f>10000000+INDEX(编号表!$B:$B,MATCH(H4439,编号表!$A:$A,0))*100000+INDEX(编号表!$F:$F,MATCH(D4439,编号表!$E:$E,0))*10000+INDEX(编号表!$D:$D,MATCH(AG4439,编号表!$C:$C,0))*1000+F4439</f>
        <v>11826076</v>
      </c>
      <c r="C4439" t="s">
        <v>5431</v>
      </c>
      <c r="D4439" t="s">
        <v>112</v>
      </c>
      <c r="E4439" t="s">
        <v>98</v>
      </c>
      <c r="F4439">
        <v>76</v>
      </c>
      <c r="G4439">
        <v>60</v>
      </c>
      <c r="H4439" t="s">
        <v>7524</v>
      </c>
      <c r="I4439" t="s">
        <v>75</v>
      </c>
      <c r="J4439" t="s">
        <v>201</v>
      </c>
      <c r="K4439">
        <v>1</v>
      </c>
      <c r="L4439" t="s">
        <v>7524</v>
      </c>
      <c r="M4439"/>
      <c r="N4439">
        <v>0</v>
      </c>
      <c r="O4439" t="b">
        <v>1</v>
      </c>
      <c r="P4439"/>
      <c r="Q4439" t="b">
        <v>0</v>
      </c>
      <c r="R4439">
        <v>1</v>
      </c>
      <c r="S4439" t="s">
        <v>77</v>
      </c>
      <c r="T4439">
        <v>999</v>
      </c>
      <c r="U4439" t="s">
        <v>7525</v>
      </c>
      <c r="V4439">
        <f t="shared" si="8"/>
        <v>31826076</v>
      </c>
      <c r="W4439"/>
      <c r="X4439" t="s">
        <v>5432</v>
      </c>
      <c r="Y4439" t="s">
        <v>215</v>
      </c>
      <c r="Z4439">
        <v>21729</v>
      </c>
      <c r="AA4439" t="s">
        <v>5433</v>
      </c>
      <c r="AB4439">
        <v>40001</v>
      </c>
      <c r="AC4439"/>
      <c r="AD4439"/>
      <c r="AE4439" t="s">
        <v>7524</v>
      </c>
      <c r="AF4439" t="s">
        <v>7524</v>
      </c>
      <c r="AG4439" t="s">
        <v>98</v>
      </c>
    </row>
    <row r="4440" spans="2:33">
      <c r="B4440" s="14">
        <f>10000000+INDEX(编号表!$B:$B,MATCH(H4440,编号表!$A:$A,0))*100000+INDEX(编号表!$F:$F,MATCH(D4440,编号表!$E:$E,0))*10000+INDEX(编号表!$D:$D,MATCH(AG4440,编号表!$C:$C,0))*1000+F4440</f>
        <v>11826077</v>
      </c>
      <c r="C4440" t="s">
        <v>5438</v>
      </c>
      <c r="D4440" t="s">
        <v>112</v>
      </c>
      <c r="E4440" t="s">
        <v>98</v>
      </c>
      <c r="F4440">
        <v>77</v>
      </c>
      <c r="G4440">
        <v>60</v>
      </c>
      <c r="H4440" t="s">
        <v>7524</v>
      </c>
      <c r="I4440" t="s">
        <v>75</v>
      </c>
      <c r="J4440" t="s">
        <v>201</v>
      </c>
      <c r="K4440">
        <v>1</v>
      </c>
      <c r="L4440" t="s">
        <v>7524</v>
      </c>
      <c r="M4440"/>
      <c r="N4440">
        <v>0</v>
      </c>
      <c r="O4440" t="b">
        <v>1</v>
      </c>
      <c r="P4440"/>
      <c r="Q4440" t="b">
        <v>0</v>
      </c>
      <c r="R4440">
        <v>1</v>
      </c>
      <c r="S4440" t="s">
        <v>77</v>
      </c>
      <c r="T4440">
        <v>999</v>
      </c>
      <c r="U4440" t="s">
        <v>7525</v>
      </c>
      <c r="V4440">
        <f t="shared" ref="V4440:V4503" si="9">B4440+20000000</f>
        <v>31826077</v>
      </c>
      <c r="W4440"/>
      <c r="X4440" t="s">
        <v>5439</v>
      </c>
      <c r="Y4440" t="s">
        <v>215</v>
      </c>
      <c r="Z4440">
        <v>21732</v>
      </c>
      <c r="AA4440" t="s">
        <v>5440</v>
      </c>
      <c r="AB4440">
        <v>40001</v>
      </c>
      <c r="AC4440"/>
      <c r="AD4440"/>
      <c r="AE4440" t="s">
        <v>7524</v>
      </c>
      <c r="AF4440" t="s">
        <v>7524</v>
      </c>
      <c r="AG4440" t="s">
        <v>98</v>
      </c>
    </row>
    <row r="4441" spans="2:33">
      <c r="B4441" s="14">
        <f>10000000+INDEX(编号表!$B:$B,MATCH(H4441,编号表!$A:$A,0))*100000+INDEX(编号表!$F:$F,MATCH(D4441,编号表!$E:$E,0))*10000+INDEX(编号表!$D:$D,MATCH(AG4441,编号表!$C:$C,0))*1000+F4441</f>
        <v>11826078</v>
      </c>
      <c r="C4441" t="s">
        <v>5445</v>
      </c>
      <c r="D4441" t="s">
        <v>112</v>
      </c>
      <c r="E4441" t="s">
        <v>98</v>
      </c>
      <c r="F4441">
        <v>78</v>
      </c>
      <c r="G4441">
        <v>60</v>
      </c>
      <c r="H4441" t="s">
        <v>7524</v>
      </c>
      <c r="I4441" t="s">
        <v>75</v>
      </c>
      <c r="J4441" t="s">
        <v>201</v>
      </c>
      <c r="K4441">
        <v>1</v>
      </c>
      <c r="L4441" t="s">
        <v>7524</v>
      </c>
      <c r="M4441"/>
      <c r="N4441">
        <v>0</v>
      </c>
      <c r="O4441" t="b">
        <v>1</v>
      </c>
      <c r="P4441"/>
      <c r="Q4441" t="b">
        <v>0</v>
      </c>
      <c r="R4441">
        <v>1</v>
      </c>
      <c r="S4441" t="s">
        <v>77</v>
      </c>
      <c r="T4441">
        <v>999</v>
      </c>
      <c r="U4441" t="s">
        <v>7525</v>
      </c>
      <c r="V4441">
        <f t="shared" si="9"/>
        <v>31826078</v>
      </c>
      <c r="W4441"/>
      <c r="X4441" t="s">
        <v>5446</v>
      </c>
      <c r="Y4441" t="s">
        <v>215</v>
      </c>
      <c r="Z4441">
        <v>21735</v>
      </c>
      <c r="AA4441" t="s">
        <v>5447</v>
      </c>
      <c r="AB4441">
        <v>40001</v>
      </c>
      <c r="AC4441"/>
      <c r="AD4441"/>
      <c r="AE4441" t="s">
        <v>7524</v>
      </c>
      <c r="AF4441" t="s">
        <v>7524</v>
      </c>
      <c r="AG4441" t="s">
        <v>98</v>
      </c>
    </row>
    <row r="4442" spans="2:33">
      <c r="B4442" s="14">
        <f>10000000+INDEX(编号表!$B:$B,MATCH(H4442,编号表!$A:$A,0))*100000+INDEX(编号表!$F:$F,MATCH(D4442,编号表!$E:$E,0))*10000+INDEX(编号表!$D:$D,MATCH(AG4442,编号表!$C:$C,0))*1000+F4442</f>
        <v>11826079</v>
      </c>
      <c r="C4442" t="s">
        <v>5452</v>
      </c>
      <c r="D4442" t="s">
        <v>112</v>
      </c>
      <c r="E4442" t="s">
        <v>98</v>
      </c>
      <c r="F4442">
        <v>79</v>
      </c>
      <c r="G4442">
        <v>60</v>
      </c>
      <c r="H4442" t="s">
        <v>7524</v>
      </c>
      <c r="I4442" t="s">
        <v>75</v>
      </c>
      <c r="J4442" t="s">
        <v>201</v>
      </c>
      <c r="K4442">
        <v>1</v>
      </c>
      <c r="L4442" t="s">
        <v>7524</v>
      </c>
      <c r="M4442"/>
      <c r="N4442">
        <v>0</v>
      </c>
      <c r="O4442" t="b">
        <v>1</v>
      </c>
      <c r="P4442"/>
      <c r="Q4442" t="b">
        <v>0</v>
      </c>
      <c r="R4442">
        <v>1</v>
      </c>
      <c r="S4442" t="s">
        <v>77</v>
      </c>
      <c r="T4442">
        <v>999</v>
      </c>
      <c r="U4442" t="s">
        <v>7525</v>
      </c>
      <c r="V4442">
        <f t="shared" si="9"/>
        <v>31826079</v>
      </c>
      <c r="W4442"/>
      <c r="X4442" t="s">
        <v>5453</v>
      </c>
      <c r="Y4442" t="s">
        <v>215</v>
      </c>
      <c r="Z4442">
        <v>21738</v>
      </c>
      <c r="AA4442" t="s">
        <v>5454</v>
      </c>
      <c r="AB4442">
        <v>40001</v>
      </c>
      <c r="AC4442"/>
      <c r="AD4442"/>
      <c r="AE4442" t="s">
        <v>7524</v>
      </c>
      <c r="AF4442" t="s">
        <v>7524</v>
      </c>
      <c r="AG4442" t="s">
        <v>98</v>
      </c>
    </row>
    <row r="4443" spans="2:33">
      <c r="B4443" s="14">
        <f>10000000+INDEX(编号表!$B:$B,MATCH(H4443,编号表!$A:$A,0))*100000+INDEX(编号表!$F:$F,MATCH(D4443,编号表!$E:$E,0))*10000+INDEX(编号表!$D:$D,MATCH(AG4443,编号表!$C:$C,0))*1000+F4443</f>
        <v>11826080</v>
      </c>
      <c r="C4443" t="s">
        <v>5459</v>
      </c>
      <c r="D4443" t="s">
        <v>112</v>
      </c>
      <c r="E4443" t="s">
        <v>98</v>
      </c>
      <c r="F4443">
        <v>80</v>
      </c>
      <c r="G4443">
        <v>60</v>
      </c>
      <c r="H4443" t="s">
        <v>7524</v>
      </c>
      <c r="I4443" t="s">
        <v>75</v>
      </c>
      <c r="J4443" t="s">
        <v>201</v>
      </c>
      <c r="K4443">
        <v>1</v>
      </c>
      <c r="L4443" t="s">
        <v>7524</v>
      </c>
      <c r="M4443"/>
      <c r="N4443">
        <v>0</v>
      </c>
      <c r="O4443" t="b">
        <v>1</v>
      </c>
      <c r="P4443"/>
      <c r="Q4443" t="b">
        <v>0</v>
      </c>
      <c r="R4443">
        <v>1</v>
      </c>
      <c r="S4443" t="s">
        <v>77</v>
      </c>
      <c r="T4443">
        <v>999</v>
      </c>
      <c r="U4443" t="s">
        <v>7525</v>
      </c>
      <c r="V4443">
        <f t="shared" si="9"/>
        <v>31826080</v>
      </c>
      <c r="W4443"/>
      <c r="X4443" t="s">
        <v>5460</v>
      </c>
      <c r="Y4443" t="s">
        <v>215</v>
      </c>
      <c r="Z4443">
        <v>21741</v>
      </c>
      <c r="AA4443" t="s">
        <v>5461</v>
      </c>
      <c r="AB4443">
        <v>40001</v>
      </c>
      <c r="AC4443"/>
      <c r="AD4443"/>
      <c r="AE4443" t="s">
        <v>7524</v>
      </c>
      <c r="AF4443" t="s">
        <v>7524</v>
      </c>
      <c r="AG4443" t="s">
        <v>98</v>
      </c>
    </row>
    <row r="4444" spans="2:33">
      <c r="B4444" s="14">
        <f>10000000+INDEX(编号表!$B:$B,MATCH(H4444,编号表!$A:$A,0))*100000+INDEX(编号表!$F:$F,MATCH(D4444,编号表!$E:$E,0))*10000+INDEX(编号表!$D:$D,MATCH(AG4444,编号表!$C:$C,0))*1000+F4444</f>
        <v>11826081</v>
      </c>
      <c r="C4444" t="s">
        <v>5466</v>
      </c>
      <c r="D4444" t="s">
        <v>112</v>
      </c>
      <c r="E4444" t="s">
        <v>98</v>
      </c>
      <c r="F4444">
        <v>81</v>
      </c>
      <c r="G4444">
        <v>60</v>
      </c>
      <c r="H4444" t="s">
        <v>7524</v>
      </c>
      <c r="I4444" t="s">
        <v>75</v>
      </c>
      <c r="J4444" t="s">
        <v>201</v>
      </c>
      <c r="K4444">
        <v>1</v>
      </c>
      <c r="L4444" t="s">
        <v>7524</v>
      </c>
      <c r="M4444"/>
      <c r="N4444">
        <v>0</v>
      </c>
      <c r="O4444" t="b">
        <v>1</v>
      </c>
      <c r="P4444"/>
      <c r="Q4444" t="b">
        <v>0</v>
      </c>
      <c r="R4444">
        <v>1</v>
      </c>
      <c r="S4444" t="s">
        <v>77</v>
      </c>
      <c r="T4444">
        <v>999</v>
      </c>
      <c r="U4444" t="s">
        <v>7525</v>
      </c>
      <c r="V4444">
        <f t="shared" si="9"/>
        <v>31826081</v>
      </c>
      <c r="W4444"/>
      <c r="X4444" t="s">
        <v>5467</v>
      </c>
      <c r="Y4444" t="s">
        <v>215</v>
      </c>
      <c r="Z4444">
        <v>21744</v>
      </c>
      <c r="AA4444" t="s">
        <v>5468</v>
      </c>
      <c r="AB4444">
        <v>40001</v>
      </c>
      <c r="AC4444"/>
      <c r="AD4444"/>
      <c r="AE4444" t="s">
        <v>7524</v>
      </c>
      <c r="AF4444" t="s">
        <v>7524</v>
      </c>
      <c r="AG4444" t="s">
        <v>98</v>
      </c>
    </row>
    <row r="4445" spans="2:33">
      <c r="B4445" s="14">
        <f>10000000+INDEX(编号表!$B:$B,MATCH(H4445,编号表!$A:$A,0))*100000+INDEX(编号表!$F:$F,MATCH(D4445,编号表!$E:$E,0))*10000+INDEX(编号表!$D:$D,MATCH(AG4445,编号表!$C:$C,0))*1000+F4445</f>
        <v>11826082</v>
      </c>
      <c r="C4445" t="s">
        <v>5473</v>
      </c>
      <c r="D4445" t="s">
        <v>112</v>
      </c>
      <c r="E4445" t="s">
        <v>98</v>
      </c>
      <c r="F4445">
        <v>82</v>
      </c>
      <c r="G4445">
        <v>60</v>
      </c>
      <c r="H4445" t="s">
        <v>7524</v>
      </c>
      <c r="I4445" t="s">
        <v>75</v>
      </c>
      <c r="J4445" t="s">
        <v>201</v>
      </c>
      <c r="K4445">
        <v>1</v>
      </c>
      <c r="L4445" t="s">
        <v>7524</v>
      </c>
      <c r="M4445"/>
      <c r="N4445">
        <v>0</v>
      </c>
      <c r="O4445" t="b">
        <v>1</v>
      </c>
      <c r="P4445"/>
      <c r="Q4445" t="b">
        <v>0</v>
      </c>
      <c r="R4445">
        <v>1</v>
      </c>
      <c r="S4445" t="s">
        <v>77</v>
      </c>
      <c r="T4445">
        <v>999</v>
      </c>
      <c r="U4445" t="s">
        <v>7525</v>
      </c>
      <c r="V4445">
        <f t="shared" si="9"/>
        <v>31826082</v>
      </c>
      <c r="W4445"/>
      <c r="X4445" t="s">
        <v>5474</v>
      </c>
      <c r="Y4445" t="s">
        <v>215</v>
      </c>
      <c r="Z4445">
        <v>21747</v>
      </c>
      <c r="AA4445" t="s">
        <v>5475</v>
      </c>
      <c r="AB4445">
        <v>40001</v>
      </c>
      <c r="AC4445"/>
      <c r="AD4445"/>
      <c r="AE4445" t="s">
        <v>7524</v>
      </c>
      <c r="AF4445" t="s">
        <v>7524</v>
      </c>
      <c r="AG4445" t="s">
        <v>98</v>
      </c>
    </row>
    <row r="4446" spans="2:33">
      <c r="B4446" s="14">
        <f>10000000+INDEX(编号表!$B:$B,MATCH(H4446,编号表!$A:$A,0))*100000+INDEX(编号表!$F:$F,MATCH(D4446,编号表!$E:$E,0))*10000+INDEX(编号表!$D:$D,MATCH(AG4446,编号表!$C:$C,0))*1000+F4446</f>
        <v>11826083</v>
      </c>
      <c r="C4446" t="s">
        <v>5480</v>
      </c>
      <c r="D4446" t="s">
        <v>112</v>
      </c>
      <c r="E4446" t="s">
        <v>98</v>
      </c>
      <c r="F4446">
        <v>83</v>
      </c>
      <c r="G4446">
        <v>60</v>
      </c>
      <c r="H4446" t="s">
        <v>7524</v>
      </c>
      <c r="I4446" t="s">
        <v>75</v>
      </c>
      <c r="J4446" t="s">
        <v>201</v>
      </c>
      <c r="K4446">
        <v>1</v>
      </c>
      <c r="L4446" t="s">
        <v>7524</v>
      </c>
      <c r="M4446"/>
      <c r="N4446">
        <v>0</v>
      </c>
      <c r="O4446" t="b">
        <v>1</v>
      </c>
      <c r="P4446"/>
      <c r="Q4446" t="b">
        <v>0</v>
      </c>
      <c r="R4446">
        <v>1</v>
      </c>
      <c r="S4446" t="s">
        <v>77</v>
      </c>
      <c r="T4446">
        <v>999</v>
      </c>
      <c r="U4446" t="s">
        <v>7525</v>
      </c>
      <c r="V4446">
        <f t="shared" si="9"/>
        <v>31826083</v>
      </c>
      <c r="W4446"/>
      <c r="X4446" t="s">
        <v>5481</v>
      </c>
      <c r="Y4446" t="s">
        <v>215</v>
      </c>
      <c r="Z4446">
        <v>21750</v>
      </c>
      <c r="AA4446" t="s">
        <v>5482</v>
      </c>
      <c r="AB4446">
        <v>40001</v>
      </c>
      <c r="AC4446"/>
      <c r="AD4446"/>
      <c r="AE4446" t="s">
        <v>7524</v>
      </c>
      <c r="AF4446" t="s">
        <v>7524</v>
      </c>
      <c r="AG4446" t="s">
        <v>98</v>
      </c>
    </row>
    <row r="4447" spans="2:33">
      <c r="B4447" s="14">
        <f>10000000+INDEX(编号表!$B:$B,MATCH(H4447,编号表!$A:$A,0))*100000+INDEX(编号表!$F:$F,MATCH(D4447,编号表!$E:$E,0))*10000+INDEX(编号表!$D:$D,MATCH(AG4447,编号表!$C:$C,0))*1000+F4447</f>
        <v>11826084</v>
      </c>
      <c r="C4447" t="s">
        <v>5487</v>
      </c>
      <c r="D4447" t="s">
        <v>112</v>
      </c>
      <c r="E4447" t="s">
        <v>98</v>
      </c>
      <c r="F4447">
        <v>84</v>
      </c>
      <c r="G4447">
        <v>60</v>
      </c>
      <c r="H4447" t="s">
        <v>7524</v>
      </c>
      <c r="I4447" t="s">
        <v>75</v>
      </c>
      <c r="J4447" t="s">
        <v>201</v>
      </c>
      <c r="K4447">
        <v>1</v>
      </c>
      <c r="L4447" t="s">
        <v>7524</v>
      </c>
      <c r="M4447"/>
      <c r="N4447">
        <v>0</v>
      </c>
      <c r="O4447" t="b">
        <v>1</v>
      </c>
      <c r="P4447"/>
      <c r="Q4447" t="b">
        <v>0</v>
      </c>
      <c r="R4447">
        <v>1</v>
      </c>
      <c r="S4447" t="s">
        <v>77</v>
      </c>
      <c r="T4447">
        <v>999</v>
      </c>
      <c r="U4447" t="s">
        <v>7525</v>
      </c>
      <c r="V4447">
        <f t="shared" si="9"/>
        <v>31826084</v>
      </c>
      <c r="W4447"/>
      <c r="X4447" t="s">
        <v>5488</v>
      </c>
      <c r="Y4447" t="s">
        <v>215</v>
      </c>
      <c r="Z4447">
        <v>21753</v>
      </c>
      <c r="AA4447" t="s">
        <v>5489</v>
      </c>
      <c r="AB4447">
        <v>40001</v>
      </c>
      <c r="AC4447"/>
      <c r="AD4447"/>
      <c r="AE4447" t="s">
        <v>7524</v>
      </c>
      <c r="AF4447" t="s">
        <v>7524</v>
      </c>
      <c r="AG4447" t="s">
        <v>98</v>
      </c>
    </row>
    <row r="4448" spans="2:33">
      <c r="B4448" s="14">
        <f>10000000+INDEX(编号表!$B:$B,MATCH(H4448,编号表!$A:$A,0))*100000+INDEX(编号表!$F:$F,MATCH(D4448,编号表!$E:$E,0))*10000+INDEX(编号表!$D:$D,MATCH(AG4448,编号表!$C:$C,0))*1000+F4448</f>
        <v>11826085</v>
      </c>
      <c r="C4448" t="s">
        <v>5494</v>
      </c>
      <c r="D4448" t="s">
        <v>112</v>
      </c>
      <c r="E4448" t="s">
        <v>98</v>
      </c>
      <c r="F4448">
        <v>85</v>
      </c>
      <c r="G4448">
        <v>60</v>
      </c>
      <c r="H4448" t="s">
        <v>7524</v>
      </c>
      <c r="I4448" t="s">
        <v>75</v>
      </c>
      <c r="J4448" t="s">
        <v>201</v>
      </c>
      <c r="K4448">
        <v>1</v>
      </c>
      <c r="L4448" t="s">
        <v>7524</v>
      </c>
      <c r="M4448"/>
      <c r="N4448">
        <v>0</v>
      </c>
      <c r="O4448" t="b">
        <v>1</v>
      </c>
      <c r="P4448"/>
      <c r="Q4448" t="b">
        <v>0</v>
      </c>
      <c r="R4448">
        <v>1</v>
      </c>
      <c r="S4448" t="s">
        <v>77</v>
      </c>
      <c r="T4448">
        <v>999</v>
      </c>
      <c r="U4448" t="s">
        <v>7525</v>
      </c>
      <c r="V4448">
        <f t="shared" si="9"/>
        <v>31826085</v>
      </c>
      <c r="W4448"/>
      <c r="X4448" t="s">
        <v>5495</v>
      </c>
      <c r="Y4448" t="s">
        <v>215</v>
      </c>
      <c r="Z4448">
        <v>21756</v>
      </c>
      <c r="AA4448" t="s">
        <v>5496</v>
      </c>
      <c r="AB4448">
        <v>40001</v>
      </c>
      <c r="AC4448"/>
      <c r="AD4448"/>
      <c r="AE4448" t="s">
        <v>7524</v>
      </c>
      <c r="AF4448" t="s">
        <v>7524</v>
      </c>
      <c r="AG4448" t="s">
        <v>98</v>
      </c>
    </row>
    <row r="4449" spans="2:33">
      <c r="B4449" s="14">
        <f>10000000+INDEX(编号表!$B:$B,MATCH(H4449,编号表!$A:$A,0))*100000+INDEX(编号表!$F:$F,MATCH(D4449,编号表!$E:$E,0))*10000+INDEX(编号表!$D:$D,MATCH(AG4449,编号表!$C:$C,0))*1000+F4449</f>
        <v>11826086</v>
      </c>
      <c r="C4449" t="s">
        <v>5501</v>
      </c>
      <c r="D4449" t="s">
        <v>112</v>
      </c>
      <c r="E4449" t="s">
        <v>98</v>
      </c>
      <c r="F4449">
        <v>86</v>
      </c>
      <c r="G4449">
        <v>60</v>
      </c>
      <c r="H4449" t="s">
        <v>7524</v>
      </c>
      <c r="I4449" t="s">
        <v>75</v>
      </c>
      <c r="J4449" t="s">
        <v>201</v>
      </c>
      <c r="K4449">
        <v>1</v>
      </c>
      <c r="L4449" t="s">
        <v>7524</v>
      </c>
      <c r="M4449"/>
      <c r="N4449">
        <v>0</v>
      </c>
      <c r="O4449" t="b">
        <v>1</v>
      </c>
      <c r="P4449"/>
      <c r="Q4449" t="b">
        <v>0</v>
      </c>
      <c r="R4449">
        <v>1</v>
      </c>
      <c r="S4449" t="s">
        <v>77</v>
      </c>
      <c r="T4449">
        <v>999</v>
      </c>
      <c r="U4449" t="s">
        <v>7525</v>
      </c>
      <c r="V4449">
        <f t="shared" si="9"/>
        <v>31826086</v>
      </c>
      <c r="W4449"/>
      <c r="X4449" t="s">
        <v>5502</v>
      </c>
      <c r="Y4449" t="s">
        <v>215</v>
      </c>
      <c r="Z4449">
        <v>21759</v>
      </c>
      <c r="AA4449" t="s">
        <v>5503</v>
      </c>
      <c r="AB4449">
        <v>40001</v>
      </c>
      <c r="AC4449"/>
      <c r="AD4449"/>
      <c r="AE4449" t="s">
        <v>7524</v>
      </c>
      <c r="AF4449" t="s">
        <v>7524</v>
      </c>
      <c r="AG4449" t="s">
        <v>98</v>
      </c>
    </row>
    <row r="4450" spans="2:33">
      <c r="B4450" s="14">
        <f>10000000+INDEX(编号表!$B:$B,MATCH(H4450,编号表!$A:$A,0))*100000+INDEX(编号表!$F:$F,MATCH(D4450,编号表!$E:$E,0))*10000+INDEX(编号表!$D:$D,MATCH(AG4450,编号表!$C:$C,0))*1000+F4450</f>
        <v>11826087</v>
      </c>
      <c r="C4450" t="s">
        <v>5508</v>
      </c>
      <c r="D4450" t="s">
        <v>112</v>
      </c>
      <c r="E4450" t="s">
        <v>98</v>
      </c>
      <c r="F4450">
        <v>87</v>
      </c>
      <c r="G4450">
        <v>60</v>
      </c>
      <c r="H4450" t="s">
        <v>7524</v>
      </c>
      <c r="I4450" t="s">
        <v>75</v>
      </c>
      <c r="J4450" t="s">
        <v>201</v>
      </c>
      <c r="K4450">
        <v>1</v>
      </c>
      <c r="L4450" t="s">
        <v>7524</v>
      </c>
      <c r="M4450"/>
      <c r="N4450">
        <v>0</v>
      </c>
      <c r="O4450" t="b">
        <v>1</v>
      </c>
      <c r="P4450"/>
      <c r="Q4450" t="b">
        <v>0</v>
      </c>
      <c r="R4450">
        <v>1</v>
      </c>
      <c r="S4450" t="s">
        <v>77</v>
      </c>
      <c r="T4450">
        <v>999</v>
      </c>
      <c r="U4450" t="s">
        <v>7525</v>
      </c>
      <c r="V4450">
        <f t="shared" si="9"/>
        <v>31826087</v>
      </c>
      <c r="W4450"/>
      <c r="X4450" t="s">
        <v>5509</v>
      </c>
      <c r="Y4450" t="s">
        <v>215</v>
      </c>
      <c r="Z4450">
        <v>21762</v>
      </c>
      <c r="AA4450" t="s">
        <v>5510</v>
      </c>
      <c r="AB4450">
        <v>40001</v>
      </c>
      <c r="AC4450"/>
      <c r="AD4450"/>
      <c r="AE4450" t="s">
        <v>7524</v>
      </c>
      <c r="AF4450" t="s">
        <v>7524</v>
      </c>
      <c r="AG4450" t="s">
        <v>98</v>
      </c>
    </row>
    <row r="4451" spans="2:33">
      <c r="B4451" s="14">
        <f>10000000+INDEX(编号表!$B:$B,MATCH(H4451,编号表!$A:$A,0))*100000+INDEX(编号表!$F:$F,MATCH(D4451,编号表!$E:$E,0))*10000+INDEX(编号表!$D:$D,MATCH(AG4451,编号表!$C:$C,0))*1000+F4451</f>
        <v>11826088</v>
      </c>
      <c r="C4451" t="s">
        <v>5515</v>
      </c>
      <c r="D4451" t="s">
        <v>112</v>
      </c>
      <c r="E4451" t="s">
        <v>98</v>
      </c>
      <c r="F4451">
        <v>88</v>
      </c>
      <c r="G4451">
        <v>60</v>
      </c>
      <c r="H4451" t="s">
        <v>7524</v>
      </c>
      <c r="I4451" t="s">
        <v>75</v>
      </c>
      <c r="J4451" t="s">
        <v>201</v>
      </c>
      <c r="K4451">
        <v>1</v>
      </c>
      <c r="L4451" t="s">
        <v>7524</v>
      </c>
      <c r="M4451"/>
      <c r="N4451">
        <v>0</v>
      </c>
      <c r="O4451" t="b">
        <v>1</v>
      </c>
      <c r="P4451"/>
      <c r="Q4451" t="b">
        <v>0</v>
      </c>
      <c r="R4451">
        <v>1</v>
      </c>
      <c r="S4451" t="s">
        <v>77</v>
      </c>
      <c r="T4451">
        <v>999</v>
      </c>
      <c r="U4451" t="s">
        <v>7525</v>
      </c>
      <c r="V4451">
        <f t="shared" si="9"/>
        <v>31826088</v>
      </c>
      <c r="W4451"/>
      <c r="X4451" t="s">
        <v>5516</v>
      </c>
      <c r="Y4451" t="s">
        <v>215</v>
      </c>
      <c r="Z4451">
        <v>21765</v>
      </c>
      <c r="AA4451" t="s">
        <v>5517</v>
      </c>
      <c r="AB4451">
        <v>40001</v>
      </c>
      <c r="AC4451"/>
      <c r="AD4451"/>
      <c r="AE4451" t="s">
        <v>7524</v>
      </c>
      <c r="AF4451" t="s">
        <v>7524</v>
      </c>
      <c r="AG4451" t="s">
        <v>98</v>
      </c>
    </row>
    <row r="4452" spans="2:33">
      <c r="B4452" s="14">
        <f>10000000+INDEX(编号表!$B:$B,MATCH(H4452,编号表!$A:$A,0))*100000+INDEX(编号表!$F:$F,MATCH(D4452,编号表!$E:$E,0))*10000+INDEX(编号表!$D:$D,MATCH(AG4452,编号表!$C:$C,0))*1000+F4452</f>
        <v>11826089</v>
      </c>
      <c r="C4452" t="s">
        <v>5522</v>
      </c>
      <c r="D4452" t="s">
        <v>112</v>
      </c>
      <c r="E4452" t="s">
        <v>98</v>
      </c>
      <c r="F4452">
        <v>89</v>
      </c>
      <c r="G4452">
        <v>60</v>
      </c>
      <c r="H4452" t="s">
        <v>7524</v>
      </c>
      <c r="I4452" t="s">
        <v>75</v>
      </c>
      <c r="J4452" t="s">
        <v>201</v>
      </c>
      <c r="K4452">
        <v>1</v>
      </c>
      <c r="L4452" t="s">
        <v>7524</v>
      </c>
      <c r="M4452"/>
      <c r="N4452">
        <v>0</v>
      </c>
      <c r="O4452" t="b">
        <v>1</v>
      </c>
      <c r="P4452"/>
      <c r="Q4452" t="b">
        <v>0</v>
      </c>
      <c r="R4452">
        <v>1</v>
      </c>
      <c r="S4452" t="s">
        <v>77</v>
      </c>
      <c r="T4452">
        <v>999</v>
      </c>
      <c r="U4452" t="s">
        <v>7525</v>
      </c>
      <c r="V4452">
        <f t="shared" si="9"/>
        <v>31826089</v>
      </c>
      <c r="W4452"/>
      <c r="X4452" t="s">
        <v>5523</v>
      </c>
      <c r="Y4452" t="s">
        <v>215</v>
      </c>
      <c r="Z4452">
        <v>21768</v>
      </c>
      <c r="AA4452" t="s">
        <v>5524</v>
      </c>
      <c r="AB4452">
        <v>40001</v>
      </c>
      <c r="AC4452"/>
      <c r="AD4452"/>
      <c r="AE4452" t="s">
        <v>7524</v>
      </c>
      <c r="AF4452" t="s">
        <v>7524</v>
      </c>
      <c r="AG4452" t="s">
        <v>98</v>
      </c>
    </row>
    <row r="4453" spans="2:33">
      <c r="B4453" s="14">
        <f>10000000+INDEX(编号表!$B:$B,MATCH(H4453,编号表!$A:$A,0))*100000+INDEX(编号表!$F:$F,MATCH(D4453,编号表!$E:$E,0))*10000+INDEX(编号表!$D:$D,MATCH(AG4453,编号表!$C:$C,0))*1000+F4453</f>
        <v>11826090</v>
      </c>
      <c r="C4453" t="s">
        <v>5529</v>
      </c>
      <c r="D4453" t="s">
        <v>112</v>
      </c>
      <c r="E4453" t="s">
        <v>98</v>
      </c>
      <c r="F4453">
        <v>90</v>
      </c>
      <c r="G4453">
        <v>60</v>
      </c>
      <c r="H4453" t="s">
        <v>7524</v>
      </c>
      <c r="I4453" t="s">
        <v>75</v>
      </c>
      <c r="J4453" t="s">
        <v>201</v>
      </c>
      <c r="K4453">
        <v>1</v>
      </c>
      <c r="L4453" t="s">
        <v>7524</v>
      </c>
      <c r="M4453"/>
      <c r="N4453">
        <v>0</v>
      </c>
      <c r="O4453" t="b">
        <v>1</v>
      </c>
      <c r="P4453"/>
      <c r="Q4453" t="b">
        <v>0</v>
      </c>
      <c r="R4453">
        <v>1</v>
      </c>
      <c r="S4453" t="s">
        <v>77</v>
      </c>
      <c r="T4453">
        <v>999</v>
      </c>
      <c r="U4453" t="s">
        <v>7525</v>
      </c>
      <c r="V4453">
        <f t="shared" si="9"/>
        <v>31826090</v>
      </c>
      <c r="W4453"/>
      <c r="X4453" t="s">
        <v>5530</v>
      </c>
      <c r="Y4453" t="s">
        <v>215</v>
      </c>
      <c r="Z4453">
        <v>21771</v>
      </c>
      <c r="AA4453" t="s">
        <v>5531</v>
      </c>
      <c r="AB4453">
        <v>40001</v>
      </c>
      <c r="AC4453"/>
      <c r="AD4453"/>
      <c r="AE4453" t="s">
        <v>7524</v>
      </c>
      <c r="AF4453" t="s">
        <v>7524</v>
      </c>
      <c r="AG4453" t="s">
        <v>98</v>
      </c>
    </row>
    <row r="4454" spans="2:33">
      <c r="B4454" s="14">
        <f>10000000+INDEX(编号表!$B:$B,MATCH(H4454,编号表!$A:$A,0))*100000+INDEX(编号表!$F:$F,MATCH(D4454,编号表!$E:$E,0))*10000+INDEX(编号表!$D:$D,MATCH(AG4454,编号表!$C:$C,0))*1000+F4454</f>
        <v>11826091</v>
      </c>
      <c r="C4454" t="s">
        <v>5536</v>
      </c>
      <c r="D4454" t="s">
        <v>112</v>
      </c>
      <c r="E4454" t="s">
        <v>98</v>
      </c>
      <c r="F4454">
        <v>91</v>
      </c>
      <c r="G4454">
        <v>60</v>
      </c>
      <c r="H4454" t="s">
        <v>7524</v>
      </c>
      <c r="I4454" t="s">
        <v>75</v>
      </c>
      <c r="J4454" t="s">
        <v>201</v>
      </c>
      <c r="K4454">
        <v>1</v>
      </c>
      <c r="L4454" t="s">
        <v>7524</v>
      </c>
      <c r="M4454"/>
      <c r="N4454">
        <v>0</v>
      </c>
      <c r="O4454" t="b">
        <v>1</v>
      </c>
      <c r="P4454"/>
      <c r="Q4454" t="b">
        <v>0</v>
      </c>
      <c r="R4454">
        <v>1</v>
      </c>
      <c r="S4454" t="s">
        <v>77</v>
      </c>
      <c r="T4454">
        <v>999</v>
      </c>
      <c r="U4454" t="s">
        <v>7525</v>
      </c>
      <c r="V4454">
        <f t="shared" si="9"/>
        <v>31826091</v>
      </c>
      <c r="W4454"/>
      <c r="X4454" t="s">
        <v>5537</v>
      </c>
      <c r="Y4454" t="s">
        <v>215</v>
      </c>
      <c r="Z4454">
        <v>21774</v>
      </c>
      <c r="AA4454" t="s">
        <v>5538</v>
      </c>
      <c r="AB4454">
        <v>40001</v>
      </c>
      <c r="AC4454"/>
      <c r="AD4454"/>
      <c r="AE4454" t="s">
        <v>7524</v>
      </c>
      <c r="AF4454" t="s">
        <v>7524</v>
      </c>
      <c r="AG4454" t="s">
        <v>98</v>
      </c>
    </row>
    <row r="4455" spans="2:33">
      <c r="B4455" s="14">
        <f>10000000+INDEX(编号表!$B:$B,MATCH(H4455,编号表!$A:$A,0))*100000+INDEX(编号表!$F:$F,MATCH(D4455,编号表!$E:$E,0))*10000+INDEX(编号表!$D:$D,MATCH(AG4455,编号表!$C:$C,0))*1000+F4455</f>
        <v>11826092</v>
      </c>
      <c r="C4455" t="s">
        <v>5543</v>
      </c>
      <c r="D4455" t="s">
        <v>112</v>
      </c>
      <c r="E4455" t="s">
        <v>98</v>
      </c>
      <c r="F4455">
        <v>92</v>
      </c>
      <c r="G4455">
        <v>60</v>
      </c>
      <c r="H4455" t="s">
        <v>7524</v>
      </c>
      <c r="I4455" t="s">
        <v>75</v>
      </c>
      <c r="J4455" t="s">
        <v>201</v>
      </c>
      <c r="K4455">
        <v>1</v>
      </c>
      <c r="L4455" t="s">
        <v>7524</v>
      </c>
      <c r="M4455"/>
      <c r="N4455">
        <v>0</v>
      </c>
      <c r="O4455" t="b">
        <v>1</v>
      </c>
      <c r="P4455"/>
      <c r="Q4455" t="b">
        <v>0</v>
      </c>
      <c r="R4455">
        <v>1</v>
      </c>
      <c r="S4455" t="s">
        <v>77</v>
      </c>
      <c r="T4455">
        <v>999</v>
      </c>
      <c r="U4455" t="s">
        <v>7525</v>
      </c>
      <c r="V4455">
        <f t="shared" si="9"/>
        <v>31826092</v>
      </c>
      <c r="W4455"/>
      <c r="X4455" t="s">
        <v>5544</v>
      </c>
      <c r="Y4455" t="s">
        <v>215</v>
      </c>
      <c r="Z4455">
        <v>21777</v>
      </c>
      <c r="AA4455" t="s">
        <v>5545</v>
      </c>
      <c r="AB4455">
        <v>40001</v>
      </c>
      <c r="AC4455"/>
      <c r="AD4455"/>
      <c r="AE4455" t="s">
        <v>7524</v>
      </c>
      <c r="AF4455" t="s">
        <v>7524</v>
      </c>
      <c r="AG4455" t="s">
        <v>98</v>
      </c>
    </row>
    <row r="4456" spans="2:33">
      <c r="B4456" s="14">
        <f>10000000+INDEX(编号表!$B:$B,MATCH(H4456,编号表!$A:$A,0))*100000+INDEX(编号表!$F:$F,MATCH(D4456,编号表!$E:$E,0))*10000+INDEX(编号表!$D:$D,MATCH(AG4456,编号表!$C:$C,0))*1000+F4456</f>
        <v>11826093</v>
      </c>
      <c r="C4456" t="s">
        <v>5550</v>
      </c>
      <c r="D4456" t="s">
        <v>112</v>
      </c>
      <c r="E4456" t="s">
        <v>98</v>
      </c>
      <c r="F4456">
        <v>93</v>
      </c>
      <c r="G4456">
        <v>60</v>
      </c>
      <c r="H4456" t="s">
        <v>7524</v>
      </c>
      <c r="I4456" t="s">
        <v>75</v>
      </c>
      <c r="J4456" t="s">
        <v>201</v>
      </c>
      <c r="K4456">
        <v>1</v>
      </c>
      <c r="L4456" t="s">
        <v>7524</v>
      </c>
      <c r="M4456"/>
      <c r="N4456">
        <v>0</v>
      </c>
      <c r="O4456" t="b">
        <v>1</v>
      </c>
      <c r="P4456"/>
      <c r="Q4456" t="b">
        <v>0</v>
      </c>
      <c r="R4456">
        <v>1</v>
      </c>
      <c r="S4456" t="s">
        <v>77</v>
      </c>
      <c r="T4456">
        <v>999</v>
      </c>
      <c r="U4456" t="s">
        <v>7525</v>
      </c>
      <c r="V4456">
        <f t="shared" si="9"/>
        <v>31826093</v>
      </c>
      <c r="W4456"/>
      <c r="X4456" t="s">
        <v>5551</v>
      </c>
      <c r="Y4456" t="s">
        <v>215</v>
      </c>
      <c r="Z4456">
        <v>21780</v>
      </c>
      <c r="AA4456" t="s">
        <v>5552</v>
      </c>
      <c r="AB4456">
        <v>40001</v>
      </c>
      <c r="AC4456"/>
      <c r="AD4456"/>
      <c r="AE4456" t="s">
        <v>7524</v>
      </c>
      <c r="AF4456" t="s">
        <v>7524</v>
      </c>
      <c r="AG4456" t="s">
        <v>98</v>
      </c>
    </row>
    <row r="4457" spans="2:33">
      <c r="B4457" s="14">
        <f>10000000+INDEX(编号表!$B:$B,MATCH(H4457,编号表!$A:$A,0))*100000+INDEX(编号表!$F:$F,MATCH(D4457,编号表!$E:$E,0))*10000+INDEX(编号表!$D:$D,MATCH(AG4457,编号表!$C:$C,0))*1000+F4457</f>
        <v>11826094</v>
      </c>
      <c r="C4457" t="s">
        <v>5557</v>
      </c>
      <c r="D4457" t="s">
        <v>112</v>
      </c>
      <c r="E4457" t="s">
        <v>98</v>
      </c>
      <c r="F4457">
        <v>94</v>
      </c>
      <c r="G4457">
        <v>60</v>
      </c>
      <c r="H4457" t="s">
        <v>7524</v>
      </c>
      <c r="I4457" t="s">
        <v>75</v>
      </c>
      <c r="J4457" t="s">
        <v>201</v>
      </c>
      <c r="K4457">
        <v>1</v>
      </c>
      <c r="L4457" t="s">
        <v>7524</v>
      </c>
      <c r="M4457"/>
      <c r="N4457">
        <v>0</v>
      </c>
      <c r="O4457" t="b">
        <v>1</v>
      </c>
      <c r="P4457"/>
      <c r="Q4457" t="b">
        <v>0</v>
      </c>
      <c r="R4457">
        <v>1</v>
      </c>
      <c r="S4457" t="s">
        <v>77</v>
      </c>
      <c r="T4457">
        <v>999</v>
      </c>
      <c r="U4457" t="s">
        <v>7525</v>
      </c>
      <c r="V4457">
        <f t="shared" si="9"/>
        <v>31826094</v>
      </c>
      <c r="W4457"/>
      <c r="X4457" t="s">
        <v>5558</v>
      </c>
      <c r="Y4457" t="s">
        <v>215</v>
      </c>
      <c r="Z4457">
        <v>21783</v>
      </c>
      <c r="AA4457" t="s">
        <v>5559</v>
      </c>
      <c r="AB4457">
        <v>40001</v>
      </c>
      <c r="AC4457"/>
      <c r="AD4457"/>
      <c r="AE4457" t="s">
        <v>7524</v>
      </c>
      <c r="AF4457" t="s">
        <v>7524</v>
      </c>
      <c r="AG4457" t="s">
        <v>98</v>
      </c>
    </row>
    <row r="4458" spans="2:33">
      <c r="B4458" s="14">
        <f>10000000+INDEX(编号表!$B:$B,MATCH(H4458,编号表!$A:$A,0))*100000+INDEX(编号表!$F:$F,MATCH(D4458,编号表!$E:$E,0))*10000+INDEX(编号表!$D:$D,MATCH(AG4458,编号表!$C:$C,0))*1000+F4458</f>
        <v>11826095</v>
      </c>
      <c r="C4458" t="s">
        <v>5564</v>
      </c>
      <c r="D4458" t="s">
        <v>112</v>
      </c>
      <c r="E4458" t="s">
        <v>98</v>
      </c>
      <c r="F4458">
        <v>95</v>
      </c>
      <c r="G4458">
        <v>60</v>
      </c>
      <c r="H4458" t="s">
        <v>7524</v>
      </c>
      <c r="I4458" t="s">
        <v>75</v>
      </c>
      <c r="J4458" t="s">
        <v>201</v>
      </c>
      <c r="K4458">
        <v>1</v>
      </c>
      <c r="L4458" t="s">
        <v>7524</v>
      </c>
      <c r="M4458"/>
      <c r="N4458">
        <v>0</v>
      </c>
      <c r="O4458" t="b">
        <v>1</v>
      </c>
      <c r="P4458"/>
      <c r="Q4458" t="b">
        <v>0</v>
      </c>
      <c r="R4458">
        <v>1</v>
      </c>
      <c r="S4458" t="s">
        <v>77</v>
      </c>
      <c r="T4458">
        <v>999</v>
      </c>
      <c r="U4458" t="s">
        <v>7525</v>
      </c>
      <c r="V4458">
        <f t="shared" si="9"/>
        <v>31826095</v>
      </c>
      <c r="W4458"/>
      <c r="X4458" t="s">
        <v>5565</v>
      </c>
      <c r="Y4458" t="s">
        <v>215</v>
      </c>
      <c r="Z4458">
        <v>21786</v>
      </c>
      <c r="AA4458" t="s">
        <v>5566</v>
      </c>
      <c r="AB4458">
        <v>40001</v>
      </c>
      <c r="AC4458"/>
      <c r="AD4458"/>
      <c r="AE4458" t="s">
        <v>7524</v>
      </c>
      <c r="AF4458" t="s">
        <v>7524</v>
      </c>
      <c r="AG4458" t="s">
        <v>98</v>
      </c>
    </row>
    <row r="4459" spans="2:33">
      <c r="B4459" s="14">
        <f>10000000+INDEX(编号表!$B:$B,MATCH(H4459,编号表!$A:$A,0))*100000+INDEX(编号表!$F:$F,MATCH(D4459,编号表!$E:$E,0))*10000+INDEX(编号表!$D:$D,MATCH(AG4459,编号表!$C:$C,0))*1000+F4459</f>
        <v>11826096</v>
      </c>
      <c r="C4459" t="s">
        <v>5571</v>
      </c>
      <c r="D4459" t="s">
        <v>112</v>
      </c>
      <c r="E4459" t="s">
        <v>98</v>
      </c>
      <c r="F4459">
        <v>96</v>
      </c>
      <c r="G4459">
        <v>60</v>
      </c>
      <c r="H4459" t="s">
        <v>7524</v>
      </c>
      <c r="I4459" t="s">
        <v>75</v>
      </c>
      <c r="J4459" t="s">
        <v>201</v>
      </c>
      <c r="K4459">
        <v>1</v>
      </c>
      <c r="L4459" t="s">
        <v>7524</v>
      </c>
      <c r="M4459"/>
      <c r="N4459">
        <v>0</v>
      </c>
      <c r="O4459" t="b">
        <v>1</v>
      </c>
      <c r="P4459"/>
      <c r="Q4459" t="b">
        <v>0</v>
      </c>
      <c r="R4459">
        <v>1</v>
      </c>
      <c r="S4459" t="s">
        <v>77</v>
      </c>
      <c r="T4459">
        <v>999</v>
      </c>
      <c r="U4459" t="s">
        <v>7525</v>
      </c>
      <c r="V4459">
        <f t="shared" si="9"/>
        <v>31826096</v>
      </c>
      <c r="W4459"/>
      <c r="X4459" t="s">
        <v>5572</v>
      </c>
      <c r="Y4459" t="s">
        <v>215</v>
      </c>
      <c r="Z4459">
        <v>21789</v>
      </c>
      <c r="AA4459" t="s">
        <v>5573</v>
      </c>
      <c r="AB4459">
        <v>40001</v>
      </c>
      <c r="AC4459"/>
      <c r="AD4459"/>
      <c r="AE4459" t="s">
        <v>7524</v>
      </c>
      <c r="AF4459" t="s">
        <v>7524</v>
      </c>
      <c r="AG4459" t="s">
        <v>98</v>
      </c>
    </row>
    <row r="4460" spans="2:33">
      <c r="B4460" s="14">
        <f>10000000+INDEX(编号表!$B:$B,MATCH(H4460,编号表!$A:$A,0))*100000+INDEX(编号表!$F:$F,MATCH(D4460,编号表!$E:$E,0))*10000+INDEX(编号表!$D:$D,MATCH(AG4460,编号表!$C:$C,0))*1000+F4460</f>
        <v>11826097</v>
      </c>
      <c r="C4460" t="s">
        <v>5578</v>
      </c>
      <c r="D4460" t="s">
        <v>112</v>
      </c>
      <c r="E4460" t="s">
        <v>98</v>
      </c>
      <c r="F4460">
        <v>97</v>
      </c>
      <c r="G4460">
        <v>60</v>
      </c>
      <c r="H4460" t="s">
        <v>7524</v>
      </c>
      <c r="I4460" t="s">
        <v>75</v>
      </c>
      <c r="J4460" t="s">
        <v>201</v>
      </c>
      <c r="K4460">
        <v>1</v>
      </c>
      <c r="L4460" t="s">
        <v>7524</v>
      </c>
      <c r="M4460"/>
      <c r="N4460">
        <v>0</v>
      </c>
      <c r="O4460" t="b">
        <v>1</v>
      </c>
      <c r="P4460"/>
      <c r="Q4460" t="b">
        <v>0</v>
      </c>
      <c r="R4460">
        <v>1</v>
      </c>
      <c r="S4460" t="s">
        <v>77</v>
      </c>
      <c r="T4460">
        <v>999</v>
      </c>
      <c r="U4460" t="s">
        <v>7525</v>
      </c>
      <c r="V4460">
        <f t="shared" si="9"/>
        <v>31826097</v>
      </c>
      <c r="W4460"/>
      <c r="X4460" t="s">
        <v>5579</v>
      </c>
      <c r="Y4460" t="s">
        <v>215</v>
      </c>
      <c r="Z4460">
        <v>21792</v>
      </c>
      <c r="AA4460" t="s">
        <v>5580</v>
      </c>
      <c r="AB4460">
        <v>40001</v>
      </c>
      <c r="AC4460"/>
      <c r="AD4460"/>
      <c r="AE4460" t="s">
        <v>7524</v>
      </c>
      <c r="AF4460" t="s">
        <v>7524</v>
      </c>
      <c r="AG4460" t="s">
        <v>98</v>
      </c>
    </row>
    <row r="4461" spans="2:33">
      <c r="B4461" s="14">
        <f>10000000+INDEX(编号表!$B:$B,MATCH(H4461,编号表!$A:$A,0))*100000+INDEX(编号表!$F:$F,MATCH(D4461,编号表!$E:$E,0))*10000+INDEX(编号表!$D:$D,MATCH(AG4461,编号表!$C:$C,0))*1000+F4461</f>
        <v>11826098</v>
      </c>
      <c r="C4461" t="s">
        <v>5585</v>
      </c>
      <c r="D4461" t="s">
        <v>112</v>
      </c>
      <c r="E4461" t="s">
        <v>98</v>
      </c>
      <c r="F4461">
        <v>98</v>
      </c>
      <c r="G4461">
        <v>60</v>
      </c>
      <c r="H4461" t="s">
        <v>7524</v>
      </c>
      <c r="I4461" t="s">
        <v>75</v>
      </c>
      <c r="J4461" t="s">
        <v>201</v>
      </c>
      <c r="K4461">
        <v>1</v>
      </c>
      <c r="L4461" t="s">
        <v>7524</v>
      </c>
      <c r="M4461"/>
      <c r="N4461">
        <v>0</v>
      </c>
      <c r="O4461" t="b">
        <v>1</v>
      </c>
      <c r="P4461"/>
      <c r="Q4461" t="b">
        <v>0</v>
      </c>
      <c r="R4461">
        <v>1</v>
      </c>
      <c r="S4461" t="s">
        <v>77</v>
      </c>
      <c r="T4461">
        <v>999</v>
      </c>
      <c r="U4461" t="s">
        <v>7525</v>
      </c>
      <c r="V4461">
        <f t="shared" si="9"/>
        <v>31826098</v>
      </c>
      <c r="W4461"/>
      <c r="X4461" t="s">
        <v>5586</v>
      </c>
      <c r="Y4461" t="s">
        <v>215</v>
      </c>
      <c r="Z4461">
        <v>21795</v>
      </c>
      <c r="AA4461" t="s">
        <v>5587</v>
      </c>
      <c r="AB4461">
        <v>40001</v>
      </c>
      <c r="AC4461"/>
      <c r="AD4461"/>
      <c r="AE4461" t="s">
        <v>7524</v>
      </c>
      <c r="AF4461" t="s">
        <v>7524</v>
      </c>
      <c r="AG4461" t="s">
        <v>98</v>
      </c>
    </row>
    <row r="4462" spans="2:33">
      <c r="B4462" s="14">
        <f>10000000+INDEX(编号表!$B:$B,MATCH(H4462,编号表!$A:$A,0))*100000+INDEX(编号表!$F:$F,MATCH(D4462,编号表!$E:$E,0))*10000+INDEX(编号表!$D:$D,MATCH(AG4462,编号表!$C:$C,0))*1000+F4462</f>
        <v>11826099</v>
      </c>
      <c r="C4462" t="s">
        <v>5592</v>
      </c>
      <c r="D4462" t="s">
        <v>112</v>
      </c>
      <c r="E4462" t="s">
        <v>98</v>
      </c>
      <c r="F4462">
        <v>99</v>
      </c>
      <c r="G4462">
        <v>60</v>
      </c>
      <c r="H4462" t="s">
        <v>7524</v>
      </c>
      <c r="I4462" t="s">
        <v>75</v>
      </c>
      <c r="J4462" t="s">
        <v>201</v>
      </c>
      <c r="K4462">
        <v>1</v>
      </c>
      <c r="L4462" t="s">
        <v>7524</v>
      </c>
      <c r="M4462"/>
      <c r="N4462">
        <v>0</v>
      </c>
      <c r="O4462" t="b">
        <v>1</v>
      </c>
      <c r="P4462"/>
      <c r="Q4462" t="b">
        <v>0</v>
      </c>
      <c r="R4462">
        <v>1</v>
      </c>
      <c r="S4462" t="s">
        <v>77</v>
      </c>
      <c r="T4462">
        <v>999</v>
      </c>
      <c r="U4462" t="s">
        <v>7525</v>
      </c>
      <c r="V4462">
        <f t="shared" si="9"/>
        <v>31826099</v>
      </c>
      <c r="W4462"/>
      <c r="X4462" t="s">
        <v>5593</v>
      </c>
      <c r="Y4462" t="s">
        <v>215</v>
      </c>
      <c r="Z4462">
        <v>21798</v>
      </c>
      <c r="AA4462" t="s">
        <v>5594</v>
      </c>
      <c r="AB4462">
        <v>40001</v>
      </c>
      <c r="AC4462"/>
      <c r="AD4462"/>
      <c r="AE4462" t="s">
        <v>7524</v>
      </c>
      <c r="AF4462" t="s">
        <v>7524</v>
      </c>
      <c r="AG4462" t="s">
        <v>98</v>
      </c>
    </row>
    <row r="4463" spans="2:33">
      <c r="B4463" s="14">
        <f>10000000+INDEX(编号表!$B:$B,MATCH(H4463,编号表!$A:$A,0))*100000+INDEX(编号表!$F:$F,MATCH(D4463,编号表!$E:$E,0))*10000+INDEX(编号表!$D:$D,MATCH(AG4463,编号表!$C:$C,0))*1000+F4463</f>
        <v>11826100</v>
      </c>
      <c r="C4463" t="s">
        <v>5599</v>
      </c>
      <c r="D4463" t="s">
        <v>112</v>
      </c>
      <c r="E4463" t="s">
        <v>98</v>
      </c>
      <c r="F4463">
        <v>100</v>
      </c>
      <c r="G4463">
        <v>60</v>
      </c>
      <c r="H4463" t="s">
        <v>7524</v>
      </c>
      <c r="I4463" t="s">
        <v>75</v>
      </c>
      <c r="J4463" t="s">
        <v>201</v>
      </c>
      <c r="K4463">
        <v>1</v>
      </c>
      <c r="L4463" t="s">
        <v>7524</v>
      </c>
      <c r="M4463"/>
      <c r="N4463">
        <v>0</v>
      </c>
      <c r="O4463" t="b">
        <v>1</v>
      </c>
      <c r="P4463"/>
      <c r="Q4463" t="b">
        <v>0</v>
      </c>
      <c r="R4463">
        <v>1</v>
      </c>
      <c r="S4463" t="s">
        <v>77</v>
      </c>
      <c r="T4463">
        <v>999</v>
      </c>
      <c r="U4463" t="s">
        <v>7525</v>
      </c>
      <c r="V4463">
        <f t="shared" si="9"/>
        <v>31826100</v>
      </c>
      <c r="W4463"/>
      <c r="X4463" t="s">
        <v>5600</v>
      </c>
      <c r="Y4463" t="s">
        <v>215</v>
      </c>
      <c r="Z4463">
        <v>21801</v>
      </c>
      <c r="AA4463" t="s">
        <v>5601</v>
      </c>
      <c r="AB4463">
        <v>40001</v>
      </c>
      <c r="AC4463"/>
      <c r="AD4463"/>
      <c r="AE4463" t="s">
        <v>7524</v>
      </c>
      <c r="AF4463" t="s">
        <v>7524</v>
      </c>
      <c r="AG4463" t="s">
        <v>98</v>
      </c>
    </row>
    <row r="4464" spans="2:33">
      <c r="B4464" s="14">
        <f>10000000+INDEX(编号表!$B:$B,MATCH(H4464,编号表!$A:$A,0))*100000+INDEX(编号表!$F:$F,MATCH(D4464,编号表!$E:$E,0))*10000+INDEX(编号表!$D:$D,MATCH(AG4464,编号表!$C:$C,0))*1000+F4464</f>
        <v>11826101</v>
      </c>
      <c r="C4464" t="s">
        <v>5606</v>
      </c>
      <c r="D4464" t="s">
        <v>112</v>
      </c>
      <c r="E4464" t="s">
        <v>98</v>
      </c>
      <c r="F4464">
        <v>101</v>
      </c>
      <c r="G4464">
        <v>60</v>
      </c>
      <c r="H4464" t="s">
        <v>7524</v>
      </c>
      <c r="I4464" t="s">
        <v>75</v>
      </c>
      <c r="J4464" t="s">
        <v>201</v>
      </c>
      <c r="K4464">
        <v>1</v>
      </c>
      <c r="L4464" t="s">
        <v>7524</v>
      </c>
      <c r="M4464"/>
      <c r="N4464">
        <v>0</v>
      </c>
      <c r="O4464" t="b">
        <v>1</v>
      </c>
      <c r="P4464"/>
      <c r="Q4464" t="b">
        <v>0</v>
      </c>
      <c r="R4464">
        <v>1</v>
      </c>
      <c r="S4464" t="s">
        <v>77</v>
      </c>
      <c r="T4464">
        <v>999</v>
      </c>
      <c r="U4464" t="s">
        <v>7525</v>
      </c>
      <c r="V4464">
        <f t="shared" si="9"/>
        <v>31826101</v>
      </c>
      <c r="W4464"/>
      <c r="X4464" t="s">
        <v>5607</v>
      </c>
      <c r="Y4464" t="s">
        <v>215</v>
      </c>
      <c r="Z4464">
        <v>21804</v>
      </c>
      <c r="AA4464" t="s">
        <v>5608</v>
      </c>
      <c r="AB4464">
        <v>40001</v>
      </c>
      <c r="AC4464"/>
      <c r="AD4464"/>
      <c r="AE4464" t="s">
        <v>7524</v>
      </c>
      <c r="AF4464" t="s">
        <v>7524</v>
      </c>
      <c r="AG4464" t="s">
        <v>98</v>
      </c>
    </row>
    <row r="4465" spans="2:33">
      <c r="B4465" s="14">
        <f>10000000+INDEX(编号表!$B:$B,MATCH(H4465,编号表!$A:$A,0))*100000+INDEX(编号表!$F:$F,MATCH(D4465,编号表!$E:$E,0))*10000+INDEX(编号表!$D:$D,MATCH(AG4465,编号表!$C:$C,0))*1000+F4465</f>
        <v>11826102</v>
      </c>
      <c r="C4465" t="s">
        <v>5613</v>
      </c>
      <c r="D4465" t="s">
        <v>112</v>
      </c>
      <c r="E4465" t="s">
        <v>98</v>
      </c>
      <c r="F4465">
        <v>102</v>
      </c>
      <c r="G4465">
        <v>60</v>
      </c>
      <c r="H4465" t="s">
        <v>7524</v>
      </c>
      <c r="I4465" t="s">
        <v>75</v>
      </c>
      <c r="J4465" t="s">
        <v>201</v>
      </c>
      <c r="K4465">
        <v>1</v>
      </c>
      <c r="L4465" t="s">
        <v>7524</v>
      </c>
      <c r="M4465"/>
      <c r="N4465">
        <v>0</v>
      </c>
      <c r="O4465" t="b">
        <v>1</v>
      </c>
      <c r="P4465"/>
      <c r="Q4465" t="b">
        <v>0</v>
      </c>
      <c r="R4465">
        <v>1</v>
      </c>
      <c r="S4465" t="s">
        <v>77</v>
      </c>
      <c r="T4465">
        <v>999</v>
      </c>
      <c r="U4465" t="s">
        <v>7525</v>
      </c>
      <c r="V4465">
        <f t="shared" si="9"/>
        <v>31826102</v>
      </c>
      <c r="W4465"/>
      <c r="X4465" t="s">
        <v>5614</v>
      </c>
      <c r="Y4465" t="s">
        <v>215</v>
      </c>
      <c r="Z4465">
        <v>21807</v>
      </c>
      <c r="AA4465" t="s">
        <v>5615</v>
      </c>
      <c r="AB4465">
        <v>40001</v>
      </c>
      <c r="AC4465"/>
      <c r="AD4465"/>
      <c r="AE4465" t="s">
        <v>7524</v>
      </c>
      <c r="AF4465" t="s">
        <v>7524</v>
      </c>
      <c r="AG4465" t="s">
        <v>98</v>
      </c>
    </row>
    <row r="4466" spans="2:33">
      <c r="B4466" s="14">
        <f>10000000+INDEX(编号表!$B:$B,MATCH(H4466,编号表!$A:$A,0))*100000+INDEX(编号表!$F:$F,MATCH(D4466,编号表!$E:$E,0))*10000+INDEX(编号表!$D:$D,MATCH(AG4466,编号表!$C:$C,0))*1000+F4466</f>
        <v>11826103</v>
      </c>
      <c r="C4466" t="s">
        <v>5620</v>
      </c>
      <c r="D4466" t="s">
        <v>112</v>
      </c>
      <c r="E4466" t="s">
        <v>98</v>
      </c>
      <c r="F4466">
        <v>103</v>
      </c>
      <c r="G4466">
        <v>60</v>
      </c>
      <c r="H4466" t="s">
        <v>7524</v>
      </c>
      <c r="I4466" t="s">
        <v>75</v>
      </c>
      <c r="J4466" t="s">
        <v>201</v>
      </c>
      <c r="K4466">
        <v>1</v>
      </c>
      <c r="L4466" t="s">
        <v>7524</v>
      </c>
      <c r="M4466"/>
      <c r="N4466">
        <v>0</v>
      </c>
      <c r="O4466" t="b">
        <v>1</v>
      </c>
      <c r="P4466"/>
      <c r="Q4466" t="b">
        <v>0</v>
      </c>
      <c r="R4466">
        <v>1</v>
      </c>
      <c r="S4466" t="s">
        <v>77</v>
      </c>
      <c r="T4466">
        <v>999</v>
      </c>
      <c r="U4466" t="s">
        <v>7525</v>
      </c>
      <c r="V4466">
        <f t="shared" si="9"/>
        <v>31826103</v>
      </c>
      <c r="W4466"/>
      <c r="X4466" t="s">
        <v>5621</v>
      </c>
      <c r="Y4466" t="s">
        <v>215</v>
      </c>
      <c r="Z4466">
        <v>21810</v>
      </c>
      <c r="AA4466" t="s">
        <v>5622</v>
      </c>
      <c r="AB4466">
        <v>40001</v>
      </c>
      <c r="AC4466"/>
      <c r="AD4466"/>
      <c r="AE4466" t="s">
        <v>7524</v>
      </c>
      <c r="AF4466" t="s">
        <v>7524</v>
      </c>
      <c r="AG4466" t="s">
        <v>98</v>
      </c>
    </row>
    <row r="4467" spans="2:33">
      <c r="B4467" s="14">
        <f>10000000+INDEX(编号表!$B:$B,MATCH(H4467,编号表!$A:$A,0))*100000+INDEX(编号表!$F:$F,MATCH(D4467,编号表!$E:$E,0))*10000+INDEX(编号表!$D:$D,MATCH(AG4467,编号表!$C:$C,0))*1000+F4467</f>
        <v>11826104</v>
      </c>
      <c r="C4467" t="s">
        <v>5627</v>
      </c>
      <c r="D4467" t="s">
        <v>112</v>
      </c>
      <c r="E4467" t="s">
        <v>98</v>
      </c>
      <c r="F4467">
        <v>104</v>
      </c>
      <c r="G4467">
        <v>60</v>
      </c>
      <c r="H4467" t="s">
        <v>7524</v>
      </c>
      <c r="I4467" t="s">
        <v>75</v>
      </c>
      <c r="J4467" t="s">
        <v>201</v>
      </c>
      <c r="K4467">
        <v>1</v>
      </c>
      <c r="L4467" t="s">
        <v>7524</v>
      </c>
      <c r="M4467"/>
      <c r="N4467">
        <v>0</v>
      </c>
      <c r="O4467" t="b">
        <v>1</v>
      </c>
      <c r="P4467"/>
      <c r="Q4467" t="b">
        <v>0</v>
      </c>
      <c r="R4467">
        <v>1</v>
      </c>
      <c r="S4467" t="s">
        <v>77</v>
      </c>
      <c r="T4467">
        <v>999</v>
      </c>
      <c r="U4467" t="s">
        <v>7525</v>
      </c>
      <c r="V4467">
        <f t="shared" si="9"/>
        <v>31826104</v>
      </c>
      <c r="W4467"/>
      <c r="X4467" t="s">
        <v>5628</v>
      </c>
      <c r="Y4467" t="s">
        <v>215</v>
      </c>
      <c r="Z4467">
        <v>21813</v>
      </c>
      <c r="AA4467" t="s">
        <v>5629</v>
      </c>
      <c r="AB4467">
        <v>40001</v>
      </c>
      <c r="AC4467"/>
      <c r="AD4467"/>
      <c r="AE4467" t="s">
        <v>7524</v>
      </c>
      <c r="AF4467" t="s">
        <v>7524</v>
      </c>
      <c r="AG4467" t="s">
        <v>98</v>
      </c>
    </row>
    <row r="4468" spans="2:33">
      <c r="B4468" s="14">
        <f>10000000+INDEX(编号表!$B:$B,MATCH(H4468,编号表!$A:$A,0))*100000+INDEX(编号表!$F:$F,MATCH(D4468,编号表!$E:$E,0))*10000+INDEX(编号表!$D:$D,MATCH(AG4468,编号表!$C:$C,0))*1000+F4468</f>
        <v>11826105</v>
      </c>
      <c r="C4468" t="s">
        <v>5634</v>
      </c>
      <c r="D4468" t="s">
        <v>112</v>
      </c>
      <c r="E4468" t="s">
        <v>98</v>
      </c>
      <c r="F4468">
        <v>105</v>
      </c>
      <c r="G4468">
        <v>60</v>
      </c>
      <c r="H4468" t="s">
        <v>7524</v>
      </c>
      <c r="I4468" t="s">
        <v>75</v>
      </c>
      <c r="J4468" t="s">
        <v>201</v>
      </c>
      <c r="K4468">
        <v>1</v>
      </c>
      <c r="L4468" t="s">
        <v>7524</v>
      </c>
      <c r="M4468"/>
      <c r="N4468">
        <v>0</v>
      </c>
      <c r="O4468" t="b">
        <v>1</v>
      </c>
      <c r="P4468"/>
      <c r="Q4468" t="b">
        <v>0</v>
      </c>
      <c r="R4468">
        <v>1</v>
      </c>
      <c r="S4468" t="s">
        <v>77</v>
      </c>
      <c r="T4468">
        <v>999</v>
      </c>
      <c r="U4468" t="s">
        <v>7525</v>
      </c>
      <c r="V4468">
        <f t="shared" si="9"/>
        <v>31826105</v>
      </c>
      <c r="W4468"/>
      <c r="X4468" t="s">
        <v>5635</v>
      </c>
      <c r="Y4468" t="s">
        <v>215</v>
      </c>
      <c r="Z4468">
        <v>21816</v>
      </c>
      <c r="AA4468" t="s">
        <v>5636</v>
      </c>
      <c r="AB4468">
        <v>40001</v>
      </c>
      <c r="AC4468"/>
      <c r="AD4468"/>
      <c r="AE4468" t="s">
        <v>7524</v>
      </c>
      <c r="AF4468" t="s">
        <v>7524</v>
      </c>
      <c r="AG4468" t="s">
        <v>98</v>
      </c>
    </row>
    <row r="4469" spans="2:33">
      <c r="B4469" s="14">
        <f>10000000+INDEX(编号表!$B:$B,MATCH(H4469,编号表!$A:$A,0))*100000+INDEX(编号表!$F:$F,MATCH(D4469,编号表!$E:$E,0))*10000+INDEX(编号表!$D:$D,MATCH(AG4469,编号表!$C:$C,0))*1000+F4469</f>
        <v>11826106</v>
      </c>
      <c r="C4469" t="s">
        <v>5641</v>
      </c>
      <c r="D4469" t="s">
        <v>112</v>
      </c>
      <c r="E4469" t="s">
        <v>98</v>
      </c>
      <c r="F4469">
        <v>106</v>
      </c>
      <c r="G4469">
        <v>60</v>
      </c>
      <c r="H4469" t="s">
        <v>7524</v>
      </c>
      <c r="I4469" t="s">
        <v>75</v>
      </c>
      <c r="J4469" t="s">
        <v>201</v>
      </c>
      <c r="K4469">
        <v>1</v>
      </c>
      <c r="L4469" t="s">
        <v>7524</v>
      </c>
      <c r="M4469"/>
      <c r="N4469">
        <v>0</v>
      </c>
      <c r="O4469" t="b">
        <v>1</v>
      </c>
      <c r="P4469"/>
      <c r="Q4469" t="b">
        <v>0</v>
      </c>
      <c r="R4469">
        <v>1</v>
      </c>
      <c r="S4469" t="s">
        <v>77</v>
      </c>
      <c r="T4469">
        <v>999</v>
      </c>
      <c r="U4469" t="s">
        <v>7525</v>
      </c>
      <c r="V4469">
        <f t="shared" si="9"/>
        <v>31826106</v>
      </c>
      <c r="W4469"/>
      <c r="X4469" t="s">
        <v>5642</v>
      </c>
      <c r="Y4469" t="s">
        <v>215</v>
      </c>
      <c r="Z4469">
        <v>21819</v>
      </c>
      <c r="AA4469" t="s">
        <v>5643</v>
      </c>
      <c r="AB4469">
        <v>40001</v>
      </c>
      <c r="AC4469"/>
      <c r="AD4469"/>
      <c r="AE4469" t="s">
        <v>7524</v>
      </c>
      <c r="AF4469" t="s">
        <v>7524</v>
      </c>
      <c r="AG4469" t="s">
        <v>98</v>
      </c>
    </row>
    <row r="4470" spans="2:33">
      <c r="B4470" s="14">
        <f>10000000+INDEX(编号表!$B:$B,MATCH(H4470,编号表!$A:$A,0))*100000+INDEX(编号表!$F:$F,MATCH(D4470,编号表!$E:$E,0))*10000+INDEX(编号表!$D:$D,MATCH(AG4470,编号表!$C:$C,0))*1000+F4470</f>
        <v>11826107</v>
      </c>
      <c r="C4470" t="s">
        <v>5648</v>
      </c>
      <c r="D4470" t="s">
        <v>112</v>
      </c>
      <c r="E4470" t="s">
        <v>98</v>
      </c>
      <c r="F4470">
        <v>107</v>
      </c>
      <c r="G4470">
        <v>60</v>
      </c>
      <c r="H4470" t="s">
        <v>7524</v>
      </c>
      <c r="I4470" t="s">
        <v>75</v>
      </c>
      <c r="J4470" t="s">
        <v>201</v>
      </c>
      <c r="K4470">
        <v>1</v>
      </c>
      <c r="L4470" t="s">
        <v>7524</v>
      </c>
      <c r="M4470"/>
      <c r="N4470">
        <v>0</v>
      </c>
      <c r="O4470" t="b">
        <v>1</v>
      </c>
      <c r="P4470"/>
      <c r="Q4470" t="b">
        <v>0</v>
      </c>
      <c r="R4470">
        <v>1</v>
      </c>
      <c r="S4470" t="s">
        <v>77</v>
      </c>
      <c r="T4470">
        <v>999</v>
      </c>
      <c r="U4470" t="s">
        <v>7525</v>
      </c>
      <c r="V4470">
        <f t="shared" si="9"/>
        <v>31826107</v>
      </c>
      <c r="W4470"/>
      <c r="X4470" t="s">
        <v>5649</v>
      </c>
      <c r="Y4470" t="s">
        <v>215</v>
      </c>
      <c r="Z4470">
        <v>21822</v>
      </c>
      <c r="AA4470" t="s">
        <v>5650</v>
      </c>
      <c r="AB4470">
        <v>40001</v>
      </c>
      <c r="AC4470"/>
      <c r="AD4470"/>
      <c r="AE4470" t="s">
        <v>7524</v>
      </c>
      <c r="AF4470" t="s">
        <v>7524</v>
      </c>
      <c r="AG4470" t="s">
        <v>98</v>
      </c>
    </row>
    <row r="4471" spans="2:33">
      <c r="B4471" s="14">
        <f>10000000+INDEX(编号表!$B:$B,MATCH(H4471,编号表!$A:$A,0))*100000+INDEX(编号表!$F:$F,MATCH(D4471,编号表!$E:$E,0))*10000+INDEX(编号表!$D:$D,MATCH(AG4471,编号表!$C:$C,0))*1000+F4471</f>
        <v>11826108</v>
      </c>
      <c r="C4471" t="s">
        <v>5655</v>
      </c>
      <c r="D4471" t="s">
        <v>112</v>
      </c>
      <c r="E4471" t="s">
        <v>98</v>
      </c>
      <c r="F4471">
        <v>108</v>
      </c>
      <c r="G4471">
        <v>60</v>
      </c>
      <c r="H4471" t="s">
        <v>7524</v>
      </c>
      <c r="I4471" t="s">
        <v>75</v>
      </c>
      <c r="J4471" t="s">
        <v>201</v>
      </c>
      <c r="K4471">
        <v>1</v>
      </c>
      <c r="L4471" t="s">
        <v>7524</v>
      </c>
      <c r="M4471"/>
      <c r="N4471">
        <v>0</v>
      </c>
      <c r="O4471" t="b">
        <v>1</v>
      </c>
      <c r="P4471"/>
      <c r="Q4471" t="b">
        <v>0</v>
      </c>
      <c r="R4471">
        <v>1</v>
      </c>
      <c r="S4471" t="s">
        <v>77</v>
      </c>
      <c r="T4471">
        <v>999</v>
      </c>
      <c r="U4471" t="s">
        <v>7525</v>
      </c>
      <c r="V4471">
        <f t="shared" si="9"/>
        <v>31826108</v>
      </c>
      <c r="W4471"/>
      <c r="X4471" t="s">
        <v>5656</v>
      </c>
      <c r="Y4471" t="s">
        <v>215</v>
      </c>
      <c r="Z4471">
        <v>21825</v>
      </c>
      <c r="AA4471" t="s">
        <v>5657</v>
      </c>
      <c r="AB4471">
        <v>40001</v>
      </c>
      <c r="AC4471"/>
      <c r="AD4471"/>
      <c r="AE4471" t="s">
        <v>7524</v>
      </c>
      <c r="AF4471" t="s">
        <v>7524</v>
      </c>
      <c r="AG4471" t="s">
        <v>98</v>
      </c>
    </row>
    <row r="4472" spans="2:33">
      <c r="B4472" s="14">
        <f>10000000+INDEX(编号表!$B:$B,MATCH(H4472,编号表!$A:$A,0))*100000+INDEX(编号表!$F:$F,MATCH(D4472,编号表!$E:$E,0))*10000+INDEX(编号表!$D:$D,MATCH(AG4472,编号表!$C:$C,0))*1000+F4472</f>
        <v>11826109</v>
      </c>
      <c r="C4472" t="s">
        <v>5662</v>
      </c>
      <c r="D4472" t="s">
        <v>112</v>
      </c>
      <c r="E4472" t="s">
        <v>98</v>
      </c>
      <c r="F4472">
        <v>109</v>
      </c>
      <c r="G4472">
        <v>60</v>
      </c>
      <c r="H4472" t="s">
        <v>7524</v>
      </c>
      <c r="I4472" t="s">
        <v>75</v>
      </c>
      <c r="J4472" t="s">
        <v>201</v>
      </c>
      <c r="K4472">
        <v>1</v>
      </c>
      <c r="L4472" t="s">
        <v>7524</v>
      </c>
      <c r="M4472"/>
      <c r="N4472">
        <v>0</v>
      </c>
      <c r="O4472" t="b">
        <v>1</v>
      </c>
      <c r="P4472"/>
      <c r="Q4472" t="b">
        <v>0</v>
      </c>
      <c r="R4472">
        <v>1</v>
      </c>
      <c r="S4472" t="s">
        <v>77</v>
      </c>
      <c r="T4472">
        <v>999</v>
      </c>
      <c r="U4472" t="s">
        <v>7525</v>
      </c>
      <c r="V4472">
        <f t="shared" si="9"/>
        <v>31826109</v>
      </c>
      <c r="W4472"/>
      <c r="X4472" t="s">
        <v>5663</v>
      </c>
      <c r="Y4472" t="s">
        <v>215</v>
      </c>
      <c r="Z4472">
        <v>21828</v>
      </c>
      <c r="AA4472" t="s">
        <v>5664</v>
      </c>
      <c r="AB4472">
        <v>40001</v>
      </c>
      <c r="AC4472"/>
      <c r="AD4472"/>
      <c r="AE4472" t="s">
        <v>7524</v>
      </c>
      <c r="AF4472" t="s">
        <v>7524</v>
      </c>
      <c r="AG4472" t="s">
        <v>98</v>
      </c>
    </row>
    <row r="4473" spans="2:33">
      <c r="B4473" s="14">
        <f>10000000+INDEX(编号表!$B:$B,MATCH(H4473,编号表!$A:$A,0))*100000+INDEX(编号表!$F:$F,MATCH(D4473,编号表!$E:$E,0))*10000+INDEX(编号表!$D:$D,MATCH(AG4473,编号表!$C:$C,0))*1000+F4473</f>
        <v>11826110</v>
      </c>
      <c r="C4473" t="s">
        <v>5669</v>
      </c>
      <c r="D4473" t="s">
        <v>112</v>
      </c>
      <c r="E4473" t="s">
        <v>98</v>
      </c>
      <c r="F4473">
        <v>110</v>
      </c>
      <c r="G4473">
        <v>60</v>
      </c>
      <c r="H4473" t="s">
        <v>7524</v>
      </c>
      <c r="I4473" t="s">
        <v>75</v>
      </c>
      <c r="J4473" t="s">
        <v>201</v>
      </c>
      <c r="K4473">
        <v>1</v>
      </c>
      <c r="L4473" t="s">
        <v>7524</v>
      </c>
      <c r="M4473"/>
      <c r="N4473">
        <v>0</v>
      </c>
      <c r="O4473" t="b">
        <v>1</v>
      </c>
      <c r="P4473"/>
      <c r="Q4473" t="b">
        <v>0</v>
      </c>
      <c r="R4473">
        <v>1</v>
      </c>
      <c r="S4473" t="s">
        <v>77</v>
      </c>
      <c r="T4473">
        <v>999</v>
      </c>
      <c r="U4473" t="s">
        <v>7525</v>
      </c>
      <c r="V4473">
        <f t="shared" si="9"/>
        <v>31826110</v>
      </c>
      <c r="W4473"/>
      <c r="X4473" t="s">
        <v>5670</v>
      </c>
      <c r="Y4473" t="s">
        <v>215</v>
      </c>
      <c r="Z4473">
        <v>21831</v>
      </c>
      <c r="AA4473" t="s">
        <v>5671</v>
      </c>
      <c r="AB4473">
        <v>40001</v>
      </c>
      <c r="AC4473"/>
      <c r="AD4473"/>
      <c r="AE4473" t="s">
        <v>7524</v>
      </c>
      <c r="AF4473" t="s">
        <v>7524</v>
      </c>
      <c r="AG4473" t="s">
        <v>98</v>
      </c>
    </row>
    <row r="4474" spans="2:33">
      <c r="B4474" s="14">
        <f>10000000+INDEX(编号表!$B:$B,MATCH(H4474,编号表!$A:$A,0))*100000+INDEX(编号表!$F:$F,MATCH(D4474,编号表!$E:$E,0))*10000+INDEX(编号表!$D:$D,MATCH(AG4474,编号表!$C:$C,0))*1000+F4474</f>
        <v>11826111</v>
      </c>
      <c r="C4474" t="s">
        <v>5676</v>
      </c>
      <c r="D4474" t="s">
        <v>112</v>
      </c>
      <c r="E4474" t="s">
        <v>98</v>
      </c>
      <c r="F4474">
        <v>111</v>
      </c>
      <c r="G4474">
        <v>60</v>
      </c>
      <c r="H4474" t="s">
        <v>7524</v>
      </c>
      <c r="I4474" t="s">
        <v>75</v>
      </c>
      <c r="J4474" t="s">
        <v>201</v>
      </c>
      <c r="K4474">
        <v>1</v>
      </c>
      <c r="L4474" t="s">
        <v>7524</v>
      </c>
      <c r="M4474"/>
      <c r="N4474">
        <v>0</v>
      </c>
      <c r="O4474" t="b">
        <v>1</v>
      </c>
      <c r="P4474"/>
      <c r="Q4474" t="b">
        <v>0</v>
      </c>
      <c r="R4474">
        <v>1</v>
      </c>
      <c r="S4474" t="s">
        <v>77</v>
      </c>
      <c r="T4474">
        <v>999</v>
      </c>
      <c r="U4474" t="s">
        <v>7525</v>
      </c>
      <c r="V4474">
        <f t="shared" si="9"/>
        <v>31826111</v>
      </c>
      <c r="W4474"/>
      <c r="X4474" t="s">
        <v>5677</v>
      </c>
      <c r="Y4474" t="s">
        <v>215</v>
      </c>
      <c r="Z4474">
        <v>21834</v>
      </c>
      <c r="AA4474" t="s">
        <v>5678</v>
      </c>
      <c r="AB4474">
        <v>40001</v>
      </c>
      <c r="AC4474"/>
      <c r="AD4474"/>
      <c r="AE4474" t="s">
        <v>7524</v>
      </c>
      <c r="AF4474" t="s">
        <v>7524</v>
      </c>
      <c r="AG4474" t="s">
        <v>98</v>
      </c>
    </row>
    <row r="4475" spans="2:33">
      <c r="B4475" s="14">
        <f>10000000+INDEX(编号表!$B:$B,MATCH(H4475,编号表!$A:$A,0))*100000+INDEX(编号表!$F:$F,MATCH(D4475,编号表!$E:$E,0))*10000+INDEX(编号表!$D:$D,MATCH(AG4475,编号表!$C:$C,0))*1000+F4475</f>
        <v>11826112</v>
      </c>
      <c r="C4475" t="s">
        <v>5683</v>
      </c>
      <c r="D4475" t="s">
        <v>112</v>
      </c>
      <c r="E4475" t="s">
        <v>98</v>
      </c>
      <c r="F4475">
        <v>112</v>
      </c>
      <c r="G4475">
        <v>60</v>
      </c>
      <c r="H4475" t="s">
        <v>7524</v>
      </c>
      <c r="I4475" t="s">
        <v>75</v>
      </c>
      <c r="J4475" t="s">
        <v>201</v>
      </c>
      <c r="K4475">
        <v>1</v>
      </c>
      <c r="L4475" t="s">
        <v>7524</v>
      </c>
      <c r="M4475"/>
      <c r="N4475">
        <v>0</v>
      </c>
      <c r="O4475" t="b">
        <v>1</v>
      </c>
      <c r="P4475"/>
      <c r="Q4475" t="b">
        <v>0</v>
      </c>
      <c r="R4475">
        <v>1</v>
      </c>
      <c r="S4475" t="s">
        <v>77</v>
      </c>
      <c r="T4475">
        <v>999</v>
      </c>
      <c r="U4475" t="s">
        <v>7525</v>
      </c>
      <c r="V4475">
        <f t="shared" si="9"/>
        <v>31826112</v>
      </c>
      <c r="W4475"/>
      <c r="X4475" t="s">
        <v>5684</v>
      </c>
      <c r="Y4475" t="s">
        <v>215</v>
      </c>
      <c r="Z4475">
        <v>21837</v>
      </c>
      <c r="AA4475" t="s">
        <v>5685</v>
      </c>
      <c r="AB4475">
        <v>40001</v>
      </c>
      <c r="AC4475"/>
      <c r="AD4475"/>
      <c r="AE4475" t="s">
        <v>7524</v>
      </c>
      <c r="AF4475" t="s">
        <v>7524</v>
      </c>
      <c r="AG4475" t="s">
        <v>98</v>
      </c>
    </row>
    <row r="4476" spans="2:33">
      <c r="B4476" s="14">
        <f>10000000+INDEX(编号表!$B:$B,MATCH(H4476,编号表!$A:$A,0))*100000+INDEX(编号表!$F:$F,MATCH(D4476,编号表!$E:$E,0))*10000+INDEX(编号表!$D:$D,MATCH(AG4476,编号表!$C:$C,0))*1000+F4476</f>
        <v>11826113</v>
      </c>
      <c r="C4476" t="s">
        <v>5690</v>
      </c>
      <c r="D4476" t="s">
        <v>112</v>
      </c>
      <c r="E4476" t="s">
        <v>98</v>
      </c>
      <c r="F4476">
        <v>113</v>
      </c>
      <c r="G4476">
        <v>60</v>
      </c>
      <c r="H4476" t="s">
        <v>7524</v>
      </c>
      <c r="I4476" t="s">
        <v>75</v>
      </c>
      <c r="J4476" t="s">
        <v>201</v>
      </c>
      <c r="K4476">
        <v>1</v>
      </c>
      <c r="L4476" t="s">
        <v>7524</v>
      </c>
      <c r="M4476"/>
      <c r="N4476">
        <v>0</v>
      </c>
      <c r="O4476" t="b">
        <v>1</v>
      </c>
      <c r="P4476"/>
      <c r="Q4476" t="b">
        <v>0</v>
      </c>
      <c r="R4476">
        <v>1</v>
      </c>
      <c r="S4476" t="s">
        <v>77</v>
      </c>
      <c r="T4476">
        <v>999</v>
      </c>
      <c r="U4476" t="s">
        <v>7525</v>
      </c>
      <c r="V4476">
        <f t="shared" si="9"/>
        <v>31826113</v>
      </c>
      <c r="W4476"/>
      <c r="X4476" t="s">
        <v>5691</v>
      </c>
      <c r="Y4476" t="s">
        <v>215</v>
      </c>
      <c r="Z4476">
        <v>21840</v>
      </c>
      <c r="AA4476" t="s">
        <v>5692</v>
      </c>
      <c r="AB4476">
        <v>40001</v>
      </c>
      <c r="AC4476"/>
      <c r="AD4476"/>
      <c r="AE4476" t="s">
        <v>7524</v>
      </c>
      <c r="AF4476" t="s">
        <v>7524</v>
      </c>
      <c r="AG4476" t="s">
        <v>98</v>
      </c>
    </row>
    <row r="4477" spans="2:33">
      <c r="B4477" s="14">
        <f>10000000+INDEX(编号表!$B:$B,MATCH(H4477,编号表!$A:$A,0))*100000+INDEX(编号表!$F:$F,MATCH(D4477,编号表!$E:$E,0))*10000+INDEX(编号表!$D:$D,MATCH(AG4477,编号表!$C:$C,0))*1000+F4477</f>
        <v>11826114</v>
      </c>
      <c r="C4477" t="s">
        <v>5697</v>
      </c>
      <c r="D4477" t="s">
        <v>112</v>
      </c>
      <c r="E4477" t="s">
        <v>98</v>
      </c>
      <c r="F4477">
        <v>114</v>
      </c>
      <c r="G4477">
        <v>60</v>
      </c>
      <c r="H4477" t="s">
        <v>7524</v>
      </c>
      <c r="I4477" t="s">
        <v>75</v>
      </c>
      <c r="J4477" t="s">
        <v>201</v>
      </c>
      <c r="K4477">
        <v>1</v>
      </c>
      <c r="L4477" t="s">
        <v>7524</v>
      </c>
      <c r="M4477"/>
      <c r="N4477">
        <v>0</v>
      </c>
      <c r="O4477" t="b">
        <v>1</v>
      </c>
      <c r="P4477"/>
      <c r="Q4477" t="b">
        <v>0</v>
      </c>
      <c r="R4477">
        <v>1</v>
      </c>
      <c r="S4477" t="s">
        <v>77</v>
      </c>
      <c r="T4477">
        <v>999</v>
      </c>
      <c r="U4477" t="s">
        <v>7525</v>
      </c>
      <c r="V4477">
        <f t="shared" si="9"/>
        <v>31826114</v>
      </c>
      <c r="W4477"/>
      <c r="X4477" t="s">
        <v>5698</v>
      </c>
      <c r="Y4477" t="s">
        <v>215</v>
      </c>
      <c r="Z4477">
        <v>21843</v>
      </c>
      <c r="AA4477" t="s">
        <v>5699</v>
      </c>
      <c r="AB4477">
        <v>40001</v>
      </c>
      <c r="AC4477"/>
      <c r="AD4477"/>
      <c r="AE4477" t="s">
        <v>7524</v>
      </c>
      <c r="AF4477" t="s">
        <v>7524</v>
      </c>
      <c r="AG4477" t="s">
        <v>98</v>
      </c>
    </row>
    <row r="4478" spans="2:33">
      <c r="B4478" s="14">
        <f>10000000+INDEX(编号表!$B:$B,MATCH(H4478,编号表!$A:$A,0))*100000+INDEX(编号表!$F:$F,MATCH(D4478,编号表!$E:$E,0))*10000+INDEX(编号表!$D:$D,MATCH(AG4478,编号表!$C:$C,0))*1000+F4478</f>
        <v>11826115</v>
      </c>
      <c r="C4478" t="s">
        <v>5704</v>
      </c>
      <c r="D4478" t="s">
        <v>112</v>
      </c>
      <c r="E4478" t="s">
        <v>98</v>
      </c>
      <c r="F4478">
        <v>115</v>
      </c>
      <c r="G4478">
        <v>60</v>
      </c>
      <c r="H4478" t="s">
        <v>7524</v>
      </c>
      <c r="I4478" t="s">
        <v>75</v>
      </c>
      <c r="J4478" t="s">
        <v>201</v>
      </c>
      <c r="K4478">
        <v>1</v>
      </c>
      <c r="L4478" t="s">
        <v>7524</v>
      </c>
      <c r="M4478"/>
      <c r="N4478">
        <v>0</v>
      </c>
      <c r="O4478" t="b">
        <v>1</v>
      </c>
      <c r="P4478"/>
      <c r="Q4478" t="b">
        <v>0</v>
      </c>
      <c r="R4478">
        <v>1</v>
      </c>
      <c r="S4478" t="s">
        <v>77</v>
      </c>
      <c r="T4478">
        <v>999</v>
      </c>
      <c r="U4478" t="s">
        <v>7525</v>
      </c>
      <c r="V4478">
        <f t="shared" si="9"/>
        <v>31826115</v>
      </c>
      <c r="W4478"/>
      <c r="X4478" t="s">
        <v>5705</v>
      </c>
      <c r="Y4478" t="s">
        <v>215</v>
      </c>
      <c r="Z4478">
        <v>21846</v>
      </c>
      <c r="AA4478" t="s">
        <v>5706</v>
      </c>
      <c r="AB4478">
        <v>40001</v>
      </c>
      <c r="AC4478"/>
      <c r="AD4478"/>
      <c r="AE4478" t="s">
        <v>7524</v>
      </c>
      <c r="AF4478" t="s">
        <v>7524</v>
      </c>
      <c r="AG4478" t="s">
        <v>98</v>
      </c>
    </row>
    <row r="4479" spans="2:33">
      <c r="B4479" s="14">
        <f>10000000+INDEX(编号表!$B:$B,MATCH(H4479,编号表!$A:$A,0))*100000+INDEX(编号表!$F:$F,MATCH(D4479,编号表!$E:$E,0))*10000+INDEX(编号表!$D:$D,MATCH(AG4479,编号表!$C:$C,0))*1000+F4479</f>
        <v>11826116</v>
      </c>
      <c r="C4479" t="s">
        <v>5711</v>
      </c>
      <c r="D4479" t="s">
        <v>112</v>
      </c>
      <c r="E4479" t="s">
        <v>98</v>
      </c>
      <c r="F4479">
        <v>116</v>
      </c>
      <c r="G4479">
        <v>60</v>
      </c>
      <c r="H4479" t="s">
        <v>7524</v>
      </c>
      <c r="I4479" t="s">
        <v>75</v>
      </c>
      <c r="J4479" t="s">
        <v>201</v>
      </c>
      <c r="K4479">
        <v>1</v>
      </c>
      <c r="L4479" t="s">
        <v>7524</v>
      </c>
      <c r="M4479"/>
      <c r="N4479">
        <v>0</v>
      </c>
      <c r="O4479" t="b">
        <v>1</v>
      </c>
      <c r="P4479"/>
      <c r="Q4479" t="b">
        <v>0</v>
      </c>
      <c r="R4479">
        <v>1</v>
      </c>
      <c r="S4479" t="s">
        <v>77</v>
      </c>
      <c r="T4479">
        <v>999</v>
      </c>
      <c r="U4479" t="s">
        <v>7525</v>
      </c>
      <c r="V4479">
        <f t="shared" si="9"/>
        <v>31826116</v>
      </c>
      <c r="W4479"/>
      <c r="X4479" t="s">
        <v>5712</v>
      </c>
      <c r="Y4479" t="s">
        <v>215</v>
      </c>
      <c r="Z4479">
        <v>21849</v>
      </c>
      <c r="AA4479" t="s">
        <v>5713</v>
      </c>
      <c r="AB4479">
        <v>40001</v>
      </c>
      <c r="AC4479"/>
      <c r="AD4479"/>
      <c r="AE4479" t="s">
        <v>7524</v>
      </c>
      <c r="AF4479" t="s">
        <v>7524</v>
      </c>
      <c r="AG4479" t="s">
        <v>98</v>
      </c>
    </row>
    <row r="4480" spans="2:33">
      <c r="B4480" s="14">
        <f>10000000+INDEX(编号表!$B:$B,MATCH(H4480,编号表!$A:$A,0))*100000+INDEX(编号表!$F:$F,MATCH(D4480,编号表!$E:$E,0))*10000+INDEX(编号表!$D:$D,MATCH(AG4480,编号表!$C:$C,0))*1000+F4480</f>
        <v>11826117</v>
      </c>
      <c r="C4480" t="s">
        <v>5718</v>
      </c>
      <c r="D4480" t="s">
        <v>112</v>
      </c>
      <c r="E4480" t="s">
        <v>98</v>
      </c>
      <c r="F4480">
        <v>117</v>
      </c>
      <c r="G4480">
        <v>60</v>
      </c>
      <c r="H4480" t="s">
        <v>7524</v>
      </c>
      <c r="I4480" t="s">
        <v>75</v>
      </c>
      <c r="J4480" t="s">
        <v>201</v>
      </c>
      <c r="K4480">
        <v>1</v>
      </c>
      <c r="L4480" t="s">
        <v>7524</v>
      </c>
      <c r="M4480"/>
      <c r="N4480">
        <v>0</v>
      </c>
      <c r="O4480" t="b">
        <v>1</v>
      </c>
      <c r="P4480"/>
      <c r="Q4480" t="b">
        <v>0</v>
      </c>
      <c r="R4480">
        <v>1</v>
      </c>
      <c r="S4480" t="s">
        <v>77</v>
      </c>
      <c r="T4480">
        <v>999</v>
      </c>
      <c r="U4480" t="s">
        <v>7525</v>
      </c>
      <c r="V4480">
        <f t="shared" si="9"/>
        <v>31826117</v>
      </c>
      <c r="W4480"/>
      <c r="X4480" t="s">
        <v>5719</v>
      </c>
      <c r="Y4480" t="s">
        <v>215</v>
      </c>
      <c r="Z4480">
        <v>21852</v>
      </c>
      <c r="AA4480" t="s">
        <v>5720</v>
      </c>
      <c r="AB4480">
        <v>40001</v>
      </c>
      <c r="AC4480"/>
      <c r="AD4480"/>
      <c r="AE4480" t="s">
        <v>7524</v>
      </c>
      <c r="AF4480" t="s">
        <v>7524</v>
      </c>
      <c r="AG4480" t="s">
        <v>98</v>
      </c>
    </row>
    <row r="4481" spans="2:33">
      <c r="B4481" s="14">
        <f>10000000+INDEX(编号表!$B:$B,MATCH(H4481,编号表!$A:$A,0))*100000+INDEX(编号表!$F:$F,MATCH(D4481,编号表!$E:$E,0))*10000+INDEX(编号表!$D:$D,MATCH(AG4481,编号表!$C:$C,0))*1000+F4481</f>
        <v>11826118</v>
      </c>
      <c r="C4481" t="s">
        <v>5725</v>
      </c>
      <c r="D4481" t="s">
        <v>112</v>
      </c>
      <c r="E4481" t="s">
        <v>98</v>
      </c>
      <c r="F4481">
        <v>118</v>
      </c>
      <c r="G4481">
        <v>60</v>
      </c>
      <c r="H4481" t="s">
        <v>7524</v>
      </c>
      <c r="I4481" t="s">
        <v>75</v>
      </c>
      <c r="J4481" t="s">
        <v>201</v>
      </c>
      <c r="K4481">
        <v>1</v>
      </c>
      <c r="L4481" t="s">
        <v>7524</v>
      </c>
      <c r="M4481"/>
      <c r="N4481">
        <v>0</v>
      </c>
      <c r="O4481" t="b">
        <v>1</v>
      </c>
      <c r="P4481"/>
      <c r="Q4481" t="b">
        <v>0</v>
      </c>
      <c r="R4481">
        <v>1</v>
      </c>
      <c r="S4481" t="s">
        <v>77</v>
      </c>
      <c r="T4481">
        <v>999</v>
      </c>
      <c r="U4481" t="s">
        <v>7525</v>
      </c>
      <c r="V4481">
        <f t="shared" si="9"/>
        <v>31826118</v>
      </c>
      <c r="W4481"/>
      <c r="X4481" t="s">
        <v>5726</v>
      </c>
      <c r="Y4481" t="s">
        <v>215</v>
      </c>
      <c r="Z4481">
        <v>21855</v>
      </c>
      <c r="AA4481" t="s">
        <v>5727</v>
      </c>
      <c r="AB4481">
        <v>40001</v>
      </c>
      <c r="AC4481"/>
      <c r="AD4481"/>
      <c r="AE4481" t="s">
        <v>7524</v>
      </c>
      <c r="AF4481" t="s">
        <v>7524</v>
      </c>
      <c r="AG4481" t="s">
        <v>98</v>
      </c>
    </row>
    <row r="4482" spans="2:33">
      <c r="B4482" s="14">
        <f>10000000+INDEX(编号表!$B:$B,MATCH(H4482,编号表!$A:$A,0))*100000+INDEX(编号表!$F:$F,MATCH(D4482,编号表!$E:$E,0))*10000+INDEX(编号表!$D:$D,MATCH(AG4482,编号表!$C:$C,0))*1000+F4482</f>
        <v>11826119</v>
      </c>
      <c r="C4482" t="s">
        <v>5732</v>
      </c>
      <c r="D4482" t="s">
        <v>112</v>
      </c>
      <c r="E4482" t="s">
        <v>98</v>
      </c>
      <c r="F4482">
        <v>119</v>
      </c>
      <c r="G4482">
        <v>60</v>
      </c>
      <c r="H4482" t="s">
        <v>7524</v>
      </c>
      <c r="I4482" t="s">
        <v>75</v>
      </c>
      <c r="J4482" t="s">
        <v>201</v>
      </c>
      <c r="K4482">
        <v>1</v>
      </c>
      <c r="L4482" t="s">
        <v>7524</v>
      </c>
      <c r="M4482"/>
      <c r="N4482">
        <v>0</v>
      </c>
      <c r="O4482" t="b">
        <v>1</v>
      </c>
      <c r="P4482"/>
      <c r="Q4482" t="b">
        <v>0</v>
      </c>
      <c r="R4482">
        <v>1</v>
      </c>
      <c r="S4482" t="s">
        <v>77</v>
      </c>
      <c r="T4482">
        <v>999</v>
      </c>
      <c r="U4482" t="s">
        <v>7525</v>
      </c>
      <c r="V4482">
        <f t="shared" si="9"/>
        <v>31826119</v>
      </c>
      <c r="W4482"/>
      <c r="X4482" t="s">
        <v>5733</v>
      </c>
      <c r="Y4482" t="s">
        <v>215</v>
      </c>
      <c r="Z4482">
        <v>21858</v>
      </c>
      <c r="AA4482" t="s">
        <v>5734</v>
      </c>
      <c r="AB4482">
        <v>40001</v>
      </c>
      <c r="AC4482"/>
      <c r="AD4482"/>
      <c r="AE4482" t="s">
        <v>7524</v>
      </c>
      <c r="AF4482" t="s">
        <v>7524</v>
      </c>
      <c r="AG4482" t="s">
        <v>98</v>
      </c>
    </row>
    <row r="4483" spans="2:33">
      <c r="B4483" s="14">
        <f>10000000+INDEX(编号表!$B:$B,MATCH(H4483,编号表!$A:$A,0))*100000+INDEX(编号表!$F:$F,MATCH(D4483,编号表!$E:$E,0))*10000+INDEX(编号表!$D:$D,MATCH(AG4483,编号表!$C:$C,0))*1000+F4483</f>
        <v>11826120</v>
      </c>
      <c r="C4483" t="s">
        <v>5739</v>
      </c>
      <c r="D4483" t="s">
        <v>112</v>
      </c>
      <c r="E4483" t="s">
        <v>98</v>
      </c>
      <c r="F4483">
        <v>120</v>
      </c>
      <c r="G4483">
        <v>60</v>
      </c>
      <c r="H4483" t="s">
        <v>7524</v>
      </c>
      <c r="I4483" t="s">
        <v>75</v>
      </c>
      <c r="J4483" t="s">
        <v>201</v>
      </c>
      <c r="K4483">
        <v>1</v>
      </c>
      <c r="L4483" t="s">
        <v>7524</v>
      </c>
      <c r="M4483"/>
      <c r="N4483">
        <v>0</v>
      </c>
      <c r="O4483" t="b">
        <v>1</v>
      </c>
      <c r="P4483"/>
      <c r="Q4483" t="b">
        <v>0</v>
      </c>
      <c r="R4483">
        <v>1</v>
      </c>
      <c r="S4483" t="s">
        <v>77</v>
      </c>
      <c r="T4483">
        <v>999</v>
      </c>
      <c r="U4483" t="s">
        <v>7525</v>
      </c>
      <c r="V4483">
        <f t="shared" si="9"/>
        <v>31826120</v>
      </c>
      <c r="W4483"/>
      <c r="X4483" t="s">
        <v>5740</v>
      </c>
      <c r="Y4483" t="s">
        <v>215</v>
      </c>
      <c r="Z4483">
        <v>21861</v>
      </c>
      <c r="AA4483" t="s">
        <v>5741</v>
      </c>
      <c r="AB4483">
        <v>40001</v>
      </c>
      <c r="AC4483"/>
      <c r="AD4483"/>
      <c r="AE4483" t="s">
        <v>7524</v>
      </c>
      <c r="AF4483" t="s">
        <v>7524</v>
      </c>
      <c r="AG4483" t="s">
        <v>98</v>
      </c>
    </row>
    <row r="4484" spans="2:33">
      <c r="B4484" s="14">
        <f>10000000+INDEX(编号表!$B:$B,MATCH(H4484,编号表!$A:$A,0))*100000+INDEX(编号表!$F:$F,MATCH(D4484,编号表!$E:$E,0))*10000+INDEX(编号表!$D:$D,MATCH(AG4484,编号表!$C:$C,0))*1000+F4484</f>
        <v>11826121</v>
      </c>
      <c r="C4484" t="s">
        <v>5746</v>
      </c>
      <c r="D4484" t="s">
        <v>112</v>
      </c>
      <c r="E4484" t="s">
        <v>98</v>
      </c>
      <c r="F4484">
        <v>121</v>
      </c>
      <c r="G4484">
        <v>60</v>
      </c>
      <c r="H4484" t="s">
        <v>7524</v>
      </c>
      <c r="I4484" t="s">
        <v>75</v>
      </c>
      <c r="J4484" t="s">
        <v>201</v>
      </c>
      <c r="K4484">
        <v>1</v>
      </c>
      <c r="L4484" t="s">
        <v>7524</v>
      </c>
      <c r="M4484"/>
      <c r="N4484">
        <v>0</v>
      </c>
      <c r="O4484" t="b">
        <v>1</v>
      </c>
      <c r="P4484"/>
      <c r="Q4484" t="b">
        <v>0</v>
      </c>
      <c r="R4484">
        <v>1</v>
      </c>
      <c r="S4484" t="s">
        <v>77</v>
      </c>
      <c r="T4484">
        <v>999</v>
      </c>
      <c r="U4484" t="s">
        <v>7525</v>
      </c>
      <c r="V4484">
        <f t="shared" si="9"/>
        <v>31826121</v>
      </c>
      <c r="W4484"/>
      <c r="X4484" t="s">
        <v>5747</v>
      </c>
      <c r="Y4484" t="s">
        <v>215</v>
      </c>
      <c r="Z4484">
        <v>21864</v>
      </c>
      <c r="AA4484" t="s">
        <v>5748</v>
      </c>
      <c r="AB4484">
        <v>40001</v>
      </c>
      <c r="AC4484"/>
      <c r="AD4484"/>
      <c r="AE4484" t="s">
        <v>7524</v>
      </c>
      <c r="AF4484" t="s">
        <v>7524</v>
      </c>
      <c r="AG4484" t="s">
        <v>98</v>
      </c>
    </row>
    <row r="4485" spans="2:33">
      <c r="B4485" s="14">
        <f>10000000+INDEX(编号表!$B:$B,MATCH(H4485,编号表!$A:$A,0))*100000+INDEX(编号表!$F:$F,MATCH(D4485,编号表!$E:$E,0))*10000+INDEX(编号表!$D:$D,MATCH(AG4485,编号表!$C:$C,0))*1000+F4485</f>
        <v>11826122</v>
      </c>
      <c r="C4485" t="s">
        <v>5753</v>
      </c>
      <c r="D4485" t="s">
        <v>112</v>
      </c>
      <c r="E4485" t="s">
        <v>98</v>
      </c>
      <c r="F4485">
        <v>122</v>
      </c>
      <c r="G4485">
        <v>60</v>
      </c>
      <c r="H4485" t="s">
        <v>7524</v>
      </c>
      <c r="I4485" t="s">
        <v>75</v>
      </c>
      <c r="J4485" t="s">
        <v>201</v>
      </c>
      <c r="K4485">
        <v>1</v>
      </c>
      <c r="L4485" t="s">
        <v>7524</v>
      </c>
      <c r="M4485"/>
      <c r="N4485">
        <v>0</v>
      </c>
      <c r="O4485" t="b">
        <v>1</v>
      </c>
      <c r="P4485"/>
      <c r="Q4485" t="b">
        <v>0</v>
      </c>
      <c r="R4485">
        <v>1</v>
      </c>
      <c r="S4485" t="s">
        <v>77</v>
      </c>
      <c r="T4485">
        <v>999</v>
      </c>
      <c r="U4485" t="s">
        <v>7525</v>
      </c>
      <c r="V4485">
        <f t="shared" si="9"/>
        <v>31826122</v>
      </c>
      <c r="W4485"/>
      <c r="X4485" t="s">
        <v>5754</v>
      </c>
      <c r="Y4485" t="s">
        <v>215</v>
      </c>
      <c r="Z4485">
        <v>21867</v>
      </c>
      <c r="AA4485" t="s">
        <v>5755</v>
      </c>
      <c r="AB4485">
        <v>40001</v>
      </c>
      <c r="AC4485"/>
      <c r="AD4485"/>
      <c r="AE4485" t="s">
        <v>7524</v>
      </c>
      <c r="AF4485" t="s">
        <v>7524</v>
      </c>
      <c r="AG4485" t="s">
        <v>98</v>
      </c>
    </row>
    <row r="4486" spans="2:33">
      <c r="B4486" s="14">
        <f>10000000+INDEX(编号表!$B:$B,MATCH(H4486,编号表!$A:$A,0))*100000+INDEX(编号表!$F:$F,MATCH(D4486,编号表!$E:$E,0))*10000+INDEX(编号表!$D:$D,MATCH(AG4486,编号表!$C:$C,0))*1000+F4486</f>
        <v>11826123</v>
      </c>
      <c r="C4486" t="s">
        <v>5760</v>
      </c>
      <c r="D4486" t="s">
        <v>112</v>
      </c>
      <c r="E4486" t="s">
        <v>98</v>
      </c>
      <c r="F4486">
        <v>123</v>
      </c>
      <c r="G4486">
        <v>60</v>
      </c>
      <c r="H4486" t="s">
        <v>7524</v>
      </c>
      <c r="I4486" t="s">
        <v>75</v>
      </c>
      <c r="J4486" t="s">
        <v>201</v>
      </c>
      <c r="K4486">
        <v>1</v>
      </c>
      <c r="L4486" t="s">
        <v>7524</v>
      </c>
      <c r="M4486"/>
      <c r="N4486">
        <v>0</v>
      </c>
      <c r="O4486" t="b">
        <v>1</v>
      </c>
      <c r="P4486"/>
      <c r="Q4486" t="b">
        <v>0</v>
      </c>
      <c r="R4486">
        <v>1</v>
      </c>
      <c r="S4486" t="s">
        <v>77</v>
      </c>
      <c r="T4486">
        <v>999</v>
      </c>
      <c r="U4486" t="s">
        <v>7525</v>
      </c>
      <c r="V4486">
        <f t="shared" si="9"/>
        <v>31826123</v>
      </c>
      <c r="W4486"/>
      <c r="X4486" t="s">
        <v>5761</v>
      </c>
      <c r="Y4486" t="s">
        <v>215</v>
      </c>
      <c r="Z4486">
        <v>21870</v>
      </c>
      <c r="AA4486" t="s">
        <v>5762</v>
      </c>
      <c r="AB4486">
        <v>40001</v>
      </c>
      <c r="AC4486"/>
      <c r="AD4486"/>
      <c r="AE4486" t="s">
        <v>7524</v>
      </c>
      <c r="AF4486" t="s">
        <v>7524</v>
      </c>
      <c r="AG4486" t="s">
        <v>98</v>
      </c>
    </row>
    <row r="4487" spans="2:33">
      <c r="B4487" s="14">
        <f>10000000+INDEX(编号表!$B:$B,MATCH(H4487,编号表!$A:$A,0))*100000+INDEX(编号表!$F:$F,MATCH(D4487,编号表!$E:$E,0))*10000+INDEX(编号表!$D:$D,MATCH(AG4487,编号表!$C:$C,0))*1000+F4487</f>
        <v>11826124</v>
      </c>
      <c r="C4487" t="s">
        <v>5767</v>
      </c>
      <c r="D4487" t="s">
        <v>112</v>
      </c>
      <c r="E4487" t="s">
        <v>98</v>
      </c>
      <c r="F4487">
        <v>124</v>
      </c>
      <c r="G4487">
        <v>60</v>
      </c>
      <c r="H4487" t="s">
        <v>7524</v>
      </c>
      <c r="I4487" t="s">
        <v>75</v>
      </c>
      <c r="J4487" t="s">
        <v>201</v>
      </c>
      <c r="K4487">
        <v>1</v>
      </c>
      <c r="L4487" t="s">
        <v>7524</v>
      </c>
      <c r="M4487"/>
      <c r="N4487">
        <v>0</v>
      </c>
      <c r="O4487" t="b">
        <v>1</v>
      </c>
      <c r="P4487"/>
      <c r="Q4487" t="b">
        <v>0</v>
      </c>
      <c r="R4487">
        <v>1</v>
      </c>
      <c r="S4487" t="s">
        <v>77</v>
      </c>
      <c r="T4487">
        <v>999</v>
      </c>
      <c r="U4487" t="s">
        <v>7525</v>
      </c>
      <c r="V4487">
        <f t="shared" si="9"/>
        <v>31826124</v>
      </c>
      <c r="W4487"/>
      <c r="X4487" t="s">
        <v>5768</v>
      </c>
      <c r="Y4487" t="s">
        <v>215</v>
      </c>
      <c r="Z4487">
        <v>21873</v>
      </c>
      <c r="AA4487" t="s">
        <v>5769</v>
      </c>
      <c r="AB4487">
        <v>40001</v>
      </c>
      <c r="AC4487"/>
      <c r="AD4487"/>
      <c r="AE4487" t="s">
        <v>7524</v>
      </c>
      <c r="AF4487" t="s">
        <v>7524</v>
      </c>
      <c r="AG4487" t="s">
        <v>98</v>
      </c>
    </row>
    <row r="4488" spans="2:33">
      <c r="B4488" s="14">
        <f>10000000+INDEX(编号表!$B:$B,MATCH(H4488,编号表!$A:$A,0))*100000+INDEX(编号表!$F:$F,MATCH(D4488,编号表!$E:$E,0))*10000+INDEX(编号表!$D:$D,MATCH(AG4488,编号表!$C:$C,0))*1000+F4488</f>
        <v>11827000</v>
      </c>
      <c r="C4488" t="s">
        <v>5774</v>
      </c>
      <c r="D4488" t="s">
        <v>112</v>
      </c>
      <c r="E4488" t="s">
        <v>101</v>
      </c>
      <c r="F4488">
        <v>0</v>
      </c>
      <c r="G4488">
        <v>60</v>
      </c>
      <c r="H4488" t="s">
        <v>7524</v>
      </c>
      <c r="I4488" t="s">
        <v>75</v>
      </c>
      <c r="J4488" t="s">
        <v>201</v>
      </c>
      <c r="K4488">
        <v>1</v>
      </c>
      <c r="L4488" t="s">
        <v>7524</v>
      </c>
      <c r="M4488"/>
      <c r="N4488">
        <v>0</v>
      </c>
      <c r="O4488" t="b">
        <v>1</v>
      </c>
      <c r="P4488"/>
      <c r="Q4488" t="b">
        <v>0</v>
      </c>
      <c r="R4488">
        <v>1</v>
      </c>
      <c r="S4488" t="s">
        <v>77</v>
      </c>
      <c r="T4488">
        <v>999</v>
      </c>
      <c r="U4488" t="s">
        <v>7525</v>
      </c>
      <c r="V4488">
        <f t="shared" si="9"/>
        <v>31827000</v>
      </c>
      <c r="W4488"/>
      <c r="X4488" t="s">
        <v>5777</v>
      </c>
      <c r="Y4488" t="s">
        <v>215</v>
      </c>
      <c r="Z4488">
        <v>21877</v>
      </c>
      <c r="AA4488" t="s">
        <v>5778</v>
      </c>
      <c r="AB4488">
        <v>40001</v>
      </c>
      <c r="AC4488"/>
      <c r="AD4488"/>
      <c r="AE4488" t="s">
        <v>7524</v>
      </c>
      <c r="AF4488" t="s">
        <v>7524</v>
      </c>
      <c r="AG4488" t="s">
        <v>101</v>
      </c>
    </row>
    <row r="4489" spans="2:33">
      <c r="B4489" s="14">
        <f>10000000+INDEX(编号表!$B:$B,MATCH(H4489,编号表!$A:$A,0))*100000+INDEX(编号表!$F:$F,MATCH(D4489,编号表!$E:$E,0))*10000+INDEX(编号表!$D:$D,MATCH(AG4489,编号表!$C:$C,0))*1000+F4489</f>
        <v>11827001</v>
      </c>
      <c r="C4489" t="s">
        <v>5781</v>
      </c>
      <c r="D4489" t="s">
        <v>112</v>
      </c>
      <c r="E4489" t="s">
        <v>101</v>
      </c>
      <c r="F4489">
        <v>1</v>
      </c>
      <c r="G4489">
        <v>60</v>
      </c>
      <c r="H4489" t="s">
        <v>7524</v>
      </c>
      <c r="I4489" t="s">
        <v>75</v>
      </c>
      <c r="J4489" t="s">
        <v>201</v>
      </c>
      <c r="K4489">
        <v>1</v>
      </c>
      <c r="L4489" t="s">
        <v>7524</v>
      </c>
      <c r="M4489"/>
      <c r="N4489">
        <v>0</v>
      </c>
      <c r="O4489" t="b">
        <v>1</v>
      </c>
      <c r="P4489"/>
      <c r="Q4489" t="b">
        <v>0</v>
      </c>
      <c r="R4489">
        <v>1</v>
      </c>
      <c r="S4489" t="s">
        <v>77</v>
      </c>
      <c r="T4489">
        <v>999</v>
      </c>
      <c r="U4489" t="s">
        <v>7525</v>
      </c>
      <c r="V4489">
        <f t="shared" si="9"/>
        <v>31827001</v>
      </c>
      <c r="W4489"/>
      <c r="X4489" t="s">
        <v>5784</v>
      </c>
      <c r="Y4489" t="s">
        <v>215</v>
      </c>
      <c r="Z4489">
        <v>21880</v>
      </c>
      <c r="AA4489" t="s">
        <v>5785</v>
      </c>
      <c r="AB4489">
        <v>40001</v>
      </c>
      <c r="AC4489"/>
      <c r="AD4489"/>
      <c r="AE4489" t="s">
        <v>7524</v>
      </c>
      <c r="AF4489" t="s">
        <v>7524</v>
      </c>
      <c r="AG4489" t="s">
        <v>101</v>
      </c>
    </row>
    <row r="4490" spans="2:33">
      <c r="B4490" s="14">
        <f>10000000+INDEX(编号表!$B:$B,MATCH(H4490,编号表!$A:$A,0))*100000+INDEX(编号表!$F:$F,MATCH(D4490,编号表!$E:$E,0))*10000+INDEX(编号表!$D:$D,MATCH(AG4490,编号表!$C:$C,0))*1000+F4490</f>
        <v>11827002</v>
      </c>
      <c r="C4490" t="s">
        <v>5788</v>
      </c>
      <c r="D4490" t="s">
        <v>112</v>
      </c>
      <c r="E4490" t="s">
        <v>101</v>
      </c>
      <c r="F4490">
        <v>2</v>
      </c>
      <c r="G4490">
        <v>60</v>
      </c>
      <c r="H4490" t="s">
        <v>7524</v>
      </c>
      <c r="I4490" t="s">
        <v>75</v>
      </c>
      <c r="J4490" t="s">
        <v>201</v>
      </c>
      <c r="K4490">
        <v>1</v>
      </c>
      <c r="L4490" t="s">
        <v>7524</v>
      </c>
      <c r="M4490"/>
      <c r="N4490">
        <v>0</v>
      </c>
      <c r="O4490" t="b">
        <v>1</v>
      </c>
      <c r="P4490"/>
      <c r="Q4490" t="b">
        <v>0</v>
      </c>
      <c r="R4490">
        <v>1</v>
      </c>
      <c r="S4490" t="s">
        <v>77</v>
      </c>
      <c r="T4490">
        <v>999</v>
      </c>
      <c r="U4490" t="s">
        <v>7525</v>
      </c>
      <c r="V4490">
        <f t="shared" si="9"/>
        <v>31827002</v>
      </c>
      <c r="W4490"/>
      <c r="X4490" t="s">
        <v>5791</v>
      </c>
      <c r="Y4490" t="s">
        <v>215</v>
      </c>
      <c r="Z4490">
        <v>21883</v>
      </c>
      <c r="AA4490" t="s">
        <v>5792</v>
      </c>
      <c r="AB4490">
        <v>40001</v>
      </c>
      <c r="AC4490"/>
      <c r="AD4490"/>
      <c r="AE4490" t="s">
        <v>7524</v>
      </c>
      <c r="AF4490" t="s">
        <v>7524</v>
      </c>
      <c r="AG4490" t="s">
        <v>101</v>
      </c>
    </row>
    <row r="4491" spans="2:33">
      <c r="B4491" s="14">
        <f>10000000+INDEX(编号表!$B:$B,MATCH(H4491,编号表!$A:$A,0))*100000+INDEX(编号表!$F:$F,MATCH(D4491,编号表!$E:$E,0))*10000+INDEX(编号表!$D:$D,MATCH(AG4491,编号表!$C:$C,0))*1000+F4491</f>
        <v>11827003</v>
      </c>
      <c r="C4491" t="s">
        <v>5795</v>
      </c>
      <c r="D4491" t="s">
        <v>112</v>
      </c>
      <c r="E4491" t="s">
        <v>101</v>
      </c>
      <c r="F4491">
        <v>3</v>
      </c>
      <c r="G4491">
        <v>60</v>
      </c>
      <c r="H4491" t="s">
        <v>7524</v>
      </c>
      <c r="I4491" t="s">
        <v>75</v>
      </c>
      <c r="J4491" t="s">
        <v>201</v>
      </c>
      <c r="K4491">
        <v>1</v>
      </c>
      <c r="L4491" t="s">
        <v>7524</v>
      </c>
      <c r="M4491"/>
      <c r="N4491">
        <v>0</v>
      </c>
      <c r="O4491" t="b">
        <v>1</v>
      </c>
      <c r="P4491"/>
      <c r="Q4491" t="b">
        <v>0</v>
      </c>
      <c r="R4491">
        <v>1</v>
      </c>
      <c r="S4491" t="s">
        <v>77</v>
      </c>
      <c r="T4491">
        <v>999</v>
      </c>
      <c r="U4491" t="s">
        <v>7525</v>
      </c>
      <c r="V4491">
        <f t="shared" si="9"/>
        <v>31827003</v>
      </c>
      <c r="W4491"/>
      <c r="X4491" t="s">
        <v>5798</v>
      </c>
      <c r="Y4491" t="s">
        <v>215</v>
      </c>
      <c r="Z4491">
        <v>21886</v>
      </c>
      <c r="AA4491" t="s">
        <v>5799</v>
      </c>
      <c r="AB4491">
        <v>40001</v>
      </c>
      <c r="AC4491"/>
      <c r="AD4491"/>
      <c r="AE4491" t="s">
        <v>7524</v>
      </c>
      <c r="AF4491" t="s">
        <v>7524</v>
      </c>
      <c r="AG4491" t="s">
        <v>101</v>
      </c>
    </row>
    <row r="4492" spans="2:33">
      <c r="B4492" s="14">
        <f>10000000+INDEX(编号表!$B:$B,MATCH(H4492,编号表!$A:$A,0))*100000+INDEX(编号表!$F:$F,MATCH(D4492,编号表!$E:$E,0))*10000+INDEX(编号表!$D:$D,MATCH(AG4492,编号表!$C:$C,0))*1000+F4492</f>
        <v>11827004</v>
      </c>
      <c r="C4492" t="s">
        <v>5802</v>
      </c>
      <c r="D4492" t="s">
        <v>112</v>
      </c>
      <c r="E4492" t="s">
        <v>101</v>
      </c>
      <c r="F4492">
        <v>4</v>
      </c>
      <c r="G4492">
        <v>60</v>
      </c>
      <c r="H4492" t="s">
        <v>7524</v>
      </c>
      <c r="I4492" t="s">
        <v>75</v>
      </c>
      <c r="J4492" t="s">
        <v>201</v>
      </c>
      <c r="K4492">
        <v>1</v>
      </c>
      <c r="L4492" t="s">
        <v>7524</v>
      </c>
      <c r="M4492"/>
      <c r="N4492">
        <v>0</v>
      </c>
      <c r="O4492" t="b">
        <v>1</v>
      </c>
      <c r="P4492"/>
      <c r="Q4492" t="b">
        <v>0</v>
      </c>
      <c r="R4492">
        <v>1</v>
      </c>
      <c r="S4492" t="s">
        <v>77</v>
      </c>
      <c r="T4492">
        <v>999</v>
      </c>
      <c r="U4492" t="s">
        <v>7525</v>
      </c>
      <c r="V4492">
        <f t="shared" si="9"/>
        <v>31827004</v>
      </c>
      <c r="W4492"/>
      <c r="X4492" t="s">
        <v>5805</v>
      </c>
      <c r="Y4492" t="s">
        <v>215</v>
      </c>
      <c r="Z4492">
        <v>21889</v>
      </c>
      <c r="AA4492" t="s">
        <v>5806</v>
      </c>
      <c r="AB4492">
        <v>40001</v>
      </c>
      <c r="AC4492"/>
      <c r="AD4492"/>
      <c r="AE4492" t="s">
        <v>7524</v>
      </c>
      <c r="AF4492" t="s">
        <v>7524</v>
      </c>
      <c r="AG4492" t="s">
        <v>101</v>
      </c>
    </row>
    <row r="4493" spans="2:33">
      <c r="B4493" s="14">
        <f>10000000+INDEX(编号表!$B:$B,MATCH(H4493,编号表!$A:$A,0))*100000+INDEX(编号表!$F:$F,MATCH(D4493,编号表!$E:$E,0))*10000+INDEX(编号表!$D:$D,MATCH(AG4493,编号表!$C:$C,0))*1000+F4493</f>
        <v>11827005</v>
      </c>
      <c r="C4493" t="s">
        <v>5809</v>
      </c>
      <c r="D4493" t="s">
        <v>112</v>
      </c>
      <c r="E4493" t="s">
        <v>101</v>
      </c>
      <c r="F4493">
        <v>5</v>
      </c>
      <c r="G4493">
        <v>60</v>
      </c>
      <c r="H4493" t="s">
        <v>7524</v>
      </c>
      <c r="I4493" t="s">
        <v>75</v>
      </c>
      <c r="J4493" t="s">
        <v>201</v>
      </c>
      <c r="K4493">
        <v>1</v>
      </c>
      <c r="L4493" t="s">
        <v>7524</v>
      </c>
      <c r="M4493"/>
      <c r="N4493">
        <v>0</v>
      </c>
      <c r="O4493" t="b">
        <v>1</v>
      </c>
      <c r="P4493"/>
      <c r="Q4493" t="b">
        <v>0</v>
      </c>
      <c r="R4493">
        <v>1</v>
      </c>
      <c r="S4493" t="s">
        <v>77</v>
      </c>
      <c r="T4493">
        <v>999</v>
      </c>
      <c r="U4493" t="s">
        <v>7525</v>
      </c>
      <c r="V4493">
        <f t="shared" si="9"/>
        <v>31827005</v>
      </c>
      <c r="W4493"/>
      <c r="X4493" t="s">
        <v>5812</v>
      </c>
      <c r="Y4493" t="s">
        <v>215</v>
      </c>
      <c r="Z4493">
        <v>21892</v>
      </c>
      <c r="AA4493" t="s">
        <v>5813</v>
      </c>
      <c r="AB4493">
        <v>40001</v>
      </c>
      <c r="AC4493"/>
      <c r="AD4493"/>
      <c r="AE4493" t="s">
        <v>7524</v>
      </c>
      <c r="AF4493" t="s">
        <v>7524</v>
      </c>
      <c r="AG4493" t="s">
        <v>101</v>
      </c>
    </row>
    <row r="4494" spans="2:33">
      <c r="B4494" s="14">
        <f>10000000+INDEX(编号表!$B:$B,MATCH(H4494,编号表!$A:$A,0))*100000+INDEX(编号表!$F:$F,MATCH(D4494,编号表!$E:$E,0))*10000+INDEX(编号表!$D:$D,MATCH(AG4494,编号表!$C:$C,0))*1000+F4494</f>
        <v>11827006</v>
      </c>
      <c r="C4494" t="s">
        <v>5816</v>
      </c>
      <c r="D4494" t="s">
        <v>112</v>
      </c>
      <c r="E4494" t="s">
        <v>101</v>
      </c>
      <c r="F4494">
        <v>6</v>
      </c>
      <c r="G4494">
        <v>60</v>
      </c>
      <c r="H4494" t="s">
        <v>7524</v>
      </c>
      <c r="I4494" t="s">
        <v>75</v>
      </c>
      <c r="J4494" t="s">
        <v>201</v>
      </c>
      <c r="K4494">
        <v>1</v>
      </c>
      <c r="L4494" t="s">
        <v>7524</v>
      </c>
      <c r="M4494"/>
      <c r="N4494">
        <v>0</v>
      </c>
      <c r="O4494" t="b">
        <v>1</v>
      </c>
      <c r="P4494"/>
      <c r="Q4494" t="b">
        <v>0</v>
      </c>
      <c r="R4494">
        <v>1</v>
      </c>
      <c r="S4494" t="s">
        <v>77</v>
      </c>
      <c r="T4494">
        <v>999</v>
      </c>
      <c r="U4494" t="s">
        <v>7525</v>
      </c>
      <c r="V4494">
        <f t="shared" si="9"/>
        <v>31827006</v>
      </c>
      <c r="W4494"/>
      <c r="X4494" t="s">
        <v>5819</v>
      </c>
      <c r="Y4494" t="s">
        <v>215</v>
      </c>
      <c r="Z4494">
        <v>21895</v>
      </c>
      <c r="AA4494" t="s">
        <v>5820</v>
      </c>
      <c r="AB4494">
        <v>40001</v>
      </c>
      <c r="AC4494"/>
      <c r="AD4494"/>
      <c r="AE4494" t="s">
        <v>7524</v>
      </c>
      <c r="AF4494" t="s">
        <v>7524</v>
      </c>
      <c r="AG4494" t="s">
        <v>101</v>
      </c>
    </row>
    <row r="4495" spans="2:33">
      <c r="B4495" s="14">
        <f>10000000+INDEX(编号表!$B:$B,MATCH(H4495,编号表!$A:$A,0))*100000+INDEX(编号表!$F:$F,MATCH(D4495,编号表!$E:$E,0))*10000+INDEX(编号表!$D:$D,MATCH(AG4495,编号表!$C:$C,0))*1000+F4495</f>
        <v>11827007</v>
      </c>
      <c r="C4495" t="s">
        <v>5823</v>
      </c>
      <c r="D4495" t="s">
        <v>112</v>
      </c>
      <c r="E4495" t="s">
        <v>101</v>
      </c>
      <c r="F4495">
        <v>7</v>
      </c>
      <c r="G4495">
        <v>60</v>
      </c>
      <c r="H4495" t="s">
        <v>7524</v>
      </c>
      <c r="I4495" t="s">
        <v>75</v>
      </c>
      <c r="J4495" t="s">
        <v>201</v>
      </c>
      <c r="K4495">
        <v>1</v>
      </c>
      <c r="L4495" t="s">
        <v>7524</v>
      </c>
      <c r="M4495"/>
      <c r="N4495">
        <v>0</v>
      </c>
      <c r="O4495" t="b">
        <v>1</v>
      </c>
      <c r="P4495"/>
      <c r="Q4495" t="b">
        <v>0</v>
      </c>
      <c r="R4495">
        <v>1</v>
      </c>
      <c r="S4495" t="s">
        <v>77</v>
      </c>
      <c r="T4495">
        <v>999</v>
      </c>
      <c r="U4495" t="s">
        <v>7525</v>
      </c>
      <c r="V4495">
        <f t="shared" si="9"/>
        <v>31827007</v>
      </c>
      <c r="W4495"/>
      <c r="X4495" t="s">
        <v>5826</v>
      </c>
      <c r="Y4495" t="s">
        <v>215</v>
      </c>
      <c r="Z4495">
        <v>21898</v>
      </c>
      <c r="AA4495" t="s">
        <v>5827</v>
      </c>
      <c r="AB4495">
        <v>40001</v>
      </c>
      <c r="AC4495"/>
      <c r="AD4495"/>
      <c r="AE4495" t="s">
        <v>7524</v>
      </c>
      <c r="AF4495" t="s">
        <v>7524</v>
      </c>
      <c r="AG4495" t="s">
        <v>101</v>
      </c>
    </row>
    <row r="4496" spans="2:33">
      <c r="B4496" s="14">
        <f>10000000+INDEX(编号表!$B:$B,MATCH(H4496,编号表!$A:$A,0))*100000+INDEX(编号表!$F:$F,MATCH(D4496,编号表!$E:$E,0))*10000+INDEX(编号表!$D:$D,MATCH(AG4496,编号表!$C:$C,0))*1000+F4496</f>
        <v>11827008</v>
      </c>
      <c r="C4496" t="s">
        <v>5830</v>
      </c>
      <c r="D4496" t="s">
        <v>112</v>
      </c>
      <c r="E4496" t="s">
        <v>101</v>
      </c>
      <c r="F4496">
        <v>8</v>
      </c>
      <c r="G4496">
        <v>60</v>
      </c>
      <c r="H4496" t="s">
        <v>7524</v>
      </c>
      <c r="I4496" t="s">
        <v>75</v>
      </c>
      <c r="J4496" t="s">
        <v>201</v>
      </c>
      <c r="K4496">
        <v>1</v>
      </c>
      <c r="L4496" t="s">
        <v>7524</v>
      </c>
      <c r="M4496"/>
      <c r="N4496">
        <v>0</v>
      </c>
      <c r="O4496" t="b">
        <v>1</v>
      </c>
      <c r="P4496"/>
      <c r="Q4496" t="b">
        <v>0</v>
      </c>
      <c r="R4496">
        <v>1</v>
      </c>
      <c r="S4496" t="s">
        <v>77</v>
      </c>
      <c r="T4496">
        <v>999</v>
      </c>
      <c r="U4496" t="s">
        <v>7525</v>
      </c>
      <c r="V4496">
        <f t="shared" si="9"/>
        <v>31827008</v>
      </c>
      <c r="W4496"/>
      <c r="X4496" t="s">
        <v>5833</v>
      </c>
      <c r="Y4496" t="s">
        <v>215</v>
      </c>
      <c r="Z4496">
        <v>21901</v>
      </c>
      <c r="AA4496" t="s">
        <v>5834</v>
      </c>
      <c r="AB4496">
        <v>40001</v>
      </c>
      <c r="AC4496"/>
      <c r="AD4496"/>
      <c r="AE4496" t="s">
        <v>7524</v>
      </c>
      <c r="AF4496" t="s">
        <v>7524</v>
      </c>
      <c r="AG4496" t="s">
        <v>101</v>
      </c>
    </row>
    <row r="4497" spans="2:33">
      <c r="B4497" s="14">
        <f>10000000+INDEX(编号表!$B:$B,MATCH(H4497,编号表!$A:$A,0))*100000+INDEX(编号表!$F:$F,MATCH(D4497,编号表!$E:$E,0))*10000+INDEX(编号表!$D:$D,MATCH(AG4497,编号表!$C:$C,0))*1000+F4497</f>
        <v>11827009</v>
      </c>
      <c r="C4497" t="s">
        <v>5837</v>
      </c>
      <c r="D4497" t="s">
        <v>112</v>
      </c>
      <c r="E4497" t="s">
        <v>101</v>
      </c>
      <c r="F4497">
        <v>9</v>
      </c>
      <c r="G4497">
        <v>60</v>
      </c>
      <c r="H4497" t="s">
        <v>7524</v>
      </c>
      <c r="I4497" t="s">
        <v>75</v>
      </c>
      <c r="J4497" t="s">
        <v>201</v>
      </c>
      <c r="K4497">
        <v>1</v>
      </c>
      <c r="L4497" t="s">
        <v>7524</v>
      </c>
      <c r="M4497"/>
      <c r="N4497">
        <v>0</v>
      </c>
      <c r="O4497" t="b">
        <v>1</v>
      </c>
      <c r="P4497"/>
      <c r="Q4497" t="b">
        <v>0</v>
      </c>
      <c r="R4497">
        <v>1</v>
      </c>
      <c r="S4497" t="s">
        <v>77</v>
      </c>
      <c r="T4497">
        <v>999</v>
      </c>
      <c r="U4497" t="s">
        <v>7525</v>
      </c>
      <c r="V4497">
        <f t="shared" si="9"/>
        <v>31827009</v>
      </c>
      <c r="W4497"/>
      <c r="X4497" t="s">
        <v>5840</v>
      </c>
      <c r="Y4497" t="s">
        <v>215</v>
      </c>
      <c r="Z4497">
        <v>21904</v>
      </c>
      <c r="AA4497" t="s">
        <v>5841</v>
      </c>
      <c r="AB4497">
        <v>40001</v>
      </c>
      <c r="AC4497"/>
      <c r="AD4497"/>
      <c r="AE4497" t="s">
        <v>7524</v>
      </c>
      <c r="AF4497" t="s">
        <v>7524</v>
      </c>
      <c r="AG4497" t="s">
        <v>101</v>
      </c>
    </row>
    <row r="4498" spans="2:33">
      <c r="B4498" s="14">
        <f>10000000+INDEX(编号表!$B:$B,MATCH(H4498,编号表!$A:$A,0))*100000+INDEX(编号表!$F:$F,MATCH(D4498,编号表!$E:$E,0))*10000+INDEX(编号表!$D:$D,MATCH(AG4498,编号表!$C:$C,0))*1000+F4498</f>
        <v>11827010</v>
      </c>
      <c r="C4498" t="s">
        <v>5844</v>
      </c>
      <c r="D4498" t="s">
        <v>112</v>
      </c>
      <c r="E4498" t="s">
        <v>101</v>
      </c>
      <c r="F4498">
        <v>10</v>
      </c>
      <c r="G4498">
        <v>60</v>
      </c>
      <c r="H4498" t="s">
        <v>7524</v>
      </c>
      <c r="I4498" t="s">
        <v>75</v>
      </c>
      <c r="J4498" t="s">
        <v>201</v>
      </c>
      <c r="K4498">
        <v>1</v>
      </c>
      <c r="L4498" t="s">
        <v>7524</v>
      </c>
      <c r="M4498"/>
      <c r="N4498">
        <v>0</v>
      </c>
      <c r="O4498" t="b">
        <v>1</v>
      </c>
      <c r="P4498"/>
      <c r="Q4498" t="b">
        <v>0</v>
      </c>
      <c r="R4498">
        <v>1</v>
      </c>
      <c r="S4498" t="s">
        <v>77</v>
      </c>
      <c r="T4498">
        <v>999</v>
      </c>
      <c r="U4498" t="s">
        <v>7525</v>
      </c>
      <c r="V4498">
        <f t="shared" si="9"/>
        <v>31827010</v>
      </c>
      <c r="W4498"/>
      <c r="X4498" t="s">
        <v>5847</v>
      </c>
      <c r="Y4498" t="s">
        <v>215</v>
      </c>
      <c r="Z4498">
        <v>21907</v>
      </c>
      <c r="AA4498" t="s">
        <v>5848</v>
      </c>
      <c r="AB4498">
        <v>40001</v>
      </c>
      <c r="AC4498"/>
      <c r="AD4498"/>
      <c r="AE4498" t="s">
        <v>7524</v>
      </c>
      <c r="AF4498" t="s">
        <v>7524</v>
      </c>
      <c r="AG4498" t="s">
        <v>101</v>
      </c>
    </row>
    <row r="4499" spans="2:33">
      <c r="B4499" s="14">
        <f>10000000+INDEX(编号表!$B:$B,MATCH(H4499,编号表!$A:$A,0))*100000+INDEX(编号表!$F:$F,MATCH(D4499,编号表!$E:$E,0))*10000+INDEX(编号表!$D:$D,MATCH(AG4499,编号表!$C:$C,0))*1000+F4499</f>
        <v>11827011</v>
      </c>
      <c r="C4499" t="s">
        <v>5851</v>
      </c>
      <c r="D4499" t="s">
        <v>112</v>
      </c>
      <c r="E4499" t="s">
        <v>101</v>
      </c>
      <c r="F4499">
        <v>11</v>
      </c>
      <c r="G4499">
        <v>60</v>
      </c>
      <c r="H4499" t="s">
        <v>7524</v>
      </c>
      <c r="I4499" t="s">
        <v>75</v>
      </c>
      <c r="J4499" t="s">
        <v>201</v>
      </c>
      <c r="K4499">
        <v>1</v>
      </c>
      <c r="L4499" t="s">
        <v>7524</v>
      </c>
      <c r="M4499"/>
      <c r="N4499">
        <v>0</v>
      </c>
      <c r="O4499" t="b">
        <v>1</v>
      </c>
      <c r="P4499"/>
      <c r="Q4499" t="b">
        <v>0</v>
      </c>
      <c r="R4499">
        <v>1</v>
      </c>
      <c r="S4499" t="s">
        <v>77</v>
      </c>
      <c r="T4499">
        <v>999</v>
      </c>
      <c r="U4499" t="s">
        <v>7525</v>
      </c>
      <c r="V4499">
        <f t="shared" si="9"/>
        <v>31827011</v>
      </c>
      <c r="W4499"/>
      <c r="X4499" t="s">
        <v>5854</v>
      </c>
      <c r="Y4499" t="s">
        <v>215</v>
      </c>
      <c r="Z4499">
        <v>21910</v>
      </c>
      <c r="AA4499" t="s">
        <v>5855</v>
      </c>
      <c r="AB4499">
        <v>40001</v>
      </c>
      <c r="AC4499"/>
      <c r="AD4499"/>
      <c r="AE4499" t="s">
        <v>7524</v>
      </c>
      <c r="AF4499" t="s">
        <v>7524</v>
      </c>
      <c r="AG4499" t="s">
        <v>101</v>
      </c>
    </row>
    <row r="4500" spans="2:33">
      <c r="B4500" s="14">
        <f>10000000+INDEX(编号表!$B:$B,MATCH(H4500,编号表!$A:$A,0))*100000+INDEX(编号表!$F:$F,MATCH(D4500,编号表!$E:$E,0))*10000+INDEX(编号表!$D:$D,MATCH(AG4500,编号表!$C:$C,0))*1000+F4500</f>
        <v>11827012</v>
      </c>
      <c r="C4500" t="s">
        <v>5858</v>
      </c>
      <c r="D4500" t="s">
        <v>112</v>
      </c>
      <c r="E4500" t="s">
        <v>101</v>
      </c>
      <c r="F4500">
        <v>12</v>
      </c>
      <c r="G4500">
        <v>60</v>
      </c>
      <c r="H4500" t="s">
        <v>7524</v>
      </c>
      <c r="I4500" t="s">
        <v>75</v>
      </c>
      <c r="J4500" t="s">
        <v>201</v>
      </c>
      <c r="K4500">
        <v>1</v>
      </c>
      <c r="L4500" t="s">
        <v>7524</v>
      </c>
      <c r="M4500"/>
      <c r="N4500">
        <v>0</v>
      </c>
      <c r="O4500" t="b">
        <v>1</v>
      </c>
      <c r="P4500"/>
      <c r="Q4500" t="b">
        <v>0</v>
      </c>
      <c r="R4500">
        <v>1</v>
      </c>
      <c r="S4500" t="s">
        <v>77</v>
      </c>
      <c r="T4500">
        <v>999</v>
      </c>
      <c r="U4500" t="s">
        <v>7525</v>
      </c>
      <c r="V4500">
        <f t="shared" si="9"/>
        <v>31827012</v>
      </c>
      <c r="W4500"/>
      <c r="X4500" t="s">
        <v>5861</v>
      </c>
      <c r="Y4500" t="s">
        <v>215</v>
      </c>
      <c r="Z4500">
        <v>21913</v>
      </c>
      <c r="AA4500" t="s">
        <v>5862</v>
      </c>
      <c r="AB4500">
        <v>40001</v>
      </c>
      <c r="AC4500"/>
      <c r="AD4500"/>
      <c r="AE4500" t="s">
        <v>7524</v>
      </c>
      <c r="AF4500" t="s">
        <v>7524</v>
      </c>
      <c r="AG4500" t="s">
        <v>101</v>
      </c>
    </row>
    <row r="4501" spans="2:33">
      <c r="B4501" s="14">
        <f>10000000+INDEX(编号表!$B:$B,MATCH(H4501,编号表!$A:$A,0))*100000+INDEX(编号表!$F:$F,MATCH(D4501,编号表!$E:$E,0))*10000+INDEX(编号表!$D:$D,MATCH(AG4501,编号表!$C:$C,0))*1000+F4501</f>
        <v>11827013</v>
      </c>
      <c r="C4501" t="s">
        <v>5865</v>
      </c>
      <c r="D4501" t="s">
        <v>112</v>
      </c>
      <c r="E4501" t="s">
        <v>101</v>
      </c>
      <c r="F4501">
        <v>13</v>
      </c>
      <c r="G4501">
        <v>60</v>
      </c>
      <c r="H4501" t="s">
        <v>7524</v>
      </c>
      <c r="I4501" t="s">
        <v>75</v>
      </c>
      <c r="J4501" t="s">
        <v>201</v>
      </c>
      <c r="K4501">
        <v>1</v>
      </c>
      <c r="L4501" t="s">
        <v>7524</v>
      </c>
      <c r="M4501"/>
      <c r="N4501">
        <v>0</v>
      </c>
      <c r="O4501" t="b">
        <v>1</v>
      </c>
      <c r="P4501"/>
      <c r="Q4501" t="b">
        <v>0</v>
      </c>
      <c r="R4501">
        <v>1</v>
      </c>
      <c r="S4501" t="s">
        <v>77</v>
      </c>
      <c r="T4501">
        <v>999</v>
      </c>
      <c r="U4501" t="s">
        <v>7525</v>
      </c>
      <c r="V4501">
        <f t="shared" si="9"/>
        <v>31827013</v>
      </c>
      <c r="W4501"/>
      <c r="X4501" t="s">
        <v>5868</v>
      </c>
      <c r="Y4501" t="s">
        <v>215</v>
      </c>
      <c r="Z4501">
        <v>21916</v>
      </c>
      <c r="AA4501" t="s">
        <v>5869</v>
      </c>
      <c r="AB4501">
        <v>40001</v>
      </c>
      <c r="AC4501"/>
      <c r="AD4501"/>
      <c r="AE4501" t="s">
        <v>7524</v>
      </c>
      <c r="AF4501" t="s">
        <v>7524</v>
      </c>
      <c r="AG4501" t="s">
        <v>101</v>
      </c>
    </row>
    <row r="4502" spans="2:33">
      <c r="B4502" s="14">
        <f>10000000+INDEX(编号表!$B:$B,MATCH(H4502,编号表!$A:$A,0))*100000+INDEX(编号表!$F:$F,MATCH(D4502,编号表!$E:$E,0))*10000+INDEX(编号表!$D:$D,MATCH(AG4502,编号表!$C:$C,0))*1000+F4502</f>
        <v>11827014</v>
      </c>
      <c r="C4502" t="s">
        <v>5872</v>
      </c>
      <c r="D4502" t="s">
        <v>112</v>
      </c>
      <c r="E4502" t="s">
        <v>101</v>
      </c>
      <c r="F4502">
        <v>14</v>
      </c>
      <c r="G4502">
        <v>60</v>
      </c>
      <c r="H4502" t="s">
        <v>7524</v>
      </c>
      <c r="I4502" t="s">
        <v>75</v>
      </c>
      <c r="J4502" t="s">
        <v>201</v>
      </c>
      <c r="K4502">
        <v>1</v>
      </c>
      <c r="L4502" t="s">
        <v>7524</v>
      </c>
      <c r="M4502"/>
      <c r="N4502">
        <v>0</v>
      </c>
      <c r="O4502" t="b">
        <v>1</v>
      </c>
      <c r="P4502"/>
      <c r="Q4502" t="b">
        <v>0</v>
      </c>
      <c r="R4502">
        <v>1</v>
      </c>
      <c r="S4502" t="s">
        <v>77</v>
      </c>
      <c r="T4502">
        <v>999</v>
      </c>
      <c r="U4502" t="s">
        <v>7525</v>
      </c>
      <c r="V4502">
        <f t="shared" si="9"/>
        <v>31827014</v>
      </c>
      <c r="W4502"/>
      <c r="X4502" t="s">
        <v>5875</v>
      </c>
      <c r="Y4502" t="s">
        <v>215</v>
      </c>
      <c r="Z4502">
        <v>21919</v>
      </c>
      <c r="AA4502" t="s">
        <v>5876</v>
      </c>
      <c r="AB4502">
        <v>40001</v>
      </c>
      <c r="AC4502"/>
      <c r="AD4502"/>
      <c r="AE4502" t="s">
        <v>7524</v>
      </c>
      <c r="AF4502" t="s">
        <v>7524</v>
      </c>
      <c r="AG4502" t="s">
        <v>101</v>
      </c>
    </row>
    <row r="4503" spans="2:33">
      <c r="B4503" s="14">
        <f>10000000+INDEX(编号表!$B:$B,MATCH(H4503,编号表!$A:$A,0))*100000+INDEX(编号表!$F:$F,MATCH(D4503,编号表!$E:$E,0))*10000+INDEX(编号表!$D:$D,MATCH(AG4503,编号表!$C:$C,0))*1000+F4503</f>
        <v>11827015</v>
      </c>
      <c r="C4503" t="s">
        <v>5879</v>
      </c>
      <c r="D4503" t="s">
        <v>112</v>
      </c>
      <c r="E4503" t="s">
        <v>101</v>
      </c>
      <c r="F4503">
        <v>15</v>
      </c>
      <c r="G4503">
        <v>60</v>
      </c>
      <c r="H4503" t="s">
        <v>7524</v>
      </c>
      <c r="I4503" t="s">
        <v>75</v>
      </c>
      <c r="J4503" t="s">
        <v>201</v>
      </c>
      <c r="K4503">
        <v>1</v>
      </c>
      <c r="L4503" t="s">
        <v>7524</v>
      </c>
      <c r="M4503"/>
      <c r="N4503">
        <v>0</v>
      </c>
      <c r="O4503" t="b">
        <v>1</v>
      </c>
      <c r="P4503"/>
      <c r="Q4503" t="b">
        <v>0</v>
      </c>
      <c r="R4503">
        <v>1</v>
      </c>
      <c r="S4503" t="s">
        <v>77</v>
      </c>
      <c r="T4503">
        <v>999</v>
      </c>
      <c r="U4503" t="s">
        <v>7525</v>
      </c>
      <c r="V4503">
        <f t="shared" si="9"/>
        <v>31827015</v>
      </c>
      <c r="W4503"/>
      <c r="X4503" t="s">
        <v>5882</v>
      </c>
      <c r="Y4503" t="s">
        <v>215</v>
      </c>
      <c r="Z4503">
        <v>21922</v>
      </c>
      <c r="AA4503" t="s">
        <v>5883</v>
      </c>
      <c r="AB4503">
        <v>40001</v>
      </c>
      <c r="AC4503"/>
      <c r="AD4503"/>
      <c r="AE4503" t="s">
        <v>7524</v>
      </c>
      <c r="AF4503" t="s">
        <v>7524</v>
      </c>
      <c r="AG4503" t="s">
        <v>101</v>
      </c>
    </row>
    <row r="4504" spans="2:33">
      <c r="B4504" s="14">
        <f>10000000+INDEX(编号表!$B:$B,MATCH(H4504,编号表!$A:$A,0))*100000+INDEX(编号表!$F:$F,MATCH(D4504,编号表!$E:$E,0))*10000+INDEX(编号表!$D:$D,MATCH(AG4504,编号表!$C:$C,0))*1000+F4504</f>
        <v>11827016</v>
      </c>
      <c r="C4504" t="s">
        <v>5886</v>
      </c>
      <c r="D4504" t="s">
        <v>112</v>
      </c>
      <c r="E4504" t="s">
        <v>101</v>
      </c>
      <c r="F4504">
        <v>16</v>
      </c>
      <c r="G4504">
        <v>60</v>
      </c>
      <c r="H4504" t="s">
        <v>7524</v>
      </c>
      <c r="I4504" t="s">
        <v>75</v>
      </c>
      <c r="J4504" t="s">
        <v>201</v>
      </c>
      <c r="K4504">
        <v>1</v>
      </c>
      <c r="L4504" t="s">
        <v>7524</v>
      </c>
      <c r="M4504"/>
      <c r="N4504">
        <v>0</v>
      </c>
      <c r="O4504" t="b">
        <v>1</v>
      </c>
      <c r="P4504"/>
      <c r="Q4504" t="b">
        <v>0</v>
      </c>
      <c r="R4504">
        <v>1</v>
      </c>
      <c r="S4504" t="s">
        <v>77</v>
      </c>
      <c r="T4504">
        <v>999</v>
      </c>
      <c r="U4504" t="s">
        <v>7525</v>
      </c>
      <c r="V4504">
        <f t="shared" ref="V4504:V4567" si="10">B4504+20000000</f>
        <v>31827016</v>
      </c>
      <c r="W4504"/>
      <c r="X4504" t="s">
        <v>5889</v>
      </c>
      <c r="Y4504" t="s">
        <v>215</v>
      </c>
      <c r="Z4504">
        <v>21925</v>
      </c>
      <c r="AA4504" t="s">
        <v>5890</v>
      </c>
      <c r="AB4504">
        <v>40001</v>
      </c>
      <c r="AC4504"/>
      <c r="AD4504"/>
      <c r="AE4504" t="s">
        <v>7524</v>
      </c>
      <c r="AF4504" t="s">
        <v>7524</v>
      </c>
      <c r="AG4504" t="s">
        <v>101</v>
      </c>
    </row>
    <row r="4505" spans="2:33">
      <c r="B4505" s="14">
        <f>10000000+INDEX(编号表!$B:$B,MATCH(H4505,编号表!$A:$A,0))*100000+INDEX(编号表!$F:$F,MATCH(D4505,编号表!$E:$E,0))*10000+INDEX(编号表!$D:$D,MATCH(AG4505,编号表!$C:$C,0))*1000+F4505</f>
        <v>11827017</v>
      </c>
      <c r="C4505" t="s">
        <v>5893</v>
      </c>
      <c r="D4505" t="s">
        <v>112</v>
      </c>
      <c r="E4505" t="s">
        <v>101</v>
      </c>
      <c r="F4505">
        <v>17</v>
      </c>
      <c r="G4505">
        <v>60</v>
      </c>
      <c r="H4505" t="s">
        <v>7524</v>
      </c>
      <c r="I4505" t="s">
        <v>75</v>
      </c>
      <c r="J4505" t="s">
        <v>201</v>
      </c>
      <c r="K4505">
        <v>1</v>
      </c>
      <c r="L4505" t="s">
        <v>7524</v>
      </c>
      <c r="M4505"/>
      <c r="N4505">
        <v>0</v>
      </c>
      <c r="O4505" t="b">
        <v>1</v>
      </c>
      <c r="P4505"/>
      <c r="Q4505" t="b">
        <v>0</v>
      </c>
      <c r="R4505">
        <v>1</v>
      </c>
      <c r="S4505" t="s">
        <v>77</v>
      </c>
      <c r="T4505">
        <v>999</v>
      </c>
      <c r="U4505" t="s">
        <v>7525</v>
      </c>
      <c r="V4505">
        <f t="shared" si="10"/>
        <v>31827017</v>
      </c>
      <c r="W4505"/>
      <c r="X4505" t="s">
        <v>5896</v>
      </c>
      <c r="Y4505" t="s">
        <v>215</v>
      </c>
      <c r="Z4505">
        <v>21928</v>
      </c>
      <c r="AA4505" t="s">
        <v>5897</v>
      </c>
      <c r="AB4505">
        <v>40001</v>
      </c>
      <c r="AC4505"/>
      <c r="AD4505"/>
      <c r="AE4505" t="s">
        <v>7524</v>
      </c>
      <c r="AF4505" t="s">
        <v>7524</v>
      </c>
      <c r="AG4505" t="s">
        <v>101</v>
      </c>
    </row>
    <row r="4506" spans="2:33">
      <c r="B4506" s="14">
        <f>10000000+INDEX(编号表!$B:$B,MATCH(H4506,编号表!$A:$A,0))*100000+INDEX(编号表!$F:$F,MATCH(D4506,编号表!$E:$E,0))*10000+INDEX(编号表!$D:$D,MATCH(AG4506,编号表!$C:$C,0))*1000+F4506</f>
        <v>11827018</v>
      </c>
      <c r="C4506" t="s">
        <v>5900</v>
      </c>
      <c r="D4506" t="s">
        <v>112</v>
      </c>
      <c r="E4506" t="s">
        <v>101</v>
      </c>
      <c r="F4506">
        <v>18</v>
      </c>
      <c r="G4506">
        <v>60</v>
      </c>
      <c r="H4506" t="s">
        <v>7524</v>
      </c>
      <c r="I4506" t="s">
        <v>75</v>
      </c>
      <c r="J4506" t="s">
        <v>201</v>
      </c>
      <c r="K4506">
        <v>1</v>
      </c>
      <c r="L4506" t="s">
        <v>7524</v>
      </c>
      <c r="M4506"/>
      <c r="N4506">
        <v>0</v>
      </c>
      <c r="O4506" t="b">
        <v>1</v>
      </c>
      <c r="P4506"/>
      <c r="Q4506" t="b">
        <v>0</v>
      </c>
      <c r="R4506">
        <v>1</v>
      </c>
      <c r="S4506" t="s">
        <v>77</v>
      </c>
      <c r="T4506">
        <v>999</v>
      </c>
      <c r="U4506" t="s">
        <v>7525</v>
      </c>
      <c r="V4506">
        <f t="shared" si="10"/>
        <v>31827018</v>
      </c>
      <c r="W4506"/>
      <c r="X4506" t="s">
        <v>5903</v>
      </c>
      <c r="Y4506" t="s">
        <v>215</v>
      </c>
      <c r="Z4506">
        <v>21931</v>
      </c>
      <c r="AA4506" t="s">
        <v>5904</v>
      </c>
      <c r="AB4506">
        <v>40001</v>
      </c>
      <c r="AC4506"/>
      <c r="AD4506"/>
      <c r="AE4506" t="s">
        <v>7524</v>
      </c>
      <c r="AF4506" t="s">
        <v>7524</v>
      </c>
      <c r="AG4506" t="s">
        <v>101</v>
      </c>
    </row>
    <row r="4507" spans="2:33">
      <c r="B4507" s="14">
        <f>10000000+INDEX(编号表!$B:$B,MATCH(H4507,编号表!$A:$A,0))*100000+INDEX(编号表!$F:$F,MATCH(D4507,编号表!$E:$E,0))*10000+INDEX(编号表!$D:$D,MATCH(AG4507,编号表!$C:$C,0))*1000+F4507</f>
        <v>11827019</v>
      </c>
      <c r="C4507" t="s">
        <v>5907</v>
      </c>
      <c r="D4507" t="s">
        <v>112</v>
      </c>
      <c r="E4507" t="s">
        <v>101</v>
      </c>
      <c r="F4507">
        <v>19</v>
      </c>
      <c r="G4507">
        <v>60</v>
      </c>
      <c r="H4507" t="s">
        <v>7524</v>
      </c>
      <c r="I4507" t="s">
        <v>75</v>
      </c>
      <c r="J4507" t="s">
        <v>201</v>
      </c>
      <c r="K4507">
        <v>1</v>
      </c>
      <c r="L4507" t="s">
        <v>7524</v>
      </c>
      <c r="M4507"/>
      <c r="N4507">
        <v>0</v>
      </c>
      <c r="O4507" t="b">
        <v>1</v>
      </c>
      <c r="P4507"/>
      <c r="Q4507" t="b">
        <v>0</v>
      </c>
      <c r="R4507">
        <v>1</v>
      </c>
      <c r="S4507" t="s">
        <v>77</v>
      </c>
      <c r="T4507">
        <v>999</v>
      </c>
      <c r="U4507" t="s">
        <v>7525</v>
      </c>
      <c r="V4507">
        <f t="shared" si="10"/>
        <v>31827019</v>
      </c>
      <c r="W4507"/>
      <c r="X4507" t="s">
        <v>5910</v>
      </c>
      <c r="Y4507" t="s">
        <v>215</v>
      </c>
      <c r="Z4507">
        <v>21934</v>
      </c>
      <c r="AA4507" t="s">
        <v>5911</v>
      </c>
      <c r="AB4507">
        <v>40001</v>
      </c>
      <c r="AC4507"/>
      <c r="AD4507"/>
      <c r="AE4507" t="s">
        <v>7524</v>
      </c>
      <c r="AF4507" t="s">
        <v>7524</v>
      </c>
      <c r="AG4507" t="s">
        <v>101</v>
      </c>
    </row>
    <row r="4508" spans="2:33">
      <c r="B4508" s="14">
        <f>10000000+INDEX(编号表!$B:$B,MATCH(H4508,编号表!$A:$A,0))*100000+INDEX(编号表!$F:$F,MATCH(D4508,编号表!$E:$E,0))*10000+INDEX(编号表!$D:$D,MATCH(AG4508,编号表!$C:$C,0))*1000+F4508</f>
        <v>11827020</v>
      </c>
      <c r="C4508" t="s">
        <v>5914</v>
      </c>
      <c r="D4508" t="s">
        <v>112</v>
      </c>
      <c r="E4508" t="s">
        <v>101</v>
      </c>
      <c r="F4508">
        <v>20</v>
      </c>
      <c r="G4508">
        <v>60</v>
      </c>
      <c r="H4508" t="s">
        <v>7524</v>
      </c>
      <c r="I4508" t="s">
        <v>75</v>
      </c>
      <c r="J4508" t="s">
        <v>201</v>
      </c>
      <c r="K4508">
        <v>1</v>
      </c>
      <c r="L4508" t="s">
        <v>7524</v>
      </c>
      <c r="M4508"/>
      <c r="N4508">
        <v>0</v>
      </c>
      <c r="O4508" t="b">
        <v>1</v>
      </c>
      <c r="P4508"/>
      <c r="Q4508" t="b">
        <v>0</v>
      </c>
      <c r="R4508">
        <v>1</v>
      </c>
      <c r="S4508" t="s">
        <v>77</v>
      </c>
      <c r="T4508">
        <v>999</v>
      </c>
      <c r="U4508" t="s">
        <v>7525</v>
      </c>
      <c r="V4508">
        <f t="shared" si="10"/>
        <v>31827020</v>
      </c>
      <c r="W4508"/>
      <c r="X4508" t="s">
        <v>5917</v>
      </c>
      <c r="Y4508" t="s">
        <v>215</v>
      </c>
      <c r="Z4508">
        <v>21937</v>
      </c>
      <c r="AA4508" t="s">
        <v>5918</v>
      </c>
      <c r="AB4508">
        <v>40001</v>
      </c>
      <c r="AC4508"/>
      <c r="AD4508"/>
      <c r="AE4508" t="s">
        <v>7524</v>
      </c>
      <c r="AF4508" t="s">
        <v>7524</v>
      </c>
      <c r="AG4508" t="s">
        <v>101</v>
      </c>
    </row>
    <row r="4509" spans="2:33">
      <c r="B4509" s="14">
        <f>10000000+INDEX(编号表!$B:$B,MATCH(H4509,编号表!$A:$A,0))*100000+INDEX(编号表!$F:$F,MATCH(D4509,编号表!$E:$E,0))*10000+INDEX(编号表!$D:$D,MATCH(AG4509,编号表!$C:$C,0))*1000+F4509</f>
        <v>11827021</v>
      </c>
      <c r="C4509" t="s">
        <v>5921</v>
      </c>
      <c r="D4509" t="s">
        <v>112</v>
      </c>
      <c r="E4509" t="s">
        <v>101</v>
      </c>
      <c r="F4509">
        <v>21</v>
      </c>
      <c r="G4509">
        <v>60</v>
      </c>
      <c r="H4509" t="s">
        <v>7524</v>
      </c>
      <c r="I4509" t="s">
        <v>75</v>
      </c>
      <c r="J4509" t="s">
        <v>201</v>
      </c>
      <c r="K4509">
        <v>1</v>
      </c>
      <c r="L4509" t="s">
        <v>7524</v>
      </c>
      <c r="M4509"/>
      <c r="N4509">
        <v>0</v>
      </c>
      <c r="O4509" t="b">
        <v>1</v>
      </c>
      <c r="P4509"/>
      <c r="Q4509" t="b">
        <v>0</v>
      </c>
      <c r="R4509">
        <v>1</v>
      </c>
      <c r="S4509" t="s">
        <v>77</v>
      </c>
      <c r="T4509">
        <v>999</v>
      </c>
      <c r="U4509" t="s">
        <v>7525</v>
      </c>
      <c r="V4509">
        <f t="shared" si="10"/>
        <v>31827021</v>
      </c>
      <c r="W4509"/>
      <c r="X4509" t="s">
        <v>5924</v>
      </c>
      <c r="Y4509" t="s">
        <v>215</v>
      </c>
      <c r="Z4509">
        <v>21940</v>
      </c>
      <c r="AA4509" t="s">
        <v>5925</v>
      </c>
      <c r="AB4509">
        <v>40001</v>
      </c>
      <c r="AC4509"/>
      <c r="AD4509"/>
      <c r="AE4509" t="s">
        <v>7524</v>
      </c>
      <c r="AF4509" t="s">
        <v>7524</v>
      </c>
      <c r="AG4509" t="s">
        <v>101</v>
      </c>
    </row>
    <row r="4510" spans="2:33">
      <c r="B4510" s="14">
        <f>10000000+INDEX(编号表!$B:$B,MATCH(H4510,编号表!$A:$A,0))*100000+INDEX(编号表!$F:$F,MATCH(D4510,编号表!$E:$E,0))*10000+INDEX(编号表!$D:$D,MATCH(AG4510,编号表!$C:$C,0))*1000+F4510</f>
        <v>11827022</v>
      </c>
      <c r="C4510" t="s">
        <v>5928</v>
      </c>
      <c r="D4510" t="s">
        <v>112</v>
      </c>
      <c r="E4510" t="s">
        <v>101</v>
      </c>
      <c r="F4510">
        <v>22</v>
      </c>
      <c r="G4510">
        <v>60</v>
      </c>
      <c r="H4510" t="s">
        <v>7524</v>
      </c>
      <c r="I4510" t="s">
        <v>75</v>
      </c>
      <c r="J4510" t="s">
        <v>201</v>
      </c>
      <c r="K4510">
        <v>1</v>
      </c>
      <c r="L4510" t="s">
        <v>7524</v>
      </c>
      <c r="M4510"/>
      <c r="N4510">
        <v>0</v>
      </c>
      <c r="O4510" t="b">
        <v>1</v>
      </c>
      <c r="P4510"/>
      <c r="Q4510" t="b">
        <v>0</v>
      </c>
      <c r="R4510">
        <v>1</v>
      </c>
      <c r="S4510" t="s">
        <v>77</v>
      </c>
      <c r="T4510">
        <v>999</v>
      </c>
      <c r="U4510" t="s">
        <v>7525</v>
      </c>
      <c r="V4510">
        <f t="shared" si="10"/>
        <v>31827022</v>
      </c>
      <c r="W4510"/>
      <c r="X4510" t="s">
        <v>5931</v>
      </c>
      <c r="Y4510" t="s">
        <v>215</v>
      </c>
      <c r="Z4510">
        <v>21943</v>
      </c>
      <c r="AA4510" t="s">
        <v>5932</v>
      </c>
      <c r="AB4510">
        <v>40001</v>
      </c>
      <c r="AC4510"/>
      <c r="AD4510"/>
      <c r="AE4510" t="s">
        <v>7524</v>
      </c>
      <c r="AF4510" t="s">
        <v>7524</v>
      </c>
      <c r="AG4510" t="s">
        <v>101</v>
      </c>
    </row>
    <row r="4511" spans="2:33">
      <c r="B4511" s="14">
        <f>10000000+INDEX(编号表!$B:$B,MATCH(H4511,编号表!$A:$A,0))*100000+INDEX(编号表!$F:$F,MATCH(D4511,编号表!$E:$E,0))*10000+INDEX(编号表!$D:$D,MATCH(AG4511,编号表!$C:$C,0))*1000+F4511</f>
        <v>11827023</v>
      </c>
      <c r="C4511" t="s">
        <v>5935</v>
      </c>
      <c r="D4511" t="s">
        <v>112</v>
      </c>
      <c r="E4511" t="s">
        <v>101</v>
      </c>
      <c r="F4511">
        <v>23</v>
      </c>
      <c r="G4511">
        <v>60</v>
      </c>
      <c r="H4511" t="s">
        <v>7524</v>
      </c>
      <c r="I4511" t="s">
        <v>75</v>
      </c>
      <c r="J4511" t="s">
        <v>201</v>
      </c>
      <c r="K4511">
        <v>1</v>
      </c>
      <c r="L4511" t="s">
        <v>7524</v>
      </c>
      <c r="M4511"/>
      <c r="N4511">
        <v>0</v>
      </c>
      <c r="O4511" t="b">
        <v>1</v>
      </c>
      <c r="P4511"/>
      <c r="Q4511" t="b">
        <v>0</v>
      </c>
      <c r="R4511">
        <v>1</v>
      </c>
      <c r="S4511" t="s">
        <v>77</v>
      </c>
      <c r="T4511">
        <v>999</v>
      </c>
      <c r="U4511" t="s">
        <v>7525</v>
      </c>
      <c r="V4511">
        <f t="shared" si="10"/>
        <v>31827023</v>
      </c>
      <c r="W4511"/>
      <c r="X4511" t="s">
        <v>5938</v>
      </c>
      <c r="Y4511" t="s">
        <v>215</v>
      </c>
      <c r="Z4511">
        <v>21946</v>
      </c>
      <c r="AA4511" t="s">
        <v>5939</v>
      </c>
      <c r="AB4511">
        <v>40001</v>
      </c>
      <c r="AC4511"/>
      <c r="AD4511"/>
      <c r="AE4511" t="s">
        <v>7524</v>
      </c>
      <c r="AF4511" t="s">
        <v>7524</v>
      </c>
      <c r="AG4511" t="s">
        <v>101</v>
      </c>
    </row>
    <row r="4512" spans="2:33">
      <c r="B4512" s="14">
        <f>10000000+INDEX(编号表!$B:$B,MATCH(H4512,编号表!$A:$A,0))*100000+INDEX(编号表!$F:$F,MATCH(D4512,编号表!$E:$E,0))*10000+INDEX(编号表!$D:$D,MATCH(AG4512,编号表!$C:$C,0))*1000+F4512</f>
        <v>11827024</v>
      </c>
      <c r="C4512" t="s">
        <v>5942</v>
      </c>
      <c r="D4512" t="s">
        <v>112</v>
      </c>
      <c r="E4512" t="s">
        <v>101</v>
      </c>
      <c r="F4512">
        <v>24</v>
      </c>
      <c r="G4512">
        <v>60</v>
      </c>
      <c r="H4512" t="s">
        <v>7524</v>
      </c>
      <c r="I4512" t="s">
        <v>75</v>
      </c>
      <c r="J4512" t="s">
        <v>201</v>
      </c>
      <c r="K4512">
        <v>1</v>
      </c>
      <c r="L4512" t="s">
        <v>7524</v>
      </c>
      <c r="M4512"/>
      <c r="N4512">
        <v>0</v>
      </c>
      <c r="O4512" t="b">
        <v>1</v>
      </c>
      <c r="P4512"/>
      <c r="Q4512" t="b">
        <v>0</v>
      </c>
      <c r="R4512">
        <v>1</v>
      </c>
      <c r="S4512" t="s">
        <v>77</v>
      </c>
      <c r="T4512">
        <v>999</v>
      </c>
      <c r="U4512" t="s">
        <v>7525</v>
      </c>
      <c r="V4512">
        <f t="shared" si="10"/>
        <v>31827024</v>
      </c>
      <c r="W4512"/>
      <c r="X4512" t="s">
        <v>5945</v>
      </c>
      <c r="Y4512" t="s">
        <v>215</v>
      </c>
      <c r="Z4512">
        <v>21949</v>
      </c>
      <c r="AA4512" t="s">
        <v>5946</v>
      </c>
      <c r="AB4512">
        <v>40001</v>
      </c>
      <c r="AC4512"/>
      <c r="AD4512"/>
      <c r="AE4512" t="s">
        <v>7524</v>
      </c>
      <c r="AF4512" t="s">
        <v>7524</v>
      </c>
      <c r="AG4512" t="s">
        <v>101</v>
      </c>
    </row>
    <row r="4513" spans="2:33">
      <c r="B4513" s="14">
        <f>10000000+INDEX(编号表!$B:$B,MATCH(H4513,编号表!$A:$A,0))*100000+INDEX(编号表!$F:$F,MATCH(D4513,编号表!$E:$E,0))*10000+INDEX(编号表!$D:$D,MATCH(AG4513,编号表!$C:$C,0))*1000+F4513</f>
        <v>11827025</v>
      </c>
      <c r="C4513" t="s">
        <v>5949</v>
      </c>
      <c r="D4513" t="s">
        <v>112</v>
      </c>
      <c r="E4513" t="s">
        <v>101</v>
      </c>
      <c r="F4513">
        <v>25</v>
      </c>
      <c r="G4513">
        <v>60</v>
      </c>
      <c r="H4513" t="s">
        <v>7524</v>
      </c>
      <c r="I4513" t="s">
        <v>75</v>
      </c>
      <c r="J4513" t="s">
        <v>201</v>
      </c>
      <c r="K4513">
        <v>1</v>
      </c>
      <c r="L4513" t="s">
        <v>7524</v>
      </c>
      <c r="M4513"/>
      <c r="N4513">
        <v>0</v>
      </c>
      <c r="O4513" t="b">
        <v>1</v>
      </c>
      <c r="P4513"/>
      <c r="Q4513" t="b">
        <v>0</v>
      </c>
      <c r="R4513">
        <v>1</v>
      </c>
      <c r="S4513" t="s">
        <v>77</v>
      </c>
      <c r="T4513">
        <v>999</v>
      </c>
      <c r="U4513" t="s">
        <v>7525</v>
      </c>
      <c r="V4513">
        <f t="shared" si="10"/>
        <v>31827025</v>
      </c>
      <c r="W4513"/>
      <c r="X4513" t="s">
        <v>5952</v>
      </c>
      <c r="Y4513" t="s">
        <v>215</v>
      </c>
      <c r="Z4513">
        <v>21952</v>
      </c>
      <c r="AA4513" t="s">
        <v>5953</v>
      </c>
      <c r="AB4513">
        <v>40001</v>
      </c>
      <c r="AC4513"/>
      <c r="AD4513"/>
      <c r="AE4513" t="s">
        <v>7524</v>
      </c>
      <c r="AF4513" t="s">
        <v>7524</v>
      </c>
      <c r="AG4513" t="s">
        <v>101</v>
      </c>
    </row>
    <row r="4514" spans="2:33">
      <c r="B4514" s="14">
        <f>10000000+INDEX(编号表!$B:$B,MATCH(H4514,编号表!$A:$A,0))*100000+INDEX(编号表!$F:$F,MATCH(D4514,编号表!$E:$E,0))*10000+INDEX(编号表!$D:$D,MATCH(AG4514,编号表!$C:$C,0))*1000+F4514</f>
        <v>11827026</v>
      </c>
      <c r="C4514" t="s">
        <v>5956</v>
      </c>
      <c r="D4514" t="s">
        <v>112</v>
      </c>
      <c r="E4514" t="s">
        <v>101</v>
      </c>
      <c r="F4514">
        <v>26</v>
      </c>
      <c r="G4514">
        <v>60</v>
      </c>
      <c r="H4514" t="s">
        <v>7524</v>
      </c>
      <c r="I4514" t="s">
        <v>75</v>
      </c>
      <c r="J4514" t="s">
        <v>201</v>
      </c>
      <c r="K4514">
        <v>1</v>
      </c>
      <c r="L4514" t="s">
        <v>7524</v>
      </c>
      <c r="M4514"/>
      <c r="N4514">
        <v>0</v>
      </c>
      <c r="O4514" t="b">
        <v>1</v>
      </c>
      <c r="P4514"/>
      <c r="Q4514" t="b">
        <v>0</v>
      </c>
      <c r="R4514">
        <v>1</v>
      </c>
      <c r="S4514" t="s">
        <v>77</v>
      </c>
      <c r="T4514">
        <v>999</v>
      </c>
      <c r="U4514" t="s">
        <v>7525</v>
      </c>
      <c r="V4514">
        <f t="shared" si="10"/>
        <v>31827026</v>
      </c>
      <c r="W4514"/>
      <c r="X4514" t="s">
        <v>5959</v>
      </c>
      <c r="Y4514" t="s">
        <v>215</v>
      </c>
      <c r="Z4514">
        <v>21955</v>
      </c>
      <c r="AA4514" t="s">
        <v>5960</v>
      </c>
      <c r="AB4514">
        <v>40001</v>
      </c>
      <c r="AC4514"/>
      <c r="AD4514"/>
      <c r="AE4514" t="s">
        <v>7524</v>
      </c>
      <c r="AF4514" t="s">
        <v>7524</v>
      </c>
      <c r="AG4514" t="s">
        <v>101</v>
      </c>
    </row>
    <row r="4515" spans="2:33">
      <c r="B4515" s="14">
        <f>10000000+INDEX(编号表!$B:$B,MATCH(H4515,编号表!$A:$A,0))*100000+INDEX(编号表!$F:$F,MATCH(D4515,编号表!$E:$E,0))*10000+INDEX(编号表!$D:$D,MATCH(AG4515,编号表!$C:$C,0))*1000+F4515</f>
        <v>11827027</v>
      </c>
      <c r="C4515" t="s">
        <v>5963</v>
      </c>
      <c r="D4515" t="s">
        <v>112</v>
      </c>
      <c r="E4515" t="s">
        <v>101</v>
      </c>
      <c r="F4515">
        <v>27</v>
      </c>
      <c r="G4515">
        <v>60</v>
      </c>
      <c r="H4515" t="s">
        <v>7524</v>
      </c>
      <c r="I4515" t="s">
        <v>75</v>
      </c>
      <c r="J4515" t="s">
        <v>201</v>
      </c>
      <c r="K4515">
        <v>1</v>
      </c>
      <c r="L4515" t="s">
        <v>7524</v>
      </c>
      <c r="M4515"/>
      <c r="N4515">
        <v>0</v>
      </c>
      <c r="O4515" t="b">
        <v>1</v>
      </c>
      <c r="P4515"/>
      <c r="Q4515" t="b">
        <v>0</v>
      </c>
      <c r="R4515">
        <v>1</v>
      </c>
      <c r="S4515" t="s">
        <v>77</v>
      </c>
      <c r="T4515">
        <v>999</v>
      </c>
      <c r="U4515" t="s">
        <v>7525</v>
      </c>
      <c r="V4515">
        <f t="shared" si="10"/>
        <v>31827027</v>
      </c>
      <c r="W4515"/>
      <c r="X4515" t="s">
        <v>5966</v>
      </c>
      <c r="Y4515" t="s">
        <v>215</v>
      </c>
      <c r="Z4515">
        <v>21958</v>
      </c>
      <c r="AA4515" t="s">
        <v>5967</v>
      </c>
      <c r="AB4515">
        <v>40001</v>
      </c>
      <c r="AC4515"/>
      <c r="AD4515"/>
      <c r="AE4515" t="s">
        <v>7524</v>
      </c>
      <c r="AF4515" t="s">
        <v>7524</v>
      </c>
      <c r="AG4515" t="s">
        <v>101</v>
      </c>
    </row>
    <row r="4516" spans="2:33">
      <c r="B4516" s="14">
        <f>10000000+INDEX(编号表!$B:$B,MATCH(H4516,编号表!$A:$A,0))*100000+INDEX(编号表!$F:$F,MATCH(D4516,编号表!$E:$E,0))*10000+INDEX(编号表!$D:$D,MATCH(AG4516,编号表!$C:$C,0))*1000+F4516</f>
        <v>11827028</v>
      </c>
      <c r="C4516" t="s">
        <v>5970</v>
      </c>
      <c r="D4516" t="s">
        <v>112</v>
      </c>
      <c r="E4516" t="s">
        <v>101</v>
      </c>
      <c r="F4516">
        <v>28</v>
      </c>
      <c r="G4516">
        <v>60</v>
      </c>
      <c r="H4516" t="s">
        <v>7524</v>
      </c>
      <c r="I4516" t="s">
        <v>75</v>
      </c>
      <c r="J4516" t="s">
        <v>201</v>
      </c>
      <c r="K4516">
        <v>1</v>
      </c>
      <c r="L4516" t="s">
        <v>7524</v>
      </c>
      <c r="M4516"/>
      <c r="N4516">
        <v>0</v>
      </c>
      <c r="O4516" t="b">
        <v>1</v>
      </c>
      <c r="P4516"/>
      <c r="Q4516" t="b">
        <v>0</v>
      </c>
      <c r="R4516">
        <v>1</v>
      </c>
      <c r="S4516" t="s">
        <v>77</v>
      </c>
      <c r="T4516">
        <v>999</v>
      </c>
      <c r="U4516" t="s">
        <v>7525</v>
      </c>
      <c r="V4516">
        <f t="shared" si="10"/>
        <v>31827028</v>
      </c>
      <c r="W4516"/>
      <c r="X4516" t="s">
        <v>5973</v>
      </c>
      <c r="Y4516" t="s">
        <v>215</v>
      </c>
      <c r="Z4516">
        <v>21961</v>
      </c>
      <c r="AA4516" t="s">
        <v>5974</v>
      </c>
      <c r="AB4516">
        <v>40001</v>
      </c>
      <c r="AC4516"/>
      <c r="AD4516"/>
      <c r="AE4516" t="s">
        <v>7524</v>
      </c>
      <c r="AF4516" t="s">
        <v>7524</v>
      </c>
      <c r="AG4516" t="s">
        <v>101</v>
      </c>
    </row>
    <row r="4517" spans="2:33">
      <c r="B4517" s="14">
        <f>10000000+INDEX(编号表!$B:$B,MATCH(H4517,编号表!$A:$A,0))*100000+INDEX(编号表!$F:$F,MATCH(D4517,编号表!$E:$E,0))*10000+INDEX(编号表!$D:$D,MATCH(AG4517,编号表!$C:$C,0))*1000+F4517</f>
        <v>11827029</v>
      </c>
      <c r="C4517" t="s">
        <v>5977</v>
      </c>
      <c r="D4517" t="s">
        <v>112</v>
      </c>
      <c r="E4517" t="s">
        <v>101</v>
      </c>
      <c r="F4517">
        <v>29</v>
      </c>
      <c r="G4517">
        <v>60</v>
      </c>
      <c r="H4517" t="s">
        <v>7524</v>
      </c>
      <c r="I4517" t="s">
        <v>75</v>
      </c>
      <c r="J4517" t="s">
        <v>201</v>
      </c>
      <c r="K4517">
        <v>1</v>
      </c>
      <c r="L4517" t="s">
        <v>7524</v>
      </c>
      <c r="M4517"/>
      <c r="N4517">
        <v>0</v>
      </c>
      <c r="O4517" t="b">
        <v>1</v>
      </c>
      <c r="P4517"/>
      <c r="Q4517" t="b">
        <v>0</v>
      </c>
      <c r="R4517">
        <v>1</v>
      </c>
      <c r="S4517" t="s">
        <v>77</v>
      </c>
      <c r="T4517">
        <v>999</v>
      </c>
      <c r="U4517" t="s">
        <v>7525</v>
      </c>
      <c r="V4517">
        <f t="shared" si="10"/>
        <v>31827029</v>
      </c>
      <c r="W4517"/>
      <c r="X4517" t="s">
        <v>5980</v>
      </c>
      <c r="Y4517" t="s">
        <v>215</v>
      </c>
      <c r="Z4517">
        <v>21964</v>
      </c>
      <c r="AA4517" t="s">
        <v>5981</v>
      </c>
      <c r="AB4517">
        <v>40001</v>
      </c>
      <c r="AC4517"/>
      <c r="AD4517"/>
      <c r="AE4517" t="s">
        <v>7524</v>
      </c>
      <c r="AF4517" t="s">
        <v>7524</v>
      </c>
      <c r="AG4517" t="s">
        <v>101</v>
      </c>
    </row>
    <row r="4518" spans="2:33">
      <c r="B4518" s="14">
        <f>10000000+INDEX(编号表!$B:$B,MATCH(H4518,编号表!$A:$A,0))*100000+INDEX(编号表!$F:$F,MATCH(D4518,编号表!$E:$E,0))*10000+INDEX(编号表!$D:$D,MATCH(AG4518,编号表!$C:$C,0))*1000+F4518</f>
        <v>11827030</v>
      </c>
      <c r="C4518" t="s">
        <v>5984</v>
      </c>
      <c r="D4518" t="s">
        <v>112</v>
      </c>
      <c r="E4518" t="s">
        <v>101</v>
      </c>
      <c r="F4518">
        <v>30</v>
      </c>
      <c r="G4518">
        <v>60</v>
      </c>
      <c r="H4518" t="s">
        <v>7524</v>
      </c>
      <c r="I4518" t="s">
        <v>75</v>
      </c>
      <c r="J4518" t="s">
        <v>201</v>
      </c>
      <c r="K4518">
        <v>1</v>
      </c>
      <c r="L4518" t="s">
        <v>7524</v>
      </c>
      <c r="M4518"/>
      <c r="N4518">
        <v>0</v>
      </c>
      <c r="O4518" t="b">
        <v>1</v>
      </c>
      <c r="P4518"/>
      <c r="Q4518" t="b">
        <v>0</v>
      </c>
      <c r="R4518">
        <v>1</v>
      </c>
      <c r="S4518" t="s">
        <v>77</v>
      </c>
      <c r="T4518">
        <v>999</v>
      </c>
      <c r="U4518" t="s">
        <v>7525</v>
      </c>
      <c r="V4518">
        <f t="shared" si="10"/>
        <v>31827030</v>
      </c>
      <c r="W4518"/>
      <c r="X4518" t="s">
        <v>5987</v>
      </c>
      <c r="Y4518" t="s">
        <v>215</v>
      </c>
      <c r="Z4518">
        <v>21967</v>
      </c>
      <c r="AA4518" t="s">
        <v>5988</v>
      </c>
      <c r="AB4518">
        <v>40001</v>
      </c>
      <c r="AC4518"/>
      <c r="AD4518"/>
      <c r="AE4518" t="s">
        <v>7524</v>
      </c>
      <c r="AF4518" t="s">
        <v>7524</v>
      </c>
      <c r="AG4518" t="s">
        <v>101</v>
      </c>
    </row>
    <row r="4519" spans="2:33">
      <c r="B4519" s="14">
        <f>10000000+INDEX(编号表!$B:$B,MATCH(H4519,编号表!$A:$A,0))*100000+INDEX(编号表!$F:$F,MATCH(D4519,编号表!$E:$E,0))*10000+INDEX(编号表!$D:$D,MATCH(AG4519,编号表!$C:$C,0))*1000+F4519</f>
        <v>11827031</v>
      </c>
      <c r="C4519" t="s">
        <v>5991</v>
      </c>
      <c r="D4519" t="s">
        <v>112</v>
      </c>
      <c r="E4519" t="s">
        <v>101</v>
      </c>
      <c r="F4519">
        <v>31</v>
      </c>
      <c r="G4519">
        <v>60</v>
      </c>
      <c r="H4519" t="s">
        <v>7524</v>
      </c>
      <c r="I4519" t="s">
        <v>75</v>
      </c>
      <c r="J4519" t="s">
        <v>201</v>
      </c>
      <c r="K4519">
        <v>1</v>
      </c>
      <c r="L4519" t="s">
        <v>7524</v>
      </c>
      <c r="M4519"/>
      <c r="N4519">
        <v>0</v>
      </c>
      <c r="O4519" t="b">
        <v>1</v>
      </c>
      <c r="P4519"/>
      <c r="Q4519" t="b">
        <v>0</v>
      </c>
      <c r="R4519">
        <v>1</v>
      </c>
      <c r="S4519" t="s">
        <v>77</v>
      </c>
      <c r="T4519">
        <v>999</v>
      </c>
      <c r="U4519" t="s">
        <v>7525</v>
      </c>
      <c r="V4519">
        <f t="shared" si="10"/>
        <v>31827031</v>
      </c>
      <c r="W4519"/>
      <c r="X4519" t="s">
        <v>5994</v>
      </c>
      <c r="Y4519" t="s">
        <v>215</v>
      </c>
      <c r="Z4519">
        <v>21970</v>
      </c>
      <c r="AA4519" t="s">
        <v>5995</v>
      </c>
      <c r="AB4519">
        <v>40001</v>
      </c>
      <c r="AC4519"/>
      <c r="AD4519"/>
      <c r="AE4519" t="s">
        <v>7524</v>
      </c>
      <c r="AF4519" t="s">
        <v>7524</v>
      </c>
      <c r="AG4519" t="s">
        <v>101</v>
      </c>
    </row>
    <row r="4520" spans="2:33">
      <c r="B4520" s="14">
        <f>10000000+INDEX(编号表!$B:$B,MATCH(H4520,编号表!$A:$A,0))*100000+INDEX(编号表!$F:$F,MATCH(D4520,编号表!$E:$E,0))*10000+INDEX(编号表!$D:$D,MATCH(AG4520,编号表!$C:$C,0))*1000+F4520</f>
        <v>11827032</v>
      </c>
      <c r="C4520" t="s">
        <v>5998</v>
      </c>
      <c r="D4520" t="s">
        <v>112</v>
      </c>
      <c r="E4520" t="s">
        <v>101</v>
      </c>
      <c r="F4520">
        <v>32</v>
      </c>
      <c r="G4520">
        <v>60</v>
      </c>
      <c r="H4520" t="s">
        <v>7524</v>
      </c>
      <c r="I4520" t="s">
        <v>75</v>
      </c>
      <c r="J4520" t="s">
        <v>201</v>
      </c>
      <c r="K4520">
        <v>1</v>
      </c>
      <c r="L4520" t="s">
        <v>7524</v>
      </c>
      <c r="M4520"/>
      <c r="N4520">
        <v>0</v>
      </c>
      <c r="O4520" t="b">
        <v>1</v>
      </c>
      <c r="P4520"/>
      <c r="Q4520" t="b">
        <v>0</v>
      </c>
      <c r="R4520">
        <v>1</v>
      </c>
      <c r="S4520" t="s">
        <v>77</v>
      </c>
      <c r="T4520">
        <v>999</v>
      </c>
      <c r="U4520" t="s">
        <v>7525</v>
      </c>
      <c r="V4520">
        <f t="shared" si="10"/>
        <v>31827032</v>
      </c>
      <c r="W4520"/>
      <c r="X4520" t="s">
        <v>6001</v>
      </c>
      <c r="Y4520" t="s">
        <v>215</v>
      </c>
      <c r="Z4520">
        <v>21973</v>
      </c>
      <c r="AA4520" t="s">
        <v>6002</v>
      </c>
      <c r="AB4520">
        <v>40001</v>
      </c>
      <c r="AC4520"/>
      <c r="AD4520"/>
      <c r="AE4520" t="s">
        <v>7524</v>
      </c>
      <c r="AF4520" t="s">
        <v>7524</v>
      </c>
      <c r="AG4520" t="s">
        <v>101</v>
      </c>
    </row>
    <row r="4521" spans="2:33">
      <c r="B4521" s="14">
        <f>10000000+INDEX(编号表!$B:$B,MATCH(H4521,编号表!$A:$A,0))*100000+INDEX(编号表!$F:$F,MATCH(D4521,编号表!$E:$E,0))*10000+INDEX(编号表!$D:$D,MATCH(AG4521,编号表!$C:$C,0))*1000+F4521</f>
        <v>11827033</v>
      </c>
      <c r="C4521" t="s">
        <v>6005</v>
      </c>
      <c r="D4521" t="s">
        <v>112</v>
      </c>
      <c r="E4521" t="s">
        <v>101</v>
      </c>
      <c r="F4521">
        <v>33</v>
      </c>
      <c r="G4521">
        <v>60</v>
      </c>
      <c r="H4521" t="s">
        <v>7524</v>
      </c>
      <c r="I4521" t="s">
        <v>75</v>
      </c>
      <c r="J4521" t="s">
        <v>201</v>
      </c>
      <c r="K4521">
        <v>1</v>
      </c>
      <c r="L4521" t="s">
        <v>7524</v>
      </c>
      <c r="M4521"/>
      <c r="N4521">
        <v>0</v>
      </c>
      <c r="O4521" t="b">
        <v>1</v>
      </c>
      <c r="P4521"/>
      <c r="Q4521" t="b">
        <v>0</v>
      </c>
      <c r="R4521">
        <v>1</v>
      </c>
      <c r="S4521" t="s">
        <v>77</v>
      </c>
      <c r="T4521">
        <v>999</v>
      </c>
      <c r="U4521" t="s">
        <v>7525</v>
      </c>
      <c r="V4521">
        <f t="shared" si="10"/>
        <v>31827033</v>
      </c>
      <c r="W4521"/>
      <c r="X4521" t="s">
        <v>6008</v>
      </c>
      <c r="Y4521" t="s">
        <v>215</v>
      </c>
      <c r="Z4521">
        <v>21976</v>
      </c>
      <c r="AA4521" t="s">
        <v>6009</v>
      </c>
      <c r="AB4521">
        <v>40001</v>
      </c>
      <c r="AC4521"/>
      <c r="AD4521"/>
      <c r="AE4521" t="s">
        <v>7524</v>
      </c>
      <c r="AF4521" t="s">
        <v>7524</v>
      </c>
      <c r="AG4521" t="s">
        <v>101</v>
      </c>
    </row>
    <row r="4522" spans="2:33">
      <c r="B4522" s="14">
        <f>10000000+INDEX(编号表!$B:$B,MATCH(H4522,编号表!$A:$A,0))*100000+INDEX(编号表!$F:$F,MATCH(D4522,编号表!$E:$E,0))*10000+INDEX(编号表!$D:$D,MATCH(AG4522,编号表!$C:$C,0))*1000+F4522</f>
        <v>11827034</v>
      </c>
      <c r="C4522" t="s">
        <v>6012</v>
      </c>
      <c r="D4522" t="s">
        <v>112</v>
      </c>
      <c r="E4522" t="s">
        <v>101</v>
      </c>
      <c r="F4522">
        <v>34</v>
      </c>
      <c r="G4522">
        <v>60</v>
      </c>
      <c r="H4522" t="s">
        <v>7524</v>
      </c>
      <c r="I4522" t="s">
        <v>75</v>
      </c>
      <c r="J4522" t="s">
        <v>201</v>
      </c>
      <c r="K4522">
        <v>1</v>
      </c>
      <c r="L4522" t="s">
        <v>7524</v>
      </c>
      <c r="M4522"/>
      <c r="N4522">
        <v>0</v>
      </c>
      <c r="O4522" t="b">
        <v>1</v>
      </c>
      <c r="P4522"/>
      <c r="Q4522" t="b">
        <v>0</v>
      </c>
      <c r="R4522">
        <v>1</v>
      </c>
      <c r="S4522" t="s">
        <v>77</v>
      </c>
      <c r="T4522">
        <v>999</v>
      </c>
      <c r="U4522" t="s">
        <v>7525</v>
      </c>
      <c r="V4522">
        <f t="shared" si="10"/>
        <v>31827034</v>
      </c>
      <c r="W4522"/>
      <c r="X4522" t="s">
        <v>6015</v>
      </c>
      <c r="Y4522" t="s">
        <v>215</v>
      </c>
      <c r="Z4522">
        <v>21979</v>
      </c>
      <c r="AA4522" t="s">
        <v>6016</v>
      </c>
      <c r="AB4522">
        <v>40001</v>
      </c>
      <c r="AC4522"/>
      <c r="AD4522"/>
      <c r="AE4522" t="s">
        <v>7524</v>
      </c>
      <c r="AF4522" t="s">
        <v>7524</v>
      </c>
      <c r="AG4522" t="s">
        <v>101</v>
      </c>
    </row>
    <row r="4523" spans="2:33">
      <c r="B4523" s="14">
        <f>10000000+INDEX(编号表!$B:$B,MATCH(H4523,编号表!$A:$A,0))*100000+INDEX(编号表!$F:$F,MATCH(D4523,编号表!$E:$E,0))*10000+INDEX(编号表!$D:$D,MATCH(AG4523,编号表!$C:$C,0))*1000+F4523</f>
        <v>11827035</v>
      </c>
      <c r="C4523" t="s">
        <v>6019</v>
      </c>
      <c r="D4523" t="s">
        <v>112</v>
      </c>
      <c r="E4523" t="s">
        <v>101</v>
      </c>
      <c r="F4523">
        <v>35</v>
      </c>
      <c r="G4523">
        <v>60</v>
      </c>
      <c r="H4523" t="s">
        <v>7524</v>
      </c>
      <c r="I4523" t="s">
        <v>75</v>
      </c>
      <c r="J4523" t="s">
        <v>201</v>
      </c>
      <c r="K4523">
        <v>1</v>
      </c>
      <c r="L4523" t="s">
        <v>7524</v>
      </c>
      <c r="M4523"/>
      <c r="N4523">
        <v>0</v>
      </c>
      <c r="O4523" t="b">
        <v>1</v>
      </c>
      <c r="P4523"/>
      <c r="Q4523" t="b">
        <v>0</v>
      </c>
      <c r="R4523">
        <v>1</v>
      </c>
      <c r="S4523" t="s">
        <v>77</v>
      </c>
      <c r="T4523">
        <v>999</v>
      </c>
      <c r="U4523" t="s">
        <v>7525</v>
      </c>
      <c r="V4523">
        <f t="shared" si="10"/>
        <v>31827035</v>
      </c>
      <c r="W4523"/>
      <c r="X4523" t="s">
        <v>6022</v>
      </c>
      <c r="Y4523" t="s">
        <v>215</v>
      </c>
      <c r="Z4523">
        <v>21982</v>
      </c>
      <c r="AA4523" t="s">
        <v>6023</v>
      </c>
      <c r="AB4523">
        <v>40001</v>
      </c>
      <c r="AC4523"/>
      <c r="AD4523"/>
      <c r="AE4523" t="s">
        <v>7524</v>
      </c>
      <c r="AF4523" t="s">
        <v>7524</v>
      </c>
      <c r="AG4523" t="s">
        <v>101</v>
      </c>
    </row>
    <row r="4524" spans="2:33">
      <c r="B4524" s="14">
        <f>10000000+INDEX(编号表!$B:$B,MATCH(H4524,编号表!$A:$A,0))*100000+INDEX(编号表!$F:$F,MATCH(D4524,编号表!$E:$E,0))*10000+INDEX(编号表!$D:$D,MATCH(AG4524,编号表!$C:$C,0))*1000+F4524</f>
        <v>11827036</v>
      </c>
      <c r="C4524" t="s">
        <v>6026</v>
      </c>
      <c r="D4524" t="s">
        <v>112</v>
      </c>
      <c r="E4524" t="s">
        <v>101</v>
      </c>
      <c r="F4524">
        <v>36</v>
      </c>
      <c r="G4524">
        <v>60</v>
      </c>
      <c r="H4524" t="s">
        <v>7524</v>
      </c>
      <c r="I4524" t="s">
        <v>75</v>
      </c>
      <c r="J4524" t="s">
        <v>201</v>
      </c>
      <c r="K4524">
        <v>1</v>
      </c>
      <c r="L4524" t="s">
        <v>7524</v>
      </c>
      <c r="M4524"/>
      <c r="N4524">
        <v>0</v>
      </c>
      <c r="O4524" t="b">
        <v>1</v>
      </c>
      <c r="P4524"/>
      <c r="Q4524" t="b">
        <v>0</v>
      </c>
      <c r="R4524">
        <v>1</v>
      </c>
      <c r="S4524" t="s">
        <v>77</v>
      </c>
      <c r="T4524">
        <v>999</v>
      </c>
      <c r="U4524" t="s">
        <v>7525</v>
      </c>
      <c r="V4524">
        <f t="shared" si="10"/>
        <v>31827036</v>
      </c>
      <c r="W4524"/>
      <c r="X4524" t="s">
        <v>6029</v>
      </c>
      <c r="Y4524" t="s">
        <v>215</v>
      </c>
      <c r="Z4524">
        <v>21985</v>
      </c>
      <c r="AA4524" t="s">
        <v>6030</v>
      </c>
      <c r="AB4524">
        <v>40001</v>
      </c>
      <c r="AC4524"/>
      <c r="AD4524"/>
      <c r="AE4524" t="s">
        <v>7524</v>
      </c>
      <c r="AF4524" t="s">
        <v>7524</v>
      </c>
      <c r="AG4524" t="s">
        <v>101</v>
      </c>
    </row>
    <row r="4525" spans="2:33">
      <c r="B4525" s="14">
        <f>10000000+INDEX(编号表!$B:$B,MATCH(H4525,编号表!$A:$A,0))*100000+INDEX(编号表!$F:$F,MATCH(D4525,编号表!$E:$E,0))*10000+INDEX(编号表!$D:$D,MATCH(AG4525,编号表!$C:$C,0))*1000+F4525</f>
        <v>11827037</v>
      </c>
      <c r="C4525" t="s">
        <v>6033</v>
      </c>
      <c r="D4525" t="s">
        <v>112</v>
      </c>
      <c r="E4525" t="s">
        <v>101</v>
      </c>
      <c r="F4525">
        <v>37</v>
      </c>
      <c r="G4525">
        <v>60</v>
      </c>
      <c r="H4525" t="s">
        <v>7524</v>
      </c>
      <c r="I4525" t="s">
        <v>75</v>
      </c>
      <c r="J4525" t="s">
        <v>201</v>
      </c>
      <c r="K4525">
        <v>1</v>
      </c>
      <c r="L4525" t="s">
        <v>7524</v>
      </c>
      <c r="M4525"/>
      <c r="N4525">
        <v>0</v>
      </c>
      <c r="O4525" t="b">
        <v>1</v>
      </c>
      <c r="P4525"/>
      <c r="Q4525" t="b">
        <v>0</v>
      </c>
      <c r="R4525">
        <v>1</v>
      </c>
      <c r="S4525" t="s">
        <v>77</v>
      </c>
      <c r="T4525">
        <v>999</v>
      </c>
      <c r="U4525" t="s">
        <v>7525</v>
      </c>
      <c r="V4525">
        <f t="shared" si="10"/>
        <v>31827037</v>
      </c>
      <c r="W4525"/>
      <c r="X4525" t="s">
        <v>6036</v>
      </c>
      <c r="Y4525" t="s">
        <v>215</v>
      </c>
      <c r="Z4525">
        <v>21988</v>
      </c>
      <c r="AA4525" t="s">
        <v>6037</v>
      </c>
      <c r="AB4525">
        <v>40001</v>
      </c>
      <c r="AC4525"/>
      <c r="AD4525"/>
      <c r="AE4525" t="s">
        <v>7524</v>
      </c>
      <c r="AF4525" t="s">
        <v>7524</v>
      </c>
      <c r="AG4525" t="s">
        <v>101</v>
      </c>
    </row>
    <row r="4526" spans="2:33">
      <c r="B4526" s="14">
        <f>10000000+INDEX(编号表!$B:$B,MATCH(H4526,编号表!$A:$A,0))*100000+INDEX(编号表!$F:$F,MATCH(D4526,编号表!$E:$E,0))*10000+INDEX(编号表!$D:$D,MATCH(AG4526,编号表!$C:$C,0))*1000+F4526</f>
        <v>11827038</v>
      </c>
      <c r="C4526" t="s">
        <v>6040</v>
      </c>
      <c r="D4526" t="s">
        <v>112</v>
      </c>
      <c r="E4526" t="s">
        <v>101</v>
      </c>
      <c r="F4526">
        <v>38</v>
      </c>
      <c r="G4526">
        <v>60</v>
      </c>
      <c r="H4526" t="s">
        <v>7524</v>
      </c>
      <c r="I4526" t="s">
        <v>75</v>
      </c>
      <c r="J4526" t="s">
        <v>201</v>
      </c>
      <c r="K4526">
        <v>1</v>
      </c>
      <c r="L4526" t="s">
        <v>7524</v>
      </c>
      <c r="M4526"/>
      <c r="N4526">
        <v>0</v>
      </c>
      <c r="O4526" t="b">
        <v>1</v>
      </c>
      <c r="P4526"/>
      <c r="Q4526" t="b">
        <v>0</v>
      </c>
      <c r="R4526">
        <v>1</v>
      </c>
      <c r="S4526" t="s">
        <v>77</v>
      </c>
      <c r="T4526">
        <v>999</v>
      </c>
      <c r="U4526" t="s">
        <v>7525</v>
      </c>
      <c r="V4526">
        <f t="shared" si="10"/>
        <v>31827038</v>
      </c>
      <c r="W4526"/>
      <c r="X4526" t="s">
        <v>6043</v>
      </c>
      <c r="Y4526" t="s">
        <v>215</v>
      </c>
      <c r="Z4526">
        <v>21991</v>
      </c>
      <c r="AA4526" t="s">
        <v>6044</v>
      </c>
      <c r="AB4526">
        <v>40001</v>
      </c>
      <c r="AC4526"/>
      <c r="AD4526"/>
      <c r="AE4526" t="s">
        <v>7524</v>
      </c>
      <c r="AF4526" t="s">
        <v>7524</v>
      </c>
      <c r="AG4526" t="s">
        <v>101</v>
      </c>
    </row>
    <row r="4527" spans="2:33">
      <c r="B4527" s="14">
        <f>10000000+INDEX(编号表!$B:$B,MATCH(H4527,编号表!$A:$A,0))*100000+INDEX(编号表!$F:$F,MATCH(D4527,编号表!$E:$E,0))*10000+INDEX(编号表!$D:$D,MATCH(AG4527,编号表!$C:$C,0))*1000+F4527</f>
        <v>11827039</v>
      </c>
      <c r="C4527" t="s">
        <v>6047</v>
      </c>
      <c r="D4527" t="s">
        <v>112</v>
      </c>
      <c r="E4527" t="s">
        <v>101</v>
      </c>
      <c r="F4527">
        <v>39</v>
      </c>
      <c r="G4527">
        <v>60</v>
      </c>
      <c r="H4527" t="s">
        <v>7524</v>
      </c>
      <c r="I4527" t="s">
        <v>75</v>
      </c>
      <c r="J4527" t="s">
        <v>201</v>
      </c>
      <c r="K4527">
        <v>1</v>
      </c>
      <c r="L4527" t="s">
        <v>7524</v>
      </c>
      <c r="M4527"/>
      <c r="N4527">
        <v>0</v>
      </c>
      <c r="O4527" t="b">
        <v>1</v>
      </c>
      <c r="P4527"/>
      <c r="Q4527" t="b">
        <v>0</v>
      </c>
      <c r="R4527">
        <v>1</v>
      </c>
      <c r="S4527" t="s">
        <v>77</v>
      </c>
      <c r="T4527">
        <v>999</v>
      </c>
      <c r="U4527" t="s">
        <v>7525</v>
      </c>
      <c r="V4527">
        <f t="shared" si="10"/>
        <v>31827039</v>
      </c>
      <c r="W4527"/>
      <c r="X4527" t="s">
        <v>6050</v>
      </c>
      <c r="Y4527" t="s">
        <v>215</v>
      </c>
      <c r="Z4527">
        <v>21994</v>
      </c>
      <c r="AA4527" t="s">
        <v>6051</v>
      </c>
      <c r="AB4527">
        <v>40001</v>
      </c>
      <c r="AC4527"/>
      <c r="AD4527"/>
      <c r="AE4527" t="s">
        <v>7524</v>
      </c>
      <c r="AF4527" t="s">
        <v>7524</v>
      </c>
      <c r="AG4527" t="s">
        <v>101</v>
      </c>
    </row>
    <row r="4528" spans="2:33">
      <c r="B4528" s="14">
        <f>10000000+INDEX(编号表!$B:$B,MATCH(H4528,编号表!$A:$A,0))*100000+INDEX(编号表!$F:$F,MATCH(D4528,编号表!$E:$E,0))*10000+INDEX(编号表!$D:$D,MATCH(AG4528,编号表!$C:$C,0))*1000+F4528</f>
        <v>11827040</v>
      </c>
      <c r="C4528" t="s">
        <v>6054</v>
      </c>
      <c r="D4528" t="s">
        <v>112</v>
      </c>
      <c r="E4528" t="s">
        <v>101</v>
      </c>
      <c r="F4528">
        <v>40</v>
      </c>
      <c r="G4528">
        <v>60</v>
      </c>
      <c r="H4528" t="s">
        <v>7524</v>
      </c>
      <c r="I4528" t="s">
        <v>75</v>
      </c>
      <c r="J4528" t="s">
        <v>201</v>
      </c>
      <c r="K4528">
        <v>1</v>
      </c>
      <c r="L4528" t="s">
        <v>7524</v>
      </c>
      <c r="M4528"/>
      <c r="N4528">
        <v>0</v>
      </c>
      <c r="O4528" t="b">
        <v>1</v>
      </c>
      <c r="P4528"/>
      <c r="Q4528" t="b">
        <v>0</v>
      </c>
      <c r="R4528">
        <v>1</v>
      </c>
      <c r="S4528" t="s">
        <v>77</v>
      </c>
      <c r="T4528">
        <v>999</v>
      </c>
      <c r="U4528" t="s">
        <v>7525</v>
      </c>
      <c r="V4528">
        <f t="shared" si="10"/>
        <v>31827040</v>
      </c>
      <c r="W4528"/>
      <c r="X4528" t="s">
        <v>6057</v>
      </c>
      <c r="Y4528" t="s">
        <v>215</v>
      </c>
      <c r="Z4528">
        <v>21997</v>
      </c>
      <c r="AA4528" t="s">
        <v>6058</v>
      </c>
      <c r="AB4528">
        <v>40001</v>
      </c>
      <c r="AC4528"/>
      <c r="AD4528"/>
      <c r="AE4528" t="s">
        <v>7524</v>
      </c>
      <c r="AF4528" t="s">
        <v>7524</v>
      </c>
      <c r="AG4528" t="s">
        <v>101</v>
      </c>
    </row>
    <row r="4529" spans="2:33">
      <c r="B4529" s="14">
        <f>10000000+INDEX(编号表!$B:$B,MATCH(H4529,编号表!$A:$A,0))*100000+INDEX(编号表!$F:$F,MATCH(D4529,编号表!$E:$E,0))*10000+INDEX(编号表!$D:$D,MATCH(AG4529,编号表!$C:$C,0))*1000+F4529</f>
        <v>11827041</v>
      </c>
      <c r="C4529" t="s">
        <v>6061</v>
      </c>
      <c r="D4529" t="s">
        <v>112</v>
      </c>
      <c r="E4529" t="s">
        <v>101</v>
      </c>
      <c r="F4529">
        <v>41</v>
      </c>
      <c r="G4529">
        <v>60</v>
      </c>
      <c r="H4529" t="s">
        <v>7524</v>
      </c>
      <c r="I4529" t="s">
        <v>75</v>
      </c>
      <c r="J4529" t="s">
        <v>201</v>
      </c>
      <c r="K4529">
        <v>1</v>
      </c>
      <c r="L4529" t="s">
        <v>7524</v>
      </c>
      <c r="M4529"/>
      <c r="N4529">
        <v>0</v>
      </c>
      <c r="O4529" t="b">
        <v>1</v>
      </c>
      <c r="P4529"/>
      <c r="Q4529" t="b">
        <v>0</v>
      </c>
      <c r="R4529">
        <v>1</v>
      </c>
      <c r="S4529" t="s">
        <v>77</v>
      </c>
      <c r="T4529">
        <v>999</v>
      </c>
      <c r="U4529" t="s">
        <v>7525</v>
      </c>
      <c r="V4529">
        <f t="shared" si="10"/>
        <v>31827041</v>
      </c>
      <c r="W4529"/>
      <c r="X4529" t="s">
        <v>6064</v>
      </c>
      <c r="Y4529" t="s">
        <v>215</v>
      </c>
      <c r="Z4529">
        <v>22000</v>
      </c>
      <c r="AA4529" t="s">
        <v>6065</v>
      </c>
      <c r="AB4529">
        <v>40001</v>
      </c>
      <c r="AC4529"/>
      <c r="AD4529"/>
      <c r="AE4529" t="s">
        <v>7524</v>
      </c>
      <c r="AF4529" t="s">
        <v>7524</v>
      </c>
      <c r="AG4529" t="s">
        <v>101</v>
      </c>
    </row>
    <row r="4530" spans="2:33">
      <c r="B4530" s="14">
        <f>10000000+INDEX(编号表!$B:$B,MATCH(H4530,编号表!$A:$A,0))*100000+INDEX(编号表!$F:$F,MATCH(D4530,编号表!$E:$E,0))*10000+INDEX(编号表!$D:$D,MATCH(AG4530,编号表!$C:$C,0))*1000+F4530</f>
        <v>11827042</v>
      </c>
      <c r="C4530" t="s">
        <v>6068</v>
      </c>
      <c r="D4530" t="s">
        <v>112</v>
      </c>
      <c r="E4530" t="s">
        <v>101</v>
      </c>
      <c r="F4530">
        <v>42</v>
      </c>
      <c r="G4530">
        <v>60</v>
      </c>
      <c r="H4530" t="s">
        <v>7524</v>
      </c>
      <c r="I4530" t="s">
        <v>75</v>
      </c>
      <c r="J4530" t="s">
        <v>201</v>
      </c>
      <c r="K4530">
        <v>1</v>
      </c>
      <c r="L4530" t="s">
        <v>7524</v>
      </c>
      <c r="M4530"/>
      <c r="N4530">
        <v>0</v>
      </c>
      <c r="O4530" t="b">
        <v>1</v>
      </c>
      <c r="P4530"/>
      <c r="Q4530" t="b">
        <v>0</v>
      </c>
      <c r="R4530">
        <v>1</v>
      </c>
      <c r="S4530" t="s">
        <v>77</v>
      </c>
      <c r="T4530">
        <v>999</v>
      </c>
      <c r="U4530" t="s">
        <v>7525</v>
      </c>
      <c r="V4530">
        <f t="shared" si="10"/>
        <v>31827042</v>
      </c>
      <c r="W4530"/>
      <c r="X4530" t="s">
        <v>6071</v>
      </c>
      <c r="Y4530" t="s">
        <v>215</v>
      </c>
      <c r="Z4530">
        <v>22003</v>
      </c>
      <c r="AA4530" t="s">
        <v>6072</v>
      </c>
      <c r="AB4530">
        <v>40001</v>
      </c>
      <c r="AC4530"/>
      <c r="AD4530"/>
      <c r="AE4530" t="s">
        <v>7524</v>
      </c>
      <c r="AF4530" t="s">
        <v>7524</v>
      </c>
      <c r="AG4530" t="s">
        <v>101</v>
      </c>
    </row>
    <row r="4531" spans="2:33">
      <c r="B4531" s="14">
        <f>10000000+INDEX(编号表!$B:$B,MATCH(H4531,编号表!$A:$A,0))*100000+INDEX(编号表!$F:$F,MATCH(D4531,编号表!$E:$E,0))*10000+INDEX(编号表!$D:$D,MATCH(AG4531,编号表!$C:$C,0))*1000+F4531</f>
        <v>11827043</v>
      </c>
      <c r="C4531" t="s">
        <v>6075</v>
      </c>
      <c r="D4531" t="s">
        <v>112</v>
      </c>
      <c r="E4531" t="s">
        <v>101</v>
      </c>
      <c r="F4531">
        <v>43</v>
      </c>
      <c r="G4531">
        <v>60</v>
      </c>
      <c r="H4531" t="s">
        <v>7524</v>
      </c>
      <c r="I4531" t="s">
        <v>75</v>
      </c>
      <c r="J4531" t="s">
        <v>201</v>
      </c>
      <c r="K4531">
        <v>1</v>
      </c>
      <c r="L4531" t="s">
        <v>7524</v>
      </c>
      <c r="M4531"/>
      <c r="N4531">
        <v>0</v>
      </c>
      <c r="O4531" t="b">
        <v>1</v>
      </c>
      <c r="P4531"/>
      <c r="Q4531" t="b">
        <v>0</v>
      </c>
      <c r="R4531">
        <v>1</v>
      </c>
      <c r="S4531" t="s">
        <v>77</v>
      </c>
      <c r="T4531">
        <v>999</v>
      </c>
      <c r="U4531" t="s">
        <v>7525</v>
      </c>
      <c r="V4531">
        <f t="shared" si="10"/>
        <v>31827043</v>
      </c>
      <c r="W4531"/>
      <c r="X4531" t="s">
        <v>6078</v>
      </c>
      <c r="Y4531" t="s">
        <v>215</v>
      </c>
      <c r="Z4531">
        <v>22006</v>
      </c>
      <c r="AA4531" t="s">
        <v>6079</v>
      </c>
      <c r="AB4531">
        <v>40001</v>
      </c>
      <c r="AC4531"/>
      <c r="AD4531"/>
      <c r="AE4531" t="s">
        <v>7524</v>
      </c>
      <c r="AF4531" t="s">
        <v>7524</v>
      </c>
      <c r="AG4531" t="s">
        <v>101</v>
      </c>
    </row>
    <row r="4532" spans="2:33">
      <c r="B4532" s="14">
        <f>10000000+INDEX(编号表!$B:$B,MATCH(H4532,编号表!$A:$A,0))*100000+INDEX(编号表!$F:$F,MATCH(D4532,编号表!$E:$E,0))*10000+INDEX(编号表!$D:$D,MATCH(AG4532,编号表!$C:$C,0))*1000+F4532</f>
        <v>11827044</v>
      </c>
      <c r="C4532" t="s">
        <v>6082</v>
      </c>
      <c r="D4532" t="s">
        <v>112</v>
      </c>
      <c r="E4532" t="s">
        <v>101</v>
      </c>
      <c r="F4532">
        <v>44</v>
      </c>
      <c r="G4532">
        <v>60</v>
      </c>
      <c r="H4532" t="s">
        <v>7524</v>
      </c>
      <c r="I4532" t="s">
        <v>75</v>
      </c>
      <c r="J4532" t="s">
        <v>201</v>
      </c>
      <c r="K4532">
        <v>1</v>
      </c>
      <c r="L4532" t="s">
        <v>7524</v>
      </c>
      <c r="M4532"/>
      <c r="N4532">
        <v>0</v>
      </c>
      <c r="O4532" t="b">
        <v>1</v>
      </c>
      <c r="P4532"/>
      <c r="Q4532" t="b">
        <v>0</v>
      </c>
      <c r="R4532">
        <v>1</v>
      </c>
      <c r="S4532" t="s">
        <v>77</v>
      </c>
      <c r="T4532">
        <v>999</v>
      </c>
      <c r="U4532" t="s">
        <v>7525</v>
      </c>
      <c r="V4532">
        <f t="shared" si="10"/>
        <v>31827044</v>
      </c>
      <c r="W4532"/>
      <c r="X4532" t="s">
        <v>6085</v>
      </c>
      <c r="Y4532" t="s">
        <v>215</v>
      </c>
      <c r="Z4532">
        <v>22009</v>
      </c>
      <c r="AA4532" t="s">
        <v>6086</v>
      </c>
      <c r="AB4532">
        <v>40001</v>
      </c>
      <c r="AC4532"/>
      <c r="AD4532"/>
      <c r="AE4532" t="s">
        <v>7524</v>
      </c>
      <c r="AF4532" t="s">
        <v>7524</v>
      </c>
      <c r="AG4532" t="s">
        <v>101</v>
      </c>
    </row>
    <row r="4533" spans="2:33">
      <c r="B4533" s="14">
        <f>10000000+INDEX(编号表!$B:$B,MATCH(H4533,编号表!$A:$A,0))*100000+INDEX(编号表!$F:$F,MATCH(D4533,编号表!$E:$E,0))*10000+INDEX(编号表!$D:$D,MATCH(AG4533,编号表!$C:$C,0))*1000+F4533</f>
        <v>11827045</v>
      </c>
      <c r="C4533" t="s">
        <v>6089</v>
      </c>
      <c r="D4533" t="s">
        <v>112</v>
      </c>
      <c r="E4533" t="s">
        <v>101</v>
      </c>
      <c r="F4533">
        <v>45</v>
      </c>
      <c r="G4533">
        <v>60</v>
      </c>
      <c r="H4533" t="s">
        <v>7524</v>
      </c>
      <c r="I4533" t="s">
        <v>75</v>
      </c>
      <c r="J4533" t="s">
        <v>201</v>
      </c>
      <c r="K4533">
        <v>1</v>
      </c>
      <c r="L4533" t="s">
        <v>7524</v>
      </c>
      <c r="M4533"/>
      <c r="N4533">
        <v>0</v>
      </c>
      <c r="O4533" t="b">
        <v>1</v>
      </c>
      <c r="P4533"/>
      <c r="Q4533" t="b">
        <v>0</v>
      </c>
      <c r="R4533">
        <v>1</v>
      </c>
      <c r="S4533" t="s">
        <v>77</v>
      </c>
      <c r="T4533">
        <v>999</v>
      </c>
      <c r="U4533" t="s">
        <v>7525</v>
      </c>
      <c r="V4533">
        <f t="shared" si="10"/>
        <v>31827045</v>
      </c>
      <c r="W4533"/>
      <c r="X4533" t="s">
        <v>6092</v>
      </c>
      <c r="Y4533" t="s">
        <v>215</v>
      </c>
      <c r="Z4533">
        <v>22012</v>
      </c>
      <c r="AA4533" t="s">
        <v>6093</v>
      </c>
      <c r="AB4533">
        <v>40001</v>
      </c>
      <c r="AC4533"/>
      <c r="AD4533"/>
      <c r="AE4533" t="s">
        <v>7524</v>
      </c>
      <c r="AF4533" t="s">
        <v>7524</v>
      </c>
      <c r="AG4533" t="s">
        <v>101</v>
      </c>
    </row>
    <row r="4534" spans="2:33">
      <c r="B4534" s="14">
        <f>10000000+INDEX(编号表!$B:$B,MATCH(H4534,编号表!$A:$A,0))*100000+INDEX(编号表!$F:$F,MATCH(D4534,编号表!$E:$E,0))*10000+INDEX(编号表!$D:$D,MATCH(AG4534,编号表!$C:$C,0))*1000+F4534</f>
        <v>11827046</v>
      </c>
      <c r="C4534" t="s">
        <v>6096</v>
      </c>
      <c r="D4534" t="s">
        <v>112</v>
      </c>
      <c r="E4534" t="s">
        <v>101</v>
      </c>
      <c r="F4534">
        <v>46</v>
      </c>
      <c r="G4534">
        <v>60</v>
      </c>
      <c r="H4534" t="s">
        <v>7524</v>
      </c>
      <c r="I4534" t="s">
        <v>75</v>
      </c>
      <c r="J4534" t="s">
        <v>201</v>
      </c>
      <c r="K4534">
        <v>1</v>
      </c>
      <c r="L4534" t="s">
        <v>7524</v>
      </c>
      <c r="M4534"/>
      <c r="N4534">
        <v>0</v>
      </c>
      <c r="O4534" t="b">
        <v>1</v>
      </c>
      <c r="P4534"/>
      <c r="Q4534" t="b">
        <v>0</v>
      </c>
      <c r="R4534">
        <v>1</v>
      </c>
      <c r="S4534" t="s">
        <v>77</v>
      </c>
      <c r="T4534">
        <v>999</v>
      </c>
      <c r="U4534" t="s">
        <v>7525</v>
      </c>
      <c r="V4534">
        <f t="shared" si="10"/>
        <v>31827046</v>
      </c>
      <c r="W4534"/>
      <c r="X4534" t="s">
        <v>6099</v>
      </c>
      <c r="Y4534" t="s">
        <v>215</v>
      </c>
      <c r="Z4534">
        <v>22015</v>
      </c>
      <c r="AA4534" t="s">
        <v>6100</v>
      </c>
      <c r="AB4534">
        <v>40001</v>
      </c>
      <c r="AC4534"/>
      <c r="AD4534"/>
      <c r="AE4534" t="s">
        <v>7524</v>
      </c>
      <c r="AF4534" t="s">
        <v>7524</v>
      </c>
      <c r="AG4534" t="s">
        <v>101</v>
      </c>
    </row>
    <row r="4535" spans="2:33">
      <c r="B4535" s="14">
        <f>10000000+INDEX(编号表!$B:$B,MATCH(H4535,编号表!$A:$A,0))*100000+INDEX(编号表!$F:$F,MATCH(D4535,编号表!$E:$E,0))*10000+INDEX(编号表!$D:$D,MATCH(AG4535,编号表!$C:$C,0))*1000+F4535</f>
        <v>11827047</v>
      </c>
      <c r="C4535" t="s">
        <v>6103</v>
      </c>
      <c r="D4535" t="s">
        <v>112</v>
      </c>
      <c r="E4535" t="s">
        <v>101</v>
      </c>
      <c r="F4535">
        <v>47</v>
      </c>
      <c r="G4535">
        <v>60</v>
      </c>
      <c r="H4535" t="s">
        <v>7524</v>
      </c>
      <c r="I4535" t="s">
        <v>75</v>
      </c>
      <c r="J4535" t="s">
        <v>201</v>
      </c>
      <c r="K4535">
        <v>1</v>
      </c>
      <c r="L4535" t="s">
        <v>7524</v>
      </c>
      <c r="M4535"/>
      <c r="N4535">
        <v>0</v>
      </c>
      <c r="O4535" t="b">
        <v>1</v>
      </c>
      <c r="P4535"/>
      <c r="Q4535" t="b">
        <v>0</v>
      </c>
      <c r="R4535">
        <v>1</v>
      </c>
      <c r="S4535" t="s">
        <v>77</v>
      </c>
      <c r="T4535">
        <v>999</v>
      </c>
      <c r="U4535" t="s">
        <v>7525</v>
      </c>
      <c r="V4535">
        <f t="shared" si="10"/>
        <v>31827047</v>
      </c>
      <c r="W4535"/>
      <c r="X4535" t="s">
        <v>6106</v>
      </c>
      <c r="Y4535" t="s">
        <v>215</v>
      </c>
      <c r="Z4535">
        <v>22018</v>
      </c>
      <c r="AA4535" t="s">
        <v>6107</v>
      </c>
      <c r="AB4535">
        <v>40001</v>
      </c>
      <c r="AC4535"/>
      <c r="AD4535"/>
      <c r="AE4535" t="s">
        <v>7524</v>
      </c>
      <c r="AF4535" t="s">
        <v>7524</v>
      </c>
      <c r="AG4535" t="s">
        <v>101</v>
      </c>
    </row>
    <row r="4536" spans="2:33">
      <c r="B4536" s="14">
        <f>10000000+INDEX(编号表!$B:$B,MATCH(H4536,编号表!$A:$A,0))*100000+INDEX(编号表!$F:$F,MATCH(D4536,编号表!$E:$E,0))*10000+INDEX(编号表!$D:$D,MATCH(AG4536,编号表!$C:$C,0))*1000+F4536</f>
        <v>11827048</v>
      </c>
      <c r="C4536" t="s">
        <v>6110</v>
      </c>
      <c r="D4536" t="s">
        <v>112</v>
      </c>
      <c r="E4536" t="s">
        <v>101</v>
      </c>
      <c r="F4536">
        <v>48</v>
      </c>
      <c r="G4536">
        <v>60</v>
      </c>
      <c r="H4536" t="s">
        <v>7524</v>
      </c>
      <c r="I4536" t="s">
        <v>75</v>
      </c>
      <c r="J4536" t="s">
        <v>201</v>
      </c>
      <c r="K4536">
        <v>1</v>
      </c>
      <c r="L4536" t="s">
        <v>7524</v>
      </c>
      <c r="M4536"/>
      <c r="N4536">
        <v>0</v>
      </c>
      <c r="O4536" t="b">
        <v>1</v>
      </c>
      <c r="P4536"/>
      <c r="Q4536" t="b">
        <v>0</v>
      </c>
      <c r="R4536">
        <v>1</v>
      </c>
      <c r="S4536" t="s">
        <v>77</v>
      </c>
      <c r="T4536">
        <v>999</v>
      </c>
      <c r="U4536" t="s">
        <v>7525</v>
      </c>
      <c r="V4536">
        <f t="shared" si="10"/>
        <v>31827048</v>
      </c>
      <c r="W4536"/>
      <c r="X4536" t="s">
        <v>6113</v>
      </c>
      <c r="Y4536" t="s">
        <v>215</v>
      </c>
      <c r="Z4536">
        <v>22021</v>
      </c>
      <c r="AA4536" t="s">
        <v>6114</v>
      </c>
      <c r="AB4536">
        <v>40001</v>
      </c>
      <c r="AC4536"/>
      <c r="AD4536"/>
      <c r="AE4536" t="s">
        <v>7524</v>
      </c>
      <c r="AF4536" t="s">
        <v>7524</v>
      </c>
      <c r="AG4536" t="s">
        <v>101</v>
      </c>
    </row>
    <row r="4537" spans="2:33">
      <c r="B4537" s="14">
        <f>10000000+INDEX(编号表!$B:$B,MATCH(H4537,编号表!$A:$A,0))*100000+INDEX(编号表!$F:$F,MATCH(D4537,编号表!$E:$E,0))*10000+INDEX(编号表!$D:$D,MATCH(AG4537,编号表!$C:$C,0))*1000+F4537</f>
        <v>11827049</v>
      </c>
      <c r="C4537" t="s">
        <v>6117</v>
      </c>
      <c r="D4537" t="s">
        <v>112</v>
      </c>
      <c r="E4537" t="s">
        <v>101</v>
      </c>
      <c r="F4537">
        <v>49</v>
      </c>
      <c r="G4537">
        <v>60</v>
      </c>
      <c r="H4537" t="s">
        <v>7524</v>
      </c>
      <c r="I4537" t="s">
        <v>75</v>
      </c>
      <c r="J4537" t="s">
        <v>201</v>
      </c>
      <c r="K4537">
        <v>1</v>
      </c>
      <c r="L4537" t="s">
        <v>7524</v>
      </c>
      <c r="M4537"/>
      <c r="N4537">
        <v>0</v>
      </c>
      <c r="O4537" t="b">
        <v>1</v>
      </c>
      <c r="P4537"/>
      <c r="Q4537" t="b">
        <v>0</v>
      </c>
      <c r="R4537">
        <v>1</v>
      </c>
      <c r="S4537" t="s">
        <v>77</v>
      </c>
      <c r="T4537">
        <v>999</v>
      </c>
      <c r="U4537" t="s">
        <v>7525</v>
      </c>
      <c r="V4537">
        <f t="shared" si="10"/>
        <v>31827049</v>
      </c>
      <c r="W4537"/>
      <c r="X4537" t="s">
        <v>6120</v>
      </c>
      <c r="Y4537" t="s">
        <v>215</v>
      </c>
      <c r="Z4537">
        <v>22024</v>
      </c>
      <c r="AA4537" t="s">
        <v>6121</v>
      </c>
      <c r="AB4537">
        <v>40001</v>
      </c>
      <c r="AC4537"/>
      <c r="AD4537"/>
      <c r="AE4537" t="s">
        <v>7524</v>
      </c>
      <c r="AF4537" t="s">
        <v>7524</v>
      </c>
      <c r="AG4537" t="s">
        <v>101</v>
      </c>
    </row>
    <row r="4538" spans="2:33">
      <c r="B4538" s="14">
        <f>10000000+INDEX(编号表!$B:$B,MATCH(H4538,编号表!$A:$A,0))*100000+INDEX(编号表!$F:$F,MATCH(D4538,编号表!$E:$E,0))*10000+INDEX(编号表!$D:$D,MATCH(AG4538,编号表!$C:$C,0))*1000+F4538</f>
        <v>11827050</v>
      </c>
      <c r="C4538" t="s">
        <v>6124</v>
      </c>
      <c r="D4538" t="s">
        <v>112</v>
      </c>
      <c r="E4538" t="s">
        <v>101</v>
      </c>
      <c r="F4538">
        <v>50</v>
      </c>
      <c r="G4538">
        <v>60</v>
      </c>
      <c r="H4538" t="s">
        <v>7524</v>
      </c>
      <c r="I4538" t="s">
        <v>75</v>
      </c>
      <c r="J4538" t="s">
        <v>201</v>
      </c>
      <c r="K4538">
        <v>1</v>
      </c>
      <c r="L4538" t="s">
        <v>7524</v>
      </c>
      <c r="M4538"/>
      <c r="N4538">
        <v>0</v>
      </c>
      <c r="O4538" t="b">
        <v>1</v>
      </c>
      <c r="P4538"/>
      <c r="Q4538" t="b">
        <v>0</v>
      </c>
      <c r="R4538">
        <v>1</v>
      </c>
      <c r="S4538" t="s">
        <v>77</v>
      </c>
      <c r="T4538">
        <v>999</v>
      </c>
      <c r="U4538" t="s">
        <v>7525</v>
      </c>
      <c r="V4538">
        <f t="shared" si="10"/>
        <v>31827050</v>
      </c>
      <c r="W4538"/>
      <c r="X4538" t="s">
        <v>6127</v>
      </c>
      <c r="Y4538" t="s">
        <v>215</v>
      </c>
      <c r="Z4538">
        <v>22027</v>
      </c>
      <c r="AA4538" t="s">
        <v>6128</v>
      </c>
      <c r="AB4538">
        <v>40001</v>
      </c>
      <c r="AC4538"/>
      <c r="AD4538"/>
      <c r="AE4538" t="s">
        <v>7524</v>
      </c>
      <c r="AF4538" t="s">
        <v>7524</v>
      </c>
      <c r="AG4538" t="s">
        <v>101</v>
      </c>
    </row>
    <row r="4539" spans="2:33">
      <c r="B4539" s="14">
        <f>10000000+INDEX(编号表!$B:$B,MATCH(H4539,编号表!$A:$A,0))*100000+INDEX(编号表!$F:$F,MATCH(D4539,编号表!$E:$E,0))*10000+INDEX(编号表!$D:$D,MATCH(AG4539,编号表!$C:$C,0))*1000+F4539</f>
        <v>11827051</v>
      </c>
      <c r="C4539" t="s">
        <v>6131</v>
      </c>
      <c r="D4539" t="s">
        <v>112</v>
      </c>
      <c r="E4539" t="s">
        <v>101</v>
      </c>
      <c r="F4539">
        <v>51</v>
      </c>
      <c r="G4539">
        <v>60</v>
      </c>
      <c r="H4539" t="s">
        <v>7524</v>
      </c>
      <c r="I4539" t="s">
        <v>75</v>
      </c>
      <c r="J4539" t="s">
        <v>201</v>
      </c>
      <c r="K4539">
        <v>1</v>
      </c>
      <c r="L4539" t="s">
        <v>7524</v>
      </c>
      <c r="M4539"/>
      <c r="N4539">
        <v>0</v>
      </c>
      <c r="O4539" t="b">
        <v>1</v>
      </c>
      <c r="P4539"/>
      <c r="Q4539" t="b">
        <v>0</v>
      </c>
      <c r="R4539">
        <v>1</v>
      </c>
      <c r="S4539" t="s">
        <v>77</v>
      </c>
      <c r="T4539">
        <v>999</v>
      </c>
      <c r="U4539" t="s">
        <v>7525</v>
      </c>
      <c r="V4539">
        <f t="shared" si="10"/>
        <v>31827051</v>
      </c>
      <c r="W4539"/>
      <c r="X4539" t="s">
        <v>6134</v>
      </c>
      <c r="Y4539" t="s">
        <v>215</v>
      </c>
      <c r="Z4539">
        <v>22030</v>
      </c>
      <c r="AA4539" t="s">
        <v>6135</v>
      </c>
      <c r="AB4539">
        <v>40001</v>
      </c>
      <c r="AC4539"/>
      <c r="AD4539"/>
      <c r="AE4539" t="s">
        <v>7524</v>
      </c>
      <c r="AF4539" t="s">
        <v>7524</v>
      </c>
      <c r="AG4539" t="s">
        <v>101</v>
      </c>
    </row>
    <row r="4540" spans="2:33">
      <c r="B4540" s="14">
        <f>10000000+INDEX(编号表!$B:$B,MATCH(H4540,编号表!$A:$A,0))*100000+INDEX(编号表!$F:$F,MATCH(D4540,编号表!$E:$E,0))*10000+INDEX(编号表!$D:$D,MATCH(AG4540,编号表!$C:$C,0))*1000+F4540</f>
        <v>11827052</v>
      </c>
      <c r="C4540" t="s">
        <v>6138</v>
      </c>
      <c r="D4540" t="s">
        <v>112</v>
      </c>
      <c r="E4540" t="s">
        <v>101</v>
      </c>
      <c r="F4540">
        <v>52</v>
      </c>
      <c r="G4540">
        <v>60</v>
      </c>
      <c r="H4540" t="s">
        <v>7524</v>
      </c>
      <c r="I4540" t="s">
        <v>75</v>
      </c>
      <c r="J4540" t="s">
        <v>201</v>
      </c>
      <c r="K4540">
        <v>1</v>
      </c>
      <c r="L4540" t="s">
        <v>7524</v>
      </c>
      <c r="M4540"/>
      <c r="N4540">
        <v>0</v>
      </c>
      <c r="O4540" t="b">
        <v>1</v>
      </c>
      <c r="P4540"/>
      <c r="Q4540" t="b">
        <v>0</v>
      </c>
      <c r="R4540">
        <v>1</v>
      </c>
      <c r="S4540" t="s">
        <v>77</v>
      </c>
      <c r="T4540">
        <v>999</v>
      </c>
      <c r="U4540" t="s">
        <v>7525</v>
      </c>
      <c r="V4540">
        <f t="shared" si="10"/>
        <v>31827052</v>
      </c>
      <c r="W4540"/>
      <c r="X4540" t="s">
        <v>6141</v>
      </c>
      <c r="Y4540" t="s">
        <v>215</v>
      </c>
      <c r="Z4540">
        <v>22033</v>
      </c>
      <c r="AA4540" t="s">
        <v>6142</v>
      </c>
      <c r="AB4540">
        <v>40001</v>
      </c>
      <c r="AC4540"/>
      <c r="AD4540"/>
      <c r="AE4540" t="s">
        <v>7524</v>
      </c>
      <c r="AF4540" t="s">
        <v>7524</v>
      </c>
      <c r="AG4540" t="s">
        <v>101</v>
      </c>
    </row>
    <row r="4541" spans="2:33">
      <c r="B4541" s="14">
        <f>10000000+INDEX(编号表!$B:$B,MATCH(H4541,编号表!$A:$A,0))*100000+INDEX(编号表!$F:$F,MATCH(D4541,编号表!$E:$E,0))*10000+INDEX(编号表!$D:$D,MATCH(AG4541,编号表!$C:$C,0))*1000+F4541</f>
        <v>11827053</v>
      </c>
      <c r="C4541" t="s">
        <v>6145</v>
      </c>
      <c r="D4541" t="s">
        <v>112</v>
      </c>
      <c r="E4541" t="s">
        <v>101</v>
      </c>
      <c r="F4541">
        <v>53</v>
      </c>
      <c r="G4541">
        <v>60</v>
      </c>
      <c r="H4541" t="s">
        <v>7524</v>
      </c>
      <c r="I4541" t="s">
        <v>75</v>
      </c>
      <c r="J4541" t="s">
        <v>201</v>
      </c>
      <c r="K4541">
        <v>1</v>
      </c>
      <c r="L4541" t="s">
        <v>7524</v>
      </c>
      <c r="M4541"/>
      <c r="N4541">
        <v>0</v>
      </c>
      <c r="O4541" t="b">
        <v>1</v>
      </c>
      <c r="P4541"/>
      <c r="Q4541" t="b">
        <v>0</v>
      </c>
      <c r="R4541">
        <v>1</v>
      </c>
      <c r="S4541" t="s">
        <v>77</v>
      </c>
      <c r="T4541">
        <v>999</v>
      </c>
      <c r="U4541" t="s">
        <v>7525</v>
      </c>
      <c r="V4541">
        <f t="shared" si="10"/>
        <v>31827053</v>
      </c>
      <c r="W4541"/>
      <c r="X4541" t="s">
        <v>6148</v>
      </c>
      <c r="Y4541" t="s">
        <v>215</v>
      </c>
      <c r="Z4541">
        <v>22036</v>
      </c>
      <c r="AA4541" t="s">
        <v>6149</v>
      </c>
      <c r="AB4541">
        <v>40001</v>
      </c>
      <c r="AC4541"/>
      <c r="AD4541"/>
      <c r="AE4541" t="s">
        <v>7524</v>
      </c>
      <c r="AF4541" t="s">
        <v>7524</v>
      </c>
      <c r="AG4541" t="s">
        <v>101</v>
      </c>
    </row>
    <row r="4542" spans="2:33">
      <c r="B4542" s="14">
        <f>10000000+INDEX(编号表!$B:$B,MATCH(H4542,编号表!$A:$A,0))*100000+INDEX(编号表!$F:$F,MATCH(D4542,编号表!$E:$E,0))*10000+INDEX(编号表!$D:$D,MATCH(AG4542,编号表!$C:$C,0))*1000+F4542</f>
        <v>11827054</v>
      </c>
      <c r="C4542" t="s">
        <v>6152</v>
      </c>
      <c r="D4542" t="s">
        <v>112</v>
      </c>
      <c r="E4542" t="s">
        <v>101</v>
      </c>
      <c r="F4542">
        <v>54</v>
      </c>
      <c r="G4542">
        <v>60</v>
      </c>
      <c r="H4542" t="s">
        <v>7524</v>
      </c>
      <c r="I4542" t="s">
        <v>75</v>
      </c>
      <c r="J4542" t="s">
        <v>201</v>
      </c>
      <c r="K4542">
        <v>1</v>
      </c>
      <c r="L4542" t="s">
        <v>7524</v>
      </c>
      <c r="M4542"/>
      <c r="N4542">
        <v>0</v>
      </c>
      <c r="O4542" t="b">
        <v>1</v>
      </c>
      <c r="P4542"/>
      <c r="Q4542" t="b">
        <v>0</v>
      </c>
      <c r="R4542">
        <v>1</v>
      </c>
      <c r="S4542" t="s">
        <v>77</v>
      </c>
      <c r="T4542">
        <v>999</v>
      </c>
      <c r="U4542" t="s">
        <v>7525</v>
      </c>
      <c r="V4542">
        <f t="shared" si="10"/>
        <v>31827054</v>
      </c>
      <c r="W4542"/>
      <c r="X4542" t="s">
        <v>6155</v>
      </c>
      <c r="Y4542" t="s">
        <v>215</v>
      </c>
      <c r="Z4542">
        <v>22039</v>
      </c>
      <c r="AA4542" t="s">
        <v>6156</v>
      </c>
      <c r="AB4542">
        <v>40001</v>
      </c>
      <c r="AC4542"/>
      <c r="AD4542"/>
      <c r="AE4542" t="s">
        <v>7524</v>
      </c>
      <c r="AF4542" t="s">
        <v>7524</v>
      </c>
      <c r="AG4542" t="s">
        <v>101</v>
      </c>
    </row>
    <row r="4543" spans="2:33">
      <c r="B4543" s="14">
        <f>10000000+INDEX(编号表!$B:$B,MATCH(H4543,编号表!$A:$A,0))*100000+INDEX(编号表!$F:$F,MATCH(D4543,编号表!$E:$E,0))*10000+INDEX(编号表!$D:$D,MATCH(AG4543,编号表!$C:$C,0))*1000+F4543</f>
        <v>11827055</v>
      </c>
      <c r="C4543" t="s">
        <v>6159</v>
      </c>
      <c r="D4543" t="s">
        <v>112</v>
      </c>
      <c r="E4543" t="s">
        <v>101</v>
      </c>
      <c r="F4543">
        <v>55</v>
      </c>
      <c r="G4543">
        <v>60</v>
      </c>
      <c r="H4543" t="s">
        <v>7524</v>
      </c>
      <c r="I4543" t="s">
        <v>75</v>
      </c>
      <c r="J4543" t="s">
        <v>201</v>
      </c>
      <c r="K4543">
        <v>1</v>
      </c>
      <c r="L4543" t="s">
        <v>7524</v>
      </c>
      <c r="M4543"/>
      <c r="N4543">
        <v>0</v>
      </c>
      <c r="O4543" t="b">
        <v>1</v>
      </c>
      <c r="P4543"/>
      <c r="Q4543" t="b">
        <v>0</v>
      </c>
      <c r="R4543">
        <v>1</v>
      </c>
      <c r="S4543" t="s">
        <v>77</v>
      </c>
      <c r="T4543">
        <v>999</v>
      </c>
      <c r="U4543" t="s">
        <v>7525</v>
      </c>
      <c r="V4543">
        <f t="shared" si="10"/>
        <v>31827055</v>
      </c>
      <c r="W4543"/>
      <c r="X4543" t="s">
        <v>6162</v>
      </c>
      <c r="Y4543" t="s">
        <v>215</v>
      </c>
      <c r="Z4543">
        <v>22042</v>
      </c>
      <c r="AA4543" t="s">
        <v>6163</v>
      </c>
      <c r="AB4543">
        <v>40001</v>
      </c>
      <c r="AC4543"/>
      <c r="AD4543"/>
      <c r="AE4543" t="s">
        <v>7524</v>
      </c>
      <c r="AF4543" t="s">
        <v>7524</v>
      </c>
      <c r="AG4543" t="s">
        <v>101</v>
      </c>
    </row>
    <row r="4544" spans="2:33">
      <c r="B4544" s="14">
        <f>10000000+INDEX(编号表!$B:$B,MATCH(H4544,编号表!$A:$A,0))*100000+INDEX(编号表!$F:$F,MATCH(D4544,编号表!$E:$E,0))*10000+INDEX(编号表!$D:$D,MATCH(AG4544,编号表!$C:$C,0))*1000+F4544</f>
        <v>11827056</v>
      </c>
      <c r="C4544" t="s">
        <v>6166</v>
      </c>
      <c r="D4544" t="s">
        <v>112</v>
      </c>
      <c r="E4544" t="s">
        <v>101</v>
      </c>
      <c r="F4544">
        <v>56</v>
      </c>
      <c r="G4544">
        <v>60</v>
      </c>
      <c r="H4544" t="s">
        <v>7524</v>
      </c>
      <c r="I4544" t="s">
        <v>75</v>
      </c>
      <c r="J4544" t="s">
        <v>201</v>
      </c>
      <c r="K4544">
        <v>1</v>
      </c>
      <c r="L4544" t="s">
        <v>7524</v>
      </c>
      <c r="M4544"/>
      <c r="N4544">
        <v>0</v>
      </c>
      <c r="O4544" t="b">
        <v>1</v>
      </c>
      <c r="P4544"/>
      <c r="Q4544" t="b">
        <v>0</v>
      </c>
      <c r="R4544">
        <v>1</v>
      </c>
      <c r="S4544" t="s">
        <v>77</v>
      </c>
      <c r="T4544">
        <v>999</v>
      </c>
      <c r="U4544" t="s">
        <v>7525</v>
      </c>
      <c r="V4544">
        <f t="shared" si="10"/>
        <v>31827056</v>
      </c>
      <c r="W4544"/>
      <c r="X4544" t="s">
        <v>6169</v>
      </c>
      <c r="Y4544" t="s">
        <v>215</v>
      </c>
      <c r="Z4544">
        <v>22045</v>
      </c>
      <c r="AA4544" t="s">
        <v>6170</v>
      </c>
      <c r="AB4544">
        <v>40001</v>
      </c>
      <c r="AC4544"/>
      <c r="AD4544"/>
      <c r="AE4544" t="s">
        <v>7524</v>
      </c>
      <c r="AF4544" t="s">
        <v>7524</v>
      </c>
      <c r="AG4544" t="s">
        <v>101</v>
      </c>
    </row>
    <row r="4545" spans="2:33">
      <c r="B4545" s="14">
        <f>10000000+INDEX(编号表!$B:$B,MATCH(H4545,编号表!$A:$A,0))*100000+INDEX(编号表!$F:$F,MATCH(D4545,编号表!$E:$E,0))*10000+INDEX(编号表!$D:$D,MATCH(AG4545,编号表!$C:$C,0))*1000+F4545</f>
        <v>11827057</v>
      </c>
      <c r="C4545" t="s">
        <v>6173</v>
      </c>
      <c r="D4545" t="s">
        <v>112</v>
      </c>
      <c r="E4545" t="s">
        <v>101</v>
      </c>
      <c r="F4545">
        <v>57</v>
      </c>
      <c r="G4545">
        <v>60</v>
      </c>
      <c r="H4545" t="s">
        <v>7524</v>
      </c>
      <c r="I4545" t="s">
        <v>75</v>
      </c>
      <c r="J4545" t="s">
        <v>201</v>
      </c>
      <c r="K4545">
        <v>1</v>
      </c>
      <c r="L4545" t="s">
        <v>7524</v>
      </c>
      <c r="M4545"/>
      <c r="N4545">
        <v>0</v>
      </c>
      <c r="O4545" t="b">
        <v>1</v>
      </c>
      <c r="P4545"/>
      <c r="Q4545" t="b">
        <v>0</v>
      </c>
      <c r="R4545">
        <v>1</v>
      </c>
      <c r="S4545" t="s">
        <v>77</v>
      </c>
      <c r="T4545">
        <v>999</v>
      </c>
      <c r="U4545" t="s">
        <v>7525</v>
      </c>
      <c r="V4545">
        <f t="shared" si="10"/>
        <v>31827057</v>
      </c>
      <c r="W4545"/>
      <c r="X4545" t="s">
        <v>6176</v>
      </c>
      <c r="Y4545" t="s">
        <v>215</v>
      </c>
      <c r="Z4545">
        <v>22048</v>
      </c>
      <c r="AA4545" t="s">
        <v>6177</v>
      </c>
      <c r="AB4545">
        <v>40001</v>
      </c>
      <c r="AC4545"/>
      <c r="AD4545"/>
      <c r="AE4545" t="s">
        <v>7524</v>
      </c>
      <c r="AF4545" t="s">
        <v>7524</v>
      </c>
      <c r="AG4545" t="s">
        <v>101</v>
      </c>
    </row>
    <row r="4546" spans="2:33">
      <c r="B4546" s="14">
        <f>10000000+INDEX(编号表!$B:$B,MATCH(H4546,编号表!$A:$A,0))*100000+INDEX(编号表!$F:$F,MATCH(D4546,编号表!$E:$E,0))*10000+INDEX(编号表!$D:$D,MATCH(AG4546,编号表!$C:$C,0))*1000+F4546</f>
        <v>11827058</v>
      </c>
      <c r="C4546" t="s">
        <v>6180</v>
      </c>
      <c r="D4546" t="s">
        <v>112</v>
      </c>
      <c r="E4546" t="s">
        <v>101</v>
      </c>
      <c r="F4546">
        <v>58</v>
      </c>
      <c r="G4546">
        <v>60</v>
      </c>
      <c r="H4546" t="s">
        <v>7524</v>
      </c>
      <c r="I4546" t="s">
        <v>75</v>
      </c>
      <c r="J4546" t="s">
        <v>201</v>
      </c>
      <c r="K4546">
        <v>1</v>
      </c>
      <c r="L4546" t="s">
        <v>7524</v>
      </c>
      <c r="M4546"/>
      <c r="N4546">
        <v>0</v>
      </c>
      <c r="O4546" t="b">
        <v>1</v>
      </c>
      <c r="P4546"/>
      <c r="Q4546" t="b">
        <v>0</v>
      </c>
      <c r="R4546">
        <v>1</v>
      </c>
      <c r="S4546" t="s">
        <v>77</v>
      </c>
      <c r="T4546">
        <v>999</v>
      </c>
      <c r="U4546" t="s">
        <v>7525</v>
      </c>
      <c r="V4546">
        <f t="shared" si="10"/>
        <v>31827058</v>
      </c>
      <c r="W4546"/>
      <c r="X4546" t="s">
        <v>6183</v>
      </c>
      <c r="Y4546" t="s">
        <v>215</v>
      </c>
      <c r="Z4546">
        <v>22051</v>
      </c>
      <c r="AA4546" t="s">
        <v>6184</v>
      </c>
      <c r="AB4546">
        <v>40001</v>
      </c>
      <c r="AC4546"/>
      <c r="AD4546"/>
      <c r="AE4546" t="s">
        <v>7524</v>
      </c>
      <c r="AF4546" t="s">
        <v>7524</v>
      </c>
      <c r="AG4546" t="s">
        <v>101</v>
      </c>
    </row>
    <row r="4547" spans="2:33">
      <c r="B4547" s="14">
        <f>10000000+INDEX(编号表!$B:$B,MATCH(H4547,编号表!$A:$A,0))*100000+INDEX(编号表!$F:$F,MATCH(D4547,编号表!$E:$E,0))*10000+INDEX(编号表!$D:$D,MATCH(AG4547,编号表!$C:$C,0))*1000+F4547</f>
        <v>11827059</v>
      </c>
      <c r="C4547" t="s">
        <v>6187</v>
      </c>
      <c r="D4547" t="s">
        <v>112</v>
      </c>
      <c r="E4547" t="s">
        <v>101</v>
      </c>
      <c r="F4547">
        <v>59</v>
      </c>
      <c r="G4547">
        <v>60</v>
      </c>
      <c r="H4547" t="s">
        <v>7524</v>
      </c>
      <c r="I4547" t="s">
        <v>75</v>
      </c>
      <c r="J4547" t="s">
        <v>201</v>
      </c>
      <c r="K4547">
        <v>1</v>
      </c>
      <c r="L4547" t="s">
        <v>7524</v>
      </c>
      <c r="M4547"/>
      <c r="N4547">
        <v>0</v>
      </c>
      <c r="O4547" t="b">
        <v>1</v>
      </c>
      <c r="P4547"/>
      <c r="Q4547" t="b">
        <v>0</v>
      </c>
      <c r="R4547">
        <v>1</v>
      </c>
      <c r="S4547" t="s">
        <v>77</v>
      </c>
      <c r="T4547">
        <v>999</v>
      </c>
      <c r="U4547" t="s">
        <v>7525</v>
      </c>
      <c r="V4547">
        <f t="shared" si="10"/>
        <v>31827059</v>
      </c>
      <c r="W4547"/>
      <c r="X4547" t="s">
        <v>6190</v>
      </c>
      <c r="Y4547" t="s">
        <v>215</v>
      </c>
      <c r="Z4547">
        <v>22054</v>
      </c>
      <c r="AA4547" t="s">
        <v>6191</v>
      </c>
      <c r="AB4547">
        <v>40001</v>
      </c>
      <c r="AC4547"/>
      <c r="AD4547"/>
      <c r="AE4547" t="s">
        <v>7524</v>
      </c>
      <c r="AF4547" t="s">
        <v>7524</v>
      </c>
      <c r="AG4547" t="s">
        <v>101</v>
      </c>
    </row>
    <row r="4548" spans="2:33">
      <c r="B4548" s="14">
        <f>10000000+INDEX(编号表!$B:$B,MATCH(H4548,编号表!$A:$A,0))*100000+INDEX(编号表!$F:$F,MATCH(D4548,编号表!$E:$E,0))*10000+INDEX(编号表!$D:$D,MATCH(AG4548,编号表!$C:$C,0))*1000+F4548</f>
        <v>11827060</v>
      </c>
      <c r="C4548" t="s">
        <v>6194</v>
      </c>
      <c r="D4548" t="s">
        <v>112</v>
      </c>
      <c r="E4548" t="s">
        <v>101</v>
      </c>
      <c r="F4548">
        <v>60</v>
      </c>
      <c r="G4548">
        <v>60</v>
      </c>
      <c r="H4548" t="s">
        <v>7524</v>
      </c>
      <c r="I4548" t="s">
        <v>75</v>
      </c>
      <c r="J4548" t="s">
        <v>201</v>
      </c>
      <c r="K4548">
        <v>1</v>
      </c>
      <c r="L4548" t="s">
        <v>7524</v>
      </c>
      <c r="M4548"/>
      <c r="N4548">
        <v>0</v>
      </c>
      <c r="O4548" t="b">
        <v>1</v>
      </c>
      <c r="P4548"/>
      <c r="Q4548" t="b">
        <v>0</v>
      </c>
      <c r="R4548">
        <v>1</v>
      </c>
      <c r="S4548" t="s">
        <v>77</v>
      </c>
      <c r="T4548">
        <v>999</v>
      </c>
      <c r="U4548" t="s">
        <v>7525</v>
      </c>
      <c r="V4548">
        <f t="shared" si="10"/>
        <v>31827060</v>
      </c>
      <c r="W4548"/>
      <c r="X4548" t="s">
        <v>6197</v>
      </c>
      <c r="Y4548" t="s">
        <v>215</v>
      </c>
      <c r="Z4548">
        <v>22057</v>
      </c>
      <c r="AA4548" t="s">
        <v>6198</v>
      </c>
      <c r="AB4548">
        <v>40001</v>
      </c>
      <c r="AC4548"/>
      <c r="AD4548"/>
      <c r="AE4548" t="s">
        <v>7524</v>
      </c>
      <c r="AF4548" t="s">
        <v>7524</v>
      </c>
      <c r="AG4548" t="s">
        <v>101</v>
      </c>
    </row>
    <row r="4549" spans="2:33">
      <c r="B4549" s="14">
        <f>10000000+INDEX(编号表!$B:$B,MATCH(H4549,编号表!$A:$A,0))*100000+INDEX(编号表!$F:$F,MATCH(D4549,编号表!$E:$E,0))*10000+INDEX(编号表!$D:$D,MATCH(AG4549,编号表!$C:$C,0))*1000+F4549</f>
        <v>11827061</v>
      </c>
      <c r="C4549" t="s">
        <v>6201</v>
      </c>
      <c r="D4549" t="s">
        <v>112</v>
      </c>
      <c r="E4549" t="s">
        <v>101</v>
      </c>
      <c r="F4549">
        <v>61</v>
      </c>
      <c r="G4549">
        <v>60</v>
      </c>
      <c r="H4549" t="s">
        <v>7524</v>
      </c>
      <c r="I4549" t="s">
        <v>75</v>
      </c>
      <c r="J4549" t="s">
        <v>201</v>
      </c>
      <c r="K4549">
        <v>1</v>
      </c>
      <c r="L4549" t="s">
        <v>7524</v>
      </c>
      <c r="M4549"/>
      <c r="N4549">
        <v>0</v>
      </c>
      <c r="O4549" t="b">
        <v>1</v>
      </c>
      <c r="P4549"/>
      <c r="Q4549" t="b">
        <v>0</v>
      </c>
      <c r="R4549">
        <v>1</v>
      </c>
      <c r="S4549" t="s">
        <v>77</v>
      </c>
      <c r="T4549">
        <v>999</v>
      </c>
      <c r="U4549" t="s">
        <v>7525</v>
      </c>
      <c r="V4549">
        <f t="shared" si="10"/>
        <v>31827061</v>
      </c>
      <c r="W4549"/>
      <c r="X4549" t="s">
        <v>6204</v>
      </c>
      <c r="Y4549" t="s">
        <v>215</v>
      </c>
      <c r="Z4549">
        <v>22060</v>
      </c>
      <c r="AA4549" t="s">
        <v>6205</v>
      </c>
      <c r="AB4549">
        <v>40001</v>
      </c>
      <c r="AC4549"/>
      <c r="AD4549"/>
      <c r="AE4549" t="s">
        <v>7524</v>
      </c>
      <c r="AF4549" t="s">
        <v>7524</v>
      </c>
      <c r="AG4549" t="s">
        <v>101</v>
      </c>
    </row>
    <row r="4550" spans="2:33">
      <c r="B4550" s="14">
        <f>10000000+INDEX(编号表!$B:$B,MATCH(H4550,编号表!$A:$A,0))*100000+INDEX(编号表!$F:$F,MATCH(D4550,编号表!$E:$E,0))*10000+INDEX(编号表!$D:$D,MATCH(AG4550,编号表!$C:$C,0))*1000+F4550</f>
        <v>11827062</v>
      </c>
      <c r="C4550" t="s">
        <v>6208</v>
      </c>
      <c r="D4550" t="s">
        <v>112</v>
      </c>
      <c r="E4550" t="s">
        <v>101</v>
      </c>
      <c r="F4550">
        <v>62</v>
      </c>
      <c r="G4550">
        <v>60</v>
      </c>
      <c r="H4550" t="s">
        <v>7524</v>
      </c>
      <c r="I4550" t="s">
        <v>75</v>
      </c>
      <c r="J4550" t="s">
        <v>201</v>
      </c>
      <c r="K4550">
        <v>1</v>
      </c>
      <c r="L4550" t="s">
        <v>7524</v>
      </c>
      <c r="M4550"/>
      <c r="N4550">
        <v>0</v>
      </c>
      <c r="O4550" t="b">
        <v>1</v>
      </c>
      <c r="P4550"/>
      <c r="Q4550" t="b">
        <v>0</v>
      </c>
      <c r="R4550">
        <v>1</v>
      </c>
      <c r="S4550" t="s">
        <v>77</v>
      </c>
      <c r="T4550">
        <v>999</v>
      </c>
      <c r="U4550" t="s">
        <v>7525</v>
      </c>
      <c r="V4550">
        <f t="shared" si="10"/>
        <v>31827062</v>
      </c>
      <c r="W4550"/>
      <c r="X4550" t="s">
        <v>6211</v>
      </c>
      <c r="Y4550" t="s">
        <v>215</v>
      </c>
      <c r="Z4550">
        <v>22063</v>
      </c>
      <c r="AA4550" t="s">
        <v>6212</v>
      </c>
      <c r="AB4550">
        <v>40001</v>
      </c>
      <c r="AC4550"/>
      <c r="AD4550"/>
      <c r="AE4550" t="s">
        <v>7524</v>
      </c>
      <c r="AF4550" t="s">
        <v>7524</v>
      </c>
      <c r="AG4550" t="s">
        <v>101</v>
      </c>
    </row>
    <row r="4551" spans="2:33">
      <c r="B4551" s="14">
        <f>10000000+INDEX(编号表!$B:$B,MATCH(H4551,编号表!$A:$A,0))*100000+INDEX(编号表!$F:$F,MATCH(D4551,编号表!$E:$E,0))*10000+INDEX(编号表!$D:$D,MATCH(AG4551,编号表!$C:$C,0))*1000+F4551</f>
        <v>11827063</v>
      </c>
      <c r="C4551" t="s">
        <v>6215</v>
      </c>
      <c r="D4551" t="s">
        <v>112</v>
      </c>
      <c r="E4551" t="s">
        <v>101</v>
      </c>
      <c r="F4551">
        <v>63</v>
      </c>
      <c r="G4551">
        <v>60</v>
      </c>
      <c r="H4551" t="s">
        <v>7524</v>
      </c>
      <c r="I4551" t="s">
        <v>75</v>
      </c>
      <c r="J4551" t="s">
        <v>201</v>
      </c>
      <c r="K4551">
        <v>1</v>
      </c>
      <c r="L4551" t="s">
        <v>7524</v>
      </c>
      <c r="M4551"/>
      <c r="N4551">
        <v>0</v>
      </c>
      <c r="O4551" t="b">
        <v>1</v>
      </c>
      <c r="P4551"/>
      <c r="Q4551" t="b">
        <v>0</v>
      </c>
      <c r="R4551">
        <v>1</v>
      </c>
      <c r="S4551" t="s">
        <v>77</v>
      </c>
      <c r="T4551">
        <v>999</v>
      </c>
      <c r="U4551" t="s">
        <v>7525</v>
      </c>
      <c r="V4551">
        <f t="shared" si="10"/>
        <v>31827063</v>
      </c>
      <c r="W4551"/>
      <c r="X4551" t="s">
        <v>6218</v>
      </c>
      <c r="Y4551" t="s">
        <v>215</v>
      </c>
      <c r="Z4551">
        <v>22066</v>
      </c>
      <c r="AA4551" t="s">
        <v>6219</v>
      </c>
      <c r="AB4551">
        <v>40001</v>
      </c>
      <c r="AC4551"/>
      <c r="AD4551"/>
      <c r="AE4551" t="s">
        <v>7524</v>
      </c>
      <c r="AF4551" t="s">
        <v>7524</v>
      </c>
      <c r="AG4551" t="s">
        <v>101</v>
      </c>
    </row>
    <row r="4552" spans="2:33">
      <c r="B4552" s="14">
        <f>10000000+INDEX(编号表!$B:$B,MATCH(H4552,编号表!$A:$A,0))*100000+INDEX(编号表!$F:$F,MATCH(D4552,编号表!$E:$E,0))*10000+INDEX(编号表!$D:$D,MATCH(AG4552,编号表!$C:$C,0))*1000+F4552</f>
        <v>11827064</v>
      </c>
      <c r="C4552" t="s">
        <v>6222</v>
      </c>
      <c r="D4552" t="s">
        <v>112</v>
      </c>
      <c r="E4552" t="s">
        <v>101</v>
      </c>
      <c r="F4552">
        <v>64</v>
      </c>
      <c r="G4552">
        <v>60</v>
      </c>
      <c r="H4552" t="s">
        <v>7524</v>
      </c>
      <c r="I4552" t="s">
        <v>75</v>
      </c>
      <c r="J4552" t="s">
        <v>201</v>
      </c>
      <c r="K4552">
        <v>1</v>
      </c>
      <c r="L4552" t="s">
        <v>7524</v>
      </c>
      <c r="M4552"/>
      <c r="N4552">
        <v>0</v>
      </c>
      <c r="O4552" t="b">
        <v>1</v>
      </c>
      <c r="P4552"/>
      <c r="Q4552" t="b">
        <v>0</v>
      </c>
      <c r="R4552">
        <v>1</v>
      </c>
      <c r="S4552" t="s">
        <v>77</v>
      </c>
      <c r="T4552">
        <v>999</v>
      </c>
      <c r="U4552" t="s">
        <v>7525</v>
      </c>
      <c r="V4552">
        <f t="shared" si="10"/>
        <v>31827064</v>
      </c>
      <c r="W4552"/>
      <c r="X4552" t="s">
        <v>6225</v>
      </c>
      <c r="Y4552" t="s">
        <v>215</v>
      </c>
      <c r="Z4552">
        <v>22069</v>
      </c>
      <c r="AA4552" t="s">
        <v>6226</v>
      </c>
      <c r="AB4552">
        <v>40001</v>
      </c>
      <c r="AC4552"/>
      <c r="AD4552"/>
      <c r="AE4552" t="s">
        <v>7524</v>
      </c>
      <c r="AF4552" t="s">
        <v>7524</v>
      </c>
      <c r="AG4552" t="s">
        <v>101</v>
      </c>
    </row>
    <row r="4553" spans="2:33">
      <c r="B4553" s="14">
        <f>10000000+INDEX(编号表!$B:$B,MATCH(H4553,编号表!$A:$A,0))*100000+INDEX(编号表!$F:$F,MATCH(D4553,编号表!$E:$E,0))*10000+INDEX(编号表!$D:$D,MATCH(AG4553,编号表!$C:$C,0))*1000+F4553</f>
        <v>11827065</v>
      </c>
      <c r="C4553" t="s">
        <v>6229</v>
      </c>
      <c r="D4553" t="s">
        <v>112</v>
      </c>
      <c r="E4553" t="s">
        <v>101</v>
      </c>
      <c r="F4553">
        <v>65</v>
      </c>
      <c r="G4553">
        <v>60</v>
      </c>
      <c r="H4553" t="s">
        <v>7524</v>
      </c>
      <c r="I4553" t="s">
        <v>75</v>
      </c>
      <c r="J4553" t="s">
        <v>201</v>
      </c>
      <c r="K4553">
        <v>1</v>
      </c>
      <c r="L4553" t="s">
        <v>7524</v>
      </c>
      <c r="M4553"/>
      <c r="N4553">
        <v>0</v>
      </c>
      <c r="O4553" t="b">
        <v>1</v>
      </c>
      <c r="P4553"/>
      <c r="Q4553" t="b">
        <v>0</v>
      </c>
      <c r="R4553">
        <v>1</v>
      </c>
      <c r="S4553" t="s">
        <v>77</v>
      </c>
      <c r="T4553">
        <v>999</v>
      </c>
      <c r="U4553" t="s">
        <v>7525</v>
      </c>
      <c r="V4553">
        <f t="shared" si="10"/>
        <v>31827065</v>
      </c>
      <c r="W4553"/>
      <c r="X4553" t="s">
        <v>6232</v>
      </c>
      <c r="Y4553" t="s">
        <v>215</v>
      </c>
      <c r="Z4553">
        <v>22072</v>
      </c>
      <c r="AA4553" t="s">
        <v>6233</v>
      </c>
      <c r="AB4553">
        <v>40001</v>
      </c>
      <c r="AC4553"/>
      <c r="AD4553"/>
      <c r="AE4553" t="s">
        <v>7524</v>
      </c>
      <c r="AF4553" t="s">
        <v>7524</v>
      </c>
      <c r="AG4553" t="s">
        <v>101</v>
      </c>
    </row>
    <row r="4554" spans="2:33">
      <c r="B4554" s="14">
        <f>10000000+INDEX(编号表!$B:$B,MATCH(H4554,编号表!$A:$A,0))*100000+INDEX(编号表!$F:$F,MATCH(D4554,编号表!$E:$E,0))*10000+INDEX(编号表!$D:$D,MATCH(AG4554,编号表!$C:$C,0))*1000+F4554</f>
        <v>11827066</v>
      </c>
      <c r="C4554" t="s">
        <v>6236</v>
      </c>
      <c r="D4554" t="s">
        <v>112</v>
      </c>
      <c r="E4554" t="s">
        <v>101</v>
      </c>
      <c r="F4554">
        <v>66</v>
      </c>
      <c r="G4554">
        <v>60</v>
      </c>
      <c r="H4554" t="s">
        <v>7524</v>
      </c>
      <c r="I4554" t="s">
        <v>75</v>
      </c>
      <c r="J4554" t="s">
        <v>201</v>
      </c>
      <c r="K4554">
        <v>1</v>
      </c>
      <c r="L4554" t="s">
        <v>7524</v>
      </c>
      <c r="M4554"/>
      <c r="N4554">
        <v>0</v>
      </c>
      <c r="O4554" t="b">
        <v>1</v>
      </c>
      <c r="P4554"/>
      <c r="Q4554" t="b">
        <v>0</v>
      </c>
      <c r="R4554">
        <v>1</v>
      </c>
      <c r="S4554" t="s">
        <v>77</v>
      </c>
      <c r="T4554">
        <v>999</v>
      </c>
      <c r="U4554" t="s">
        <v>7525</v>
      </c>
      <c r="V4554">
        <f t="shared" si="10"/>
        <v>31827066</v>
      </c>
      <c r="W4554"/>
      <c r="X4554" t="s">
        <v>6239</v>
      </c>
      <c r="Y4554" t="s">
        <v>215</v>
      </c>
      <c r="Z4554">
        <v>22075</v>
      </c>
      <c r="AA4554" t="s">
        <v>6240</v>
      </c>
      <c r="AB4554">
        <v>40001</v>
      </c>
      <c r="AC4554"/>
      <c r="AD4554"/>
      <c r="AE4554" t="s">
        <v>7524</v>
      </c>
      <c r="AF4554" t="s">
        <v>7524</v>
      </c>
      <c r="AG4554" t="s">
        <v>101</v>
      </c>
    </row>
    <row r="4555" spans="2:33">
      <c r="B4555" s="14">
        <f>10000000+INDEX(编号表!$B:$B,MATCH(H4555,编号表!$A:$A,0))*100000+INDEX(编号表!$F:$F,MATCH(D4555,编号表!$E:$E,0))*10000+INDEX(编号表!$D:$D,MATCH(AG4555,编号表!$C:$C,0))*1000+F4555</f>
        <v>11827067</v>
      </c>
      <c r="C4555" t="s">
        <v>6243</v>
      </c>
      <c r="D4555" t="s">
        <v>112</v>
      </c>
      <c r="E4555" t="s">
        <v>101</v>
      </c>
      <c r="F4555">
        <v>67</v>
      </c>
      <c r="G4555">
        <v>60</v>
      </c>
      <c r="H4555" t="s">
        <v>7524</v>
      </c>
      <c r="I4555" t="s">
        <v>75</v>
      </c>
      <c r="J4555" t="s">
        <v>201</v>
      </c>
      <c r="K4555">
        <v>1</v>
      </c>
      <c r="L4555" t="s">
        <v>7524</v>
      </c>
      <c r="M4555"/>
      <c r="N4555">
        <v>0</v>
      </c>
      <c r="O4555" t="b">
        <v>1</v>
      </c>
      <c r="P4555"/>
      <c r="Q4555" t="b">
        <v>0</v>
      </c>
      <c r="R4555">
        <v>1</v>
      </c>
      <c r="S4555" t="s">
        <v>77</v>
      </c>
      <c r="T4555">
        <v>999</v>
      </c>
      <c r="U4555" t="s">
        <v>7525</v>
      </c>
      <c r="V4555">
        <f t="shared" si="10"/>
        <v>31827067</v>
      </c>
      <c r="W4555"/>
      <c r="X4555" t="s">
        <v>6246</v>
      </c>
      <c r="Y4555" t="s">
        <v>215</v>
      </c>
      <c r="Z4555">
        <v>22078</v>
      </c>
      <c r="AA4555" t="s">
        <v>6247</v>
      </c>
      <c r="AB4555">
        <v>40001</v>
      </c>
      <c r="AC4555"/>
      <c r="AD4555"/>
      <c r="AE4555" t="s">
        <v>7524</v>
      </c>
      <c r="AF4555" t="s">
        <v>7524</v>
      </c>
      <c r="AG4555" t="s">
        <v>101</v>
      </c>
    </row>
    <row r="4556" spans="2:33">
      <c r="B4556" s="14">
        <f>10000000+INDEX(编号表!$B:$B,MATCH(H4556,编号表!$A:$A,0))*100000+INDEX(编号表!$F:$F,MATCH(D4556,编号表!$E:$E,0))*10000+INDEX(编号表!$D:$D,MATCH(AG4556,编号表!$C:$C,0))*1000+F4556</f>
        <v>11827068</v>
      </c>
      <c r="C4556" t="s">
        <v>6250</v>
      </c>
      <c r="D4556" t="s">
        <v>112</v>
      </c>
      <c r="E4556" t="s">
        <v>101</v>
      </c>
      <c r="F4556">
        <v>68</v>
      </c>
      <c r="G4556">
        <v>60</v>
      </c>
      <c r="H4556" t="s">
        <v>7524</v>
      </c>
      <c r="I4556" t="s">
        <v>75</v>
      </c>
      <c r="J4556" t="s">
        <v>201</v>
      </c>
      <c r="K4556">
        <v>1</v>
      </c>
      <c r="L4556" t="s">
        <v>7524</v>
      </c>
      <c r="M4556"/>
      <c r="N4556">
        <v>0</v>
      </c>
      <c r="O4556" t="b">
        <v>1</v>
      </c>
      <c r="P4556"/>
      <c r="Q4556" t="b">
        <v>0</v>
      </c>
      <c r="R4556">
        <v>1</v>
      </c>
      <c r="S4556" t="s">
        <v>77</v>
      </c>
      <c r="T4556">
        <v>999</v>
      </c>
      <c r="U4556" t="s">
        <v>7525</v>
      </c>
      <c r="V4556">
        <f t="shared" si="10"/>
        <v>31827068</v>
      </c>
      <c r="W4556"/>
      <c r="X4556" t="s">
        <v>6253</v>
      </c>
      <c r="Y4556" t="s">
        <v>215</v>
      </c>
      <c r="Z4556">
        <v>22081</v>
      </c>
      <c r="AA4556" t="s">
        <v>6254</v>
      </c>
      <c r="AB4556">
        <v>40001</v>
      </c>
      <c r="AC4556"/>
      <c r="AD4556"/>
      <c r="AE4556" t="s">
        <v>7524</v>
      </c>
      <c r="AF4556" t="s">
        <v>7524</v>
      </c>
      <c r="AG4556" t="s">
        <v>101</v>
      </c>
    </row>
    <row r="4557" spans="2:33">
      <c r="B4557" s="14">
        <f>10000000+INDEX(编号表!$B:$B,MATCH(H4557,编号表!$A:$A,0))*100000+INDEX(编号表!$F:$F,MATCH(D4557,编号表!$E:$E,0))*10000+INDEX(编号表!$D:$D,MATCH(AG4557,编号表!$C:$C,0))*1000+F4557</f>
        <v>11827069</v>
      </c>
      <c r="C4557" t="s">
        <v>6257</v>
      </c>
      <c r="D4557" t="s">
        <v>112</v>
      </c>
      <c r="E4557" t="s">
        <v>101</v>
      </c>
      <c r="F4557">
        <v>69</v>
      </c>
      <c r="G4557">
        <v>60</v>
      </c>
      <c r="H4557" t="s">
        <v>7524</v>
      </c>
      <c r="I4557" t="s">
        <v>75</v>
      </c>
      <c r="J4557" t="s">
        <v>201</v>
      </c>
      <c r="K4557">
        <v>1</v>
      </c>
      <c r="L4557" t="s">
        <v>7524</v>
      </c>
      <c r="M4557"/>
      <c r="N4557">
        <v>0</v>
      </c>
      <c r="O4557" t="b">
        <v>1</v>
      </c>
      <c r="P4557"/>
      <c r="Q4557" t="b">
        <v>0</v>
      </c>
      <c r="R4557">
        <v>1</v>
      </c>
      <c r="S4557" t="s">
        <v>77</v>
      </c>
      <c r="T4557">
        <v>999</v>
      </c>
      <c r="U4557" t="s">
        <v>7525</v>
      </c>
      <c r="V4557">
        <f t="shared" si="10"/>
        <v>31827069</v>
      </c>
      <c r="W4557"/>
      <c r="X4557" t="s">
        <v>6260</v>
      </c>
      <c r="Y4557" t="s">
        <v>215</v>
      </c>
      <c r="Z4557">
        <v>22084</v>
      </c>
      <c r="AA4557" t="s">
        <v>6261</v>
      </c>
      <c r="AB4557">
        <v>40001</v>
      </c>
      <c r="AC4557"/>
      <c r="AD4557"/>
      <c r="AE4557" t="s">
        <v>7524</v>
      </c>
      <c r="AF4557" t="s">
        <v>7524</v>
      </c>
      <c r="AG4557" t="s">
        <v>101</v>
      </c>
    </row>
    <row r="4558" spans="2:33">
      <c r="B4558" s="14">
        <f>10000000+INDEX(编号表!$B:$B,MATCH(H4558,编号表!$A:$A,0))*100000+INDEX(编号表!$F:$F,MATCH(D4558,编号表!$E:$E,0))*10000+INDEX(编号表!$D:$D,MATCH(AG4558,编号表!$C:$C,0))*1000+F4558</f>
        <v>11827070</v>
      </c>
      <c r="C4558" t="s">
        <v>6264</v>
      </c>
      <c r="D4558" t="s">
        <v>112</v>
      </c>
      <c r="E4558" t="s">
        <v>101</v>
      </c>
      <c r="F4558">
        <v>70</v>
      </c>
      <c r="G4558">
        <v>60</v>
      </c>
      <c r="H4558" t="s">
        <v>7524</v>
      </c>
      <c r="I4558" t="s">
        <v>75</v>
      </c>
      <c r="J4558" t="s">
        <v>201</v>
      </c>
      <c r="K4558">
        <v>1</v>
      </c>
      <c r="L4558" t="s">
        <v>7524</v>
      </c>
      <c r="M4558"/>
      <c r="N4558">
        <v>0</v>
      </c>
      <c r="O4558" t="b">
        <v>1</v>
      </c>
      <c r="P4558"/>
      <c r="Q4558" t="b">
        <v>0</v>
      </c>
      <c r="R4558">
        <v>1</v>
      </c>
      <c r="S4558" t="s">
        <v>77</v>
      </c>
      <c r="T4558">
        <v>999</v>
      </c>
      <c r="U4558" t="s">
        <v>7525</v>
      </c>
      <c r="V4558">
        <f t="shared" si="10"/>
        <v>31827070</v>
      </c>
      <c r="W4558"/>
      <c r="X4558" t="s">
        <v>6267</v>
      </c>
      <c r="Y4558" t="s">
        <v>215</v>
      </c>
      <c r="Z4558">
        <v>22087</v>
      </c>
      <c r="AA4558" t="s">
        <v>6268</v>
      </c>
      <c r="AB4558">
        <v>40001</v>
      </c>
      <c r="AC4558"/>
      <c r="AD4558"/>
      <c r="AE4558" t="s">
        <v>7524</v>
      </c>
      <c r="AF4558" t="s">
        <v>7524</v>
      </c>
      <c r="AG4558" t="s">
        <v>101</v>
      </c>
    </row>
    <row r="4559" spans="2:33">
      <c r="B4559" s="14">
        <f>10000000+INDEX(编号表!$B:$B,MATCH(H4559,编号表!$A:$A,0))*100000+INDEX(编号表!$F:$F,MATCH(D4559,编号表!$E:$E,0))*10000+INDEX(编号表!$D:$D,MATCH(AG4559,编号表!$C:$C,0))*1000+F4559</f>
        <v>11827071</v>
      </c>
      <c r="C4559" t="s">
        <v>6271</v>
      </c>
      <c r="D4559" t="s">
        <v>112</v>
      </c>
      <c r="E4559" t="s">
        <v>101</v>
      </c>
      <c r="F4559">
        <v>71</v>
      </c>
      <c r="G4559">
        <v>60</v>
      </c>
      <c r="H4559" t="s">
        <v>7524</v>
      </c>
      <c r="I4559" t="s">
        <v>75</v>
      </c>
      <c r="J4559" t="s">
        <v>201</v>
      </c>
      <c r="K4559">
        <v>1</v>
      </c>
      <c r="L4559" t="s">
        <v>7524</v>
      </c>
      <c r="M4559"/>
      <c r="N4559">
        <v>0</v>
      </c>
      <c r="O4559" t="b">
        <v>1</v>
      </c>
      <c r="P4559"/>
      <c r="Q4559" t="b">
        <v>0</v>
      </c>
      <c r="R4559">
        <v>1</v>
      </c>
      <c r="S4559" t="s">
        <v>77</v>
      </c>
      <c r="T4559">
        <v>999</v>
      </c>
      <c r="U4559" t="s">
        <v>7525</v>
      </c>
      <c r="V4559">
        <f t="shared" si="10"/>
        <v>31827071</v>
      </c>
      <c r="W4559"/>
      <c r="X4559" t="s">
        <v>6274</v>
      </c>
      <c r="Y4559" t="s">
        <v>215</v>
      </c>
      <c r="Z4559">
        <v>22090</v>
      </c>
      <c r="AA4559" t="s">
        <v>6275</v>
      </c>
      <c r="AB4559">
        <v>40001</v>
      </c>
      <c r="AC4559"/>
      <c r="AD4559"/>
      <c r="AE4559" t="s">
        <v>7524</v>
      </c>
      <c r="AF4559" t="s">
        <v>7524</v>
      </c>
      <c r="AG4559" t="s">
        <v>101</v>
      </c>
    </row>
    <row r="4560" spans="2:33">
      <c r="B4560" s="14">
        <f>10000000+INDEX(编号表!$B:$B,MATCH(H4560,编号表!$A:$A,0))*100000+INDEX(编号表!$F:$F,MATCH(D4560,编号表!$E:$E,0))*10000+INDEX(编号表!$D:$D,MATCH(AG4560,编号表!$C:$C,0))*1000+F4560</f>
        <v>11827072</v>
      </c>
      <c r="C4560" t="s">
        <v>6278</v>
      </c>
      <c r="D4560" t="s">
        <v>112</v>
      </c>
      <c r="E4560" t="s">
        <v>101</v>
      </c>
      <c r="F4560">
        <v>72</v>
      </c>
      <c r="G4560">
        <v>60</v>
      </c>
      <c r="H4560" t="s">
        <v>7524</v>
      </c>
      <c r="I4560" t="s">
        <v>75</v>
      </c>
      <c r="J4560" t="s">
        <v>201</v>
      </c>
      <c r="K4560">
        <v>1</v>
      </c>
      <c r="L4560" t="s">
        <v>7524</v>
      </c>
      <c r="M4560"/>
      <c r="N4560">
        <v>0</v>
      </c>
      <c r="O4560" t="b">
        <v>1</v>
      </c>
      <c r="P4560"/>
      <c r="Q4560" t="b">
        <v>0</v>
      </c>
      <c r="R4560">
        <v>1</v>
      </c>
      <c r="S4560" t="s">
        <v>77</v>
      </c>
      <c r="T4560">
        <v>999</v>
      </c>
      <c r="U4560" t="s">
        <v>7525</v>
      </c>
      <c r="V4560">
        <f t="shared" si="10"/>
        <v>31827072</v>
      </c>
      <c r="W4560"/>
      <c r="X4560" t="s">
        <v>6281</v>
      </c>
      <c r="Y4560" t="s">
        <v>215</v>
      </c>
      <c r="Z4560">
        <v>22093</v>
      </c>
      <c r="AA4560" t="s">
        <v>6282</v>
      </c>
      <c r="AB4560">
        <v>40001</v>
      </c>
      <c r="AC4560"/>
      <c r="AD4560"/>
      <c r="AE4560" t="s">
        <v>7524</v>
      </c>
      <c r="AF4560" t="s">
        <v>7524</v>
      </c>
      <c r="AG4560" t="s">
        <v>101</v>
      </c>
    </row>
    <row r="4561" spans="2:33">
      <c r="B4561" s="14">
        <f>10000000+INDEX(编号表!$B:$B,MATCH(H4561,编号表!$A:$A,0))*100000+INDEX(编号表!$F:$F,MATCH(D4561,编号表!$E:$E,0))*10000+INDEX(编号表!$D:$D,MATCH(AG4561,编号表!$C:$C,0))*1000+F4561</f>
        <v>11827073</v>
      </c>
      <c r="C4561" t="s">
        <v>6285</v>
      </c>
      <c r="D4561" t="s">
        <v>112</v>
      </c>
      <c r="E4561" t="s">
        <v>101</v>
      </c>
      <c r="F4561">
        <v>73</v>
      </c>
      <c r="G4561">
        <v>60</v>
      </c>
      <c r="H4561" t="s">
        <v>7524</v>
      </c>
      <c r="I4561" t="s">
        <v>75</v>
      </c>
      <c r="J4561" t="s">
        <v>201</v>
      </c>
      <c r="K4561">
        <v>1</v>
      </c>
      <c r="L4561" t="s">
        <v>7524</v>
      </c>
      <c r="M4561"/>
      <c r="N4561">
        <v>0</v>
      </c>
      <c r="O4561" t="b">
        <v>1</v>
      </c>
      <c r="P4561"/>
      <c r="Q4561" t="b">
        <v>0</v>
      </c>
      <c r="R4561">
        <v>1</v>
      </c>
      <c r="S4561" t="s">
        <v>77</v>
      </c>
      <c r="T4561">
        <v>999</v>
      </c>
      <c r="U4561" t="s">
        <v>7525</v>
      </c>
      <c r="V4561">
        <f t="shared" si="10"/>
        <v>31827073</v>
      </c>
      <c r="W4561"/>
      <c r="X4561" t="s">
        <v>6288</v>
      </c>
      <c r="Y4561" t="s">
        <v>215</v>
      </c>
      <c r="Z4561">
        <v>22096</v>
      </c>
      <c r="AA4561" t="s">
        <v>6289</v>
      </c>
      <c r="AB4561">
        <v>40001</v>
      </c>
      <c r="AC4561"/>
      <c r="AD4561"/>
      <c r="AE4561" t="s">
        <v>7524</v>
      </c>
      <c r="AF4561" t="s">
        <v>7524</v>
      </c>
      <c r="AG4561" t="s">
        <v>101</v>
      </c>
    </row>
    <row r="4562" spans="2:33">
      <c r="B4562" s="14">
        <f>10000000+INDEX(编号表!$B:$B,MATCH(H4562,编号表!$A:$A,0))*100000+INDEX(编号表!$F:$F,MATCH(D4562,编号表!$E:$E,0))*10000+INDEX(编号表!$D:$D,MATCH(AG4562,编号表!$C:$C,0))*1000+F4562</f>
        <v>11827074</v>
      </c>
      <c r="C4562" t="s">
        <v>6292</v>
      </c>
      <c r="D4562" t="s">
        <v>112</v>
      </c>
      <c r="E4562" t="s">
        <v>101</v>
      </c>
      <c r="F4562">
        <v>74</v>
      </c>
      <c r="G4562">
        <v>60</v>
      </c>
      <c r="H4562" t="s">
        <v>7524</v>
      </c>
      <c r="I4562" t="s">
        <v>75</v>
      </c>
      <c r="J4562" t="s">
        <v>201</v>
      </c>
      <c r="K4562">
        <v>1</v>
      </c>
      <c r="L4562" t="s">
        <v>7524</v>
      </c>
      <c r="M4562"/>
      <c r="N4562">
        <v>0</v>
      </c>
      <c r="O4562" t="b">
        <v>1</v>
      </c>
      <c r="P4562"/>
      <c r="Q4562" t="b">
        <v>0</v>
      </c>
      <c r="R4562">
        <v>1</v>
      </c>
      <c r="S4562" t="s">
        <v>77</v>
      </c>
      <c r="T4562">
        <v>999</v>
      </c>
      <c r="U4562" t="s">
        <v>7525</v>
      </c>
      <c r="V4562">
        <f t="shared" si="10"/>
        <v>31827074</v>
      </c>
      <c r="W4562"/>
      <c r="X4562" t="s">
        <v>6295</v>
      </c>
      <c r="Y4562" t="s">
        <v>215</v>
      </c>
      <c r="Z4562">
        <v>22099</v>
      </c>
      <c r="AA4562" t="s">
        <v>6296</v>
      </c>
      <c r="AB4562">
        <v>40001</v>
      </c>
      <c r="AC4562"/>
      <c r="AD4562"/>
      <c r="AE4562" t="s">
        <v>7524</v>
      </c>
      <c r="AF4562" t="s">
        <v>7524</v>
      </c>
      <c r="AG4562" t="s">
        <v>101</v>
      </c>
    </row>
    <row r="4563" spans="2:33">
      <c r="B4563" s="14">
        <f>10000000+INDEX(编号表!$B:$B,MATCH(H4563,编号表!$A:$A,0))*100000+INDEX(编号表!$F:$F,MATCH(D4563,编号表!$E:$E,0))*10000+INDEX(编号表!$D:$D,MATCH(AG4563,编号表!$C:$C,0))*1000+F4563</f>
        <v>11827075</v>
      </c>
      <c r="C4563" t="s">
        <v>6299</v>
      </c>
      <c r="D4563" t="s">
        <v>112</v>
      </c>
      <c r="E4563" t="s">
        <v>101</v>
      </c>
      <c r="F4563">
        <v>75</v>
      </c>
      <c r="G4563">
        <v>60</v>
      </c>
      <c r="H4563" t="s">
        <v>7524</v>
      </c>
      <c r="I4563" t="s">
        <v>75</v>
      </c>
      <c r="J4563" t="s">
        <v>201</v>
      </c>
      <c r="K4563">
        <v>1</v>
      </c>
      <c r="L4563" t="s">
        <v>7524</v>
      </c>
      <c r="M4563"/>
      <c r="N4563">
        <v>0</v>
      </c>
      <c r="O4563" t="b">
        <v>1</v>
      </c>
      <c r="P4563"/>
      <c r="Q4563" t="b">
        <v>0</v>
      </c>
      <c r="R4563">
        <v>1</v>
      </c>
      <c r="S4563" t="s">
        <v>77</v>
      </c>
      <c r="T4563">
        <v>999</v>
      </c>
      <c r="U4563" t="s">
        <v>7525</v>
      </c>
      <c r="V4563">
        <f t="shared" si="10"/>
        <v>31827075</v>
      </c>
      <c r="W4563"/>
      <c r="X4563" t="s">
        <v>6302</v>
      </c>
      <c r="Y4563" t="s">
        <v>215</v>
      </c>
      <c r="Z4563">
        <v>22102</v>
      </c>
      <c r="AA4563" t="s">
        <v>6303</v>
      </c>
      <c r="AB4563">
        <v>40001</v>
      </c>
      <c r="AC4563"/>
      <c r="AD4563"/>
      <c r="AE4563" t="s">
        <v>7524</v>
      </c>
      <c r="AF4563" t="s">
        <v>7524</v>
      </c>
      <c r="AG4563" t="s">
        <v>101</v>
      </c>
    </row>
    <row r="4564" spans="2:33">
      <c r="B4564" s="14">
        <f>10000000+INDEX(编号表!$B:$B,MATCH(H4564,编号表!$A:$A,0))*100000+INDEX(编号表!$F:$F,MATCH(D4564,编号表!$E:$E,0))*10000+INDEX(编号表!$D:$D,MATCH(AG4564,编号表!$C:$C,0))*1000+F4564</f>
        <v>11827076</v>
      </c>
      <c r="C4564" t="s">
        <v>6306</v>
      </c>
      <c r="D4564" t="s">
        <v>112</v>
      </c>
      <c r="E4564" t="s">
        <v>101</v>
      </c>
      <c r="F4564">
        <v>76</v>
      </c>
      <c r="G4564">
        <v>60</v>
      </c>
      <c r="H4564" t="s">
        <v>7524</v>
      </c>
      <c r="I4564" t="s">
        <v>75</v>
      </c>
      <c r="J4564" t="s">
        <v>201</v>
      </c>
      <c r="K4564">
        <v>1</v>
      </c>
      <c r="L4564" t="s">
        <v>7524</v>
      </c>
      <c r="M4564"/>
      <c r="N4564">
        <v>0</v>
      </c>
      <c r="O4564" t="b">
        <v>1</v>
      </c>
      <c r="P4564"/>
      <c r="Q4564" t="b">
        <v>0</v>
      </c>
      <c r="R4564">
        <v>1</v>
      </c>
      <c r="S4564" t="s">
        <v>77</v>
      </c>
      <c r="T4564">
        <v>999</v>
      </c>
      <c r="U4564" t="s">
        <v>7525</v>
      </c>
      <c r="V4564">
        <f t="shared" si="10"/>
        <v>31827076</v>
      </c>
      <c r="W4564"/>
      <c r="X4564" t="s">
        <v>6309</v>
      </c>
      <c r="Y4564" t="s">
        <v>215</v>
      </c>
      <c r="Z4564">
        <v>22105</v>
      </c>
      <c r="AA4564" t="s">
        <v>6310</v>
      </c>
      <c r="AB4564">
        <v>40001</v>
      </c>
      <c r="AC4564"/>
      <c r="AD4564"/>
      <c r="AE4564" t="s">
        <v>7524</v>
      </c>
      <c r="AF4564" t="s">
        <v>7524</v>
      </c>
      <c r="AG4564" t="s">
        <v>101</v>
      </c>
    </row>
    <row r="4565" spans="2:33">
      <c r="B4565" s="14">
        <f>10000000+INDEX(编号表!$B:$B,MATCH(H4565,编号表!$A:$A,0))*100000+INDEX(编号表!$F:$F,MATCH(D4565,编号表!$E:$E,0))*10000+INDEX(编号表!$D:$D,MATCH(AG4565,编号表!$C:$C,0))*1000+F4565</f>
        <v>11827077</v>
      </c>
      <c r="C4565" t="s">
        <v>6313</v>
      </c>
      <c r="D4565" t="s">
        <v>112</v>
      </c>
      <c r="E4565" t="s">
        <v>101</v>
      </c>
      <c r="F4565">
        <v>77</v>
      </c>
      <c r="G4565">
        <v>60</v>
      </c>
      <c r="H4565" t="s">
        <v>7524</v>
      </c>
      <c r="I4565" t="s">
        <v>75</v>
      </c>
      <c r="J4565" t="s">
        <v>201</v>
      </c>
      <c r="K4565">
        <v>1</v>
      </c>
      <c r="L4565" t="s">
        <v>7524</v>
      </c>
      <c r="M4565"/>
      <c r="N4565">
        <v>0</v>
      </c>
      <c r="O4565" t="b">
        <v>1</v>
      </c>
      <c r="P4565"/>
      <c r="Q4565" t="b">
        <v>0</v>
      </c>
      <c r="R4565">
        <v>1</v>
      </c>
      <c r="S4565" t="s">
        <v>77</v>
      </c>
      <c r="T4565">
        <v>999</v>
      </c>
      <c r="U4565" t="s">
        <v>7525</v>
      </c>
      <c r="V4565">
        <f t="shared" si="10"/>
        <v>31827077</v>
      </c>
      <c r="W4565"/>
      <c r="X4565" t="s">
        <v>6316</v>
      </c>
      <c r="Y4565" t="s">
        <v>215</v>
      </c>
      <c r="Z4565">
        <v>22108</v>
      </c>
      <c r="AA4565" t="s">
        <v>6317</v>
      </c>
      <c r="AB4565">
        <v>40001</v>
      </c>
      <c r="AC4565"/>
      <c r="AD4565"/>
      <c r="AE4565" t="s">
        <v>7524</v>
      </c>
      <c r="AF4565" t="s">
        <v>7524</v>
      </c>
      <c r="AG4565" t="s">
        <v>101</v>
      </c>
    </row>
    <row r="4566" spans="2:33">
      <c r="B4566" s="14">
        <f>10000000+INDEX(编号表!$B:$B,MATCH(H4566,编号表!$A:$A,0))*100000+INDEX(编号表!$F:$F,MATCH(D4566,编号表!$E:$E,0))*10000+INDEX(编号表!$D:$D,MATCH(AG4566,编号表!$C:$C,0))*1000+F4566</f>
        <v>11827078</v>
      </c>
      <c r="C4566" t="s">
        <v>6320</v>
      </c>
      <c r="D4566" t="s">
        <v>112</v>
      </c>
      <c r="E4566" t="s">
        <v>101</v>
      </c>
      <c r="F4566">
        <v>78</v>
      </c>
      <c r="G4566">
        <v>60</v>
      </c>
      <c r="H4566" t="s">
        <v>7524</v>
      </c>
      <c r="I4566" t="s">
        <v>75</v>
      </c>
      <c r="J4566" t="s">
        <v>201</v>
      </c>
      <c r="K4566">
        <v>1</v>
      </c>
      <c r="L4566" t="s">
        <v>7524</v>
      </c>
      <c r="M4566"/>
      <c r="N4566">
        <v>0</v>
      </c>
      <c r="O4566" t="b">
        <v>1</v>
      </c>
      <c r="P4566"/>
      <c r="Q4566" t="b">
        <v>0</v>
      </c>
      <c r="R4566">
        <v>1</v>
      </c>
      <c r="S4566" t="s">
        <v>77</v>
      </c>
      <c r="T4566">
        <v>999</v>
      </c>
      <c r="U4566" t="s">
        <v>7525</v>
      </c>
      <c r="V4566">
        <f t="shared" si="10"/>
        <v>31827078</v>
      </c>
      <c r="W4566"/>
      <c r="X4566" t="s">
        <v>6323</v>
      </c>
      <c r="Y4566" t="s">
        <v>215</v>
      </c>
      <c r="Z4566">
        <v>22111</v>
      </c>
      <c r="AA4566" t="s">
        <v>6324</v>
      </c>
      <c r="AB4566">
        <v>40001</v>
      </c>
      <c r="AC4566"/>
      <c r="AD4566"/>
      <c r="AE4566" t="s">
        <v>7524</v>
      </c>
      <c r="AF4566" t="s">
        <v>7524</v>
      </c>
      <c r="AG4566" t="s">
        <v>101</v>
      </c>
    </row>
    <row r="4567" spans="2:33">
      <c r="B4567" s="14">
        <f>10000000+INDEX(编号表!$B:$B,MATCH(H4567,编号表!$A:$A,0))*100000+INDEX(编号表!$F:$F,MATCH(D4567,编号表!$E:$E,0))*10000+INDEX(编号表!$D:$D,MATCH(AG4567,编号表!$C:$C,0))*1000+F4567</f>
        <v>11827079</v>
      </c>
      <c r="C4567" t="s">
        <v>6327</v>
      </c>
      <c r="D4567" t="s">
        <v>112</v>
      </c>
      <c r="E4567" t="s">
        <v>101</v>
      </c>
      <c r="F4567">
        <v>79</v>
      </c>
      <c r="G4567">
        <v>60</v>
      </c>
      <c r="H4567" t="s">
        <v>7524</v>
      </c>
      <c r="I4567" t="s">
        <v>75</v>
      </c>
      <c r="J4567" t="s">
        <v>201</v>
      </c>
      <c r="K4567">
        <v>1</v>
      </c>
      <c r="L4567" t="s">
        <v>7524</v>
      </c>
      <c r="M4567"/>
      <c r="N4567">
        <v>0</v>
      </c>
      <c r="O4567" t="b">
        <v>1</v>
      </c>
      <c r="P4567"/>
      <c r="Q4567" t="b">
        <v>0</v>
      </c>
      <c r="R4567">
        <v>1</v>
      </c>
      <c r="S4567" t="s">
        <v>77</v>
      </c>
      <c r="T4567">
        <v>999</v>
      </c>
      <c r="U4567" t="s">
        <v>7525</v>
      </c>
      <c r="V4567">
        <f t="shared" si="10"/>
        <v>31827079</v>
      </c>
      <c r="W4567"/>
      <c r="X4567" t="s">
        <v>6330</v>
      </c>
      <c r="Y4567" t="s">
        <v>215</v>
      </c>
      <c r="Z4567">
        <v>22114</v>
      </c>
      <c r="AA4567" t="s">
        <v>6331</v>
      </c>
      <c r="AB4567">
        <v>40001</v>
      </c>
      <c r="AC4567"/>
      <c r="AD4567"/>
      <c r="AE4567" t="s">
        <v>7524</v>
      </c>
      <c r="AF4567" t="s">
        <v>7524</v>
      </c>
      <c r="AG4567" t="s">
        <v>101</v>
      </c>
    </row>
    <row r="4568" spans="2:33">
      <c r="B4568" s="14">
        <f>10000000+INDEX(编号表!$B:$B,MATCH(H4568,编号表!$A:$A,0))*100000+INDEX(编号表!$F:$F,MATCH(D4568,编号表!$E:$E,0))*10000+INDEX(编号表!$D:$D,MATCH(AG4568,编号表!$C:$C,0))*1000+F4568</f>
        <v>11827080</v>
      </c>
      <c r="C4568" t="s">
        <v>6334</v>
      </c>
      <c r="D4568" t="s">
        <v>112</v>
      </c>
      <c r="E4568" t="s">
        <v>101</v>
      </c>
      <c r="F4568">
        <v>80</v>
      </c>
      <c r="G4568">
        <v>60</v>
      </c>
      <c r="H4568" t="s">
        <v>7524</v>
      </c>
      <c r="I4568" t="s">
        <v>75</v>
      </c>
      <c r="J4568" t="s">
        <v>201</v>
      </c>
      <c r="K4568">
        <v>1</v>
      </c>
      <c r="L4568" t="s">
        <v>7524</v>
      </c>
      <c r="M4568"/>
      <c r="N4568">
        <v>0</v>
      </c>
      <c r="O4568" t="b">
        <v>1</v>
      </c>
      <c r="P4568"/>
      <c r="Q4568" t="b">
        <v>0</v>
      </c>
      <c r="R4568">
        <v>1</v>
      </c>
      <c r="S4568" t="s">
        <v>77</v>
      </c>
      <c r="T4568">
        <v>999</v>
      </c>
      <c r="U4568" t="s">
        <v>7525</v>
      </c>
      <c r="V4568">
        <f t="shared" ref="V4568:V4631" si="11">B4568+20000000</f>
        <v>31827080</v>
      </c>
      <c r="W4568"/>
      <c r="X4568" t="s">
        <v>6337</v>
      </c>
      <c r="Y4568" t="s">
        <v>215</v>
      </c>
      <c r="Z4568">
        <v>22117</v>
      </c>
      <c r="AA4568" t="s">
        <v>6338</v>
      </c>
      <c r="AB4568">
        <v>40001</v>
      </c>
      <c r="AC4568"/>
      <c r="AD4568"/>
      <c r="AE4568" t="s">
        <v>7524</v>
      </c>
      <c r="AF4568" t="s">
        <v>7524</v>
      </c>
      <c r="AG4568" t="s">
        <v>101</v>
      </c>
    </row>
    <row r="4569" spans="2:33">
      <c r="B4569" s="14">
        <f>10000000+INDEX(编号表!$B:$B,MATCH(H4569,编号表!$A:$A,0))*100000+INDEX(编号表!$F:$F,MATCH(D4569,编号表!$E:$E,0))*10000+INDEX(编号表!$D:$D,MATCH(AG4569,编号表!$C:$C,0))*1000+F4569</f>
        <v>11827081</v>
      </c>
      <c r="C4569" t="s">
        <v>6341</v>
      </c>
      <c r="D4569" t="s">
        <v>112</v>
      </c>
      <c r="E4569" t="s">
        <v>101</v>
      </c>
      <c r="F4569">
        <v>81</v>
      </c>
      <c r="G4569">
        <v>60</v>
      </c>
      <c r="H4569" t="s">
        <v>7524</v>
      </c>
      <c r="I4569" t="s">
        <v>75</v>
      </c>
      <c r="J4569" t="s">
        <v>201</v>
      </c>
      <c r="K4569">
        <v>1</v>
      </c>
      <c r="L4569" t="s">
        <v>7524</v>
      </c>
      <c r="M4569"/>
      <c r="N4569">
        <v>0</v>
      </c>
      <c r="O4569" t="b">
        <v>1</v>
      </c>
      <c r="P4569"/>
      <c r="Q4569" t="b">
        <v>0</v>
      </c>
      <c r="R4569">
        <v>1</v>
      </c>
      <c r="S4569" t="s">
        <v>77</v>
      </c>
      <c r="T4569">
        <v>999</v>
      </c>
      <c r="U4569" t="s">
        <v>7525</v>
      </c>
      <c r="V4569">
        <f t="shared" si="11"/>
        <v>31827081</v>
      </c>
      <c r="W4569"/>
      <c r="X4569" t="s">
        <v>6344</v>
      </c>
      <c r="Y4569" t="s">
        <v>215</v>
      </c>
      <c r="Z4569">
        <v>22120</v>
      </c>
      <c r="AA4569" t="s">
        <v>6345</v>
      </c>
      <c r="AB4569">
        <v>40001</v>
      </c>
      <c r="AC4569"/>
      <c r="AD4569"/>
      <c r="AE4569" t="s">
        <v>7524</v>
      </c>
      <c r="AF4569" t="s">
        <v>7524</v>
      </c>
      <c r="AG4569" t="s">
        <v>101</v>
      </c>
    </row>
    <row r="4570" spans="2:33">
      <c r="B4570" s="14">
        <f>10000000+INDEX(编号表!$B:$B,MATCH(H4570,编号表!$A:$A,0))*100000+INDEX(编号表!$F:$F,MATCH(D4570,编号表!$E:$E,0))*10000+INDEX(编号表!$D:$D,MATCH(AG4570,编号表!$C:$C,0))*1000+F4570</f>
        <v>11827082</v>
      </c>
      <c r="C4570" t="s">
        <v>6348</v>
      </c>
      <c r="D4570" t="s">
        <v>112</v>
      </c>
      <c r="E4570" t="s">
        <v>101</v>
      </c>
      <c r="F4570">
        <v>82</v>
      </c>
      <c r="G4570">
        <v>60</v>
      </c>
      <c r="H4570" t="s">
        <v>7524</v>
      </c>
      <c r="I4570" t="s">
        <v>75</v>
      </c>
      <c r="J4570" t="s">
        <v>201</v>
      </c>
      <c r="K4570">
        <v>1</v>
      </c>
      <c r="L4570" t="s">
        <v>7524</v>
      </c>
      <c r="M4570"/>
      <c r="N4570">
        <v>0</v>
      </c>
      <c r="O4570" t="b">
        <v>1</v>
      </c>
      <c r="P4570"/>
      <c r="Q4570" t="b">
        <v>0</v>
      </c>
      <c r="R4570">
        <v>1</v>
      </c>
      <c r="S4570" t="s">
        <v>77</v>
      </c>
      <c r="T4570">
        <v>999</v>
      </c>
      <c r="U4570" t="s">
        <v>7525</v>
      </c>
      <c r="V4570">
        <f t="shared" si="11"/>
        <v>31827082</v>
      </c>
      <c r="W4570"/>
      <c r="X4570" t="s">
        <v>6351</v>
      </c>
      <c r="Y4570" t="s">
        <v>215</v>
      </c>
      <c r="Z4570">
        <v>22123</v>
      </c>
      <c r="AA4570" t="s">
        <v>6352</v>
      </c>
      <c r="AB4570">
        <v>40001</v>
      </c>
      <c r="AC4570"/>
      <c r="AD4570"/>
      <c r="AE4570" t="s">
        <v>7524</v>
      </c>
      <c r="AF4570" t="s">
        <v>7524</v>
      </c>
      <c r="AG4570" t="s">
        <v>101</v>
      </c>
    </row>
    <row r="4571" spans="2:33">
      <c r="B4571" s="14">
        <f>10000000+INDEX(编号表!$B:$B,MATCH(H4571,编号表!$A:$A,0))*100000+INDEX(编号表!$F:$F,MATCH(D4571,编号表!$E:$E,0))*10000+INDEX(编号表!$D:$D,MATCH(AG4571,编号表!$C:$C,0))*1000+F4571</f>
        <v>11827083</v>
      </c>
      <c r="C4571" t="s">
        <v>6355</v>
      </c>
      <c r="D4571" t="s">
        <v>112</v>
      </c>
      <c r="E4571" t="s">
        <v>101</v>
      </c>
      <c r="F4571">
        <v>83</v>
      </c>
      <c r="G4571">
        <v>60</v>
      </c>
      <c r="H4571" t="s">
        <v>7524</v>
      </c>
      <c r="I4571" t="s">
        <v>75</v>
      </c>
      <c r="J4571" t="s">
        <v>201</v>
      </c>
      <c r="K4571">
        <v>1</v>
      </c>
      <c r="L4571" t="s">
        <v>7524</v>
      </c>
      <c r="M4571"/>
      <c r="N4571">
        <v>0</v>
      </c>
      <c r="O4571" t="b">
        <v>1</v>
      </c>
      <c r="P4571"/>
      <c r="Q4571" t="b">
        <v>0</v>
      </c>
      <c r="R4571">
        <v>1</v>
      </c>
      <c r="S4571" t="s">
        <v>77</v>
      </c>
      <c r="T4571">
        <v>999</v>
      </c>
      <c r="U4571" t="s">
        <v>7525</v>
      </c>
      <c r="V4571">
        <f t="shared" si="11"/>
        <v>31827083</v>
      </c>
      <c r="W4571"/>
      <c r="X4571" t="s">
        <v>6358</v>
      </c>
      <c r="Y4571" t="s">
        <v>215</v>
      </c>
      <c r="Z4571">
        <v>22126</v>
      </c>
      <c r="AA4571" t="s">
        <v>6359</v>
      </c>
      <c r="AB4571">
        <v>40001</v>
      </c>
      <c r="AC4571"/>
      <c r="AD4571"/>
      <c r="AE4571" t="s">
        <v>7524</v>
      </c>
      <c r="AF4571" t="s">
        <v>7524</v>
      </c>
      <c r="AG4571" t="s">
        <v>101</v>
      </c>
    </row>
    <row r="4572" spans="2:33">
      <c r="B4572" s="14">
        <f>10000000+INDEX(编号表!$B:$B,MATCH(H4572,编号表!$A:$A,0))*100000+INDEX(编号表!$F:$F,MATCH(D4572,编号表!$E:$E,0))*10000+INDEX(编号表!$D:$D,MATCH(AG4572,编号表!$C:$C,0))*1000+F4572</f>
        <v>11827084</v>
      </c>
      <c r="C4572" t="s">
        <v>6362</v>
      </c>
      <c r="D4572" t="s">
        <v>112</v>
      </c>
      <c r="E4572" t="s">
        <v>101</v>
      </c>
      <c r="F4572">
        <v>84</v>
      </c>
      <c r="G4572">
        <v>60</v>
      </c>
      <c r="H4572" t="s">
        <v>7524</v>
      </c>
      <c r="I4572" t="s">
        <v>75</v>
      </c>
      <c r="J4572" t="s">
        <v>201</v>
      </c>
      <c r="K4572">
        <v>1</v>
      </c>
      <c r="L4572" t="s">
        <v>7524</v>
      </c>
      <c r="M4572"/>
      <c r="N4572">
        <v>0</v>
      </c>
      <c r="O4572" t="b">
        <v>1</v>
      </c>
      <c r="P4572"/>
      <c r="Q4572" t="b">
        <v>0</v>
      </c>
      <c r="R4572">
        <v>1</v>
      </c>
      <c r="S4572" t="s">
        <v>77</v>
      </c>
      <c r="T4572">
        <v>999</v>
      </c>
      <c r="U4572" t="s">
        <v>7525</v>
      </c>
      <c r="V4572">
        <f t="shared" si="11"/>
        <v>31827084</v>
      </c>
      <c r="W4572"/>
      <c r="X4572" t="s">
        <v>6365</v>
      </c>
      <c r="Y4572" t="s">
        <v>215</v>
      </c>
      <c r="Z4572">
        <v>22129</v>
      </c>
      <c r="AA4572" t="s">
        <v>6366</v>
      </c>
      <c r="AB4572">
        <v>40001</v>
      </c>
      <c r="AC4572"/>
      <c r="AD4572"/>
      <c r="AE4572" t="s">
        <v>7524</v>
      </c>
      <c r="AF4572" t="s">
        <v>7524</v>
      </c>
      <c r="AG4572" t="s">
        <v>101</v>
      </c>
    </row>
    <row r="4573" spans="2:33">
      <c r="B4573" s="14">
        <f>10000000+INDEX(编号表!$B:$B,MATCH(H4573,编号表!$A:$A,0))*100000+INDEX(编号表!$F:$F,MATCH(D4573,编号表!$E:$E,0))*10000+INDEX(编号表!$D:$D,MATCH(AG4573,编号表!$C:$C,0))*1000+F4573</f>
        <v>11827085</v>
      </c>
      <c r="C4573" t="s">
        <v>6369</v>
      </c>
      <c r="D4573" t="s">
        <v>112</v>
      </c>
      <c r="E4573" t="s">
        <v>101</v>
      </c>
      <c r="F4573">
        <v>85</v>
      </c>
      <c r="G4573">
        <v>60</v>
      </c>
      <c r="H4573" t="s">
        <v>7524</v>
      </c>
      <c r="I4573" t="s">
        <v>75</v>
      </c>
      <c r="J4573" t="s">
        <v>201</v>
      </c>
      <c r="K4573">
        <v>1</v>
      </c>
      <c r="L4573" t="s">
        <v>7524</v>
      </c>
      <c r="M4573"/>
      <c r="N4573">
        <v>0</v>
      </c>
      <c r="O4573" t="b">
        <v>1</v>
      </c>
      <c r="P4573"/>
      <c r="Q4573" t="b">
        <v>0</v>
      </c>
      <c r="R4573">
        <v>1</v>
      </c>
      <c r="S4573" t="s">
        <v>77</v>
      </c>
      <c r="T4573">
        <v>999</v>
      </c>
      <c r="U4573" t="s">
        <v>7525</v>
      </c>
      <c r="V4573">
        <f t="shared" si="11"/>
        <v>31827085</v>
      </c>
      <c r="W4573"/>
      <c r="X4573" t="s">
        <v>6372</v>
      </c>
      <c r="Y4573" t="s">
        <v>215</v>
      </c>
      <c r="Z4573">
        <v>22132</v>
      </c>
      <c r="AA4573" t="s">
        <v>6373</v>
      </c>
      <c r="AB4573">
        <v>40001</v>
      </c>
      <c r="AC4573"/>
      <c r="AD4573"/>
      <c r="AE4573" t="s">
        <v>7524</v>
      </c>
      <c r="AF4573" t="s">
        <v>7524</v>
      </c>
      <c r="AG4573" t="s">
        <v>101</v>
      </c>
    </row>
    <row r="4574" spans="2:33">
      <c r="B4574" s="14">
        <f>10000000+INDEX(编号表!$B:$B,MATCH(H4574,编号表!$A:$A,0))*100000+INDEX(编号表!$F:$F,MATCH(D4574,编号表!$E:$E,0))*10000+INDEX(编号表!$D:$D,MATCH(AG4574,编号表!$C:$C,0))*1000+F4574</f>
        <v>11827086</v>
      </c>
      <c r="C4574" t="s">
        <v>6376</v>
      </c>
      <c r="D4574" t="s">
        <v>112</v>
      </c>
      <c r="E4574" t="s">
        <v>101</v>
      </c>
      <c r="F4574">
        <v>86</v>
      </c>
      <c r="G4574">
        <v>60</v>
      </c>
      <c r="H4574" t="s">
        <v>7524</v>
      </c>
      <c r="I4574" t="s">
        <v>75</v>
      </c>
      <c r="J4574" t="s">
        <v>201</v>
      </c>
      <c r="K4574">
        <v>1</v>
      </c>
      <c r="L4574" t="s">
        <v>7524</v>
      </c>
      <c r="M4574"/>
      <c r="N4574">
        <v>0</v>
      </c>
      <c r="O4574" t="b">
        <v>1</v>
      </c>
      <c r="P4574"/>
      <c r="Q4574" t="b">
        <v>0</v>
      </c>
      <c r="R4574">
        <v>1</v>
      </c>
      <c r="S4574" t="s">
        <v>77</v>
      </c>
      <c r="T4574">
        <v>999</v>
      </c>
      <c r="U4574" t="s">
        <v>7525</v>
      </c>
      <c r="V4574">
        <f t="shared" si="11"/>
        <v>31827086</v>
      </c>
      <c r="W4574"/>
      <c r="X4574" t="s">
        <v>6379</v>
      </c>
      <c r="Y4574" t="s">
        <v>215</v>
      </c>
      <c r="Z4574">
        <v>22135</v>
      </c>
      <c r="AA4574" t="s">
        <v>6380</v>
      </c>
      <c r="AB4574">
        <v>40001</v>
      </c>
      <c r="AC4574"/>
      <c r="AD4574"/>
      <c r="AE4574" t="s">
        <v>7524</v>
      </c>
      <c r="AF4574" t="s">
        <v>7524</v>
      </c>
      <c r="AG4574" t="s">
        <v>101</v>
      </c>
    </row>
    <row r="4575" spans="2:33">
      <c r="B4575" s="14">
        <f>10000000+INDEX(编号表!$B:$B,MATCH(H4575,编号表!$A:$A,0))*100000+INDEX(编号表!$F:$F,MATCH(D4575,编号表!$E:$E,0))*10000+INDEX(编号表!$D:$D,MATCH(AG4575,编号表!$C:$C,0))*1000+F4575</f>
        <v>11827087</v>
      </c>
      <c r="C4575" t="s">
        <v>6383</v>
      </c>
      <c r="D4575" t="s">
        <v>112</v>
      </c>
      <c r="E4575" t="s">
        <v>101</v>
      </c>
      <c r="F4575">
        <v>87</v>
      </c>
      <c r="G4575">
        <v>60</v>
      </c>
      <c r="H4575" t="s">
        <v>7524</v>
      </c>
      <c r="I4575" t="s">
        <v>75</v>
      </c>
      <c r="J4575" t="s">
        <v>201</v>
      </c>
      <c r="K4575">
        <v>1</v>
      </c>
      <c r="L4575" t="s">
        <v>7524</v>
      </c>
      <c r="M4575"/>
      <c r="N4575">
        <v>0</v>
      </c>
      <c r="O4575" t="b">
        <v>1</v>
      </c>
      <c r="P4575"/>
      <c r="Q4575" t="b">
        <v>0</v>
      </c>
      <c r="R4575">
        <v>1</v>
      </c>
      <c r="S4575" t="s">
        <v>77</v>
      </c>
      <c r="T4575">
        <v>999</v>
      </c>
      <c r="U4575" t="s">
        <v>7525</v>
      </c>
      <c r="V4575">
        <f t="shared" si="11"/>
        <v>31827087</v>
      </c>
      <c r="W4575"/>
      <c r="X4575" t="s">
        <v>6386</v>
      </c>
      <c r="Y4575" t="s">
        <v>215</v>
      </c>
      <c r="Z4575">
        <v>22138</v>
      </c>
      <c r="AA4575" t="s">
        <v>6387</v>
      </c>
      <c r="AB4575">
        <v>40001</v>
      </c>
      <c r="AC4575"/>
      <c r="AD4575"/>
      <c r="AE4575" t="s">
        <v>7524</v>
      </c>
      <c r="AF4575" t="s">
        <v>7524</v>
      </c>
      <c r="AG4575" t="s">
        <v>101</v>
      </c>
    </row>
    <row r="4576" spans="2:33">
      <c r="B4576" s="14">
        <f>10000000+INDEX(编号表!$B:$B,MATCH(H4576,编号表!$A:$A,0))*100000+INDEX(编号表!$F:$F,MATCH(D4576,编号表!$E:$E,0))*10000+INDEX(编号表!$D:$D,MATCH(AG4576,编号表!$C:$C,0))*1000+F4576</f>
        <v>11827088</v>
      </c>
      <c r="C4576" t="s">
        <v>6390</v>
      </c>
      <c r="D4576" t="s">
        <v>112</v>
      </c>
      <c r="E4576" t="s">
        <v>101</v>
      </c>
      <c r="F4576">
        <v>88</v>
      </c>
      <c r="G4576">
        <v>60</v>
      </c>
      <c r="H4576" t="s">
        <v>7524</v>
      </c>
      <c r="I4576" t="s">
        <v>75</v>
      </c>
      <c r="J4576" t="s">
        <v>201</v>
      </c>
      <c r="K4576">
        <v>1</v>
      </c>
      <c r="L4576" t="s">
        <v>7524</v>
      </c>
      <c r="M4576"/>
      <c r="N4576">
        <v>0</v>
      </c>
      <c r="O4576" t="b">
        <v>1</v>
      </c>
      <c r="P4576"/>
      <c r="Q4576" t="b">
        <v>0</v>
      </c>
      <c r="R4576">
        <v>1</v>
      </c>
      <c r="S4576" t="s">
        <v>77</v>
      </c>
      <c r="T4576">
        <v>999</v>
      </c>
      <c r="U4576" t="s">
        <v>7525</v>
      </c>
      <c r="V4576">
        <f t="shared" si="11"/>
        <v>31827088</v>
      </c>
      <c r="W4576"/>
      <c r="X4576" t="s">
        <v>6393</v>
      </c>
      <c r="Y4576" t="s">
        <v>215</v>
      </c>
      <c r="Z4576">
        <v>22141</v>
      </c>
      <c r="AA4576" t="s">
        <v>6394</v>
      </c>
      <c r="AB4576">
        <v>40001</v>
      </c>
      <c r="AC4576"/>
      <c r="AD4576"/>
      <c r="AE4576" t="s">
        <v>7524</v>
      </c>
      <c r="AF4576" t="s">
        <v>7524</v>
      </c>
      <c r="AG4576" t="s">
        <v>101</v>
      </c>
    </row>
    <row r="4577" spans="2:33">
      <c r="B4577" s="14">
        <f>10000000+INDEX(编号表!$B:$B,MATCH(H4577,编号表!$A:$A,0))*100000+INDEX(编号表!$F:$F,MATCH(D4577,编号表!$E:$E,0))*10000+INDEX(编号表!$D:$D,MATCH(AG4577,编号表!$C:$C,0))*1000+F4577</f>
        <v>11827089</v>
      </c>
      <c r="C4577" t="s">
        <v>6397</v>
      </c>
      <c r="D4577" t="s">
        <v>112</v>
      </c>
      <c r="E4577" t="s">
        <v>101</v>
      </c>
      <c r="F4577">
        <v>89</v>
      </c>
      <c r="G4577">
        <v>60</v>
      </c>
      <c r="H4577" t="s">
        <v>7524</v>
      </c>
      <c r="I4577" t="s">
        <v>75</v>
      </c>
      <c r="J4577" t="s">
        <v>201</v>
      </c>
      <c r="K4577">
        <v>1</v>
      </c>
      <c r="L4577" t="s">
        <v>7524</v>
      </c>
      <c r="M4577"/>
      <c r="N4577">
        <v>0</v>
      </c>
      <c r="O4577" t="b">
        <v>1</v>
      </c>
      <c r="P4577"/>
      <c r="Q4577" t="b">
        <v>0</v>
      </c>
      <c r="R4577">
        <v>1</v>
      </c>
      <c r="S4577" t="s">
        <v>77</v>
      </c>
      <c r="T4577">
        <v>999</v>
      </c>
      <c r="U4577" t="s">
        <v>7525</v>
      </c>
      <c r="V4577">
        <f t="shared" si="11"/>
        <v>31827089</v>
      </c>
      <c r="W4577"/>
      <c r="X4577" t="s">
        <v>6400</v>
      </c>
      <c r="Y4577" t="s">
        <v>215</v>
      </c>
      <c r="Z4577">
        <v>22144</v>
      </c>
      <c r="AA4577" t="s">
        <v>6401</v>
      </c>
      <c r="AB4577">
        <v>40001</v>
      </c>
      <c r="AC4577"/>
      <c r="AD4577"/>
      <c r="AE4577" t="s">
        <v>7524</v>
      </c>
      <c r="AF4577" t="s">
        <v>7524</v>
      </c>
      <c r="AG4577" t="s">
        <v>101</v>
      </c>
    </row>
    <row r="4578" spans="2:33">
      <c r="B4578" s="14">
        <f>10000000+INDEX(编号表!$B:$B,MATCH(H4578,编号表!$A:$A,0))*100000+INDEX(编号表!$F:$F,MATCH(D4578,编号表!$E:$E,0))*10000+INDEX(编号表!$D:$D,MATCH(AG4578,编号表!$C:$C,0))*1000+F4578</f>
        <v>11827090</v>
      </c>
      <c r="C4578" t="s">
        <v>6404</v>
      </c>
      <c r="D4578" t="s">
        <v>112</v>
      </c>
      <c r="E4578" t="s">
        <v>101</v>
      </c>
      <c r="F4578">
        <v>90</v>
      </c>
      <c r="G4578">
        <v>60</v>
      </c>
      <c r="H4578" t="s">
        <v>7524</v>
      </c>
      <c r="I4578" t="s">
        <v>75</v>
      </c>
      <c r="J4578" t="s">
        <v>201</v>
      </c>
      <c r="K4578">
        <v>1</v>
      </c>
      <c r="L4578" t="s">
        <v>7524</v>
      </c>
      <c r="M4578"/>
      <c r="N4578">
        <v>0</v>
      </c>
      <c r="O4578" t="b">
        <v>1</v>
      </c>
      <c r="P4578"/>
      <c r="Q4578" t="b">
        <v>0</v>
      </c>
      <c r="R4578">
        <v>1</v>
      </c>
      <c r="S4578" t="s">
        <v>77</v>
      </c>
      <c r="T4578">
        <v>999</v>
      </c>
      <c r="U4578" t="s">
        <v>7525</v>
      </c>
      <c r="V4578">
        <f t="shared" si="11"/>
        <v>31827090</v>
      </c>
      <c r="W4578"/>
      <c r="X4578" t="s">
        <v>6407</v>
      </c>
      <c r="Y4578" t="s">
        <v>215</v>
      </c>
      <c r="Z4578">
        <v>22147</v>
      </c>
      <c r="AA4578" t="s">
        <v>6408</v>
      </c>
      <c r="AB4578">
        <v>40001</v>
      </c>
      <c r="AC4578"/>
      <c r="AD4578"/>
      <c r="AE4578" t="s">
        <v>7524</v>
      </c>
      <c r="AF4578" t="s">
        <v>7524</v>
      </c>
      <c r="AG4578" t="s">
        <v>101</v>
      </c>
    </row>
    <row r="4579" spans="2:33">
      <c r="B4579" s="14">
        <f>10000000+INDEX(编号表!$B:$B,MATCH(H4579,编号表!$A:$A,0))*100000+INDEX(编号表!$F:$F,MATCH(D4579,编号表!$E:$E,0))*10000+INDEX(编号表!$D:$D,MATCH(AG4579,编号表!$C:$C,0))*1000+F4579</f>
        <v>11827091</v>
      </c>
      <c r="C4579" t="s">
        <v>6411</v>
      </c>
      <c r="D4579" t="s">
        <v>112</v>
      </c>
      <c r="E4579" t="s">
        <v>101</v>
      </c>
      <c r="F4579">
        <v>91</v>
      </c>
      <c r="G4579">
        <v>60</v>
      </c>
      <c r="H4579" t="s">
        <v>7524</v>
      </c>
      <c r="I4579" t="s">
        <v>75</v>
      </c>
      <c r="J4579" t="s">
        <v>201</v>
      </c>
      <c r="K4579">
        <v>1</v>
      </c>
      <c r="L4579" t="s">
        <v>7524</v>
      </c>
      <c r="M4579"/>
      <c r="N4579">
        <v>0</v>
      </c>
      <c r="O4579" t="b">
        <v>1</v>
      </c>
      <c r="P4579"/>
      <c r="Q4579" t="b">
        <v>0</v>
      </c>
      <c r="R4579">
        <v>1</v>
      </c>
      <c r="S4579" t="s">
        <v>77</v>
      </c>
      <c r="T4579">
        <v>999</v>
      </c>
      <c r="U4579" t="s">
        <v>7525</v>
      </c>
      <c r="V4579">
        <f t="shared" si="11"/>
        <v>31827091</v>
      </c>
      <c r="W4579"/>
      <c r="X4579" t="s">
        <v>6414</v>
      </c>
      <c r="Y4579" t="s">
        <v>215</v>
      </c>
      <c r="Z4579">
        <v>22150</v>
      </c>
      <c r="AA4579" t="s">
        <v>6415</v>
      </c>
      <c r="AB4579">
        <v>40001</v>
      </c>
      <c r="AC4579"/>
      <c r="AD4579"/>
      <c r="AE4579" t="s">
        <v>7524</v>
      </c>
      <c r="AF4579" t="s">
        <v>7524</v>
      </c>
      <c r="AG4579" t="s">
        <v>101</v>
      </c>
    </row>
    <row r="4580" spans="2:33">
      <c r="B4580" s="14">
        <f>10000000+INDEX(编号表!$B:$B,MATCH(H4580,编号表!$A:$A,0))*100000+INDEX(编号表!$F:$F,MATCH(D4580,编号表!$E:$E,0))*10000+INDEX(编号表!$D:$D,MATCH(AG4580,编号表!$C:$C,0))*1000+F4580</f>
        <v>11827092</v>
      </c>
      <c r="C4580" t="s">
        <v>6418</v>
      </c>
      <c r="D4580" t="s">
        <v>112</v>
      </c>
      <c r="E4580" t="s">
        <v>101</v>
      </c>
      <c r="F4580">
        <v>92</v>
      </c>
      <c r="G4580">
        <v>60</v>
      </c>
      <c r="H4580" t="s">
        <v>7524</v>
      </c>
      <c r="I4580" t="s">
        <v>75</v>
      </c>
      <c r="J4580" t="s">
        <v>201</v>
      </c>
      <c r="K4580">
        <v>1</v>
      </c>
      <c r="L4580" t="s">
        <v>7524</v>
      </c>
      <c r="M4580"/>
      <c r="N4580">
        <v>0</v>
      </c>
      <c r="O4580" t="b">
        <v>1</v>
      </c>
      <c r="P4580"/>
      <c r="Q4580" t="b">
        <v>0</v>
      </c>
      <c r="R4580">
        <v>1</v>
      </c>
      <c r="S4580" t="s">
        <v>77</v>
      </c>
      <c r="T4580">
        <v>999</v>
      </c>
      <c r="U4580" t="s">
        <v>7525</v>
      </c>
      <c r="V4580">
        <f t="shared" si="11"/>
        <v>31827092</v>
      </c>
      <c r="W4580"/>
      <c r="X4580" t="s">
        <v>6421</v>
      </c>
      <c r="Y4580" t="s">
        <v>215</v>
      </c>
      <c r="Z4580">
        <v>22153</v>
      </c>
      <c r="AA4580" t="s">
        <v>6422</v>
      </c>
      <c r="AB4580">
        <v>40001</v>
      </c>
      <c r="AC4580"/>
      <c r="AD4580"/>
      <c r="AE4580" t="s">
        <v>7524</v>
      </c>
      <c r="AF4580" t="s">
        <v>7524</v>
      </c>
      <c r="AG4580" t="s">
        <v>101</v>
      </c>
    </row>
    <row r="4581" spans="2:33">
      <c r="B4581" s="14">
        <f>10000000+INDEX(编号表!$B:$B,MATCH(H4581,编号表!$A:$A,0))*100000+INDEX(编号表!$F:$F,MATCH(D4581,编号表!$E:$E,0))*10000+INDEX(编号表!$D:$D,MATCH(AG4581,编号表!$C:$C,0))*1000+F4581</f>
        <v>11827093</v>
      </c>
      <c r="C4581" t="s">
        <v>6425</v>
      </c>
      <c r="D4581" t="s">
        <v>112</v>
      </c>
      <c r="E4581" t="s">
        <v>101</v>
      </c>
      <c r="F4581">
        <v>93</v>
      </c>
      <c r="G4581">
        <v>60</v>
      </c>
      <c r="H4581" t="s">
        <v>7524</v>
      </c>
      <c r="I4581" t="s">
        <v>75</v>
      </c>
      <c r="J4581" t="s">
        <v>201</v>
      </c>
      <c r="K4581">
        <v>1</v>
      </c>
      <c r="L4581" t="s">
        <v>7524</v>
      </c>
      <c r="M4581"/>
      <c r="N4581">
        <v>0</v>
      </c>
      <c r="O4581" t="b">
        <v>1</v>
      </c>
      <c r="P4581"/>
      <c r="Q4581" t="b">
        <v>0</v>
      </c>
      <c r="R4581">
        <v>1</v>
      </c>
      <c r="S4581" t="s">
        <v>77</v>
      </c>
      <c r="T4581">
        <v>999</v>
      </c>
      <c r="U4581" t="s">
        <v>7525</v>
      </c>
      <c r="V4581">
        <f t="shared" si="11"/>
        <v>31827093</v>
      </c>
      <c r="W4581"/>
      <c r="X4581" t="s">
        <v>6428</v>
      </c>
      <c r="Y4581" t="s">
        <v>215</v>
      </c>
      <c r="Z4581">
        <v>22156</v>
      </c>
      <c r="AA4581" t="s">
        <v>6429</v>
      </c>
      <c r="AB4581">
        <v>40001</v>
      </c>
      <c r="AC4581"/>
      <c r="AD4581"/>
      <c r="AE4581" t="s">
        <v>7524</v>
      </c>
      <c r="AF4581" t="s">
        <v>7524</v>
      </c>
      <c r="AG4581" t="s">
        <v>101</v>
      </c>
    </row>
    <row r="4582" spans="2:33">
      <c r="B4582" s="14">
        <f>10000000+INDEX(编号表!$B:$B,MATCH(H4582,编号表!$A:$A,0))*100000+INDEX(编号表!$F:$F,MATCH(D4582,编号表!$E:$E,0))*10000+INDEX(编号表!$D:$D,MATCH(AG4582,编号表!$C:$C,0))*1000+F4582</f>
        <v>11827094</v>
      </c>
      <c r="C4582" t="s">
        <v>6432</v>
      </c>
      <c r="D4582" t="s">
        <v>112</v>
      </c>
      <c r="E4582" t="s">
        <v>101</v>
      </c>
      <c r="F4582">
        <v>94</v>
      </c>
      <c r="G4582">
        <v>60</v>
      </c>
      <c r="H4582" t="s">
        <v>7524</v>
      </c>
      <c r="I4582" t="s">
        <v>75</v>
      </c>
      <c r="J4582" t="s">
        <v>201</v>
      </c>
      <c r="K4582">
        <v>1</v>
      </c>
      <c r="L4582" t="s">
        <v>7524</v>
      </c>
      <c r="M4582"/>
      <c r="N4582">
        <v>0</v>
      </c>
      <c r="O4582" t="b">
        <v>1</v>
      </c>
      <c r="P4582"/>
      <c r="Q4582" t="b">
        <v>0</v>
      </c>
      <c r="R4582">
        <v>1</v>
      </c>
      <c r="S4582" t="s">
        <v>77</v>
      </c>
      <c r="T4582">
        <v>999</v>
      </c>
      <c r="U4582" t="s">
        <v>7525</v>
      </c>
      <c r="V4582">
        <f t="shared" si="11"/>
        <v>31827094</v>
      </c>
      <c r="W4582"/>
      <c r="X4582" t="s">
        <v>6435</v>
      </c>
      <c r="Y4582" t="s">
        <v>215</v>
      </c>
      <c r="Z4582">
        <v>22159</v>
      </c>
      <c r="AA4582" t="s">
        <v>6436</v>
      </c>
      <c r="AB4582">
        <v>40001</v>
      </c>
      <c r="AC4582"/>
      <c r="AD4582"/>
      <c r="AE4582" t="s">
        <v>7524</v>
      </c>
      <c r="AF4582" t="s">
        <v>7524</v>
      </c>
      <c r="AG4582" t="s">
        <v>101</v>
      </c>
    </row>
    <row r="4583" spans="2:33">
      <c r="B4583" s="14">
        <f>10000000+INDEX(编号表!$B:$B,MATCH(H4583,编号表!$A:$A,0))*100000+INDEX(编号表!$F:$F,MATCH(D4583,编号表!$E:$E,0))*10000+INDEX(编号表!$D:$D,MATCH(AG4583,编号表!$C:$C,0))*1000+F4583</f>
        <v>11827095</v>
      </c>
      <c r="C4583" t="s">
        <v>6439</v>
      </c>
      <c r="D4583" t="s">
        <v>112</v>
      </c>
      <c r="E4583" t="s">
        <v>101</v>
      </c>
      <c r="F4583">
        <v>95</v>
      </c>
      <c r="G4583">
        <v>60</v>
      </c>
      <c r="H4583" t="s">
        <v>7524</v>
      </c>
      <c r="I4583" t="s">
        <v>75</v>
      </c>
      <c r="J4583" t="s">
        <v>201</v>
      </c>
      <c r="K4583">
        <v>1</v>
      </c>
      <c r="L4583" t="s">
        <v>7524</v>
      </c>
      <c r="M4583"/>
      <c r="N4583">
        <v>0</v>
      </c>
      <c r="O4583" t="b">
        <v>1</v>
      </c>
      <c r="P4583"/>
      <c r="Q4583" t="b">
        <v>0</v>
      </c>
      <c r="R4583">
        <v>1</v>
      </c>
      <c r="S4583" t="s">
        <v>77</v>
      </c>
      <c r="T4583">
        <v>999</v>
      </c>
      <c r="U4583" t="s">
        <v>7525</v>
      </c>
      <c r="V4583">
        <f t="shared" si="11"/>
        <v>31827095</v>
      </c>
      <c r="W4583"/>
      <c r="X4583" t="s">
        <v>6442</v>
      </c>
      <c r="Y4583" t="s">
        <v>215</v>
      </c>
      <c r="Z4583">
        <v>22162</v>
      </c>
      <c r="AA4583" t="s">
        <v>6443</v>
      </c>
      <c r="AB4583">
        <v>40001</v>
      </c>
      <c r="AC4583"/>
      <c r="AD4583"/>
      <c r="AE4583" t="s">
        <v>7524</v>
      </c>
      <c r="AF4583" t="s">
        <v>7524</v>
      </c>
      <c r="AG4583" t="s">
        <v>101</v>
      </c>
    </row>
    <row r="4584" spans="2:33">
      <c r="B4584" s="14">
        <f>10000000+INDEX(编号表!$B:$B,MATCH(H4584,编号表!$A:$A,0))*100000+INDEX(编号表!$F:$F,MATCH(D4584,编号表!$E:$E,0))*10000+INDEX(编号表!$D:$D,MATCH(AG4584,编号表!$C:$C,0))*1000+F4584</f>
        <v>11827096</v>
      </c>
      <c r="C4584" t="s">
        <v>6446</v>
      </c>
      <c r="D4584" t="s">
        <v>112</v>
      </c>
      <c r="E4584" t="s">
        <v>101</v>
      </c>
      <c r="F4584">
        <v>96</v>
      </c>
      <c r="G4584">
        <v>60</v>
      </c>
      <c r="H4584" t="s">
        <v>7524</v>
      </c>
      <c r="I4584" t="s">
        <v>75</v>
      </c>
      <c r="J4584" t="s">
        <v>201</v>
      </c>
      <c r="K4584">
        <v>1</v>
      </c>
      <c r="L4584" t="s">
        <v>7524</v>
      </c>
      <c r="M4584"/>
      <c r="N4584">
        <v>0</v>
      </c>
      <c r="O4584" t="b">
        <v>1</v>
      </c>
      <c r="P4584"/>
      <c r="Q4584" t="b">
        <v>0</v>
      </c>
      <c r="R4584">
        <v>1</v>
      </c>
      <c r="S4584" t="s">
        <v>77</v>
      </c>
      <c r="T4584">
        <v>999</v>
      </c>
      <c r="U4584" t="s">
        <v>7525</v>
      </c>
      <c r="V4584">
        <f t="shared" si="11"/>
        <v>31827096</v>
      </c>
      <c r="W4584"/>
      <c r="X4584" t="s">
        <v>6449</v>
      </c>
      <c r="Y4584" t="s">
        <v>215</v>
      </c>
      <c r="Z4584">
        <v>22165</v>
      </c>
      <c r="AA4584" t="s">
        <v>6450</v>
      </c>
      <c r="AB4584">
        <v>40001</v>
      </c>
      <c r="AC4584"/>
      <c r="AD4584"/>
      <c r="AE4584" t="s">
        <v>7524</v>
      </c>
      <c r="AF4584" t="s">
        <v>7524</v>
      </c>
      <c r="AG4584" t="s">
        <v>101</v>
      </c>
    </row>
    <row r="4585" spans="2:33">
      <c r="B4585" s="14">
        <f>10000000+INDEX(编号表!$B:$B,MATCH(H4585,编号表!$A:$A,0))*100000+INDEX(编号表!$F:$F,MATCH(D4585,编号表!$E:$E,0))*10000+INDEX(编号表!$D:$D,MATCH(AG4585,编号表!$C:$C,0))*1000+F4585</f>
        <v>11827097</v>
      </c>
      <c r="C4585" t="s">
        <v>6453</v>
      </c>
      <c r="D4585" t="s">
        <v>112</v>
      </c>
      <c r="E4585" t="s">
        <v>101</v>
      </c>
      <c r="F4585">
        <v>97</v>
      </c>
      <c r="G4585">
        <v>60</v>
      </c>
      <c r="H4585" t="s">
        <v>7524</v>
      </c>
      <c r="I4585" t="s">
        <v>75</v>
      </c>
      <c r="J4585" t="s">
        <v>201</v>
      </c>
      <c r="K4585">
        <v>1</v>
      </c>
      <c r="L4585" t="s">
        <v>7524</v>
      </c>
      <c r="M4585"/>
      <c r="N4585">
        <v>0</v>
      </c>
      <c r="O4585" t="b">
        <v>1</v>
      </c>
      <c r="P4585"/>
      <c r="Q4585" t="b">
        <v>0</v>
      </c>
      <c r="R4585">
        <v>1</v>
      </c>
      <c r="S4585" t="s">
        <v>77</v>
      </c>
      <c r="T4585">
        <v>999</v>
      </c>
      <c r="U4585" t="s">
        <v>7525</v>
      </c>
      <c r="V4585">
        <f t="shared" si="11"/>
        <v>31827097</v>
      </c>
      <c r="W4585"/>
      <c r="X4585" t="s">
        <v>6456</v>
      </c>
      <c r="Y4585" t="s">
        <v>215</v>
      </c>
      <c r="Z4585">
        <v>22168</v>
      </c>
      <c r="AA4585" t="s">
        <v>6457</v>
      </c>
      <c r="AB4585">
        <v>40001</v>
      </c>
      <c r="AC4585"/>
      <c r="AD4585"/>
      <c r="AE4585" t="s">
        <v>7524</v>
      </c>
      <c r="AF4585" t="s">
        <v>7524</v>
      </c>
      <c r="AG4585" t="s">
        <v>101</v>
      </c>
    </row>
    <row r="4586" spans="2:33">
      <c r="B4586" s="14">
        <f>10000000+INDEX(编号表!$B:$B,MATCH(H4586,编号表!$A:$A,0))*100000+INDEX(编号表!$F:$F,MATCH(D4586,编号表!$E:$E,0))*10000+INDEX(编号表!$D:$D,MATCH(AG4586,编号表!$C:$C,0))*1000+F4586</f>
        <v>11827098</v>
      </c>
      <c r="C4586" t="s">
        <v>6460</v>
      </c>
      <c r="D4586" t="s">
        <v>112</v>
      </c>
      <c r="E4586" t="s">
        <v>101</v>
      </c>
      <c r="F4586">
        <v>98</v>
      </c>
      <c r="G4586">
        <v>60</v>
      </c>
      <c r="H4586" t="s">
        <v>7524</v>
      </c>
      <c r="I4586" t="s">
        <v>75</v>
      </c>
      <c r="J4586" t="s">
        <v>201</v>
      </c>
      <c r="K4586">
        <v>1</v>
      </c>
      <c r="L4586" t="s">
        <v>7524</v>
      </c>
      <c r="M4586"/>
      <c r="N4586">
        <v>0</v>
      </c>
      <c r="O4586" t="b">
        <v>1</v>
      </c>
      <c r="P4586"/>
      <c r="Q4586" t="b">
        <v>0</v>
      </c>
      <c r="R4586">
        <v>1</v>
      </c>
      <c r="S4586" t="s">
        <v>77</v>
      </c>
      <c r="T4586">
        <v>999</v>
      </c>
      <c r="U4586" t="s">
        <v>7525</v>
      </c>
      <c r="V4586">
        <f t="shared" si="11"/>
        <v>31827098</v>
      </c>
      <c r="W4586"/>
      <c r="X4586" t="s">
        <v>6463</v>
      </c>
      <c r="Y4586" t="s">
        <v>215</v>
      </c>
      <c r="Z4586">
        <v>22171</v>
      </c>
      <c r="AA4586" t="s">
        <v>6464</v>
      </c>
      <c r="AB4586">
        <v>40001</v>
      </c>
      <c r="AC4586"/>
      <c r="AD4586"/>
      <c r="AE4586" t="s">
        <v>7524</v>
      </c>
      <c r="AF4586" t="s">
        <v>7524</v>
      </c>
      <c r="AG4586" t="s">
        <v>101</v>
      </c>
    </row>
    <row r="4587" spans="2:33">
      <c r="B4587" s="14">
        <f>10000000+INDEX(编号表!$B:$B,MATCH(H4587,编号表!$A:$A,0))*100000+INDEX(编号表!$F:$F,MATCH(D4587,编号表!$E:$E,0))*10000+INDEX(编号表!$D:$D,MATCH(AG4587,编号表!$C:$C,0))*1000+F4587</f>
        <v>11827099</v>
      </c>
      <c r="C4587" t="s">
        <v>6467</v>
      </c>
      <c r="D4587" t="s">
        <v>112</v>
      </c>
      <c r="E4587" t="s">
        <v>101</v>
      </c>
      <c r="F4587">
        <v>99</v>
      </c>
      <c r="G4587">
        <v>60</v>
      </c>
      <c r="H4587" t="s">
        <v>7524</v>
      </c>
      <c r="I4587" t="s">
        <v>75</v>
      </c>
      <c r="J4587" t="s">
        <v>201</v>
      </c>
      <c r="K4587">
        <v>1</v>
      </c>
      <c r="L4587" t="s">
        <v>7524</v>
      </c>
      <c r="M4587"/>
      <c r="N4587">
        <v>0</v>
      </c>
      <c r="O4587" t="b">
        <v>1</v>
      </c>
      <c r="P4587"/>
      <c r="Q4587" t="b">
        <v>0</v>
      </c>
      <c r="R4587">
        <v>1</v>
      </c>
      <c r="S4587" t="s">
        <v>77</v>
      </c>
      <c r="T4587">
        <v>999</v>
      </c>
      <c r="U4587" t="s">
        <v>7525</v>
      </c>
      <c r="V4587">
        <f t="shared" si="11"/>
        <v>31827099</v>
      </c>
      <c r="W4587"/>
      <c r="X4587" t="s">
        <v>6470</v>
      </c>
      <c r="Y4587" t="s">
        <v>215</v>
      </c>
      <c r="Z4587">
        <v>22174</v>
      </c>
      <c r="AA4587" t="s">
        <v>6471</v>
      </c>
      <c r="AB4587">
        <v>40001</v>
      </c>
      <c r="AC4587"/>
      <c r="AD4587"/>
      <c r="AE4587" t="s">
        <v>7524</v>
      </c>
      <c r="AF4587" t="s">
        <v>7524</v>
      </c>
      <c r="AG4587" t="s">
        <v>101</v>
      </c>
    </row>
    <row r="4588" spans="2:33">
      <c r="B4588" s="14">
        <f>10000000+INDEX(编号表!$B:$B,MATCH(H4588,编号表!$A:$A,0))*100000+INDEX(编号表!$F:$F,MATCH(D4588,编号表!$E:$E,0))*10000+INDEX(编号表!$D:$D,MATCH(AG4588,编号表!$C:$C,0))*1000+F4588</f>
        <v>11827100</v>
      </c>
      <c r="C4588" t="s">
        <v>6474</v>
      </c>
      <c r="D4588" t="s">
        <v>112</v>
      </c>
      <c r="E4588" t="s">
        <v>101</v>
      </c>
      <c r="F4588">
        <v>100</v>
      </c>
      <c r="G4588">
        <v>60</v>
      </c>
      <c r="H4588" t="s">
        <v>7524</v>
      </c>
      <c r="I4588" t="s">
        <v>75</v>
      </c>
      <c r="J4588" t="s">
        <v>201</v>
      </c>
      <c r="K4588">
        <v>1</v>
      </c>
      <c r="L4588" t="s">
        <v>7524</v>
      </c>
      <c r="M4588"/>
      <c r="N4588">
        <v>0</v>
      </c>
      <c r="O4588" t="b">
        <v>1</v>
      </c>
      <c r="P4588"/>
      <c r="Q4588" t="b">
        <v>0</v>
      </c>
      <c r="R4588">
        <v>1</v>
      </c>
      <c r="S4588" t="s">
        <v>77</v>
      </c>
      <c r="T4588">
        <v>999</v>
      </c>
      <c r="U4588" t="s">
        <v>7525</v>
      </c>
      <c r="V4588">
        <f t="shared" si="11"/>
        <v>31827100</v>
      </c>
      <c r="W4588"/>
      <c r="X4588" t="s">
        <v>6477</v>
      </c>
      <c r="Y4588" t="s">
        <v>215</v>
      </c>
      <c r="Z4588">
        <v>22177</v>
      </c>
      <c r="AA4588" t="s">
        <v>6478</v>
      </c>
      <c r="AB4588">
        <v>40001</v>
      </c>
      <c r="AC4588"/>
      <c r="AD4588"/>
      <c r="AE4588" t="s">
        <v>7524</v>
      </c>
      <c r="AF4588" t="s">
        <v>7524</v>
      </c>
      <c r="AG4588" t="s">
        <v>101</v>
      </c>
    </row>
    <row r="4589" spans="2:33">
      <c r="B4589" s="14">
        <f>10000000+INDEX(编号表!$B:$B,MATCH(H4589,编号表!$A:$A,0))*100000+INDEX(编号表!$F:$F,MATCH(D4589,编号表!$E:$E,0))*10000+INDEX(编号表!$D:$D,MATCH(AG4589,编号表!$C:$C,0))*1000+F4589</f>
        <v>11827101</v>
      </c>
      <c r="C4589" t="s">
        <v>6481</v>
      </c>
      <c r="D4589" t="s">
        <v>112</v>
      </c>
      <c r="E4589" t="s">
        <v>101</v>
      </c>
      <c r="F4589">
        <v>101</v>
      </c>
      <c r="G4589">
        <v>60</v>
      </c>
      <c r="H4589" t="s">
        <v>7524</v>
      </c>
      <c r="I4589" t="s">
        <v>75</v>
      </c>
      <c r="J4589" t="s">
        <v>201</v>
      </c>
      <c r="K4589">
        <v>1</v>
      </c>
      <c r="L4589" t="s">
        <v>7524</v>
      </c>
      <c r="M4589"/>
      <c r="N4589">
        <v>0</v>
      </c>
      <c r="O4589" t="b">
        <v>1</v>
      </c>
      <c r="P4589"/>
      <c r="Q4589" t="b">
        <v>0</v>
      </c>
      <c r="R4589">
        <v>1</v>
      </c>
      <c r="S4589" t="s">
        <v>77</v>
      </c>
      <c r="T4589">
        <v>999</v>
      </c>
      <c r="U4589" t="s">
        <v>7525</v>
      </c>
      <c r="V4589">
        <f t="shared" si="11"/>
        <v>31827101</v>
      </c>
      <c r="W4589"/>
      <c r="X4589" t="s">
        <v>6484</v>
      </c>
      <c r="Y4589" t="s">
        <v>215</v>
      </c>
      <c r="Z4589">
        <v>22180</v>
      </c>
      <c r="AA4589" t="s">
        <v>6485</v>
      </c>
      <c r="AB4589">
        <v>40001</v>
      </c>
      <c r="AC4589"/>
      <c r="AD4589"/>
      <c r="AE4589" t="s">
        <v>7524</v>
      </c>
      <c r="AF4589" t="s">
        <v>7524</v>
      </c>
      <c r="AG4589" t="s">
        <v>101</v>
      </c>
    </row>
    <row r="4590" spans="2:33">
      <c r="B4590" s="14">
        <f>10000000+INDEX(编号表!$B:$B,MATCH(H4590,编号表!$A:$A,0))*100000+INDEX(编号表!$F:$F,MATCH(D4590,编号表!$E:$E,0))*10000+INDEX(编号表!$D:$D,MATCH(AG4590,编号表!$C:$C,0))*1000+F4590</f>
        <v>11827102</v>
      </c>
      <c r="C4590" t="s">
        <v>6488</v>
      </c>
      <c r="D4590" t="s">
        <v>112</v>
      </c>
      <c r="E4590" t="s">
        <v>101</v>
      </c>
      <c r="F4590">
        <v>102</v>
      </c>
      <c r="G4590">
        <v>60</v>
      </c>
      <c r="H4590" t="s">
        <v>7524</v>
      </c>
      <c r="I4590" t="s">
        <v>75</v>
      </c>
      <c r="J4590" t="s">
        <v>201</v>
      </c>
      <c r="K4590">
        <v>1</v>
      </c>
      <c r="L4590" t="s">
        <v>7524</v>
      </c>
      <c r="M4590"/>
      <c r="N4590">
        <v>0</v>
      </c>
      <c r="O4590" t="b">
        <v>1</v>
      </c>
      <c r="P4590"/>
      <c r="Q4590" t="b">
        <v>0</v>
      </c>
      <c r="R4590">
        <v>1</v>
      </c>
      <c r="S4590" t="s">
        <v>77</v>
      </c>
      <c r="T4590">
        <v>999</v>
      </c>
      <c r="U4590" t="s">
        <v>7525</v>
      </c>
      <c r="V4590">
        <f t="shared" si="11"/>
        <v>31827102</v>
      </c>
      <c r="W4590"/>
      <c r="X4590" t="s">
        <v>6491</v>
      </c>
      <c r="Y4590" t="s">
        <v>215</v>
      </c>
      <c r="Z4590">
        <v>22183</v>
      </c>
      <c r="AA4590" t="s">
        <v>6492</v>
      </c>
      <c r="AB4590">
        <v>40001</v>
      </c>
      <c r="AC4590"/>
      <c r="AD4590"/>
      <c r="AE4590" t="s">
        <v>7524</v>
      </c>
      <c r="AF4590" t="s">
        <v>7524</v>
      </c>
      <c r="AG4590" t="s">
        <v>101</v>
      </c>
    </row>
    <row r="4591" spans="2:33">
      <c r="B4591" s="14">
        <f>10000000+INDEX(编号表!$B:$B,MATCH(H4591,编号表!$A:$A,0))*100000+INDEX(编号表!$F:$F,MATCH(D4591,编号表!$E:$E,0))*10000+INDEX(编号表!$D:$D,MATCH(AG4591,编号表!$C:$C,0))*1000+F4591</f>
        <v>11827103</v>
      </c>
      <c r="C4591" t="s">
        <v>6495</v>
      </c>
      <c r="D4591" t="s">
        <v>112</v>
      </c>
      <c r="E4591" t="s">
        <v>101</v>
      </c>
      <c r="F4591">
        <v>103</v>
      </c>
      <c r="G4591">
        <v>60</v>
      </c>
      <c r="H4591" t="s">
        <v>7524</v>
      </c>
      <c r="I4591" t="s">
        <v>75</v>
      </c>
      <c r="J4591" t="s">
        <v>201</v>
      </c>
      <c r="K4591">
        <v>1</v>
      </c>
      <c r="L4591" t="s">
        <v>7524</v>
      </c>
      <c r="M4591"/>
      <c r="N4591">
        <v>0</v>
      </c>
      <c r="O4591" t="b">
        <v>1</v>
      </c>
      <c r="P4591"/>
      <c r="Q4591" t="b">
        <v>0</v>
      </c>
      <c r="R4591">
        <v>1</v>
      </c>
      <c r="S4591" t="s">
        <v>77</v>
      </c>
      <c r="T4591">
        <v>999</v>
      </c>
      <c r="U4591" t="s">
        <v>7525</v>
      </c>
      <c r="V4591">
        <f t="shared" si="11"/>
        <v>31827103</v>
      </c>
      <c r="W4591"/>
      <c r="X4591" t="s">
        <v>6498</v>
      </c>
      <c r="Y4591" t="s">
        <v>215</v>
      </c>
      <c r="Z4591">
        <v>22186</v>
      </c>
      <c r="AA4591" t="s">
        <v>6499</v>
      </c>
      <c r="AB4591">
        <v>40001</v>
      </c>
      <c r="AC4591"/>
      <c r="AD4591"/>
      <c r="AE4591" t="s">
        <v>7524</v>
      </c>
      <c r="AF4591" t="s">
        <v>7524</v>
      </c>
      <c r="AG4591" t="s">
        <v>101</v>
      </c>
    </row>
    <row r="4592" spans="2:33">
      <c r="B4592" s="14">
        <f>10000000+INDEX(编号表!$B:$B,MATCH(H4592,编号表!$A:$A,0))*100000+INDEX(编号表!$F:$F,MATCH(D4592,编号表!$E:$E,0))*10000+INDEX(编号表!$D:$D,MATCH(AG4592,编号表!$C:$C,0))*1000+F4592</f>
        <v>11827104</v>
      </c>
      <c r="C4592" t="s">
        <v>6502</v>
      </c>
      <c r="D4592" t="s">
        <v>112</v>
      </c>
      <c r="E4592" t="s">
        <v>101</v>
      </c>
      <c r="F4592">
        <v>104</v>
      </c>
      <c r="G4592">
        <v>60</v>
      </c>
      <c r="H4592" t="s">
        <v>7524</v>
      </c>
      <c r="I4592" t="s">
        <v>75</v>
      </c>
      <c r="J4592" t="s">
        <v>201</v>
      </c>
      <c r="K4592">
        <v>1</v>
      </c>
      <c r="L4592" t="s">
        <v>7524</v>
      </c>
      <c r="M4592"/>
      <c r="N4592">
        <v>0</v>
      </c>
      <c r="O4592" t="b">
        <v>1</v>
      </c>
      <c r="P4592"/>
      <c r="Q4592" t="b">
        <v>0</v>
      </c>
      <c r="R4592">
        <v>1</v>
      </c>
      <c r="S4592" t="s">
        <v>77</v>
      </c>
      <c r="T4592">
        <v>999</v>
      </c>
      <c r="U4592" t="s">
        <v>7525</v>
      </c>
      <c r="V4592">
        <f t="shared" si="11"/>
        <v>31827104</v>
      </c>
      <c r="W4592"/>
      <c r="X4592" t="s">
        <v>6505</v>
      </c>
      <c r="Y4592" t="s">
        <v>215</v>
      </c>
      <c r="Z4592">
        <v>22189</v>
      </c>
      <c r="AA4592" t="s">
        <v>6506</v>
      </c>
      <c r="AB4592">
        <v>40001</v>
      </c>
      <c r="AC4592"/>
      <c r="AD4592"/>
      <c r="AE4592" t="s">
        <v>7524</v>
      </c>
      <c r="AF4592" t="s">
        <v>7524</v>
      </c>
      <c r="AG4592" t="s">
        <v>101</v>
      </c>
    </row>
    <row r="4593" spans="2:33">
      <c r="B4593" s="14">
        <f>10000000+INDEX(编号表!$B:$B,MATCH(H4593,编号表!$A:$A,0))*100000+INDEX(编号表!$F:$F,MATCH(D4593,编号表!$E:$E,0))*10000+INDEX(编号表!$D:$D,MATCH(AG4593,编号表!$C:$C,0))*1000+F4593</f>
        <v>11827105</v>
      </c>
      <c r="C4593" t="s">
        <v>6509</v>
      </c>
      <c r="D4593" t="s">
        <v>112</v>
      </c>
      <c r="E4593" t="s">
        <v>101</v>
      </c>
      <c r="F4593">
        <v>105</v>
      </c>
      <c r="G4593">
        <v>60</v>
      </c>
      <c r="H4593" t="s">
        <v>7524</v>
      </c>
      <c r="I4593" t="s">
        <v>75</v>
      </c>
      <c r="J4593" t="s">
        <v>201</v>
      </c>
      <c r="K4593">
        <v>1</v>
      </c>
      <c r="L4593" t="s">
        <v>7524</v>
      </c>
      <c r="M4593"/>
      <c r="N4593">
        <v>0</v>
      </c>
      <c r="O4593" t="b">
        <v>1</v>
      </c>
      <c r="P4593"/>
      <c r="Q4593" t="b">
        <v>0</v>
      </c>
      <c r="R4593">
        <v>1</v>
      </c>
      <c r="S4593" t="s">
        <v>77</v>
      </c>
      <c r="T4593">
        <v>999</v>
      </c>
      <c r="U4593" t="s">
        <v>7525</v>
      </c>
      <c r="V4593">
        <f t="shared" si="11"/>
        <v>31827105</v>
      </c>
      <c r="W4593"/>
      <c r="X4593" t="s">
        <v>6512</v>
      </c>
      <c r="Y4593" t="s">
        <v>215</v>
      </c>
      <c r="Z4593">
        <v>22192</v>
      </c>
      <c r="AA4593" t="s">
        <v>6513</v>
      </c>
      <c r="AB4593">
        <v>40001</v>
      </c>
      <c r="AC4593"/>
      <c r="AD4593"/>
      <c r="AE4593" t="s">
        <v>7524</v>
      </c>
      <c r="AF4593" t="s">
        <v>7524</v>
      </c>
      <c r="AG4593" t="s">
        <v>101</v>
      </c>
    </row>
    <row r="4594" spans="2:33">
      <c r="B4594" s="14">
        <f>10000000+INDEX(编号表!$B:$B,MATCH(H4594,编号表!$A:$A,0))*100000+INDEX(编号表!$F:$F,MATCH(D4594,编号表!$E:$E,0))*10000+INDEX(编号表!$D:$D,MATCH(AG4594,编号表!$C:$C,0))*1000+F4594</f>
        <v>11827106</v>
      </c>
      <c r="C4594" t="s">
        <v>6516</v>
      </c>
      <c r="D4594" t="s">
        <v>112</v>
      </c>
      <c r="E4594" t="s">
        <v>101</v>
      </c>
      <c r="F4594">
        <v>106</v>
      </c>
      <c r="G4594">
        <v>60</v>
      </c>
      <c r="H4594" t="s">
        <v>7524</v>
      </c>
      <c r="I4594" t="s">
        <v>75</v>
      </c>
      <c r="J4594" t="s">
        <v>201</v>
      </c>
      <c r="K4594">
        <v>1</v>
      </c>
      <c r="L4594" t="s">
        <v>7524</v>
      </c>
      <c r="M4594"/>
      <c r="N4594">
        <v>0</v>
      </c>
      <c r="O4594" t="b">
        <v>1</v>
      </c>
      <c r="P4594"/>
      <c r="Q4594" t="b">
        <v>0</v>
      </c>
      <c r="R4594">
        <v>1</v>
      </c>
      <c r="S4594" t="s">
        <v>77</v>
      </c>
      <c r="T4594">
        <v>999</v>
      </c>
      <c r="U4594" t="s">
        <v>7525</v>
      </c>
      <c r="V4594">
        <f t="shared" si="11"/>
        <v>31827106</v>
      </c>
      <c r="W4594"/>
      <c r="X4594" t="s">
        <v>6519</v>
      </c>
      <c r="Y4594" t="s">
        <v>215</v>
      </c>
      <c r="Z4594">
        <v>22195</v>
      </c>
      <c r="AA4594" t="s">
        <v>6520</v>
      </c>
      <c r="AB4594">
        <v>40001</v>
      </c>
      <c r="AC4594"/>
      <c r="AD4594"/>
      <c r="AE4594" t="s">
        <v>7524</v>
      </c>
      <c r="AF4594" t="s">
        <v>7524</v>
      </c>
      <c r="AG4594" t="s">
        <v>101</v>
      </c>
    </row>
    <row r="4595" spans="2:33">
      <c r="B4595" s="14">
        <f>10000000+INDEX(编号表!$B:$B,MATCH(H4595,编号表!$A:$A,0))*100000+INDEX(编号表!$F:$F,MATCH(D4595,编号表!$E:$E,0))*10000+INDEX(编号表!$D:$D,MATCH(AG4595,编号表!$C:$C,0))*1000+F4595</f>
        <v>11827107</v>
      </c>
      <c r="C4595" t="s">
        <v>6523</v>
      </c>
      <c r="D4595" t="s">
        <v>112</v>
      </c>
      <c r="E4595" t="s">
        <v>101</v>
      </c>
      <c r="F4595">
        <v>107</v>
      </c>
      <c r="G4595">
        <v>60</v>
      </c>
      <c r="H4595" t="s">
        <v>7524</v>
      </c>
      <c r="I4595" t="s">
        <v>75</v>
      </c>
      <c r="J4595" t="s">
        <v>201</v>
      </c>
      <c r="K4595">
        <v>1</v>
      </c>
      <c r="L4595" t="s">
        <v>7524</v>
      </c>
      <c r="M4595"/>
      <c r="N4595">
        <v>0</v>
      </c>
      <c r="O4595" t="b">
        <v>1</v>
      </c>
      <c r="P4595"/>
      <c r="Q4595" t="b">
        <v>0</v>
      </c>
      <c r="R4595">
        <v>1</v>
      </c>
      <c r="S4595" t="s">
        <v>77</v>
      </c>
      <c r="T4595">
        <v>999</v>
      </c>
      <c r="U4595" t="s">
        <v>7525</v>
      </c>
      <c r="V4595">
        <f t="shared" si="11"/>
        <v>31827107</v>
      </c>
      <c r="W4595"/>
      <c r="X4595" t="s">
        <v>6526</v>
      </c>
      <c r="Y4595" t="s">
        <v>215</v>
      </c>
      <c r="Z4595">
        <v>22198</v>
      </c>
      <c r="AA4595" t="s">
        <v>6527</v>
      </c>
      <c r="AB4595">
        <v>40001</v>
      </c>
      <c r="AC4595"/>
      <c r="AD4595"/>
      <c r="AE4595" t="s">
        <v>7524</v>
      </c>
      <c r="AF4595" t="s">
        <v>7524</v>
      </c>
      <c r="AG4595" t="s">
        <v>101</v>
      </c>
    </row>
    <row r="4596" spans="2:33">
      <c r="B4596" s="14">
        <f>10000000+INDEX(编号表!$B:$B,MATCH(H4596,编号表!$A:$A,0))*100000+INDEX(编号表!$F:$F,MATCH(D4596,编号表!$E:$E,0))*10000+INDEX(编号表!$D:$D,MATCH(AG4596,编号表!$C:$C,0))*1000+F4596</f>
        <v>11827108</v>
      </c>
      <c r="C4596" t="s">
        <v>6530</v>
      </c>
      <c r="D4596" t="s">
        <v>112</v>
      </c>
      <c r="E4596" t="s">
        <v>101</v>
      </c>
      <c r="F4596">
        <v>108</v>
      </c>
      <c r="G4596">
        <v>60</v>
      </c>
      <c r="H4596" t="s">
        <v>7524</v>
      </c>
      <c r="I4596" t="s">
        <v>75</v>
      </c>
      <c r="J4596" t="s">
        <v>201</v>
      </c>
      <c r="K4596">
        <v>1</v>
      </c>
      <c r="L4596" t="s">
        <v>7524</v>
      </c>
      <c r="M4596"/>
      <c r="N4596">
        <v>0</v>
      </c>
      <c r="O4596" t="b">
        <v>1</v>
      </c>
      <c r="P4596"/>
      <c r="Q4596" t="b">
        <v>0</v>
      </c>
      <c r="R4596">
        <v>1</v>
      </c>
      <c r="S4596" t="s">
        <v>77</v>
      </c>
      <c r="T4596">
        <v>999</v>
      </c>
      <c r="U4596" t="s">
        <v>7525</v>
      </c>
      <c r="V4596">
        <f t="shared" si="11"/>
        <v>31827108</v>
      </c>
      <c r="W4596"/>
      <c r="X4596" t="s">
        <v>6533</v>
      </c>
      <c r="Y4596" t="s">
        <v>215</v>
      </c>
      <c r="Z4596">
        <v>22201</v>
      </c>
      <c r="AA4596" t="s">
        <v>6534</v>
      </c>
      <c r="AB4596">
        <v>40001</v>
      </c>
      <c r="AC4596"/>
      <c r="AD4596"/>
      <c r="AE4596" t="s">
        <v>7524</v>
      </c>
      <c r="AF4596" t="s">
        <v>7524</v>
      </c>
      <c r="AG4596" t="s">
        <v>101</v>
      </c>
    </row>
    <row r="4597" spans="2:33">
      <c r="B4597" s="14">
        <f>10000000+INDEX(编号表!$B:$B,MATCH(H4597,编号表!$A:$A,0))*100000+INDEX(编号表!$F:$F,MATCH(D4597,编号表!$E:$E,0))*10000+INDEX(编号表!$D:$D,MATCH(AG4597,编号表!$C:$C,0))*1000+F4597</f>
        <v>11827109</v>
      </c>
      <c r="C4597" t="s">
        <v>6537</v>
      </c>
      <c r="D4597" t="s">
        <v>112</v>
      </c>
      <c r="E4597" t="s">
        <v>101</v>
      </c>
      <c r="F4597">
        <v>109</v>
      </c>
      <c r="G4597">
        <v>60</v>
      </c>
      <c r="H4597" t="s">
        <v>7524</v>
      </c>
      <c r="I4597" t="s">
        <v>75</v>
      </c>
      <c r="J4597" t="s">
        <v>201</v>
      </c>
      <c r="K4597">
        <v>1</v>
      </c>
      <c r="L4597" t="s">
        <v>7524</v>
      </c>
      <c r="M4597"/>
      <c r="N4597">
        <v>0</v>
      </c>
      <c r="O4597" t="b">
        <v>1</v>
      </c>
      <c r="P4597"/>
      <c r="Q4597" t="b">
        <v>0</v>
      </c>
      <c r="R4597">
        <v>1</v>
      </c>
      <c r="S4597" t="s">
        <v>77</v>
      </c>
      <c r="T4597">
        <v>999</v>
      </c>
      <c r="U4597" t="s">
        <v>7525</v>
      </c>
      <c r="V4597">
        <f t="shared" si="11"/>
        <v>31827109</v>
      </c>
      <c r="W4597"/>
      <c r="X4597" t="s">
        <v>6540</v>
      </c>
      <c r="Y4597" t="s">
        <v>215</v>
      </c>
      <c r="Z4597">
        <v>22204</v>
      </c>
      <c r="AA4597" t="s">
        <v>6541</v>
      </c>
      <c r="AB4597">
        <v>40001</v>
      </c>
      <c r="AC4597"/>
      <c r="AD4597"/>
      <c r="AE4597" t="s">
        <v>7524</v>
      </c>
      <c r="AF4597" t="s">
        <v>7524</v>
      </c>
      <c r="AG4597" t="s">
        <v>101</v>
      </c>
    </row>
    <row r="4598" spans="2:33">
      <c r="B4598" s="14">
        <f>10000000+INDEX(编号表!$B:$B,MATCH(H4598,编号表!$A:$A,0))*100000+INDEX(编号表!$F:$F,MATCH(D4598,编号表!$E:$E,0))*10000+INDEX(编号表!$D:$D,MATCH(AG4598,编号表!$C:$C,0))*1000+F4598</f>
        <v>11827110</v>
      </c>
      <c r="C4598" t="s">
        <v>6544</v>
      </c>
      <c r="D4598" t="s">
        <v>112</v>
      </c>
      <c r="E4598" t="s">
        <v>101</v>
      </c>
      <c r="F4598">
        <v>110</v>
      </c>
      <c r="G4598">
        <v>60</v>
      </c>
      <c r="H4598" t="s">
        <v>7524</v>
      </c>
      <c r="I4598" t="s">
        <v>75</v>
      </c>
      <c r="J4598" t="s">
        <v>201</v>
      </c>
      <c r="K4598">
        <v>1</v>
      </c>
      <c r="L4598" t="s">
        <v>7524</v>
      </c>
      <c r="M4598"/>
      <c r="N4598">
        <v>0</v>
      </c>
      <c r="O4598" t="b">
        <v>1</v>
      </c>
      <c r="P4598"/>
      <c r="Q4598" t="b">
        <v>0</v>
      </c>
      <c r="R4598">
        <v>1</v>
      </c>
      <c r="S4598" t="s">
        <v>77</v>
      </c>
      <c r="T4598">
        <v>999</v>
      </c>
      <c r="U4598" t="s">
        <v>7525</v>
      </c>
      <c r="V4598">
        <f t="shared" si="11"/>
        <v>31827110</v>
      </c>
      <c r="W4598"/>
      <c r="X4598" t="s">
        <v>6547</v>
      </c>
      <c r="Y4598" t="s">
        <v>215</v>
      </c>
      <c r="Z4598">
        <v>22207</v>
      </c>
      <c r="AA4598" t="s">
        <v>6548</v>
      </c>
      <c r="AB4598">
        <v>40001</v>
      </c>
      <c r="AC4598"/>
      <c r="AD4598"/>
      <c r="AE4598" t="s">
        <v>7524</v>
      </c>
      <c r="AF4598" t="s">
        <v>7524</v>
      </c>
      <c r="AG4598" t="s">
        <v>101</v>
      </c>
    </row>
    <row r="4599" spans="2:33">
      <c r="B4599" s="14">
        <f>10000000+INDEX(编号表!$B:$B,MATCH(H4599,编号表!$A:$A,0))*100000+INDEX(编号表!$F:$F,MATCH(D4599,编号表!$E:$E,0))*10000+INDEX(编号表!$D:$D,MATCH(AG4599,编号表!$C:$C,0))*1000+F4599</f>
        <v>11827111</v>
      </c>
      <c r="C4599" t="s">
        <v>6551</v>
      </c>
      <c r="D4599" t="s">
        <v>112</v>
      </c>
      <c r="E4599" t="s">
        <v>101</v>
      </c>
      <c r="F4599">
        <v>111</v>
      </c>
      <c r="G4599">
        <v>60</v>
      </c>
      <c r="H4599" t="s">
        <v>7524</v>
      </c>
      <c r="I4599" t="s">
        <v>75</v>
      </c>
      <c r="J4599" t="s">
        <v>201</v>
      </c>
      <c r="K4599">
        <v>1</v>
      </c>
      <c r="L4599" t="s">
        <v>7524</v>
      </c>
      <c r="M4599"/>
      <c r="N4599">
        <v>0</v>
      </c>
      <c r="O4599" t="b">
        <v>1</v>
      </c>
      <c r="P4599"/>
      <c r="Q4599" t="b">
        <v>0</v>
      </c>
      <c r="R4599">
        <v>1</v>
      </c>
      <c r="S4599" t="s">
        <v>77</v>
      </c>
      <c r="T4599">
        <v>999</v>
      </c>
      <c r="U4599" t="s">
        <v>7525</v>
      </c>
      <c r="V4599">
        <f t="shared" si="11"/>
        <v>31827111</v>
      </c>
      <c r="W4599"/>
      <c r="X4599" t="s">
        <v>6554</v>
      </c>
      <c r="Y4599" t="s">
        <v>215</v>
      </c>
      <c r="Z4599">
        <v>22210</v>
      </c>
      <c r="AA4599" t="s">
        <v>6555</v>
      </c>
      <c r="AB4599">
        <v>40001</v>
      </c>
      <c r="AC4599"/>
      <c r="AD4599"/>
      <c r="AE4599" t="s">
        <v>7524</v>
      </c>
      <c r="AF4599" t="s">
        <v>7524</v>
      </c>
      <c r="AG4599" t="s">
        <v>101</v>
      </c>
    </row>
    <row r="4600" spans="2:33">
      <c r="B4600" s="14">
        <f>10000000+INDEX(编号表!$B:$B,MATCH(H4600,编号表!$A:$A,0))*100000+INDEX(编号表!$F:$F,MATCH(D4600,编号表!$E:$E,0))*10000+INDEX(编号表!$D:$D,MATCH(AG4600,编号表!$C:$C,0))*1000+F4600</f>
        <v>11827112</v>
      </c>
      <c r="C4600" t="s">
        <v>6558</v>
      </c>
      <c r="D4600" t="s">
        <v>112</v>
      </c>
      <c r="E4600" t="s">
        <v>101</v>
      </c>
      <c r="F4600">
        <v>112</v>
      </c>
      <c r="G4600">
        <v>60</v>
      </c>
      <c r="H4600" t="s">
        <v>7524</v>
      </c>
      <c r="I4600" t="s">
        <v>75</v>
      </c>
      <c r="J4600" t="s">
        <v>201</v>
      </c>
      <c r="K4600">
        <v>1</v>
      </c>
      <c r="L4600" t="s">
        <v>7524</v>
      </c>
      <c r="M4600"/>
      <c r="N4600">
        <v>0</v>
      </c>
      <c r="O4600" t="b">
        <v>1</v>
      </c>
      <c r="P4600"/>
      <c r="Q4600" t="b">
        <v>0</v>
      </c>
      <c r="R4600">
        <v>1</v>
      </c>
      <c r="S4600" t="s">
        <v>77</v>
      </c>
      <c r="T4600">
        <v>999</v>
      </c>
      <c r="U4600" t="s">
        <v>7525</v>
      </c>
      <c r="V4600">
        <f t="shared" si="11"/>
        <v>31827112</v>
      </c>
      <c r="W4600"/>
      <c r="X4600" t="s">
        <v>6561</v>
      </c>
      <c r="Y4600" t="s">
        <v>215</v>
      </c>
      <c r="Z4600">
        <v>22213</v>
      </c>
      <c r="AA4600" t="s">
        <v>6562</v>
      </c>
      <c r="AB4600">
        <v>40001</v>
      </c>
      <c r="AC4600"/>
      <c r="AD4600"/>
      <c r="AE4600" t="s">
        <v>7524</v>
      </c>
      <c r="AF4600" t="s">
        <v>7524</v>
      </c>
      <c r="AG4600" t="s">
        <v>101</v>
      </c>
    </row>
    <row r="4601" spans="2:33">
      <c r="B4601" s="14">
        <f>10000000+INDEX(编号表!$B:$B,MATCH(H4601,编号表!$A:$A,0))*100000+INDEX(编号表!$F:$F,MATCH(D4601,编号表!$E:$E,0))*10000+INDEX(编号表!$D:$D,MATCH(AG4601,编号表!$C:$C,0))*1000+F4601</f>
        <v>11827113</v>
      </c>
      <c r="C4601" t="s">
        <v>6565</v>
      </c>
      <c r="D4601" t="s">
        <v>112</v>
      </c>
      <c r="E4601" t="s">
        <v>101</v>
      </c>
      <c r="F4601">
        <v>113</v>
      </c>
      <c r="G4601">
        <v>60</v>
      </c>
      <c r="H4601" t="s">
        <v>7524</v>
      </c>
      <c r="I4601" t="s">
        <v>75</v>
      </c>
      <c r="J4601" t="s">
        <v>201</v>
      </c>
      <c r="K4601">
        <v>1</v>
      </c>
      <c r="L4601" t="s">
        <v>7524</v>
      </c>
      <c r="M4601"/>
      <c r="N4601">
        <v>0</v>
      </c>
      <c r="O4601" t="b">
        <v>1</v>
      </c>
      <c r="P4601"/>
      <c r="Q4601" t="b">
        <v>0</v>
      </c>
      <c r="R4601">
        <v>1</v>
      </c>
      <c r="S4601" t="s">
        <v>77</v>
      </c>
      <c r="T4601">
        <v>999</v>
      </c>
      <c r="U4601" t="s">
        <v>7525</v>
      </c>
      <c r="V4601">
        <f t="shared" si="11"/>
        <v>31827113</v>
      </c>
      <c r="W4601"/>
      <c r="X4601" t="s">
        <v>6568</v>
      </c>
      <c r="Y4601" t="s">
        <v>215</v>
      </c>
      <c r="Z4601">
        <v>22216</v>
      </c>
      <c r="AA4601" t="s">
        <v>6569</v>
      </c>
      <c r="AB4601">
        <v>40001</v>
      </c>
      <c r="AC4601"/>
      <c r="AD4601"/>
      <c r="AE4601" t="s">
        <v>7524</v>
      </c>
      <c r="AF4601" t="s">
        <v>7524</v>
      </c>
      <c r="AG4601" t="s">
        <v>101</v>
      </c>
    </row>
    <row r="4602" spans="2:33">
      <c r="B4602" s="14">
        <f>10000000+INDEX(编号表!$B:$B,MATCH(H4602,编号表!$A:$A,0))*100000+INDEX(编号表!$F:$F,MATCH(D4602,编号表!$E:$E,0))*10000+INDEX(编号表!$D:$D,MATCH(AG4602,编号表!$C:$C,0))*1000+F4602</f>
        <v>11827114</v>
      </c>
      <c r="C4602" t="s">
        <v>6572</v>
      </c>
      <c r="D4602" t="s">
        <v>112</v>
      </c>
      <c r="E4602" t="s">
        <v>101</v>
      </c>
      <c r="F4602">
        <v>114</v>
      </c>
      <c r="G4602">
        <v>60</v>
      </c>
      <c r="H4602" t="s">
        <v>7524</v>
      </c>
      <c r="I4602" t="s">
        <v>75</v>
      </c>
      <c r="J4602" t="s">
        <v>201</v>
      </c>
      <c r="K4602">
        <v>1</v>
      </c>
      <c r="L4602" t="s">
        <v>7524</v>
      </c>
      <c r="M4602"/>
      <c r="N4602">
        <v>0</v>
      </c>
      <c r="O4602" t="b">
        <v>1</v>
      </c>
      <c r="P4602"/>
      <c r="Q4602" t="b">
        <v>0</v>
      </c>
      <c r="R4602">
        <v>1</v>
      </c>
      <c r="S4602" t="s">
        <v>77</v>
      </c>
      <c r="T4602">
        <v>999</v>
      </c>
      <c r="U4602" t="s">
        <v>7525</v>
      </c>
      <c r="V4602">
        <f t="shared" si="11"/>
        <v>31827114</v>
      </c>
      <c r="W4602"/>
      <c r="X4602" t="s">
        <v>6575</v>
      </c>
      <c r="Y4602" t="s">
        <v>215</v>
      </c>
      <c r="Z4602">
        <v>22219</v>
      </c>
      <c r="AA4602" t="s">
        <v>6576</v>
      </c>
      <c r="AB4602">
        <v>40001</v>
      </c>
      <c r="AC4602"/>
      <c r="AD4602"/>
      <c r="AE4602" t="s">
        <v>7524</v>
      </c>
      <c r="AF4602" t="s">
        <v>7524</v>
      </c>
      <c r="AG4602" t="s">
        <v>101</v>
      </c>
    </row>
    <row r="4603" spans="2:33">
      <c r="B4603" s="14">
        <f>10000000+INDEX(编号表!$B:$B,MATCH(H4603,编号表!$A:$A,0))*100000+INDEX(编号表!$F:$F,MATCH(D4603,编号表!$E:$E,0))*10000+INDEX(编号表!$D:$D,MATCH(AG4603,编号表!$C:$C,0))*1000+F4603</f>
        <v>11827115</v>
      </c>
      <c r="C4603" t="s">
        <v>6579</v>
      </c>
      <c r="D4603" t="s">
        <v>112</v>
      </c>
      <c r="E4603" t="s">
        <v>101</v>
      </c>
      <c r="F4603">
        <v>115</v>
      </c>
      <c r="G4603">
        <v>60</v>
      </c>
      <c r="H4603" t="s">
        <v>7524</v>
      </c>
      <c r="I4603" t="s">
        <v>75</v>
      </c>
      <c r="J4603" t="s">
        <v>201</v>
      </c>
      <c r="K4603">
        <v>1</v>
      </c>
      <c r="L4603" t="s">
        <v>7524</v>
      </c>
      <c r="M4603"/>
      <c r="N4603">
        <v>0</v>
      </c>
      <c r="O4603" t="b">
        <v>1</v>
      </c>
      <c r="P4603"/>
      <c r="Q4603" t="b">
        <v>0</v>
      </c>
      <c r="R4603">
        <v>1</v>
      </c>
      <c r="S4603" t="s">
        <v>77</v>
      </c>
      <c r="T4603">
        <v>999</v>
      </c>
      <c r="U4603" t="s">
        <v>7525</v>
      </c>
      <c r="V4603">
        <f t="shared" si="11"/>
        <v>31827115</v>
      </c>
      <c r="W4603"/>
      <c r="X4603" t="s">
        <v>6582</v>
      </c>
      <c r="Y4603" t="s">
        <v>215</v>
      </c>
      <c r="Z4603">
        <v>22222</v>
      </c>
      <c r="AA4603" t="s">
        <v>6583</v>
      </c>
      <c r="AB4603">
        <v>40001</v>
      </c>
      <c r="AC4603"/>
      <c r="AD4603"/>
      <c r="AE4603" t="s">
        <v>7524</v>
      </c>
      <c r="AF4603" t="s">
        <v>7524</v>
      </c>
      <c r="AG4603" t="s">
        <v>101</v>
      </c>
    </row>
    <row r="4604" spans="2:33">
      <c r="B4604" s="14">
        <f>10000000+INDEX(编号表!$B:$B,MATCH(H4604,编号表!$A:$A,0))*100000+INDEX(编号表!$F:$F,MATCH(D4604,编号表!$E:$E,0))*10000+INDEX(编号表!$D:$D,MATCH(AG4604,编号表!$C:$C,0))*1000+F4604</f>
        <v>11827116</v>
      </c>
      <c r="C4604" t="s">
        <v>6586</v>
      </c>
      <c r="D4604" t="s">
        <v>112</v>
      </c>
      <c r="E4604" t="s">
        <v>101</v>
      </c>
      <c r="F4604">
        <v>116</v>
      </c>
      <c r="G4604">
        <v>60</v>
      </c>
      <c r="H4604" t="s">
        <v>7524</v>
      </c>
      <c r="I4604" t="s">
        <v>75</v>
      </c>
      <c r="J4604" t="s">
        <v>201</v>
      </c>
      <c r="K4604">
        <v>1</v>
      </c>
      <c r="L4604" t="s">
        <v>7524</v>
      </c>
      <c r="M4604"/>
      <c r="N4604">
        <v>0</v>
      </c>
      <c r="O4604" t="b">
        <v>1</v>
      </c>
      <c r="P4604"/>
      <c r="Q4604" t="b">
        <v>0</v>
      </c>
      <c r="R4604">
        <v>1</v>
      </c>
      <c r="S4604" t="s">
        <v>77</v>
      </c>
      <c r="T4604">
        <v>999</v>
      </c>
      <c r="U4604" t="s">
        <v>7525</v>
      </c>
      <c r="V4604">
        <f t="shared" si="11"/>
        <v>31827116</v>
      </c>
      <c r="W4604"/>
      <c r="X4604" t="s">
        <v>6589</v>
      </c>
      <c r="Y4604" t="s">
        <v>215</v>
      </c>
      <c r="Z4604">
        <v>22225</v>
      </c>
      <c r="AA4604" t="s">
        <v>6590</v>
      </c>
      <c r="AB4604">
        <v>40001</v>
      </c>
      <c r="AC4604"/>
      <c r="AD4604"/>
      <c r="AE4604" t="s">
        <v>7524</v>
      </c>
      <c r="AF4604" t="s">
        <v>7524</v>
      </c>
      <c r="AG4604" t="s">
        <v>101</v>
      </c>
    </row>
    <row r="4605" spans="2:33">
      <c r="B4605" s="14">
        <f>10000000+INDEX(编号表!$B:$B,MATCH(H4605,编号表!$A:$A,0))*100000+INDEX(编号表!$F:$F,MATCH(D4605,编号表!$E:$E,0))*10000+INDEX(编号表!$D:$D,MATCH(AG4605,编号表!$C:$C,0))*1000+F4605</f>
        <v>11827117</v>
      </c>
      <c r="C4605" t="s">
        <v>6593</v>
      </c>
      <c r="D4605" t="s">
        <v>112</v>
      </c>
      <c r="E4605" t="s">
        <v>101</v>
      </c>
      <c r="F4605">
        <v>117</v>
      </c>
      <c r="G4605">
        <v>60</v>
      </c>
      <c r="H4605" t="s">
        <v>7524</v>
      </c>
      <c r="I4605" t="s">
        <v>75</v>
      </c>
      <c r="J4605" t="s">
        <v>201</v>
      </c>
      <c r="K4605">
        <v>1</v>
      </c>
      <c r="L4605" t="s">
        <v>7524</v>
      </c>
      <c r="M4605"/>
      <c r="N4605">
        <v>0</v>
      </c>
      <c r="O4605" t="b">
        <v>1</v>
      </c>
      <c r="P4605"/>
      <c r="Q4605" t="b">
        <v>0</v>
      </c>
      <c r="R4605">
        <v>1</v>
      </c>
      <c r="S4605" t="s">
        <v>77</v>
      </c>
      <c r="T4605">
        <v>999</v>
      </c>
      <c r="U4605" t="s">
        <v>7525</v>
      </c>
      <c r="V4605">
        <f t="shared" si="11"/>
        <v>31827117</v>
      </c>
      <c r="W4605"/>
      <c r="X4605" t="s">
        <v>6596</v>
      </c>
      <c r="Y4605" t="s">
        <v>215</v>
      </c>
      <c r="Z4605">
        <v>22228</v>
      </c>
      <c r="AA4605" t="s">
        <v>6597</v>
      </c>
      <c r="AB4605">
        <v>40001</v>
      </c>
      <c r="AC4605"/>
      <c r="AD4605"/>
      <c r="AE4605" t="s">
        <v>7524</v>
      </c>
      <c r="AF4605" t="s">
        <v>7524</v>
      </c>
      <c r="AG4605" t="s">
        <v>101</v>
      </c>
    </row>
    <row r="4606" spans="2:33">
      <c r="B4606" s="14">
        <f>10000000+INDEX(编号表!$B:$B,MATCH(H4606,编号表!$A:$A,0))*100000+INDEX(编号表!$F:$F,MATCH(D4606,编号表!$E:$E,0))*10000+INDEX(编号表!$D:$D,MATCH(AG4606,编号表!$C:$C,0))*1000+F4606</f>
        <v>11827118</v>
      </c>
      <c r="C4606" t="s">
        <v>6600</v>
      </c>
      <c r="D4606" t="s">
        <v>112</v>
      </c>
      <c r="E4606" t="s">
        <v>101</v>
      </c>
      <c r="F4606">
        <v>118</v>
      </c>
      <c r="G4606">
        <v>60</v>
      </c>
      <c r="H4606" t="s">
        <v>7524</v>
      </c>
      <c r="I4606" t="s">
        <v>75</v>
      </c>
      <c r="J4606" t="s">
        <v>201</v>
      </c>
      <c r="K4606">
        <v>1</v>
      </c>
      <c r="L4606" t="s">
        <v>7524</v>
      </c>
      <c r="M4606"/>
      <c r="N4606">
        <v>0</v>
      </c>
      <c r="O4606" t="b">
        <v>1</v>
      </c>
      <c r="P4606"/>
      <c r="Q4606" t="b">
        <v>0</v>
      </c>
      <c r="R4606">
        <v>1</v>
      </c>
      <c r="S4606" t="s">
        <v>77</v>
      </c>
      <c r="T4606">
        <v>999</v>
      </c>
      <c r="U4606" t="s">
        <v>7525</v>
      </c>
      <c r="V4606">
        <f t="shared" si="11"/>
        <v>31827118</v>
      </c>
      <c r="W4606"/>
      <c r="X4606" t="s">
        <v>6603</v>
      </c>
      <c r="Y4606" t="s">
        <v>215</v>
      </c>
      <c r="Z4606">
        <v>22231</v>
      </c>
      <c r="AA4606" t="s">
        <v>6604</v>
      </c>
      <c r="AB4606">
        <v>40001</v>
      </c>
      <c r="AC4606"/>
      <c r="AD4606"/>
      <c r="AE4606" t="s">
        <v>7524</v>
      </c>
      <c r="AF4606" t="s">
        <v>7524</v>
      </c>
      <c r="AG4606" t="s">
        <v>101</v>
      </c>
    </row>
    <row r="4607" spans="2:33">
      <c r="B4607" s="14">
        <f>10000000+INDEX(编号表!$B:$B,MATCH(H4607,编号表!$A:$A,0))*100000+INDEX(编号表!$F:$F,MATCH(D4607,编号表!$E:$E,0))*10000+INDEX(编号表!$D:$D,MATCH(AG4607,编号表!$C:$C,0))*1000+F4607</f>
        <v>11827119</v>
      </c>
      <c r="C4607" t="s">
        <v>6607</v>
      </c>
      <c r="D4607" t="s">
        <v>112</v>
      </c>
      <c r="E4607" t="s">
        <v>101</v>
      </c>
      <c r="F4607">
        <v>119</v>
      </c>
      <c r="G4607">
        <v>60</v>
      </c>
      <c r="H4607" t="s">
        <v>7524</v>
      </c>
      <c r="I4607" t="s">
        <v>75</v>
      </c>
      <c r="J4607" t="s">
        <v>201</v>
      </c>
      <c r="K4607">
        <v>1</v>
      </c>
      <c r="L4607" t="s">
        <v>7524</v>
      </c>
      <c r="M4607"/>
      <c r="N4607">
        <v>0</v>
      </c>
      <c r="O4607" t="b">
        <v>1</v>
      </c>
      <c r="P4607"/>
      <c r="Q4607" t="b">
        <v>0</v>
      </c>
      <c r="R4607">
        <v>1</v>
      </c>
      <c r="S4607" t="s">
        <v>77</v>
      </c>
      <c r="T4607">
        <v>999</v>
      </c>
      <c r="U4607" t="s">
        <v>7525</v>
      </c>
      <c r="V4607">
        <f t="shared" si="11"/>
        <v>31827119</v>
      </c>
      <c r="W4607"/>
      <c r="X4607" t="s">
        <v>6610</v>
      </c>
      <c r="Y4607" t="s">
        <v>215</v>
      </c>
      <c r="Z4607">
        <v>22234</v>
      </c>
      <c r="AA4607" t="s">
        <v>6611</v>
      </c>
      <c r="AB4607">
        <v>40001</v>
      </c>
      <c r="AC4607"/>
      <c r="AD4607"/>
      <c r="AE4607" t="s">
        <v>7524</v>
      </c>
      <c r="AF4607" t="s">
        <v>7524</v>
      </c>
      <c r="AG4607" t="s">
        <v>101</v>
      </c>
    </row>
    <row r="4608" spans="2:33">
      <c r="B4608" s="14">
        <f>10000000+INDEX(编号表!$B:$B,MATCH(H4608,编号表!$A:$A,0))*100000+INDEX(编号表!$F:$F,MATCH(D4608,编号表!$E:$E,0))*10000+INDEX(编号表!$D:$D,MATCH(AG4608,编号表!$C:$C,0))*1000+F4608</f>
        <v>11827120</v>
      </c>
      <c r="C4608" t="s">
        <v>6614</v>
      </c>
      <c r="D4608" t="s">
        <v>112</v>
      </c>
      <c r="E4608" t="s">
        <v>101</v>
      </c>
      <c r="F4608">
        <v>120</v>
      </c>
      <c r="G4608">
        <v>60</v>
      </c>
      <c r="H4608" t="s">
        <v>7524</v>
      </c>
      <c r="I4608" t="s">
        <v>75</v>
      </c>
      <c r="J4608" t="s">
        <v>201</v>
      </c>
      <c r="K4608">
        <v>1</v>
      </c>
      <c r="L4608" t="s">
        <v>7524</v>
      </c>
      <c r="M4608"/>
      <c r="N4608">
        <v>0</v>
      </c>
      <c r="O4608" t="b">
        <v>1</v>
      </c>
      <c r="P4608"/>
      <c r="Q4608" t="b">
        <v>0</v>
      </c>
      <c r="R4608">
        <v>1</v>
      </c>
      <c r="S4608" t="s">
        <v>77</v>
      </c>
      <c r="T4608">
        <v>999</v>
      </c>
      <c r="U4608" t="s">
        <v>7525</v>
      </c>
      <c r="V4608">
        <f t="shared" si="11"/>
        <v>31827120</v>
      </c>
      <c r="W4608"/>
      <c r="X4608" t="s">
        <v>6617</v>
      </c>
      <c r="Y4608" t="s">
        <v>215</v>
      </c>
      <c r="Z4608">
        <v>22237</v>
      </c>
      <c r="AA4608" t="s">
        <v>6618</v>
      </c>
      <c r="AB4608">
        <v>40001</v>
      </c>
      <c r="AC4608"/>
      <c r="AD4608"/>
      <c r="AE4608" t="s">
        <v>7524</v>
      </c>
      <c r="AF4608" t="s">
        <v>7524</v>
      </c>
      <c r="AG4608" t="s">
        <v>101</v>
      </c>
    </row>
    <row r="4609" spans="2:33">
      <c r="B4609" s="14">
        <f>10000000+INDEX(编号表!$B:$B,MATCH(H4609,编号表!$A:$A,0))*100000+INDEX(编号表!$F:$F,MATCH(D4609,编号表!$E:$E,0))*10000+INDEX(编号表!$D:$D,MATCH(AG4609,编号表!$C:$C,0))*1000+F4609</f>
        <v>11827121</v>
      </c>
      <c r="C4609" t="s">
        <v>6621</v>
      </c>
      <c r="D4609" t="s">
        <v>112</v>
      </c>
      <c r="E4609" t="s">
        <v>101</v>
      </c>
      <c r="F4609">
        <v>121</v>
      </c>
      <c r="G4609">
        <v>60</v>
      </c>
      <c r="H4609" t="s">
        <v>7524</v>
      </c>
      <c r="I4609" t="s">
        <v>75</v>
      </c>
      <c r="J4609" t="s">
        <v>201</v>
      </c>
      <c r="K4609">
        <v>1</v>
      </c>
      <c r="L4609" t="s">
        <v>7524</v>
      </c>
      <c r="M4609"/>
      <c r="N4609">
        <v>0</v>
      </c>
      <c r="O4609" t="b">
        <v>1</v>
      </c>
      <c r="P4609"/>
      <c r="Q4609" t="b">
        <v>0</v>
      </c>
      <c r="R4609">
        <v>1</v>
      </c>
      <c r="S4609" t="s">
        <v>77</v>
      </c>
      <c r="T4609">
        <v>999</v>
      </c>
      <c r="U4609" t="s">
        <v>7525</v>
      </c>
      <c r="V4609">
        <f t="shared" si="11"/>
        <v>31827121</v>
      </c>
      <c r="W4609"/>
      <c r="X4609" t="s">
        <v>6624</v>
      </c>
      <c r="Y4609" t="s">
        <v>215</v>
      </c>
      <c r="Z4609">
        <v>22240</v>
      </c>
      <c r="AA4609" t="s">
        <v>6625</v>
      </c>
      <c r="AB4609">
        <v>40001</v>
      </c>
      <c r="AC4609"/>
      <c r="AD4609"/>
      <c r="AE4609" t="s">
        <v>7524</v>
      </c>
      <c r="AF4609" t="s">
        <v>7524</v>
      </c>
      <c r="AG4609" t="s">
        <v>101</v>
      </c>
    </row>
    <row r="4610" spans="2:33">
      <c r="B4610" s="14">
        <f>10000000+INDEX(编号表!$B:$B,MATCH(H4610,编号表!$A:$A,0))*100000+INDEX(编号表!$F:$F,MATCH(D4610,编号表!$E:$E,0))*10000+INDEX(编号表!$D:$D,MATCH(AG4610,编号表!$C:$C,0))*1000+F4610</f>
        <v>11827122</v>
      </c>
      <c r="C4610" t="s">
        <v>6628</v>
      </c>
      <c r="D4610" t="s">
        <v>112</v>
      </c>
      <c r="E4610" t="s">
        <v>101</v>
      </c>
      <c r="F4610">
        <v>122</v>
      </c>
      <c r="G4610">
        <v>60</v>
      </c>
      <c r="H4610" t="s">
        <v>7524</v>
      </c>
      <c r="I4610" t="s">
        <v>75</v>
      </c>
      <c r="J4610" t="s">
        <v>201</v>
      </c>
      <c r="K4610">
        <v>1</v>
      </c>
      <c r="L4610" t="s">
        <v>7524</v>
      </c>
      <c r="M4610"/>
      <c r="N4610">
        <v>0</v>
      </c>
      <c r="O4610" t="b">
        <v>1</v>
      </c>
      <c r="P4610"/>
      <c r="Q4610" t="b">
        <v>0</v>
      </c>
      <c r="R4610">
        <v>1</v>
      </c>
      <c r="S4610" t="s">
        <v>77</v>
      </c>
      <c r="T4610">
        <v>999</v>
      </c>
      <c r="U4610" t="s">
        <v>7525</v>
      </c>
      <c r="V4610">
        <f t="shared" si="11"/>
        <v>31827122</v>
      </c>
      <c r="W4610"/>
      <c r="X4610" t="s">
        <v>6631</v>
      </c>
      <c r="Y4610" t="s">
        <v>215</v>
      </c>
      <c r="Z4610">
        <v>22243</v>
      </c>
      <c r="AA4610" t="s">
        <v>6632</v>
      </c>
      <c r="AB4610">
        <v>40001</v>
      </c>
      <c r="AC4610"/>
      <c r="AD4610"/>
      <c r="AE4610" t="s">
        <v>7524</v>
      </c>
      <c r="AF4610" t="s">
        <v>7524</v>
      </c>
      <c r="AG4610" t="s">
        <v>101</v>
      </c>
    </row>
    <row r="4611" spans="2:33">
      <c r="B4611" s="14">
        <f>10000000+INDEX(编号表!$B:$B,MATCH(H4611,编号表!$A:$A,0))*100000+INDEX(编号表!$F:$F,MATCH(D4611,编号表!$E:$E,0))*10000+INDEX(编号表!$D:$D,MATCH(AG4611,编号表!$C:$C,0))*1000+F4611</f>
        <v>11827123</v>
      </c>
      <c r="C4611" t="s">
        <v>6635</v>
      </c>
      <c r="D4611" t="s">
        <v>112</v>
      </c>
      <c r="E4611" t="s">
        <v>101</v>
      </c>
      <c r="F4611">
        <v>123</v>
      </c>
      <c r="G4611">
        <v>60</v>
      </c>
      <c r="H4611" t="s">
        <v>7524</v>
      </c>
      <c r="I4611" t="s">
        <v>75</v>
      </c>
      <c r="J4611" t="s">
        <v>201</v>
      </c>
      <c r="K4611">
        <v>1</v>
      </c>
      <c r="L4611" t="s">
        <v>7524</v>
      </c>
      <c r="M4611"/>
      <c r="N4611">
        <v>0</v>
      </c>
      <c r="O4611" t="b">
        <v>1</v>
      </c>
      <c r="P4611"/>
      <c r="Q4611" t="b">
        <v>0</v>
      </c>
      <c r="R4611">
        <v>1</v>
      </c>
      <c r="S4611" t="s">
        <v>77</v>
      </c>
      <c r="T4611">
        <v>999</v>
      </c>
      <c r="U4611" t="s">
        <v>7525</v>
      </c>
      <c r="V4611">
        <f t="shared" si="11"/>
        <v>31827123</v>
      </c>
      <c r="W4611"/>
      <c r="X4611" t="s">
        <v>6638</v>
      </c>
      <c r="Y4611" t="s">
        <v>215</v>
      </c>
      <c r="Z4611">
        <v>22246</v>
      </c>
      <c r="AA4611" t="s">
        <v>6639</v>
      </c>
      <c r="AB4611">
        <v>40001</v>
      </c>
      <c r="AC4611"/>
      <c r="AD4611"/>
      <c r="AE4611" t="s">
        <v>7524</v>
      </c>
      <c r="AF4611" t="s">
        <v>7524</v>
      </c>
      <c r="AG4611" t="s">
        <v>101</v>
      </c>
    </row>
    <row r="4612" spans="2:33">
      <c r="B4612" s="14">
        <f>10000000+INDEX(编号表!$B:$B,MATCH(H4612,编号表!$A:$A,0))*100000+INDEX(编号表!$F:$F,MATCH(D4612,编号表!$E:$E,0))*10000+INDEX(编号表!$D:$D,MATCH(AG4612,编号表!$C:$C,0))*1000+F4612</f>
        <v>11827124</v>
      </c>
      <c r="C4612" t="s">
        <v>6642</v>
      </c>
      <c r="D4612" t="s">
        <v>112</v>
      </c>
      <c r="E4612" t="s">
        <v>101</v>
      </c>
      <c r="F4612">
        <v>124</v>
      </c>
      <c r="G4612">
        <v>60</v>
      </c>
      <c r="H4612" t="s">
        <v>7524</v>
      </c>
      <c r="I4612" t="s">
        <v>75</v>
      </c>
      <c r="J4612" t="s">
        <v>201</v>
      </c>
      <c r="K4612">
        <v>1</v>
      </c>
      <c r="L4612" t="s">
        <v>7524</v>
      </c>
      <c r="M4612"/>
      <c r="N4612">
        <v>0</v>
      </c>
      <c r="O4612" t="b">
        <v>1</v>
      </c>
      <c r="P4612"/>
      <c r="Q4612" t="b">
        <v>0</v>
      </c>
      <c r="R4612">
        <v>1</v>
      </c>
      <c r="S4612" t="s">
        <v>77</v>
      </c>
      <c r="T4612">
        <v>999</v>
      </c>
      <c r="U4612" t="s">
        <v>7525</v>
      </c>
      <c r="V4612">
        <f t="shared" si="11"/>
        <v>31827124</v>
      </c>
      <c r="W4612"/>
      <c r="X4612" t="s">
        <v>6645</v>
      </c>
      <c r="Y4612" t="s">
        <v>215</v>
      </c>
      <c r="Z4612">
        <v>22249</v>
      </c>
      <c r="AA4612" t="s">
        <v>6646</v>
      </c>
      <c r="AB4612">
        <v>40001</v>
      </c>
      <c r="AC4612"/>
      <c r="AD4612"/>
      <c r="AE4612" t="s">
        <v>7524</v>
      </c>
      <c r="AF4612" t="s">
        <v>7524</v>
      </c>
      <c r="AG4612" t="s">
        <v>101</v>
      </c>
    </row>
    <row r="4613" spans="2:33">
      <c r="B4613" s="14">
        <f>10000000+INDEX(编号表!$B:$B,MATCH(H4613,编号表!$A:$A,0))*100000+INDEX(编号表!$F:$F,MATCH(D4613,编号表!$E:$E,0))*10000+INDEX(编号表!$D:$D,MATCH(AG4613,编号表!$C:$C,0))*1000+F4613</f>
        <v>11838000</v>
      </c>
      <c r="C4613" t="s">
        <v>6649</v>
      </c>
      <c r="D4613" t="s">
        <v>276</v>
      </c>
      <c r="E4613" t="s">
        <v>1231</v>
      </c>
      <c r="F4613">
        <v>0</v>
      </c>
      <c r="G4613">
        <v>60</v>
      </c>
      <c r="H4613" t="s">
        <v>7524</v>
      </c>
      <c r="I4613" t="s">
        <v>75</v>
      </c>
      <c r="J4613" t="s">
        <v>201</v>
      </c>
      <c r="K4613">
        <v>1</v>
      </c>
      <c r="L4613" t="s">
        <v>7524</v>
      </c>
      <c r="M4613"/>
      <c r="N4613">
        <v>0</v>
      </c>
      <c r="O4613" t="b">
        <v>1</v>
      </c>
      <c r="P4613"/>
      <c r="Q4613" t="b">
        <v>0</v>
      </c>
      <c r="R4613">
        <v>1</v>
      </c>
      <c r="S4613" t="s">
        <v>77</v>
      </c>
      <c r="T4613">
        <v>999</v>
      </c>
      <c r="U4613" t="s">
        <v>7525</v>
      </c>
      <c r="V4613">
        <f t="shared" si="11"/>
        <v>31838000</v>
      </c>
      <c r="W4613"/>
      <c r="X4613" t="s">
        <v>6650</v>
      </c>
      <c r="Y4613" t="s">
        <v>215</v>
      </c>
      <c r="Z4613">
        <v>22251</v>
      </c>
      <c r="AA4613" t="s">
        <v>6651</v>
      </c>
      <c r="AB4613">
        <v>40001</v>
      </c>
      <c r="AC4613"/>
      <c r="AD4613"/>
      <c r="AE4613" t="s">
        <v>7524</v>
      </c>
      <c r="AF4613" t="s">
        <v>7524</v>
      </c>
      <c r="AG4613" t="s">
        <v>1231</v>
      </c>
    </row>
    <row r="4614" spans="2:33">
      <c r="B4614" s="14">
        <f>10000000+INDEX(编号表!$B:$B,MATCH(H4614,编号表!$A:$A,0))*100000+INDEX(编号表!$F:$F,MATCH(D4614,编号表!$E:$E,0))*10000+INDEX(编号表!$D:$D,MATCH(AG4614,编号表!$C:$C,0))*1000+F4614</f>
        <v>11838001</v>
      </c>
      <c r="C4614" t="s">
        <v>6656</v>
      </c>
      <c r="D4614" t="s">
        <v>276</v>
      </c>
      <c r="E4614" t="s">
        <v>1231</v>
      </c>
      <c r="F4614">
        <v>1</v>
      </c>
      <c r="G4614">
        <v>60</v>
      </c>
      <c r="H4614" t="s">
        <v>7524</v>
      </c>
      <c r="I4614" t="s">
        <v>75</v>
      </c>
      <c r="J4614" t="s">
        <v>201</v>
      </c>
      <c r="K4614">
        <v>1</v>
      </c>
      <c r="L4614" t="s">
        <v>7524</v>
      </c>
      <c r="M4614"/>
      <c r="N4614">
        <v>0</v>
      </c>
      <c r="O4614" t="b">
        <v>1</v>
      </c>
      <c r="P4614"/>
      <c r="Q4614" t="b">
        <v>0</v>
      </c>
      <c r="R4614">
        <v>1</v>
      </c>
      <c r="S4614" t="s">
        <v>77</v>
      </c>
      <c r="T4614">
        <v>999</v>
      </c>
      <c r="U4614" t="s">
        <v>7525</v>
      </c>
      <c r="V4614">
        <f t="shared" si="11"/>
        <v>31838001</v>
      </c>
      <c r="W4614"/>
      <c r="X4614" t="s">
        <v>6657</v>
      </c>
      <c r="Y4614" t="s">
        <v>215</v>
      </c>
      <c r="Z4614">
        <v>22254</v>
      </c>
      <c r="AA4614" t="s">
        <v>6658</v>
      </c>
      <c r="AB4614">
        <v>40001</v>
      </c>
      <c r="AC4614"/>
      <c r="AD4614"/>
      <c r="AE4614" t="s">
        <v>7524</v>
      </c>
      <c r="AF4614" t="s">
        <v>7524</v>
      </c>
      <c r="AG4614" t="s">
        <v>1231</v>
      </c>
    </row>
    <row r="4615" spans="2:33">
      <c r="B4615" s="14">
        <f>10000000+INDEX(编号表!$B:$B,MATCH(H4615,编号表!$A:$A,0))*100000+INDEX(编号表!$F:$F,MATCH(D4615,编号表!$E:$E,0))*10000+INDEX(编号表!$D:$D,MATCH(AG4615,编号表!$C:$C,0))*1000+F4615</f>
        <v>11838002</v>
      </c>
      <c r="C4615" t="s">
        <v>6663</v>
      </c>
      <c r="D4615" t="s">
        <v>276</v>
      </c>
      <c r="E4615" t="s">
        <v>1231</v>
      </c>
      <c r="F4615">
        <v>2</v>
      </c>
      <c r="G4615">
        <v>60</v>
      </c>
      <c r="H4615" t="s">
        <v>7524</v>
      </c>
      <c r="I4615" t="s">
        <v>75</v>
      </c>
      <c r="J4615" t="s">
        <v>201</v>
      </c>
      <c r="K4615">
        <v>1</v>
      </c>
      <c r="L4615" t="s">
        <v>7524</v>
      </c>
      <c r="M4615"/>
      <c r="N4615">
        <v>0</v>
      </c>
      <c r="O4615" t="b">
        <v>1</v>
      </c>
      <c r="P4615"/>
      <c r="Q4615" t="b">
        <v>0</v>
      </c>
      <c r="R4615">
        <v>1</v>
      </c>
      <c r="S4615" t="s">
        <v>77</v>
      </c>
      <c r="T4615">
        <v>999</v>
      </c>
      <c r="U4615" t="s">
        <v>7525</v>
      </c>
      <c r="V4615">
        <f t="shared" si="11"/>
        <v>31838002</v>
      </c>
      <c r="W4615"/>
      <c r="X4615" t="s">
        <v>6664</v>
      </c>
      <c r="Y4615" t="s">
        <v>215</v>
      </c>
      <c r="Z4615">
        <v>22257</v>
      </c>
      <c r="AA4615" t="s">
        <v>6665</v>
      </c>
      <c r="AB4615">
        <v>40001</v>
      </c>
      <c r="AC4615"/>
      <c r="AD4615"/>
      <c r="AE4615" t="s">
        <v>7524</v>
      </c>
      <c r="AF4615" t="s">
        <v>7524</v>
      </c>
      <c r="AG4615" t="s">
        <v>1231</v>
      </c>
    </row>
    <row r="4616" spans="2:33">
      <c r="B4616" s="14">
        <f>10000000+INDEX(编号表!$B:$B,MATCH(H4616,编号表!$A:$A,0))*100000+INDEX(编号表!$F:$F,MATCH(D4616,编号表!$E:$E,0))*10000+INDEX(编号表!$D:$D,MATCH(AG4616,编号表!$C:$C,0))*1000+F4616</f>
        <v>11838003</v>
      </c>
      <c r="C4616" t="s">
        <v>6670</v>
      </c>
      <c r="D4616" t="s">
        <v>276</v>
      </c>
      <c r="E4616" t="s">
        <v>1231</v>
      </c>
      <c r="F4616">
        <v>3</v>
      </c>
      <c r="G4616">
        <v>60</v>
      </c>
      <c r="H4616" t="s">
        <v>7524</v>
      </c>
      <c r="I4616" t="s">
        <v>75</v>
      </c>
      <c r="J4616" t="s">
        <v>201</v>
      </c>
      <c r="K4616">
        <v>1</v>
      </c>
      <c r="L4616" t="s">
        <v>7524</v>
      </c>
      <c r="M4616"/>
      <c r="N4616">
        <v>0</v>
      </c>
      <c r="O4616" t="b">
        <v>1</v>
      </c>
      <c r="P4616"/>
      <c r="Q4616" t="b">
        <v>0</v>
      </c>
      <c r="R4616">
        <v>1</v>
      </c>
      <c r="S4616" t="s">
        <v>77</v>
      </c>
      <c r="T4616">
        <v>999</v>
      </c>
      <c r="U4616" t="s">
        <v>7525</v>
      </c>
      <c r="V4616">
        <f t="shared" si="11"/>
        <v>31838003</v>
      </c>
      <c r="W4616"/>
      <c r="X4616" t="s">
        <v>6671</v>
      </c>
      <c r="Y4616" t="s">
        <v>215</v>
      </c>
      <c r="Z4616">
        <v>22260</v>
      </c>
      <c r="AA4616" t="s">
        <v>6672</v>
      </c>
      <c r="AB4616">
        <v>40001</v>
      </c>
      <c r="AC4616"/>
      <c r="AD4616"/>
      <c r="AE4616" t="s">
        <v>7524</v>
      </c>
      <c r="AF4616" t="s">
        <v>7524</v>
      </c>
      <c r="AG4616" t="s">
        <v>1231</v>
      </c>
    </row>
    <row r="4617" spans="2:33">
      <c r="B4617" s="14">
        <f>10000000+INDEX(编号表!$B:$B,MATCH(H4617,编号表!$A:$A,0))*100000+INDEX(编号表!$F:$F,MATCH(D4617,编号表!$E:$E,0))*10000+INDEX(编号表!$D:$D,MATCH(AG4617,编号表!$C:$C,0))*1000+F4617</f>
        <v>11838004</v>
      </c>
      <c r="C4617" t="s">
        <v>6677</v>
      </c>
      <c r="D4617" t="s">
        <v>276</v>
      </c>
      <c r="E4617" t="s">
        <v>1231</v>
      </c>
      <c r="F4617">
        <v>4</v>
      </c>
      <c r="G4617">
        <v>60</v>
      </c>
      <c r="H4617" t="s">
        <v>7524</v>
      </c>
      <c r="I4617" t="s">
        <v>75</v>
      </c>
      <c r="J4617" t="s">
        <v>201</v>
      </c>
      <c r="K4617">
        <v>1</v>
      </c>
      <c r="L4617" t="s">
        <v>7524</v>
      </c>
      <c r="M4617"/>
      <c r="N4617">
        <v>0</v>
      </c>
      <c r="O4617" t="b">
        <v>1</v>
      </c>
      <c r="P4617"/>
      <c r="Q4617" t="b">
        <v>0</v>
      </c>
      <c r="R4617">
        <v>1</v>
      </c>
      <c r="S4617" t="s">
        <v>77</v>
      </c>
      <c r="T4617">
        <v>999</v>
      </c>
      <c r="U4617" t="s">
        <v>7525</v>
      </c>
      <c r="V4617">
        <f t="shared" si="11"/>
        <v>31838004</v>
      </c>
      <c r="W4617"/>
      <c r="X4617" t="s">
        <v>6678</v>
      </c>
      <c r="Y4617" t="s">
        <v>215</v>
      </c>
      <c r="Z4617">
        <v>22263</v>
      </c>
      <c r="AA4617" t="s">
        <v>6679</v>
      </c>
      <c r="AB4617">
        <v>40001</v>
      </c>
      <c r="AC4617"/>
      <c r="AD4617"/>
      <c r="AE4617" t="s">
        <v>7524</v>
      </c>
      <c r="AF4617" t="s">
        <v>7524</v>
      </c>
      <c r="AG4617" t="s">
        <v>1231</v>
      </c>
    </row>
    <row r="4618" spans="2:33">
      <c r="B4618" s="14">
        <f>10000000+INDEX(编号表!$B:$B,MATCH(H4618,编号表!$A:$A,0))*100000+INDEX(编号表!$F:$F,MATCH(D4618,编号表!$E:$E,0))*10000+INDEX(编号表!$D:$D,MATCH(AG4618,编号表!$C:$C,0))*1000+F4618</f>
        <v>11838005</v>
      </c>
      <c r="C4618" t="s">
        <v>6684</v>
      </c>
      <c r="D4618" t="s">
        <v>276</v>
      </c>
      <c r="E4618" t="s">
        <v>1231</v>
      </c>
      <c r="F4618">
        <v>5</v>
      </c>
      <c r="G4618">
        <v>60</v>
      </c>
      <c r="H4618" t="s">
        <v>7524</v>
      </c>
      <c r="I4618" t="s">
        <v>75</v>
      </c>
      <c r="J4618" t="s">
        <v>201</v>
      </c>
      <c r="K4618">
        <v>1</v>
      </c>
      <c r="L4618" t="s">
        <v>7524</v>
      </c>
      <c r="M4618"/>
      <c r="N4618">
        <v>0</v>
      </c>
      <c r="O4618" t="b">
        <v>1</v>
      </c>
      <c r="P4618"/>
      <c r="Q4618" t="b">
        <v>0</v>
      </c>
      <c r="R4618">
        <v>1</v>
      </c>
      <c r="S4618" t="s">
        <v>77</v>
      </c>
      <c r="T4618">
        <v>999</v>
      </c>
      <c r="U4618" t="s">
        <v>7525</v>
      </c>
      <c r="V4618">
        <f t="shared" si="11"/>
        <v>31838005</v>
      </c>
      <c r="W4618"/>
      <c r="X4618" t="s">
        <v>6685</v>
      </c>
      <c r="Y4618" t="s">
        <v>215</v>
      </c>
      <c r="Z4618">
        <v>22266</v>
      </c>
      <c r="AA4618" t="s">
        <v>6686</v>
      </c>
      <c r="AB4618">
        <v>40001</v>
      </c>
      <c r="AC4618"/>
      <c r="AD4618"/>
      <c r="AE4618" t="s">
        <v>7524</v>
      </c>
      <c r="AF4618" t="s">
        <v>7524</v>
      </c>
      <c r="AG4618" t="s">
        <v>1231</v>
      </c>
    </row>
    <row r="4619" spans="2:33">
      <c r="B4619" s="14">
        <f>10000000+INDEX(编号表!$B:$B,MATCH(H4619,编号表!$A:$A,0))*100000+INDEX(编号表!$F:$F,MATCH(D4619,编号表!$E:$E,0))*10000+INDEX(编号表!$D:$D,MATCH(AG4619,编号表!$C:$C,0))*1000+F4619</f>
        <v>11838006</v>
      </c>
      <c r="C4619" t="s">
        <v>6691</v>
      </c>
      <c r="D4619" t="s">
        <v>276</v>
      </c>
      <c r="E4619" t="s">
        <v>1231</v>
      </c>
      <c r="F4619">
        <v>6</v>
      </c>
      <c r="G4619">
        <v>60</v>
      </c>
      <c r="H4619" t="s">
        <v>7524</v>
      </c>
      <c r="I4619" t="s">
        <v>75</v>
      </c>
      <c r="J4619" t="s">
        <v>201</v>
      </c>
      <c r="K4619">
        <v>1</v>
      </c>
      <c r="L4619" t="s">
        <v>7524</v>
      </c>
      <c r="M4619"/>
      <c r="N4619">
        <v>0</v>
      </c>
      <c r="O4619" t="b">
        <v>1</v>
      </c>
      <c r="P4619"/>
      <c r="Q4619" t="b">
        <v>0</v>
      </c>
      <c r="R4619">
        <v>1</v>
      </c>
      <c r="S4619" t="s">
        <v>77</v>
      </c>
      <c r="T4619">
        <v>999</v>
      </c>
      <c r="U4619" t="s">
        <v>7525</v>
      </c>
      <c r="V4619">
        <f t="shared" si="11"/>
        <v>31838006</v>
      </c>
      <c r="W4619"/>
      <c r="X4619" t="s">
        <v>6692</v>
      </c>
      <c r="Y4619" t="s">
        <v>215</v>
      </c>
      <c r="Z4619">
        <v>22269</v>
      </c>
      <c r="AA4619" t="s">
        <v>6693</v>
      </c>
      <c r="AB4619">
        <v>40001</v>
      </c>
      <c r="AC4619"/>
      <c r="AD4619"/>
      <c r="AE4619" t="s">
        <v>7524</v>
      </c>
      <c r="AF4619" t="s">
        <v>7524</v>
      </c>
      <c r="AG4619" t="s">
        <v>1231</v>
      </c>
    </row>
    <row r="4620" spans="2:33">
      <c r="B4620" s="14">
        <f>10000000+INDEX(编号表!$B:$B,MATCH(H4620,编号表!$A:$A,0))*100000+INDEX(编号表!$F:$F,MATCH(D4620,编号表!$E:$E,0))*10000+INDEX(编号表!$D:$D,MATCH(AG4620,编号表!$C:$C,0))*1000+F4620</f>
        <v>11838007</v>
      </c>
      <c r="C4620" t="s">
        <v>6698</v>
      </c>
      <c r="D4620" t="s">
        <v>276</v>
      </c>
      <c r="E4620" t="s">
        <v>1231</v>
      </c>
      <c r="F4620">
        <v>7</v>
      </c>
      <c r="G4620">
        <v>60</v>
      </c>
      <c r="H4620" t="s">
        <v>7524</v>
      </c>
      <c r="I4620" t="s">
        <v>75</v>
      </c>
      <c r="J4620" t="s">
        <v>201</v>
      </c>
      <c r="K4620">
        <v>1</v>
      </c>
      <c r="L4620" t="s">
        <v>7524</v>
      </c>
      <c r="M4620"/>
      <c r="N4620">
        <v>0</v>
      </c>
      <c r="O4620" t="b">
        <v>1</v>
      </c>
      <c r="P4620"/>
      <c r="Q4620" t="b">
        <v>0</v>
      </c>
      <c r="R4620">
        <v>1</v>
      </c>
      <c r="S4620" t="s">
        <v>77</v>
      </c>
      <c r="T4620">
        <v>999</v>
      </c>
      <c r="U4620" t="s">
        <v>7525</v>
      </c>
      <c r="V4620">
        <f t="shared" si="11"/>
        <v>31838007</v>
      </c>
      <c r="W4620"/>
      <c r="X4620" t="s">
        <v>6699</v>
      </c>
      <c r="Y4620" t="s">
        <v>215</v>
      </c>
      <c r="Z4620">
        <v>22272</v>
      </c>
      <c r="AA4620" t="s">
        <v>6700</v>
      </c>
      <c r="AB4620">
        <v>40001</v>
      </c>
      <c r="AC4620"/>
      <c r="AD4620"/>
      <c r="AE4620" t="s">
        <v>7524</v>
      </c>
      <c r="AF4620" t="s">
        <v>7524</v>
      </c>
      <c r="AG4620" t="s">
        <v>1231</v>
      </c>
    </row>
    <row r="4621" spans="2:33">
      <c r="B4621" s="14">
        <f>10000000+INDEX(编号表!$B:$B,MATCH(H4621,编号表!$A:$A,0))*100000+INDEX(编号表!$F:$F,MATCH(D4621,编号表!$E:$E,0))*10000+INDEX(编号表!$D:$D,MATCH(AG4621,编号表!$C:$C,0))*1000+F4621</f>
        <v>11838008</v>
      </c>
      <c r="C4621" t="s">
        <v>6705</v>
      </c>
      <c r="D4621" t="s">
        <v>276</v>
      </c>
      <c r="E4621" t="s">
        <v>1231</v>
      </c>
      <c r="F4621">
        <v>8</v>
      </c>
      <c r="G4621">
        <v>60</v>
      </c>
      <c r="H4621" t="s">
        <v>7524</v>
      </c>
      <c r="I4621" t="s">
        <v>75</v>
      </c>
      <c r="J4621" t="s">
        <v>201</v>
      </c>
      <c r="K4621">
        <v>1</v>
      </c>
      <c r="L4621" t="s">
        <v>7524</v>
      </c>
      <c r="M4621"/>
      <c r="N4621">
        <v>0</v>
      </c>
      <c r="O4621" t="b">
        <v>1</v>
      </c>
      <c r="P4621"/>
      <c r="Q4621" t="b">
        <v>0</v>
      </c>
      <c r="R4621">
        <v>1</v>
      </c>
      <c r="S4621" t="s">
        <v>77</v>
      </c>
      <c r="T4621">
        <v>999</v>
      </c>
      <c r="U4621" t="s">
        <v>7525</v>
      </c>
      <c r="V4621">
        <f t="shared" si="11"/>
        <v>31838008</v>
      </c>
      <c r="W4621"/>
      <c r="X4621" t="s">
        <v>6706</v>
      </c>
      <c r="Y4621" t="s">
        <v>215</v>
      </c>
      <c r="Z4621">
        <v>22275</v>
      </c>
      <c r="AA4621" t="s">
        <v>6707</v>
      </c>
      <c r="AB4621">
        <v>40001</v>
      </c>
      <c r="AC4621"/>
      <c r="AD4621"/>
      <c r="AE4621" t="s">
        <v>7524</v>
      </c>
      <c r="AF4621" t="s">
        <v>7524</v>
      </c>
      <c r="AG4621" t="s">
        <v>1231</v>
      </c>
    </row>
    <row r="4622" spans="2:33">
      <c r="B4622" s="14">
        <f>10000000+INDEX(编号表!$B:$B,MATCH(H4622,编号表!$A:$A,0))*100000+INDEX(编号表!$F:$F,MATCH(D4622,编号表!$E:$E,0))*10000+INDEX(编号表!$D:$D,MATCH(AG4622,编号表!$C:$C,0))*1000+F4622</f>
        <v>11838009</v>
      </c>
      <c r="C4622" t="s">
        <v>6712</v>
      </c>
      <c r="D4622" t="s">
        <v>276</v>
      </c>
      <c r="E4622" t="s">
        <v>1231</v>
      </c>
      <c r="F4622">
        <v>9</v>
      </c>
      <c r="G4622">
        <v>60</v>
      </c>
      <c r="H4622" t="s">
        <v>7524</v>
      </c>
      <c r="I4622" t="s">
        <v>75</v>
      </c>
      <c r="J4622" t="s">
        <v>201</v>
      </c>
      <c r="K4622">
        <v>1</v>
      </c>
      <c r="L4622" t="s">
        <v>7524</v>
      </c>
      <c r="M4622"/>
      <c r="N4622">
        <v>0</v>
      </c>
      <c r="O4622" t="b">
        <v>1</v>
      </c>
      <c r="P4622"/>
      <c r="Q4622" t="b">
        <v>0</v>
      </c>
      <c r="R4622">
        <v>1</v>
      </c>
      <c r="S4622" t="s">
        <v>77</v>
      </c>
      <c r="T4622">
        <v>999</v>
      </c>
      <c r="U4622" t="s">
        <v>7525</v>
      </c>
      <c r="V4622">
        <f t="shared" si="11"/>
        <v>31838009</v>
      </c>
      <c r="W4622"/>
      <c r="X4622" t="s">
        <v>6713</v>
      </c>
      <c r="Y4622" t="s">
        <v>215</v>
      </c>
      <c r="Z4622">
        <v>22278</v>
      </c>
      <c r="AA4622" t="s">
        <v>6714</v>
      </c>
      <c r="AB4622">
        <v>40001</v>
      </c>
      <c r="AC4622"/>
      <c r="AD4622"/>
      <c r="AE4622" t="s">
        <v>7524</v>
      </c>
      <c r="AF4622" t="s">
        <v>7524</v>
      </c>
      <c r="AG4622" t="s">
        <v>1231</v>
      </c>
    </row>
    <row r="4623" spans="2:33">
      <c r="B4623" s="14">
        <f>10000000+INDEX(编号表!$B:$B,MATCH(H4623,编号表!$A:$A,0))*100000+INDEX(编号表!$F:$F,MATCH(D4623,编号表!$E:$E,0))*10000+INDEX(编号表!$D:$D,MATCH(AG4623,编号表!$C:$C,0))*1000+F4623</f>
        <v>11838010</v>
      </c>
      <c r="C4623" t="s">
        <v>6719</v>
      </c>
      <c r="D4623" t="s">
        <v>276</v>
      </c>
      <c r="E4623" t="s">
        <v>1231</v>
      </c>
      <c r="F4623">
        <v>10</v>
      </c>
      <c r="G4623">
        <v>60</v>
      </c>
      <c r="H4623" t="s">
        <v>7524</v>
      </c>
      <c r="I4623" t="s">
        <v>75</v>
      </c>
      <c r="J4623" t="s">
        <v>201</v>
      </c>
      <c r="K4623">
        <v>1</v>
      </c>
      <c r="L4623" t="s">
        <v>7524</v>
      </c>
      <c r="M4623"/>
      <c r="N4623">
        <v>0</v>
      </c>
      <c r="O4623" t="b">
        <v>1</v>
      </c>
      <c r="P4623"/>
      <c r="Q4623" t="b">
        <v>0</v>
      </c>
      <c r="R4623">
        <v>1</v>
      </c>
      <c r="S4623" t="s">
        <v>77</v>
      </c>
      <c r="T4623">
        <v>999</v>
      </c>
      <c r="U4623" t="s">
        <v>7525</v>
      </c>
      <c r="V4623">
        <f t="shared" si="11"/>
        <v>31838010</v>
      </c>
      <c r="W4623"/>
      <c r="X4623" t="s">
        <v>6720</v>
      </c>
      <c r="Y4623" t="s">
        <v>215</v>
      </c>
      <c r="Z4623">
        <v>22281</v>
      </c>
      <c r="AA4623" t="s">
        <v>6721</v>
      </c>
      <c r="AB4623">
        <v>40001</v>
      </c>
      <c r="AC4623"/>
      <c r="AD4623"/>
      <c r="AE4623" t="s">
        <v>7524</v>
      </c>
      <c r="AF4623" t="s">
        <v>7524</v>
      </c>
      <c r="AG4623" t="s">
        <v>1231</v>
      </c>
    </row>
    <row r="4624" spans="2:33">
      <c r="B4624" s="14">
        <f>10000000+INDEX(编号表!$B:$B,MATCH(H4624,编号表!$A:$A,0))*100000+INDEX(编号表!$F:$F,MATCH(D4624,编号表!$E:$E,0))*10000+INDEX(编号表!$D:$D,MATCH(AG4624,编号表!$C:$C,0))*1000+F4624</f>
        <v>11838011</v>
      </c>
      <c r="C4624" t="s">
        <v>6726</v>
      </c>
      <c r="D4624" t="s">
        <v>276</v>
      </c>
      <c r="E4624" t="s">
        <v>1231</v>
      </c>
      <c r="F4624">
        <v>11</v>
      </c>
      <c r="G4624">
        <v>60</v>
      </c>
      <c r="H4624" t="s">
        <v>7524</v>
      </c>
      <c r="I4624" t="s">
        <v>75</v>
      </c>
      <c r="J4624" t="s">
        <v>201</v>
      </c>
      <c r="K4624">
        <v>1</v>
      </c>
      <c r="L4624" t="s">
        <v>7524</v>
      </c>
      <c r="M4624"/>
      <c r="N4624">
        <v>0</v>
      </c>
      <c r="O4624" t="b">
        <v>1</v>
      </c>
      <c r="P4624"/>
      <c r="Q4624" t="b">
        <v>0</v>
      </c>
      <c r="R4624">
        <v>1</v>
      </c>
      <c r="S4624" t="s">
        <v>77</v>
      </c>
      <c r="T4624">
        <v>999</v>
      </c>
      <c r="U4624" t="s">
        <v>7525</v>
      </c>
      <c r="V4624">
        <f t="shared" si="11"/>
        <v>31838011</v>
      </c>
      <c r="W4624"/>
      <c r="X4624" t="s">
        <v>6727</v>
      </c>
      <c r="Y4624" t="s">
        <v>215</v>
      </c>
      <c r="Z4624">
        <v>22284</v>
      </c>
      <c r="AA4624" t="s">
        <v>6728</v>
      </c>
      <c r="AB4624">
        <v>40001</v>
      </c>
      <c r="AC4624"/>
      <c r="AD4624"/>
      <c r="AE4624" t="s">
        <v>7524</v>
      </c>
      <c r="AF4624" t="s">
        <v>7524</v>
      </c>
      <c r="AG4624" t="s">
        <v>1231</v>
      </c>
    </row>
    <row r="4625" spans="2:33">
      <c r="B4625" s="14">
        <f>10000000+INDEX(编号表!$B:$B,MATCH(H4625,编号表!$A:$A,0))*100000+INDEX(编号表!$F:$F,MATCH(D4625,编号表!$E:$E,0))*10000+INDEX(编号表!$D:$D,MATCH(AG4625,编号表!$C:$C,0))*1000+F4625</f>
        <v>11838012</v>
      </c>
      <c r="C4625" t="s">
        <v>6733</v>
      </c>
      <c r="D4625" t="s">
        <v>276</v>
      </c>
      <c r="E4625" t="s">
        <v>1231</v>
      </c>
      <c r="F4625">
        <v>12</v>
      </c>
      <c r="G4625">
        <v>60</v>
      </c>
      <c r="H4625" t="s">
        <v>7524</v>
      </c>
      <c r="I4625" t="s">
        <v>75</v>
      </c>
      <c r="J4625" t="s">
        <v>201</v>
      </c>
      <c r="K4625">
        <v>1</v>
      </c>
      <c r="L4625" t="s">
        <v>7524</v>
      </c>
      <c r="M4625"/>
      <c r="N4625">
        <v>0</v>
      </c>
      <c r="O4625" t="b">
        <v>1</v>
      </c>
      <c r="P4625"/>
      <c r="Q4625" t="b">
        <v>0</v>
      </c>
      <c r="R4625">
        <v>1</v>
      </c>
      <c r="S4625" t="s">
        <v>77</v>
      </c>
      <c r="T4625">
        <v>999</v>
      </c>
      <c r="U4625" t="s">
        <v>7525</v>
      </c>
      <c r="V4625">
        <f t="shared" si="11"/>
        <v>31838012</v>
      </c>
      <c r="W4625"/>
      <c r="X4625" t="s">
        <v>6734</v>
      </c>
      <c r="Y4625" t="s">
        <v>215</v>
      </c>
      <c r="Z4625">
        <v>22287</v>
      </c>
      <c r="AA4625" t="s">
        <v>6735</v>
      </c>
      <c r="AB4625">
        <v>40001</v>
      </c>
      <c r="AC4625"/>
      <c r="AD4625"/>
      <c r="AE4625" t="s">
        <v>7524</v>
      </c>
      <c r="AF4625" t="s">
        <v>7524</v>
      </c>
      <c r="AG4625" t="s">
        <v>1231</v>
      </c>
    </row>
    <row r="4626" spans="2:33">
      <c r="B4626" s="14">
        <f>10000000+INDEX(编号表!$B:$B,MATCH(H4626,编号表!$A:$A,0))*100000+INDEX(编号表!$F:$F,MATCH(D4626,编号表!$E:$E,0))*10000+INDEX(编号表!$D:$D,MATCH(AG4626,编号表!$C:$C,0))*1000+F4626</f>
        <v>11838013</v>
      </c>
      <c r="C4626" t="s">
        <v>6740</v>
      </c>
      <c r="D4626" t="s">
        <v>276</v>
      </c>
      <c r="E4626" t="s">
        <v>1231</v>
      </c>
      <c r="F4626">
        <v>13</v>
      </c>
      <c r="G4626">
        <v>60</v>
      </c>
      <c r="H4626" t="s">
        <v>7524</v>
      </c>
      <c r="I4626" t="s">
        <v>75</v>
      </c>
      <c r="J4626" t="s">
        <v>201</v>
      </c>
      <c r="K4626">
        <v>1</v>
      </c>
      <c r="L4626" t="s">
        <v>7524</v>
      </c>
      <c r="M4626"/>
      <c r="N4626">
        <v>0</v>
      </c>
      <c r="O4626" t="b">
        <v>1</v>
      </c>
      <c r="P4626"/>
      <c r="Q4626" t="b">
        <v>0</v>
      </c>
      <c r="R4626">
        <v>1</v>
      </c>
      <c r="S4626" t="s">
        <v>77</v>
      </c>
      <c r="T4626">
        <v>999</v>
      </c>
      <c r="U4626" t="s">
        <v>7525</v>
      </c>
      <c r="V4626">
        <f t="shared" si="11"/>
        <v>31838013</v>
      </c>
      <c r="W4626"/>
      <c r="X4626" t="s">
        <v>6741</v>
      </c>
      <c r="Y4626" t="s">
        <v>215</v>
      </c>
      <c r="Z4626">
        <v>22290</v>
      </c>
      <c r="AA4626" t="s">
        <v>6742</v>
      </c>
      <c r="AB4626">
        <v>40001</v>
      </c>
      <c r="AC4626"/>
      <c r="AD4626"/>
      <c r="AE4626" t="s">
        <v>7524</v>
      </c>
      <c r="AF4626" t="s">
        <v>7524</v>
      </c>
      <c r="AG4626" t="s">
        <v>1231</v>
      </c>
    </row>
    <row r="4627" spans="2:33">
      <c r="B4627" s="14">
        <f>10000000+INDEX(编号表!$B:$B,MATCH(H4627,编号表!$A:$A,0))*100000+INDEX(编号表!$F:$F,MATCH(D4627,编号表!$E:$E,0))*10000+INDEX(编号表!$D:$D,MATCH(AG4627,编号表!$C:$C,0))*1000+F4627</f>
        <v>11838014</v>
      </c>
      <c r="C4627" t="s">
        <v>6747</v>
      </c>
      <c r="D4627" t="s">
        <v>276</v>
      </c>
      <c r="E4627" t="s">
        <v>1231</v>
      </c>
      <c r="F4627">
        <v>14</v>
      </c>
      <c r="G4627">
        <v>60</v>
      </c>
      <c r="H4627" t="s">
        <v>7524</v>
      </c>
      <c r="I4627" t="s">
        <v>75</v>
      </c>
      <c r="J4627" t="s">
        <v>201</v>
      </c>
      <c r="K4627">
        <v>1</v>
      </c>
      <c r="L4627" t="s">
        <v>7524</v>
      </c>
      <c r="M4627"/>
      <c r="N4627">
        <v>0</v>
      </c>
      <c r="O4627" t="b">
        <v>1</v>
      </c>
      <c r="P4627"/>
      <c r="Q4627" t="b">
        <v>0</v>
      </c>
      <c r="R4627">
        <v>1</v>
      </c>
      <c r="S4627" t="s">
        <v>77</v>
      </c>
      <c r="T4627">
        <v>999</v>
      </c>
      <c r="U4627" t="s">
        <v>7525</v>
      </c>
      <c r="V4627">
        <f t="shared" si="11"/>
        <v>31838014</v>
      </c>
      <c r="W4627"/>
      <c r="X4627" t="s">
        <v>6748</v>
      </c>
      <c r="Y4627" t="s">
        <v>215</v>
      </c>
      <c r="Z4627">
        <v>22293</v>
      </c>
      <c r="AA4627" t="s">
        <v>6749</v>
      </c>
      <c r="AB4627">
        <v>40001</v>
      </c>
      <c r="AC4627"/>
      <c r="AD4627"/>
      <c r="AE4627" t="s">
        <v>7524</v>
      </c>
      <c r="AF4627" t="s">
        <v>7524</v>
      </c>
      <c r="AG4627" t="s">
        <v>1231</v>
      </c>
    </row>
    <row r="4628" spans="2:33">
      <c r="B4628" s="14">
        <f>10000000+INDEX(编号表!$B:$B,MATCH(H4628,编号表!$A:$A,0))*100000+INDEX(编号表!$F:$F,MATCH(D4628,编号表!$E:$E,0))*10000+INDEX(编号表!$D:$D,MATCH(AG4628,编号表!$C:$C,0))*1000+F4628</f>
        <v>11838015</v>
      </c>
      <c r="C4628" t="s">
        <v>6754</v>
      </c>
      <c r="D4628" t="s">
        <v>276</v>
      </c>
      <c r="E4628" t="s">
        <v>1231</v>
      </c>
      <c r="F4628">
        <v>15</v>
      </c>
      <c r="G4628">
        <v>60</v>
      </c>
      <c r="H4628" t="s">
        <v>7524</v>
      </c>
      <c r="I4628" t="s">
        <v>75</v>
      </c>
      <c r="J4628" t="s">
        <v>201</v>
      </c>
      <c r="K4628">
        <v>1</v>
      </c>
      <c r="L4628" t="s">
        <v>7524</v>
      </c>
      <c r="M4628"/>
      <c r="N4628">
        <v>0</v>
      </c>
      <c r="O4628" t="b">
        <v>1</v>
      </c>
      <c r="P4628"/>
      <c r="Q4628" t="b">
        <v>0</v>
      </c>
      <c r="R4628">
        <v>1</v>
      </c>
      <c r="S4628" t="s">
        <v>77</v>
      </c>
      <c r="T4628">
        <v>999</v>
      </c>
      <c r="U4628" t="s">
        <v>7525</v>
      </c>
      <c r="V4628">
        <f t="shared" si="11"/>
        <v>31838015</v>
      </c>
      <c r="W4628"/>
      <c r="X4628" t="s">
        <v>6755</v>
      </c>
      <c r="Y4628" t="s">
        <v>215</v>
      </c>
      <c r="Z4628">
        <v>22296</v>
      </c>
      <c r="AA4628" t="s">
        <v>6756</v>
      </c>
      <c r="AB4628">
        <v>40001</v>
      </c>
      <c r="AC4628"/>
      <c r="AD4628"/>
      <c r="AE4628" t="s">
        <v>7524</v>
      </c>
      <c r="AF4628" t="s">
        <v>7524</v>
      </c>
      <c r="AG4628" t="s">
        <v>1231</v>
      </c>
    </row>
    <row r="4629" spans="2:33">
      <c r="B4629" s="14">
        <f>10000000+INDEX(编号表!$B:$B,MATCH(H4629,编号表!$A:$A,0))*100000+INDEX(编号表!$F:$F,MATCH(D4629,编号表!$E:$E,0))*10000+INDEX(编号表!$D:$D,MATCH(AG4629,编号表!$C:$C,0))*1000+F4629</f>
        <v>11838016</v>
      </c>
      <c r="C4629" t="s">
        <v>6761</v>
      </c>
      <c r="D4629" t="s">
        <v>276</v>
      </c>
      <c r="E4629" t="s">
        <v>1231</v>
      </c>
      <c r="F4629">
        <v>16</v>
      </c>
      <c r="G4629">
        <v>60</v>
      </c>
      <c r="H4629" t="s">
        <v>7524</v>
      </c>
      <c r="I4629" t="s">
        <v>75</v>
      </c>
      <c r="J4629" t="s">
        <v>201</v>
      </c>
      <c r="K4629">
        <v>1</v>
      </c>
      <c r="L4629" t="s">
        <v>7524</v>
      </c>
      <c r="M4629"/>
      <c r="N4629">
        <v>0</v>
      </c>
      <c r="O4629" t="b">
        <v>1</v>
      </c>
      <c r="P4629"/>
      <c r="Q4629" t="b">
        <v>0</v>
      </c>
      <c r="R4629">
        <v>1</v>
      </c>
      <c r="S4629" t="s">
        <v>77</v>
      </c>
      <c r="T4629">
        <v>999</v>
      </c>
      <c r="U4629" t="s">
        <v>7525</v>
      </c>
      <c r="V4629">
        <f t="shared" si="11"/>
        <v>31838016</v>
      </c>
      <c r="W4629"/>
      <c r="X4629" t="s">
        <v>6762</v>
      </c>
      <c r="Y4629" t="s">
        <v>215</v>
      </c>
      <c r="Z4629">
        <v>22299</v>
      </c>
      <c r="AA4629" t="s">
        <v>6763</v>
      </c>
      <c r="AB4629">
        <v>40001</v>
      </c>
      <c r="AC4629"/>
      <c r="AD4629"/>
      <c r="AE4629" t="s">
        <v>7524</v>
      </c>
      <c r="AF4629" t="s">
        <v>7524</v>
      </c>
      <c r="AG4629" t="s">
        <v>1231</v>
      </c>
    </row>
    <row r="4630" spans="2:33">
      <c r="B4630" s="14">
        <f>10000000+INDEX(编号表!$B:$B,MATCH(H4630,编号表!$A:$A,0))*100000+INDEX(编号表!$F:$F,MATCH(D4630,编号表!$E:$E,0))*10000+INDEX(编号表!$D:$D,MATCH(AG4630,编号表!$C:$C,0))*1000+F4630</f>
        <v>11838017</v>
      </c>
      <c r="C4630" t="s">
        <v>6768</v>
      </c>
      <c r="D4630" t="s">
        <v>276</v>
      </c>
      <c r="E4630" t="s">
        <v>1231</v>
      </c>
      <c r="F4630">
        <v>17</v>
      </c>
      <c r="G4630">
        <v>60</v>
      </c>
      <c r="H4630" t="s">
        <v>7524</v>
      </c>
      <c r="I4630" t="s">
        <v>75</v>
      </c>
      <c r="J4630" t="s">
        <v>201</v>
      </c>
      <c r="K4630">
        <v>1</v>
      </c>
      <c r="L4630" t="s">
        <v>7524</v>
      </c>
      <c r="M4630"/>
      <c r="N4630">
        <v>0</v>
      </c>
      <c r="O4630" t="b">
        <v>1</v>
      </c>
      <c r="P4630"/>
      <c r="Q4630" t="b">
        <v>0</v>
      </c>
      <c r="R4630">
        <v>1</v>
      </c>
      <c r="S4630" t="s">
        <v>77</v>
      </c>
      <c r="T4630">
        <v>999</v>
      </c>
      <c r="U4630" t="s">
        <v>7525</v>
      </c>
      <c r="V4630">
        <f t="shared" si="11"/>
        <v>31838017</v>
      </c>
      <c r="W4630"/>
      <c r="X4630" t="s">
        <v>6769</v>
      </c>
      <c r="Y4630" t="s">
        <v>215</v>
      </c>
      <c r="Z4630">
        <v>22302</v>
      </c>
      <c r="AA4630" t="s">
        <v>6770</v>
      </c>
      <c r="AB4630">
        <v>40001</v>
      </c>
      <c r="AC4630"/>
      <c r="AD4630"/>
      <c r="AE4630" t="s">
        <v>7524</v>
      </c>
      <c r="AF4630" t="s">
        <v>7524</v>
      </c>
      <c r="AG4630" t="s">
        <v>1231</v>
      </c>
    </row>
    <row r="4631" spans="2:33">
      <c r="B4631" s="14">
        <f>10000000+INDEX(编号表!$B:$B,MATCH(H4631,编号表!$A:$A,0))*100000+INDEX(编号表!$F:$F,MATCH(D4631,编号表!$E:$E,0))*10000+INDEX(编号表!$D:$D,MATCH(AG4631,编号表!$C:$C,0))*1000+F4631</f>
        <v>11838018</v>
      </c>
      <c r="C4631" t="s">
        <v>6775</v>
      </c>
      <c r="D4631" t="s">
        <v>276</v>
      </c>
      <c r="E4631" t="s">
        <v>1231</v>
      </c>
      <c r="F4631">
        <v>18</v>
      </c>
      <c r="G4631">
        <v>60</v>
      </c>
      <c r="H4631" t="s">
        <v>7524</v>
      </c>
      <c r="I4631" t="s">
        <v>75</v>
      </c>
      <c r="J4631" t="s">
        <v>201</v>
      </c>
      <c r="K4631">
        <v>1</v>
      </c>
      <c r="L4631" t="s">
        <v>7524</v>
      </c>
      <c r="M4631"/>
      <c r="N4631">
        <v>0</v>
      </c>
      <c r="O4631" t="b">
        <v>1</v>
      </c>
      <c r="P4631"/>
      <c r="Q4631" t="b">
        <v>0</v>
      </c>
      <c r="R4631">
        <v>1</v>
      </c>
      <c r="S4631" t="s">
        <v>77</v>
      </c>
      <c r="T4631">
        <v>999</v>
      </c>
      <c r="U4631" t="s">
        <v>7525</v>
      </c>
      <c r="V4631">
        <f t="shared" si="11"/>
        <v>31838018</v>
      </c>
      <c r="W4631"/>
      <c r="X4631" t="s">
        <v>6776</v>
      </c>
      <c r="Y4631" t="s">
        <v>215</v>
      </c>
      <c r="Z4631">
        <v>22305</v>
      </c>
      <c r="AA4631" t="s">
        <v>6777</v>
      </c>
      <c r="AB4631">
        <v>40001</v>
      </c>
      <c r="AC4631"/>
      <c r="AD4631"/>
      <c r="AE4631" t="s">
        <v>7524</v>
      </c>
      <c r="AF4631" t="s">
        <v>7524</v>
      </c>
      <c r="AG4631" t="s">
        <v>1231</v>
      </c>
    </row>
    <row r="4632" spans="2:33">
      <c r="B4632" s="14">
        <f>10000000+INDEX(编号表!$B:$B,MATCH(H4632,编号表!$A:$A,0))*100000+INDEX(编号表!$F:$F,MATCH(D4632,编号表!$E:$E,0))*10000+INDEX(编号表!$D:$D,MATCH(AG4632,编号表!$C:$C,0))*1000+F4632</f>
        <v>11838019</v>
      </c>
      <c r="C4632" t="s">
        <v>6782</v>
      </c>
      <c r="D4632" t="s">
        <v>276</v>
      </c>
      <c r="E4632" t="s">
        <v>1231</v>
      </c>
      <c r="F4632">
        <v>19</v>
      </c>
      <c r="G4632">
        <v>60</v>
      </c>
      <c r="H4632" t="s">
        <v>7524</v>
      </c>
      <c r="I4632" t="s">
        <v>75</v>
      </c>
      <c r="J4632" t="s">
        <v>201</v>
      </c>
      <c r="K4632">
        <v>1</v>
      </c>
      <c r="L4632" t="s">
        <v>7524</v>
      </c>
      <c r="M4632"/>
      <c r="N4632">
        <v>0</v>
      </c>
      <c r="O4632" t="b">
        <v>1</v>
      </c>
      <c r="P4632"/>
      <c r="Q4632" t="b">
        <v>0</v>
      </c>
      <c r="R4632">
        <v>1</v>
      </c>
      <c r="S4632" t="s">
        <v>77</v>
      </c>
      <c r="T4632">
        <v>999</v>
      </c>
      <c r="U4632" t="s">
        <v>7525</v>
      </c>
      <c r="V4632">
        <f t="shared" ref="V4632:V4695" si="12">B4632+20000000</f>
        <v>31838019</v>
      </c>
      <c r="W4632"/>
      <c r="X4632" t="s">
        <v>6783</v>
      </c>
      <c r="Y4632" t="s">
        <v>215</v>
      </c>
      <c r="Z4632">
        <v>22308</v>
      </c>
      <c r="AA4632" t="s">
        <v>6784</v>
      </c>
      <c r="AB4632">
        <v>40001</v>
      </c>
      <c r="AC4632"/>
      <c r="AD4632"/>
      <c r="AE4632" t="s">
        <v>7524</v>
      </c>
      <c r="AF4632" t="s">
        <v>7524</v>
      </c>
      <c r="AG4632" t="s">
        <v>1231</v>
      </c>
    </row>
    <row r="4633" spans="2:33">
      <c r="B4633" s="14">
        <f>10000000+INDEX(编号表!$B:$B,MATCH(H4633,编号表!$A:$A,0))*100000+INDEX(编号表!$F:$F,MATCH(D4633,编号表!$E:$E,0))*10000+INDEX(编号表!$D:$D,MATCH(AG4633,编号表!$C:$C,0))*1000+F4633</f>
        <v>11838020</v>
      </c>
      <c r="C4633" t="s">
        <v>6789</v>
      </c>
      <c r="D4633" t="s">
        <v>276</v>
      </c>
      <c r="E4633" t="s">
        <v>1231</v>
      </c>
      <c r="F4633">
        <v>20</v>
      </c>
      <c r="G4633">
        <v>60</v>
      </c>
      <c r="H4633" t="s">
        <v>7524</v>
      </c>
      <c r="I4633" t="s">
        <v>75</v>
      </c>
      <c r="J4633" t="s">
        <v>201</v>
      </c>
      <c r="K4633">
        <v>1</v>
      </c>
      <c r="L4633" t="s">
        <v>7524</v>
      </c>
      <c r="M4633"/>
      <c r="N4633">
        <v>0</v>
      </c>
      <c r="O4633" t="b">
        <v>1</v>
      </c>
      <c r="P4633"/>
      <c r="Q4633" t="b">
        <v>0</v>
      </c>
      <c r="R4633">
        <v>1</v>
      </c>
      <c r="S4633" t="s">
        <v>77</v>
      </c>
      <c r="T4633">
        <v>999</v>
      </c>
      <c r="U4633" t="s">
        <v>7525</v>
      </c>
      <c r="V4633">
        <f t="shared" si="12"/>
        <v>31838020</v>
      </c>
      <c r="W4633"/>
      <c r="X4633" t="s">
        <v>6790</v>
      </c>
      <c r="Y4633" t="s">
        <v>215</v>
      </c>
      <c r="Z4633">
        <v>22311</v>
      </c>
      <c r="AA4633" t="s">
        <v>6791</v>
      </c>
      <c r="AB4633">
        <v>40001</v>
      </c>
      <c r="AC4633"/>
      <c r="AD4633"/>
      <c r="AE4633" t="s">
        <v>7524</v>
      </c>
      <c r="AF4633" t="s">
        <v>7524</v>
      </c>
      <c r="AG4633" t="s">
        <v>1231</v>
      </c>
    </row>
    <row r="4634" spans="2:33">
      <c r="B4634" s="14">
        <f>10000000+INDEX(编号表!$B:$B,MATCH(H4634,编号表!$A:$A,0))*100000+INDEX(编号表!$F:$F,MATCH(D4634,编号表!$E:$E,0))*10000+INDEX(编号表!$D:$D,MATCH(AG4634,编号表!$C:$C,0))*1000+F4634</f>
        <v>11838021</v>
      </c>
      <c r="C4634" t="s">
        <v>6796</v>
      </c>
      <c r="D4634" t="s">
        <v>276</v>
      </c>
      <c r="E4634" t="s">
        <v>1231</v>
      </c>
      <c r="F4634">
        <v>21</v>
      </c>
      <c r="G4634">
        <v>60</v>
      </c>
      <c r="H4634" t="s">
        <v>7524</v>
      </c>
      <c r="I4634" t="s">
        <v>75</v>
      </c>
      <c r="J4634" t="s">
        <v>201</v>
      </c>
      <c r="K4634">
        <v>1</v>
      </c>
      <c r="L4634" t="s">
        <v>7524</v>
      </c>
      <c r="M4634"/>
      <c r="N4634">
        <v>0</v>
      </c>
      <c r="O4634" t="b">
        <v>1</v>
      </c>
      <c r="P4634"/>
      <c r="Q4634" t="b">
        <v>0</v>
      </c>
      <c r="R4634">
        <v>1</v>
      </c>
      <c r="S4634" t="s">
        <v>77</v>
      </c>
      <c r="T4634">
        <v>999</v>
      </c>
      <c r="U4634" t="s">
        <v>7525</v>
      </c>
      <c r="V4634">
        <f t="shared" si="12"/>
        <v>31838021</v>
      </c>
      <c r="W4634"/>
      <c r="X4634" t="s">
        <v>6797</v>
      </c>
      <c r="Y4634" t="s">
        <v>215</v>
      </c>
      <c r="Z4634">
        <v>22314</v>
      </c>
      <c r="AA4634" t="s">
        <v>6798</v>
      </c>
      <c r="AB4634">
        <v>40001</v>
      </c>
      <c r="AC4634"/>
      <c r="AD4634"/>
      <c r="AE4634" t="s">
        <v>7524</v>
      </c>
      <c r="AF4634" t="s">
        <v>7524</v>
      </c>
      <c r="AG4634" t="s">
        <v>1231</v>
      </c>
    </row>
    <row r="4635" spans="2:33">
      <c r="B4635" s="14">
        <f>10000000+INDEX(编号表!$B:$B,MATCH(H4635,编号表!$A:$A,0))*100000+INDEX(编号表!$F:$F,MATCH(D4635,编号表!$E:$E,0))*10000+INDEX(编号表!$D:$D,MATCH(AG4635,编号表!$C:$C,0))*1000+F4635</f>
        <v>11838022</v>
      </c>
      <c r="C4635" t="s">
        <v>6803</v>
      </c>
      <c r="D4635" t="s">
        <v>276</v>
      </c>
      <c r="E4635" t="s">
        <v>1231</v>
      </c>
      <c r="F4635">
        <v>22</v>
      </c>
      <c r="G4635">
        <v>60</v>
      </c>
      <c r="H4635" t="s">
        <v>7524</v>
      </c>
      <c r="I4635" t="s">
        <v>75</v>
      </c>
      <c r="J4635" t="s">
        <v>201</v>
      </c>
      <c r="K4635">
        <v>1</v>
      </c>
      <c r="L4635" t="s">
        <v>7524</v>
      </c>
      <c r="M4635"/>
      <c r="N4635">
        <v>0</v>
      </c>
      <c r="O4635" t="b">
        <v>1</v>
      </c>
      <c r="P4635"/>
      <c r="Q4635" t="b">
        <v>0</v>
      </c>
      <c r="R4635">
        <v>1</v>
      </c>
      <c r="S4635" t="s">
        <v>77</v>
      </c>
      <c r="T4635">
        <v>999</v>
      </c>
      <c r="U4635" t="s">
        <v>7525</v>
      </c>
      <c r="V4635">
        <f t="shared" si="12"/>
        <v>31838022</v>
      </c>
      <c r="W4635"/>
      <c r="X4635" t="s">
        <v>6804</v>
      </c>
      <c r="Y4635" t="s">
        <v>215</v>
      </c>
      <c r="Z4635">
        <v>22317</v>
      </c>
      <c r="AA4635" t="s">
        <v>6805</v>
      </c>
      <c r="AB4635">
        <v>40001</v>
      </c>
      <c r="AC4635"/>
      <c r="AD4635"/>
      <c r="AE4635" t="s">
        <v>7524</v>
      </c>
      <c r="AF4635" t="s">
        <v>7524</v>
      </c>
      <c r="AG4635" t="s">
        <v>1231</v>
      </c>
    </row>
    <row r="4636" spans="2:33">
      <c r="B4636" s="14">
        <f>10000000+INDEX(编号表!$B:$B,MATCH(H4636,编号表!$A:$A,0))*100000+INDEX(编号表!$F:$F,MATCH(D4636,编号表!$E:$E,0))*10000+INDEX(编号表!$D:$D,MATCH(AG4636,编号表!$C:$C,0))*1000+F4636</f>
        <v>11838023</v>
      </c>
      <c r="C4636" t="s">
        <v>6810</v>
      </c>
      <c r="D4636" t="s">
        <v>276</v>
      </c>
      <c r="E4636" t="s">
        <v>1231</v>
      </c>
      <c r="F4636">
        <v>23</v>
      </c>
      <c r="G4636">
        <v>60</v>
      </c>
      <c r="H4636" t="s">
        <v>7524</v>
      </c>
      <c r="I4636" t="s">
        <v>75</v>
      </c>
      <c r="J4636" t="s">
        <v>201</v>
      </c>
      <c r="K4636">
        <v>1</v>
      </c>
      <c r="L4636" t="s">
        <v>7524</v>
      </c>
      <c r="M4636"/>
      <c r="N4636">
        <v>0</v>
      </c>
      <c r="O4636" t="b">
        <v>1</v>
      </c>
      <c r="P4636"/>
      <c r="Q4636" t="b">
        <v>0</v>
      </c>
      <c r="R4636">
        <v>1</v>
      </c>
      <c r="S4636" t="s">
        <v>77</v>
      </c>
      <c r="T4636">
        <v>999</v>
      </c>
      <c r="U4636" t="s">
        <v>7525</v>
      </c>
      <c r="V4636">
        <f t="shared" si="12"/>
        <v>31838023</v>
      </c>
      <c r="W4636"/>
      <c r="X4636" t="s">
        <v>6811</v>
      </c>
      <c r="Y4636" t="s">
        <v>215</v>
      </c>
      <c r="Z4636">
        <v>22320</v>
      </c>
      <c r="AA4636" t="s">
        <v>6812</v>
      </c>
      <c r="AB4636">
        <v>40001</v>
      </c>
      <c r="AC4636"/>
      <c r="AD4636"/>
      <c r="AE4636" t="s">
        <v>7524</v>
      </c>
      <c r="AF4636" t="s">
        <v>7524</v>
      </c>
      <c r="AG4636" t="s">
        <v>1231</v>
      </c>
    </row>
    <row r="4637" spans="2:33">
      <c r="B4637" s="14">
        <f>10000000+INDEX(编号表!$B:$B,MATCH(H4637,编号表!$A:$A,0))*100000+INDEX(编号表!$F:$F,MATCH(D4637,编号表!$E:$E,0))*10000+INDEX(编号表!$D:$D,MATCH(AG4637,编号表!$C:$C,0))*1000+F4637</f>
        <v>11838024</v>
      </c>
      <c r="C4637" t="s">
        <v>6817</v>
      </c>
      <c r="D4637" t="s">
        <v>276</v>
      </c>
      <c r="E4637" t="s">
        <v>1231</v>
      </c>
      <c r="F4637">
        <v>24</v>
      </c>
      <c r="G4637">
        <v>60</v>
      </c>
      <c r="H4637" t="s">
        <v>7524</v>
      </c>
      <c r="I4637" t="s">
        <v>75</v>
      </c>
      <c r="J4637" t="s">
        <v>201</v>
      </c>
      <c r="K4637">
        <v>1</v>
      </c>
      <c r="L4637" t="s">
        <v>7524</v>
      </c>
      <c r="M4637"/>
      <c r="N4637">
        <v>0</v>
      </c>
      <c r="O4637" t="b">
        <v>1</v>
      </c>
      <c r="P4637"/>
      <c r="Q4637" t="b">
        <v>0</v>
      </c>
      <c r="R4637">
        <v>1</v>
      </c>
      <c r="S4637" t="s">
        <v>77</v>
      </c>
      <c r="T4637">
        <v>999</v>
      </c>
      <c r="U4637" t="s">
        <v>7525</v>
      </c>
      <c r="V4637">
        <f t="shared" si="12"/>
        <v>31838024</v>
      </c>
      <c r="W4637"/>
      <c r="X4637" t="s">
        <v>6818</v>
      </c>
      <c r="Y4637" t="s">
        <v>215</v>
      </c>
      <c r="Z4637">
        <v>22323</v>
      </c>
      <c r="AA4637" t="s">
        <v>6819</v>
      </c>
      <c r="AB4637">
        <v>40001</v>
      </c>
      <c r="AC4637"/>
      <c r="AD4637"/>
      <c r="AE4637" t="s">
        <v>7524</v>
      </c>
      <c r="AF4637" t="s">
        <v>7524</v>
      </c>
      <c r="AG4637" t="s">
        <v>1231</v>
      </c>
    </row>
    <row r="4638" spans="2:33">
      <c r="B4638" s="14">
        <f>10000000+INDEX(编号表!$B:$B,MATCH(H4638,编号表!$A:$A,0))*100000+INDEX(编号表!$F:$F,MATCH(D4638,编号表!$E:$E,0))*10000+INDEX(编号表!$D:$D,MATCH(AG4638,编号表!$C:$C,0))*1000+F4638</f>
        <v>11838025</v>
      </c>
      <c r="C4638" t="s">
        <v>6824</v>
      </c>
      <c r="D4638" t="s">
        <v>276</v>
      </c>
      <c r="E4638" t="s">
        <v>1231</v>
      </c>
      <c r="F4638">
        <v>25</v>
      </c>
      <c r="G4638">
        <v>60</v>
      </c>
      <c r="H4638" t="s">
        <v>7524</v>
      </c>
      <c r="I4638" t="s">
        <v>75</v>
      </c>
      <c r="J4638" t="s">
        <v>201</v>
      </c>
      <c r="K4638">
        <v>1</v>
      </c>
      <c r="L4638" t="s">
        <v>7524</v>
      </c>
      <c r="M4638"/>
      <c r="N4638">
        <v>0</v>
      </c>
      <c r="O4638" t="b">
        <v>1</v>
      </c>
      <c r="P4638"/>
      <c r="Q4638" t="b">
        <v>0</v>
      </c>
      <c r="R4638">
        <v>1</v>
      </c>
      <c r="S4638" t="s">
        <v>77</v>
      </c>
      <c r="T4638">
        <v>999</v>
      </c>
      <c r="U4638" t="s">
        <v>7525</v>
      </c>
      <c r="V4638">
        <f t="shared" si="12"/>
        <v>31838025</v>
      </c>
      <c r="W4638"/>
      <c r="X4638" t="s">
        <v>6825</v>
      </c>
      <c r="Y4638" t="s">
        <v>215</v>
      </c>
      <c r="Z4638">
        <v>22326</v>
      </c>
      <c r="AA4638" t="s">
        <v>6826</v>
      </c>
      <c r="AB4638">
        <v>40001</v>
      </c>
      <c r="AC4638"/>
      <c r="AD4638"/>
      <c r="AE4638" t="s">
        <v>7524</v>
      </c>
      <c r="AF4638" t="s">
        <v>7524</v>
      </c>
      <c r="AG4638" t="s">
        <v>1231</v>
      </c>
    </row>
    <row r="4639" spans="2:33">
      <c r="B4639" s="14">
        <f>10000000+INDEX(编号表!$B:$B,MATCH(H4639,编号表!$A:$A,0))*100000+INDEX(编号表!$F:$F,MATCH(D4639,编号表!$E:$E,0))*10000+INDEX(编号表!$D:$D,MATCH(AG4639,编号表!$C:$C,0))*1000+F4639</f>
        <v>11838026</v>
      </c>
      <c r="C4639" t="s">
        <v>6831</v>
      </c>
      <c r="D4639" t="s">
        <v>276</v>
      </c>
      <c r="E4639" t="s">
        <v>1231</v>
      </c>
      <c r="F4639">
        <v>26</v>
      </c>
      <c r="G4639">
        <v>60</v>
      </c>
      <c r="H4639" t="s">
        <v>7524</v>
      </c>
      <c r="I4639" t="s">
        <v>75</v>
      </c>
      <c r="J4639" t="s">
        <v>201</v>
      </c>
      <c r="K4639">
        <v>1</v>
      </c>
      <c r="L4639" t="s">
        <v>7524</v>
      </c>
      <c r="M4639"/>
      <c r="N4639">
        <v>0</v>
      </c>
      <c r="O4639" t="b">
        <v>1</v>
      </c>
      <c r="P4639"/>
      <c r="Q4639" t="b">
        <v>0</v>
      </c>
      <c r="R4639">
        <v>1</v>
      </c>
      <c r="S4639" t="s">
        <v>77</v>
      </c>
      <c r="T4639">
        <v>999</v>
      </c>
      <c r="U4639" t="s">
        <v>7525</v>
      </c>
      <c r="V4639">
        <f t="shared" si="12"/>
        <v>31838026</v>
      </c>
      <c r="W4639"/>
      <c r="X4639" t="s">
        <v>6832</v>
      </c>
      <c r="Y4639" t="s">
        <v>215</v>
      </c>
      <c r="Z4639">
        <v>22329</v>
      </c>
      <c r="AA4639" t="s">
        <v>6833</v>
      </c>
      <c r="AB4639">
        <v>40001</v>
      </c>
      <c r="AC4639"/>
      <c r="AD4639"/>
      <c r="AE4639" t="s">
        <v>7524</v>
      </c>
      <c r="AF4639" t="s">
        <v>7524</v>
      </c>
      <c r="AG4639" t="s">
        <v>1231</v>
      </c>
    </row>
    <row r="4640" spans="2:33">
      <c r="B4640" s="14">
        <f>10000000+INDEX(编号表!$B:$B,MATCH(H4640,编号表!$A:$A,0))*100000+INDEX(编号表!$F:$F,MATCH(D4640,编号表!$E:$E,0))*10000+INDEX(编号表!$D:$D,MATCH(AG4640,编号表!$C:$C,0))*1000+F4640</f>
        <v>11838027</v>
      </c>
      <c r="C4640" t="s">
        <v>6838</v>
      </c>
      <c r="D4640" t="s">
        <v>276</v>
      </c>
      <c r="E4640" t="s">
        <v>1231</v>
      </c>
      <c r="F4640">
        <v>27</v>
      </c>
      <c r="G4640">
        <v>60</v>
      </c>
      <c r="H4640" t="s">
        <v>7524</v>
      </c>
      <c r="I4640" t="s">
        <v>75</v>
      </c>
      <c r="J4640" t="s">
        <v>201</v>
      </c>
      <c r="K4640">
        <v>1</v>
      </c>
      <c r="L4640" t="s">
        <v>7524</v>
      </c>
      <c r="M4640"/>
      <c r="N4640">
        <v>0</v>
      </c>
      <c r="O4640" t="b">
        <v>1</v>
      </c>
      <c r="P4640"/>
      <c r="Q4640" t="b">
        <v>0</v>
      </c>
      <c r="R4640">
        <v>1</v>
      </c>
      <c r="S4640" t="s">
        <v>77</v>
      </c>
      <c r="T4640">
        <v>999</v>
      </c>
      <c r="U4640" t="s">
        <v>7525</v>
      </c>
      <c r="V4640">
        <f t="shared" si="12"/>
        <v>31838027</v>
      </c>
      <c r="W4640"/>
      <c r="X4640" t="s">
        <v>6839</v>
      </c>
      <c r="Y4640" t="s">
        <v>215</v>
      </c>
      <c r="Z4640">
        <v>22332</v>
      </c>
      <c r="AA4640" t="s">
        <v>6840</v>
      </c>
      <c r="AB4640">
        <v>40001</v>
      </c>
      <c r="AC4640"/>
      <c r="AD4640"/>
      <c r="AE4640" t="s">
        <v>7524</v>
      </c>
      <c r="AF4640" t="s">
        <v>7524</v>
      </c>
      <c r="AG4640" t="s">
        <v>1231</v>
      </c>
    </row>
    <row r="4641" spans="2:33">
      <c r="B4641" s="14">
        <f>10000000+INDEX(编号表!$B:$B,MATCH(H4641,编号表!$A:$A,0))*100000+INDEX(编号表!$F:$F,MATCH(D4641,编号表!$E:$E,0))*10000+INDEX(编号表!$D:$D,MATCH(AG4641,编号表!$C:$C,0))*1000+F4641</f>
        <v>11838028</v>
      </c>
      <c r="C4641" t="s">
        <v>6845</v>
      </c>
      <c r="D4641" t="s">
        <v>276</v>
      </c>
      <c r="E4641" t="s">
        <v>1231</v>
      </c>
      <c r="F4641">
        <v>28</v>
      </c>
      <c r="G4641">
        <v>60</v>
      </c>
      <c r="H4641" t="s">
        <v>7524</v>
      </c>
      <c r="I4641" t="s">
        <v>75</v>
      </c>
      <c r="J4641" t="s">
        <v>201</v>
      </c>
      <c r="K4641">
        <v>1</v>
      </c>
      <c r="L4641" t="s">
        <v>7524</v>
      </c>
      <c r="M4641"/>
      <c r="N4641">
        <v>0</v>
      </c>
      <c r="O4641" t="b">
        <v>1</v>
      </c>
      <c r="P4641"/>
      <c r="Q4641" t="b">
        <v>0</v>
      </c>
      <c r="R4641">
        <v>1</v>
      </c>
      <c r="S4641" t="s">
        <v>77</v>
      </c>
      <c r="T4641">
        <v>999</v>
      </c>
      <c r="U4641" t="s">
        <v>7525</v>
      </c>
      <c r="V4641">
        <f t="shared" si="12"/>
        <v>31838028</v>
      </c>
      <c r="W4641"/>
      <c r="X4641" t="s">
        <v>6846</v>
      </c>
      <c r="Y4641" t="s">
        <v>215</v>
      </c>
      <c r="Z4641">
        <v>22335</v>
      </c>
      <c r="AA4641" t="s">
        <v>6847</v>
      </c>
      <c r="AB4641">
        <v>40001</v>
      </c>
      <c r="AC4641"/>
      <c r="AD4641"/>
      <c r="AE4641" t="s">
        <v>7524</v>
      </c>
      <c r="AF4641" t="s">
        <v>7524</v>
      </c>
      <c r="AG4641" t="s">
        <v>1231</v>
      </c>
    </row>
    <row r="4642" spans="2:33">
      <c r="B4642" s="14">
        <f>10000000+INDEX(编号表!$B:$B,MATCH(H4642,编号表!$A:$A,0))*100000+INDEX(编号表!$F:$F,MATCH(D4642,编号表!$E:$E,0))*10000+INDEX(编号表!$D:$D,MATCH(AG4642,编号表!$C:$C,0))*1000+F4642</f>
        <v>11838029</v>
      </c>
      <c r="C4642" t="s">
        <v>6852</v>
      </c>
      <c r="D4642" t="s">
        <v>276</v>
      </c>
      <c r="E4642" t="s">
        <v>1231</v>
      </c>
      <c r="F4642">
        <v>29</v>
      </c>
      <c r="G4642">
        <v>60</v>
      </c>
      <c r="H4642" t="s">
        <v>7524</v>
      </c>
      <c r="I4642" t="s">
        <v>75</v>
      </c>
      <c r="J4642" t="s">
        <v>201</v>
      </c>
      <c r="K4642">
        <v>1</v>
      </c>
      <c r="L4642" t="s">
        <v>7524</v>
      </c>
      <c r="M4642"/>
      <c r="N4642">
        <v>0</v>
      </c>
      <c r="O4642" t="b">
        <v>1</v>
      </c>
      <c r="P4642"/>
      <c r="Q4642" t="b">
        <v>0</v>
      </c>
      <c r="R4642">
        <v>1</v>
      </c>
      <c r="S4642" t="s">
        <v>77</v>
      </c>
      <c r="T4642">
        <v>999</v>
      </c>
      <c r="U4642" t="s">
        <v>7525</v>
      </c>
      <c r="V4642">
        <f t="shared" si="12"/>
        <v>31838029</v>
      </c>
      <c r="W4642"/>
      <c r="X4642" t="s">
        <v>6853</v>
      </c>
      <c r="Y4642" t="s">
        <v>215</v>
      </c>
      <c r="Z4642">
        <v>22338</v>
      </c>
      <c r="AA4642" t="s">
        <v>6854</v>
      </c>
      <c r="AB4642">
        <v>40001</v>
      </c>
      <c r="AC4642"/>
      <c r="AD4642"/>
      <c r="AE4642" t="s">
        <v>7524</v>
      </c>
      <c r="AF4642" t="s">
        <v>7524</v>
      </c>
      <c r="AG4642" t="s">
        <v>1231</v>
      </c>
    </row>
    <row r="4643" spans="2:33">
      <c r="B4643" s="14">
        <f>10000000+INDEX(编号表!$B:$B,MATCH(H4643,编号表!$A:$A,0))*100000+INDEX(编号表!$F:$F,MATCH(D4643,编号表!$E:$E,0))*10000+INDEX(编号表!$D:$D,MATCH(AG4643,编号表!$C:$C,0))*1000+F4643</f>
        <v>11838030</v>
      </c>
      <c r="C4643" t="s">
        <v>6859</v>
      </c>
      <c r="D4643" t="s">
        <v>276</v>
      </c>
      <c r="E4643" t="s">
        <v>1231</v>
      </c>
      <c r="F4643">
        <v>30</v>
      </c>
      <c r="G4643">
        <v>60</v>
      </c>
      <c r="H4643" t="s">
        <v>7524</v>
      </c>
      <c r="I4643" t="s">
        <v>75</v>
      </c>
      <c r="J4643" t="s">
        <v>201</v>
      </c>
      <c r="K4643">
        <v>1</v>
      </c>
      <c r="L4643" t="s">
        <v>7524</v>
      </c>
      <c r="M4643"/>
      <c r="N4643">
        <v>0</v>
      </c>
      <c r="O4643" t="b">
        <v>1</v>
      </c>
      <c r="P4643"/>
      <c r="Q4643" t="b">
        <v>0</v>
      </c>
      <c r="R4643">
        <v>1</v>
      </c>
      <c r="S4643" t="s">
        <v>77</v>
      </c>
      <c r="T4643">
        <v>999</v>
      </c>
      <c r="U4643" t="s">
        <v>7525</v>
      </c>
      <c r="V4643">
        <f t="shared" si="12"/>
        <v>31838030</v>
      </c>
      <c r="W4643"/>
      <c r="X4643" t="s">
        <v>6860</v>
      </c>
      <c r="Y4643" t="s">
        <v>215</v>
      </c>
      <c r="Z4643">
        <v>22341</v>
      </c>
      <c r="AA4643" t="s">
        <v>6861</v>
      </c>
      <c r="AB4643">
        <v>40001</v>
      </c>
      <c r="AC4643"/>
      <c r="AD4643"/>
      <c r="AE4643" t="s">
        <v>7524</v>
      </c>
      <c r="AF4643" t="s">
        <v>7524</v>
      </c>
      <c r="AG4643" t="s">
        <v>1231</v>
      </c>
    </row>
    <row r="4644" spans="2:33">
      <c r="B4644" s="14">
        <f>10000000+INDEX(编号表!$B:$B,MATCH(H4644,编号表!$A:$A,0))*100000+INDEX(编号表!$F:$F,MATCH(D4644,编号表!$E:$E,0))*10000+INDEX(编号表!$D:$D,MATCH(AG4644,编号表!$C:$C,0))*1000+F4644</f>
        <v>11838031</v>
      </c>
      <c r="C4644" t="s">
        <v>6866</v>
      </c>
      <c r="D4644" t="s">
        <v>276</v>
      </c>
      <c r="E4644" t="s">
        <v>1231</v>
      </c>
      <c r="F4644">
        <v>31</v>
      </c>
      <c r="G4644">
        <v>60</v>
      </c>
      <c r="H4644" t="s">
        <v>7524</v>
      </c>
      <c r="I4644" t="s">
        <v>75</v>
      </c>
      <c r="J4644" t="s">
        <v>201</v>
      </c>
      <c r="K4644">
        <v>1</v>
      </c>
      <c r="L4644" t="s">
        <v>7524</v>
      </c>
      <c r="M4644"/>
      <c r="N4644">
        <v>0</v>
      </c>
      <c r="O4644" t="b">
        <v>1</v>
      </c>
      <c r="P4644"/>
      <c r="Q4644" t="b">
        <v>0</v>
      </c>
      <c r="R4644">
        <v>1</v>
      </c>
      <c r="S4644" t="s">
        <v>77</v>
      </c>
      <c r="T4644">
        <v>999</v>
      </c>
      <c r="U4644" t="s">
        <v>7525</v>
      </c>
      <c r="V4644">
        <f t="shared" si="12"/>
        <v>31838031</v>
      </c>
      <c r="W4644"/>
      <c r="X4644" t="s">
        <v>6867</v>
      </c>
      <c r="Y4644" t="s">
        <v>215</v>
      </c>
      <c r="Z4644">
        <v>22344</v>
      </c>
      <c r="AA4644" t="s">
        <v>6868</v>
      </c>
      <c r="AB4644">
        <v>40001</v>
      </c>
      <c r="AC4644"/>
      <c r="AD4644"/>
      <c r="AE4644" t="s">
        <v>7524</v>
      </c>
      <c r="AF4644" t="s">
        <v>7524</v>
      </c>
      <c r="AG4644" t="s">
        <v>1231</v>
      </c>
    </row>
    <row r="4645" spans="2:33">
      <c r="B4645" s="14">
        <f>10000000+INDEX(编号表!$B:$B,MATCH(H4645,编号表!$A:$A,0))*100000+INDEX(编号表!$F:$F,MATCH(D4645,编号表!$E:$E,0))*10000+INDEX(编号表!$D:$D,MATCH(AG4645,编号表!$C:$C,0))*1000+F4645</f>
        <v>11838032</v>
      </c>
      <c r="C4645" t="s">
        <v>6873</v>
      </c>
      <c r="D4645" t="s">
        <v>276</v>
      </c>
      <c r="E4645" t="s">
        <v>1231</v>
      </c>
      <c r="F4645">
        <v>32</v>
      </c>
      <c r="G4645">
        <v>60</v>
      </c>
      <c r="H4645" t="s">
        <v>7524</v>
      </c>
      <c r="I4645" t="s">
        <v>75</v>
      </c>
      <c r="J4645" t="s">
        <v>201</v>
      </c>
      <c r="K4645">
        <v>1</v>
      </c>
      <c r="L4645" t="s">
        <v>7524</v>
      </c>
      <c r="M4645"/>
      <c r="N4645">
        <v>0</v>
      </c>
      <c r="O4645" t="b">
        <v>1</v>
      </c>
      <c r="P4645"/>
      <c r="Q4645" t="b">
        <v>0</v>
      </c>
      <c r="R4645">
        <v>1</v>
      </c>
      <c r="S4645" t="s">
        <v>77</v>
      </c>
      <c r="T4645">
        <v>999</v>
      </c>
      <c r="U4645" t="s">
        <v>7525</v>
      </c>
      <c r="V4645">
        <f t="shared" si="12"/>
        <v>31838032</v>
      </c>
      <c r="W4645"/>
      <c r="X4645" t="s">
        <v>6874</v>
      </c>
      <c r="Y4645" t="s">
        <v>215</v>
      </c>
      <c r="Z4645">
        <v>22347</v>
      </c>
      <c r="AA4645" t="s">
        <v>6875</v>
      </c>
      <c r="AB4645">
        <v>40001</v>
      </c>
      <c r="AC4645"/>
      <c r="AD4645"/>
      <c r="AE4645" t="s">
        <v>7524</v>
      </c>
      <c r="AF4645" t="s">
        <v>7524</v>
      </c>
      <c r="AG4645" t="s">
        <v>1231</v>
      </c>
    </row>
    <row r="4646" spans="2:33">
      <c r="B4646" s="14">
        <f>10000000+INDEX(编号表!$B:$B,MATCH(H4646,编号表!$A:$A,0))*100000+INDEX(编号表!$F:$F,MATCH(D4646,编号表!$E:$E,0))*10000+INDEX(编号表!$D:$D,MATCH(AG4646,编号表!$C:$C,0))*1000+F4646</f>
        <v>11838033</v>
      </c>
      <c r="C4646" t="s">
        <v>6880</v>
      </c>
      <c r="D4646" t="s">
        <v>276</v>
      </c>
      <c r="E4646" t="s">
        <v>1231</v>
      </c>
      <c r="F4646">
        <v>33</v>
      </c>
      <c r="G4646">
        <v>60</v>
      </c>
      <c r="H4646" t="s">
        <v>7524</v>
      </c>
      <c r="I4646" t="s">
        <v>75</v>
      </c>
      <c r="J4646" t="s">
        <v>201</v>
      </c>
      <c r="K4646">
        <v>1</v>
      </c>
      <c r="L4646" t="s">
        <v>7524</v>
      </c>
      <c r="M4646"/>
      <c r="N4646">
        <v>0</v>
      </c>
      <c r="O4646" t="b">
        <v>1</v>
      </c>
      <c r="P4646"/>
      <c r="Q4646" t="b">
        <v>0</v>
      </c>
      <c r="R4646">
        <v>1</v>
      </c>
      <c r="S4646" t="s">
        <v>77</v>
      </c>
      <c r="T4646">
        <v>999</v>
      </c>
      <c r="U4646" t="s">
        <v>7525</v>
      </c>
      <c r="V4646">
        <f t="shared" si="12"/>
        <v>31838033</v>
      </c>
      <c r="W4646"/>
      <c r="X4646" t="s">
        <v>6881</v>
      </c>
      <c r="Y4646" t="s">
        <v>215</v>
      </c>
      <c r="Z4646">
        <v>22350</v>
      </c>
      <c r="AA4646" t="s">
        <v>6882</v>
      </c>
      <c r="AB4646">
        <v>40001</v>
      </c>
      <c r="AC4646"/>
      <c r="AD4646"/>
      <c r="AE4646" t="s">
        <v>7524</v>
      </c>
      <c r="AF4646" t="s">
        <v>7524</v>
      </c>
      <c r="AG4646" t="s">
        <v>1231</v>
      </c>
    </row>
    <row r="4647" spans="2:33">
      <c r="B4647" s="14">
        <f>10000000+INDEX(编号表!$B:$B,MATCH(H4647,编号表!$A:$A,0))*100000+INDEX(编号表!$F:$F,MATCH(D4647,编号表!$E:$E,0))*10000+INDEX(编号表!$D:$D,MATCH(AG4647,编号表!$C:$C,0))*1000+F4647</f>
        <v>11838034</v>
      </c>
      <c r="C4647" t="s">
        <v>6887</v>
      </c>
      <c r="D4647" t="s">
        <v>276</v>
      </c>
      <c r="E4647" t="s">
        <v>1231</v>
      </c>
      <c r="F4647">
        <v>34</v>
      </c>
      <c r="G4647">
        <v>60</v>
      </c>
      <c r="H4647" t="s">
        <v>7524</v>
      </c>
      <c r="I4647" t="s">
        <v>75</v>
      </c>
      <c r="J4647" t="s">
        <v>201</v>
      </c>
      <c r="K4647">
        <v>1</v>
      </c>
      <c r="L4647" t="s">
        <v>7524</v>
      </c>
      <c r="M4647"/>
      <c r="N4647">
        <v>0</v>
      </c>
      <c r="O4647" t="b">
        <v>1</v>
      </c>
      <c r="P4647"/>
      <c r="Q4647" t="b">
        <v>0</v>
      </c>
      <c r="R4647">
        <v>1</v>
      </c>
      <c r="S4647" t="s">
        <v>77</v>
      </c>
      <c r="T4647">
        <v>999</v>
      </c>
      <c r="U4647" t="s">
        <v>7525</v>
      </c>
      <c r="V4647">
        <f t="shared" si="12"/>
        <v>31838034</v>
      </c>
      <c r="W4647"/>
      <c r="X4647" t="s">
        <v>6888</v>
      </c>
      <c r="Y4647" t="s">
        <v>215</v>
      </c>
      <c r="Z4647">
        <v>22353</v>
      </c>
      <c r="AA4647" t="s">
        <v>6889</v>
      </c>
      <c r="AB4647">
        <v>40001</v>
      </c>
      <c r="AC4647"/>
      <c r="AD4647"/>
      <c r="AE4647" t="s">
        <v>7524</v>
      </c>
      <c r="AF4647" t="s">
        <v>7524</v>
      </c>
      <c r="AG4647" t="s">
        <v>1231</v>
      </c>
    </row>
    <row r="4648" spans="2:33">
      <c r="B4648" s="14">
        <f>10000000+INDEX(编号表!$B:$B,MATCH(H4648,编号表!$A:$A,0))*100000+INDEX(编号表!$F:$F,MATCH(D4648,编号表!$E:$E,0))*10000+INDEX(编号表!$D:$D,MATCH(AG4648,编号表!$C:$C,0))*1000+F4648</f>
        <v>11838035</v>
      </c>
      <c r="C4648" t="s">
        <v>6894</v>
      </c>
      <c r="D4648" t="s">
        <v>276</v>
      </c>
      <c r="E4648" t="s">
        <v>1231</v>
      </c>
      <c r="F4648">
        <v>35</v>
      </c>
      <c r="G4648">
        <v>60</v>
      </c>
      <c r="H4648" t="s">
        <v>7524</v>
      </c>
      <c r="I4648" t="s">
        <v>75</v>
      </c>
      <c r="J4648" t="s">
        <v>201</v>
      </c>
      <c r="K4648">
        <v>1</v>
      </c>
      <c r="L4648" t="s">
        <v>7524</v>
      </c>
      <c r="M4648"/>
      <c r="N4648">
        <v>0</v>
      </c>
      <c r="O4648" t="b">
        <v>1</v>
      </c>
      <c r="P4648"/>
      <c r="Q4648" t="b">
        <v>0</v>
      </c>
      <c r="R4648">
        <v>1</v>
      </c>
      <c r="S4648" t="s">
        <v>77</v>
      </c>
      <c r="T4648">
        <v>999</v>
      </c>
      <c r="U4648" t="s">
        <v>7525</v>
      </c>
      <c r="V4648">
        <f t="shared" si="12"/>
        <v>31838035</v>
      </c>
      <c r="W4648"/>
      <c r="X4648" t="s">
        <v>6895</v>
      </c>
      <c r="Y4648" t="s">
        <v>215</v>
      </c>
      <c r="Z4648">
        <v>22356</v>
      </c>
      <c r="AA4648" t="s">
        <v>6896</v>
      </c>
      <c r="AB4648">
        <v>40001</v>
      </c>
      <c r="AC4648"/>
      <c r="AD4648"/>
      <c r="AE4648" t="s">
        <v>7524</v>
      </c>
      <c r="AF4648" t="s">
        <v>7524</v>
      </c>
      <c r="AG4648" t="s">
        <v>1231</v>
      </c>
    </row>
    <row r="4649" spans="2:33">
      <c r="B4649" s="14">
        <f>10000000+INDEX(编号表!$B:$B,MATCH(H4649,编号表!$A:$A,0))*100000+INDEX(编号表!$F:$F,MATCH(D4649,编号表!$E:$E,0))*10000+INDEX(编号表!$D:$D,MATCH(AG4649,编号表!$C:$C,0))*1000+F4649</f>
        <v>11838036</v>
      </c>
      <c r="C4649" t="s">
        <v>6901</v>
      </c>
      <c r="D4649" t="s">
        <v>276</v>
      </c>
      <c r="E4649" t="s">
        <v>1231</v>
      </c>
      <c r="F4649">
        <v>36</v>
      </c>
      <c r="G4649">
        <v>60</v>
      </c>
      <c r="H4649" t="s">
        <v>7524</v>
      </c>
      <c r="I4649" t="s">
        <v>75</v>
      </c>
      <c r="J4649" t="s">
        <v>201</v>
      </c>
      <c r="K4649">
        <v>1</v>
      </c>
      <c r="L4649" t="s">
        <v>7524</v>
      </c>
      <c r="M4649"/>
      <c r="N4649">
        <v>0</v>
      </c>
      <c r="O4649" t="b">
        <v>1</v>
      </c>
      <c r="P4649"/>
      <c r="Q4649" t="b">
        <v>0</v>
      </c>
      <c r="R4649">
        <v>1</v>
      </c>
      <c r="S4649" t="s">
        <v>77</v>
      </c>
      <c r="T4649">
        <v>999</v>
      </c>
      <c r="U4649" t="s">
        <v>7525</v>
      </c>
      <c r="V4649">
        <f t="shared" si="12"/>
        <v>31838036</v>
      </c>
      <c r="W4649"/>
      <c r="X4649" t="s">
        <v>6902</v>
      </c>
      <c r="Y4649" t="s">
        <v>215</v>
      </c>
      <c r="Z4649">
        <v>22359</v>
      </c>
      <c r="AA4649" t="s">
        <v>6903</v>
      </c>
      <c r="AB4649">
        <v>40001</v>
      </c>
      <c r="AC4649"/>
      <c r="AD4649"/>
      <c r="AE4649" t="s">
        <v>7524</v>
      </c>
      <c r="AF4649" t="s">
        <v>7524</v>
      </c>
      <c r="AG4649" t="s">
        <v>1231</v>
      </c>
    </row>
    <row r="4650" spans="2:33">
      <c r="B4650" s="14">
        <f>10000000+INDEX(编号表!$B:$B,MATCH(H4650,编号表!$A:$A,0))*100000+INDEX(编号表!$F:$F,MATCH(D4650,编号表!$E:$E,0))*10000+INDEX(编号表!$D:$D,MATCH(AG4650,编号表!$C:$C,0))*1000+F4650</f>
        <v>11838037</v>
      </c>
      <c r="C4650" t="s">
        <v>6908</v>
      </c>
      <c r="D4650" t="s">
        <v>276</v>
      </c>
      <c r="E4650" t="s">
        <v>1231</v>
      </c>
      <c r="F4650">
        <v>37</v>
      </c>
      <c r="G4650">
        <v>60</v>
      </c>
      <c r="H4650" t="s">
        <v>7524</v>
      </c>
      <c r="I4650" t="s">
        <v>75</v>
      </c>
      <c r="J4650" t="s">
        <v>201</v>
      </c>
      <c r="K4650">
        <v>1</v>
      </c>
      <c r="L4650" t="s">
        <v>7524</v>
      </c>
      <c r="M4650"/>
      <c r="N4650">
        <v>0</v>
      </c>
      <c r="O4650" t="b">
        <v>1</v>
      </c>
      <c r="P4650"/>
      <c r="Q4650" t="b">
        <v>0</v>
      </c>
      <c r="R4650">
        <v>1</v>
      </c>
      <c r="S4650" t="s">
        <v>77</v>
      </c>
      <c r="T4650">
        <v>999</v>
      </c>
      <c r="U4650" t="s">
        <v>7525</v>
      </c>
      <c r="V4650">
        <f t="shared" si="12"/>
        <v>31838037</v>
      </c>
      <c r="W4650"/>
      <c r="X4650" t="s">
        <v>6909</v>
      </c>
      <c r="Y4650" t="s">
        <v>215</v>
      </c>
      <c r="Z4650">
        <v>22362</v>
      </c>
      <c r="AA4650" t="s">
        <v>6910</v>
      </c>
      <c r="AB4650">
        <v>40001</v>
      </c>
      <c r="AC4650"/>
      <c r="AD4650"/>
      <c r="AE4650" t="s">
        <v>7524</v>
      </c>
      <c r="AF4650" t="s">
        <v>7524</v>
      </c>
      <c r="AG4650" t="s">
        <v>1231</v>
      </c>
    </row>
    <row r="4651" spans="2:33">
      <c r="B4651" s="14">
        <f>10000000+INDEX(编号表!$B:$B,MATCH(H4651,编号表!$A:$A,0))*100000+INDEX(编号表!$F:$F,MATCH(D4651,编号表!$E:$E,0))*10000+INDEX(编号表!$D:$D,MATCH(AG4651,编号表!$C:$C,0))*1000+F4651</f>
        <v>11838038</v>
      </c>
      <c r="C4651" t="s">
        <v>6915</v>
      </c>
      <c r="D4651" t="s">
        <v>276</v>
      </c>
      <c r="E4651" t="s">
        <v>1231</v>
      </c>
      <c r="F4651">
        <v>38</v>
      </c>
      <c r="G4651">
        <v>60</v>
      </c>
      <c r="H4651" t="s">
        <v>7524</v>
      </c>
      <c r="I4651" t="s">
        <v>75</v>
      </c>
      <c r="J4651" t="s">
        <v>201</v>
      </c>
      <c r="K4651">
        <v>1</v>
      </c>
      <c r="L4651" t="s">
        <v>7524</v>
      </c>
      <c r="M4651"/>
      <c r="N4651">
        <v>0</v>
      </c>
      <c r="O4651" t="b">
        <v>1</v>
      </c>
      <c r="P4651"/>
      <c r="Q4651" t="b">
        <v>0</v>
      </c>
      <c r="R4651">
        <v>1</v>
      </c>
      <c r="S4651" t="s">
        <v>77</v>
      </c>
      <c r="T4651">
        <v>999</v>
      </c>
      <c r="U4651" t="s">
        <v>7525</v>
      </c>
      <c r="V4651">
        <f t="shared" si="12"/>
        <v>31838038</v>
      </c>
      <c r="W4651"/>
      <c r="X4651" t="s">
        <v>6916</v>
      </c>
      <c r="Y4651" t="s">
        <v>215</v>
      </c>
      <c r="Z4651">
        <v>22365</v>
      </c>
      <c r="AA4651" t="s">
        <v>6917</v>
      </c>
      <c r="AB4651">
        <v>40001</v>
      </c>
      <c r="AC4651"/>
      <c r="AD4651"/>
      <c r="AE4651" t="s">
        <v>7524</v>
      </c>
      <c r="AF4651" t="s">
        <v>7524</v>
      </c>
      <c r="AG4651" t="s">
        <v>1231</v>
      </c>
    </row>
    <row r="4652" spans="2:33">
      <c r="B4652" s="14">
        <f>10000000+INDEX(编号表!$B:$B,MATCH(H4652,编号表!$A:$A,0))*100000+INDEX(编号表!$F:$F,MATCH(D4652,编号表!$E:$E,0))*10000+INDEX(编号表!$D:$D,MATCH(AG4652,编号表!$C:$C,0))*1000+F4652</f>
        <v>11838039</v>
      </c>
      <c r="C4652" t="s">
        <v>6922</v>
      </c>
      <c r="D4652" t="s">
        <v>276</v>
      </c>
      <c r="E4652" t="s">
        <v>1231</v>
      </c>
      <c r="F4652">
        <v>39</v>
      </c>
      <c r="G4652">
        <v>60</v>
      </c>
      <c r="H4652" t="s">
        <v>7524</v>
      </c>
      <c r="I4652" t="s">
        <v>75</v>
      </c>
      <c r="J4652" t="s">
        <v>201</v>
      </c>
      <c r="K4652">
        <v>1</v>
      </c>
      <c r="L4652" t="s">
        <v>7524</v>
      </c>
      <c r="M4652"/>
      <c r="N4652">
        <v>0</v>
      </c>
      <c r="O4652" t="b">
        <v>1</v>
      </c>
      <c r="P4652"/>
      <c r="Q4652" t="b">
        <v>0</v>
      </c>
      <c r="R4652">
        <v>1</v>
      </c>
      <c r="S4652" t="s">
        <v>77</v>
      </c>
      <c r="T4652">
        <v>999</v>
      </c>
      <c r="U4652" t="s">
        <v>7525</v>
      </c>
      <c r="V4652">
        <f t="shared" si="12"/>
        <v>31838039</v>
      </c>
      <c r="W4652"/>
      <c r="X4652" t="s">
        <v>6923</v>
      </c>
      <c r="Y4652" t="s">
        <v>215</v>
      </c>
      <c r="Z4652">
        <v>22368</v>
      </c>
      <c r="AA4652" t="s">
        <v>6924</v>
      </c>
      <c r="AB4652">
        <v>40001</v>
      </c>
      <c r="AC4652"/>
      <c r="AD4652"/>
      <c r="AE4652" t="s">
        <v>7524</v>
      </c>
      <c r="AF4652" t="s">
        <v>7524</v>
      </c>
      <c r="AG4652" t="s">
        <v>1231</v>
      </c>
    </row>
    <row r="4653" spans="2:33">
      <c r="B4653" s="14">
        <f>10000000+INDEX(编号表!$B:$B,MATCH(H4653,编号表!$A:$A,0))*100000+INDEX(编号表!$F:$F,MATCH(D4653,编号表!$E:$E,0))*10000+INDEX(编号表!$D:$D,MATCH(AG4653,编号表!$C:$C,0))*1000+F4653</f>
        <v>11838040</v>
      </c>
      <c r="C4653" t="s">
        <v>6929</v>
      </c>
      <c r="D4653" t="s">
        <v>276</v>
      </c>
      <c r="E4653" t="s">
        <v>1231</v>
      </c>
      <c r="F4653">
        <v>40</v>
      </c>
      <c r="G4653">
        <v>60</v>
      </c>
      <c r="H4653" t="s">
        <v>7524</v>
      </c>
      <c r="I4653" t="s">
        <v>75</v>
      </c>
      <c r="J4653" t="s">
        <v>201</v>
      </c>
      <c r="K4653">
        <v>1</v>
      </c>
      <c r="L4653" t="s">
        <v>7524</v>
      </c>
      <c r="M4653"/>
      <c r="N4653">
        <v>0</v>
      </c>
      <c r="O4653" t="b">
        <v>1</v>
      </c>
      <c r="P4653"/>
      <c r="Q4653" t="b">
        <v>0</v>
      </c>
      <c r="R4653">
        <v>1</v>
      </c>
      <c r="S4653" t="s">
        <v>77</v>
      </c>
      <c r="T4653">
        <v>999</v>
      </c>
      <c r="U4653" t="s">
        <v>7525</v>
      </c>
      <c r="V4653">
        <f t="shared" si="12"/>
        <v>31838040</v>
      </c>
      <c r="W4653"/>
      <c r="X4653" t="s">
        <v>6930</v>
      </c>
      <c r="Y4653" t="s">
        <v>215</v>
      </c>
      <c r="Z4653">
        <v>22371</v>
      </c>
      <c r="AA4653" t="s">
        <v>6931</v>
      </c>
      <c r="AB4653">
        <v>40001</v>
      </c>
      <c r="AC4653"/>
      <c r="AD4653"/>
      <c r="AE4653" t="s">
        <v>7524</v>
      </c>
      <c r="AF4653" t="s">
        <v>7524</v>
      </c>
      <c r="AG4653" t="s">
        <v>1231</v>
      </c>
    </row>
    <row r="4654" spans="2:33">
      <c r="B4654" s="14">
        <f>10000000+INDEX(编号表!$B:$B,MATCH(H4654,编号表!$A:$A,0))*100000+INDEX(编号表!$F:$F,MATCH(D4654,编号表!$E:$E,0))*10000+INDEX(编号表!$D:$D,MATCH(AG4654,编号表!$C:$C,0))*1000+F4654</f>
        <v>11838041</v>
      </c>
      <c r="C4654" t="s">
        <v>6936</v>
      </c>
      <c r="D4654" t="s">
        <v>276</v>
      </c>
      <c r="E4654" t="s">
        <v>1231</v>
      </c>
      <c r="F4654">
        <v>41</v>
      </c>
      <c r="G4654">
        <v>60</v>
      </c>
      <c r="H4654" t="s">
        <v>7524</v>
      </c>
      <c r="I4654" t="s">
        <v>75</v>
      </c>
      <c r="J4654" t="s">
        <v>201</v>
      </c>
      <c r="K4654">
        <v>1</v>
      </c>
      <c r="L4654" t="s">
        <v>7524</v>
      </c>
      <c r="M4654"/>
      <c r="N4654">
        <v>0</v>
      </c>
      <c r="O4654" t="b">
        <v>1</v>
      </c>
      <c r="P4654"/>
      <c r="Q4654" t="b">
        <v>0</v>
      </c>
      <c r="R4654">
        <v>1</v>
      </c>
      <c r="S4654" t="s">
        <v>77</v>
      </c>
      <c r="T4654">
        <v>999</v>
      </c>
      <c r="U4654" t="s">
        <v>7525</v>
      </c>
      <c r="V4654">
        <f t="shared" si="12"/>
        <v>31838041</v>
      </c>
      <c r="W4654"/>
      <c r="X4654" t="s">
        <v>6937</v>
      </c>
      <c r="Y4654" t="s">
        <v>215</v>
      </c>
      <c r="Z4654">
        <v>22374</v>
      </c>
      <c r="AA4654" t="s">
        <v>6938</v>
      </c>
      <c r="AB4654">
        <v>40001</v>
      </c>
      <c r="AC4654"/>
      <c r="AD4654"/>
      <c r="AE4654" t="s">
        <v>7524</v>
      </c>
      <c r="AF4654" t="s">
        <v>7524</v>
      </c>
      <c r="AG4654" t="s">
        <v>1231</v>
      </c>
    </row>
    <row r="4655" spans="2:33">
      <c r="B4655" s="14">
        <f>10000000+INDEX(编号表!$B:$B,MATCH(H4655,编号表!$A:$A,0))*100000+INDEX(编号表!$F:$F,MATCH(D4655,编号表!$E:$E,0))*10000+INDEX(编号表!$D:$D,MATCH(AG4655,编号表!$C:$C,0))*1000+F4655</f>
        <v>11838042</v>
      </c>
      <c r="C4655" t="s">
        <v>6943</v>
      </c>
      <c r="D4655" t="s">
        <v>276</v>
      </c>
      <c r="E4655" t="s">
        <v>1231</v>
      </c>
      <c r="F4655">
        <v>42</v>
      </c>
      <c r="G4655">
        <v>60</v>
      </c>
      <c r="H4655" t="s">
        <v>7524</v>
      </c>
      <c r="I4655" t="s">
        <v>75</v>
      </c>
      <c r="J4655" t="s">
        <v>201</v>
      </c>
      <c r="K4655">
        <v>1</v>
      </c>
      <c r="L4655" t="s">
        <v>7524</v>
      </c>
      <c r="M4655"/>
      <c r="N4655">
        <v>0</v>
      </c>
      <c r="O4655" t="b">
        <v>1</v>
      </c>
      <c r="P4655"/>
      <c r="Q4655" t="b">
        <v>0</v>
      </c>
      <c r="R4655">
        <v>1</v>
      </c>
      <c r="S4655" t="s">
        <v>77</v>
      </c>
      <c r="T4655">
        <v>999</v>
      </c>
      <c r="U4655" t="s">
        <v>7525</v>
      </c>
      <c r="V4655">
        <f t="shared" si="12"/>
        <v>31838042</v>
      </c>
      <c r="W4655"/>
      <c r="X4655" t="s">
        <v>6944</v>
      </c>
      <c r="Y4655" t="s">
        <v>215</v>
      </c>
      <c r="Z4655">
        <v>22377</v>
      </c>
      <c r="AA4655" t="s">
        <v>6945</v>
      </c>
      <c r="AB4655">
        <v>40001</v>
      </c>
      <c r="AC4655"/>
      <c r="AD4655"/>
      <c r="AE4655" t="s">
        <v>7524</v>
      </c>
      <c r="AF4655" t="s">
        <v>7524</v>
      </c>
      <c r="AG4655" t="s">
        <v>1231</v>
      </c>
    </row>
    <row r="4656" spans="2:33">
      <c r="B4656" s="14">
        <f>10000000+INDEX(编号表!$B:$B,MATCH(H4656,编号表!$A:$A,0))*100000+INDEX(编号表!$F:$F,MATCH(D4656,编号表!$E:$E,0))*10000+INDEX(编号表!$D:$D,MATCH(AG4656,编号表!$C:$C,0))*1000+F4656</f>
        <v>11838043</v>
      </c>
      <c r="C4656" t="s">
        <v>6950</v>
      </c>
      <c r="D4656" t="s">
        <v>276</v>
      </c>
      <c r="E4656" t="s">
        <v>1231</v>
      </c>
      <c r="F4656">
        <v>43</v>
      </c>
      <c r="G4656">
        <v>60</v>
      </c>
      <c r="H4656" t="s">
        <v>7524</v>
      </c>
      <c r="I4656" t="s">
        <v>75</v>
      </c>
      <c r="J4656" t="s">
        <v>201</v>
      </c>
      <c r="K4656">
        <v>1</v>
      </c>
      <c r="L4656" t="s">
        <v>7524</v>
      </c>
      <c r="M4656"/>
      <c r="N4656">
        <v>0</v>
      </c>
      <c r="O4656" t="b">
        <v>1</v>
      </c>
      <c r="P4656"/>
      <c r="Q4656" t="b">
        <v>0</v>
      </c>
      <c r="R4656">
        <v>1</v>
      </c>
      <c r="S4656" t="s">
        <v>77</v>
      </c>
      <c r="T4656">
        <v>999</v>
      </c>
      <c r="U4656" t="s">
        <v>7525</v>
      </c>
      <c r="V4656">
        <f t="shared" si="12"/>
        <v>31838043</v>
      </c>
      <c r="W4656"/>
      <c r="X4656" t="s">
        <v>6951</v>
      </c>
      <c r="Y4656" t="s">
        <v>215</v>
      </c>
      <c r="Z4656">
        <v>22380</v>
      </c>
      <c r="AA4656" t="s">
        <v>6952</v>
      </c>
      <c r="AB4656">
        <v>40001</v>
      </c>
      <c r="AC4656"/>
      <c r="AD4656"/>
      <c r="AE4656" t="s">
        <v>7524</v>
      </c>
      <c r="AF4656" t="s">
        <v>7524</v>
      </c>
      <c r="AG4656" t="s">
        <v>1231</v>
      </c>
    </row>
    <row r="4657" spans="2:33">
      <c r="B4657" s="14">
        <f>10000000+INDEX(编号表!$B:$B,MATCH(H4657,编号表!$A:$A,0))*100000+INDEX(编号表!$F:$F,MATCH(D4657,编号表!$E:$E,0))*10000+INDEX(编号表!$D:$D,MATCH(AG4657,编号表!$C:$C,0))*1000+F4657</f>
        <v>11838044</v>
      </c>
      <c r="C4657" t="s">
        <v>6957</v>
      </c>
      <c r="D4657" t="s">
        <v>276</v>
      </c>
      <c r="E4657" t="s">
        <v>1231</v>
      </c>
      <c r="F4657">
        <v>44</v>
      </c>
      <c r="G4657">
        <v>60</v>
      </c>
      <c r="H4657" t="s">
        <v>7524</v>
      </c>
      <c r="I4657" t="s">
        <v>75</v>
      </c>
      <c r="J4657" t="s">
        <v>201</v>
      </c>
      <c r="K4657">
        <v>1</v>
      </c>
      <c r="L4657" t="s">
        <v>7524</v>
      </c>
      <c r="M4657"/>
      <c r="N4657">
        <v>0</v>
      </c>
      <c r="O4657" t="b">
        <v>1</v>
      </c>
      <c r="P4657"/>
      <c r="Q4657" t="b">
        <v>0</v>
      </c>
      <c r="R4657">
        <v>1</v>
      </c>
      <c r="S4657" t="s">
        <v>77</v>
      </c>
      <c r="T4657">
        <v>999</v>
      </c>
      <c r="U4657" t="s">
        <v>7525</v>
      </c>
      <c r="V4657">
        <f t="shared" si="12"/>
        <v>31838044</v>
      </c>
      <c r="W4657"/>
      <c r="X4657" t="s">
        <v>6958</v>
      </c>
      <c r="Y4657" t="s">
        <v>215</v>
      </c>
      <c r="Z4657">
        <v>22383</v>
      </c>
      <c r="AA4657" t="s">
        <v>6959</v>
      </c>
      <c r="AB4657">
        <v>40001</v>
      </c>
      <c r="AC4657"/>
      <c r="AD4657"/>
      <c r="AE4657" t="s">
        <v>7524</v>
      </c>
      <c r="AF4657" t="s">
        <v>7524</v>
      </c>
      <c r="AG4657" t="s">
        <v>1231</v>
      </c>
    </row>
    <row r="4658" spans="2:33">
      <c r="B4658" s="14">
        <f>10000000+INDEX(编号表!$B:$B,MATCH(H4658,编号表!$A:$A,0))*100000+INDEX(编号表!$F:$F,MATCH(D4658,编号表!$E:$E,0))*10000+INDEX(编号表!$D:$D,MATCH(AG4658,编号表!$C:$C,0))*1000+F4658</f>
        <v>11838045</v>
      </c>
      <c r="C4658" t="s">
        <v>6964</v>
      </c>
      <c r="D4658" t="s">
        <v>276</v>
      </c>
      <c r="E4658" t="s">
        <v>1231</v>
      </c>
      <c r="F4658">
        <v>45</v>
      </c>
      <c r="G4658">
        <v>60</v>
      </c>
      <c r="H4658" t="s">
        <v>7524</v>
      </c>
      <c r="I4658" t="s">
        <v>75</v>
      </c>
      <c r="J4658" t="s">
        <v>201</v>
      </c>
      <c r="K4658">
        <v>1</v>
      </c>
      <c r="L4658" t="s">
        <v>7524</v>
      </c>
      <c r="M4658"/>
      <c r="N4658">
        <v>0</v>
      </c>
      <c r="O4658" t="b">
        <v>1</v>
      </c>
      <c r="P4658"/>
      <c r="Q4658" t="b">
        <v>0</v>
      </c>
      <c r="R4658">
        <v>1</v>
      </c>
      <c r="S4658" t="s">
        <v>77</v>
      </c>
      <c r="T4658">
        <v>999</v>
      </c>
      <c r="U4658" t="s">
        <v>7525</v>
      </c>
      <c r="V4658">
        <f t="shared" si="12"/>
        <v>31838045</v>
      </c>
      <c r="W4658"/>
      <c r="X4658" t="s">
        <v>6965</v>
      </c>
      <c r="Y4658" t="s">
        <v>215</v>
      </c>
      <c r="Z4658">
        <v>22386</v>
      </c>
      <c r="AA4658" t="s">
        <v>6966</v>
      </c>
      <c r="AB4658">
        <v>40001</v>
      </c>
      <c r="AC4658"/>
      <c r="AD4658"/>
      <c r="AE4658" t="s">
        <v>7524</v>
      </c>
      <c r="AF4658" t="s">
        <v>7524</v>
      </c>
      <c r="AG4658" t="s">
        <v>1231</v>
      </c>
    </row>
    <row r="4659" spans="2:33">
      <c r="B4659" s="14">
        <f>10000000+INDEX(编号表!$B:$B,MATCH(H4659,编号表!$A:$A,0))*100000+INDEX(编号表!$F:$F,MATCH(D4659,编号表!$E:$E,0))*10000+INDEX(编号表!$D:$D,MATCH(AG4659,编号表!$C:$C,0))*1000+F4659</f>
        <v>11838046</v>
      </c>
      <c r="C4659" t="s">
        <v>6971</v>
      </c>
      <c r="D4659" t="s">
        <v>276</v>
      </c>
      <c r="E4659" t="s">
        <v>1231</v>
      </c>
      <c r="F4659">
        <v>46</v>
      </c>
      <c r="G4659">
        <v>60</v>
      </c>
      <c r="H4659" t="s">
        <v>7524</v>
      </c>
      <c r="I4659" t="s">
        <v>75</v>
      </c>
      <c r="J4659" t="s">
        <v>201</v>
      </c>
      <c r="K4659">
        <v>1</v>
      </c>
      <c r="L4659" t="s">
        <v>7524</v>
      </c>
      <c r="M4659"/>
      <c r="N4659">
        <v>0</v>
      </c>
      <c r="O4659" t="b">
        <v>1</v>
      </c>
      <c r="P4659"/>
      <c r="Q4659" t="b">
        <v>0</v>
      </c>
      <c r="R4659">
        <v>1</v>
      </c>
      <c r="S4659" t="s">
        <v>77</v>
      </c>
      <c r="T4659">
        <v>999</v>
      </c>
      <c r="U4659" t="s">
        <v>7525</v>
      </c>
      <c r="V4659">
        <f t="shared" si="12"/>
        <v>31838046</v>
      </c>
      <c r="W4659"/>
      <c r="X4659" t="s">
        <v>6972</v>
      </c>
      <c r="Y4659" t="s">
        <v>215</v>
      </c>
      <c r="Z4659">
        <v>22389</v>
      </c>
      <c r="AA4659" t="s">
        <v>6973</v>
      </c>
      <c r="AB4659">
        <v>40001</v>
      </c>
      <c r="AC4659"/>
      <c r="AD4659"/>
      <c r="AE4659" t="s">
        <v>7524</v>
      </c>
      <c r="AF4659" t="s">
        <v>7524</v>
      </c>
      <c r="AG4659" t="s">
        <v>1231</v>
      </c>
    </row>
    <row r="4660" spans="2:33">
      <c r="B4660" s="14">
        <f>10000000+INDEX(编号表!$B:$B,MATCH(H4660,编号表!$A:$A,0))*100000+INDEX(编号表!$F:$F,MATCH(D4660,编号表!$E:$E,0))*10000+INDEX(编号表!$D:$D,MATCH(AG4660,编号表!$C:$C,0))*1000+F4660</f>
        <v>11838047</v>
      </c>
      <c r="C4660" t="s">
        <v>6978</v>
      </c>
      <c r="D4660" t="s">
        <v>276</v>
      </c>
      <c r="E4660" t="s">
        <v>1231</v>
      </c>
      <c r="F4660">
        <v>47</v>
      </c>
      <c r="G4660">
        <v>60</v>
      </c>
      <c r="H4660" t="s">
        <v>7524</v>
      </c>
      <c r="I4660" t="s">
        <v>75</v>
      </c>
      <c r="J4660" t="s">
        <v>201</v>
      </c>
      <c r="K4660">
        <v>1</v>
      </c>
      <c r="L4660" t="s">
        <v>7524</v>
      </c>
      <c r="M4660"/>
      <c r="N4660">
        <v>0</v>
      </c>
      <c r="O4660" t="b">
        <v>1</v>
      </c>
      <c r="P4660"/>
      <c r="Q4660" t="b">
        <v>0</v>
      </c>
      <c r="R4660">
        <v>1</v>
      </c>
      <c r="S4660" t="s">
        <v>77</v>
      </c>
      <c r="T4660">
        <v>999</v>
      </c>
      <c r="U4660" t="s">
        <v>7525</v>
      </c>
      <c r="V4660">
        <f t="shared" si="12"/>
        <v>31838047</v>
      </c>
      <c r="W4660"/>
      <c r="X4660" t="s">
        <v>6979</v>
      </c>
      <c r="Y4660" t="s">
        <v>215</v>
      </c>
      <c r="Z4660">
        <v>22392</v>
      </c>
      <c r="AA4660" t="s">
        <v>6980</v>
      </c>
      <c r="AB4660">
        <v>40001</v>
      </c>
      <c r="AC4660"/>
      <c r="AD4660"/>
      <c r="AE4660" t="s">
        <v>7524</v>
      </c>
      <c r="AF4660" t="s">
        <v>7524</v>
      </c>
      <c r="AG4660" t="s">
        <v>1231</v>
      </c>
    </row>
    <row r="4661" spans="2:33">
      <c r="B4661" s="14">
        <f>10000000+INDEX(编号表!$B:$B,MATCH(H4661,编号表!$A:$A,0))*100000+INDEX(编号表!$F:$F,MATCH(D4661,编号表!$E:$E,0))*10000+INDEX(编号表!$D:$D,MATCH(AG4661,编号表!$C:$C,0))*1000+F4661</f>
        <v>11838048</v>
      </c>
      <c r="C4661" t="s">
        <v>6985</v>
      </c>
      <c r="D4661" t="s">
        <v>276</v>
      </c>
      <c r="E4661" t="s">
        <v>1231</v>
      </c>
      <c r="F4661">
        <v>48</v>
      </c>
      <c r="G4661">
        <v>60</v>
      </c>
      <c r="H4661" t="s">
        <v>7524</v>
      </c>
      <c r="I4661" t="s">
        <v>75</v>
      </c>
      <c r="J4661" t="s">
        <v>201</v>
      </c>
      <c r="K4661">
        <v>1</v>
      </c>
      <c r="L4661" t="s">
        <v>7524</v>
      </c>
      <c r="M4661"/>
      <c r="N4661">
        <v>0</v>
      </c>
      <c r="O4661" t="b">
        <v>1</v>
      </c>
      <c r="P4661"/>
      <c r="Q4661" t="b">
        <v>0</v>
      </c>
      <c r="R4661">
        <v>1</v>
      </c>
      <c r="S4661" t="s">
        <v>77</v>
      </c>
      <c r="T4661">
        <v>999</v>
      </c>
      <c r="U4661" t="s">
        <v>7525</v>
      </c>
      <c r="V4661">
        <f t="shared" si="12"/>
        <v>31838048</v>
      </c>
      <c r="W4661"/>
      <c r="X4661" t="s">
        <v>6986</v>
      </c>
      <c r="Y4661" t="s">
        <v>215</v>
      </c>
      <c r="Z4661">
        <v>22395</v>
      </c>
      <c r="AA4661" t="s">
        <v>6987</v>
      </c>
      <c r="AB4661">
        <v>40001</v>
      </c>
      <c r="AC4661"/>
      <c r="AD4661"/>
      <c r="AE4661" t="s">
        <v>7524</v>
      </c>
      <c r="AF4661" t="s">
        <v>7524</v>
      </c>
      <c r="AG4661" t="s">
        <v>1231</v>
      </c>
    </row>
    <row r="4662" spans="2:33">
      <c r="B4662" s="14">
        <f>10000000+INDEX(编号表!$B:$B,MATCH(H4662,编号表!$A:$A,0))*100000+INDEX(编号表!$F:$F,MATCH(D4662,编号表!$E:$E,0))*10000+INDEX(编号表!$D:$D,MATCH(AG4662,编号表!$C:$C,0))*1000+F4662</f>
        <v>11838049</v>
      </c>
      <c r="C4662" t="s">
        <v>6992</v>
      </c>
      <c r="D4662" t="s">
        <v>276</v>
      </c>
      <c r="E4662" t="s">
        <v>1231</v>
      </c>
      <c r="F4662">
        <v>49</v>
      </c>
      <c r="G4662">
        <v>60</v>
      </c>
      <c r="H4662" t="s">
        <v>7524</v>
      </c>
      <c r="I4662" t="s">
        <v>75</v>
      </c>
      <c r="J4662" t="s">
        <v>201</v>
      </c>
      <c r="K4662">
        <v>1</v>
      </c>
      <c r="L4662" t="s">
        <v>7524</v>
      </c>
      <c r="M4662"/>
      <c r="N4662">
        <v>0</v>
      </c>
      <c r="O4662" t="b">
        <v>1</v>
      </c>
      <c r="P4662"/>
      <c r="Q4662" t="b">
        <v>0</v>
      </c>
      <c r="R4662">
        <v>1</v>
      </c>
      <c r="S4662" t="s">
        <v>77</v>
      </c>
      <c r="T4662">
        <v>999</v>
      </c>
      <c r="U4662" t="s">
        <v>7525</v>
      </c>
      <c r="V4662">
        <f t="shared" si="12"/>
        <v>31838049</v>
      </c>
      <c r="W4662"/>
      <c r="X4662" t="s">
        <v>6993</v>
      </c>
      <c r="Y4662" t="s">
        <v>215</v>
      </c>
      <c r="Z4662">
        <v>22398</v>
      </c>
      <c r="AA4662" t="s">
        <v>6994</v>
      </c>
      <c r="AB4662">
        <v>40001</v>
      </c>
      <c r="AC4662"/>
      <c r="AD4662"/>
      <c r="AE4662" t="s">
        <v>7524</v>
      </c>
      <c r="AF4662" t="s">
        <v>7524</v>
      </c>
      <c r="AG4662" t="s">
        <v>1231</v>
      </c>
    </row>
    <row r="4663" spans="2:33">
      <c r="B4663" s="14">
        <f>10000000+INDEX(编号表!$B:$B,MATCH(H4663,编号表!$A:$A,0))*100000+INDEX(编号表!$F:$F,MATCH(D4663,编号表!$E:$E,0))*10000+INDEX(编号表!$D:$D,MATCH(AG4663,编号表!$C:$C,0))*1000+F4663</f>
        <v>11838050</v>
      </c>
      <c r="C4663" t="s">
        <v>6999</v>
      </c>
      <c r="D4663" t="s">
        <v>276</v>
      </c>
      <c r="E4663" t="s">
        <v>1231</v>
      </c>
      <c r="F4663">
        <v>50</v>
      </c>
      <c r="G4663">
        <v>60</v>
      </c>
      <c r="H4663" t="s">
        <v>7524</v>
      </c>
      <c r="I4663" t="s">
        <v>75</v>
      </c>
      <c r="J4663" t="s">
        <v>201</v>
      </c>
      <c r="K4663">
        <v>1</v>
      </c>
      <c r="L4663" t="s">
        <v>7524</v>
      </c>
      <c r="M4663"/>
      <c r="N4663">
        <v>0</v>
      </c>
      <c r="O4663" t="b">
        <v>1</v>
      </c>
      <c r="P4663"/>
      <c r="Q4663" t="b">
        <v>0</v>
      </c>
      <c r="R4663">
        <v>1</v>
      </c>
      <c r="S4663" t="s">
        <v>77</v>
      </c>
      <c r="T4663">
        <v>999</v>
      </c>
      <c r="U4663" t="s">
        <v>7525</v>
      </c>
      <c r="V4663">
        <f t="shared" si="12"/>
        <v>31838050</v>
      </c>
      <c r="W4663"/>
      <c r="X4663" t="s">
        <v>7000</v>
      </c>
      <c r="Y4663" t="s">
        <v>215</v>
      </c>
      <c r="Z4663">
        <v>22401</v>
      </c>
      <c r="AA4663" t="s">
        <v>7001</v>
      </c>
      <c r="AB4663">
        <v>40001</v>
      </c>
      <c r="AC4663"/>
      <c r="AD4663"/>
      <c r="AE4663" t="s">
        <v>7524</v>
      </c>
      <c r="AF4663" t="s">
        <v>7524</v>
      </c>
      <c r="AG4663" t="s">
        <v>1231</v>
      </c>
    </row>
    <row r="4664" spans="2:33">
      <c r="B4664" s="14">
        <f>10000000+INDEX(编号表!$B:$B,MATCH(H4664,编号表!$A:$A,0))*100000+INDEX(编号表!$F:$F,MATCH(D4664,编号表!$E:$E,0))*10000+INDEX(编号表!$D:$D,MATCH(AG4664,编号表!$C:$C,0))*1000+F4664</f>
        <v>11838051</v>
      </c>
      <c r="C4664" t="s">
        <v>7006</v>
      </c>
      <c r="D4664" t="s">
        <v>276</v>
      </c>
      <c r="E4664" t="s">
        <v>1231</v>
      </c>
      <c r="F4664">
        <v>51</v>
      </c>
      <c r="G4664">
        <v>60</v>
      </c>
      <c r="H4664" t="s">
        <v>7524</v>
      </c>
      <c r="I4664" t="s">
        <v>75</v>
      </c>
      <c r="J4664" t="s">
        <v>201</v>
      </c>
      <c r="K4664">
        <v>1</v>
      </c>
      <c r="L4664" t="s">
        <v>7524</v>
      </c>
      <c r="M4664"/>
      <c r="N4664">
        <v>0</v>
      </c>
      <c r="O4664" t="b">
        <v>1</v>
      </c>
      <c r="P4664"/>
      <c r="Q4664" t="b">
        <v>0</v>
      </c>
      <c r="R4664">
        <v>1</v>
      </c>
      <c r="S4664" t="s">
        <v>77</v>
      </c>
      <c r="T4664">
        <v>999</v>
      </c>
      <c r="U4664" t="s">
        <v>7525</v>
      </c>
      <c r="V4664">
        <f t="shared" si="12"/>
        <v>31838051</v>
      </c>
      <c r="W4664"/>
      <c r="X4664" t="s">
        <v>7007</v>
      </c>
      <c r="Y4664" t="s">
        <v>215</v>
      </c>
      <c r="Z4664">
        <v>22404</v>
      </c>
      <c r="AA4664" t="s">
        <v>7008</v>
      </c>
      <c r="AB4664">
        <v>40001</v>
      </c>
      <c r="AC4664"/>
      <c r="AD4664"/>
      <c r="AE4664" t="s">
        <v>7524</v>
      </c>
      <c r="AF4664" t="s">
        <v>7524</v>
      </c>
      <c r="AG4664" t="s">
        <v>1231</v>
      </c>
    </row>
    <row r="4665" spans="2:33">
      <c r="B4665" s="14">
        <f>10000000+INDEX(编号表!$B:$B,MATCH(H4665,编号表!$A:$A,0))*100000+INDEX(编号表!$F:$F,MATCH(D4665,编号表!$E:$E,0))*10000+INDEX(编号表!$D:$D,MATCH(AG4665,编号表!$C:$C,0))*1000+F4665</f>
        <v>11838052</v>
      </c>
      <c r="C4665" t="s">
        <v>7013</v>
      </c>
      <c r="D4665" t="s">
        <v>276</v>
      </c>
      <c r="E4665" t="s">
        <v>1231</v>
      </c>
      <c r="F4665">
        <v>52</v>
      </c>
      <c r="G4665">
        <v>60</v>
      </c>
      <c r="H4665" t="s">
        <v>7524</v>
      </c>
      <c r="I4665" t="s">
        <v>75</v>
      </c>
      <c r="J4665" t="s">
        <v>201</v>
      </c>
      <c r="K4665">
        <v>1</v>
      </c>
      <c r="L4665" t="s">
        <v>7524</v>
      </c>
      <c r="M4665"/>
      <c r="N4665">
        <v>0</v>
      </c>
      <c r="O4665" t="b">
        <v>1</v>
      </c>
      <c r="P4665"/>
      <c r="Q4665" t="b">
        <v>0</v>
      </c>
      <c r="R4665">
        <v>1</v>
      </c>
      <c r="S4665" t="s">
        <v>77</v>
      </c>
      <c r="T4665">
        <v>999</v>
      </c>
      <c r="U4665" t="s">
        <v>7525</v>
      </c>
      <c r="V4665">
        <f t="shared" si="12"/>
        <v>31838052</v>
      </c>
      <c r="W4665"/>
      <c r="X4665" t="s">
        <v>7014</v>
      </c>
      <c r="Y4665" t="s">
        <v>215</v>
      </c>
      <c r="Z4665">
        <v>22407</v>
      </c>
      <c r="AA4665" t="s">
        <v>7015</v>
      </c>
      <c r="AB4665">
        <v>40001</v>
      </c>
      <c r="AC4665"/>
      <c r="AD4665"/>
      <c r="AE4665" t="s">
        <v>7524</v>
      </c>
      <c r="AF4665" t="s">
        <v>7524</v>
      </c>
      <c r="AG4665" t="s">
        <v>1231</v>
      </c>
    </row>
    <row r="4666" spans="2:33">
      <c r="B4666" s="14">
        <f>10000000+INDEX(编号表!$B:$B,MATCH(H4666,编号表!$A:$A,0))*100000+INDEX(编号表!$F:$F,MATCH(D4666,编号表!$E:$E,0))*10000+INDEX(编号表!$D:$D,MATCH(AG4666,编号表!$C:$C,0))*1000+F4666</f>
        <v>11838053</v>
      </c>
      <c r="C4666" t="s">
        <v>7020</v>
      </c>
      <c r="D4666" t="s">
        <v>276</v>
      </c>
      <c r="E4666" t="s">
        <v>1231</v>
      </c>
      <c r="F4666">
        <v>53</v>
      </c>
      <c r="G4666">
        <v>60</v>
      </c>
      <c r="H4666" t="s">
        <v>7524</v>
      </c>
      <c r="I4666" t="s">
        <v>75</v>
      </c>
      <c r="J4666" t="s">
        <v>201</v>
      </c>
      <c r="K4666">
        <v>1</v>
      </c>
      <c r="L4666" t="s">
        <v>7524</v>
      </c>
      <c r="M4666"/>
      <c r="N4666">
        <v>0</v>
      </c>
      <c r="O4666" t="b">
        <v>1</v>
      </c>
      <c r="P4666"/>
      <c r="Q4666" t="b">
        <v>0</v>
      </c>
      <c r="R4666">
        <v>1</v>
      </c>
      <c r="S4666" t="s">
        <v>77</v>
      </c>
      <c r="T4666">
        <v>999</v>
      </c>
      <c r="U4666" t="s">
        <v>7525</v>
      </c>
      <c r="V4666">
        <f t="shared" si="12"/>
        <v>31838053</v>
      </c>
      <c r="W4666"/>
      <c r="X4666" t="s">
        <v>7021</v>
      </c>
      <c r="Y4666" t="s">
        <v>215</v>
      </c>
      <c r="Z4666">
        <v>22410</v>
      </c>
      <c r="AA4666" t="s">
        <v>7022</v>
      </c>
      <c r="AB4666">
        <v>40001</v>
      </c>
      <c r="AC4666"/>
      <c r="AD4666"/>
      <c r="AE4666" t="s">
        <v>7524</v>
      </c>
      <c r="AF4666" t="s">
        <v>7524</v>
      </c>
      <c r="AG4666" t="s">
        <v>1231</v>
      </c>
    </row>
    <row r="4667" spans="2:33">
      <c r="B4667" s="14">
        <f>10000000+INDEX(编号表!$B:$B,MATCH(H4667,编号表!$A:$A,0))*100000+INDEX(编号表!$F:$F,MATCH(D4667,编号表!$E:$E,0))*10000+INDEX(编号表!$D:$D,MATCH(AG4667,编号表!$C:$C,0))*1000+F4667</f>
        <v>11838054</v>
      </c>
      <c r="C4667" t="s">
        <v>7027</v>
      </c>
      <c r="D4667" t="s">
        <v>276</v>
      </c>
      <c r="E4667" t="s">
        <v>1231</v>
      </c>
      <c r="F4667">
        <v>54</v>
      </c>
      <c r="G4667">
        <v>60</v>
      </c>
      <c r="H4667" t="s">
        <v>7524</v>
      </c>
      <c r="I4667" t="s">
        <v>75</v>
      </c>
      <c r="J4667" t="s">
        <v>201</v>
      </c>
      <c r="K4667">
        <v>1</v>
      </c>
      <c r="L4667" t="s">
        <v>7524</v>
      </c>
      <c r="M4667"/>
      <c r="N4667">
        <v>0</v>
      </c>
      <c r="O4667" t="b">
        <v>1</v>
      </c>
      <c r="P4667"/>
      <c r="Q4667" t="b">
        <v>0</v>
      </c>
      <c r="R4667">
        <v>1</v>
      </c>
      <c r="S4667" t="s">
        <v>77</v>
      </c>
      <c r="T4667">
        <v>999</v>
      </c>
      <c r="U4667" t="s">
        <v>7525</v>
      </c>
      <c r="V4667">
        <f t="shared" si="12"/>
        <v>31838054</v>
      </c>
      <c r="W4667"/>
      <c r="X4667" t="s">
        <v>7028</v>
      </c>
      <c r="Y4667" t="s">
        <v>215</v>
      </c>
      <c r="Z4667">
        <v>22413</v>
      </c>
      <c r="AA4667" t="s">
        <v>7029</v>
      </c>
      <c r="AB4667">
        <v>40001</v>
      </c>
      <c r="AC4667"/>
      <c r="AD4667"/>
      <c r="AE4667" t="s">
        <v>7524</v>
      </c>
      <c r="AF4667" t="s">
        <v>7524</v>
      </c>
      <c r="AG4667" t="s">
        <v>1231</v>
      </c>
    </row>
    <row r="4668" spans="2:33">
      <c r="B4668" s="14">
        <f>10000000+INDEX(编号表!$B:$B,MATCH(H4668,编号表!$A:$A,0))*100000+INDEX(编号表!$F:$F,MATCH(D4668,编号表!$E:$E,0))*10000+INDEX(编号表!$D:$D,MATCH(AG4668,编号表!$C:$C,0))*1000+F4668</f>
        <v>11838055</v>
      </c>
      <c r="C4668" t="s">
        <v>7034</v>
      </c>
      <c r="D4668" t="s">
        <v>276</v>
      </c>
      <c r="E4668" t="s">
        <v>1231</v>
      </c>
      <c r="F4668">
        <v>55</v>
      </c>
      <c r="G4668">
        <v>60</v>
      </c>
      <c r="H4668" t="s">
        <v>7524</v>
      </c>
      <c r="I4668" t="s">
        <v>75</v>
      </c>
      <c r="J4668" t="s">
        <v>201</v>
      </c>
      <c r="K4668">
        <v>1</v>
      </c>
      <c r="L4668" t="s">
        <v>7524</v>
      </c>
      <c r="M4668"/>
      <c r="N4668">
        <v>0</v>
      </c>
      <c r="O4668" t="b">
        <v>1</v>
      </c>
      <c r="P4668"/>
      <c r="Q4668" t="b">
        <v>0</v>
      </c>
      <c r="R4668">
        <v>1</v>
      </c>
      <c r="S4668" t="s">
        <v>77</v>
      </c>
      <c r="T4668">
        <v>999</v>
      </c>
      <c r="U4668" t="s">
        <v>7525</v>
      </c>
      <c r="V4668">
        <f t="shared" si="12"/>
        <v>31838055</v>
      </c>
      <c r="W4668"/>
      <c r="X4668" t="s">
        <v>7035</v>
      </c>
      <c r="Y4668" t="s">
        <v>215</v>
      </c>
      <c r="Z4668">
        <v>22416</v>
      </c>
      <c r="AA4668" t="s">
        <v>7036</v>
      </c>
      <c r="AB4668">
        <v>40001</v>
      </c>
      <c r="AC4668"/>
      <c r="AD4668"/>
      <c r="AE4668" t="s">
        <v>7524</v>
      </c>
      <c r="AF4668" t="s">
        <v>7524</v>
      </c>
      <c r="AG4668" t="s">
        <v>1231</v>
      </c>
    </row>
    <row r="4669" spans="2:33">
      <c r="B4669" s="14">
        <f>10000000+INDEX(编号表!$B:$B,MATCH(H4669,编号表!$A:$A,0))*100000+INDEX(编号表!$F:$F,MATCH(D4669,编号表!$E:$E,0))*10000+INDEX(编号表!$D:$D,MATCH(AG4669,编号表!$C:$C,0))*1000+F4669</f>
        <v>11838056</v>
      </c>
      <c r="C4669" t="s">
        <v>7041</v>
      </c>
      <c r="D4669" t="s">
        <v>276</v>
      </c>
      <c r="E4669" t="s">
        <v>1231</v>
      </c>
      <c r="F4669">
        <v>56</v>
      </c>
      <c r="G4669">
        <v>60</v>
      </c>
      <c r="H4669" t="s">
        <v>7524</v>
      </c>
      <c r="I4669" t="s">
        <v>75</v>
      </c>
      <c r="J4669" t="s">
        <v>201</v>
      </c>
      <c r="K4669">
        <v>1</v>
      </c>
      <c r="L4669" t="s">
        <v>7524</v>
      </c>
      <c r="M4669"/>
      <c r="N4669">
        <v>0</v>
      </c>
      <c r="O4669" t="b">
        <v>1</v>
      </c>
      <c r="P4669"/>
      <c r="Q4669" t="b">
        <v>0</v>
      </c>
      <c r="R4669">
        <v>1</v>
      </c>
      <c r="S4669" t="s">
        <v>77</v>
      </c>
      <c r="T4669">
        <v>999</v>
      </c>
      <c r="U4669" t="s">
        <v>7525</v>
      </c>
      <c r="V4669">
        <f t="shared" si="12"/>
        <v>31838056</v>
      </c>
      <c r="W4669"/>
      <c r="X4669" t="s">
        <v>7042</v>
      </c>
      <c r="Y4669" t="s">
        <v>215</v>
      </c>
      <c r="Z4669">
        <v>22419</v>
      </c>
      <c r="AA4669" t="s">
        <v>7043</v>
      </c>
      <c r="AB4669">
        <v>40001</v>
      </c>
      <c r="AC4669"/>
      <c r="AD4669"/>
      <c r="AE4669" t="s">
        <v>7524</v>
      </c>
      <c r="AF4669" t="s">
        <v>7524</v>
      </c>
      <c r="AG4669" t="s">
        <v>1231</v>
      </c>
    </row>
    <row r="4670" spans="2:33">
      <c r="B4670" s="14">
        <f>10000000+INDEX(编号表!$B:$B,MATCH(H4670,编号表!$A:$A,0))*100000+INDEX(编号表!$F:$F,MATCH(D4670,编号表!$E:$E,0))*10000+INDEX(编号表!$D:$D,MATCH(AG4670,编号表!$C:$C,0))*1000+F4670</f>
        <v>11838057</v>
      </c>
      <c r="C4670" t="s">
        <v>7048</v>
      </c>
      <c r="D4670" t="s">
        <v>276</v>
      </c>
      <c r="E4670" t="s">
        <v>1231</v>
      </c>
      <c r="F4670">
        <v>57</v>
      </c>
      <c r="G4670">
        <v>60</v>
      </c>
      <c r="H4670" t="s">
        <v>7524</v>
      </c>
      <c r="I4670" t="s">
        <v>75</v>
      </c>
      <c r="J4670" t="s">
        <v>201</v>
      </c>
      <c r="K4670">
        <v>1</v>
      </c>
      <c r="L4670" t="s">
        <v>7524</v>
      </c>
      <c r="M4670"/>
      <c r="N4670">
        <v>0</v>
      </c>
      <c r="O4670" t="b">
        <v>1</v>
      </c>
      <c r="P4670"/>
      <c r="Q4670" t="b">
        <v>0</v>
      </c>
      <c r="R4670">
        <v>1</v>
      </c>
      <c r="S4670" t="s">
        <v>77</v>
      </c>
      <c r="T4670">
        <v>999</v>
      </c>
      <c r="U4670" t="s">
        <v>7525</v>
      </c>
      <c r="V4670">
        <f t="shared" si="12"/>
        <v>31838057</v>
      </c>
      <c r="W4670"/>
      <c r="X4670" t="s">
        <v>7049</v>
      </c>
      <c r="Y4670" t="s">
        <v>215</v>
      </c>
      <c r="Z4670">
        <v>22422</v>
      </c>
      <c r="AA4670" t="s">
        <v>7050</v>
      </c>
      <c r="AB4670">
        <v>40001</v>
      </c>
      <c r="AC4670"/>
      <c r="AD4670"/>
      <c r="AE4670" t="s">
        <v>7524</v>
      </c>
      <c r="AF4670" t="s">
        <v>7524</v>
      </c>
      <c r="AG4670" t="s">
        <v>1231</v>
      </c>
    </row>
    <row r="4671" spans="2:33">
      <c r="B4671" s="14">
        <f>10000000+INDEX(编号表!$B:$B,MATCH(H4671,编号表!$A:$A,0))*100000+INDEX(编号表!$F:$F,MATCH(D4671,编号表!$E:$E,0))*10000+INDEX(编号表!$D:$D,MATCH(AG4671,编号表!$C:$C,0))*1000+F4671</f>
        <v>11838058</v>
      </c>
      <c r="C4671" t="s">
        <v>7055</v>
      </c>
      <c r="D4671" t="s">
        <v>276</v>
      </c>
      <c r="E4671" t="s">
        <v>1231</v>
      </c>
      <c r="F4671">
        <v>58</v>
      </c>
      <c r="G4671">
        <v>60</v>
      </c>
      <c r="H4671" t="s">
        <v>7524</v>
      </c>
      <c r="I4671" t="s">
        <v>75</v>
      </c>
      <c r="J4671" t="s">
        <v>201</v>
      </c>
      <c r="K4671">
        <v>1</v>
      </c>
      <c r="L4671" t="s">
        <v>7524</v>
      </c>
      <c r="M4671"/>
      <c r="N4671">
        <v>0</v>
      </c>
      <c r="O4671" t="b">
        <v>1</v>
      </c>
      <c r="P4671"/>
      <c r="Q4671" t="b">
        <v>0</v>
      </c>
      <c r="R4671">
        <v>1</v>
      </c>
      <c r="S4671" t="s">
        <v>77</v>
      </c>
      <c r="T4671">
        <v>999</v>
      </c>
      <c r="U4671" t="s">
        <v>7525</v>
      </c>
      <c r="V4671">
        <f t="shared" si="12"/>
        <v>31838058</v>
      </c>
      <c r="W4671"/>
      <c r="X4671" t="s">
        <v>7056</v>
      </c>
      <c r="Y4671" t="s">
        <v>215</v>
      </c>
      <c r="Z4671">
        <v>22425</v>
      </c>
      <c r="AA4671" t="s">
        <v>7057</v>
      </c>
      <c r="AB4671">
        <v>40001</v>
      </c>
      <c r="AC4671"/>
      <c r="AD4671"/>
      <c r="AE4671" t="s">
        <v>7524</v>
      </c>
      <c r="AF4671" t="s">
        <v>7524</v>
      </c>
      <c r="AG4671" t="s">
        <v>1231</v>
      </c>
    </row>
    <row r="4672" spans="2:33">
      <c r="B4672" s="14">
        <f>10000000+INDEX(编号表!$B:$B,MATCH(H4672,编号表!$A:$A,0))*100000+INDEX(编号表!$F:$F,MATCH(D4672,编号表!$E:$E,0))*10000+INDEX(编号表!$D:$D,MATCH(AG4672,编号表!$C:$C,0))*1000+F4672</f>
        <v>11838059</v>
      </c>
      <c r="C4672" t="s">
        <v>7062</v>
      </c>
      <c r="D4672" t="s">
        <v>276</v>
      </c>
      <c r="E4672" t="s">
        <v>1231</v>
      </c>
      <c r="F4672">
        <v>59</v>
      </c>
      <c r="G4672">
        <v>60</v>
      </c>
      <c r="H4672" t="s">
        <v>7524</v>
      </c>
      <c r="I4672" t="s">
        <v>75</v>
      </c>
      <c r="J4672" t="s">
        <v>201</v>
      </c>
      <c r="K4672">
        <v>1</v>
      </c>
      <c r="L4672" t="s">
        <v>7524</v>
      </c>
      <c r="M4672"/>
      <c r="N4672">
        <v>0</v>
      </c>
      <c r="O4672" t="b">
        <v>1</v>
      </c>
      <c r="P4672"/>
      <c r="Q4672" t="b">
        <v>0</v>
      </c>
      <c r="R4672">
        <v>1</v>
      </c>
      <c r="S4672" t="s">
        <v>77</v>
      </c>
      <c r="T4672">
        <v>999</v>
      </c>
      <c r="U4672" t="s">
        <v>7525</v>
      </c>
      <c r="V4672">
        <f t="shared" si="12"/>
        <v>31838059</v>
      </c>
      <c r="W4672"/>
      <c r="X4672" t="s">
        <v>7063</v>
      </c>
      <c r="Y4672" t="s">
        <v>215</v>
      </c>
      <c r="Z4672">
        <v>22428</v>
      </c>
      <c r="AA4672" t="s">
        <v>7064</v>
      </c>
      <c r="AB4672">
        <v>40001</v>
      </c>
      <c r="AC4672"/>
      <c r="AD4672"/>
      <c r="AE4672" t="s">
        <v>7524</v>
      </c>
      <c r="AF4672" t="s">
        <v>7524</v>
      </c>
      <c r="AG4672" t="s">
        <v>1231</v>
      </c>
    </row>
    <row r="4673" spans="2:33">
      <c r="B4673" s="14">
        <f>10000000+INDEX(编号表!$B:$B,MATCH(H4673,编号表!$A:$A,0))*100000+INDEX(编号表!$F:$F,MATCH(D4673,编号表!$E:$E,0))*10000+INDEX(编号表!$D:$D,MATCH(AG4673,编号表!$C:$C,0))*1000+F4673</f>
        <v>11838060</v>
      </c>
      <c r="C4673" t="s">
        <v>7069</v>
      </c>
      <c r="D4673" t="s">
        <v>276</v>
      </c>
      <c r="E4673" t="s">
        <v>1231</v>
      </c>
      <c r="F4673">
        <v>60</v>
      </c>
      <c r="G4673">
        <v>60</v>
      </c>
      <c r="H4673" t="s">
        <v>7524</v>
      </c>
      <c r="I4673" t="s">
        <v>75</v>
      </c>
      <c r="J4673" t="s">
        <v>201</v>
      </c>
      <c r="K4673">
        <v>1</v>
      </c>
      <c r="L4673" t="s">
        <v>7524</v>
      </c>
      <c r="M4673"/>
      <c r="N4673">
        <v>0</v>
      </c>
      <c r="O4673" t="b">
        <v>1</v>
      </c>
      <c r="P4673"/>
      <c r="Q4673" t="b">
        <v>0</v>
      </c>
      <c r="R4673">
        <v>1</v>
      </c>
      <c r="S4673" t="s">
        <v>77</v>
      </c>
      <c r="T4673">
        <v>999</v>
      </c>
      <c r="U4673" t="s">
        <v>7525</v>
      </c>
      <c r="V4673">
        <f t="shared" si="12"/>
        <v>31838060</v>
      </c>
      <c r="W4673"/>
      <c r="X4673" t="s">
        <v>7070</v>
      </c>
      <c r="Y4673" t="s">
        <v>215</v>
      </c>
      <c r="Z4673">
        <v>22431</v>
      </c>
      <c r="AA4673" t="s">
        <v>7071</v>
      </c>
      <c r="AB4673">
        <v>40001</v>
      </c>
      <c r="AC4673"/>
      <c r="AD4673"/>
      <c r="AE4673" t="s">
        <v>7524</v>
      </c>
      <c r="AF4673" t="s">
        <v>7524</v>
      </c>
      <c r="AG4673" t="s">
        <v>1231</v>
      </c>
    </row>
    <row r="4674" spans="2:33">
      <c r="B4674" s="14">
        <f>10000000+INDEX(编号表!$B:$B,MATCH(H4674,编号表!$A:$A,0))*100000+INDEX(编号表!$F:$F,MATCH(D4674,编号表!$E:$E,0))*10000+INDEX(编号表!$D:$D,MATCH(AG4674,编号表!$C:$C,0))*1000+F4674</f>
        <v>11838061</v>
      </c>
      <c r="C4674" t="s">
        <v>7076</v>
      </c>
      <c r="D4674" t="s">
        <v>276</v>
      </c>
      <c r="E4674" t="s">
        <v>1231</v>
      </c>
      <c r="F4674">
        <v>61</v>
      </c>
      <c r="G4674">
        <v>60</v>
      </c>
      <c r="H4674" t="s">
        <v>7524</v>
      </c>
      <c r="I4674" t="s">
        <v>75</v>
      </c>
      <c r="J4674" t="s">
        <v>201</v>
      </c>
      <c r="K4674">
        <v>1</v>
      </c>
      <c r="L4674" t="s">
        <v>7524</v>
      </c>
      <c r="M4674"/>
      <c r="N4674">
        <v>0</v>
      </c>
      <c r="O4674" t="b">
        <v>1</v>
      </c>
      <c r="P4674"/>
      <c r="Q4674" t="b">
        <v>0</v>
      </c>
      <c r="R4674">
        <v>1</v>
      </c>
      <c r="S4674" t="s">
        <v>77</v>
      </c>
      <c r="T4674">
        <v>999</v>
      </c>
      <c r="U4674" t="s">
        <v>7525</v>
      </c>
      <c r="V4674">
        <f t="shared" si="12"/>
        <v>31838061</v>
      </c>
      <c r="W4674"/>
      <c r="X4674" t="s">
        <v>7077</v>
      </c>
      <c r="Y4674" t="s">
        <v>215</v>
      </c>
      <c r="Z4674">
        <v>22434</v>
      </c>
      <c r="AA4674" t="s">
        <v>7078</v>
      </c>
      <c r="AB4674">
        <v>40001</v>
      </c>
      <c r="AC4674"/>
      <c r="AD4674"/>
      <c r="AE4674" t="s">
        <v>7524</v>
      </c>
      <c r="AF4674" t="s">
        <v>7524</v>
      </c>
      <c r="AG4674" t="s">
        <v>1231</v>
      </c>
    </row>
    <row r="4675" spans="2:33">
      <c r="B4675" s="14">
        <f>10000000+INDEX(编号表!$B:$B,MATCH(H4675,编号表!$A:$A,0))*100000+INDEX(编号表!$F:$F,MATCH(D4675,编号表!$E:$E,0))*10000+INDEX(编号表!$D:$D,MATCH(AG4675,编号表!$C:$C,0))*1000+F4675</f>
        <v>11838062</v>
      </c>
      <c r="C4675" t="s">
        <v>7083</v>
      </c>
      <c r="D4675" t="s">
        <v>276</v>
      </c>
      <c r="E4675" t="s">
        <v>1231</v>
      </c>
      <c r="F4675">
        <v>62</v>
      </c>
      <c r="G4675">
        <v>60</v>
      </c>
      <c r="H4675" t="s">
        <v>7524</v>
      </c>
      <c r="I4675" t="s">
        <v>75</v>
      </c>
      <c r="J4675" t="s">
        <v>201</v>
      </c>
      <c r="K4675">
        <v>1</v>
      </c>
      <c r="L4675" t="s">
        <v>7524</v>
      </c>
      <c r="M4675"/>
      <c r="N4675">
        <v>0</v>
      </c>
      <c r="O4675" t="b">
        <v>1</v>
      </c>
      <c r="P4675"/>
      <c r="Q4675" t="b">
        <v>0</v>
      </c>
      <c r="R4675">
        <v>1</v>
      </c>
      <c r="S4675" t="s">
        <v>77</v>
      </c>
      <c r="T4675">
        <v>999</v>
      </c>
      <c r="U4675" t="s">
        <v>7525</v>
      </c>
      <c r="V4675">
        <f t="shared" si="12"/>
        <v>31838062</v>
      </c>
      <c r="W4675"/>
      <c r="X4675" t="s">
        <v>7084</v>
      </c>
      <c r="Y4675" t="s">
        <v>215</v>
      </c>
      <c r="Z4675">
        <v>22437</v>
      </c>
      <c r="AA4675" t="s">
        <v>7085</v>
      </c>
      <c r="AB4675">
        <v>40001</v>
      </c>
      <c r="AC4675"/>
      <c r="AD4675"/>
      <c r="AE4675" t="s">
        <v>7524</v>
      </c>
      <c r="AF4675" t="s">
        <v>7524</v>
      </c>
      <c r="AG4675" t="s">
        <v>1231</v>
      </c>
    </row>
    <row r="4676" spans="2:33">
      <c r="B4676" s="14">
        <f>10000000+INDEX(编号表!$B:$B,MATCH(H4676,编号表!$A:$A,0))*100000+INDEX(编号表!$F:$F,MATCH(D4676,编号表!$E:$E,0))*10000+INDEX(编号表!$D:$D,MATCH(AG4676,编号表!$C:$C,0))*1000+F4676</f>
        <v>11838063</v>
      </c>
      <c r="C4676" t="s">
        <v>7090</v>
      </c>
      <c r="D4676" t="s">
        <v>276</v>
      </c>
      <c r="E4676" t="s">
        <v>1231</v>
      </c>
      <c r="F4676">
        <v>63</v>
      </c>
      <c r="G4676">
        <v>60</v>
      </c>
      <c r="H4676" t="s">
        <v>7524</v>
      </c>
      <c r="I4676" t="s">
        <v>75</v>
      </c>
      <c r="J4676" t="s">
        <v>201</v>
      </c>
      <c r="K4676">
        <v>1</v>
      </c>
      <c r="L4676" t="s">
        <v>7524</v>
      </c>
      <c r="M4676"/>
      <c r="N4676">
        <v>0</v>
      </c>
      <c r="O4676" t="b">
        <v>1</v>
      </c>
      <c r="P4676"/>
      <c r="Q4676" t="b">
        <v>0</v>
      </c>
      <c r="R4676">
        <v>1</v>
      </c>
      <c r="S4676" t="s">
        <v>77</v>
      </c>
      <c r="T4676">
        <v>999</v>
      </c>
      <c r="U4676" t="s">
        <v>7525</v>
      </c>
      <c r="V4676">
        <f t="shared" si="12"/>
        <v>31838063</v>
      </c>
      <c r="W4676"/>
      <c r="X4676" t="s">
        <v>7091</v>
      </c>
      <c r="Y4676" t="s">
        <v>215</v>
      </c>
      <c r="Z4676">
        <v>22440</v>
      </c>
      <c r="AA4676" t="s">
        <v>7092</v>
      </c>
      <c r="AB4676">
        <v>40001</v>
      </c>
      <c r="AC4676"/>
      <c r="AD4676"/>
      <c r="AE4676" t="s">
        <v>7524</v>
      </c>
      <c r="AF4676" t="s">
        <v>7524</v>
      </c>
      <c r="AG4676" t="s">
        <v>1231</v>
      </c>
    </row>
    <row r="4677" spans="2:33">
      <c r="B4677" s="14">
        <f>10000000+INDEX(编号表!$B:$B,MATCH(H4677,编号表!$A:$A,0))*100000+INDEX(编号表!$F:$F,MATCH(D4677,编号表!$E:$E,0))*10000+INDEX(编号表!$D:$D,MATCH(AG4677,编号表!$C:$C,0))*1000+F4677</f>
        <v>11838064</v>
      </c>
      <c r="C4677" t="s">
        <v>7097</v>
      </c>
      <c r="D4677" t="s">
        <v>276</v>
      </c>
      <c r="E4677" t="s">
        <v>1231</v>
      </c>
      <c r="F4677">
        <v>64</v>
      </c>
      <c r="G4677">
        <v>60</v>
      </c>
      <c r="H4677" t="s">
        <v>7524</v>
      </c>
      <c r="I4677" t="s">
        <v>75</v>
      </c>
      <c r="J4677" t="s">
        <v>201</v>
      </c>
      <c r="K4677">
        <v>1</v>
      </c>
      <c r="L4677" t="s">
        <v>7524</v>
      </c>
      <c r="M4677"/>
      <c r="N4677">
        <v>0</v>
      </c>
      <c r="O4677" t="b">
        <v>1</v>
      </c>
      <c r="P4677"/>
      <c r="Q4677" t="b">
        <v>0</v>
      </c>
      <c r="R4677">
        <v>1</v>
      </c>
      <c r="S4677" t="s">
        <v>77</v>
      </c>
      <c r="T4677">
        <v>999</v>
      </c>
      <c r="U4677" t="s">
        <v>7525</v>
      </c>
      <c r="V4677">
        <f t="shared" si="12"/>
        <v>31838064</v>
      </c>
      <c r="W4677"/>
      <c r="X4677" t="s">
        <v>7098</v>
      </c>
      <c r="Y4677" t="s">
        <v>215</v>
      </c>
      <c r="Z4677">
        <v>22443</v>
      </c>
      <c r="AA4677" t="s">
        <v>7099</v>
      </c>
      <c r="AB4677">
        <v>40001</v>
      </c>
      <c r="AC4677"/>
      <c r="AD4677"/>
      <c r="AE4677" t="s">
        <v>7524</v>
      </c>
      <c r="AF4677" t="s">
        <v>7524</v>
      </c>
      <c r="AG4677" t="s">
        <v>1231</v>
      </c>
    </row>
    <row r="4678" spans="2:33">
      <c r="B4678" s="14">
        <f>10000000+INDEX(编号表!$B:$B,MATCH(H4678,编号表!$A:$A,0))*100000+INDEX(编号表!$F:$F,MATCH(D4678,编号表!$E:$E,0))*10000+INDEX(编号表!$D:$D,MATCH(AG4678,编号表!$C:$C,0))*1000+F4678</f>
        <v>11838065</v>
      </c>
      <c r="C4678" t="s">
        <v>7104</v>
      </c>
      <c r="D4678" t="s">
        <v>276</v>
      </c>
      <c r="E4678" t="s">
        <v>1231</v>
      </c>
      <c r="F4678">
        <v>65</v>
      </c>
      <c r="G4678">
        <v>60</v>
      </c>
      <c r="H4678" t="s">
        <v>7524</v>
      </c>
      <c r="I4678" t="s">
        <v>75</v>
      </c>
      <c r="J4678" t="s">
        <v>201</v>
      </c>
      <c r="K4678">
        <v>1</v>
      </c>
      <c r="L4678" t="s">
        <v>7524</v>
      </c>
      <c r="M4678"/>
      <c r="N4678">
        <v>0</v>
      </c>
      <c r="O4678" t="b">
        <v>1</v>
      </c>
      <c r="P4678"/>
      <c r="Q4678" t="b">
        <v>0</v>
      </c>
      <c r="R4678">
        <v>1</v>
      </c>
      <c r="S4678" t="s">
        <v>77</v>
      </c>
      <c r="T4678">
        <v>999</v>
      </c>
      <c r="U4678" t="s">
        <v>7525</v>
      </c>
      <c r="V4678">
        <f t="shared" si="12"/>
        <v>31838065</v>
      </c>
      <c r="W4678"/>
      <c r="X4678" t="s">
        <v>7105</v>
      </c>
      <c r="Y4678" t="s">
        <v>215</v>
      </c>
      <c r="Z4678">
        <v>22446</v>
      </c>
      <c r="AA4678" t="s">
        <v>7106</v>
      </c>
      <c r="AB4678">
        <v>40001</v>
      </c>
      <c r="AC4678"/>
      <c r="AD4678"/>
      <c r="AE4678" t="s">
        <v>7524</v>
      </c>
      <c r="AF4678" t="s">
        <v>7524</v>
      </c>
      <c r="AG4678" t="s">
        <v>1231</v>
      </c>
    </row>
    <row r="4679" spans="2:33">
      <c r="B4679" s="14">
        <f>10000000+INDEX(编号表!$B:$B,MATCH(H4679,编号表!$A:$A,0))*100000+INDEX(编号表!$F:$F,MATCH(D4679,编号表!$E:$E,0))*10000+INDEX(编号表!$D:$D,MATCH(AG4679,编号表!$C:$C,0))*1000+F4679</f>
        <v>11838066</v>
      </c>
      <c r="C4679" t="s">
        <v>7111</v>
      </c>
      <c r="D4679" t="s">
        <v>276</v>
      </c>
      <c r="E4679" t="s">
        <v>1231</v>
      </c>
      <c r="F4679">
        <v>66</v>
      </c>
      <c r="G4679">
        <v>60</v>
      </c>
      <c r="H4679" t="s">
        <v>7524</v>
      </c>
      <c r="I4679" t="s">
        <v>75</v>
      </c>
      <c r="J4679" t="s">
        <v>201</v>
      </c>
      <c r="K4679">
        <v>1</v>
      </c>
      <c r="L4679" t="s">
        <v>7524</v>
      </c>
      <c r="M4679"/>
      <c r="N4679">
        <v>0</v>
      </c>
      <c r="O4679" t="b">
        <v>1</v>
      </c>
      <c r="P4679"/>
      <c r="Q4679" t="b">
        <v>0</v>
      </c>
      <c r="R4679">
        <v>1</v>
      </c>
      <c r="S4679" t="s">
        <v>77</v>
      </c>
      <c r="T4679">
        <v>999</v>
      </c>
      <c r="U4679" t="s">
        <v>7525</v>
      </c>
      <c r="V4679">
        <f t="shared" si="12"/>
        <v>31838066</v>
      </c>
      <c r="W4679"/>
      <c r="X4679" t="s">
        <v>7112</v>
      </c>
      <c r="Y4679" t="s">
        <v>215</v>
      </c>
      <c r="Z4679">
        <v>22449</v>
      </c>
      <c r="AA4679" t="s">
        <v>7113</v>
      </c>
      <c r="AB4679">
        <v>40001</v>
      </c>
      <c r="AC4679"/>
      <c r="AD4679"/>
      <c r="AE4679" t="s">
        <v>7524</v>
      </c>
      <c r="AF4679" t="s">
        <v>7524</v>
      </c>
      <c r="AG4679" t="s">
        <v>1231</v>
      </c>
    </row>
    <row r="4680" spans="2:33">
      <c r="B4680" s="14">
        <f>10000000+INDEX(编号表!$B:$B,MATCH(H4680,编号表!$A:$A,0))*100000+INDEX(编号表!$F:$F,MATCH(D4680,编号表!$E:$E,0))*10000+INDEX(编号表!$D:$D,MATCH(AG4680,编号表!$C:$C,0))*1000+F4680</f>
        <v>11838067</v>
      </c>
      <c r="C4680" t="s">
        <v>7118</v>
      </c>
      <c r="D4680" t="s">
        <v>276</v>
      </c>
      <c r="E4680" t="s">
        <v>1231</v>
      </c>
      <c r="F4680">
        <v>67</v>
      </c>
      <c r="G4680">
        <v>60</v>
      </c>
      <c r="H4680" t="s">
        <v>7524</v>
      </c>
      <c r="I4680" t="s">
        <v>75</v>
      </c>
      <c r="J4680" t="s">
        <v>201</v>
      </c>
      <c r="K4680">
        <v>1</v>
      </c>
      <c r="L4680" t="s">
        <v>7524</v>
      </c>
      <c r="M4680"/>
      <c r="N4680">
        <v>0</v>
      </c>
      <c r="O4680" t="b">
        <v>1</v>
      </c>
      <c r="P4680"/>
      <c r="Q4680" t="b">
        <v>0</v>
      </c>
      <c r="R4680">
        <v>1</v>
      </c>
      <c r="S4680" t="s">
        <v>77</v>
      </c>
      <c r="T4680">
        <v>999</v>
      </c>
      <c r="U4680" t="s">
        <v>7525</v>
      </c>
      <c r="V4680">
        <f t="shared" si="12"/>
        <v>31838067</v>
      </c>
      <c r="W4680"/>
      <c r="X4680" t="s">
        <v>7119</v>
      </c>
      <c r="Y4680" t="s">
        <v>215</v>
      </c>
      <c r="Z4680">
        <v>22452</v>
      </c>
      <c r="AA4680" t="s">
        <v>7120</v>
      </c>
      <c r="AB4680">
        <v>40001</v>
      </c>
      <c r="AC4680"/>
      <c r="AD4680"/>
      <c r="AE4680" t="s">
        <v>7524</v>
      </c>
      <c r="AF4680" t="s">
        <v>7524</v>
      </c>
      <c r="AG4680" t="s">
        <v>1231</v>
      </c>
    </row>
    <row r="4681" spans="2:33">
      <c r="B4681" s="14">
        <f>10000000+INDEX(编号表!$B:$B,MATCH(H4681,编号表!$A:$A,0))*100000+INDEX(编号表!$F:$F,MATCH(D4681,编号表!$E:$E,0))*10000+INDEX(编号表!$D:$D,MATCH(AG4681,编号表!$C:$C,0))*1000+F4681</f>
        <v>11838068</v>
      </c>
      <c r="C4681" t="s">
        <v>7125</v>
      </c>
      <c r="D4681" t="s">
        <v>276</v>
      </c>
      <c r="E4681" t="s">
        <v>1231</v>
      </c>
      <c r="F4681">
        <v>68</v>
      </c>
      <c r="G4681">
        <v>60</v>
      </c>
      <c r="H4681" t="s">
        <v>7524</v>
      </c>
      <c r="I4681" t="s">
        <v>75</v>
      </c>
      <c r="J4681" t="s">
        <v>201</v>
      </c>
      <c r="K4681">
        <v>1</v>
      </c>
      <c r="L4681" t="s">
        <v>7524</v>
      </c>
      <c r="M4681"/>
      <c r="N4681">
        <v>0</v>
      </c>
      <c r="O4681" t="b">
        <v>1</v>
      </c>
      <c r="P4681"/>
      <c r="Q4681" t="b">
        <v>0</v>
      </c>
      <c r="R4681">
        <v>1</v>
      </c>
      <c r="S4681" t="s">
        <v>77</v>
      </c>
      <c r="T4681">
        <v>999</v>
      </c>
      <c r="U4681" t="s">
        <v>7525</v>
      </c>
      <c r="V4681">
        <f t="shared" si="12"/>
        <v>31838068</v>
      </c>
      <c r="W4681"/>
      <c r="X4681" t="s">
        <v>7126</v>
      </c>
      <c r="Y4681" t="s">
        <v>215</v>
      </c>
      <c r="Z4681">
        <v>22455</v>
      </c>
      <c r="AA4681" t="s">
        <v>7127</v>
      </c>
      <c r="AB4681">
        <v>40001</v>
      </c>
      <c r="AC4681"/>
      <c r="AD4681"/>
      <c r="AE4681" t="s">
        <v>7524</v>
      </c>
      <c r="AF4681" t="s">
        <v>7524</v>
      </c>
      <c r="AG4681" t="s">
        <v>1231</v>
      </c>
    </row>
    <row r="4682" spans="2:33">
      <c r="B4682" s="14">
        <f>10000000+INDEX(编号表!$B:$B,MATCH(H4682,编号表!$A:$A,0))*100000+INDEX(编号表!$F:$F,MATCH(D4682,编号表!$E:$E,0))*10000+INDEX(编号表!$D:$D,MATCH(AG4682,编号表!$C:$C,0))*1000+F4682</f>
        <v>11838069</v>
      </c>
      <c r="C4682" t="s">
        <v>7132</v>
      </c>
      <c r="D4682" t="s">
        <v>276</v>
      </c>
      <c r="E4682" t="s">
        <v>1231</v>
      </c>
      <c r="F4682">
        <v>69</v>
      </c>
      <c r="G4682">
        <v>60</v>
      </c>
      <c r="H4682" t="s">
        <v>7524</v>
      </c>
      <c r="I4682" t="s">
        <v>75</v>
      </c>
      <c r="J4682" t="s">
        <v>201</v>
      </c>
      <c r="K4682">
        <v>1</v>
      </c>
      <c r="L4682" t="s">
        <v>7524</v>
      </c>
      <c r="M4682"/>
      <c r="N4682">
        <v>0</v>
      </c>
      <c r="O4682" t="b">
        <v>1</v>
      </c>
      <c r="P4682"/>
      <c r="Q4682" t="b">
        <v>0</v>
      </c>
      <c r="R4682">
        <v>1</v>
      </c>
      <c r="S4682" t="s">
        <v>77</v>
      </c>
      <c r="T4682">
        <v>999</v>
      </c>
      <c r="U4682" t="s">
        <v>7525</v>
      </c>
      <c r="V4682">
        <f t="shared" si="12"/>
        <v>31838069</v>
      </c>
      <c r="W4682"/>
      <c r="X4682" t="s">
        <v>7133</v>
      </c>
      <c r="Y4682" t="s">
        <v>215</v>
      </c>
      <c r="Z4682">
        <v>22458</v>
      </c>
      <c r="AA4682" t="s">
        <v>7134</v>
      </c>
      <c r="AB4682">
        <v>40001</v>
      </c>
      <c r="AC4682"/>
      <c r="AD4682"/>
      <c r="AE4682" t="s">
        <v>7524</v>
      </c>
      <c r="AF4682" t="s">
        <v>7524</v>
      </c>
      <c r="AG4682" t="s">
        <v>1231</v>
      </c>
    </row>
    <row r="4683" spans="2:33">
      <c r="B4683" s="14">
        <f>10000000+INDEX(编号表!$B:$B,MATCH(H4683,编号表!$A:$A,0))*100000+INDEX(编号表!$F:$F,MATCH(D4683,编号表!$E:$E,0))*10000+INDEX(编号表!$D:$D,MATCH(AG4683,编号表!$C:$C,0))*1000+F4683</f>
        <v>11838070</v>
      </c>
      <c r="C4683" t="s">
        <v>7139</v>
      </c>
      <c r="D4683" t="s">
        <v>276</v>
      </c>
      <c r="E4683" t="s">
        <v>1231</v>
      </c>
      <c r="F4683">
        <v>70</v>
      </c>
      <c r="G4683">
        <v>60</v>
      </c>
      <c r="H4683" t="s">
        <v>7524</v>
      </c>
      <c r="I4683" t="s">
        <v>75</v>
      </c>
      <c r="J4683" t="s">
        <v>201</v>
      </c>
      <c r="K4683">
        <v>1</v>
      </c>
      <c r="L4683" t="s">
        <v>7524</v>
      </c>
      <c r="M4683"/>
      <c r="N4683">
        <v>0</v>
      </c>
      <c r="O4683" t="b">
        <v>1</v>
      </c>
      <c r="P4683"/>
      <c r="Q4683" t="b">
        <v>0</v>
      </c>
      <c r="R4683">
        <v>1</v>
      </c>
      <c r="S4683" t="s">
        <v>77</v>
      </c>
      <c r="T4683">
        <v>999</v>
      </c>
      <c r="U4683" t="s">
        <v>7525</v>
      </c>
      <c r="V4683">
        <f t="shared" si="12"/>
        <v>31838070</v>
      </c>
      <c r="W4683"/>
      <c r="X4683" t="s">
        <v>7140</v>
      </c>
      <c r="Y4683" t="s">
        <v>215</v>
      </c>
      <c r="Z4683">
        <v>22461</v>
      </c>
      <c r="AA4683" t="s">
        <v>7141</v>
      </c>
      <c r="AB4683">
        <v>40001</v>
      </c>
      <c r="AC4683"/>
      <c r="AD4683"/>
      <c r="AE4683" t="s">
        <v>7524</v>
      </c>
      <c r="AF4683" t="s">
        <v>7524</v>
      </c>
      <c r="AG4683" t="s">
        <v>1231</v>
      </c>
    </row>
    <row r="4684" spans="2:33">
      <c r="B4684" s="14">
        <f>10000000+INDEX(编号表!$B:$B,MATCH(H4684,编号表!$A:$A,0))*100000+INDEX(编号表!$F:$F,MATCH(D4684,编号表!$E:$E,0))*10000+INDEX(编号表!$D:$D,MATCH(AG4684,编号表!$C:$C,0))*1000+F4684</f>
        <v>11838071</v>
      </c>
      <c r="C4684" t="s">
        <v>7146</v>
      </c>
      <c r="D4684" t="s">
        <v>276</v>
      </c>
      <c r="E4684" t="s">
        <v>1231</v>
      </c>
      <c r="F4684">
        <v>71</v>
      </c>
      <c r="G4684">
        <v>60</v>
      </c>
      <c r="H4684" t="s">
        <v>7524</v>
      </c>
      <c r="I4684" t="s">
        <v>75</v>
      </c>
      <c r="J4684" t="s">
        <v>201</v>
      </c>
      <c r="K4684">
        <v>1</v>
      </c>
      <c r="L4684" t="s">
        <v>7524</v>
      </c>
      <c r="M4684"/>
      <c r="N4684">
        <v>0</v>
      </c>
      <c r="O4684" t="b">
        <v>1</v>
      </c>
      <c r="P4684"/>
      <c r="Q4684" t="b">
        <v>0</v>
      </c>
      <c r="R4684">
        <v>1</v>
      </c>
      <c r="S4684" t="s">
        <v>77</v>
      </c>
      <c r="T4684">
        <v>999</v>
      </c>
      <c r="U4684" t="s">
        <v>7525</v>
      </c>
      <c r="V4684">
        <f t="shared" si="12"/>
        <v>31838071</v>
      </c>
      <c r="W4684"/>
      <c r="X4684" t="s">
        <v>7147</v>
      </c>
      <c r="Y4684" t="s">
        <v>215</v>
      </c>
      <c r="Z4684">
        <v>22464</v>
      </c>
      <c r="AA4684" t="s">
        <v>7148</v>
      </c>
      <c r="AB4684">
        <v>40001</v>
      </c>
      <c r="AC4684"/>
      <c r="AD4684"/>
      <c r="AE4684" t="s">
        <v>7524</v>
      </c>
      <c r="AF4684" t="s">
        <v>7524</v>
      </c>
      <c r="AG4684" t="s">
        <v>1231</v>
      </c>
    </row>
    <row r="4685" spans="2:33">
      <c r="B4685" s="14">
        <f>10000000+INDEX(编号表!$B:$B,MATCH(H4685,编号表!$A:$A,0))*100000+INDEX(编号表!$F:$F,MATCH(D4685,编号表!$E:$E,0))*10000+INDEX(编号表!$D:$D,MATCH(AG4685,编号表!$C:$C,0))*1000+F4685</f>
        <v>11838072</v>
      </c>
      <c r="C4685" t="s">
        <v>7153</v>
      </c>
      <c r="D4685" t="s">
        <v>276</v>
      </c>
      <c r="E4685" t="s">
        <v>1231</v>
      </c>
      <c r="F4685">
        <v>72</v>
      </c>
      <c r="G4685">
        <v>60</v>
      </c>
      <c r="H4685" t="s">
        <v>7524</v>
      </c>
      <c r="I4685" t="s">
        <v>75</v>
      </c>
      <c r="J4685" t="s">
        <v>201</v>
      </c>
      <c r="K4685">
        <v>1</v>
      </c>
      <c r="L4685" t="s">
        <v>7524</v>
      </c>
      <c r="M4685"/>
      <c r="N4685">
        <v>0</v>
      </c>
      <c r="O4685" t="b">
        <v>1</v>
      </c>
      <c r="P4685"/>
      <c r="Q4685" t="b">
        <v>0</v>
      </c>
      <c r="R4685">
        <v>1</v>
      </c>
      <c r="S4685" t="s">
        <v>77</v>
      </c>
      <c r="T4685">
        <v>999</v>
      </c>
      <c r="U4685" t="s">
        <v>7525</v>
      </c>
      <c r="V4685">
        <f t="shared" si="12"/>
        <v>31838072</v>
      </c>
      <c r="W4685"/>
      <c r="X4685" t="s">
        <v>7154</v>
      </c>
      <c r="Y4685" t="s">
        <v>215</v>
      </c>
      <c r="Z4685">
        <v>22467</v>
      </c>
      <c r="AA4685" t="s">
        <v>7155</v>
      </c>
      <c r="AB4685">
        <v>40001</v>
      </c>
      <c r="AC4685"/>
      <c r="AD4685"/>
      <c r="AE4685" t="s">
        <v>7524</v>
      </c>
      <c r="AF4685" t="s">
        <v>7524</v>
      </c>
      <c r="AG4685" t="s">
        <v>1231</v>
      </c>
    </row>
    <row r="4686" spans="2:33">
      <c r="B4686" s="14">
        <f>10000000+INDEX(编号表!$B:$B,MATCH(H4686,编号表!$A:$A,0))*100000+INDEX(编号表!$F:$F,MATCH(D4686,编号表!$E:$E,0))*10000+INDEX(编号表!$D:$D,MATCH(AG4686,编号表!$C:$C,0))*1000+F4686</f>
        <v>11838073</v>
      </c>
      <c r="C4686" t="s">
        <v>7160</v>
      </c>
      <c r="D4686" t="s">
        <v>276</v>
      </c>
      <c r="E4686" t="s">
        <v>1231</v>
      </c>
      <c r="F4686">
        <v>73</v>
      </c>
      <c r="G4686">
        <v>60</v>
      </c>
      <c r="H4686" t="s">
        <v>7524</v>
      </c>
      <c r="I4686" t="s">
        <v>75</v>
      </c>
      <c r="J4686" t="s">
        <v>201</v>
      </c>
      <c r="K4686">
        <v>1</v>
      </c>
      <c r="L4686" t="s">
        <v>7524</v>
      </c>
      <c r="M4686"/>
      <c r="N4686">
        <v>0</v>
      </c>
      <c r="O4686" t="b">
        <v>1</v>
      </c>
      <c r="P4686"/>
      <c r="Q4686" t="b">
        <v>0</v>
      </c>
      <c r="R4686">
        <v>1</v>
      </c>
      <c r="S4686" t="s">
        <v>77</v>
      </c>
      <c r="T4686">
        <v>999</v>
      </c>
      <c r="U4686" t="s">
        <v>7525</v>
      </c>
      <c r="V4686">
        <f t="shared" si="12"/>
        <v>31838073</v>
      </c>
      <c r="W4686"/>
      <c r="X4686" t="s">
        <v>7161</v>
      </c>
      <c r="Y4686" t="s">
        <v>215</v>
      </c>
      <c r="Z4686">
        <v>22470</v>
      </c>
      <c r="AA4686" t="s">
        <v>7162</v>
      </c>
      <c r="AB4686">
        <v>40001</v>
      </c>
      <c r="AC4686"/>
      <c r="AD4686"/>
      <c r="AE4686" t="s">
        <v>7524</v>
      </c>
      <c r="AF4686" t="s">
        <v>7524</v>
      </c>
      <c r="AG4686" t="s">
        <v>1231</v>
      </c>
    </row>
    <row r="4687" spans="2:33">
      <c r="B4687" s="14">
        <f>10000000+INDEX(编号表!$B:$B,MATCH(H4687,编号表!$A:$A,0))*100000+INDEX(编号表!$F:$F,MATCH(D4687,编号表!$E:$E,0))*10000+INDEX(编号表!$D:$D,MATCH(AG4687,编号表!$C:$C,0))*1000+F4687</f>
        <v>11838074</v>
      </c>
      <c r="C4687" t="s">
        <v>7167</v>
      </c>
      <c r="D4687" t="s">
        <v>276</v>
      </c>
      <c r="E4687" t="s">
        <v>1231</v>
      </c>
      <c r="F4687">
        <v>74</v>
      </c>
      <c r="G4687">
        <v>60</v>
      </c>
      <c r="H4687" t="s">
        <v>7524</v>
      </c>
      <c r="I4687" t="s">
        <v>75</v>
      </c>
      <c r="J4687" t="s">
        <v>201</v>
      </c>
      <c r="K4687">
        <v>1</v>
      </c>
      <c r="L4687" t="s">
        <v>7524</v>
      </c>
      <c r="M4687"/>
      <c r="N4687">
        <v>0</v>
      </c>
      <c r="O4687" t="b">
        <v>1</v>
      </c>
      <c r="P4687"/>
      <c r="Q4687" t="b">
        <v>0</v>
      </c>
      <c r="R4687">
        <v>1</v>
      </c>
      <c r="S4687" t="s">
        <v>77</v>
      </c>
      <c r="T4687">
        <v>999</v>
      </c>
      <c r="U4687" t="s">
        <v>7525</v>
      </c>
      <c r="V4687">
        <f t="shared" si="12"/>
        <v>31838074</v>
      </c>
      <c r="W4687"/>
      <c r="X4687" t="s">
        <v>7168</v>
      </c>
      <c r="Y4687" t="s">
        <v>215</v>
      </c>
      <c r="Z4687">
        <v>22473</v>
      </c>
      <c r="AA4687" t="s">
        <v>7169</v>
      </c>
      <c r="AB4687">
        <v>40001</v>
      </c>
      <c r="AC4687"/>
      <c r="AD4687"/>
      <c r="AE4687" t="s">
        <v>7524</v>
      </c>
      <c r="AF4687" t="s">
        <v>7524</v>
      </c>
      <c r="AG4687" t="s">
        <v>1231</v>
      </c>
    </row>
    <row r="4688" spans="2:33">
      <c r="B4688" s="14">
        <f>10000000+INDEX(编号表!$B:$B,MATCH(H4688,编号表!$A:$A,0))*100000+INDEX(编号表!$F:$F,MATCH(D4688,编号表!$E:$E,0))*10000+INDEX(编号表!$D:$D,MATCH(AG4688,编号表!$C:$C,0))*1000+F4688</f>
        <v>11838075</v>
      </c>
      <c r="C4688" t="s">
        <v>7174</v>
      </c>
      <c r="D4688" t="s">
        <v>276</v>
      </c>
      <c r="E4688" t="s">
        <v>1231</v>
      </c>
      <c r="F4688">
        <v>75</v>
      </c>
      <c r="G4688">
        <v>60</v>
      </c>
      <c r="H4688" t="s">
        <v>7524</v>
      </c>
      <c r="I4688" t="s">
        <v>75</v>
      </c>
      <c r="J4688" t="s">
        <v>201</v>
      </c>
      <c r="K4688">
        <v>1</v>
      </c>
      <c r="L4688" t="s">
        <v>7524</v>
      </c>
      <c r="M4688"/>
      <c r="N4688">
        <v>0</v>
      </c>
      <c r="O4688" t="b">
        <v>1</v>
      </c>
      <c r="P4688"/>
      <c r="Q4688" t="b">
        <v>0</v>
      </c>
      <c r="R4688">
        <v>1</v>
      </c>
      <c r="S4688" t="s">
        <v>77</v>
      </c>
      <c r="T4688">
        <v>999</v>
      </c>
      <c r="U4688" t="s">
        <v>7525</v>
      </c>
      <c r="V4688">
        <f t="shared" si="12"/>
        <v>31838075</v>
      </c>
      <c r="W4688"/>
      <c r="X4688" t="s">
        <v>7175</v>
      </c>
      <c r="Y4688" t="s">
        <v>215</v>
      </c>
      <c r="Z4688">
        <v>22476</v>
      </c>
      <c r="AA4688" t="s">
        <v>7176</v>
      </c>
      <c r="AB4688">
        <v>40001</v>
      </c>
      <c r="AC4688"/>
      <c r="AD4688"/>
      <c r="AE4688" t="s">
        <v>7524</v>
      </c>
      <c r="AF4688" t="s">
        <v>7524</v>
      </c>
      <c r="AG4688" t="s">
        <v>1231</v>
      </c>
    </row>
    <row r="4689" spans="2:33">
      <c r="B4689" s="14">
        <f>10000000+INDEX(编号表!$B:$B,MATCH(H4689,编号表!$A:$A,0))*100000+INDEX(编号表!$F:$F,MATCH(D4689,编号表!$E:$E,0))*10000+INDEX(编号表!$D:$D,MATCH(AG4689,编号表!$C:$C,0))*1000+F4689</f>
        <v>11838076</v>
      </c>
      <c r="C4689" t="s">
        <v>7181</v>
      </c>
      <c r="D4689" t="s">
        <v>276</v>
      </c>
      <c r="E4689" t="s">
        <v>1231</v>
      </c>
      <c r="F4689">
        <v>76</v>
      </c>
      <c r="G4689">
        <v>60</v>
      </c>
      <c r="H4689" t="s">
        <v>7524</v>
      </c>
      <c r="I4689" t="s">
        <v>75</v>
      </c>
      <c r="J4689" t="s">
        <v>201</v>
      </c>
      <c r="K4689">
        <v>1</v>
      </c>
      <c r="L4689" t="s">
        <v>7524</v>
      </c>
      <c r="M4689"/>
      <c r="N4689">
        <v>0</v>
      </c>
      <c r="O4689" t="b">
        <v>1</v>
      </c>
      <c r="P4689"/>
      <c r="Q4689" t="b">
        <v>0</v>
      </c>
      <c r="R4689">
        <v>1</v>
      </c>
      <c r="S4689" t="s">
        <v>77</v>
      </c>
      <c r="T4689">
        <v>999</v>
      </c>
      <c r="U4689" t="s">
        <v>7525</v>
      </c>
      <c r="V4689">
        <f t="shared" si="12"/>
        <v>31838076</v>
      </c>
      <c r="W4689"/>
      <c r="X4689" t="s">
        <v>7182</v>
      </c>
      <c r="Y4689" t="s">
        <v>215</v>
      </c>
      <c r="Z4689">
        <v>22479</v>
      </c>
      <c r="AA4689" t="s">
        <v>7183</v>
      </c>
      <c r="AB4689">
        <v>40001</v>
      </c>
      <c r="AC4689"/>
      <c r="AD4689"/>
      <c r="AE4689" t="s">
        <v>7524</v>
      </c>
      <c r="AF4689" t="s">
        <v>7524</v>
      </c>
      <c r="AG4689" t="s">
        <v>1231</v>
      </c>
    </row>
    <row r="4690" spans="2:33">
      <c r="B4690" s="14">
        <f>10000000+INDEX(编号表!$B:$B,MATCH(H4690,编号表!$A:$A,0))*100000+INDEX(编号表!$F:$F,MATCH(D4690,编号表!$E:$E,0))*10000+INDEX(编号表!$D:$D,MATCH(AG4690,编号表!$C:$C,0))*1000+F4690</f>
        <v>11838077</v>
      </c>
      <c r="C4690" t="s">
        <v>7188</v>
      </c>
      <c r="D4690" t="s">
        <v>276</v>
      </c>
      <c r="E4690" t="s">
        <v>1231</v>
      </c>
      <c r="F4690">
        <v>77</v>
      </c>
      <c r="G4690">
        <v>60</v>
      </c>
      <c r="H4690" t="s">
        <v>7524</v>
      </c>
      <c r="I4690" t="s">
        <v>75</v>
      </c>
      <c r="J4690" t="s">
        <v>201</v>
      </c>
      <c r="K4690">
        <v>1</v>
      </c>
      <c r="L4690" t="s">
        <v>7524</v>
      </c>
      <c r="M4690"/>
      <c r="N4690">
        <v>0</v>
      </c>
      <c r="O4690" t="b">
        <v>1</v>
      </c>
      <c r="P4690"/>
      <c r="Q4690" t="b">
        <v>0</v>
      </c>
      <c r="R4690">
        <v>1</v>
      </c>
      <c r="S4690" t="s">
        <v>77</v>
      </c>
      <c r="T4690">
        <v>999</v>
      </c>
      <c r="U4690" t="s">
        <v>7525</v>
      </c>
      <c r="V4690">
        <f t="shared" si="12"/>
        <v>31838077</v>
      </c>
      <c r="W4690"/>
      <c r="X4690" t="s">
        <v>7189</v>
      </c>
      <c r="Y4690" t="s">
        <v>215</v>
      </c>
      <c r="Z4690">
        <v>22482</v>
      </c>
      <c r="AA4690" t="s">
        <v>7190</v>
      </c>
      <c r="AB4690">
        <v>40001</v>
      </c>
      <c r="AC4690"/>
      <c r="AD4690"/>
      <c r="AE4690" t="s">
        <v>7524</v>
      </c>
      <c r="AF4690" t="s">
        <v>7524</v>
      </c>
      <c r="AG4690" t="s">
        <v>1231</v>
      </c>
    </row>
    <row r="4691" spans="2:33">
      <c r="B4691" s="14">
        <f>10000000+INDEX(编号表!$B:$B,MATCH(H4691,编号表!$A:$A,0))*100000+INDEX(编号表!$F:$F,MATCH(D4691,编号表!$E:$E,0))*10000+INDEX(编号表!$D:$D,MATCH(AG4691,编号表!$C:$C,0))*1000+F4691</f>
        <v>11838078</v>
      </c>
      <c r="C4691" t="s">
        <v>7195</v>
      </c>
      <c r="D4691" t="s">
        <v>276</v>
      </c>
      <c r="E4691" t="s">
        <v>1231</v>
      </c>
      <c r="F4691">
        <v>78</v>
      </c>
      <c r="G4691">
        <v>60</v>
      </c>
      <c r="H4691" t="s">
        <v>7524</v>
      </c>
      <c r="I4691" t="s">
        <v>75</v>
      </c>
      <c r="J4691" t="s">
        <v>201</v>
      </c>
      <c r="K4691">
        <v>1</v>
      </c>
      <c r="L4691" t="s">
        <v>7524</v>
      </c>
      <c r="M4691"/>
      <c r="N4691">
        <v>0</v>
      </c>
      <c r="O4691" t="b">
        <v>1</v>
      </c>
      <c r="P4691"/>
      <c r="Q4691" t="b">
        <v>0</v>
      </c>
      <c r="R4691">
        <v>1</v>
      </c>
      <c r="S4691" t="s">
        <v>77</v>
      </c>
      <c r="T4691">
        <v>999</v>
      </c>
      <c r="U4691" t="s">
        <v>7525</v>
      </c>
      <c r="V4691">
        <f t="shared" si="12"/>
        <v>31838078</v>
      </c>
      <c r="W4691"/>
      <c r="X4691" t="s">
        <v>7196</v>
      </c>
      <c r="Y4691" t="s">
        <v>215</v>
      </c>
      <c r="Z4691">
        <v>22485</v>
      </c>
      <c r="AA4691" t="s">
        <v>7197</v>
      </c>
      <c r="AB4691">
        <v>40001</v>
      </c>
      <c r="AC4691"/>
      <c r="AD4691"/>
      <c r="AE4691" t="s">
        <v>7524</v>
      </c>
      <c r="AF4691" t="s">
        <v>7524</v>
      </c>
      <c r="AG4691" t="s">
        <v>1231</v>
      </c>
    </row>
    <row r="4692" spans="2:33">
      <c r="B4692" s="14">
        <f>10000000+INDEX(编号表!$B:$B,MATCH(H4692,编号表!$A:$A,0))*100000+INDEX(编号表!$F:$F,MATCH(D4692,编号表!$E:$E,0))*10000+INDEX(编号表!$D:$D,MATCH(AG4692,编号表!$C:$C,0))*1000+F4692</f>
        <v>11838079</v>
      </c>
      <c r="C4692" t="s">
        <v>7202</v>
      </c>
      <c r="D4692" t="s">
        <v>276</v>
      </c>
      <c r="E4692" t="s">
        <v>1231</v>
      </c>
      <c r="F4692">
        <v>79</v>
      </c>
      <c r="G4692">
        <v>60</v>
      </c>
      <c r="H4692" t="s">
        <v>7524</v>
      </c>
      <c r="I4692" t="s">
        <v>75</v>
      </c>
      <c r="J4692" t="s">
        <v>201</v>
      </c>
      <c r="K4692">
        <v>1</v>
      </c>
      <c r="L4692" t="s">
        <v>7524</v>
      </c>
      <c r="M4692"/>
      <c r="N4692">
        <v>0</v>
      </c>
      <c r="O4692" t="b">
        <v>1</v>
      </c>
      <c r="P4692"/>
      <c r="Q4692" t="b">
        <v>0</v>
      </c>
      <c r="R4692">
        <v>1</v>
      </c>
      <c r="S4692" t="s">
        <v>77</v>
      </c>
      <c r="T4692">
        <v>999</v>
      </c>
      <c r="U4692" t="s">
        <v>7525</v>
      </c>
      <c r="V4692">
        <f t="shared" si="12"/>
        <v>31838079</v>
      </c>
      <c r="W4692"/>
      <c r="X4692" t="s">
        <v>7203</v>
      </c>
      <c r="Y4692" t="s">
        <v>215</v>
      </c>
      <c r="Z4692">
        <v>22488</v>
      </c>
      <c r="AA4692" t="s">
        <v>7204</v>
      </c>
      <c r="AB4692">
        <v>40001</v>
      </c>
      <c r="AC4692"/>
      <c r="AD4692"/>
      <c r="AE4692" t="s">
        <v>7524</v>
      </c>
      <c r="AF4692" t="s">
        <v>7524</v>
      </c>
      <c r="AG4692" t="s">
        <v>1231</v>
      </c>
    </row>
    <row r="4693" spans="2:33">
      <c r="B4693" s="14">
        <f>10000000+INDEX(编号表!$B:$B,MATCH(H4693,编号表!$A:$A,0))*100000+INDEX(编号表!$F:$F,MATCH(D4693,编号表!$E:$E,0))*10000+INDEX(编号表!$D:$D,MATCH(AG4693,编号表!$C:$C,0))*1000+F4693</f>
        <v>11838080</v>
      </c>
      <c r="C4693" t="s">
        <v>7209</v>
      </c>
      <c r="D4693" t="s">
        <v>276</v>
      </c>
      <c r="E4693" t="s">
        <v>1231</v>
      </c>
      <c r="F4693">
        <v>80</v>
      </c>
      <c r="G4693">
        <v>60</v>
      </c>
      <c r="H4693" t="s">
        <v>7524</v>
      </c>
      <c r="I4693" t="s">
        <v>75</v>
      </c>
      <c r="J4693" t="s">
        <v>201</v>
      </c>
      <c r="K4693">
        <v>1</v>
      </c>
      <c r="L4693" t="s">
        <v>7524</v>
      </c>
      <c r="M4693"/>
      <c r="N4693">
        <v>0</v>
      </c>
      <c r="O4693" t="b">
        <v>1</v>
      </c>
      <c r="P4693"/>
      <c r="Q4693" t="b">
        <v>0</v>
      </c>
      <c r="R4693">
        <v>1</v>
      </c>
      <c r="S4693" t="s">
        <v>77</v>
      </c>
      <c r="T4693">
        <v>999</v>
      </c>
      <c r="U4693" t="s">
        <v>7525</v>
      </c>
      <c r="V4693">
        <f t="shared" si="12"/>
        <v>31838080</v>
      </c>
      <c r="W4693"/>
      <c r="X4693" t="s">
        <v>7210</v>
      </c>
      <c r="Y4693" t="s">
        <v>215</v>
      </c>
      <c r="Z4693">
        <v>22491</v>
      </c>
      <c r="AA4693" t="s">
        <v>7211</v>
      </c>
      <c r="AB4693">
        <v>40001</v>
      </c>
      <c r="AC4693"/>
      <c r="AD4693"/>
      <c r="AE4693" t="s">
        <v>7524</v>
      </c>
      <c r="AF4693" t="s">
        <v>7524</v>
      </c>
      <c r="AG4693" t="s">
        <v>1231</v>
      </c>
    </row>
    <row r="4694" spans="2:33">
      <c r="B4694" s="14">
        <f>10000000+INDEX(编号表!$B:$B,MATCH(H4694,编号表!$A:$A,0))*100000+INDEX(编号表!$F:$F,MATCH(D4694,编号表!$E:$E,0))*10000+INDEX(编号表!$D:$D,MATCH(AG4694,编号表!$C:$C,0))*1000+F4694</f>
        <v>11838081</v>
      </c>
      <c r="C4694" t="s">
        <v>7216</v>
      </c>
      <c r="D4694" t="s">
        <v>276</v>
      </c>
      <c r="E4694" t="s">
        <v>1231</v>
      </c>
      <c r="F4694">
        <v>81</v>
      </c>
      <c r="G4694">
        <v>60</v>
      </c>
      <c r="H4694" t="s">
        <v>7524</v>
      </c>
      <c r="I4694" t="s">
        <v>75</v>
      </c>
      <c r="J4694" t="s">
        <v>201</v>
      </c>
      <c r="K4694">
        <v>1</v>
      </c>
      <c r="L4694" t="s">
        <v>7524</v>
      </c>
      <c r="M4694"/>
      <c r="N4694">
        <v>0</v>
      </c>
      <c r="O4694" t="b">
        <v>1</v>
      </c>
      <c r="P4694"/>
      <c r="Q4694" t="b">
        <v>0</v>
      </c>
      <c r="R4694">
        <v>1</v>
      </c>
      <c r="S4694" t="s">
        <v>77</v>
      </c>
      <c r="T4694">
        <v>999</v>
      </c>
      <c r="U4694" t="s">
        <v>7525</v>
      </c>
      <c r="V4694">
        <f t="shared" si="12"/>
        <v>31838081</v>
      </c>
      <c r="W4694"/>
      <c r="X4694" t="s">
        <v>7217</v>
      </c>
      <c r="Y4694" t="s">
        <v>215</v>
      </c>
      <c r="Z4694">
        <v>22494</v>
      </c>
      <c r="AA4694" t="s">
        <v>7218</v>
      </c>
      <c r="AB4694">
        <v>40001</v>
      </c>
      <c r="AC4694"/>
      <c r="AD4694"/>
      <c r="AE4694" t="s">
        <v>7524</v>
      </c>
      <c r="AF4694" t="s">
        <v>7524</v>
      </c>
      <c r="AG4694" t="s">
        <v>1231</v>
      </c>
    </row>
    <row r="4695" spans="2:33">
      <c r="B4695" s="14">
        <f>10000000+INDEX(编号表!$B:$B,MATCH(H4695,编号表!$A:$A,0))*100000+INDEX(编号表!$F:$F,MATCH(D4695,编号表!$E:$E,0))*10000+INDEX(编号表!$D:$D,MATCH(AG4695,编号表!$C:$C,0))*1000+F4695</f>
        <v>11838082</v>
      </c>
      <c r="C4695" t="s">
        <v>7223</v>
      </c>
      <c r="D4695" t="s">
        <v>276</v>
      </c>
      <c r="E4695" t="s">
        <v>1231</v>
      </c>
      <c r="F4695">
        <v>82</v>
      </c>
      <c r="G4695">
        <v>60</v>
      </c>
      <c r="H4695" t="s">
        <v>7524</v>
      </c>
      <c r="I4695" t="s">
        <v>75</v>
      </c>
      <c r="J4695" t="s">
        <v>201</v>
      </c>
      <c r="K4695">
        <v>1</v>
      </c>
      <c r="L4695" t="s">
        <v>7524</v>
      </c>
      <c r="M4695"/>
      <c r="N4695">
        <v>0</v>
      </c>
      <c r="O4695" t="b">
        <v>1</v>
      </c>
      <c r="P4695"/>
      <c r="Q4695" t="b">
        <v>0</v>
      </c>
      <c r="R4695">
        <v>1</v>
      </c>
      <c r="S4695" t="s">
        <v>77</v>
      </c>
      <c r="T4695">
        <v>999</v>
      </c>
      <c r="U4695" t="s">
        <v>7525</v>
      </c>
      <c r="V4695">
        <f t="shared" si="12"/>
        <v>31838082</v>
      </c>
      <c r="W4695"/>
      <c r="X4695" t="s">
        <v>7224</v>
      </c>
      <c r="Y4695" t="s">
        <v>215</v>
      </c>
      <c r="Z4695">
        <v>22497</v>
      </c>
      <c r="AA4695" t="s">
        <v>7225</v>
      </c>
      <c r="AB4695">
        <v>40001</v>
      </c>
      <c r="AC4695"/>
      <c r="AD4695"/>
      <c r="AE4695" t="s">
        <v>7524</v>
      </c>
      <c r="AF4695" t="s">
        <v>7524</v>
      </c>
      <c r="AG4695" t="s">
        <v>1231</v>
      </c>
    </row>
    <row r="4696" spans="2:33">
      <c r="B4696" s="14">
        <f>10000000+INDEX(编号表!$B:$B,MATCH(H4696,编号表!$A:$A,0))*100000+INDEX(编号表!$F:$F,MATCH(D4696,编号表!$E:$E,0))*10000+INDEX(编号表!$D:$D,MATCH(AG4696,编号表!$C:$C,0))*1000+F4696</f>
        <v>11838083</v>
      </c>
      <c r="C4696" t="s">
        <v>7230</v>
      </c>
      <c r="D4696" t="s">
        <v>276</v>
      </c>
      <c r="E4696" t="s">
        <v>1231</v>
      </c>
      <c r="F4696">
        <v>83</v>
      </c>
      <c r="G4696">
        <v>60</v>
      </c>
      <c r="H4696" t="s">
        <v>7524</v>
      </c>
      <c r="I4696" t="s">
        <v>75</v>
      </c>
      <c r="J4696" t="s">
        <v>201</v>
      </c>
      <c r="K4696">
        <v>1</v>
      </c>
      <c r="L4696" t="s">
        <v>7524</v>
      </c>
      <c r="M4696"/>
      <c r="N4696">
        <v>0</v>
      </c>
      <c r="O4696" t="b">
        <v>1</v>
      </c>
      <c r="P4696"/>
      <c r="Q4696" t="b">
        <v>0</v>
      </c>
      <c r="R4696">
        <v>1</v>
      </c>
      <c r="S4696" t="s">
        <v>77</v>
      </c>
      <c r="T4696">
        <v>999</v>
      </c>
      <c r="U4696" t="s">
        <v>7525</v>
      </c>
      <c r="V4696">
        <f t="shared" ref="V4696:V4737" si="13">B4696+20000000</f>
        <v>31838083</v>
      </c>
      <c r="W4696"/>
      <c r="X4696" t="s">
        <v>7231</v>
      </c>
      <c r="Y4696" t="s">
        <v>215</v>
      </c>
      <c r="Z4696">
        <v>22500</v>
      </c>
      <c r="AA4696" t="s">
        <v>7232</v>
      </c>
      <c r="AB4696">
        <v>40001</v>
      </c>
      <c r="AC4696"/>
      <c r="AD4696"/>
      <c r="AE4696" t="s">
        <v>7524</v>
      </c>
      <c r="AF4696" t="s">
        <v>7524</v>
      </c>
      <c r="AG4696" t="s">
        <v>1231</v>
      </c>
    </row>
    <row r="4697" spans="2:33">
      <c r="B4697" s="14">
        <f>10000000+INDEX(编号表!$B:$B,MATCH(H4697,编号表!$A:$A,0))*100000+INDEX(编号表!$F:$F,MATCH(D4697,编号表!$E:$E,0))*10000+INDEX(编号表!$D:$D,MATCH(AG4697,编号表!$C:$C,0))*1000+F4697</f>
        <v>11838084</v>
      </c>
      <c r="C4697" t="s">
        <v>7237</v>
      </c>
      <c r="D4697" t="s">
        <v>276</v>
      </c>
      <c r="E4697" t="s">
        <v>1231</v>
      </c>
      <c r="F4697">
        <v>84</v>
      </c>
      <c r="G4697">
        <v>60</v>
      </c>
      <c r="H4697" t="s">
        <v>7524</v>
      </c>
      <c r="I4697" t="s">
        <v>75</v>
      </c>
      <c r="J4697" t="s">
        <v>201</v>
      </c>
      <c r="K4697">
        <v>1</v>
      </c>
      <c r="L4697" t="s">
        <v>7524</v>
      </c>
      <c r="M4697"/>
      <c r="N4697">
        <v>0</v>
      </c>
      <c r="O4697" t="b">
        <v>1</v>
      </c>
      <c r="P4697"/>
      <c r="Q4697" t="b">
        <v>0</v>
      </c>
      <c r="R4697">
        <v>1</v>
      </c>
      <c r="S4697" t="s">
        <v>77</v>
      </c>
      <c r="T4697">
        <v>999</v>
      </c>
      <c r="U4697" t="s">
        <v>7525</v>
      </c>
      <c r="V4697">
        <f t="shared" si="13"/>
        <v>31838084</v>
      </c>
      <c r="W4697"/>
      <c r="X4697" t="s">
        <v>7238</v>
      </c>
      <c r="Y4697" t="s">
        <v>215</v>
      </c>
      <c r="Z4697">
        <v>22503</v>
      </c>
      <c r="AA4697" t="s">
        <v>7239</v>
      </c>
      <c r="AB4697">
        <v>40001</v>
      </c>
      <c r="AC4697"/>
      <c r="AD4697"/>
      <c r="AE4697" t="s">
        <v>7524</v>
      </c>
      <c r="AF4697" t="s">
        <v>7524</v>
      </c>
      <c r="AG4697" t="s">
        <v>1231</v>
      </c>
    </row>
    <row r="4698" spans="2:33">
      <c r="B4698" s="14">
        <f>10000000+INDEX(编号表!$B:$B,MATCH(H4698,编号表!$A:$A,0))*100000+INDEX(编号表!$F:$F,MATCH(D4698,编号表!$E:$E,0))*10000+INDEX(编号表!$D:$D,MATCH(AG4698,编号表!$C:$C,0))*1000+F4698</f>
        <v>11838085</v>
      </c>
      <c r="C4698" t="s">
        <v>7244</v>
      </c>
      <c r="D4698" t="s">
        <v>276</v>
      </c>
      <c r="E4698" t="s">
        <v>1231</v>
      </c>
      <c r="F4698">
        <v>85</v>
      </c>
      <c r="G4698">
        <v>60</v>
      </c>
      <c r="H4698" t="s">
        <v>7524</v>
      </c>
      <c r="I4698" t="s">
        <v>75</v>
      </c>
      <c r="J4698" t="s">
        <v>201</v>
      </c>
      <c r="K4698">
        <v>1</v>
      </c>
      <c r="L4698" t="s">
        <v>7524</v>
      </c>
      <c r="M4698"/>
      <c r="N4698">
        <v>0</v>
      </c>
      <c r="O4698" t="b">
        <v>1</v>
      </c>
      <c r="P4698"/>
      <c r="Q4698" t="b">
        <v>0</v>
      </c>
      <c r="R4698">
        <v>1</v>
      </c>
      <c r="S4698" t="s">
        <v>77</v>
      </c>
      <c r="T4698">
        <v>999</v>
      </c>
      <c r="U4698" t="s">
        <v>7525</v>
      </c>
      <c r="V4698">
        <f t="shared" si="13"/>
        <v>31838085</v>
      </c>
      <c r="W4698"/>
      <c r="X4698" t="s">
        <v>7245</v>
      </c>
      <c r="Y4698" t="s">
        <v>215</v>
      </c>
      <c r="Z4698">
        <v>22506</v>
      </c>
      <c r="AA4698" t="s">
        <v>7246</v>
      </c>
      <c r="AB4698">
        <v>40001</v>
      </c>
      <c r="AC4698"/>
      <c r="AD4698"/>
      <c r="AE4698" t="s">
        <v>7524</v>
      </c>
      <c r="AF4698" t="s">
        <v>7524</v>
      </c>
      <c r="AG4698" t="s">
        <v>1231</v>
      </c>
    </row>
    <row r="4699" spans="2:33">
      <c r="B4699" s="14">
        <f>10000000+INDEX(编号表!$B:$B,MATCH(H4699,编号表!$A:$A,0))*100000+INDEX(编号表!$F:$F,MATCH(D4699,编号表!$E:$E,0))*10000+INDEX(编号表!$D:$D,MATCH(AG4699,编号表!$C:$C,0))*1000+F4699</f>
        <v>11838086</v>
      </c>
      <c r="C4699" t="s">
        <v>7251</v>
      </c>
      <c r="D4699" t="s">
        <v>276</v>
      </c>
      <c r="E4699" t="s">
        <v>1231</v>
      </c>
      <c r="F4699">
        <v>86</v>
      </c>
      <c r="G4699">
        <v>60</v>
      </c>
      <c r="H4699" t="s">
        <v>7524</v>
      </c>
      <c r="I4699" t="s">
        <v>75</v>
      </c>
      <c r="J4699" t="s">
        <v>201</v>
      </c>
      <c r="K4699">
        <v>1</v>
      </c>
      <c r="L4699" t="s">
        <v>7524</v>
      </c>
      <c r="M4699"/>
      <c r="N4699">
        <v>0</v>
      </c>
      <c r="O4699" t="b">
        <v>1</v>
      </c>
      <c r="P4699"/>
      <c r="Q4699" t="b">
        <v>0</v>
      </c>
      <c r="R4699">
        <v>1</v>
      </c>
      <c r="S4699" t="s">
        <v>77</v>
      </c>
      <c r="T4699">
        <v>999</v>
      </c>
      <c r="U4699" t="s">
        <v>7525</v>
      </c>
      <c r="V4699">
        <f t="shared" si="13"/>
        <v>31838086</v>
      </c>
      <c r="W4699"/>
      <c r="X4699" t="s">
        <v>7252</v>
      </c>
      <c r="Y4699" t="s">
        <v>215</v>
      </c>
      <c r="Z4699">
        <v>22509</v>
      </c>
      <c r="AA4699" t="s">
        <v>7253</v>
      </c>
      <c r="AB4699">
        <v>40001</v>
      </c>
      <c r="AC4699"/>
      <c r="AD4699"/>
      <c r="AE4699" t="s">
        <v>7524</v>
      </c>
      <c r="AF4699" t="s">
        <v>7524</v>
      </c>
      <c r="AG4699" t="s">
        <v>1231</v>
      </c>
    </row>
    <row r="4700" spans="2:33">
      <c r="B4700" s="14">
        <f>10000000+INDEX(编号表!$B:$B,MATCH(H4700,编号表!$A:$A,0))*100000+INDEX(编号表!$F:$F,MATCH(D4700,编号表!$E:$E,0))*10000+INDEX(编号表!$D:$D,MATCH(AG4700,编号表!$C:$C,0))*1000+F4700</f>
        <v>11838087</v>
      </c>
      <c r="C4700" t="s">
        <v>7258</v>
      </c>
      <c r="D4700" t="s">
        <v>276</v>
      </c>
      <c r="E4700" t="s">
        <v>1231</v>
      </c>
      <c r="F4700">
        <v>87</v>
      </c>
      <c r="G4700">
        <v>60</v>
      </c>
      <c r="H4700" t="s">
        <v>7524</v>
      </c>
      <c r="I4700" t="s">
        <v>75</v>
      </c>
      <c r="J4700" t="s">
        <v>201</v>
      </c>
      <c r="K4700">
        <v>1</v>
      </c>
      <c r="L4700" t="s">
        <v>7524</v>
      </c>
      <c r="M4700"/>
      <c r="N4700">
        <v>0</v>
      </c>
      <c r="O4700" t="b">
        <v>1</v>
      </c>
      <c r="P4700"/>
      <c r="Q4700" t="b">
        <v>0</v>
      </c>
      <c r="R4700">
        <v>1</v>
      </c>
      <c r="S4700" t="s">
        <v>77</v>
      </c>
      <c r="T4700">
        <v>999</v>
      </c>
      <c r="U4700" t="s">
        <v>7525</v>
      </c>
      <c r="V4700">
        <f t="shared" si="13"/>
        <v>31838087</v>
      </c>
      <c r="W4700"/>
      <c r="X4700" t="s">
        <v>7259</v>
      </c>
      <c r="Y4700" t="s">
        <v>215</v>
      </c>
      <c r="Z4700">
        <v>22512</v>
      </c>
      <c r="AA4700" t="s">
        <v>7260</v>
      </c>
      <c r="AB4700">
        <v>40001</v>
      </c>
      <c r="AC4700"/>
      <c r="AD4700"/>
      <c r="AE4700" t="s">
        <v>7524</v>
      </c>
      <c r="AF4700" t="s">
        <v>7524</v>
      </c>
      <c r="AG4700" t="s">
        <v>1231</v>
      </c>
    </row>
    <row r="4701" spans="2:33">
      <c r="B4701" s="14">
        <f>10000000+INDEX(编号表!$B:$B,MATCH(H4701,编号表!$A:$A,0))*100000+INDEX(编号表!$F:$F,MATCH(D4701,编号表!$E:$E,0))*10000+INDEX(编号表!$D:$D,MATCH(AG4701,编号表!$C:$C,0))*1000+F4701</f>
        <v>11838088</v>
      </c>
      <c r="C4701" t="s">
        <v>7265</v>
      </c>
      <c r="D4701" t="s">
        <v>276</v>
      </c>
      <c r="E4701" t="s">
        <v>1231</v>
      </c>
      <c r="F4701">
        <v>88</v>
      </c>
      <c r="G4701">
        <v>60</v>
      </c>
      <c r="H4701" t="s">
        <v>7524</v>
      </c>
      <c r="I4701" t="s">
        <v>75</v>
      </c>
      <c r="J4701" t="s">
        <v>201</v>
      </c>
      <c r="K4701">
        <v>1</v>
      </c>
      <c r="L4701" t="s">
        <v>7524</v>
      </c>
      <c r="M4701"/>
      <c r="N4701">
        <v>0</v>
      </c>
      <c r="O4701" t="b">
        <v>1</v>
      </c>
      <c r="P4701"/>
      <c r="Q4701" t="b">
        <v>0</v>
      </c>
      <c r="R4701">
        <v>1</v>
      </c>
      <c r="S4701" t="s">
        <v>77</v>
      </c>
      <c r="T4701">
        <v>999</v>
      </c>
      <c r="U4701" t="s">
        <v>7525</v>
      </c>
      <c r="V4701">
        <f t="shared" si="13"/>
        <v>31838088</v>
      </c>
      <c r="W4701"/>
      <c r="X4701" t="s">
        <v>7266</v>
      </c>
      <c r="Y4701" t="s">
        <v>215</v>
      </c>
      <c r="Z4701">
        <v>22515</v>
      </c>
      <c r="AA4701" t="s">
        <v>7267</v>
      </c>
      <c r="AB4701">
        <v>40001</v>
      </c>
      <c r="AC4701"/>
      <c r="AD4701"/>
      <c r="AE4701" t="s">
        <v>7524</v>
      </c>
      <c r="AF4701" t="s">
        <v>7524</v>
      </c>
      <c r="AG4701" t="s">
        <v>1231</v>
      </c>
    </row>
    <row r="4702" spans="2:33">
      <c r="B4702" s="14">
        <f>10000000+INDEX(编号表!$B:$B,MATCH(H4702,编号表!$A:$A,0))*100000+INDEX(编号表!$F:$F,MATCH(D4702,编号表!$E:$E,0))*10000+INDEX(编号表!$D:$D,MATCH(AG4702,编号表!$C:$C,0))*1000+F4702</f>
        <v>11838089</v>
      </c>
      <c r="C4702" t="s">
        <v>7272</v>
      </c>
      <c r="D4702" t="s">
        <v>276</v>
      </c>
      <c r="E4702" t="s">
        <v>1231</v>
      </c>
      <c r="F4702">
        <v>89</v>
      </c>
      <c r="G4702">
        <v>60</v>
      </c>
      <c r="H4702" t="s">
        <v>7524</v>
      </c>
      <c r="I4702" t="s">
        <v>75</v>
      </c>
      <c r="J4702" t="s">
        <v>201</v>
      </c>
      <c r="K4702">
        <v>1</v>
      </c>
      <c r="L4702" t="s">
        <v>7524</v>
      </c>
      <c r="M4702"/>
      <c r="N4702">
        <v>0</v>
      </c>
      <c r="O4702" t="b">
        <v>1</v>
      </c>
      <c r="P4702"/>
      <c r="Q4702" t="b">
        <v>0</v>
      </c>
      <c r="R4702">
        <v>1</v>
      </c>
      <c r="S4702" t="s">
        <v>77</v>
      </c>
      <c r="T4702">
        <v>999</v>
      </c>
      <c r="U4702" t="s">
        <v>7525</v>
      </c>
      <c r="V4702">
        <f t="shared" si="13"/>
        <v>31838089</v>
      </c>
      <c r="W4702"/>
      <c r="X4702" t="s">
        <v>7273</v>
      </c>
      <c r="Y4702" t="s">
        <v>215</v>
      </c>
      <c r="Z4702">
        <v>22518</v>
      </c>
      <c r="AA4702" t="s">
        <v>7274</v>
      </c>
      <c r="AB4702">
        <v>40001</v>
      </c>
      <c r="AC4702"/>
      <c r="AD4702"/>
      <c r="AE4702" t="s">
        <v>7524</v>
      </c>
      <c r="AF4702" t="s">
        <v>7524</v>
      </c>
      <c r="AG4702" t="s">
        <v>1231</v>
      </c>
    </row>
    <row r="4703" spans="2:33">
      <c r="B4703" s="14">
        <f>10000000+INDEX(编号表!$B:$B,MATCH(H4703,编号表!$A:$A,0))*100000+INDEX(编号表!$F:$F,MATCH(D4703,编号表!$E:$E,0))*10000+INDEX(编号表!$D:$D,MATCH(AG4703,编号表!$C:$C,0))*1000+F4703</f>
        <v>11838090</v>
      </c>
      <c r="C4703" t="s">
        <v>7279</v>
      </c>
      <c r="D4703" t="s">
        <v>276</v>
      </c>
      <c r="E4703" t="s">
        <v>1231</v>
      </c>
      <c r="F4703">
        <v>90</v>
      </c>
      <c r="G4703">
        <v>60</v>
      </c>
      <c r="H4703" t="s">
        <v>7524</v>
      </c>
      <c r="I4703" t="s">
        <v>75</v>
      </c>
      <c r="J4703" t="s">
        <v>201</v>
      </c>
      <c r="K4703">
        <v>1</v>
      </c>
      <c r="L4703" t="s">
        <v>7524</v>
      </c>
      <c r="M4703"/>
      <c r="N4703">
        <v>0</v>
      </c>
      <c r="O4703" t="b">
        <v>1</v>
      </c>
      <c r="P4703"/>
      <c r="Q4703" t="b">
        <v>0</v>
      </c>
      <c r="R4703">
        <v>1</v>
      </c>
      <c r="S4703" t="s">
        <v>77</v>
      </c>
      <c r="T4703">
        <v>999</v>
      </c>
      <c r="U4703" t="s">
        <v>7525</v>
      </c>
      <c r="V4703">
        <f t="shared" si="13"/>
        <v>31838090</v>
      </c>
      <c r="W4703"/>
      <c r="X4703" t="s">
        <v>7280</v>
      </c>
      <c r="Y4703" t="s">
        <v>215</v>
      </c>
      <c r="Z4703">
        <v>22521</v>
      </c>
      <c r="AA4703" t="s">
        <v>7281</v>
      </c>
      <c r="AB4703">
        <v>40001</v>
      </c>
      <c r="AC4703"/>
      <c r="AD4703"/>
      <c r="AE4703" t="s">
        <v>7524</v>
      </c>
      <c r="AF4703" t="s">
        <v>7524</v>
      </c>
      <c r="AG4703" t="s">
        <v>1231</v>
      </c>
    </row>
    <row r="4704" spans="2:33">
      <c r="B4704" s="14">
        <f>10000000+INDEX(编号表!$B:$B,MATCH(H4704,编号表!$A:$A,0))*100000+INDEX(编号表!$F:$F,MATCH(D4704,编号表!$E:$E,0))*10000+INDEX(编号表!$D:$D,MATCH(AG4704,编号表!$C:$C,0))*1000+F4704</f>
        <v>11838091</v>
      </c>
      <c r="C4704" t="s">
        <v>7286</v>
      </c>
      <c r="D4704" t="s">
        <v>276</v>
      </c>
      <c r="E4704" t="s">
        <v>1231</v>
      </c>
      <c r="F4704">
        <v>91</v>
      </c>
      <c r="G4704">
        <v>60</v>
      </c>
      <c r="H4704" t="s">
        <v>7524</v>
      </c>
      <c r="I4704" t="s">
        <v>75</v>
      </c>
      <c r="J4704" t="s">
        <v>201</v>
      </c>
      <c r="K4704">
        <v>1</v>
      </c>
      <c r="L4704" t="s">
        <v>7524</v>
      </c>
      <c r="M4704"/>
      <c r="N4704">
        <v>0</v>
      </c>
      <c r="O4704" t="b">
        <v>1</v>
      </c>
      <c r="P4704"/>
      <c r="Q4704" t="b">
        <v>0</v>
      </c>
      <c r="R4704">
        <v>1</v>
      </c>
      <c r="S4704" t="s">
        <v>77</v>
      </c>
      <c r="T4704">
        <v>999</v>
      </c>
      <c r="U4704" t="s">
        <v>7525</v>
      </c>
      <c r="V4704">
        <f t="shared" si="13"/>
        <v>31838091</v>
      </c>
      <c r="W4704"/>
      <c r="X4704" t="s">
        <v>7287</v>
      </c>
      <c r="Y4704" t="s">
        <v>215</v>
      </c>
      <c r="Z4704">
        <v>22524</v>
      </c>
      <c r="AA4704" t="s">
        <v>7288</v>
      </c>
      <c r="AB4704">
        <v>40001</v>
      </c>
      <c r="AC4704"/>
      <c r="AD4704"/>
      <c r="AE4704" t="s">
        <v>7524</v>
      </c>
      <c r="AF4704" t="s">
        <v>7524</v>
      </c>
      <c r="AG4704" t="s">
        <v>1231</v>
      </c>
    </row>
    <row r="4705" spans="2:33">
      <c r="B4705" s="14">
        <f>10000000+INDEX(编号表!$B:$B,MATCH(H4705,编号表!$A:$A,0))*100000+INDEX(编号表!$F:$F,MATCH(D4705,编号表!$E:$E,0))*10000+INDEX(编号表!$D:$D,MATCH(AG4705,编号表!$C:$C,0))*1000+F4705</f>
        <v>11838092</v>
      </c>
      <c r="C4705" t="s">
        <v>7293</v>
      </c>
      <c r="D4705" t="s">
        <v>276</v>
      </c>
      <c r="E4705" t="s">
        <v>1231</v>
      </c>
      <c r="F4705">
        <v>92</v>
      </c>
      <c r="G4705">
        <v>60</v>
      </c>
      <c r="H4705" t="s">
        <v>7524</v>
      </c>
      <c r="I4705" t="s">
        <v>75</v>
      </c>
      <c r="J4705" t="s">
        <v>201</v>
      </c>
      <c r="K4705">
        <v>1</v>
      </c>
      <c r="L4705" t="s">
        <v>7524</v>
      </c>
      <c r="M4705"/>
      <c r="N4705">
        <v>0</v>
      </c>
      <c r="O4705" t="b">
        <v>1</v>
      </c>
      <c r="P4705"/>
      <c r="Q4705" t="b">
        <v>0</v>
      </c>
      <c r="R4705">
        <v>1</v>
      </c>
      <c r="S4705" t="s">
        <v>77</v>
      </c>
      <c r="T4705">
        <v>999</v>
      </c>
      <c r="U4705" t="s">
        <v>7525</v>
      </c>
      <c r="V4705">
        <f t="shared" si="13"/>
        <v>31838092</v>
      </c>
      <c r="W4705"/>
      <c r="X4705" t="s">
        <v>7294</v>
      </c>
      <c r="Y4705" t="s">
        <v>215</v>
      </c>
      <c r="Z4705">
        <v>22527</v>
      </c>
      <c r="AA4705" t="s">
        <v>7295</v>
      </c>
      <c r="AB4705">
        <v>40001</v>
      </c>
      <c r="AC4705"/>
      <c r="AD4705"/>
      <c r="AE4705" t="s">
        <v>7524</v>
      </c>
      <c r="AF4705" t="s">
        <v>7524</v>
      </c>
      <c r="AG4705" t="s">
        <v>1231</v>
      </c>
    </row>
    <row r="4706" spans="2:33">
      <c r="B4706" s="14">
        <f>10000000+INDEX(编号表!$B:$B,MATCH(H4706,编号表!$A:$A,0))*100000+INDEX(编号表!$F:$F,MATCH(D4706,编号表!$E:$E,0))*10000+INDEX(编号表!$D:$D,MATCH(AG4706,编号表!$C:$C,0))*1000+F4706</f>
        <v>11838093</v>
      </c>
      <c r="C4706" t="s">
        <v>7300</v>
      </c>
      <c r="D4706" t="s">
        <v>276</v>
      </c>
      <c r="E4706" t="s">
        <v>1231</v>
      </c>
      <c r="F4706">
        <v>93</v>
      </c>
      <c r="G4706">
        <v>60</v>
      </c>
      <c r="H4706" t="s">
        <v>7524</v>
      </c>
      <c r="I4706" t="s">
        <v>75</v>
      </c>
      <c r="J4706" t="s">
        <v>201</v>
      </c>
      <c r="K4706">
        <v>1</v>
      </c>
      <c r="L4706" t="s">
        <v>7524</v>
      </c>
      <c r="M4706"/>
      <c r="N4706">
        <v>0</v>
      </c>
      <c r="O4706" t="b">
        <v>1</v>
      </c>
      <c r="P4706"/>
      <c r="Q4706" t="b">
        <v>0</v>
      </c>
      <c r="R4706">
        <v>1</v>
      </c>
      <c r="S4706" t="s">
        <v>77</v>
      </c>
      <c r="T4706">
        <v>999</v>
      </c>
      <c r="U4706" t="s">
        <v>7525</v>
      </c>
      <c r="V4706">
        <f t="shared" si="13"/>
        <v>31838093</v>
      </c>
      <c r="W4706"/>
      <c r="X4706" t="s">
        <v>7301</v>
      </c>
      <c r="Y4706" t="s">
        <v>215</v>
      </c>
      <c r="Z4706">
        <v>22530</v>
      </c>
      <c r="AA4706" t="s">
        <v>7302</v>
      </c>
      <c r="AB4706">
        <v>40001</v>
      </c>
      <c r="AC4706"/>
      <c r="AD4706"/>
      <c r="AE4706" t="s">
        <v>7524</v>
      </c>
      <c r="AF4706" t="s">
        <v>7524</v>
      </c>
      <c r="AG4706" t="s">
        <v>1231</v>
      </c>
    </row>
    <row r="4707" spans="2:33">
      <c r="B4707" s="14">
        <f>10000000+INDEX(编号表!$B:$B,MATCH(H4707,编号表!$A:$A,0))*100000+INDEX(编号表!$F:$F,MATCH(D4707,编号表!$E:$E,0))*10000+INDEX(编号表!$D:$D,MATCH(AG4707,编号表!$C:$C,0))*1000+F4707</f>
        <v>11838094</v>
      </c>
      <c r="C4707" t="s">
        <v>7307</v>
      </c>
      <c r="D4707" t="s">
        <v>276</v>
      </c>
      <c r="E4707" t="s">
        <v>1231</v>
      </c>
      <c r="F4707">
        <v>94</v>
      </c>
      <c r="G4707">
        <v>60</v>
      </c>
      <c r="H4707" t="s">
        <v>7524</v>
      </c>
      <c r="I4707" t="s">
        <v>75</v>
      </c>
      <c r="J4707" t="s">
        <v>201</v>
      </c>
      <c r="K4707">
        <v>1</v>
      </c>
      <c r="L4707" t="s">
        <v>7524</v>
      </c>
      <c r="M4707"/>
      <c r="N4707">
        <v>0</v>
      </c>
      <c r="O4707" t="b">
        <v>1</v>
      </c>
      <c r="P4707"/>
      <c r="Q4707" t="b">
        <v>0</v>
      </c>
      <c r="R4707">
        <v>1</v>
      </c>
      <c r="S4707" t="s">
        <v>77</v>
      </c>
      <c r="T4707">
        <v>999</v>
      </c>
      <c r="U4707" t="s">
        <v>7525</v>
      </c>
      <c r="V4707">
        <f t="shared" si="13"/>
        <v>31838094</v>
      </c>
      <c r="W4707"/>
      <c r="X4707" t="s">
        <v>7308</v>
      </c>
      <c r="Y4707" t="s">
        <v>215</v>
      </c>
      <c r="Z4707">
        <v>22533</v>
      </c>
      <c r="AA4707" t="s">
        <v>7309</v>
      </c>
      <c r="AB4707">
        <v>40001</v>
      </c>
      <c r="AC4707"/>
      <c r="AD4707"/>
      <c r="AE4707" t="s">
        <v>7524</v>
      </c>
      <c r="AF4707" t="s">
        <v>7524</v>
      </c>
      <c r="AG4707" t="s">
        <v>1231</v>
      </c>
    </row>
    <row r="4708" spans="2:33">
      <c r="B4708" s="14">
        <f>10000000+INDEX(编号表!$B:$B,MATCH(H4708,编号表!$A:$A,0))*100000+INDEX(编号表!$F:$F,MATCH(D4708,编号表!$E:$E,0))*10000+INDEX(编号表!$D:$D,MATCH(AG4708,编号表!$C:$C,0))*1000+F4708</f>
        <v>11838095</v>
      </c>
      <c r="C4708" t="s">
        <v>7314</v>
      </c>
      <c r="D4708" t="s">
        <v>276</v>
      </c>
      <c r="E4708" t="s">
        <v>1231</v>
      </c>
      <c r="F4708">
        <v>95</v>
      </c>
      <c r="G4708">
        <v>60</v>
      </c>
      <c r="H4708" t="s">
        <v>7524</v>
      </c>
      <c r="I4708" t="s">
        <v>75</v>
      </c>
      <c r="J4708" t="s">
        <v>201</v>
      </c>
      <c r="K4708">
        <v>1</v>
      </c>
      <c r="L4708" t="s">
        <v>7524</v>
      </c>
      <c r="M4708"/>
      <c r="N4708">
        <v>0</v>
      </c>
      <c r="O4708" t="b">
        <v>1</v>
      </c>
      <c r="P4708"/>
      <c r="Q4708" t="b">
        <v>0</v>
      </c>
      <c r="R4708">
        <v>1</v>
      </c>
      <c r="S4708" t="s">
        <v>77</v>
      </c>
      <c r="T4708">
        <v>999</v>
      </c>
      <c r="U4708" t="s">
        <v>7525</v>
      </c>
      <c r="V4708">
        <f t="shared" si="13"/>
        <v>31838095</v>
      </c>
      <c r="W4708"/>
      <c r="X4708" t="s">
        <v>7315</v>
      </c>
      <c r="Y4708" t="s">
        <v>215</v>
      </c>
      <c r="Z4708">
        <v>22536</v>
      </c>
      <c r="AA4708" t="s">
        <v>7316</v>
      </c>
      <c r="AB4708">
        <v>40001</v>
      </c>
      <c r="AC4708"/>
      <c r="AD4708"/>
      <c r="AE4708" t="s">
        <v>7524</v>
      </c>
      <c r="AF4708" t="s">
        <v>7524</v>
      </c>
      <c r="AG4708" t="s">
        <v>1231</v>
      </c>
    </row>
    <row r="4709" spans="2:33">
      <c r="B4709" s="14">
        <f>10000000+INDEX(编号表!$B:$B,MATCH(H4709,编号表!$A:$A,0))*100000+INDEX(编号表!$F:$F,MATCH(D4709,编号表!$E:$E,0))*10000+INDEX(编号表!$D:$D,MATCH(AG4709,编号表!$C:$C,0))*1000+F4709</f>
        <v>11838096</v>
      </c>
      <c r="C4709" t="s">
        <v>7321</v>
      </c>
      <c r="D4709" t="s">
        <v>276</v>
      </c>
      <c r="E4709" t="s">
        <v>1231</v>
      </c>
      <c r="F4709">
        <v>96</v>
      </c>
      <c r="G4709">
        <v>60</v>
      </c>
      <c r="H4709" t="s">
        <v>7524</v>
      </c>
      <c r="I4709" t="s">
        <v>75</v>
      </c>
      <c r="J4709" t="s">
        <v>201</v>
      </c>
      <c r="K4709">
        <v>1</v>
      </c>
      <c r="L4709" t="s">
        <v>7524</v>
      </c>
      <c r="M4709"/>
      <c r="N4709">
        <v>0</v>
      </c>
      <c r="O4709" t="b">
        <v>1</v>
      </c>
      <c r="P4709"/>
      <c r="Q4709" t="b">
        <v>0</v>
      </c>
      <c r="R4709">
        <v>1</v>
      </c>
      <c r="S4709" t="s">
        <v>77</v>
      </c>
      <c r="T4709">
        <v>999</v>
      </c>
      <c r="U4709" t="s">
        <v>7525</v>
      </c>
      <c r="V4709">
        <f t="shared" si="13"/>
        <v>31838096</v>
      </c>
      <c r="W4709"/>
      <c r="X4709" t="s">
        <v>7322</v>
      </c>
      <c r="Y4709" t="s">
        <v>215</v>
      </c>
      <c r="Z4709">
        <v>22539</v>
      </c>
      <c r="AA4709" t="s">
        <v>7323</v>
      </c>
      <c r="AB4709">
        <v>40001</v>
      </c>
      <c r="AC4709"/>
      <c r="AD4709"/>
      <c r="AE4709" t="s">
        <v>7524</v>
      </c>
      <c r="AF4709" t="s">
        <v>7524</v>
      </c>
      <c r="AG4709" t="s">
        <v>1231</v>
      </c>
    </row>
    <row r="4710" spans="2:33">
      <c r="B4710" s="14">
        <f>10000000+INDEX(编号表!$B:$B,MATCH(H4710,编号表!$A:$A,0))*100000+INDEX(编号表!$F:$F,MATCH(D4710,编号表!$E:$E,0))*10000+INDEX(编号表!$D:$D,MATCH(AG4710,编号表!$C:$C,0))*1000+F4710</f>
        <v>11838097</v>
      </c>
      <c r="C4710" t="s">
        <v>7328</v>
      </c>
      <c r="D4710" t="s">
        <v>276</v>
      </c>
      <c r="E4710" t="s">
        <v>1231</v>
      </c>
      <c r="F4710">
        <v>97</v>
      </c>
      <c r="G4710">
        <v>60</v>
      </c>
      <c r="H4710" t="s">
        <v>7524</v>
      </c>
      <c r="I4710" t="s">
        <v>75</v>
      </c>
      <c r="J4710" t="s">
        <v>201</v>
      </c>
      <c r="K4710">
        <v>1</v>
      </c>
      <c r="L4710" t="s">
        <v>7524</v>
      </c>
      <c r="M4710"/>
      <c r="N4710">
        <v>0</v>
      </c>
      <c r="O4710" t="b">
        <v>1</v>
      </c>
      <c r="P4710"/>
      <c r="Q4710" t="b">
        <v>0</v>
      </c>
      <c r="R4710">
        <v>1</v>
      </c>
      <c r="S4710" t="s">
        <v>77</v>
      </c>
      <c r="T4710">
        <v>999</v>
      </c>
      <c r="U4710" t="s">
        <v>7525</v>
      </c>
      <c r="V4710">
        <f t="shared" si="13"/>
        <v>31838097</v>
      </c>
      <c r="W4710"/>
      <c r="X4710" t="s">
        <v>7329</v>
      </c>
      <c r="Y4710" t="s">
        <v>215</v>
      </c>
      <c r="Z4710">
        <v>22542</v>
      </c>
      <c r="AA4710" t="s">
        <v>7330</v>
      </c>
      <c r="AB4710">
        <v>40001</v>
      </c>
      <c r="AC4710"/>
      <c r="AD4710"/>
      <c r="AE4710" t="s">
        <v>7524</v>
      </c>
      <c r="AF4710" t="s">
        <v>7524</v>
      </c>
      <c r="AG4710" t="s">
        <v>1231</v>
      </c>
    </row>
    <row r="4711" spans="2:33">
      <c r="B4711" s="14">
        <f>10000000+INDEX(编号表!$B:$B,MATCH(H4711,编号表!$A:$A,0))*100000+INDEX(编号表!$F:$F,MATCH(D4711,编号表!$E:$E,0))*10000+INDEX(编号表!$D:$D,MATCH(AG4711,编号表!$C:$C,0))*1000+F4711</f>
        <v>11838098</v>
      </c>
      <c r="C4711" t="s">
        <v>7335</v>
      </c>
      <c r="D4711" t="s">
        <v>276</v>
      </c>
      <c r="E4711" t="s">
        <v>1231</v>
      </c>
      <c r="F4711">
        <v>98</v>
      </c>
      <c r="G4711">
        <v>60</v>
      </c>
      <c r="H4711" t="s">
        <v>7524</v>
      </c>
      <c r="I4711" t="s">
        <v>75</v>
      </c>
      <c r="J4711" t="s">
        <v>201</v>
      </c>
      <c r="K4711">
        <v>1</v>
      </c>
      <c r="L4711" t="s">
        <v>7524</v>
      </c>
      <c r="M4711"/>
      <c r="N4711">
        <v>0</v>
      </c>
      <c r="O4711" t="b">
        <v>1</v>
      </c>
      <c r="P4711"/>
      <c r="Q4711" t="b">
        <v>0</v>
      </c>
      <c r="R4711">
        <v>1</v>
      </c>
      <c r="S4711" t="s">
        <v>77</v>
      </c>
      <c r="T4711">
        <v>999</v>
      </c>
      <c r="U4711" t="s">
        <v>7525</v>
      </c>
      <c r="V4711">
        <f t="shared" si="13"/>
        <v>31838098</v>
      </c>
      <c r="W4711"/>
      <c r="X4711" t="s">
        <v>7336</v>
      </c>
      <c r="Y4711" t="s">
        <v>215</v>
      </c>
      <c r="Z4711">
        <v>22545</v>
      </c>
      <c r="AA4711" t="s">
        <v>7337</v>
      </c>
      <c r="AB4711">
        <v>40001</v>
      </c>
      <c r="AC4711"/>
      <c r="AD4711"/>
      <c r="AE4711" t="s">
        <v>7524</v>
      </c>
      <c r="AF4711" t="s">
        <v>7524</v>
      </c>
      <c r="AG4711" t="s">
        <v>1231</v>
      </c>
    </row>
    <row r="4712" spans="2:33">
      <c r="B4712" s="14">
        <f>10000000+INDEX(编号表!$B:$B,MATCH(H4712,编号表!$A:$A,0))*100000+INDEX(编号表!$F:$F,MATCH(D4712,编号表!$E:$E,0))*10000+INDEX(编号表!$D:$D,MATCH(AG4712,编号表!$C:$C,0))*1000+F4712</f>
        <v>11838099</v>
      </c>
      <c r="C4712" t="s">
        <v>7342</v>
      </c>
      <c r="D4712" t="s">
        <v>276</v>
      </c>
      <c r="E4712" t="s">
        <v>1231</v>
      </c>
      <c r="F4712">
        <v>99</v>
      </c>
      <c r="G4712">
        <v>60</v>
      </c>
      <c r="H4712" t="s">
        <v>7524</v>
      </c>
      <c r="I4712" t="s">
        <v>75</v>
      </c>
      <c r="J4712" t="s">
        <v>201</v>
      </c>
      <c r="K4712">
        <v>1</v>
      </c>
      <c r="L4712" t="s">
        <v>7524</v>
      </c>
      <c r="M4712"/>
      <c r="N4712">
        <v>0</v>
      </c>
      <c r="O4712" t="b">
        <v>1</v>
      </c>
      <c r="P4712"/>
      <c r="Q4712" t="b">
        <v>0</v>
      </c>
      <c r="R4712">
        <v>1</v>
      </c>
      <c r="S4712" t="s">
        <v>77</v>
      </c>
      <c r="T4712">
        <v>999</v>
      </c>
      <c r="U4712" t="s">
        <v>7525</v>
      </c>
      <c r="V4712">
        <f t="shared" si="13"/>
        <v>31838099</v>
      </c>
      <c r="W4712"/>
      <c r="X4712" t="s">
        <v>7343</v>
      </c>
      <c r="Y4712" t="s">
        <v>215</v>
      </c>
      <c r="Z4712">
        <v>22548</v>
      </c>
      <c r="AA4712" t="s">
        <v>7344</v>
      </c>
      <c r="AB4712">
        <v>40001</v>
      </c>
      <c r="AC4712"/>
      <c r="AD4712"/>
      <c r="AE4712" t="s">
        <v>7524</v>
      </c>
      <c r="AF4712" t="s">
        <v>7524</v>
      </c>
      <c r="AG4712" t="s">
        <v>1231</v>
      </c>
    </row>
    <row r="4713" spans="2:33">
      <c r="B4713" s="14">
        <f>10000000+INDEX(编号表!$B:$B,MATCH(H4713,编号表!$A:$A,0))*100000+INDEX(编号表!$F:$F,MATCH(D4713,编号表!$E:$E,0))*10000+INDEX(编号表!$D:$D,MATCH(AG4713,编号表!$C:$C,0))*1000+F4713</f>
        <v>11838100</v>
      </c>
      <c r="C4713" t="s">
        <v>7349</v>
      </c>
      <c r="D4713" t="s">
        <v>276</v>
      </c>
      <c r="E4713" t="s">
        <v>1231</v>
      </c>
      <c r="F4713">
        <v>100</v>
      </c>
      <c r="G4713">
        <v>60</v>
      </c>
      <c r="H4713" t="s">
        <v>7524</v>
      </c>
      <c r="I4713" t="s">
        <v>75</v>
      </c>
      <c r="J4713" t="s">
        <v>201</v>
      </c>
      <c r="K4713">
        <v>1</v>
      </c>
      <c r="L4713" t="s">
        <v>7524</v>
      </c>
      <c r="M4713"/>
      <c r="N4713">
        <v>0</v>
      </c>
      <c r="O4713" t="b">
        <v>1</v>
      </c>
      <c r="P4713"/>
      <c r="Q4713" t="b">
        <v>0</v>
      </c>
      <c r="R4713">
        <v>1</v>
      </c>
      <c r="S4713" t="s">
        <v>77</v>
      </c>
      <c r="T4713">
        <v>999</v>
      </c>
      <c r="U4713" t="s">
        <v>7525</v>
      </c>
      <c r="V4713">
        <f t="shared" si="13"/>
        <v>31838100</v>
      </c>
      <c r="W4713"/>
      <c r="X4713" t="s">
        <v>7350</v>
      </c>
      <c r="Y4713" t="s">
        <v>215</v>
      </c>
      <c r="Z4713">
        <v>22551</v>
      </c>
      <c r="AA4713" t="s">
        <v>7351</v>
      </c>
      <c r="AB4713">
        <v>40001</v>
      </c>
      <c r="AC4713"/>
      <c r="AD4713"/>
      <c r="AE4713" t="s">
        <v>7524</v>
      </c>
      <c r="AF4713" t="s">
        <v>7524</v>
      </c>
      <c r="AG4713" t="s">
        <v>1231</v>
      </c>
    </row>
    <row r="4714" spans="2:33">
      <c r="B4714" s="14">
        <f>10000000+INDEX(编号表!$B:$B,MATCH(H4714,编号表!$A:$A,0))*100000+INDEX(编号表!$F:$F,MATCH(D4714,编号表!$E:$E,0))*10000+INDEX(编号表!$D:$D,MATCH(AG4714,编号表!$C:$C,0))*1000+F4714</f>
        <v>11838101</v>
      </c>
      <c r="C4714" t="s">
        <v>7356</v>
      </c>
      <c r="D4714" t="s">
        <v>276</v>
      </c>
      <c r="E4714" t="s">
        <v>1231</v>
      </c>
      <c r="F4714">
        <v>101</v>
      </c>
      <c r="G4714">
        <v>60</v>
      </c>
      <c r="H4714" t="s">
        <v>7524</v>
      </c>
      <c r="I4714" t="s">
        <v>75</v>
      </c>
      <c r="J4714" t="s">
        <v>201</v>
      </c>
      <c r="K4714">
        <v>1</v>
      </c>
      <c r="L4714" t="s">
        <v>7524</v>
      </c>
      <c r="M4714"/>
      <c r="N4714">
        <v>0</v>
      </c>
      <c r="O4714" t="b">
        <v>1</v>
      </c>
      <c r="P4714"/>
      <c r="Q4714" t="b">
        <v>0</v>
      </c>
      <c r="R4714">
        <v>1</v>
      </c>
      <c r="S4714" t="s">
        <v>77</v>
      </c>
      <c r="T4714">
        <v>999</v>
      </c>
      <c r="U4714" t="s">
        <v>7525</v>
      </c>
      <c r="V4714">
        <f t="shared" si="13"/>
        <v>31838101</v>
      </c>
      <c r="W4714"/>
      <c r="X4714" t="s">
        <v>7357</v>
      </c>
      <c r="Y4714" t="s">
        <v>215</v>
      </c>
      <c r="Z4714">
        <v>22554</v>
      </c>
      <c r="AA4714" t="s">
        <v>7358</v>
      </c>
      <c r="AB4714">
        <v>40001</v>
      </c>
      <c r="AC4714"/>
      <c r="AD4714"/>
      <c r="AE4714" t="s">
        <v>7524</v>
      </c>
      <c r="AF4714" t="s">
        <v>7524</v>
      </c>
      <c r="AG4714" t="s">
        <v>1231</v>
      </c>
    </row>
    <row r="4715" spans="2:33">
      <c r="B4715" s="14">
        <f>10000000+INDEX(编号表!$B:$B,MATCH(H4715,编号表!$A:$A,0))*100000+INDEX(编号表!$F:$F,MATCH(D4715,编号表!$E:$E,0))*10000+INDEX(编号表!$D:$D,MATCH(AG4715,编号表!$C:$C,0))*1000+F4715</f>
        <v>11838102</v>
      </c>
      <c r="C4715" t="s">
        <v>7363</v>
      </c>
      <c r="D4715" t="s">
        <v>276</v>
      </c>
      <c r="E4715" t="s">
        <v>1231</v>
      </c>
      <c r="F4715">
        <v>102</v>
      </c>
      <c r="G4715">
        <v>60</v>
      </c>
      <c r="H4715" t="s">
        <v>7524</v>
      </c>
      <c r="I4715" t="s">
        <v>75</v>
      </c>
      <c r="J4715" t="s">
        <v>201</v>
      </c>
      <c r="K4715">
        <v>1</v>
      </c>
      <c r="L4715" t="s">
        <v>7524</v>
      </c>
      <c r="M4715"/>
      <c r="N4715">
        <v>0</v>
      </c>
      <c r="O4715" t="b">
        <v>1</v>
      </c>
      <c r="P4715"/>
      <c r="Q4715" t="b">
        <v>0</v>
      </c>
      <c r="R4715">
        <v>1</v>
      </c>
      <c r="S4715" t="s">
        <v>77</v>
      </c>
      <c r="T4715">
        <v>999</v>
      </c>
      <c r="U4715" t="s">
        <v>7525</v>
      </c>
      <c r="V4715">
        <f t="shared" si="13"/>
        <v>31838102</v>
      </c>
      <c r="W4715"/>
      <c r="X4715" t="s">
        <v>7364</v>
      </c>
      <c r="Y4715" t="s">
        <v>215</v>
      </c>
      <c r="Z4715">
        <v>22557</v>
      </c>
      <c r="AA4715" t="s">
        <v>7365</v>
      </c>
      <c r="AB4715">
        <v>40001</v>
      </c>
      <c r="AC4715"/>
      <c r="AD4715"/>
      <c r="AE4715" t="s">
        <v>7524</v>
      </c>
      <c r="AF4715" t="s">
        <v>7524</v>
      </c>
      <c r="AG4715" t="s">
        <v>1231</v>
      </c>
    </row>
    <row r="4716" spans="2:33">
      <c r="B4716" s="14">
        <f>10000000+INDEX(编号表!$B:$B,MATCH(H4716,编号表!$A:$A,0))*100000+INDEX(编号表!$F:$F,MATCH(D4716,编号表!$E:$E,0))*10000+INDEX(编号表!$D:$D,MATCH(AG4716,编号表!$C:$C,0))*1000+F4716</f>
        <v>11838103</v>
      </c>
      <c r="C4716" t="s">
        <v>7370</v>
      </c>
      <c r="D4716" t="s">
        <v>276</v>
      </c>
      <c r="E4716" t="s">
        <v>1231</v>
      </c>
      <c r="F4716">
        <v>103</v>
      </c>
      <c r="G4716">
        <v>60</v>
      </c>
      <c r="H4716" t="s">
        <v>7524</v>
      </c>
      <c r="I4716" t="s">
        <v>75</v>
      </c>
      <c r="J4716" t="s">
        <v>201</v>
      </c>
      <c r="K4716">
        <v>1</v>
      </c>
      <c r="L4716" t="s">
        <v>7524</v>
      </c>
      <c r="M4716"/>
      <c r="N4716">
        <v>0</v>
      </c>
      <c r="O4716" t="b">
        <v>1</v>
      </c>
      <c r="P4716"/>
      <c r="Q4716" t="b">
        <v>0</v>
      </c>
      <c r="R4716">
        <v>1</v>
      </c>
      <c r="S4716" t="s">
        <v>77</v>
      </c>
      <c r="T4716">
        <v>999</v>
      </c>
      <c r="U4716" t="s">
        <v>7525</v>
      </c>
      <c r="V4716">
        <f t="shared" si="13"/>
        <v>31838103</v>
      </c>
      <c r="W4716"/>
      <c r="X4716" t="s">
        <v>7371</v>
      </c>
      <c r="Y4716" t="s">
        <v>215</v>
      </c>
      <c r="Z4716">
        <v>22560</v>
      </c>
      <c r="AA4716" t="s">
        <v>7372</v>
      </c>
      <c r="AB4716">
        <v>40001</v>
      </c>
      <c r="AC4716"/>
      <c r="AD4716"/>
      <c r="AE4716" t="s">
        <v>7524</v>
      </c>
      <c r="AF4716" t="s">
        <v>7524</v>
      </c>
      <c r="AG4716" t="s">
        <v>1231</v>
      </c>
    </row>
    <row r="4717" spans="2:33">
      <c r="B4717" s="14">
        <f>10000000+INDEX(编号表!$B:$B,MATCH(H4717,编号表!$A:$A,0))*100000+INDEX(编号表!$F:$F,MATCH(D4717,编号表!$E:$E,0))*10000+INDEX(编号表!$D:$D,MATCH(AG4717,编号表!$C:$C,0))*1000+F4717</f>
        <v>11838104</v>
      </c>
      <c r="C4717" t="s">
        <v>7377</v>
      </c>
      <c r="D4717" t="s">
        <v>276</v>
      </c>
      <c r="E4717" t="s">
        <v>1231</v>
      </c>
      <c r="F4717">
        <v>104</v>
      </c>
      <c r="G4717">
        <v>60</v>
      </c>
      <c r="H4717" t="s">
        <v>7524</v>
      </c>
      <c r="I4717" t="s">
        <v>75</v>
      </c>
      <c r="J4717" t="s">
        <v>201</v>
      </c>
      <c r="K4717">
        <v>1</v>
      </c>
      <c r="L4717" t="s">
        <v>7524</v>
      </c>
      <c r="M4717"/>
      <c r="N4717">
        <v>0</v>
      </c>
      <c r="O4717" t="b">
        <v>1</v>
      </c>
      <c r="P4717"/>
      <c r="Q4717" t="b">
        <v>0</v>
      </c>
      <c r="R4717">
        <v>1</v>
      </c>
      <c r="S4717" t="s">
        <v>77</v>
      </c>
      <c r="T4717">
        <v>999</v>
      </c>
      <c r="U4717" t="s">
        <v>7525</v>
      </c>
      <c r="V4717">
        <f t="shared" si="13"/>
        <v>31838104</v>
      </c>
      <c r="W4717"/>
      <c r="X4717" t="s">
        <v>7378</v>
      </c>
      <c r="Y4717" t="s">
        <v>215</v>
      </c>
      <c r="Z4717">
        <v>22563</v>
      </c>
      <c r="AA4717" t="s">
        <v>7379</v>
      </c>
      <c r="AB4717">
        <v>40001</v>
      </c>
      <c r="AC4717"/>
      <c r="AD4717"/>
      <c r="AE4717" t="s">
        <v>7524</v>
      </c>
      <c r="AF4717" t="s">
        <v>7524</v>
      </c>
      <c r="AG4717" t="s">
        <v>1231</v>
      </c>
    </row>
    <row r="4718" spans="2:33">
      <c r="B4718" s="14">
        <f>10000000+INDEX(编号表!$B:$B,MATCH(H4718,编号表!$A:$A,0))*100000+INDEX(编号表!$F:$F,MATCH(D4718,编号表!$E:$E,0))*10000+INDEX(编号表!$D:$D,MATCH(AG4718,编号表!$C:$C,0))*1000+F4718</f>
        <v>11838105</v>
      </c>
      <c r="C4718" t="s">
        <v>7384</v>
      </c>
      <c r="D4718" t="s">
        <v>276</v>
      </c>
      <c r="E4718" t="s">
        <v>1231</v>
      </c>
      <c r="F4718">
        <v>105</v>
      </c>
      <c r="G4718">
        <v>60</v>
      </c>
      <c r="H4718" t="s">
        <v>7524</v>
      </c>
      <c r="I4718" t="s">
        <v>75</v>
      </c>
      <c r="J4718" t="s">
        <v>201</v>
      </c>
      <c r="K4718">
        <v>1</v>
      </c>
      <c r="L4718" t="s">
        <v>7524</v>
      </c>
      <c r="M4718"/>
      <c r="N4718">
        <v>0</v>
      </c>
      <c r="O4718" t="b">
        <v>1</v>
      </c>
      <c r="P4718"/>
      <c r="Q4718" t="b">
        <v>0</v>
      </c>
      <c r="R4718">
        <v>1</v>
      </c>
      <c r="S4718" t="s">
        <v>77</v>
      </c>
      <c r="T4718">
        <v>999</v>
      </c>
      <c r="U4718" t="s">
        <v>7525</v>
      </c>
      <c r="V4718">
        <f t="shared" si="13"/>
        <v>31838105</v>
      </c>
      <c r="W4718"/>
      <c r="X4718" t="s">
        <v>7385</v>
      </c>
      <c r="Y4718" t="s">
        <v>215</v>
      </c>
      <c r="Z4718">
        <v>22566</v>
      </c>
      <c r="AA4718" t="s">
        <v>7386</v>
      </c>
      <c r="AB4718">
        <v>40001</v>
      </c>
      <c r="AC4718"/>
      <c r="AD4718"/>
      <c r="AE4718" t="s">
        <v>7524</v>
      </c>
      <c r="AF4718" t="s">
        <v>7524</v>
      </c>
      <c r="AG4718" t="s">
        <v>1231</v>
      </c>
    </row>
    <row r="4719" spans="2:33">
      <c r="B4719" s="14">
        <f>10000000+INDEX(编号表!$B:$B,MATCH(H4719,编号表!$A:$A,0))*100000+INDEX(编号表!$F:$F,MATCH(D4719,编号表!$E:$E,0))*10000+INDEX(编号表!$D:$D,MATCH(AG4719,编号表!$C:$C,0))*1000+F4719</f>
        <v>11838106</v>
      </c>
      <c r="C4719" t="s">
        <v>7391</v>
      </c>
      <c r="D4719" t="s">
        <v>276</v>
      </c>
      <c r="E4719" t="s">
        <v>1231</v>
      </c>
      <c r="F4719">
        <v>106</v>
      </c>
      <c r="G4719">
        <v>60</v>
      </c>
      <c r="H4719" t="s">
        <v>7524</v>
      </c>
      <c r="I4719" t="s">
        <v>75</v>
      </c>
      <c r="J4719" t="s">
        <v>201</v>
      </c>
      <c r="K4719">
        <v>1</v>
      </c>
      <c r="L4719" t="s">
        <v>7524</v>
      </c>
      <c r="M4719"/>
      <c r="N4719">
        <v>0</v>
      </c>
      <c r="O4719" t="b">
        <v>1</v>
      </c>
      <c r="P4719"/>
      <c r="Q4719" t="b">
        <v>0</v>
      </c>
      <c r="R4719">
        <v>1</v>
      </c>
      <c r="S4719" t="s">
        <v>77</v>
      </c>
      <c r="T4719">
        <v>999</v>
      </c>
      <c r="U4719" t="s">
        <v>7525</v>
      </c>
      <c r="V4719">
        <f t="shared" si="13"/>
        <v>31838106</v>
      </c>
      <c r="W4719"/>
      <c r="X4719" t="s">
        <v>7392</v>
      </c>
      <c r="Y4719" t="s">
        <v>215</v>
      </c>
      <c r="Z4719">
        <v>22569</v>
      </c>
      <c r="AA4719" t="s">
        <v>7393</v>
      </c>
      <c r="AB4719">
        <v>40001</v>
      </c>
      <c r="AC4719"/>
      <c r="AD4719"/>
      <c r="AE4719" t="s">
        <v>7524</v>
      </c>
      <c r="AF4719" t="s">
        <v>7524</v>
      </c>
      <c r="AG4719" t="s">
        <v>1231</v>
      </c>
    </row>
    <row r="4720" spans="2:33">
      <c r="B4720" s="14">
        <f>10000000+INDEX(编号表!$B:$B,MATCH(H4720,编号表!$A:$A,0))*100000+INDEX(编号表!$F:$F,MATCH(D4720,编号表!$E:$E,0))*10000+INDEX(编号表!$D:$D,MATCH(AG4720,编号表!$C:$C,0))*1000+F4720</f>
        <v>11838107</v>
      </c>
      <c r="C4720" t="s">
        <v>7398</v>
      </c>
      <c r="D4720" t="s">
        <v>276</v>
      </c>
      <c r="E4720" t="s">
        <v>1231</v>
      </c>
      <c r="F4720">
        <v>107</v>
      </c>
      <c r="G4720">
        <v>60</v>
      </c>
      <c r="H4720" t="s">
        <v>7524</v>
      </c>
      <c r="I4720" t="s">
        <v>75</v>
      </c>
      <c r="J4720" t="s">
        <v>201</v>
      </c>
      <c r="K4720">
        <v>1</v>
      </c>
      <c r="L4720" t="s">
        <v>7524</v>
      </c>
      <c r="M4720"/>
      <c r="N4720">
        <v>0</v>
      </c>
      <c r="O4720" t="b">
        <v>1</v>
      </c>
      <c r="P4720"/>
      <c r="Q4720" t="b">
        <v>0</v>
      </c>
      <c r="R4720">
        <v>1</v>
      </c>
      <c r="S4720" t="s">
        <v>77</v>
      </c>
      <c r="T4720">
        <v>999</v>
      </c>
      <c r="U4720" t="s">
        <v>7525</v>
      </c>
      <c r="V4720">
        <f t="shared" si="13"/>
        <v>31838107</v>
      </c>
      <c r="W4720"/>
      <c r="X4720" t="s">
        <v>7399</v>
      </c>
      <c r="Y4720" t="s">
        <v>215</v>
      </c>
      <c r="Z4720">
        <v>22572</v>
      </c>
      <c r="AA4720" t="s">
        <v>7400</v>
      </c>
      <c r="AB4720">
        <v>40001</v>
      </c>
      <c r="AC4720"/>
      <c r="AD4720"/>
      <c r="AE4720" t="s">
        <v>7524</v>
      </c>
      <c r="AF4720" t="s">
        <v>7524</v>
      </c>
      <c r="AG4720" t="s">
        <v>1231</v>
      </c>
    </row>
    <row r="4721" spans="2:33">
      <c r="B4721" s="14">
        <f>10000000+INDEX(编号表!$B:$B,MATCH(H4721,编号表!$A:$A,0))*100000+INDEX(编号表!$F:$F,MATCH(D4721,编号表!$E:$E,0))*10000+INDEX(编号表!$D:$D,MATCH(AG4721,编号表!$C:$C,0))*1000+F4721</f>
        <v>11838108</v>
      </c>
      <c r="C4721" t="s">
        <v>7405</v>
      </c>
      <c r="D4721" t="s">
        <v>276</v>
      </c>
      <c r="E4721" t="s">
        <v>1231</v>
      </c>
      <c r="F4721">
        <v>108</v>
      </c>
      <c r="G4721">
        <v>60</v>
      </c>
      <c r="H4721" t="s">
        <v>7524</v>
      </c>
      <c r="I4721" t="s">
        <v>75</v>
      </c>
      <c r="J4721" t="s">
        <v>201</v>
      </c>
      <c r="K4721">
        <v>1</v>
      </c>
      <c r="L4721" t="s">
        <v>7524</v>
      </c>
      <c r="M4721"/>
      <c r="N4721">
        <v>0</v>
      </c>
      <c r="O4721" t="b">
        <v>1</v>
      </c>
      <c r="P4721"/>
      <c r="Q4721" t="b">
        <v>0</v>
      </c>
      <c r="R4721">
        <v>1</v>
      </c>
      <c r="S4721" t="s">
        <v>77</v>
      </c>
      <c r="T4721">
        <v>999</v>
      </c>
      <c r="U4721" t="s">
        <v>7525</v>
      </c>
      <c r="V4721">
        <f t="shared" si="13"/>
        <v>31838108</v>
      </c>
      <c r="W4721"/>
      <c r="X4721" t="s">
        <v>7406</v>
      </c>
      <c r="Y4721" t="s">
        <v>215</v>
      </c>
      <c r="Z4721">
        <v>22575</v>
      </c>
      <c r="AA4721" t="s">
        <v>7407</v>
      </c>
      <c r="AB4721">
        <v>40001</v>
      </c>
      <c r="AC4721"/>
      <c r="AD4721"/>
      <c r="AE4721" t="s">
        <v>7524</v>
      </c>
      <c r="AF4721" t="s">
        <v>7524</v>
      </c>
      <c r="AG4721" t="s">
        <v>1231</v>
      </c>
    </row>
    <row r="4722" spans="2:33">
      <c r="B4722" s="14">
        <f>10000000+INDEX(编号表!$B:$B,MATCH(H4722,编号表!$A:$A,0))*100000+INDEX(编号表!$F:$F,MATCH(D4722,编号表!$E:$E,0))*10000+INDEX(编号表!$D:$D,MATCH(AG4722,编号表!$C:$C,0))*1000+F4722</f>
        <v>11838109</v>
      </c>
      <c r="C4722" t="s">
        <v>7412</v>
      </c>
      <c r="D4722" t="s">
        <v>276</v>
      </c>
      <c r="E4722" t="s">
        <v>1231</v>
      </c>
      <c r="F4722">
        <v>109</v>
      </c>
      <c r="G4722">
        <v>60</v>
      </c>
      <c r="H4722" t="s">
        <v>7524</v>
      </c>
      <c r="I4722" t="s">
        <v>75</v>
      </c>
      <c r="J4722" t="s">
        <v>201</v>
      </c>
      <c r="K4722">
        <v>1</v>
      </c>
      <c r="L4722" t="s">
        <v>7524</v>
      </c>
      <c r="M4722"/>
      <c r="N4722">
        <v>0</v>
      </c>
      <c r="O4722" t="b">
        <v>1</v>
      </c>
      <c r="P4722"/>
      <c r="Q4722" t="b">
        <v>0</v>
      </c>
      <c r="R4722">
        <v>1</v>
      </c>
      <c r="S4722" t="s">
        <v>77</v>
      </c>
      <c r="T4722">
        <v>999</v>
      </c>
      <c r="U4722" t="s">
        <v>7525</v>
      </c>
      <c r="V4722">
        <f t="shared" si="13"/>
        <v>31838109</v>
      </c>
      <c r="W4722"/>
      <c r="X4722" t="s">
        <v>7413</v>
      </c>
      <c r="Y4722" t="s">
        <v>215</v>
      </c>
      <c r="Z4722">
        <v>22578</v>
      </c>
      <c r="AA4722" t="s">
        <v>7414</v>
      </c>
      <c r="AB4722">
        <v>40001</v>
      </c>
      <c r="AC4722"/>
      <c r="AD4722"/>
      <c r="AE4722" t="s">
        <v>7524</v>
      </c>
      <c r="AF4722" t="s">
        <v>7524</v>
      </c>
      <c r="AG4722" t="s">
        <v>1231</v>
      </c>
    </row>
    <row r="4723" spans="2:33">
      <c r="B4723" s="14">
        <f>10000000+INDEX(编号表!$B:$B,MATCH(H4723,编号表!$A:$A,0))*100000+INDEX(编号表!$F:$F,MATCH(D4723,编号表!$E:$E,0))*10000+INDEX(编号表!$D:$D,MATCH(AG4723,编号表!$C:$C,0))*1000+F4723</f>
        <v>11838110</v>
      </c>
      <c r="C4723" t="s">
        <v>7419</v>
      </c>
      <c r="D4723" t="s">
        <v>276</v>
      </c>
      <c r="E4723" t="s">
        <v>1231</v>
      </c>
      <c r="F4723">
        <v>110</v>
      </c>
      <c r="G4723">
        <v>60</v>
      </c>
      <c r="H4723" t="s">
        <v>7524</v>
      </c>
      <c r="I4723" t="s">
        <v>75</v>
      </c>
      <c r="J4723" t="s">
        <v>201</v>
      </c>
      <c r="K4723">
        <v>1</v>
      </c>
      <c r="L4723" t="s">
        <v>7524</v>
      </c>
      <c r="M4723"/>
      <c r="N4723">
        <v>0</v>
      </c>
      <c r="O4723" t="b">
        <v>1</v>
      </c>
      <c r="P4723"/>
      <c r="Q4723" t="b">
        <v>0</v>
      </c>
      <c r="R4723">
        <v>1</v>
      </c>
      <c r="S4723" t="s">
        <v>77</v>
      </c>
      <c r="T4723">
        <v>999</v>
      </c>
      <c r="U4723" t="s">
        <v>7525</v>
      </c>
      <c r="V4723">
        <f t="shared" si="13"/>
        <v>31838110</v>
      </c>
      <c r="W4723"/>
      <c r="X4723" t="s">
        <v>7420</v>
      </c>
      <c r="Y4723" t="s">
        <v>215</v>
      </c>
      <c r="Z4723">
        <v>22581</v>
      </c>
      <c r="AA4723" t="s">
        <v>7421</v>
      </c>
      <c r="AB4723">
        <v>40001</v>
      </c>
      <c r="AC4723"/>
      <c r="AD4723"/>
      <c r="AE4723" t="s">
        <v>7524</v>
      </c>
      <c r="AF4723" t="s">
        <v>7524</v>
      </c>
      <c r="AG4723" t="s">
        <v>1231</v>
      </c>
    </row>
    <row r="4724" spans="2:33">
      <c r="B4724" s="14">
        <f>10000000+INDEX(编号表!$B:$B,MATCH(H4724,编号表!$A:$A,0))*100000+INDEX(编号表!$F:$F,MATCH(D4724,编号表!$E:$E,0))*10000+INDEX(编号表!$D:$D,MATCH(AG4724,编号表!$C:$C,0))*1000+F4724</f>
        <v>11838111</v>
      </c>
      <c r="C4724" t="s">
        <v>7426</v>
      </c>
      <c r="D4724" t="s">
        <v>276</v>
      </c>
      <c r="E4724" t="s">
        <v>1231</v>
      </c>
      <c r="F4724">
        <v>111</v>
      </c>
      <c r="G4724">
        <v>60</v>
      </c>
      <c r="H4724" t="s">
        <v>7524</v>
      </c>
      <c r="I4724" t="s">
        <v>75</v>
      </c>
      <c r="J4724" t="s">
        <v>201</v>
      </c>
      <c r="K4724">
        <v>1</v>
      </c>
      <c r="L4724" t="s">
        <v>7524</v>
      </c>
      <c r="M4724"/>
      <c r="N4724">
        <v>0</v>
      </c>
      <c r="O4724" t="b">
        <v>1</v>
      </c>
      <c r="P4724"/>
      <c r="Q4724" t="b">
        <v>0</v>
      </c>
      <c r="R4724">
        <v>1</v>
      </c>
      <c r="S4724" t="s">
        <v>77</v>
      </c>
      <c r="T4724">
        <v>999</v>
      </c>
      <c r="U4724" t="s">
        <v>7525</v>
      </c>
      <c r="V4724">
        <f t="shared" si="13"/>
        <v>31838111</v>
      </c>
      <c r="W4724"/>
      <c r="X4724" t="s">
        <v>7427</v>
      </c>
      <c r="Y4724" t="s">
        <v>215</v>
      </c>
      <c r="Z4724">
        <v>22584</v>
      </c>
      <c r="AA4724" t="s">
        <v>7428</v>
      </c>
      <c r="AB4724">
        <v>40001</v>
      </c>
      <c r="AC4724"/>
      <c r="AD4724"/>
      <c r="AE4724" t="s">
        <v>7524</v>
      </c>
      <c r="AF4724" t="s">
        <v>7524</v>
      </c>
      <c r="AG4724" t="s">
        <v>1231</v>
      </c>
    </row>
    <row r="4725" spans="2:33">
      <c r="B4725" s="14">
        <f>10000000+INDEX(编号表!$B:$B,MATCH(H4725,编号表!$A:$A,0))*100000+INDEX(编号表!$F:$F,MATCH(D4725,编号表!$E:$E,0))*10000+INDEX(编号表!$D:$D,MATCH(AG4725,编号表!$C:$C,0))*1000+F4725</f>
        <v>11838112</v>
      </c>
      <c r="C4725" t="s">
        <v>7433</v>
      </c>
      <c r="D4725" t="s">
        <v>276</v>
      </c>
      <c r="E4725" t="s">
        <v>1231</v>
      </c>
      <c r="F4725">
        <v>112</v>
      </c>
      <c r="G4725">
        <v>60</v>
      </c>
      <c r="H4725" t="s">
        <v>7524</v>
      </c>
      <c r="I4725" t="s">
        <v>75</v>
      </c>
      <c r="J4725" t="s">
        <v>201</v>
      </c>
      <c r="K4725">
        <v>1</v>
      </c>
      <c r="L4725" t="s">
        <v>7524</v>
      </c>
      <c r="M4725"/>
      <c r="N4725">
        <v>0</v>
      </c>
      <c r="O4725" t="b">
        <v>1</v>
      </c>
      <c r="P4725"/>
      <c r="Q4725" t="b">
        <v>0</v>
      </c>
      <c r="R4725">
        <v>1</v>
      </c>
      <c r="S4725" t="s">
        <v>77</v>
      </c>
      <c r="T4725">
        <v>999</v>
      </c>
      <c r="U4725" t="s">
        <v>7525</v>
      </c>
      <c r="V4725">
        <f t="shared" si="13"/>
        <v>31838112</v>
      </c>
      <c r="W4725"/>
      <c r="X4725" t="s">
        <v>7434</v>
      </c>
      <c r="Y4725" t="s">
        <v>215</v>
      </c>
      <c r="Z4725">
        <v>22587</v>
      </c>
      <c r="AA4725" t="s">
        <v>7435</v>
      </c>
      <c r="AB4725">
        <v>40001</v>
      </c>
      <c r="AC4725"/>
      <c r="AD4725"/>
      <c r="AE4725" t="s">
        <v>7524</v>
      </c>
      <c r="AF4725" t="s">
        <v>7524</v>
      </c>
      <c r="AG4725" t="s">
        <v>1231</v>
      </c>
    </row>
    <row r="4726" spans="2:33">
      <c r="B4726" s="14">
        <f>10000000+INDEX(编号表!$B:$B,MATCH(H4726,编号表!$A:$A,0))*100000+INDEX(编号表!$F:$F,MATCH(D4726,编号表!$E:$E,0))*10000+INDEX(编号表!$D:$D,MATCH(AG4726,编号表!$C:$C,0))*1000+F4726</f>
        <v>11838113</v>
      </c>
      <c r="C4726" t="s">
        <v>7440</v>
      </c>
      <c r="D4726" t="s">
        <v>276</v>
      </c>
      <c r="E4726" t="s">
        <v>1231</v>
      </c>
      <c r="F4726">
        <v>113</v>
      </c>
      <c r="G4726">
        <v>60</v>
      </c>
      <c r="H4726" t="s">
        <v>7524</v>
      </c>
      <c r="I4726" t="s">
        <v>75</v>
      </c>
      <c r="J4726" t="s">
        <v>201</v>
      </c>
      <c r="K4726">
        <v>1</v>
      </c>
      <c r="L4726" t="s">
        <v>7524</v>
      </c>
      <c r="M4726"/>
      <c r="N4726">
        <v>0</v>
      </c>
      <c r="O4726" t="b">
        <v>1</v>
      </c>
      <c r="P4726"/>
      <c r="Q4726" t="b">
        <v>0</v>
      </c>
      <c r="R4726">
        <v>1</v>
      </c>
      <c r="S4726" t="s">
        <v>77</v>
      </c>
      <c r="T4726">
        <v>999</v>
      </c>
      <c r="U4726" t="s">
        <v>7525</v>
      </c>
      <c r="V4726">
        <f t="shared" si="13"/>
        <v>31838113</v>
      </c>
      <c r="W4726"/>
      <c r="X4726" t="s">
        <v>7441</v>
      </c>
      <c r="Y4726" t="s">
        <v>215</v>
      </c>
      <c r="Z4726">
        <v>22590</v>
      </c>
      <c r="AA4726" t="s">
        <v>7442</v>
      </c>
      <c r="AB4726">
        <v>40001</v>
      </c>
      <c r="AC4726"/>
      <c r="AD4726"/>
      <c r="AE4726" t="s">
        <v>7524</v>
      </c>
      <c r="AF4726" t="s">
        <v>7524</v>
      </c>
      <c r="AG4726" t="s">
        <v>1231</v>
      </c>
    </row>
    <row r="4727" spans="2:33">
      <c r="B4727" s="14">
        <f>10000000+INDEX(编号表!$B:$B,MATCH(H4727,编号表!$A:$A,0))*100000+INDEX(编号表!$F:$F,MATCH(D4727,编号表!$E:$E,0))*10000+INDEX(编号表!$D:$D,MATCH(AG4727,编号表!$C:$C,0))*1000+F4727</f>
        <v>11838114</v>
      </c>
      <c r="C4727" t="s">
        <v>7447</v>
      </c>
      <c r="D4727" t="s">
        <v>276</v>
      </c>
      <c r="E4727" t="s">
        <v>1231</v>
      </c>
      <c r="F4727">
        <v>114</v>
      </c>
      <c r="G4727">
        <v>60</v>
      </c>
      <c r="H4727" t="s">
        <v>7524</v>
      </c>
      <c r="I4727" t="s">
        <v>75</v>
      </c>
      <c r="J4727" t="s">
        <v>201</v>
      </c>
      <c r="K4727">
        <v>1</v>
      </c>
      <c r="L4727" t="s">
        <v>7524</v>
      </c>
      <c r="M4727"/>
      <c r="N4727">
        <v>0</v>
      </c>
      <c r="O4727" t="b">
        <v>1</v>
      </c>
      <c r="P4727"/>
      <c r="Q4727" t="b">
        <v>0</v>
      </c>
      <c r="R4727">
        <v>1</v>
      </c>
      <c r="S4727" t="s">
        <v>77</v>
      </c>
      <c r="T4727">
        <v>999</v>
      </c>
      <c r="U4727" t="s">
        <v>7525</v>
      </c>
      <c r="V4727">
        <f t="shared" si="13"/>
        <v>31838114</v>
      </c>
      <c r="W4727"/>
      <c r="X4727" t="s">
        <v>7448</v>
      </c>
      <c r="Y4727" t="s">
        <v>215</v>
      </c>
      <c r="Z4727">
        <v>22593</v>
      </c>
      <c r="AA4727" t="s">
        <v>7449</v>
      </c>
      <c r="AB4727">
        <v>40001</v>
      </c>
      <c r="AC4727"/>
      <c r="AD4727"/>
      <c r="AE4727" t="s">
        <v>7524</v>
      </c>
      <c r="AF4727" t="s">
        <v>7524</v>
      </c>
      <c r="AG4727" t="s">
        <v>1231</v>
      </c>
    </row>
    <row r="4728" spans="2:33">
      <c r="B4728" s="14">
        <f>10000000+INDEX(编号表!$B:$B,MATCH(H4728,编号表!$A:$A,0))*100000+INDEX(编号表!$F:$F,MATCH(D4728,编号表!$E:$E,0))*10000+INDEX(编号表!$D:$D,MATCH(AG4728,编号表!$C:$C,0))*1000+F4728</f>
        <v>11838115</v>
      </c>
      <c r="C4728" t="s">
        <v>7454</v>
      </c>
      <c r="D4728" t="s">
        <v>276</v>
      </c>
      <c r="E4728" t="s">
        <v>1231</v>
      </c>
      <c r="F4728">
        <v>115</v>
      </c>
      <c r="G4728">
        <v>60</v>
      </c>
      <c r="H4728" t="s">
        <v>7524</v>
      </c>
      <c r="I4728" t="s">
        <v>75</v>
      </c>
      <c r="J4728" t="s">
        <v>201</v>
      </c>
      <c r="K4728">
        <v>1</v>
      </c>
      <c r="L4728" t="s">
        <v>7524</v>
      </c>
      <c r="M4728"/>
      <c r="N4728">
        <v>0</v>
      </c>
      <c r="O4728" t="b">
        <v>1</v>
      </c>
      <c r="P4728"/>
      <c r="Q4728" t="b">
        <v>0</v>
      </c>
      <c r="R4728">
        <v>1</v>
      </c>
      <c r="S4728" t="s">
        <v>77</v>
      </c>
      <c r="T4728">
        <v>999</v>
      </c>
      <c r="U4728" t="s">
        <v>7525</v>
      </c>
      <c r="V4728">
        <f t="shared" si="13"/>
        <v>31838115</v>
      </c>
      <c r="W4728"/>
      <c r="X4728" t="s">
        <v>7455</v>
      </c>
      <c r="Y4728" t="s">
        <v>215</v>
      </c>
      <c r="Z4728">
        <v>22596</v>
      </c>
      <c r="AA4728" t="s">
        <v>7456</v>
      </c>
      <c r="AB4728">
        <v>40001</v>
      </c>
      <c r="AC4728"/>
      <c r="AD4728"/>
      <c r="AE4728" t="s">
        <v>7524</v>
      </c>
      <c r="AF4728" t="s">
        <v>7524</v>
      </c>
      <c r="AG4728" t="s">
        <v>1231</v>
      </c>
    </row>
    <row r="4729" spans="2:33">
      <c r="B4729" s="14">
        <f>10000000+INDEX(编号表!$B:$B,MATCH(H4729,编号表!$A:$A,0))*100000+INDEX(编号表!$F:$F,MATCH(D4729,编号表!$E:$E,0))*10000+INDEX(编号表!$D:$D,MATCH(AG4729,编号表!$C:$C,0))*1000+F4729</f>
        <v>11838116</v>
      </c>
      <c r="C4729" t="s">
        <v>7461</v>
      </c>
      <c r="D4729" t="s">
        <v>276</v>
      </c>
      <c r="E4729" t="s">
        <v>1231</v>
      </c>
      <c r="F4729">
        <v>116</v>
      </c>
      <c r="G4729">
        <v>60</v>
      </c>
      <c r="H4729" t="s">
        <v>7524</v>
      </c>
      <c r="I4729" t="s">
        <v>75</v>
      </c>
      <c r="J4729" t="s">
        <v>201</v>
      </c>
      <c r="K4729">
        <v>1</v>
      </c>
      <c r="L4729" t="s">
        <v>7524</v>
      </c>
      <c r="M4729"/>
      <c r="N4729">
        <v>0</v>
      </c>
      <c r="O4729" t="b">
        <v>1</v>
      </c>
      <c r="P4729"/>
      <c r="Q4729" t="b">
        <v>0</v>
      </c>
      <c r="R4729">
        <v>1</v>
      </c>
      <c r="S4729" t="s">
        <v>77</v>
      </c>
      <c r="T4729">
        <v>999</v>
      </c>
      <c r="U4729" t="s">
        <v>7525</v>
      </c>
      <c r="V4729">
        <f t="shared" si="13"/>
        <v>31838116</v>
      </c>
      <c r="W4729"/>
      <c r="X4729" t="s">
        <v>7462</v>
      </c>
      <c r="Y4729" t="s">
        <v>215</v>
      </c>
      <c r="Z4729">
        <v>22599</v>
      </c>
      <c r="AA4729" t="s">
        <v>7463</v>
      </c>
      <c r="AB4729">
        <v>40001</v>
      </c>
      <c r="AC4729"/>
      <c r="AD4729"/>
      <c r="AE4729" t="s">
        <v>7524</v>
      </c>
      <c r="AF4729" t="s">
        <v>7524</v>
      </c>
      <c r="AG4729" t="s">
        <v>1231</v>
      </c>
    </row>
    <row r="4730" spans="2:33">
      <c r="B4730" s="14">
        <f>10000000+INDEX(编号表!$B:$B,MATCH(H4730,编号表!$A:$A,0))*100000+INDEX(编号表!$F:$F,MATCH(D4730,编号表!$E:$E,0))*10000+INDEX(编号表!$D:$D,MATCH(AG4730,编号表!$C:$C,0))*1000+F4730</f>
        <v>11838117</v>
      </c>
      <c r="C4730" t="s">
        <v>7468</v>
      </c>
      <c r="D4730" t="s">
        <v>276</v>
      </c>
      <c r="E4730" t="s">
        <v>1231</v>
      </c>
      <c r="F4730">
        <v>117</v>
      </c>
      <c r="G4730">
        <v>60</v>
      </c>
      <c r="H4730" t="s">
        <v>7524</v>
      </c>
      <c r="I4730" t="s">
        <v>75</v>
      </c>
      <c r="J4730" t="s">
        <v>201</v>
      </c>
      <c r="K4730">
        <v>1</v>
      </c>
      <c r="L4730" t="s">
        <v>7524</v>
      </c>
      <c r="M4730"/>
      <c r="N4730">
        <v>0</v>
      </c>
      <c r="O4730" t="b">
        <v>1</v>
      </c>
      <c r="P4730"/>
      <c r="Q4730" t="b">
        <v>0</v>
      </c>
      <c r="R4730">
        <v>1</v>
      </c>
      <c r="S4730" t="s">
        <v>77</v>
      </c>
      <c r="T4730">
        <v>999</v>
      </c>
      <c r="U4730" t="s">
        <v>7525</v>
      </c>
      <c r="V4730">
        <f t="shared" si="13"/>
        <v>31838117</v>
      </c>
      <c r="W4730"/>
      <c r="X4730" t="s">
        <v>7469</v>
      </c>
      <c r="Y4730" t="s">
        <v>215</v>
      </c>
      <c r="Z4730">
        <v>22602</v>
      </c>
      <c r="AA4730" t="s">
        <v>7470</v>
      </c>
      <c r="AB4730">
        <v>40001</v>
      </c>
      <c r="AC4730"/>
      <c r="AD4730"/>
      <c r="AE4730" t="s">
        <v>7524</v>
      </c>
      <c r="AF4730" t="s">
        <v>7524</v>
      </c>
      <c r="AG4730" t="s">
        <v>1231</v>
      </c>
    </row>
    <row r="4731" spans="2:33">
      <c r="B4731" s="14">
        <f>10000000+INDEX(编号表!$B:$B,MATCH(H4731,编号表!$A:$A,0))*100000+INDEX(编号表!$F:$F,MATCH(D4731,编号表!$E:$E,0))*10000+INDEX(编号表!$D:$D,MATCH(AG4731,编号表!$C:$C,0))*1000+F4731</f>
        <v>11838118</v>
      </c>
      <c r="C4731" t="s">
        <v>7475</v>
      </c>
      <c r="D4731" t="s">
        <v>276</v>
      </c>
      <c r="E4731" t="s">
        <v>1231</v>
      </c>
      <c r="F4731">
        <v>118</v>
      </c>
      <c r="G4731">
        <v>60</v>
      </c>
      <c r="H4731" t="s">
        <v>7524</v>
      </c>
      <c r="I4731" t="s">
        <v>75</v>
      </c>
      <c r="J4731" t="s">
        <v>201</v>
      </c>
      <c r="K4731">
        <v>1</v>
      </c>
      <c r="L4731" t="s">
        <v>7524</v>
      </c>
      <c r="M4731"/>
      <c r="N4731">
        <v>0</v>
      </c>
      <c r="O4731" t="b">
        <v>1</v>
      </c>
      <c r="P4731"/>
      <c r="Q4731" t="b">
        <v>0</v>
      </c>
      <c r="R4731">
        <v>1</v>
      </c>
      <c r="S4731" t="s">
        <v>77</v>
      </c>
      <c r="T4731">
        <v>999</v>
      </c>
      <c r="U4731" t="s">
        <v>7525</v>
      </c>
      <c r="V4731">
        <f t="shared" si="13"/>
        <v>31838118</v>
      </c>
      <c r="W4731"/>
      <c r="X4731" t="s">
        <v>7476</v>
      </c>
      <c r="Y4731" t="s">
        <v>215</v>
      </c>
      <c r="Z4731">
        <v>22605</v>
      </c>
      <c r="AA4731" t="s">
        <v>7477</v>
      </c>
      <c r="AB4731">
        <v>40001</v>
      </c>
      <c r="AC4731"/>
      <c r="AD4731"/>
      <c r="AE4731" t="s">
        <v>7524</v>
      </c>
      <c r="AF4731" t="s">
        <v>7524</v>
      </c>
      <c r="AG4731" t="s">
        <v>1231</v>
      </c>
    </row>
    <row r="4732" spans="2:33">
      <c r="B4732" s="14">
        <f>10000000+INDEX(编号表!$B:$B,MATCH(H4732,编号表!$A:$A,0))*100000+INDEX(编号表!$F:$F,MATCH(D4732,编号表!$E:$E,0))*10000+INDEX(编号表!$D:$D,MATCH(AG4732,编号表!$C:$C,0))*1000+F4732</f>
        <v>11838119</v>
      </c>
      <c r="C4732" t="s">
        <v>7482</v>
      </c>
      <c r="D4732" t="s">
        <v>276</v>
      </c>
      <c r="E4732" t="s">
        <v>1231</v>
      </c>
      <c r="F4732">
        <v>119</v>
      </c>
      <c r="G4732">
        <v>60</v>
      </c>
      <c r="H4732" t="s">
        <v>7524</v>
      </c>
      <c r="I4732" t="s">
        <v>75</v>
      </c>
      <c r="J4732" t="s">
        <v>201</v>
      </c>
      <c r="K4732">
        <v>1</v>
      </c>
      <c r="L4732" t="s">
        <v>7524</v>
      </c>
      <c r="M4732"/>
      <c r="N4732">
        <v>0</v>
      </c>
      <c r="O4732" t="b">
        <v>1</v>
      </c>
      <c r="P4732"/>
      <c r="Q4732" t="b">
        <v>0</v>
      </c>
      <c r="R4732">
        <v>1</v>
      </c>
      <c r="S4732" t="s">
        <v>77</v>
      </c>
      <c r="T4732">
        <v>999</v>
      </c>
      <c r="U4732" t="s">
        <v>7525</v>
      </c>
      <c r="V4732">
        <f t="shared" si="13"/>
        <v>31838119</v>
      </c>
      <c r="W4732"/>
      <c r="X4732" t="s">
        <v>7483</v>
      </c>
      <c r="Y4732" t="s">
        <v>215</v>
      </c>
      <c r="Z4732">
        <v>22608</v>
      </c>
      <c r="AA4732" t="s">
        <v>7484</v>
      </c>
      <c r="AB4732">
        <v>40001</v>
      </c>
      <c r="AC4732"/>
      <c r="AD4732"/>
      <c r="AE4732" t="s">
        <v>7524</v>
      </c>
      <c r="AF4732" t="s">
        <v>7524</v>
      </c>
      <c r="AG4732" t="s">
        <v>1231</v>
      </c>
    </row>
    <row r="4733" spans="2:33">
      <c r="B4733" s="14">
        <f>10000000+INDEX(编号表!$B:$B,MATCH(H4733,编号表!$A:$A,0))*100000+INDEX(编号表!$F:$F,MATCH(D4733,编号表!$E:$E,0))*10000+INDEX(编号表!$D:$D,MATCH(AG4733,编号表!$C:$C,0))*1000+F4733</f>
        <v>11838120</v>
      </c>
      <c r="C4733" t="s">
        <v>7489</v>
      </c>
      <c r="D4733" t="s">
        <v>276</v>
      </c>
      <c r="E4733" t="s">
        <v>1231</v>
      </c>
      <c r="F4733">
        <v>120</v>
      </c>
      <c r="G4733">
        <v>60</v>
      </c>
      <c r="H4733" t="s">
        <v>7524</v>
      </c>
      <c r="I4733" t="s">
        <v>75</v>
      </c>
      <c r="J4733" t="s">
        <v>201</v>
      </c>
      <c r="K4733">
        <v>1</v>
      </c>
      <c r="L4733" t="s">
        <v>7524</v>
      </c>
      <c r="M4733"/>
      <c r="N4733">
        <v>0</v>
      </c>
      <c r="O4733" t="b">
        <v>1</v>
      </c>
      <c r="P4733"/>
      <c r="Q4733" t="b">
        <v>0</v>
      </c>
      <c r="R4733">
        <v>1</v>
      </c>
      <c r="S4733" t="s">
        <v>77</v>
      </c>
      <c r="T4733">
        <v>999</v>
      </c>
      <c r="U4733" t="s">
        <v>7525</v>
      </c>
      <c r="V4733">
        <f t="shared" si="13"/>
        <v>31838120</v>
      </c>
      <c r="W4733"/>
      <c r="X4733" t="s">
        <v>7490</v>
      </c>
      <c r="Y4733" t="s">
        <v>215</v>
      </c>
      <c r="Z4733">
        <v>22611</v>
      </c>
      <c r="AA4733" t="s">
        <v>7491</v>
      </c>
      <c r="AB4733">
        <v>40001</v>
      </c>
      <c r="AC4733"/>
      <c r="AD4733"/>
      <c r="AE4733" t="s">
        <v>7524</v>
      </c>
      <c r="AF4733" t="s">
        <v>7524</v>
      </c>
      <c r="AG4733" t="s">
        <v>1231</v>
      </c>
    </row>
    <row r="4734" spans="2:33">
      <c r="B4734" s="14">
        <f>10000000+INDEX(编号表!$B:$B,MATCH(H4734,编号表!$A:$A,0))*100000+INDEX(编号表!$F:$F,MATCH(D4734,编号表!$E:$E,0))*10000+INDEX(编号表!$D:$D,MATCH(AG4734,编号表!$C:$C,0))*1000+F4734</f>
        <v>11838121</v>
      </c>
      <c r="C4734" t="s">
        <v>7496</v>
      </c>
      <c r="D4734" t="s">
        <v>276</v>
      </c>
      <c r="E4734" t="s">
        <v>1231</v>
      </c>
      <c r="F4734">
        <v>121</v>
      </c>
      <c r="G4734">
        <v>60</v>
      </c>
      <c r="H4734" t="s">
        <v>7524</v>
      </c>
      <c r="I4734" t="s">
        <v>75</v>
      </c>
      <c r="J4734" t="s">
        <v>201</v>
      </c>
      <c r="K4734">
        <v>1</v>
      </c>
      <c r="L4734" t="s">
        <v>7524</v>
      </c>
      <c r="M4734"/>
      <c r="N4734">
        <v>0</v>
      </c>
      <c r="O4734" t="b">
        <v>1</v>
      </c>
      <c r="P4734"/>
      <c r="Q4734" t="b">
        <v>0</v>
      </c>
      <c r="R4734">
        <v>1</v>
      </c>
      <c r="S4734" t="s">
        <v>77</v>
      </c>
      <c r="T4734">
        <v>999</v>
      </c>
      <c r="U4734" t="s">
        <v>7525</v>
      </c>
      <c r="V4734">
        <f t="shared" si="13"/>
        <v>31838121</v>
      </c>
      <c r="W4734"/>
      <c r="X4734" t="s">
        <v>7497</v>
      </c>
      <c r="Y4734" t="s">
        <v>215</v>
      </c>
      <c r="Z4734">
        <v>22614</v>
      </c>
      <c r="AA4734" t="s">
        <v>7498</v>
      </c>
      <c r="AB4734">
        <v>40001</v>
      </c>
      <c r="AC4734"/>
      <c r="AD4734"/>
      <c r="AE4734" t="s">
        <v>7524</v>
      </c>
      <c r="AF4734" t="s">
        <v>7524</v>
      </c>
      <c r="AG4734" t="s">
        <v>1231</v>
      </c>
    </row>
    <row r="4735" spans="2:33">
      <c r="B4735" s="14">
        <f>10000000+INDEX(编号表!$B:$B,MATCH(H4735,编号表!$A:$A,0))*100000+INDEX(编号表!$F:$F,MATCH(D4735,编号表!$E:$E,0))*10000+INDEX(编号表!$D:$D,MATCH(AG4735,编号表!$C:$C,0))*1000+F4735</f>
        <v>11838122</v>
      </c>
      <c r="C4735" t="s">
        <v>7503</v>
      </c>
      <c r="D4735" t="s">
        <v>276</v>
      </c>
      <c r="E4735" t="s">
        <v>1231</v>
      </c>
      <c r="F4735">
        <v>122</v>
      </c>
      <c r="G4735">
        <v>60</v>
      </c>
      <c r="H4735" t="s">
        <v>7524</v>
      </c>
      <c r="I4735" t="s">
        <v>75</v>
      </c>
      <c r="J4735" t="s">
        <v>201</v>
      </c>
      <c r="K4735">
        <v>1</v>
      </c>
      <c r="L4735" t="s">
        <v>7524</v>
      </c>
      <c r="M4735"/>
      <c r="N4735">
        <v>0</v>
      </c>
      <c r="O4735" t="b">
        <v>1</v>
      </c>
      <c r="P4735"/>
      <c r="Q4735" t="b">
        <v>0</v>
      </c>
      <c r="R4735">
        <v>1</v>
      </c>
      <c r="S4735" t="s">
        <v>77</v>
      </c>
      <c r="T4735">
        <v>999</v>
      </c>
      <c r="U4735" t="s">
        <v>7525</v>
      </c>
      <c r="V4735">
        <f t="shared" si="13"/>
        <v>31838122</v>
      </c>
      <c r="W4735"/>
      <c r="X4735" t="s">
        <v>7504</v>
      </c>
      <c r="Y4735" t="s">
        <v>215</v>
      </c>
      <c r="Z4735">
        <v>22617</v>
      </c>
      <c r="AA4735" t="s">
        <v>7505</v>
      </c>
      <c r="AB4735">
        <v>40001</v>
      </c>
      <c r="AC4735"/>
      <c r="AD4735"/>
      <c r="AE4735" t="s">
        <v>7524</v>
      </c>
      <c r="AF4735" t="s">
        <v>7524</v>
      </c>
      <c r="AG4735" t="s">
        <v>1231</v>
      </c>
    </row>
    <row r="4736" spans="2:33">
      <c r="B4736" s="14">
        <f>10000000+INDEX(编号表!$B:$B,MATCH(H4736,编号表!$A:$A,0))*100000+INDEX(编号表!$F:$F,MATCH(D4736,编号表!$E:$E,0))*10000+INDEX(编号表!$D:$D,MATCH(AG4736,编号表!$C:$C,0))*1000+F4736</f>
        <v>11838123</v>
      </c>
      <c r="C4736" t="s">
        <v>7510</v>
      </c>
      <c r="D4736" t="s">
        <v>276</v>
      </c>
      <c r="E4736" t="s">
        <v>1231</v>
      </c>
      <c r="F4736">
        <v>123</v>
      </c>
      <c r="G4736">
        <v>60</v>
      </c>
      <c r="H4736" t="s">
        <v>7524</v>
      </c>
      <c r="I4736" t="s">
        <v>75</v>
      </c>
      <c r="J4736" t="s">
        <v>201</v>
      </c>
      <c r="K4736">
        <v>1</v>
      </c>
      <c r="L4736" t="s">
        <v>7524</v>
      </c>
      <c r="M4736"/>
      <c r="N4736">
        <v>0</v>
      </c>
      <c r="O4736" t="b">
        <v>1</v>
      </c>
      <c r="P4736"/>
      <c r="Q4736" t="b">
        <v>0</v>
      </c>
      <c r="R4736">
        <v>1</v>
      </c>
      <c r="S4736" t="s">
        <v>77</v>
      </c>
      <c r="T4736">
        <v>999</v>
      </c>
      <c r="U4736" t="s">
        <v>7525</v>
      </c>
      <c r="V4736">
        <f t="shared" si="13"/>
        <v>31838123</v>
      </c>
      <c r="W4736"/>
      <c r="X4736" t="s">
        <v>7511</v>
      </c>
      <c r="Y4736" t="s">
        <v>215</v>
      </c>
      <c r="Z4736">
        <v>22620</v>
      </c>
      <c r="AA4736" t="s">
        <v>7512</v>
      </c>
      <c r="AB4736">
        <v>40001</v>
      </c>
      <c r="AC4736"/>
      <c r="AD4736"/>
      <c r="AE4736" t="s">
        <v>7524</v>
      </c>
      <c r="AF4736" t="s">
        <v>7524</v>
      </c>
      <c r="AG4736" t="s">
        <v>1231</v>
      </c>
    </row>
    <row r="4737" spans="2:33">
      <c r="B4737" s="14">
        <f>10000000+INDEX(编号表!$B:$B,MATCH(H4737,编号表!$A:$A,0))*100000+INDEX(编号表!$F:$F,MATCH(D4737,编号表!$E:$E,0))*10000+INDEX(编号表!$D:$D,MATCH(AG4737,编号表!$C:$C,0))*1000+F4737</f>
        <v>11838124</v>
      </c>
      <c r="C4737" t="s">
        <v>7517</v>
      </c>
      <c r="D4737" t="s">
        <v>276</v>
      </c>
      <c r="E4737" t="s">
        <v>1231</v>
      </c>
      <c r="F4737">
        <v>124</v>
      </c>
      <c r="G4737">
        <v>60</v>
      </c>
      <c r="H4737" t="s">
        <v>7524</v>
      </c>
      <c r="I4737" t="s">
        <v>75</v>
      </c>
      <c r="J4737" t="s">
        <v>201</v>
      </c>
      <c r="K4737">
        <v>1</v>
      </c>
      <c r="L4737" t="s">
        <v>7524</v>
      </c>
      <c r="M4737"/>
      <c r="N4737">
        <v>0</v>
      </c>
      <c r="O4737" t="b">
        <v>1</v>
      </c>
      <c r="P4737"/>
      <c r="Q4737" t="b">
        <v>0</v>
      </c>
      <c r="R4737">
        <v>1</v>
      </c>
      <c r="S4737" t="s">
        <v>77</v>
      </c>
      <c r="T4737">
        <v>999</v>
      </c>
      <c r="U4737" t="s">
        <v>7525</v>
      </c>
      <c r="V4737">
        <f t="shared" si="13"/>
        <v>31838124</v>
      </c>
      <c r="W4737"/>
      <c r="X4737" t="s">
        <v>7518</v>
      </c>
      <c r="Y4737" t="s">
        <v>215</v>
      </c>
      <c r="Z4737">
        <v>22623</v>
      </c>
      <c r="AA4737" t="s">
        <v>7519</v>
      </c>
      <c r="AB4737">
        <v>40001</v>
      </c>
      <c r="AC4737"/>
      <c r="AD4737"/>
      <c r="AE4737" t="s">
        <v>7524</v>
      </c>
      <c r="AF4737" t="s">
        <v>7524</v>
      </c>
      <c r="AG4737" t="s">
        <v>1231</v>
      </c>
    </row>
  </sheetData>
  <mergeCells count="2">
    <mergeCell ref="AE1:AH1"/>
    <mergeCell ref="AE2:AH2"/>
  </mergeCells>
  <conditionalFormatting sqref="A21">
    <cfRule type="duplicateValues" dxfId="0" priority="38"/>
  </conditionalFormatting>
  <conditionalFormatting sqref="A23">
    <cfRule type="duplicateValues" dxfId="0" priority="34"/>
  </conditionalFormatting>
  <conditionalFormatting sqref="A24">
    <cfRule type="duplicateValues" dxfId="0" priority="33"/>
  </conditionalFormatting>
  <conditionalFormatting sqref="A25">
    <cfRule type="duplicateValues" dxfId="0" priority="32"/>
  </conditionalFormatting>
  <conditionalFormatting sqref="A26">
    <cfRule type="duplicateValues" dxfId="0" priority="31"/>
  </conditionalFormatting>
  <conditionalFormatting sqref="A27">
    <cfRule type="duplicateValues" dxfId="0" priority="30"/>
  </conditionalFormatting>
  <conditionalFormatting sqref="A28">
    <cfRule type="duplicateValues" dxfId="0" priority="29"/>
  </conditionalFormatting>
  <conditionalFormatting sqref="A29">
    <cfRule type="duplicateValues" dxfId="0" priority="28"/>
  </conditionalFormatting>
  <conditionalFormatting sqref="A30">
    <cfRule type="duplicateValues" dxfId="0" priority="27"/>
  </conditionalFormatting>
  <conditionalFormatting sqref="A31">
    <cfRule type="duplicateValues" dxfId="0" priority="26"/>
  </conditionalFormatting>
  <conditionalFormatting sqref="A32">
    <cfRule type="duplicateValues" dxfId="0" priority="25"/>
  </conditionalFormatting>
  <conditionalFormatting sqref="A33">
    <cfRule type="duplicateValues" dxfId="0" priority="24"/>
  </conditionalFormatting>
  <conditionalFormatting sqref="A34">
    <cfRule type="duplicateValues" dxfId="0" priority="23"/>
  </conditionalFormatting>
  <conditionalFormatting sqref="A35">
    <cfRule type="duplicateValues" dxfId="0" priority="22"/>
  </conditionalFormatting>
  <conditionalFormatting sqref="A36">
    <cfRule type="duplicateValues" dxfId="0" priority="21"/>
  </conditionalFormatting>
  <conditionalFormatting sqref="A37">
    <cfRule type="duplicateValues" dxfId="0" priority="20"/>
  </conditionalFormatting>
  <conditionalFormatting sqref="A38">
    <cfRule type="duplicateValues" dxfId="0" priority="19"/>
  </conditionalFormatting>
  <conditionalFormatting sqref="A39">
    <cfRule type="duplicateValues" dxfId="0" priority="18"/>
  </conditionalFormatting>
  <conditionalFormatting sqref="A40">
    <cfRule type="duplicateValues" dxfId="0" priority="17"/>
  </conditionalFormatting>
  <conditionalFormatting sqref="A41">
    <cfRule type="duplicateValues" dxfId="0" priority="16"/>
  </conditionalFormatting>
  <conditionalFormatting sqref="A42">
    <cfRule type="duplicateValues" dxfId="0" priority="15"/>
  </conditionalFormatting>
  <conditionalFormatting sqref="A43">
    <cfRule type="duplicateValues" dxfId="0" priority="14"/>
  </conditionalFormatting>
  <conditionalFormatting sqref="A44">
    <cfRule type="duplicateValues" dxfId="0" priority="13"/>
  </conditionalFormatting>
  <conditionalFormatting sqref="A45">
    <cfRule type="duplicateValues" dxfId="0" priority="12"/>
  </conditionalFormatting>
  <conditionalFormatting sqref="A46">
    <cfRule type="duplicateValues" dxfId="0" priority="11"/>
  </conditionalFormatting>
  <conditionalFormatting sqref="A47">
    <cfRule type="duplicateValues" dxfId="0" priority="10"/>
  </conditionalFormatting>
  <conditionalFormatting sqref="A48">
    <cfRule type="duplicateValues" dxfId="0" priority="9"/>
  </conditionalFormatting>
  <conditionalFormatting sqref="A49">
    <cfRule type="duplicateValues" dxfId="0" priority="8"/>
  </conditionalFormatting>
  <conditionalFormatting sqref="A50">
    <cfRule type="duplicateValues" dxfId="0" priority="7"/>
  </conditionalFormatting>
  <conditionalFormatting sqref="A51">
    <cfRule type="duplicateValues" dxfId="0" priority="6"/>
  </conditionalFormatting>
  <conditionalFormatting sqref="A52">
    <cfRule type="duplicateValues" dxfId="0" priority="5"/>
  </conditionalFormatting>
  <conditionalFormatting sqref="A53">
    <cfRule type="duplicateValues" dxfId="0" priority="4"/>
  </conditionalFormatting>
  <conditionalFormatting sqref="A54">
    <cfRule type="duplicateValues" dxfId="0" priority="3"/>
  </conditionalFormatting>
  <conditionalFormatting sqref="A55">
    <cfRule type="duplicateValues" dxfId="0" priority="2"/>
  </conditionalFormatting>
  <conditionalFormatting sqref="A56">
    <cfRule type="duplicateValues" dxfId="0" priority="1"/>
  </conditionalFormatting>
  <conditionalFormatting sqref="A59">
    <cfRule type="duplicateValues" dxfId="0" priority="37"/>
  </conditionalFormatting>
  <conditionalFormatting sqref="A60">
    <cfRule type="duplicateValues" dxfId="0" priority="36"/>
  </conditionalFormatting>
  <conditionalFormatting sqref="A61">
    <cfRule type="duplicateValues" dxfId="0" priority="35"/>
  </conditionalFormatting>
  <conditionalFormatting sqref="A1:A20 A22 A57:A58 A62:A1048576">
    <cfRule type="duplicateValues" dxfId="0" priority="56"/>
  </conditionalFormatting>
  <dataValidations count="1">
    <dataValidation type="list" allowBlank="1" showInputMessage="1" showErrorMessage="1" sqref="M59:M3862 T4738:T1048576 M4738:N1048576">
      <formula1>#REF!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C14" sqref="C14"/>
    </sheetView>
  </sheetViews>
  <sheetFormatPr defaultColWidth="9" defaultRowHeight="14.25"/>
  <cols>
    <col min="1" max="1" width="4" style="1" customWidth="1"/>
    <col min="2" max="2" width="11" style="1" customWidth="1"/>
    <col min="3" max="3" width="20" style="1" customWidth="1"/>
    <col min="4" max="4" width="11" style="1" customWidth="1"/>
    <col min="5" max="5" width="22" style="1" customWidth="1"/>
    <col min="6" max="7" width="13" style="1" customWidth="1"/>
    <col min="8" max="8" width="12" style="1" customWidth="1"/>
    <col min="9" max="9" width="58" style="1" customWidth="1"/>
    <col min="10" max="16384" width="9" style="1"/>
  </cols>
  <sheetData>
    <row r="1" ht="33" spans="1:9">
      <c r="A1" s="18" t="s">
        <v>0</v>
      </c>
      <c r="B1" s="18" t="s">
        <v>7526</v>
      </c>
      <c r="C1" s="18"/>
      <c r="D1" s="18" t="s">
        <v>7527</v>
      </c>
      <c r="E1" s="18" t="s">
        <v>7528</v>
      </c>
      <c r="F1" s="18" t="s">
        <v>7529</v>
      </c>
      <c r="G1" s="18" t="s">
        <v>7530</v>
      </c>
      <c r="H1" s="18" t="s">
        <v>7531</v>
      </c>
      <c r="I1" s="18"/>
    </row>
    <row r="2" ht="49.5" spans="1:9">
      <c r="A2" s="18" t="s">
        <v>28</v>
      </c>
      <c r="B2" s="18" t="s">
        <v>29</v>
      </c>
      <c r="C2" s="18"/>
      <c r="D2" s="18" t="s">
        <v>29</v>
      </c>
      <c r="E2" s="18" t="s">
        <v>34</v>
      </c>
      <c r="F2" s="18" t="s">
        <v>29</v>
      </c>
      <c r="G2" s="18" t="s">
        <v>29</v>
      </c>
      <c r="H2" s="18" t="s">
        <v>29</v>
      </c>
      <c r="I2" s="18"/>
    </row>
    <row r="3" ht="66" spans="1:9">
      <c r="A3" s="18" t="s">
        <v>36</v>
      </c>
      <c r="B3" s="18"/>
      <c r="C3" s="18"/>
      <c r="D3" s="18"/>
      <c r="E3" s="18"/>
      <c r="F3" s="18"/>
      <c r="G3" s="18"/>
      <c r="H3" s="18"/>
      <c r="I3" s="18"/>
    </row>
    <row r="4" ht="16.5" spans="1:9">
      <c r="A4" s="19" t="s">
        <v>38</v>
      </c>
      <c r="B4" s="19" t="s">
        <v>7532</v>
      </c>
      <c r="C4" s="20" t="s">
        <v>7533</v>
      </c>
      <c r="D4" s="19" t="s">
        <v>7534</v>
      </c>
      <c r="E4" s="19" t="s">
        <v>7535</v>
      </c>
      <c r="F4" s="19" t="s">
        <v>7536</v>
      </c>
      <c r="G4" s="19" t="s">
        <v>7537</v>
      </c>
      <c r="H4" s="19" t="s">
        <v>7538</v>
      </c>
      <c r="I4" s="20" t="s">
        <v>7539</v>
      </c>
    </row>
    <row r="5" ht="16.5" spans="1:9">
      <c r="A5" s="21"/>
      <c r="B5" s="22">
        <v>50001</v>
      </c>
      <c r="C5" s="23" t="s">
        <v>7540</v>
      </c>
      <c r="D5" s="22">
        <v>1</v>
      </c>
      <c r="E5" s="22" t="s">
        <v>7541</v>
      </c>
      <c r="F5" s="22">
        <v>0</v>
      </c>
      <c r="G5" s="22">
        <v>0</v>
      </c>
      <c r="H5" s="22">
        <v>0</v>
      </c>
      <c r="I5" s="24" t="s">
        <v>7542</v>
      </c>
    </row>
    <row r="6" ht="16.5" spans="1:9">
      <c r="A6" s="21"/>
      <c r="B6" s="22">
        <v>50001</v>
      </c>
      <c r="C6" s="23"/>
      <c r="D6" s="22">
        <v>2</v>
      </c>
      <c r="E6" s="22" t="s">
        <v>7543</v>
      </c>
      <c r="F6" s="22">
        <v>0</v>
      </c>
      <c r="G6" s="22">
        <v>5000</v>
      </c>
      <c r="H6" s="22">
        <v>0</v>
      </c>
      <c r="I6" s="24" t="s">
        <v>7544</v>
      </c>
    </row>
    <row r="7" ht="16.5" spans="1:9">
      <c r="A7" s="21"/>
      <c r="B7" s="22">
        <v>50001</v>
      </c>
      <c r="C7" s="23"/>
      <c r="D7" s="22">
        <v>3</v>
      </c>
      <c r="E7" s="22" t="s">
        <v>117</v>
      </c>
      <c r="F7" s="22">
        <v>10010001</v>
      </c>
      <c r="G7" s="22">
        <v>0</v>
      </c>
      <c r="H7" s="22">
        <v>0</v>
      </c>
      <c r="I7" s="24" t="s">
        <v>7545</v>
      </c>
    </row>
    <row r="8" ht="16.5" spans="1:9">
      <c r="A8" s="21"/>
      <c r="B8" s="22">
        <v>50002</v>
      </c>
      <c r="C8" s="23" t="s">
        <v>7546</v>
      </c>
      <c r="D8" s="22">
        <v>1</v>
      </c>
      <c r="E8" s="22" t="s">
        <v>7547</v>
      </c>
      <c r="F8" s="22">
        <v>40010001</v>
      </c>
      <c r="G8" s="22">
        <v>3</v>
      </c>
      <c r="H8" s="22">
        <v>0</v>
      </c>
      <c r="I8" s="24" t="s">
        <v>7548</v>
      </c>
    </row>
    <row r="9" ht="16.5" spans="1:9">
      <c r="A9" s="21"/>
      <c r="B9" s="22">
        <v>50003</v>
      </c>
      <c r="C9" s="23" t="s">
        <v>7549</v>
      </c>
      <c r="D9" s="22">
        <v>1</v>
      </c>
      <c r="E9" s="22" t="s">
        <v>7541</v>
      </c>
      <c r="F9" s="22">
        <v>1</v>
      </c>
      <c r="G9" s="22">
        <v>800</v>
      </c>
      <c r="H9" s="22">
        <v>10</v>
      </c>
      <c r="I9" s="24" t="s">
        <v>7550</v>
      </c>
    </row>
    <row r="10" ht="16.5" spans="1:9">
      <c r="A10" s="21"/>
      <c r="B10" s="22">
        <v>50003</v>
      </c>
      <c r="C10" s="23"/>
      <c r="D10" s="22">
        <v>2</v>
      </c>
      <c r="E10" s="22" t="s">
        <v>7543</v>
      </c>
      <c r="F10" s="22">
        <v>0</v>
      </c>
      <c r="G10" s="22">
        <v>2000</v>
      </c>
      <c r="H10" s="22">
        <v>0</v>
      </c>
      <c r="I10" s="24" t="s">
        <v>7551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32"/>
  <sheetViews>
    <sheetView workbookViewId="0">
      <selection activeCell="A1" sqref="A1:G20"/>
    </sheetView>
  </sheetViews>
  <sheetFormatPr defaultColWidth="8.72380952380952" defaultRowHeight="14.25"/>
  <cols>
    <col min="10" max="10" width="26.7238095238095" style="13" customWidth="1"/>
    <col min="14" max="14" width="16.6285714285714" style="13" customWidth="1"/>
  </cols>
  <sheetData>
    <row r="1" spans="1:14">
      <c r="A1" t="s">
        <v>7552</v>
      </c>
      <c r="B1" t="s">
        <v>7553</v>
      </c>
      <c r="C1" t="s">
        <v>7554</v>
      </c>
      <c r="D1" t="s">
        <v>7553</v>
      </c>
      <c r="E1" t="s">
        <v>7555</v>
      </c>
      <c r="F1" t="s">
        <v>7553</v>
      </c>
      <c r="G1" t="s">
        <v>7556</v>
      </c>
      <c r="I1" t="s">
        <v>7557</v>
      </c>
      <c r="M1" t="s">
        <v>7557</v>
      </c>
    </row>
    <row r="2" spans="1:14">
      <c r="A2" t="s">
        <v>74</v>
      </c>
      <c r="B2">
        <v>1</v>
      </c>
      <c r="C2" t="s">
        <v>105</v>
      </c>
      <c r="D2">
        <v>0</v>
      </c>
      <c r="E2" t="s">
        <v>72</v>
      </c>
      <c r="F2">
        <v>1</v>
      </c>
      <c r="G2" t="s">
        <v>7558</v>
      </c>
      <c r="I2" t="s">
        <v>7559</v>
      </c>
      <c r="J2" t="s">
        <v>7560</v>
      </c>
      <c r="M2" t="s">
        <v>7559</v>
      </c>
      <c r="N2" t="s">
        <v>7560</v>
      </c>
    </row>
    <row r="3" spans="1:14">
      <c r="A3" t="s">
        <v>113</v>
      </c>
      <c r="B3">
        <v>2</v>
      </c>
      <c r="C3" t="s">
        <v>73</v>
      </c>
      <c r="D3">
        <v>1</v>
      </c>
      <c r="E3" t="s">
        <v>112</v>
      </c>
      <c r="F3">
        <v>2</v>
      </c>
      <c r="G3" t="s">
        <v>7561</v>
      </c>
      <c r="I3" t="s">
        <v>7562</v>
      </c>
      <c r="J3" s="14" t="s">
        <v>7563</v>
      </c>
      <c r="M3" t="s">
        <v>7562</v>
      </c>
      <c r="N3" s="14" t="s">
        <v>7563</v>
      </c>
    </row>
    <row r="4" spans="1:14">
      <c r="A4" t="s">
        <v>7564</v>
      </c>
      <c r="B4">
        <v>3</v>
      </c>
      <c r="C4" t="s">
        <v>86</v>
      </c>
      <c r="D4">
        <v>2</v>
      </c>
      <c r="E4" t="s">
        <v>276</v>
      </c>
      <c r="F4">
        <v>3</v>
      </c>
      <c r="G4" t="s">
        <v>7565</v>
      </c>
      <c r="I4" t="s">
        <v>7566</v>
      </c>
      <c r="M4" t="s">
        <v>7566</v>
      </c>
      <c r="N4" s="14"/>
    </row>
    <row r="5" spans="1:14">
      <c r="A5" t="s">
        <v>7567</v>
      </c>
      <c r="B5">
        <v>4</v>
      </c>
      <c r="C5" t="s">
        <v>89</v>
      </c>
      <c r="D5">
        <v>3</v>
      </c>
      <c r="E5" t="s">
        <v>104</v>
      </c>
      <c r="F5">
        <v>4</v>
      </c>
      <c r="G5" t="s">
        <v>7568</v>
      </c>
      <c r="I5" t="s">
        <v>7569</v>
      </c>
      <c r="M5" t="s">
        <v>7569</v>
      </c>
      <c r="N5" s="15" t="s">
        <v>7554</v>
      </c>
    </row>
    <row r="6" spans="1:14">
      <c r="A6" t="s">
        <v>7570</v>
      </c>
      <c r="B6">
        <v>5</v>
      </c>
      <c r="C6" t="s">
        <v>92</v>
      </c>
      <c r="D6">
        <v>4</v>
      </c>
      <c r="E6" t="s">
        <v>333</v>
      </c>
      <c r="F6">
        <v>5</v>
      </c>
      <c r="G6" t="s">
        <v>7571</v>
      </c>
      <c r="I6" t="s">
        <v>7572</v>
      </c>
      <c r="J6" s="14" t="s">
        <v>7573</v>
      </c>
      <c r="M6" t="s">
        <v>7572</v>
      </c>
      <c r="N6" s="13" t="s">
        <v>7555</v>
      </c>
    </row>
    <row r="7" spans="1:14">
      <c r="A7" t="s">
        <v>7574</v>
      </c>
      <c r="B7">
        <v>6</v>
      </c>
      <c r="C7" t="s">
        <v>95</v>
      </c>
      <c r="D7">
        <v>5</v>
      </c>
      <c r="E7" t="s">
        <v>362</v>
      </c>
      <c r="F7">
        <v>6</v>
      </c>
      <c r="G7" t="s">
        <v>7575</v>
      </c>
      <c r="I7" t="s">
        <v>7576</v>
      </c>
      <c r="M7" t="s">
        <v>7576</v>
      </c>
      <c r="N7" s="14" t="s">
        <v>7573</v>
      </c>
    </row>
    <row r="8" spans="1:14">
      <c r="A8" t="s">
        <v>207</v>
      </c>
      <c r="B8">
        <v>7</v>
      </c>
      <c r="C8" t="s">
        <v>98</v>
      </c>
      <c r="D8">
        <v>6</v>
      </c>
      <c r="F8">
        <v>7</v>
      </c>
      <c r="I8" t="s">
        <v>7577</v>
      </c>
      <c r="M8" t="s">
        <v>7577</v>
      </c>
      <c r="N8" s="14"/>
    </row>
    <row r="9" spans="1:14">
      <c r="A9" t="s">
        <v>7578</v>
      </c>
      <c r="B9">
        <v>8</v>
      </c>
      <c r="C9" t="s">
        <v>101</v>
      </c>
      <c r="D9">
        <v>7</v>
      </c>
      <c r="F9">
        <v>8</v>
      </c>
      <c r="I9" t="s">
        <v>7579</v>
      </c>
      <c r="M9" t="s">
        <v>7579</v>
      </c>
      <c r="N9" s="15"/>
    </row>
    <row r="10" spans="1:14">
      <c r="A10" t="s">
        <v>139</v>
      </c>
      <c r="B10">
        <v>9</v>
      </c>
      <c r="C10" t="s">
        <v>1231</v>
      </c>
      <c r="D10">
        <v>8</v>
      </c>
      <c r="F10">
        <v>9</v>
      </c>
    </row>
    <row r="11" spans="1:14">
      <c r="A11" t="s">
        <v>124</v>
      </c>
      <c r="B11">
        <v>10</v>
      </c>
      <c r="D11">
        <v>9</v>
      </c>
    </row>
    <row r="12" spans="1:14">
      <c r="A12" t="s">
        <v>113</v>
      </c>
      <c r="B12">
        <v>11</v>
      </c>
    </row>
    <row r="13" spans="1:14">
      <c r="A13" t="s">
        <v>212</v>
      </c>
      <c r="B13">
        <v>12</v>
      </c>
    </row>
    <row r="14" spans="1:14">
      <c r="A14" t="s">
        <v>217</v>
      </c>
      <c r="B14">
        <v>13</v>
      </c>
      <c r="I14" t="s">
        <v>7580</v>
      </c>
    </row>
    <row r="15" spans="1:14">
      <c r="A15" t="s">
        <v>239</v>
      </c>
      <c r="B15">
        <v>14</v>
      </c>
      <c r="I15" t="s">
        <v>7581</v>
      </c>
    </row>
    <row r="16" spans="1:14">
      <c r="A16" t="s">
        <v>228</v>
      </c>
      <c r="B16">
        <v>15</v>
      </c>
    </row>
    <row r="17" spans="1:8">
      <c r="A17" t="s">
        <v>244</v>
      </c>
      <c r="B17">
        <v>16</v>
      </c>
    </row>
    <row r="18" spans="1:8">
      <c r="A18" t="s">
        <v>200</v>
      </c>
      <c r="B18">
        <v>17</v>
      </c>
    </row>
    <row r="19" spans="1:8">
      <c r="A19" t="s">
        <v>7524</v>
      </c>
      <c r="B19">
        <v>18</v>
      </c>
    </row>
    <row r="20" spans="1:8">
      <c r="A20" t="s">
        <v>1400</v>
      </c>
      <c r="B20">
        <v>19</v>
      </c>
    </row>
    <row r="21" spans="1:8">
      <c r="B21">
        <v>20</v>
      </c>
    </row>
    <row r="22" ht="48.75" customHeight="1" spans="1:8">
      <c r="B22">
        <v>21</v>
      </c>
      <c r="G22" s="16" t="s">
        <v>7582</v>
      </c>
    </row>
    <row r="23" spans="1:8">
      <c r="B23">
        <v>22</v>
      </c>
    </row>
    <row r="24" spans="1:8">
      <c r="B24">
        <v>23</v>
      </c>
    </row>
    <row r="25" spans="1:8">
      <c r="B25">
        <v>24</v>
      </c>
    </row>
    <row r="26" spans="1:8">
      <c r="B26">
        <v>25</v>
      </c>
    </row>
    <row r="27" spans="1:8">
      <c r="B27">
        <v>26</v>
      </c>
      <c r="H27" s="17"/>
    </row>
    <row r="28" spans="1:8">
      <c r="B28">
        <v>27</v>
      </c>
    </row>
    <row r="29" spans="1:8">
      <c r="B29">
        <v>28</v>
      </c>
    </row>
    <row r="30" spans="1:8">
      <c r="B30">
        <v>29</v>
      </c>
    </row>
    <row r="31" spans="1:8">
      <c r="B31">
        <v>30</v>
      </c>
    </row>
    <row r="32" spans="1:8">
      <c r="B32">
        <v>31</v>
      </c>
    </row>
  </sheetData>
  <mergeCells count="4">
    <mergeCell ref="J3:J5"/>
    <mergeCell ref="J6:J9"/>
    <mergeCell ref="N3:N4"/>
    <mergeCell ref="N7:N9"/>
  </mergeCells>
  <conditionalFormatting sqref="A12">
    <cfRule type="duplicateValues" dxfId="0" priority="1"/>
  </conditionalFormatting>
  <conditionalFormatting sqref="A1:A9">
    <cfRule type="duplicateValues" dxfId="0" priority="3"/>
  </conditionalFormatting>
  <conditionalFormatting sqref="A10:A11">
    <cfRule type="duplicateValues" dxfId="0" priority="2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workbookViewId="0">
      <selection activeCell="B30" sqref="B30"/>
    </sheetView>
  </sheetViews>
  <sheetFormatPr defaultColWidth="8.72380952380952" defaultRowHeight="14.25" outlineLevelCol="4"/>
  <cols>
    <col min="2" max="2" width="95.0857142857143" style="12" customWidth="1"/>
  </cols>
  <sheetData>
    <row r="1" spans="1:2">
      <c r="A1" t="s">
        <v>7583</v>
      </c>
      <c r="B1" s="12" t="s">
        <v>7584</v>
      </c>
    </row>
    <row r="2" ht="28.5" customHeight="1" spans="1:2">
      <c r="A2">
        <v>1.12</v>
      </c>
      <c r="B2" s="12" t="s">
        <v>7585</v>
      </c>
    </row>
    <row r="3" spans="1:2">
      <c r="A3">
        <v>1.13</v>
      </c>
      <c r="B3" s="12" t="s">
        <v>7586</v>
      </c>
    </row>
    <row r="4" spans="1:2">
      <c r="A4">
        <v>1.14</v>
      </c>
      <c r="B4" s="12" t="s">
        <v>7587</v>
      </c>
    </row>
    <row r="5" spans="1:2">
      <c r="A5">
        <v>1.15</v>
      </c>
      <c r="B5" s="12" t="s">
        <v>7588</v>
      </c>
    </row>
    <row r="6" spans="1:2">
      <c r="A6">
        <v>1.16</v>
      </c>
      <c r="B6" s="12" t="s">
        <v>7589</v>
      </c>
    </row>
    <row r="7" spans="1:2">
      <c r="A7">
        <v>1.17</v>
      </c>
      <c r="B7" s="12" t="s">
        <v>7590</v>
      </c>
    </row>
    <row r="8" spans="1:2">
      <c r="A8">
        <v>1.18</v>
      </c>
      <c r="B8" s="12" t="s">
        <v>7591</v>
      </c>
    </row>
    <row r="9" spans="1:2">
      <c r="A9">
        <v>1.19</v>
      </c>
      <c r="B9" s="12" t="s">
        <v>7592</v>
      </c>
    </row>
    <row r="10" spans="1:2">
      <c r="A10">
        <v>1.2</v>
      </c>
      <c r="B10" s="12" t="s">
        <v>7593</v>
      </c>
    </row>
    <row r="11" spans="1:2">
      <c r="A11">
        <v>1.21</v>
      </c>
      <c r="B11" s="12" t="s">
        <v>7594</v>
      </c>
    </row>
    <row r="12" spans="1:2">
      <c r="A12">
        <v>1.22</v>
      </c>
      <c r="B12" s="12" t="s">
        <v>7595</v>
      </c>
    </row>
    <row r="13" spans="1:2">
      <c r="A13">
        <v>1.23</v>
      </c>
      <c r="B13" s="12" t="s">
        <v>7596</v>
      </c>
    </row>
    <row r="14" spans="1:2">
      <c r="A14">
        <v>1.24</v>
      </c>
      <c r="B14" s="12" t="s">
        <v>7597</v>
      </c>
    </row>
    <row r="15" spans="1:2">
      <c r="A15">
        <v>1.25</v>
      </c>
    </row>
    <row r="16" spans="1:2">
      <c r="A16">
        <v>1.26</v>
      </c>
      <c r="B16" s="12" t="s">
        <v>7598</v>
      </c>
    </row>
    <row r="17" ht="28.5" customHeight="1" spans="1:5">
      <c r="A17">
        <v>1.27</v>
      </c>
      <c r="B17" s="12" t="s">
        <v>7599</v>
      </c>
      <c r="E17" t="s">
        <v>7580</v>
      </c>
    </row>
    <row r="18" spans="1:5">
      <c r="A18">
        <v>1.28</v>
      </c>
      <c r="B18" s="12" t="s">
        <v>7600</v>
      </c>
    </row>
    <row r="19" spans="1:5">
      <c r="A19">
        <v>1.29</v>
      </c>
    </row>
    <row r="20" spans="1:5">
      <c r="A20">
        <v>1.3</v>
      </c>
    </row>
    <row r="21" spans="1:5">
      <c r="A21">
        <v>1.31</v>
      </c>
    </row>
    <row r="22" spans="1:5">
      <c r="A22">
        <v>1.32</v>
      </c>
    </row>
    <row r="23" spans="1:5">
      <c r="A23">
        <v>1.33</v>
      </c>
    </row>
    <row r="24" spans="1:5">
      <c r="A24">
        <v>1.34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opLeftCell="A8" workbookViewId="0">
      <selection activeCell="A1" sqref="$A1:$XFD1048576"/>
    </sheetView>
  </sheetViews>
  <sheetFormatPr defaultColWidth="9" defaultRowHeight="14.25" outlineLevelCol="3"/>
  <cols>
    <col min="1" max="1" width="14" style="1" customWidth="1"/>
    <col min="2" max="2" width="20" style="1" customWidth="1"/>
    <col min="3" max="3" width="8" style="1" customWidth="1"/>
    <col min="4" max="4" width="96" style="1" customWidth="1"/>
    <col min="5" max="16384" width="9" style="1"/>
  </cols>
  <sheetData>
    <row r="1" ht="19.5" spans="1:4">
      <c r="A1" s="2" t="s">
        <v>7601</v>
      </c>
    </row>
    <row r="2" ht="148.5" spans="1:4">
      <c r="A2" s="5" t="s">
        <v>7602</v>
      </c>
    </row>
    <row r="4" ht="16.5" spans="1:4">
      <c r="A4" s="3" t="s">
        <v>7603</v>
      </c>
      <c r="B4" s="3" t="s">
        <v>7604</v>
      </c>
      <c r="C4" s="3" t="s">
        <v>7605</v>
      </c>
      <c r="D4" s="3" t="s">
        <v>7584</v>
      </c>
    </row>
    <row r="5" ht="33" spans="1:4">
      <c r="A5" s="4" t="s">
        <v>7526</v>
      </c>
      <c r="B5" s="4" t="s">
        <v>29</v>
      </c>
      <c r="C5" s="4" t="s">
        <v>7606</v>
      </c>
      <c r="D5" s="4" t="s">
        <v>7607</v>
      </c>
    </row>
    <row r="6" ht="16.5" spans="1:4">
      <c r="A6" s="4" t="s">
        <v>7608</v>
      </c>
      <c r="B6" s="4" t="s">
        <v>7609</v>
      </c>
      <c r="C6" s="4" t="s">
        <v>7610</v>
      </c>
      <c r="D6" s="4" t="s">
        <v>7611</v>
      </c>
    </row>
    <row r="7" ht="33" spans="1:4">
      <c r="A7" s="4" t="s">
        <v>7527</v>
      </c>
      <c r="B7" s="4" t="s">
        <v>29</v>
      </c>
      <c r="C7" s="4" t="s">
        <v>7606</v>
      </c>
      <c r="D7" s="4" t="s">
        <v>7612</v>
      </c>
    </row>
    <row r="8" ht="66" spans="1:4">
      <c r="A8" s="4" t="s">
        <v>7528</v>
      </c>
      <c r="B8" s="4" t="s">
        <v>34</v>
      </c>
      <c r="C8" s="4" t="s">
        <v>7606</v>
      </c>
      <c r="D8" s="4" t="s">
        <v>7613</v>
      </c>
    </row>
    <row r="9" ht="16.5" spans="1:4">
      <c r="A9" s="4" t="s">
        <v>7529</v>
      </c>
      <c r="B9" s="4" t="s">
        <v>29</v>
      </c>
      <c r="C9" s="4" t="s">
        <v>7610</v>
      </c>
      <c r="D9" s="4" t="s">
        <v>7614</v>
      </c>
    </row>
    <row r="10" ht="16.5" spans="1:4">
      <c r="A10" s="4" t="s">
        <v>7530</v>
      </c>
      <c r="B10" s="4" t="s">
        <v>29</v>
      </c>
      <c r="C10" s="4" t="s">
        <v>7610</v>
      </c>
      <c r="D10" s="4" t="s">
        <v>7615</v>
      </c>
    </row>
    <row r="11" ht="49.5" spans="1:4">
      <c r="A11" s="4" t="s">
        <v>7531</v>
      </c>
      <c r="B11" s="4" t="s">
        <v>29</v>
      </c>
      <c r="C11" s="4" t="s">
        <v>7610</v>
      </c>
      <c r="D11" s="4" t="s">
        <v>7616</v>
      </c>
    </row>
    <row r="12" ht="16.5" spans="1:4">
      <c r="A12" s="4" t="s">
        <v>7617</v>
      </c>
      <c r="B12" s="4" t="s">
        <v>7609</v>
      </c>
      <c r="C12" s="4" t="s">
        <v>7610</v>
      </c>
      <c r="D12" s="4" t="s">
        <v>7618</v>
      </c>
    </row>
    <row r="14" ht="16.5" spans="1:4">
      <c r="A14" s="6" t="s">
        <v>7619</v>
      </c>
    </row>
    <row r="15" ht="42" customHeight="1" spans="1:4">
      <c r="A15" s="7" t="s">
        <v>7620</v>
      </c>
    </row>
    <row r="17" ht="16.5" spans="1:1">
      <c r="A17" s="6" t="s">
        <v>7621</v>
      </c>
    </row>
    <row r="18" ht="42" customHeight="1" spans="1:1">
      <c r="A18" s="7" t="s">
        <v>7622</v>
      </c>
    </row>
    <row r="20" ht="16.5" spans="1:1">
      <c r="A20" s="6" t="s">
        <v>7623</v>
      </c>
    </row>
    <row r="21" ht="42" customHeight="1" spans="1:1">
      <c r="A21" s="7" t="s">
        <v>7624</v>
      </c>
    </row>
  </sheetData>
  <mergeCells count="6">
    <mergeCell ref="A14:D14"/>
    <mergeCell ref="A15:D15"/>
    <mergeCell ref="A17:D17"/>
    <mergeCell ref="A18:D18"/>
    <mergeCell ref="A20:D20"/>
    <mergeCell ref="A21:D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opLeftCell="A2" workbookViewId="0">
      <selection activeCell="E4" sqref="E4"/>
    </sheetView>
  </sheetViews>
  <sheetFormatPr defaultColWidth="9" defaultRowHeight="14.25"/>
  <cols>
    <col min="1" max="1" width="18" style="1" customWidth="1"/>
    <col min="2" max="2" width="15" style="1" customWidth="1"/>
    <col min="3" max="3" width="7" style="1" customWidth="1"/>
    <col min="4" max="4" width="20" style="1" customWidth="1"/>
    <col min="5" max="5" width="24" style="1" customWidth="1"/>
    <col min="6" max="6" width="26" style="1" customWidth="1"/>
    <col min="7" max="7" width="14" style="1" customWidth="1"/>
    <col min="8" max="8" width="11" style="1" customWidth="1"/>
    <col min="9" max="9" width="62" style="1" customWidth="1"/>
    <col min="10" max="16384" width="9" style="1"/>
  </cols>
  <sheetData>
    <row r="1" ht="19.5" spans="1:9">
      <c r="A1" s="2" t="s">
        <v>7625</v>
      </c>
    </row>
    <row r="2" ht="165" spans="1:9">
      <c r="A2" s="5" t="s">
        <v>7626</v>
      </c>
    </row>
    <row r="4" ht="16.5" spans="1:9">
      <c r="A4" s="3" t="s">
        <v>7627</v>
      </c>
      <c r="B4" s="3" t="s">
        <v>7628</v>
      </c>
      <c r="C4" s="3" t="s">
        <v>7629</v>
      </c>
      <c r="D4" s="3" t="s">
        <v>7630</v>
      </c>
      <c r="E4" s="3" t="s">
        <v>7631</v>
      </c>
      <c r="F4" s="3" t="s">
        <v>7632</v>
      </c>
      <c r="G4" s="3" t="s">
        <v>7531</v>
      </c>
      <c r="H4" s="3" t="s">
        <v>7633</v>
      </c>
      <c r="I4" s="3" t="s">
        <v>7584</v>
      </c>
    </row>
    <row r="5" ht="49.5" spans="1:9">
      <c r="A5" s="8" t="s">
        <v>7634</v>
      </c>
      <c r="B5" s="8" t="s">
        <v>7635</v>
      </c>
      <c r="C5" s="8">
        <v>0</v>
      </c>
      <c r="D5" s="8" t="s">
        <v>7636</v>
      </c>
      <c r="E5" s="8" t="s">
        <v>7637</v>
      </c>
      <c r="F5" s="8" t="s">
        <v>7637</v>
      </c>
      <c r="G5" s="8" t="s">
        <v>7637</v>
      </c>
      <c r="H5" s="8" t="s">
        <v>7638</v>
      </c>
      <c r="I5" s="8" t="s">
        <v>7639</v>
      </c>
    </row>
    <row r="6" ht="148.5" spans="1:9">
      <c r="A6" s="8" t="s">
        <v>7541</v>
      </c>
      <c r="B6" s="8" t="s">
        <v>7640</v>
      </c>
      <c r="C6" s="8">
        <v>900</v>
      </c>
      <c r="D6" s="8" t="s">
        <v>7641</v>
      </c>
      <c r="E6" s="8" t="s">
        <v>7642</v>
      </c>
      <c r="F6" s="8" t="s">
        <v>7642</v>
      </c>
      <c r="G6" s="8" t="s">
        <v>7642</v>
      </c>
      <c r="H6" s="8" t="s">
        <v>7638</v>
      </c>
      <c r="I6" s="8" t="s">
        <v>7643</v>
      </c>
    </row>
    <row r="7" ht="33" spans="1:9">
      <c r="A7" s="8" t="s">
        <v>117</v>
      </c>
      <c r="B7" s="8" t="s">
        <v>7644</v>
      </c>
      <c r="C7" s="8">
        <v>1</v>
      </c>
      <c r="D7" s="8" t="s">
        <v>7645</v>
      </c>
      <c r="E7" s="8" t="s">
        <v>7646</v>
      </c>
      <c r="F7" s="8" t="s">
        <v>7637</v>
      </c>
      <c r="G7" s="8" t="s">
        <v>7637</v>
      </c>
      <c r="H7" s="8" t="s">
        <v>7638</v>
      </c>
      <c r="I7" s="8" t="s">
        <v>7647</v>
      </c>
    </row>
    <row r="8" ht="33" spans="1:9">
      <c r="A8" s="9" t="s">
        <v>78</v>
      </c>
      <c r="B8" s="9" t="s">
        <v>7648</v>
      </c>
      <c r="C8" s="9">
        <v>2</v>
      </c>
      <c r="D8" s="9" t="s">
        <v>7649</v>
      </c>
      <c r="E8" s="9" t="s">
        <v>7650</v>
      </c>
      <c r="F8" s="9" t="s">
        <v>7651</v>
      </c>
      <c r="G8" s="9" t="s">
        <v>7637</v>
      </c>
      <c r="H8" s="9" t="s">
        <v>7652</v>
      </c>
      <c r="I8" s="9" t="s">
        <v>7653</v>
      </c>
    </row>
    <row r="9" ht="33" spans="1:9">
      <c r="A9" s="9" t="s">
        <v>7543</v>
      </c>
      <c r="B9" s="9" t="s">
        <v>7654</v>
      </c>
      <c r="C9" s="9">
        <v>3</v>
      </c>
      <c r="D9" s="9" t="s">
        <v>7655</v>
      </c>
      <c r="E9" s="9" t="s">
        <v>7637</v>
      </c>
      <c r="F9" s="9" t="s">
        <v>7656</v>
      </c>
      <c r="G9" s="9" t="s">
        <v>7637</v>
      </c>
      <c r="H9" s="9" t="s">
        <v>7652</v>
      </c>
      <c r="I9" s="9" t="s">
        <v>7657</v>
      </c>
    </row>
    <row r="10" ht="33" spans="1:9">
      <c r="A10" s="9" t="s">
        <v>7658</v>
      </c>
      <c r="B10" s="9" t="s">
        <v>7659</v>
      </c>
      <c r="C10" s="9">
        <v>4</v>
      </c>
      <c r="D10" s="9" t="s">
        <v>7660</v>
      </c>
      <c r="E10" s="9" t="s">
        <v>7661</v>
      </c>
      <c r="F10" s="9" t="s">
        <v>7651</v>
      </c>
      <c r="G10" s="9" t="s">
        <v>7637</v>
      </c>
      <c r="H10" s="9" t="s">
        <v>7652</v>
      </c>
      <c r="I10" s="9" t="s">
        <v>7662</v>
      </c>
    </row>
    <row r="11" ht="33" spans="1:9">
      <c r="A11" s="9" t="s">
        <v>7547</v>
      </c>
      <c r="B11" s="9" t="s">
        <v>7663</v>
      </c>
      <c r="C11" s="9">
        <v>5</v>
      </c>
      <c r="D11" s="9" t="s">
        <v>7664</v>
      </c>
      <c r="E11" s="9" t="s">
        <v>7665</v>
      </c>
      <c r="F11" s="9" t="s">
        <v>7666</v>
      </c>
      <c r="G11" s="9" t="s">
        <v>7637</v>
      </c>
      <c r="H11" s="9" t="s">
        <v>7652</v>
      </c>
      <c r="I11" s="9" t="s">
        <v>7667</v>
      </c>
    </row>
    <row r="12" ht="33" spans="1:9">
      <c r="A12" s="9" t="s">
        <v>106</v>
      </c>
      <c r="B12" s="9" t="s">
        <v>7668</v>
      </c>
      <c r="C12" s="9">
        <v>100</v>
      </c>
      <c r="D12" s="9" t="s">
        <v>7669</v>
      </c>
      <c r="E12" s="9" t="s">
        <v>7670</v>
      </c>
      <c r="F12" s="9" t="s">
        <v>7637</v>
      </c>
      <c r="G12" s="9" t="s">
        <v>7637</v>
      </c>
      <c r="H12" s="9" t="s">
        <v>7652</v>
      </c>
      <c r="I12" s="9" t="s">
        <v>7671</v>
      </c>
    </row>
    <row r="14" ht="16.5" spans="1:9">
      <c r="A14" s="10" t="s">
        <v>7672</v>
      </c>
    </row>
    <row r="16" ht="16.5" spans="1:9">
      <c r="A16" s="11" t="s">
        <v>7673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16" workbookViewId="0">
      <selection activeCell="E11" sqref="E11"/>
    </sheetView>
  </sheetViews>
  <sheetFormatPr defaultColWidth="9" defaultRowHeight="14.25"/>
  <cols>
    <col min="1" max="1" width="22" style="1" customWidth="1"/>
    <col min="2" max="3" width="20" style="1" customWidth="1"/>
    <col min="4" max="4" width="34" style="1" customWidth="1"/>
    <col min="5" max="5" width="12" style="1" customWidth="1"/>
    <col min="6" max="6" width="8" style="1" customWidth="1"/>
    <col min="7" max="7" width="12" style="1" customWidth="1"/>
    <col min="8" max="8" width="18" style="1" customWidth="1"/>
    <col min="9" max="9" width="22" style="1" customWidth="1"/>
    <col min="10" max="16384" width="9" style="1"/>
  </cols>
  <sheetData>
    <row r="1" ht="19.5" spans="1:9">
      <c r="A1" s="2" t="s">
        <v>7674</v>
      </c>
    </row>
    <row r="2" ht="99" spans="1:9">
      <c r="A2" s="5" t="s">
        <v>7675</v>
      </c>
    </row>
    <row r="4" ht="16.5" spans="1:9">
      <c r="A4" s="6" t="s">
        <v>7676</v>
      </c>
    </row>
    <row r="5" ht="28" customHeight="1" spans="1:9">
      <c r="A5" s="7" t="s">
        <v>7677</v>
      </c>
    </row>
    <row r="7" ht="33" spans="1:9">
      <c r="A7" s="3" t="s">
        <v>7678</v>
      </c>
      <c r="B7" s="3" t="s">
        <v>7679</v>
      </c>
      <c r="C7" s="3" t="s">
        <v>7680</v>
      </c>
      <c r="D7" s="3" t="s">
        <v>7681</v>
      </c>
      <c r="E7" s="3" t="s">
        <v>7682</v>
      </c>
      <c r="F7" s="3" t="s">
        <v>7683</v>
      </c>
      <c r="G7" s="3" t="s">
        <v>7684</v>
      </c>
      <c r="H7" s="3" t="s">
        <v>7685</v>
      </c>
      <c r="I7" s="3" t="s">
        <v>7682</v>
      </c>
    </row>
    <row r="8" ht="16.5" spans="1:9">
      <c r="A8" s="4" t="s">
        <v>34</v>
      </c>
      <c r="B8" s="4" t="s">
        <v>7686</v>
      </c>
      <c r="C8" s="4" t="s">
        <v>7687</v>
      </c>
      <c r="D8" s="4" t="s">
        <v>7688</v>
      </c>
      <c r="E8" s="4" t="s">
        <v>7689</v>
      </c>
      <c r="F8" s="4" t="s">
        <v>7635</v>
      </c>
      <c r="G8" s="4" t="s">
        <v>7634</v>
      </c>
      <c r="H8" s="4">
        <v>0</v>
      </c>
      <c r="I8" s="4" t="s">
        <v>7636</v>
      </c>
    </row>
    <row r="9" ht="33" spans="1:9">
      <c r="A9" s="4" t="s">
        <v>7688</v>
      </c>
      <c r="B9" s="4" t="s">
        <v>7688</v>
      </c>
      <c r="C9" s="4" t="s">
        <v>7688</v>
      </c>
      <c r="D9" s="4" t="s">
        <v>7688</v>
      </c>
      <c r="E9" s="4" t="s">
        <v>7688</v>
      </c>
      <c r="F9" s="4" t="s">
        <v>7644</v>
      </c>
      <c r="G9" s="4" t="s">
        <v>117</v>
      </c>
      <c r="H9" s="4">
        <v>1</v>
      </c>
      <c r="I9" s="4" t="s">
        <v>7645</v>
      </c>
    </row>
    <row r="10" ht="33" spans="1:9">
      <c r="A10" s="4" t="s">
        <v>7688</v>
      </c>
      <c r="B10" s="4" t="s">
        <v>7688</v>
      </c>
      <c r="C10" s="4" t="s">
        <v>7688</v>
      </c>
      <c r="D10" s="4" t="s">
        <v>7688</v>
      </c>
      <c r="E10" s="4" t="s">
        <v>7688</v>
      </c>
      <c r="F10" s="4" t="s">
        <v>7648</v>
      </c>
      <c r="G10" s="4" t="s">
        <v>78</v>
      </c>
      <c r="H10" s="4">
        <v>2</v>
      </c>
      <c r="I10" s="4" t="s">
        <v>7690</v>
      </c>
    </row>
    <row r="11" ht="16.5" spans="1:9">
      <c r="A11" s="4" t="s">
        <v>7688</v>
      </c>
      <c r="B11" s="4" t="s">
        <v>7688</v>
      </c>
      <c r="C11" s="4" t="s">
        <v>7688</v>
      </c>
      <c r="D11" s="4" t="s">
        <v>7688</v>
      </c>
      <c r="E11" s="4" t="s">
        <v>7688</v>
      </c>
      <c r="F11" s="4" t="s">
        <v>7654</v>
      </c>
      <c r="G11" s="4" t="s">
        <v>7543</v>
      </c>
      <c r="H11" s="4">
        <v>3</v>
      </c>
      <c r="I11" s="4" t="s">
        <v>7691</v>
      </c>
    </row>
    <row r="12" ht="33" spans="1:9">
      <c r="A12" s="4" t="s">
        <v>7688</v>
      </c>
      <c r="B12" s="4" t="s">
        <v>7688</v>
      </c>
      <c r="C12" s="4" t="s">
        <v>7688</v>
      </c>
      <c r="D12" s="4" t="s">
        <v>7688</v>
      </c>
      <c r="E12" s="4" t="s">
        <v>7688</v>
      </c>
      <c r="F12" s="4" t="s">
        <v>7659</v>
      </c>
      <c r="G12" s="4" t="s">
        <v>7658</v>
      </c>
      <c r="H12" s="4">
        <v>4</v>
      </c>
      <c r="I12" s="4" t="s">
        <v>7692</v>
      </c>
    </row>
    <row r="13" ht="33" spans="1:9">
      <c r="A13" s="4" t="s">
        <v>7688</v>
      </c>
      <c r="B13" s="4" t="s">
        <v>7688</v>
      </c>
      <c r="C13" s="4" t="s">
        <v>7688</v>
      </c>
      <c r="D13" s="4" t="s">
        <v>7688</v>
      </c>
      <c r="E13" s="4" t="s">
        <v>7688</v>
      </c>
      <c r="F13" s="4" t="s">
        <v>7663</v>
      </c>
      <c r="G13" s="4" t="s">
        <v>7547</v>
      </c>
      <c r="H13" s="4">
        <v>5</v>
      </c>
      <c r="I13" s="4" t="s">
        <v>7693</v>
      </c>
    </row>
    <row r="14" ht="33" spans="1:9">
      <c r="A14" s="4" t="s">
        <v>7688</v>
      </c>
      <c r="B14" s="4" t="s">
        <v>7688</v>
      </c>
      <c r="C14" s="4" t="s">
        <v>7688</v>
      </c>
      <c r="D14" s="4" t="s">
        <v>7688</v>
      </c>
      <c r="E14" s="4" t="s">
        <v>7688</v>
      </c>
      <c r="F14" s="4" t="s">
        <v>7668</v>
      </c>
      <c r="G14" s="4" t="s">
        <v>106</v>
      </c>
      <c r="H14" s="4">
        <v>100</v>
      </c>
      <c r="I14" s="4" t="s">
        <v>7694</v>
      </c>
    </row>
    <row r="15" ht="33" spans="1:9">
      <c r="A15" s="4" t="s">
        <v>7688</v>
      </c>
      <c r="B15" s="4" t="s">
        <v>7688</v>
      </c>
      <c r="C15" s="4" t="s">
        <v>7688</v>
      </c>
      <c r="D15" s="4" t="s">
        <v>7688</v>
      </c>
      <c r="E15" s="4" t="s">
        <v>7688</v>
      </c>
      <c r="F15" s="4" t="s">
        <v>7640</v>
      </c>
      <c r="G15" s="4" t="s">
        <v>7541</v>
      </c>
      <c r="H15" s="4">
        <v>900</v>
      </c>
      <c r="I15" s="4" t="s">
        <v>7695</v>
      </c>
    </row>
    <row r="17" ht="16.5" spans="1:9">
      <c r="A17" s="6" t="s">
        <v>7696</v>
      </c>
    </row>
    <row r="18" ht="42" customHeight="1" spans="1:9">
      <c r="A18" s="7" t="s">
        <v>7697</v>
      </c>
    </row>
    <row r="20" ht="33" spans="1:9">
      <c r="A20" s="3" t="s">
        <v>7678</v>
      </c>
      <c r="B20" s="3" t="s">
        <v>7698</v>
      </c>
      <c r="C20" s="3" t="s">
        <v>7699</v>
      </c>
      <c r="D20" s="3" t="s">
        <v>7700</v>
      </c>
      <c r="E20" s="3" t="s">
        <v>7701</v>
      </c>
      <c r="F20" s="3" t="s">
        <v>7702</v>
      </c>
      <c r="G20" s="3" t="s">
        <v>7681</v>
      </c>
      <c r="H20" s="3" t="s">
        <v>7682</v>
      </c>
      <c r="I20" s="3" t="s">
        <v>7703</v>
      </c>
    </row>
    <row r="21" ht="16.5" spans="1:9">
      <c r="A21" s="4" t="s">
        <v>7704</v>
      </c>
      <c r="B21" s="4" t="s">
        <v>7705</v>
      </c>
      <c r="C21" s="4" t="s">
        <v>7687</v>
      </c>
      <c r="D21" s="4" t="s">
        <v>7706</v>
      </c>
      <c r="E21" s="4" t="s">
        <v>7707</v>
      </c>
      <c r="F21" s="4" t="s">
        <v>7708</v>
      </c>
      <c r="G21" s="4" t="s">
        <v>7707</v>
      </c>
      <c r="H21" s="4" t="s">
        <v>7709</v>
      </c>
      <c r="I21" s="4" t="s">
        <v>7710</v>
      </c>
    </row>
    <row r="23" ht="16.5" spans="1:9">
      <c r="A23" s="6" t="s">
        <v>7711</v>
      </c>
    </row>
    <row r="24" ht="98" customHeight="1" spans="1:9">
      <c r="A24" s="7" t="s">
        <v>7712</v>
      </c>
    </row>
    <row r="26" ht="16.5" spans="1:9">
      <c r="A26" s="6" t="s">
        <v>7713</v>
      </c>
    </row>
    <row r="27" ht="28" customHeight="1" spans="1:9">
      <c r="A27" s="7" t="s">
        <v>7714</v>
      </c>
    </row>
  </sheetData>
  <mergeCells count="8">
    <mergeCell ref="A4:D4"/>
    <mergeCell ref="A5:D5"/>
    <mergeCell ref="A17:D17"/>
    <mergeCell ref="A18:D18"/>
    <mergeCell ref="A23:D23"/>
    <mergeCell ref="A24:D24"/>
    <mergeCell ref="A26:D26"/>
    <mergeCell ref="A27:D2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A1" sqref="$A1:$XFD1048576"/>
    </sheetView>
  </sheetViews>
  <sheetFormatPr defaultColWidth="9" defaultRowHeight="14.25" outlineLevelRow="3" outlineLevelCol="2"/>
  <cols>
    <col min="1" max="1" width="14" style="1" customWidth="1"/>
    <col min="2" max="2" width="10" style="1" customWidth="1"/>
    <col min="3" max="3" width="108" style="1" customWidth="1"/>
    <col min="4" max="16384" width="9" style="1"/>
  </cols>
  <sheetData>
    <row r="1" ht="19.5" spans="1:3">
      <c r="A1" s="2" t="s">
        <v>7715</v>
      </c>
    </row>
    <row r="3" ht="16.5" spans="1:3">
      <c r="A3" s="3" t="s">
        <v>7716</v>
      </c>
      <c r="B3" s="3" t="s">
        <v>7583</v>
      </c>
      <c r="C3" s="3" t="s">
        <v>7717</v>
      </c>
    </row>
    <row r="4" ht="66" spans="1:3">
      <c r="A4" s="4" t="s">
        <v>7718</v>
      </c>
      <c r="B4" s="4" t="s">
        <v>7719</v>
      </c>
      <c r="C4" s="4" t="s">
        <v>7720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item_config</vt:lpstr>
      <vt:lpstr>item_effect_config</vt:lpstr>
      <vt:lpstr>编号表</vt:lpstr>
      <vt:lpstr>更新说明</vt:lpstr>
      <vt:lpstr>字段说明</vt:lpstr>
      <vt:lpstr>效果算子对照</vt:lpstr>
      <vt:lpstr>枚举与注册</vt:lpstr>
      <vt:lpstr>物品效果更新说明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Kane</dc:creator>
  <cp:lastModifiedBy>thothSSQS</cp:lastModifiedBy>
  <dcterms:created xsi:type="dcterms:W3CDTF">2019-08-16T02:41:00Z</dcterms:created>
  <dcterms:modified xsi:type="dcterms:W3CDTF">2026-09-08T05:37:58Z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KSOReadingLayout">
    <vt:bool>true</vt:bool>
  </property>
  <property fmtid="{D5CDD505-2E9C-101B-9397-08002B2CF9AE}" pid="4" name="ICV">
    <vt:lpwstr>F0AE49BEF5CC483E811D67B93D60AC71_13</vt:lpwstr>
  </property>
  <property fmtid="{D5CDD505-2E9C-101B-9397-08002B2CF9AE}" pid="5" name="CalculationRule">
    <vt:i4>0</vt:i4>
  </property>
</Properties>
</file>